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分层分析_兼容版" sheetId="2" state="visible" r:id="rId2"/>
    <sheet name="迁徙矩阵_兼容版" sheetId="3" state="visible" r:id="rId3"/>
    <sheet name="拨备与覆盖_兼容版" sheetId="4" state="visible" r:id="rId4"/>
    <sheet name="回收与核销_兼容版" sheetId="5" state="visible" r:id="rId5"/>
    <sheet name="不良桥_兼容版" sheetId="6" state="visible" r:id="rId6"/>
    <sheet name="集中度_兼容版" sheetId="7" state="visible" r:id="rId7"/>
    <sheet name="原始数据模板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兼容版：仅用SUMIFS/INDEX+MATCH，不含动态数组。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n">
        <v>2024</v>
      </c>
    </row>
    <row r="2">
      <c r="A2" t="inlineStr">
        <is>
          <t>维度</t>
        </is>
      </c>
      <c r="B2" t="inlineStr">
        <is>
          <t>行业</t>
        </is>
      </c>
    </row>
    <row r="3">
      <c r="A3" t="inlineStr">
        <is>
          <t>度量</t>
        </is>
      </c>
      <c r="B3" t="inlineStr">
        <is>
          <t>不良</t>
        </is>
      </c>
    </row>
    <row r="5">
      <c r="A5" t="inlineStr">
        <is>
          <t>维度值</t>
        </is>
      </c>
      <c r="B5" t="inlineStr">
        <is>
          <t>度量合计</t>
        </is>
      </c>
    </row>
    <row r="6">
      <c r="A6" t="inlineStr">
        <is>
          <t>制造业</t>
        </is>
      </c>
      <c r="B6">
        <f>SUMIFS('[AQ_&amp;$B$1&amp;.xlsx]原始数据'!$D:$D,'[AQ_&amp;$B$1&amp;.xlsx]原始数据'!$G:$G,$A6)</f>
        <v/>
      </c>
    </row>
    <row r="7">
      <c r="A7" t="inlineStr">
        <is>
          <t>批发零售</t>
        </is>
      </c>
      <c r="B7">
        <f>SUMIFS('[AQ_&amp;$B$1&amp;.xlsx]原始数据'!$D:$D,'[AQ_&amp;$B$1&amp;.xlsx]原始数据'!$G:$G,$A{r})</f>
        <v/>
      </c>
    </row>
    <row r="8">
      <c r="A8" t="inlineStr">
        <is>
          <t>基建</t>
        </is>
      </c>
      <c r="B8">
        <f>SUMIFS('[AQ_&amp;$B$1&amp;.xlsx]原始数据'!$D:$D,'[AQ_&amp;$B$1&amp;.xlsx]原始数据'!$G:$G,$A{r})</f>
        <v/>
      </c>
    </row>
    <row r="9">
      <c r="A9" t="inlineStr">
        <is>
          <t>房地产</t>
        </is>
      </c>
      <c r="B9">
        <f>SUMIFS('[AQ_&amp;$B$1&amp;.xlsx]原始数据'!$D:$D,'[AQ_&amp;$B$1&amp;.xlsx]原始数据'!$G:$G,$A{r})</f>
        <v/>
      </c>
    </row>
    <row r="10">
      <c r="A10" t="inlineStr">
        <is>
          <t>TMT</t>
        </is>
      </c>
      <c r="B10">
        <f>SUMIFS('[AQ_&amp;$B$1&amp;.xlsx]原始数据'!$D:$D,'[AQ_&amp;$B$1&amp;.xlsx]原始数据'!$G:$G,$A{r})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上期/本期</t>
        </is>
      </c>
      <c r="B1" t="inlineStr">
        <is>
          <t>正常</t>
        </is>
      </c>
      <c r="C1" t="inlineStr">
        <is>
          <t>关注</t>
        </is>
      </c>
      <c r="D1" t="inlineStr">
        <is>
          <t>次级</t>
        </is>
      </c>
      <c r="E1" t="inlineStr">
        <is>
          <t>可疑</t>
        </is>
      </c>
      <c r="F1" t="inlineStr">
        <is>
          <t>损失</t>
        </is>
      </c>
    </row>
    <row r="2">
      <c r="A2" t="inlineStr">
        <is>
          <t>正常</t>
        </is>
      </c>
      <c r="B2">
        <f>SUMIFS('[AQ_2024.xlsx]原始数据'!$D:$D,'[AQ_2024.xlsx]原始数据'!$L:$L,$A2,'[AQ_2024.xlsx]原始数据'!$K:$K,B$1)</f>
        <v/>
      </c>
      <c r="C2">
        <f>SUMIFS('[AQ_2024.xlsx]原始数据'!$D:$D,'[AQ_2024.xlsx]原始数据'!$L:$L,$A2,'[AQ_2024.xlsx]原始数据'!$K:$K,C$1)</f>
        <v/>
      </c>
      <c r="D2">
        <f>SUMIFS('[AQ_2024.xlsx]原始数据'!$D:$D,'[AQ_2024.xlsx]原始数据'!$L:$L,$A2,'[AQ_2024.xlsx]原始数据'!$K:$K,D$1)</f>
        <v/>
      </c>
      <c r="E2">
        <f>SUMIFS('[AQ_2024.xlsx]原始数据'!$D:$D,'[AQ_2024.xlsx]原始数据'!$L:$L,$A2,'[AQ_2024.xlsx]原始数据'!$K:$K,E$1)</f>
        <v/>
      </c>
      <c r="F2">
        <f>SUMIFS('[AQ_2024.xlsx]原始数据'!$D:$D,'[AQ_2024.xlsx]原始数据'!$L:$L,$A2,'[AQ_2024.xlsx]原始数据'!$K:$K,F$1)</f>
        <v/>
      </c>
    </row>
    <row r="3">
      <c r="A3" t="inlineStr">
        <is>
          <t>关注</t>
        </is>
      </c>
      <c r="B3">
        <f>SUMIFS('[AQ_2024.xlsx]原始数据'!$D:$D,'[AQ_2024.xlsx]原始数据'!$L:$L,$A3,'[AQ_2024.xlsx]原始数据'!$K:$K,B$1)</f>
        <v/>
      </c>
      <c r="C3">
        <f>SUMIFS('[AQ_2024.xlsx]原始数据'!$D:$D,'[AQ_2024.xlsx]原始数据'!$L:$L,$A3,'[AQ_2024.xlsx]原始数据'!$K:$K,C$1)</f>
        <v/>
      </c>
      <c r="D3">
        <f>SUMIFS('[AQ_2024.xlsx]原始数据'!$D:$D,'[AQ_2024.xlsx]原始数据'!$L:$L,$A3,'[AQ_2024.xlsx]原始数据'!$K:$K,D$1)</f>
        <v/>
      </c>
      <c r="E3">
        <f>SUMIFS('[AQ_2024.xlsx]原始数据'!$D:$D,'[AQ_2024.xlsx]原始数据'!$L:$L,$A3,'[AQ_2024.xlsx]原始数据'!$K:$K,E$1)</f>
        <v/>
      </c>
      <c r="F3">
        <f>SUMIFS('[AQ_2024.xlsx]原始数据'!$D:$D,'[AQ_2024.xlsx]原始数据'!$L:$L,$A3,'[AQ_2024.xlsx]原始数据'!$K:$K,F$1)</f>
        <v/>
      </c>
    </row>
    <row r="4">
      <c r="A4" t="inlineStr">
        <is>
          <t>次级</t>
        </is>
      </c>
      <c r="B4">
        <f>SUMIFS('[AQ_2024.xlsx]原始数据'!$D:$D,'[AQ_2024.xlsx]原始数据'!$L:$L,$A4,'[AQ_2024.xlsx]原始数据'!$K:$K,B$1)</f>
        <v/>
      </c>
      <c r="C4">
        <f>SUMIFS('[AQ_2024.xlsx]原始数据'!$D:$D,'[AQ_2024.xlsx]原始数据'!$L:$L,$A4,'[AQ_2024.xlsx]原始数据'!$K:$K,C$1)</f>
        <v/>
      </c>
      <c r="D4">
        <f>SUMIFS('[AQ_2024.xlsx]原始数据'!$D:$D,'[AQ_2024.xlsx]原始数据'!$L:$L,$A4,'[AQ_2024.xlsx]原始数据'!$K:$K,D$1)</f>
        <v/>
      </c>
      <c r="E4">
        <f>SUMIFS('[AQ_2024.xlsx]原始数据'!$D:$D,'[AQ_2024.xlsx]原始数据'!$L:$L,$A4,'[AQ_2024.xlsx]原始数据'!$K:$K,E$1)</f>
        <v/>
      </c>
      <c r="F4">
        <f>SUMIFS('[AQ_2024.xlsx]原始数据'!$D:$D,'[AQ_2024.xlsx]原始数据'!$L:$L,$A4,'[AQ_2024.xlsx]原始数据'!$K:$K,F$1)</f>
        <v/>
      </c>
    </row>
    <row r="5">
      <c r="A5" t="inlineStr">
        <is>
          <t>可疑</t>
        </is>
      </c>
      <c r="B5">
        <f>SUMIFS('[AQ_2024.xlsx]原始数据'!$D:$D,'[AQ_2024.xlsx]原始数据'!$L:$L,$A5,'[AQ_2024.xlsx]原始数据'!$K:$K,B$1)</f>
        <v/>
      </c>
      <c r="C5">
        <f>SUMIFS('[AQ_2024.xlsx]原始数据'!$D:$D,'[AQ_2024.xlsx]原始数据'!$L:$L,$A5,'[AQ_2024.xlsx]原始数据'!$K:$K,C$1)</f>
        <v/>
      </c>
      <c r="D5">
        <f>SUMIFS('[AQ_2024.xlsx]原始数据'!$D:$D,'[AQ_2024.xlsx]原始数据'!$L:$L,$A5,'[AQ_2024.xlsx]原始数据'!$K:$K,D$1)</f>
        <v/>
      </c>
      <c r="E5">
        <f>SUMIFS('[AQ_2024.xlsx]原始数据'!$D:$D,'[AQ_2024.xlsx]原始数据'!$L:$L,$A5,'[AQ_2024.xlsx]原始数据'!$K:$K,E$1)</f>
        <v/>
      </c>
      <c r="F5">
        <f>SUMIFS('[AQ_2024.xlsx]原始数据'!$D:$D,'[AQ_2024.xlsx]原始数据'!$L:$L,$A5,'[AQ_2024.xlsx]原始数据'!$K:$K,F$1)</f>
        <v/>
      </c>
    </row>
    <row r="6">
      <c r="A6" t="inlineStr">
        <is>
          <t>损失</t>
        </is>
      </c>
      <c r="B6">
        <f>SUMIFS('[AQ_2024.xlsx]原始数据'!$D:$D,'[AQ_2024.xlsx]原始数据'!$L:$L,$A6,'[AQ_2024.xlsx]原始数据'!$K:$K,B$1)</f>
        <v/>
      </c>
      <c r="C6">
        <f>SUMIFS('[AQ_2024.xlsx]原始数据'!$D:$D,'[AQ_2024.xlsx]原始数据'!$L:$L,$A6,'[AQ_2024.xlsx]原始数据'!$K:$K,C$1)</f>
        <v/>
      </c>
      <c r="D6">
        <f>SUMIFS('[AQ_2024.xlsx]原始数据'!$D:$D,'[AQ_2024.xlsx]原始数据'!$L:$L,$A6,'[AQ_2024.xlsx]原始数据'!$K:$K,D$1)</f>
        <v/>
      </c>
      <c r="E6">
        <f>SUMIFS('[AQ_2024.xlsx]原始数据'!$D:$D,'[AQ_2024.xlsx]原始数据'!$L:$L,$A6,'[AQ_2024.xlsx]原始数据'!$K:$K,E$1)</f>
        <v/>
      </c>
      <c r="F6">
        <f>SUMIFS('[AQ_2024.xlsx]原始数据'!$D:$D,'[AQ_2024.xlsx]原始数据'!$L:$L,$A6,'[AQ_2024.xlsx]原始数据'!$K:$K,F$1)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n">
        <v>2024</v>
      </c>
    </row>
    <row r="3">
      <c r="A3" t="inlineStr">
        <is>
          <t>不良余额</t>
        </is>
      </c>
      <c r="B3">
        <f>SUM('[AQ_&amp;B1&amp;.xlsx]原始数据'!$D:$D)</f>
        <v/>
      </c>
    </row>
    <row r="4">
      <c r="A4" t="inlineStr">
        <is>
          <t>拨备余额</t>
        </is>
      </c>
      <c r="B4">
        <f>SUM('[AQ_&amp;B1&amp;.xlsx]原始数据'!$Q:$Q)</f>
        <v/>
      </c>
    </row>
    <row r="5">
      <c r="A5" t="inlineStr">
        <is>
          <t>覆盖率</t>
        </is>
      </c>
      <c r="B5" s="1">
        <f>IFERROR(B4/B3,"")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n">
        <v>2024</v>
      </c>
    </row>
    <row r="3">
      <c r="A3" t="inlineStr">
        <is>
          <t>核销额</t>
        </is>
      </c>
      <c r="B3">
        <f>SUM('[AQ_&amp;B1&amp;.xlsx]原始数据'!$T:$T)</f>
        <v/>
      </c>
    </row>
    <row r="4">
      <c r="A4" t="inlineStr">
        <is>
          <t>现金回收</t>
        </is>
      </c>
      <c r="B4">
        <f>SUM('[AQ_&amp;B1&amp;.xlsx]原始数据'!$U:$U)</f>
        <v/>
      </c>
    </row>
    <row r="5">
      <c r="A5" t="inlineStr">
        <is>
          <t>核销率</t>
        </is>
      </c>
      <c r="B5" s="1">
        <f>IFERROR(B3/SUM('[AQ_&amp;B1&amp;.xlsx]原始数据'!$D:$D),"")</f>
        <v/>
      </c>
    </row>
    <row r="6">
      <c r="A6" t="inlineStr">
        <is>
          <t>回收率</t>
        </is>
      </c>
      <c r="B6" s="1">
        <f>IFERROR(B4/(SUM('[AQ_&amp;B1&amp;.xlsx]原始数据'!$D:$D)+SUM('[AQ_&amp;B1&amp;.xlsx]原始数据'!$F:$F)),"")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n">
        <v>2024</v>
      </c>
    </row>
    <row r="3">
      <c r="A3" t="inlineStr">
        <is>
          <t>期初不良</t>
        </is>
      </c>
      <c r="B3">
        <f>SUM('[AQ_&amp;B1-1&amp;.xlsx]原始数据'!$D:$D)</f>
        <v/>
      </c>
    </row>
    <row r="4">
      <c r="A4" t="inlineStr">
        <is>
          <t>+新发生不良</t>
        </is>
      </c>
      <c r="B4">
        <f>SUM('[AQ_&amp;B1&amp;.xlsx]原始数据'!$F:$F)</f>
        <v/>
      </c>
    </row>
    <row r="5">
      <c r="A5" t="inlineStr">
        <is>
          <t>+关注下迁</t>
        </is>
      </c>
      <c r="B5">
        <f>SUMIFS('[AQ_&amp;B1&amp;.xlsx]原始数据'!$D:$D,'[AQ_&amp;B1&amp;.xlsx]原始数据'!$L:$L,"关注",'[AQ_&amp;B1&amp;.xlsx]原始数据'!$K:$K,"不良")</f>
        <v/>
      </c>
    </row>
    <row r="6">
      <c r="A6" t="inlineStr">
        <is>
          <t>-上迁治愈</t>
        </is>
      </c>
      <c r="B6">
        <f>SUMIFS('[AQ_&amp;B1&amp;.xlsx]原始数据'!$D:$D,'[AQ_&amp;B1&amp;.xlsx]原始数据'!$L:$L,"不良",'[AQ_&amp;B1&amp;.xlsx]原始数据'!$K:$K,"正常")</f>
        <v/>
      </c>
    </row>
    <row r="7">
      <c r="A7" t="inlineStr">
        <is>
          <t>-核销</t>
        </is>
      </c>
      <c r="B7">
        <f>-SUM('[AQ_&amp;B1&amp;.xlsx]原始数据'!$T:$T)</f>
        <v/>
      </c>
    </row>
    <row r="8">
      <c r="A8" t="inlineStr">
        <is>
          <t>-现金回收</t>
        </is>
      </c>
      <c r="B8">
        <f>-SUM('[AQ_&amp;B1&amp;.xlsx]原始数据'!$U:$U)</f>
        <v/>
      </c>
    </row>
    <row r="9">
      <c r="A9">
        <f>期末不良</f>
        <v/>
      </c>
      <c r="B9">
        <f>SUM('[AQ_&amp;B1&amp;.xlsx]原始数据'!$D:$D)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n">
        <v>2024</v>
      </c>
      <c r="E1" t="inlineStr">
        <is>
          <t>总额</t>
        </is>
      </c>
      <c r="F1">
        <f>SUM('[AQ_&amp;$B$1&amp;.xlsx]原始数据'!$B:$B)</f>
        <v/>
      </c>
    </row>
    <row r="3">
      <c r="A3" t="inlineStr">
        <is>
          <t>排名</t>
        </is>
      </c>
      <c r="B3" t="inlineStr">
        <is>
          <t>行业</t>
        </is>
      </c>
      <c r="C3" t="inlineStr">
        <is>
          <t>金额</t>
        </is>
      </c>
      <c r="D3" t="inlineStr">
        <is>
          <t>占比</t>
        </is>
      </c>
    </row>
    <row r="4">
      <c r="A4" t="n">
        <v>1</v>
      </c>
      <c r="B4" t="inlineStr">
        <is>
          <t>制造业</t>
        </is>
      </c>
      <c r="C4">
        <f>SUMIFS('[AQ_&amp;$B$1&amp;.xlsx]原始数据'!$B:$B,'[AQ_&amp;$B$1&amp;.xlsx]原始数据'!$G:$G,$B{r})</f>
        <v/>
      </c>
      <c r="D4" s="1">
        <f>IFERROR($C4/$F$1,"")</f>
        <v/>
      </c>
    </row>
    <row r="5">
      <c r="A5" t="n">
        <v>2</v>
      </c>
      <c r="B5" t="inlineStr">
        <is>
          <t>批发零售</t>
        </is>
      </c>
      <c r="C5">
        <f>SUMIFS('[AQ_&amp;$B$1&amp;.xlsx]原始数据'!$B:$B,'[AQ_&amp;$B$1&amp;.xlsx]原始数据'!$G:$G,$B{r})</f>
        <v/>
      </c>
      <c r="D5" s="1">
        <f>IFERROR($C5/$F$1,"")</f>
        <v/>
      </c>
    </row>
    <row r="6">
      <c r="A6" t="n">
        <v>3</v>
      </c>
      <c r="B6" t="inlineStr">
        <is>
          <t>基建</t>
        </is>
      </c>
      <c r="C6">
        <f>SUMIFS('[AQ_&amp;$B$1&amp;.xlsx]原始数据'!$B:$B,'[AQ_&amp;$B$1&amp;.xlsx]原始数据'!$G:$G,$B{r})</f>
        <v/>
      </c>
      <c r="D6" s="1">
        <f>IFERROR($C6/$F$1,"")</f>
        <v/>
      </c>
    </row>
    <row r="7">
      <c r="A7" t="n">
        <v>4</v>
      </c>
      <c r="B7" t="inlineStr">
        <is>
          <t>房地产</t>
        </is>
      </c>
      <c r="C7">
        <f>SUMIFS('[AQ_&amp;$B$1&amp;.xlsx]原始数据'!$B:$B,'[AQ_&amp;$B$1&amp;.xlsx]原始数据'!$G:$G,$B{r})</f>
        <v/>
      </c>
      <c r="D7" s="1">
        <f>IFERROR($C7/$F$1,"")</f>
        <v/>
      </c>
    </row>
    <row r="8">
      <c r="A8" t="n">
        <v>5</v>
      </c>
      <c r="B8" t="inlineStr">
        <is>
          <t>TMT</t>
        </is>
      </c>
      <c r="C8">
        <f>SUMIFS('[AQ_&amp;$B$1&amp;.xlsx]原始数据'!$B:$B,'[AQ_&amp;$B$1&amp;.xlsx]原始数据'!$G:$G,$B{r})</f>
        <v/>
      </c>
      <c r="D8" s="1">
        <f>IFERROR($C8/$F$1,"")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  <c r="G1" t="inlineStr">
        <is>
          <t>行业</t>
        </is>
      </c>
      <c r="H1" t="inlineStr">
        <is>
          <t>地区</t>
        </is>
      </c>
      <c r="I1" t="inlineStr">
        <is>
          <t>产品</t>
        </is>
      </c>
      <c r="J1" t="inlineStr">
        <is>
          <t>客户类型</t>
        </is>
      </c>
      <c r="K1" t="inlineStr">
        <is>
          <t>风险分类</t>
        </is>
      </c>
      <c r="L1" t="inlineStr">
        <is>
          <t>上期分类</t>
        </is>
      </c>
      <c r="M1" t="inlineStr">
        <is>
          <t>IFRS9阶段</t>
        </is>
      </c>
      <c r="N1" t="inlineStr">
        <is>
          <t>担保方式</t>
        </is>
      </c>
      <c r="O1" t="inlineStr">
        <is>
          <t>抵押物类型</t>
        </is>
      </c>
      <c r="P1" t="inlineStr">
        <is>
          <t>抵押物可变现价值</t>
        </is>
      </c>
      <c r="Q1" t="inlineStr">
        <is>
          <t>拨备余额</t>
        </is>
      </c>
      <c r="R1" t="inlineStr">
        <is>
          <t>本期计提</t>
        </is>
      </c>
      <c r="S1" t="inlineStr">
        <is>
          <t>本期转回</t>
        </is>
      </c>
      <c r="T1" t="inlineStr">
        <is>
          <t>本期核销</t>
        </is>
      </c>
      <c r="U1" t="inlineStr">
        <is>
          <t>本期现金回收</t>
        </is>
      </c>
      <c r="V1" t="inlineStr">
        <is>
          <t>EAD</t>
        </is>
      </c>
      <c r="W1" t="inlineStr">
        <is>
          <t>PD</t>
        </is>
      </c>
      <c r="X1" t="inlineStr">
        <is>
          <t>LGD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2025-08-18T17:00:12Z</dcterms:created>
  <dcterms:modified xsi:type="dcterms:W3CDTF">2025-08-18T17:00:12Z</dcterms:modified>
</cp:coreProperties>
</file>