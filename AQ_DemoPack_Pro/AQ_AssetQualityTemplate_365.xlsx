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汇总" sheetId="2" state="visible" r:id="rId2"/>
    <sheet name="趋势" sheetId="3" state="visible" r:id="rId3"/>
    <sheet name="分层分析" sheetId="4" state="visible" r:id="rId4"/>
    <sheet name="迁徙矩阵" sheetId="5" state="visible" r:id="rId5"/>
    <sheet name="拨备与覆盖" sheetId="6" state="visible" r:id="rId6"/>
    <sheet name="回收与核销" sheetId="7" state="visible" r:id="rId7"/>
    <sheet name="不良桥" sheetId="8" state="visible" r:id="rId8"/>
    <sheet name="集中度" sheetId="9" state="visible" r:id="rId9"/>
    <sheet name="仪表盘" sheetId="10" state="visible" r:id="rId10"/>
    <sheet name="原始数据模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Excel 365增强版：使用XLOOKUP/UNIQUE/VSTACK/IFS/动态数组。</t>
        </is>
      </c>
    </row>
    <row r="2">
      <c r="A2" t="inlineStr">
        <is>
          <t>将本模板与 AQ_2020.xlsx…AQ_2024.xlsx 放同一文件夹，均含表‘原始数据’并按模板列。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n"/>
      <c r="B1" s="1" t="inlineStr">
        <is>
          <t>贷款总额</t>
        </is>
      </c>
      <c r="C1" s="1" t="n"/>
      <c r="D1" s="1" t="n"/>
      <c r="E1" s="1" t="n"/>
      <c r="F1" s="1" t="n"/>
      <c r="G1" s="1" t="inlineStr">
        <is>
          <t>逾期</t>
        </is>
      </c>
      <c r="H1" s="1" t="n"/>
      <c r="I1" s="1" t="n"/>
      <c r="J1" s="1" t="n"/>
      <c r="K1" s="1" t="n"/>
      <c r="L1" s="1" t="inlineStr">
        <is>
          <t>不良</t>
        </is>
      </c>
      <c r="M1" s="1" t="n"/>
      <c r="N1" s="1" t="n"/>
      <c r="O1" s="1" t="n"/>
      <c r="P1" s="1" t="n"/>
      <c r="Q1" s="1" t="inlineStr">
        <is>
          <t>关注</t>
        </is>
      </c>
      <c r="R1" s="1" t="n"/>
      <c r="S1" s="1" t="n"/>
      <c r="T1" s="1" t="n"/>
      <c r="U1" s="1" t="n"/>
      <c r="V1" s="1" t="inlineStr">
        <is>
          <t>新发生不良</t>
        </is>
      </c>
      <c r="W1" s="1" t="n"/>
      <c r="X1" s="1" t="n"/>
      <c r="Y1" s="1" t="n"/>
      <c r="Z1" s="1" t="n"/>
      <c r="AA1" s="1" t="inlineStr">
        <is>
          <t>逾期率</t>
        </is>
      </c>
      <c r="AB1" s="1" t="n"/>
      <c r="AC1" s="1" t="n"/>
      <c r="AD1" s="1" t="n"/>
      <c r="AE1" s="1" t="n"/>
      <c r="AF1" s="1" t="inlineStr">
        <is>
          <t>不良率</t>
        </is>
      </c>
      <c r="AG1" s="1" t="n"/>
      <c r="AH1" s="1" t="n"/>
      <c r="AI1" s="1" t="n"/>
      <c r="AJ1" s="1" t="n"/>
      <c r="AK1" s="1" t="inlineStr">
        <is>
          <t>关注率</t>
        </is>
      </c>
      <c r="AL1" s="1" t="n"/>
      <c r="AM1" s="1" t="n"/>
      <c r="AN1" s="1" t="n"/>
      <c r="AO1" s="1" t="n"/>
      <c r="AP1" s="1" t="inlineStr">
        <is>
          <t>覆盖率</t>
        </is>
      </c>
      <c r="AQ1" s="1" t="n"/>
      <c r="AR1" s="1" t="n"/>
      <c r="AS1" s="1" t="n"/>
      <c r="AT1" s="1" t="n"/>
    </row>
    <row r="2">
      <c r="A2" s="1" t="inlineStr">
        <is>
          <t>银行</t>
        </is>
      </c>
      <c r="B2" s="1" t="inlineStr">
        <is>
          <t>2020</t>
        </is>
      </c>
      <c r="C2" s="1" t="inlineStr">
        <is>
          <t>2021</t>
        </is>
      </c>
      <c r="D2" s="1" t="inlineStr">
        <is>
          <t>2022</t>
        </is>
      </c>
      <c r="E2" s="1" t="inlineStr">
        <is>
          <t>2023</t>
        </is>
      </c>
      <c r="F2" s="1" t="inlineStr">
        <is>
          <t>2024</t>
        </is>
      </c>
      <c r="G2" s="1" t="inlineStr">
        <is>
          <t>2020</t>
        </is>
      </c>
      <c r="H2" s="1" t="inlineStr">
        <is>
          <t>2021</t>
        </is>
      </c>
      <c r="I2" s="1" t="inlineStr">
        <is>
          <t>2022</t>
        </is>
      </c>
      <c r="J2" s="1" t="inlineStr">
        <is>
          <t>2023</t>
        </is>
      </c>
      <c r="K2" s="1" t="inlineStr">
        <is>
          <t>2024</t>
        </is>
      </c>
      <c r="L2" s="1" t="inlineStr">
        <is>
          <t>2020</t>
        </is>
      </c>
      <c r="M2" s="1" t="inlineStr">
        <is>
          <t>2021</t>
        </is>
      </c>
      <c r="N2" s="1" t="inlineStr">
        <is>
          <t>2022</t>
        </is>
      </c>
      <c r="O2" s="1" t="inlineStr">
        <is>
          <t>2023</t>
        </is>
      </c>
      <c r="P2" s="1" t="inlineStr">
        <is>
          <t>2024</t>
        </is>
      </c>
      <c r="Q2" s="1" t="inlineStr">
        <is>
          <t>2020</t>
        </is>
      </c>
      <c r="R2" s="1" t="inlineStr">
        <is>
          <t>2021</t>
        </is>
      </c>
      <c r="S2" s="1" t="inlineStr">
        <is>
          <t>2022</t>
        </is>
      </c>
      <c r="T2" s="1" t="inlineStr">
        <is>
          <t>2023</t>
        </is>
      </c>
      <c r="U2" s="1" t="inlineStr">
        <is>
          <t>2024</t>
        </is>
      </c>
      <c r="V2" s="1" t="inlineStr">
        <is>
          <t>2020</t>
        </is>
      </c>
      <c r="W2" s="1" t="inlineStr">
        <is>
          <t>2021</t>
        </is>
      </c>
      <c r="X2" s="1" t="inlineStr">
        <is>
          <t>2022</t>
        </is>
      </c>
      <c r="Y2" s="1" t="inlineStr">
        <is>
          <t>2023</t>
        </is>
      </c>
      <c r="Z2" s="1" t="inlineStr">
        <is>
          <t>2024</t>
        </is>
      </c>
      <c r="AA2" s="1" t="inlineStr">
        <is>
          <t>2020</t>
        </is>
      </c>
      <c r="AB2" s="1" t="inlineStr">
        <is>
          <t>2021</t>
        </is>
      </c>
      <c r="AC2" s="1" t="inlineStr">
        <is>
          <t>2022</t>
        </is>
      </c>
      <c r="AD2" s="1" t="inlineStr">
        <is>
          <t>2023</t>
        </is>
      </c>
      <c r="AE2" s="1" t="inlineStr">
        <is>
          <t>2024</t>
        </is>
      </c>
      <c r="AF2" s="1" t="inlineStr">
        <is>
          <t>2020</t>
        </is>
      </c>
      <c r="AG2" s="1" t="inlineStr">
        <is>
          <t>2021</t>
        </is>
      </c>
      <c r="AH2" s="1" t="inlineStr">
        <is>
          <t>2022</t>
        </is>
      </c>
      <c r="AI2" s="1" t="inlineStr">
        <is>
          <t>2023</t>
        </is>
      </c>
      <c r="AJ2" s="1" t="inlineStr">
        <is>
          <t>2024</t>
        </is>
      </c>
      <c r="AK2" s="1" t="inlineStr">
        <is>
          <t>2020</t>
        </is>
      </c>
      <c r="AL2" s="1" t="inlineStr">
        <is>
          <t>2021</t>
        </is>
      </c>
      <c r="AM2" s="1" t="inlineStr">
        <is>
          <t>2022</t>
        </is>
      </c>
      <c r="AN2" s="1" t="inlineStr">
        <is>
          <t>2023</t>
        </is>
      </c>
      <c r="AO2" s="1" t="inlineStr">
        <is>
          <t>2024</t>
        </is>
      </c>
      <c r="AP2" s="1" t="inlineStr">
        <is>
          <t>2020</t>
        </is>
      </c>
      <c r="AQ2" s="1" t="inlineStr">
        <is>
          <t>2021</t>
        </is>
      </c>
      <c r="AR2" s="1" t="inlineStr">
        <is>
          <t>2022</t>
        </is>
      </c>
      <c r="AS2" s="1" t="inlineStr">
        <is>
          <t>2023</t>
        </is>
      </c>
      <c r="AT2" s="1" t="inlineStr">
        <is>
          <t>2024</t>
        </is>
      </c>
    </row>
    <row r="3">
      <c r="A3">
        <f>SORT(UNIQUE(VSTACK('[AQ_2020.xlsx]原始数据'!A:A,'[AQ_2021.xlsx]原始数据'!A:A,'[AQ_2022.xlsx]原始数据'!A:A,'[AQ_2023.xlsx]原始数据'!A:A,'[AQ_2024.xlsx]原始数据'!A:A)))</f>
        <v/>
      </c>
      <c r="B3">
        <f>XLOOKUP($A3#,'[AQ_2020.xlsx]原始数据'!$A:$A,'[AQ_2020.xlsx]原始数据'!$B:$B,"")</f>
        <v/>
      </c>
      <c r="C3">
        <f>XLOOKUP($A3#,'[AQ_2021.xlsx]原始数据'!$A:$A,'[AQ_2021.xlsx]原始数据'!$B:$B,"")</f>
        <v/>
      </c>
      <c r="D3">
        <f>XLOOKUP($A3#,'[AQ_2022.xlsx]原始数据'!$A:$A,'[AQ_2022.xlsx]原始数据'!$B:$B,"")</f>
        <v/>
      </c>
      <c r="E3">
        <f>XLOOKUP($A3#,'[AQ_2023.xlsx]原始数据'!$A:$A,'[AQ_2023.xlsx]原始数据'!$B:$B,"")</f>
        <v/>
      </c>
      <c r="F3">
        <f>XLOOKUP($A3#,'[AQ_2024.xlsx]原始数据'!$A:$A,'[AQ_2024.xlsx]原始数据'!$B:$B,"")</f>
        <v/>
      </c>
      <c r="G3">
        <f>XLOOKUP($A3#,'[AQ_2020.xlsx]原始数据'!$A:$A,'[AQ_2020.xlsx]原始数据'!$C:$C,"")</f>
        <v/>
      </c>
      <c r="H3">
        <f>XLOOKUP($A3#,'[AQ_2021.xlsx]原始数据'!$A:$A,'[AQ_2021.xlsx]原始数据'!$C:$C,"")</f>
        <v/>
      </c>
      <c r="I3">
        <f>XLOOKUP($A3#,'[AQ_2022.xlsx]原始数据'!$A:$A,'[AQ_2022.xlsx]原始数据'!$C:$C,"")</f>
        <v/>
      </c>
      <c r="J3">
        <f>XLOOKUP($A3#,'[AQ_2023.xlsx]原始数据'!$A:$A,'[AQ_2023.xlsx]原始数据'!$C:$C,"")</f>
        <v/>
      </c>
      <c r="K3">
        <f>XLOOKUP($A3#,'[AQ_2024.xlsx]原始数据'!$A:$A,'[AQ_2024.xlsx]原始数据'!$C:$C,"")</f>
        <v/>
      </c>
      <c r="L3">
        <f>XLOOKUP($A3#,'[AQ_2020.xlsx]原始数据'!$A:$A,'[AQ_2020.xlsx]原始数据'!$D:$D,"")</f>
        <v/>
      </c>
      <c r="M3">
        <f>XLOOKUP($A3#,'[AQ_2021.xlsx]原始数据'!$A:$A,'[AQ_2021.xlsx]原始数据'!$D:$D,"")</f>
        <v/>
      </c>
      <c r="N3">
        <f>XLOOKUP($A3#,'[AQ_2022.xlsx]原始数据'!$A:$A,'[AQ_2022.xlsx]原始数据'!$D:$D,"")</f>
        <v/>
      </c>
      <c r="O3">
        <f>XLOOKUP($A3#,'[AQ_2023.xlsx]原始数据'!$A:$A,'[AQ_2023.xlsx]原始数据'!$D:$D,"")</f>
        <v/>
      </c>
      <c r="P3">
        <f>XLOOKUP($A3#,'[AQ_2024.xlsx]原始数据'!$A:$A,'[AQ_2024.xlsx]原始数据'!$D:$D,"")</f>
        <v/>
      </c>
      <c r="Q3">
        <f>XLOOKUP($A3#,'[AQ_2020.xlsx]原始数据'!$A:$A,'[AQ_2020.xlsx]原始数据'!$E:$E,"")</f>
        <v/>
      </c>
      <c r="R3">
        <f>XLOOKUP($A3#,'[AQ_2021.xlsx]原始数据'!$A:$A,'[AQ_2021.xlsx]原始数据'!$E:$E,"")</f>
        <v/>
      </c>
      <c r="S3">
        <f>XLOOKUP($A3#,'[AQ_2022.xlsx]原始数据'!$A:$A,'[AQ_2022.xlsx]原始数据'!$E:$E,"")</f>
        <v/>
      </c>
      <c r="T3">
        <f>XLOOKUP($A3#,'[AQ_2023.xlsx]原始数据'!$A:$A,'[AQ_2023.xlsx]原始数据'!$E:$E,"")</f>
        <v/>
      </c>
      <c r="U3">
        <f>XLOOKUP($A3#,'[AQ_2024.xlsx]原始数据'!$A:$A,'[AQ_2024.xlsx]原始数据'!$E:$E,"")</f>
        <v/>
      </c>
      <c r="V3">
        <f>XLOOKUP($A3#,'[AQ_2020.xlsx]原始数据'!$A:$A,'[AQ_2020.xlsx]原始数据'!$F:$F,"")</f>
        <v/>
      </c>
      <c r="W3">
        <f>XLOOKUP($A3#,'[AQ_2021.xlsx]原始数据'!$A:$A,'[AQ_2021.xlsx]原始数据'!$F:$F,"")</f>
        <v/>
      </c>
      <c r="X3">
        <f>XLOOKUP($A3#,'[AQ_2022.xlsx]原始数据'!$A:$A,'[AQ_2022.xlsx]原始数据'!$F:$F,"")</f>
        <v/>
      </c>
      <c r="Y3">
        <f>XLOOKUP($A3#,'[AQ_2023.xlsx]原始数据'!$A:$A,'[AQ_2023.xlsx]原始数据'!$F:$F,"")</f>
        <v/>
      </c>
      <c r="Z3">
        <f>XLOOKUP($A3#,'[AQ_2024.xlsx]原始数据'!$A:$A,'[AQ_2024.xlsx]原始数据'!$F:$F,"")</f>
        <v/>
      </c>
      <c r="AA3" s="2">
        <f>IFERROR(G3#/B3#,"")</f>
        <v/>
      </c>
      <c r="AB3" s="2">
        <f>IFERROR(H3#/C3#,"")</f>
        <v/>
      </c>
      <c r="AC3" s="2">
        <f>IFERROR(I3#/D3#,"")</f>
        <v/>
      </c>
      <c r="AD3" s="2">
        <f>IFERROR(J3#/E3#,"")</f>
        <v/>
      </c>
      <c r="AE3" s="2">
        <f>IFERROR(K3#/F3#,"")</f>
        <v/>
      </c>
      <c r="AF3" s="2">
        <f>IFERROR(L3#/B3#,"")</f>
        <v/>
      </c>
      <c r="AG3" s="2">
        <f>IFERROR(M3#/C3#,"")</f>
        <v/>
      </c>
      <c r="AH3" s="2">
        <f>IFERROR(N3#/D3#,"")</f>
        <v/>
      </c>
      <c r="AI3" s="2">
        <f>IFERROR(O3#/E3#,"")</f>
        <v/>
      </c>
      <c r="AJ3" s="2">
        <f>IFERROR(P3#/F3#,"")</f>
        <v/>
      </c>
      <c r="AK3" s="2">
        <f>IFERROR(Q3#/B3#,"")</f>
        <v/>
      </c>
      <c r="AL3" s="2">
        <f>IFERROR(R3#/C3#,"")</f>
        <v/>
      </c>
      <c r="AM3" s="2">
        <f>IFERROR(S3#/D3#,"")</f>
        <v/>
      </c>
      <c r="AN3" s="2">
        <f>IFERROR(T3#/E3#,"")</f>
        <v/>
      </c>
      <c r="AO3" s="2">
        <f>IFERROR(U3#/F3#,"")</f>
        <v/>
      </c>
      <c r="AP3" s="2">
        <f>IFERROR(XLOOKUP($A3#,'[AQ_2020.xlsx]原始数据'!$A:$A,'[AQ_2020.xlsx]原始数据'!$Q:$Q,"")/XLOOKUP($A3#,'[AQ_2020.xlsx]原始数据'!$A:$A,'[AQ_2020.xlsx]原始数据'!$D:$D,""),"")</f>
        <v/>
      </c>
      <c r="AQ3" s="2">
        <f>IFERROR(XLOOKUP($A3#,'[AQ_2021.xlsx]原始数据'!$A:$A,'[AQ_2021.xlsx]原始数据'!$Q:$Q,"")/XLOOKUP($A3#,'[AQ_2021.xlsx]原始数据'!$A:$A,'[AQ_2021.xlsx]原始数据'!$D:$D,""),"")</f>
        <v/>
      </c>
      <c r="AR3" s="2">
        <f>IFERROR(XLOOKUP($A3#,'[AQ_2022.xlsx]原始数据'!$A:$A,'[AQ_2022.xlsx]原始数据'!$Q:$Q,"")/XLOOKUP($A3#,'[AQ_2022.xlsx]原始数据'!$A:$A,'[AQ_2022.xlsx]原始数据'!$D:$D,""),"")</f>
        <v/>
      </c>
      <c r="AS3" s="2">
        <f>IFERROR(XLOOKUP($A3#,'[AQ_2023.xlsx]原始数据'!$A:$A,'[AQ_2023.xlsx]原始数据'!$Q:$Q,"")/XLOOKUP($A3#,'[AQ_2023.xlsx]原始数据'!$A:$A,'[AQ_2023.xlsx]原始数据'!$D:$D,""),"")</f>
        <v/>
      </c>
      <c r="AT3" s="2">
        <f>IFERROR(XLOOKUP($A3#,'[AQ_2024.xlsx]原始数据'!$A:$A,'[AQ_2024.xlsx]原始数据'!$Q:$Q,"")/XLOOKUP($A3#,'[AQ_2024.xlsx]原始数据'!$A:$A,'[AQ_2024.xlsx]原始数据'!$D:$D,""),"")</f>
        <v/>
      </c>
    </row>
  </sheetData>
  <mergeCells count="9">
    <mergeCell ref="V1:Z1"/>
    <mergeCell ref="Q1:U1"/>
    <mergeCell ref="AF1:AJ1"/>
    <mergeCell ref="L1:P1"/>
    <mergeCell ref="AA1:AE1"/>
    <mergeCell ref="G1:K1"/>
    <mergeCell ref="AK1:AO1"/>
    <mergeCell ref="B1:F1"/>
    <mergeCell ref="AP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指标/年份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贷款总额-合计</t>
        </is>
      </c>
      <c r="B2">
        <f>SUM('汇总'!B3#)</f>
        <v/>
      </c>
      <c r="C2">
        <f>SUM('汇总'!C3#)</f>
        <v/>
      </c>
      <c r="D2">
        <f>SUM('汇总'!D3#)</f>
        <v/>
      </c>
      <c r="E2">
        <f>SUM('汇总'!E3#)</f>
        <v/>
      </c>
      <c r="F2">
        <f>SUM('汇总'!F3#)</f>
        <v/>
      </c>
    </row>
    <row r="3">
      <c r="A3" t="inlineStr">
        <is>
          <t>逾期-合计</t>
        </is>
      </c>
      <c r="B3">
        <f>SUM('汇总'!G3#)</f>
        <v/>
      </c>
      <c r="C3">
        <f>SUM('汇总'!H3#)</f>
        <v/>
      </c>
      <c r="D3">
        <f>SUM('汇总'!I3#)</f>
        <v/>
      </c>
      <c r="E3">
        <f>SUM('汇总'!J3#)</f>
        <v/>
      </c>
      <c r="F3">
        <f>SUM('汇总'!K3#)</f>
        <v/>
      </c>
    </row>
    <row r="4">
      <c r="A4" t="inlineStr">
        <is>
          <t>不良-合计</t>
        </is>
      </c>
      <c r="B4">
        <f>SUM('汇总'!L3#)</f>
        <v/>
      </c>
      <c r="C4">
        <f>SUM('汇总'!M3#)</f>
        <v/>
      </c>
      <c r="D4">
        <f>SUM('汇总'!N3#)</f>
        <v/>
      </c>
      <c r="E4">
        <f>SUM('汇总'!O3#)</f>
        <v/>
      </c>
      <c r="F4">
        <f>SUM('汇总'!P3#)</f>
        <v/>
      </c>
    </row>
    <row r="5">
      <c r="A5" t="inlineStr">
        <is>
          <t>关注-合计</t>
        </is>
      </c>
      <c r="B5">
        <f>SUM('汇总'!Q3#)</f>
        <v/>
      </c>
      <c r="C5">
        <f>SUM('汇总'!R3#)</f>
        <v/>
      </c>
      <c r="D5">
        <f>SUM('汇总'!S3#)</f>
        <v/>
      </c>
      <c r="E5">
        <f>SUM('汇总'!T3#)</f>
        <v/>
      </c>
      <c r="F5">
        <f>SUM('汇总'!U3#)</f>
        <v/>
      </c>
    </row>
    <row r="6">
      <c r="A6" t="inlineStr">
        <is>
          <t>新发生不良-合计</t>
        </is>
      </c>
      <c r="B6">
        <f>SUM('汇总'!V3#)</f>
        <v/>
      </c>
      <c r="C6">
        <f>SUM('汇总'!W3#)</f>
        <v/>
      </c>
      <c r="D6">
        <f>SUM('汇总'!X3#)</f>
        <v/>
      </c>
      <c r="E6">
        <f>SUM('汇总'!Y3#)</f>
        <v/>
      </c>
      <c r="F6">
        <f>SUM('汇总'!Z3#)</f>
        <v/>
      </c>
    </row>
    <row r="7">
      <c r="A7" t="inlineStr">
        <is>
          <t>覆盖率-合计</t>
        </is>
      </c>
      <c r="B7" s="2">
        <f>IFERROR(SUM(XLOOKUP($A3#,'[AQ_2020.xlsx]原始数据'!$A:$A,'[AQ_2020.xlsx]原始数据'!$Q:$Q))/SUM(XLOOKUP($A3#,'[AQ_2020.xlsx]原始数据'!$A:$A,'[AQ_2020.xlsx]原始数据'!$D:$D)),"")</f>
        <v/>
      </c>
      <c r="C7" s="2">
        <f>IFERROR(SUM(XLOOKUP($A3#,'[AQ_2021.xlsx]原始数据'!$A:$A,'[AQ_2021.xlsx]原始数据'!$Q:$Q))/SUM(XLOOKUP($A3#,'[AQ_2021.xlsx]原始数据'!$A:$A,'[AQ_2021.xlsx]原始数据'!$D:$D)),"")</f>
        <v/>
      </c>
      <c r="D7" s="2">
        <f>IFERROR(SUM(XLOOKUP($A3#,'[AQ_2022.xlsx]原始数据'!$A:$A,'[AQ_2022.xlsx]原始数据'!$Q:$Q))/SUM(XLOOKUP($A3#,'[AQ_2022.xlsx]原始数据'!$A:$A,'[AQ_2022.xlsx]原始数据'!$D:$D)),"")</f>
        <v/>
      </c>
      <c r="E7" s="2">
        <f>IFERROR(SUM(XLOOKUP($A3#,'[AQ_2023.xlsx]原始数据'!$A:$A,'[AQ_2023.xlsx]原始数据'!$Q:$Q))/SUM(XLOOKUP($A3#,'[AQ_2023.xlsx]原始数据'!$A:$A,'[AQ_2023.xlsx]原始数据'!$D:$D)),"")</f>
        <v/>
      </c>
      <c r="F7" s="2">
        <f>IFERROR(SUM(XLOOKUP($A3#,'[AQ_2024.xlsx]原始数据'!$A:$A,'[AQ_2024.xlsx]原始数据'!$Q:$Q))/SUM(XLOOKUP($A3#,'[AQ_2024.xlsx]原始数据'!$A:$A,'[AQ_2024.xlsx]原始数据'!$D:$D)),"")</f>
        <v/>
      </c>
    </row>
    <row r="8">
      <c r="A8" t="inlineStr">
        <is>
          <t>逾期率-合计</t>
        </is>
      </c>
      <c r="B8" s="2">
        <f>IFERROR(SUM('汇总'!G3#)/SUM('汇总'!B3#),"")</f>
        <v/>
      </c>
      <c r="C8" s="2">
        <f>IFERROR(SUM('汇总'!H3#)/SUM('汇总'!C3#),"")</f>
        <v/>
      </c>
      <c r="D8" s="2">
        <f>IFERROR(SUM('汇总'!I3#)/SUM('汇总'!D3#),"")</f>
        <v/>
      </c>
      <c r="E8" s="2">
        <f>IFERROR(SUM('汇总'!J3#)/SUM('汇总'!E3#),"")</f>
        <v/>
      </c>
      <c r="F8" s="2">
        <f>IFERROR(SUM('汇总'!K3#)/SUM('汇总'!F3#),"")</f>
        <v/>
      </c>
    </row>
    <row r="9">
      <c r="A9" t="inlineStr">
        <is>
          <t>不良率-合计</t>
        </is>
      </c>
      <c r="B9" s="2">
        <f>IFERROR(SUM('汇总'!L3#)/SUM('汇总'!B3#),"")</f>
        <v/>
      </c>
      <c r="C9" s="2">
        <f>IFERROR(SUM('汇总'!M3#)/SUM('汇总'!C3#),"")</f>
        <v/>
      </c>
      <c r="D9" s="2">
        <f>IFERROR(SUM('汇总'!N3#)/SUM('汇总'!D3#),"")</f>
        <v/>
      </c>
      <c r="E9" s="2">
        <f>IFERROR(SUM('汇总'!O3#)/SUM('汇总'!E3#),"")</f>
        <v/>
      </c>
      <c r="F9" s="2">
        <f>IFERROR(SUM('汇总'!P3#)/SUM('汇总'!F3#),"")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年份</t>
        </is>
      </c>
      <c r="B1" t="n">
        <v>2024</v>
      </c>
      <c r="D1" t="inlineStr">
        <is>
          <t>度量</t>
        </is>
      </c>
      <c r="E1" t="inlineStr">
        <is>
          <t>不良</t>
        </is>
      </c>
    </row>
    <row r="2">
      <c r="A2" t="inlineStr">
        <is>
          <t>维度</t>
        </is>
      </c>
      <c r="B2" t="inlineStr">
        <is>
          <t>行业</t>
        </is>
      </c>
    </row>
    <row r="4">
      <c r="A4" t="inlineStr">
        <is>
          <t>维度值</t>
        </is>
      </c>
      <c r="B4" t="inlineStr">
        <is>
          <t>度量合计</t>
        </is>
      </c>
    </row>
    <row r="5">
      <c r="A5">
        <f>SORT(UNIQUE(IFS($B$2="行业",'[AQ_&amp;$B$1&amp;.xlsx]原始数据'!{v}:{v},$B$2="地区",'[AQ_&amp;$B$1&amp;.xlsx]原始数据'!{v}:{v},$B$2="产品",'[AQ_&amp;$B$1&amp;.xlsx]原始数据'!{v}:{v},$B$2="客户类型",'[AQ_&amp;$B$1&amp;.xlsx]原始数据'!{v}:{v},$B$2="风险分类",'[AQ_&amp;$B$1&amp;.xlsx]原始数据'!{v}:{v},$B$2="IFRS9阶段",'[AQ_&amp;$B$1&amp;.xlsx]原始数据'!{v}:{v},$B$2="担保方式",'[AQ_&amp;$B$1&amp;.xlsx]原始数据'!{v}:{v},$B$2="银行",'[AQ_&amp;$B$1&amp;.xlsx]原始数据'!{v}:{v})))</f>
        <v/>
      </c>
      <c r="B5">
        <f>SUMIF(IFS($B$2="行业",'[AQ_&amp;$B$1&amp;.xlsx]原始数据'!{v}:{v},$B$2="地区",'[AQ_&amp;$B$1&amp;.xlsx]原始数据'!{v}:{v},$B$2="产品",'[AQ_&amp;$B$1&amp;.xlsx]原始数据'!{v}:{v},$B$2="客户类型",'[AQ_&amp;$B$1&amp;.xlsx]原始数据'!{v}:{v},$B$2="风险分类",'[AQ_&amp;$B$1&amp;.xlsx]原始数据'!{v}:{v},$B$2="IFRS9阶段",'[AQ_&amp;$B$1&amp;.xlsx]原始数据'!{v}:{v},$B$2="担保方式",'[AQ_&amp;$B$1&amp;.xlsx]原始数据'!{v}:{v},$B$2="银行",'[AQ_&amp;$B$1&amp;.xlsx]原始数据'!{v}:{v}),$A5# ,IFS($E$1="贷款总额",'[AQ_&amp;$B$1&amp;.xlsx]原始数据'!{v}:{v},$E$1="逾期",'[AQ_&amp;$B$1&amp;.xlsx]原始数据'!{v}:{v},$E$1="不良",'[AQ_&amp;$B$1&amp;.xlsx]原始数据'!{v}:{v},$E$1="关注",'[AQ_&amp;$B$1&amp;.xlsx]原始数据'!{v}:{v},$E$1="新发生不良",'[AQ_&amp;$B$1&amp;.xlsx]原始数据'!{v}:{v},$E$1="拨备余额",'[AQ_&amp;$B$1&amp;.xlsx]原始数据'!{v}:{v},$E$1="本期现金回收",'[AQ_&amp;$B$1&amp;.xlsx]原始数据'!{v}:{v},$E$1="本期核销",'[AQ_&amp;$B$1&amp;.xlsx]原始数据'!{v}:{v}))</f>
        <v/>
      </c>
    </row>
  </sheetData>
  <dataValidations count="3">
    <dataValidation sqref="B2" showDropDown="0" showInputMessage="0" showErrorMessage="0" allowBlank="0" type="list">
      <formula1>"行业,地区,产品,客户类型,风险分类,IFRS9阶段,担保方式,银行"</formula1>
    </dataValidation>
    <dataValidation sqref="E1" showDropDown="0" showInputMessage="0" showErrorMessage="0" allowBlank="0" type="list">
      <formula1>"贷款总额,逾期,不良,关注,新发生不良,拨备余额,本期现金回收,本期核销"</formula1>
    </dataValidation>
    <dataValidation sqref="B1" showDropDown="0" showInputMessage="0" showErrorMessage="0" allowBlank="0" type="list">
      <formula1>"2020,2021,2022,2023,2024"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上期/本期</t>
        </is>
      </c>
      <c r="B1" t="inlineStr">
        <is>
          <t>正常</t>
        </is>
      </c>
      <c r="C1" t="inlineStr">
        <is>
          <t>关注</t>
        </is>
      </c>
      <c r="D1" t="inlineStr">
        <is>
          <t>次级</t>
        </is>
      </c>
      <c r="E1" t="inlineStr">
        <is>
          <t>可疑</t>
        </is>
      </c>
      <c r="F1" t="inlineStr">
        <is>
          <t>损失</t>
        </is>
      </c>
    </row>
    <row r="2">
      <c r="A2" t="inlineStr">
        <is>
          <t>正常</t>
        </is>
      </c>
      <c r="B2">
        <f>SUMIFS('[AQ_2024.xlsx]原始数据'!$D:$D,'[AQ_2024.xlsx]原始数据'!$L:$L,$A2,'[AQ_2024.xlsx]原始数据'!$K:$K,B$1)</f>
        <v/>
      </c>
      <c r="C2">
        <f>SUMIFS('[AQ_2024.xlsx]原始数据'!$D:$D,'[AQ_2024.xlsx]原始数据'!$L:$L,$A2,'[AQ_2024.xlsx]原始数据'!$K:$K,C$1)</f>
        <v/>
      </c>
      <c r="D2">
        <f>SUMIFS('[AQ_2024.xlsx]原始数据'!$D:$D,'[AQ_2024.xlsx]原始数据'!$L:$L,$A2,'[AQ_2024.xlsx]原始数据'!$K:$K,D$1)</f>
        <v/>
      </c>
      <c r="E2">
        <f>SUMIFS('[AQ_2024.xlsx]原始数据'!$D:$D,'[AQ_2024.xlsx]原始数据'!$L:$L,$A2,'[AQ_2024.xlsx]原始数据'!$K:$K,E$1)</f>
        <v/>
      </c>
      <c r="F2">
        <f>SUMIFS('[AQ_2024.xlsx]原始数据'!$D:$D,'[AQ_2024.xlsx]原始数据'!$L:$L,$A2,'[AQ_2024.xlsx]原始数据'!$K:$K,F$1)</f>
        <v/>
      </c>
    </row>
    <row r="3">
      <c r="A3" t="inlineStr">
        <is>
          <t>关注</t>
        </is>
      </c>
      <c r="B3">
        <f>SUMIFS('[AQ_2024.xlsx]原始数据'!$D:$D,'[AQ_2024.xlsx]原始数据'!$L:$L,$A3,'[AQ_2024.xlsx]原始数据'!$K:$K,B$1)</f>
        <v/>
      </c>
      <c r="C3">
        <f>SUMIFS('[AQ_2024.xlsx]原始数据'!$D:$D,'[AQ_2024.xlsx]原始数据'!$L:$L,$A3,'[AQ_2024.xlsx]原始数据'!$K:$K,C$1)</f>
        <v/>
      </c>
      <c r="D3">
        <f>SUMIFS('[AQ_2024.xlsx]原始数据'!$D:$D,'[AQ_2024.xlsx]原始数据'!$L:$L,$A3,'[AQ_2024.xlsx]原始数据'!$K:$K,D$1)</f>
        <v/>
      </c>
      <c r="E3">
        <f>SUMIFS('[AQ_2024.xlsx]原始数据'!$D:$D,'[AQ_2024.xlsx]原始数据'!$L:$L,$A3,'[AQ_2024.xlsx]原始数据'!$K:$K,E$1)</f>
        <v/>
      </c>
      <c r="F3">
        <f>SUMIFS('[AQ_2024.xlsx]原始数据'!$D:$D,'[AQ_2024.xlsx]原始数据'!$L:$L,$A3,'[AQ_2024.xlsx]原始数据'!$K:$K,F$1)</f>
        <v/>
      </c>
    </row>
    <row r="4">
      <c r="A4" t="inlineStr">
        <is>
          <t>次级</t>
        </is>
      </c>
      <c r="B4">
        <f>SUMIFS('[AQ_2024.xlsx]原始数据'!$D:$D,'[AQ_2024.xlsx]原始数据'!$L:$L,$A4,'[AQ_2024.xlsx]原始数据'!$K:$K,B$1)</f>
        <v/>
      </c>
      <c r="C4">
        <f>SUMIFS('[AQ_2024.xlsx]原始数据'!$D:$D,'[AQ_2024.xlsx]原始数据'!$L:$L,$A4,'[AQ_2024.xlsx]原始数据'!$K:$K,C$1)</f>
        <v/>
      </c>
      <c r="D4">
        <f>SUMIFS('[AQ_2024.xlsx]原始数据'!$D:$D,'[AQ_2024.xlsx]原始数据'!$L:$L,$A4,'[AQ_2024.xlsx]原始数据'!$K:$K,D$1)</f>
        <v/>
      </c>
      <c r="E4">
        <f>SUMIFS('[AQ_2024.xlsx]原始数据'!$D:$D,'[AQ_2024.xlsx]原始数据'!$L:$L,$A4,'[AQ_2024.xlsx]原始数据'!$K:$K,E$1)</f>
        <v/>
      </c>
      <c r="F4">
        <f>SUMIFS('[AQ_2024.xlsx]原始数据'!$D:$D,'[AQ_2024.xlsx]原始数据'!$L:$L,$A4,'[AQ_2024.xlsx]原始数据'!$K:$K,F$1)</f>
        <v/>
      </c>
    </row>
    <row r="5">
      <c r="A5" t="inlineStr">
        <is>
          <t>可疑</t>
        </is>
      </c>
      <c r="B5">
        <f>SUMIFS('[AQ_2024.xlsx]原始数据'!$D:$D,'[AQ_2024.xlsx]原始数据'!$L:$L,$A5,'[AQ_2024.xlsx]原始数据'!$K:$K,B$1)</f>
        <v/>
      </c>
      <c r="C5">
        <f>SUMIFS('[AQ_2024.xlsx]原始数据'!$D:$D,'[AQ_2024.xlsx]原始数据'!$L:$L,$A5,'[AQ_2024.xlsx]原始数据'!$K:$K,C$1)</f>
        <v/>
      </c>
      <c r="D5">
        <f>SUMIFS('[AQ_2024.xlsx]原始数据'!$D:$D,'[AQ_2024.xlsx]原始数据'!$L:$L,$A5,'[AQ_2024.xlsx]原始数据'!$K:$K,D$1)</f>
        <v/>
      </c>
      <c r="E5">
        <f>SUMIFS('[AQ_2024.xlsx]原始数据'!$D:$D,'[AQ_2024.xlsx]原始数据'!$L:$L,$A5,'[AQ_2024.xlsx]原始数据'!$K:$K,E$1)</f>
        <v/>
      </c>
      <c r="F5">
        <f>SUMIFS('[AQ_2024.xlsx]原始数据'!$D:$D,'[AQ_2024.xlsx]原始数据'!$L:$L,$A5,'[AQ_2024.xlsx]原始数据'!$K:$K,F$1)</f>
        <v/>
      </c>
    </row>
    <row r="6">
      <c r="A6" t="inlineStr">
        <is>
          <t>损失</t>
        </is>
      </c>
      <c r="B6">
        <f>SUMIFS('[AQ_2024.xlsx]原始数据'!$D:$D,'[AQ_2024.xlsx]原始数据'!$L:$L,$A6,'[AQ_2024.xlsx]原始数据'!$K:$K,B$1)</f>
        <v/>
      </c>
      <c r="C6">
        <f>SUMIFS('[AQ_2024.xlsx]原始数据'!$D:$D,'[AQ_2024.xlsx]原始数据'!$L:$L,$A6,'[AQ_2024.xlsx]原始数据'!$K:$K,C$1)</f>
        <v/>
      </c>
      <c r="D6">
        <f>SUMIFS('[AQ_2024.xlsx]原始数据'!$D:$D,'[AQ_2024.xlsx]原始数据'!$L:$L,$A6,'[AQ_2024.xlsx]原始数据'!$K:$K,D$1)</f>
        <v/>
      </c>
      <c r="E6">
        <f>SUMIFS('[AQ_2024.xlsx]原始数据'!$D:$D,'[AQ_2024.xlsx]原始数据'!$L:$L,$A6,'[AQ_2024.xlsx]原始数据'!$K:$K,E$1)</f>
        <v/>
      </c>
      <c r="F6">
        <f>SUMIFS('[AQ_2024.xlsx]原始数据'!$D:$D,'[AQ_2024.xlsx]原始数据'!$L:$L,$A6,'[AQ_2024.xlsx]原始数据'!$K:$K,F$1)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3">
      <c r="A3" t="inlineStr">
        <is>
          <t>不良余额</t>
        </is>
      </c>
      <c r="B3">
        <f>SUM('[AQ_&amp;B1&amp;.xlsx]原始数据'!$D:$D)</f>
        <v/>
      </c>
    </row>
    <row r="4">
      <c r="A4" t="inlineStr">
        <is>
          <t>拨备余额</t>
        </is>
      </c>
      <c r="B4">
        <f>SUM('[AQ_&amp;B1&amp;.xlsx]原始数据'!$Q:$Q)</f>
        <v/>
      </c>
    </row>
    <row r="5">
      <c r="A5" t="inlineStr">
        <is>
          <t>覆盖率</t>
        </is>
      </c>
      <c r="B5" s="2">
        <f>IFERROR(B4/B3,"")</f>
        <v/>
      </c>
    </row>
    <row r="6">
      <c r="A6" t="inlineStr">
        <is>
          <t>成本率(CoR)</t>
        </is>
      </c>
      <c r="B6">
        <f>IFERROR((SUM('[AQ_&amp;B1&amp;.xlsx]原始数据'!$R:$R)-SUM('[AQ_&amp;B1&amp;.xlsx]原始数据'!$S:$S))/AVERAGE(SUM('[AQ_&amp;B1&amp;.xlsx]原始数据'!$B:$B),SUM('[AQ_&amp;B1&amp;.xlsx]原始数据'!$B:$B)),"")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3">
      <c r="A3" t="inlineStr">
        <is>
          <t>核销额</t>
        </is>
      </c>
      <c r="B3">
        <f>SUM('[AQ_&amp;B1&amp;.xlsx]原始数据'!$T:$T)</f>
        <v/>
      </c>
    </row>
    <row r="4">
      <c r="A4" t="inlineStr">
        <is>
          <t>现金回收</t>
        </is>
      </c>
      <c r="B4">
        <f>SUM('[AQ_&amp;B1&amp;.xlsx]原始数据'!$U:$U)</f>
        <v/>
      </c>
    </row>
    <row r="5">
      <c r="A5" t="inlineStr">
        <is>
          <t>核销率</t>
        </is>
      </c>
      <c r="B5" s="2">
        <f>IFERROR(B3/SUM('[AQ_&amp;B1&amp;.xlsx]原始数据'!$D:$D),"")</f>
        <v/>
      </c>
    </row>
    <row r="6">
      <c r="A6" t="inlineStr">
        <is>
          <t>回收率</t>
        </is>
      </c>
      <c r="B6" s="2">
        <f>IFERROR(B4/(SUM('[AQ_&amp;B1&amp;.xlsx]原始数据'!$D:$D)+SUM('[AQ_&amp;B1&amp;.xlsx]原始数据'!$F:$F)),"")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n">
        <v>2024</v>
      </c>
    </row>
    <row r="3">
      <c r="A3" t="inlineStr">
        <is>
          <t>期初不良</t>
        </is>
      </c>
      <c r="B3">
        <f>SUM('[AQ_&amp;B1&amp;.xlsx]原始数据'!$D:$D)-SUM('[AQ_&amp;B1-1&amp;.xlsx]原始数据'!$F:$F)</f>
        <v/>
      </c>
    </row>
    <row r="4">
      <c r="A4" t="inlineStr">
        <is>
          <t>+新发生不良</t>
        </is>
      </c>
      <c r="B4">
        <f>SUM('[AQ_&amp;B1&amp;.xlsx]原始数据'!$F:$F)</f>
        <v/>
      </c>
    </row>
    <row r="5">
      <c r="A5" t="inlineStr">
        <is>
          <t>+关注下迁</t>
        </is>
      </c>
      <c r="B5">
        <f>SUMIFS('[AQ_&amp;B1&amp;.xlsx]原始数据'!$D:$D,'[AQ_&amp;B1&amp;.xlsx]原始数据'!$L:$L,"关注",'[AQ_&amp;B1&amp;.xlsx]原始数据'!$K:$K,"不良")</f>
        <v/>
      </c>
    </row>
    <row r="6">
      <c r="A6" t="inlineStr">
        <is>
          <t>-上迁治愈</t>
        </is>
      </c>
      <c r="B6">
        <f>SUMIFS('[AQ_&amp;B1&amp;.xlsx]原始数据'!$D:$D,'[AQ_&amp;B1&amp;.xlsx]原始数据'!$L:$L,"不良",'[AQ_&amp;B1&amp;.xlsx]原始数据'!$K:$K,"正常")</f>
        <v/>
      </c>
    </row>
    <row r="7">
      <c r="A7" t="inlineStr">
        <is>
          <t>-核销</t>
        </is>
      </c>
      <c r="B7">
        <f>-SUM('[AQ_&amp;B1&amp;.xlsx]原始数据'!$T:$T)</f>
        <v/>
      </c>
    </row>
    <row r="8">
      <c r="A8" t="inlineStr">
        <is>
          <t>-现金回收</t>
        </is>
      </c>
      <c r="B8">
        <f>-SUM('[AQ_&amp;B1&amp;.xlsx]原始数据'!$U:$U)</f>
        <v/>
      </c>
    </row>
    <row r="9">
      <c r="A9">
        <f>期末不良</f>
        <v/>
      </c>
      <c r="B9">
        <f>SUM('[AQ_&amp;B1&amp;.xlsx]原始数据'!$D:$D)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</cols>
  <sheetData>
    <row r="1">
      <c r="A1" t="inlineStr">
        <is>
          <t>年份</t>
        </is>
      </c>
      <c r="B1" t="n">
        <v>2024</v>
      </c>
    </row>
    <row r="3">
      <c r="A3" t="inlineStr">
        <is>
          <t>维度</t>
        </is>
      </c>
      <c r="B3" t="inlineStr">
        <is>
          <t>行业</t>
        </is>
      </c>
      <c r="D3" t="inlineStr">
        <is>
          <t>度量</t>
        </is>
      </c>
      <c r="E3" t="inlineStr">
        <is>
          <t>贷款总额</t>
        </is>
      </c>
    </row>
    <row r="4">
      <c r="A4" t="inlineStr">
        <is>
          <t>总额</t>
        </is>
      </c>
      <c r="B4">
        <f>SUM(IFS($E$3="贷款总额",'[AQ_&amp;$B$1&amp;.xlsx]原始数据'!$B:$B,$E$3="不良",'[AQ_&amp;$B$1&amp;.xlsx]原始数据'!$D:$D))</f>
        <v/>
      </c>
    </row>
    <row r="5">
      <c r="A5" t="inlineStr">
        <is>
          <t>排名</t>
        </is>
      </c>
      <c r="B5" t="inlineStr">
        <is>
          <t>名称</t>
        </is>
      </c>
      <c r="C5" t="inlineStr">
        <is>
          <t>占比</t>
        </is>
      </c>
      <c r="D5" t="inlineStr">
        <is>
          <t>金额</t>
        </is>
      </c>
    </row>
    <row r="6">
      <c r="A6" t="n">
        <v>1</v>
      </c>
      <c r="B6" t="inlineStr">
        <is>
          <t>制造业</t>
        </is>
      </c>
      <c r="C6" s="2">
        <f>IFERROR($D6/$B$4,"")</f>
        <v/>
      </c>
      <c r="D6">
        <f>SUMIFS('[AQ_&amp;$B$1&amp;.xlsx]原始数据'!$B:$B,'[AQ_&amp;$B$1&amp;.xlsx]原始数据'!$G:$G,$B{row})</f>
        <v/>
      </c>
    </row>
    <row r="7">
      <c r="A7" t="n">
        <v>2</v>
      </c>
      <c r="B7" t="inlineStr">
        <is>
          <t>批发零售</t>
        </is>
      </c>
      <c r="C7" s="2">
        <f>IFERROR($D7/$B$4,"")</f>
        <v/>
      </c>
      <c r="D7">
        <f>SUMIFS('[AQ_&amp;$B$1&amp;.xlsx]原始数据'!$B:$B,'[AQ_&amp;$B$1&amp;.xlsx]原始数据'!$G:$G,$B{row})</f>
        <v/>
      </c>
    </row>
    <row r="8">
      <c r="A8" t="n">
        <v>3</v>
      </c>
      <c r="B8" t="inlineStr">
        <is>
          <t>基建</t>
        </is>
      </c>
      <c r="C8" s="2">
        <f>IFERROR($D8/$B$4,"")</f>
        <v/>
      </c>
      <c r="D8">
        <f>SUMIFS('[AQ_&amp;$B$1&amp;.xlsx]原始数据'!$B:$B,'[AQ_&amp;$B$1&amp;.xlsx]原始数据'!$G:$G,$B{row})</f>
        <v/>
      </c>
    </row>
    <row r="9">
      <c r="A9" t="n">
        <v>4</v>
      </c>
      <c r="B9" t="inlineStr">
        <is>
          <t>房地产</t>
        </is>
      </c>
      <c r="C9" s="2">
        <f>IFERROR($D9/$B$4,"")</f>
        <v/>
      </c>
      <c r="D9">
        <f>SUMIFS('[AQ_&amp;$B$1&amp;.xlsx]原始数据'!$B:$B,'[AQ_&amp;$B$1&amp;.xlsx]原始数据'!$G:$G,$B{row})</f>
        <v/>
      </c>
    </row>
    <row r="10">
      <c r="A10" t="n">
        <v>5</v>
      </c>
      <c r="B10" t="inlineStr">
        <is>
          <t>TMT</t>
        </is>
      </c>
      <c r="C10" s="2">
        <f>IFERROR($D10/$B$4,"")</f>
        <v/>
      </c>
      <c r="D10">
        <f>SUMIFS('[AQ_&amp;$B$1&amp;.xlsx]原始数据'!$B:$B,'[AQ_&amp;$B$1&amp;.xlsx]原始数据'!$G:$G,$B{row})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仪表盘-关键指标</t>
        </is>
      </c>
    </row>
    <row r="3">
      <c r="A3" t="inlineStr">
        <is>
          <t>不良率(当年)</t>
        </is>
      </c>
      <c r="B3">
        <f>IFERROR(INDEX(趋势!B:B, MATCH("不良率-合计",趋势!A:A,0)),"")</f>
        <v/>
      </c>
    </row>
    <row r="4">
      <c r="A4" t="inlineStr">
        <is>
          <t>覆盖率(当年)</t>
        </is>
      </c>
      <c r="B4" s="2">
        <f>IFERROR(INDEX(趋势!B:B, MATCH("覆盖率-合计",趋势!A:A,0)),"")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