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汇总_兼容版" sheetId="2" state="visible" r:id="rId2"/>
    <sheet name="趋势_兼容版" sheetId="3" state="visible" r:id="rId3"/>
    <sheet name="辅助" sheetId="4" state="visible" r:id="rId4"/>
    <sheet name="原始数据模板"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F2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资产质量率指标趋势（兼容版）</a:t>
            </a:r>
          </a:p>
        </rich>
      </tx>
    </title>
    <plotArea>
      <lineChart>
        <grouping val="standard"/>
        <ser>
          <idx val="0"/>
          <order val="0"/>
          <tx>
            <strRef>
              <f>'趋势_兼容版'!A7</f>
            </strRef>
          </tx>
          <spPr>
            <a:ln>
              <a:prstDash val="solid"/>
            </a:ln>
          </spPr>
          <marker>
            <symbol val="none"/>
            <spPr>
              <a:ln>
                <a:prstDash val="solid"/>
              </a:ln>
            </spPr>
          </marker>
          <cat>
            <numRef>
              <f>'趋势_兼容版'!$B$1:$F$1</f>
            </numRef>
          </cat>
          <val>
            <numRef>
              <f>'趋势_兼容版'!$B$7:$F$7</f>
            </numRef>
          </val>
        </ser>
        <ser>
          <idx val="1"/>
          <order val="1"/>
          <tx>
            <strRef>
              <f>'趋势_兼容版'!A8</f>
            </strRef>
          </tx>
          <spPr>
            <a:ln>
              <a:prstDash val="solid"/>
            </a:ln>
          </spPr>
          <marker>
            <symbol val="none"/>
            <spPr>
              <a:ln>
                <a:prstDash val="solid"/>
              </a:ln>
            </spPr>
          </marker>
          <cat>
            <numRef>
              <f>'趋势_兼容版'!$B$1:$F$1</f>
            </numRef>
          </cat>
          <val>
            <numRef>
              <f>'趋势_兼容版'!$B$8:$F$8</f>
            </numRef>
          </val>
        </ser>
        <ser>
          <idx val="2"/>
          <order val="2"/>
          <tx>
            <strRef>
              <f>'趋势_兼容版'!A9</f>
            </strRef>
          </tx>
          <spPr>
            <a:ln>
              <a:prstDash val="solid"/>
            </a:ln>
          </spPr>
          <marker>
            <symbol val="none"/>
            <spPr>
              <a:ln>
                <a:prstDash val="solid"/>
              </a:ln>
            </spPr>
          </marker>
          <cat>
            <numRef>
              <f>'趋势_兼容版'!$B$1:$F$1</f>
            </numRef>
          </cat>
          <val>
            <numRef>
              <f>'趋势_兼容版'!$B$9:$F$9</f>
            </numRef>
          </val>
        </ser>
        <axId val="10"/>
        <axId val="100"/>
      </lineChart>
      <catAx>
        <axId val="10"/>
        <scaling>
          <orientation val="minMax"/>
        </scaling>
        <axPos val="l"/>
        <title>
          <tx>
            <rich>
              <a:bodyPr/>
              <a:p>
                <a:pPr>
                  <a:defRPr/>
                </a:pPr>
                <a:r>
                  <a:t>年份</a:t>
                </a:r>
              </a:p>
            </rich>
          </tx>
        </title>
        <majorTickMark val="none"/>
        <minorTickMark val="none"/>
        <crossAx val="100"/>
        <lblOffset val="100"/>
      </catAx>
      <valAx>
        <axId val="100"/>
        <scaling>
          <orientation val="minMax"/>
        </scaling>
        <axPos val="l"/>
        <majorGridlines/>
        <title>
          <tx>
            <rich>
              <a:bodyPr/>
              <a:p>
                <a:pPr>
                  <a:defRPr/>
                </a:pPr>
                <a:r>
                  <a:t>比例</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资产质量规模指标趋势（合计/兼容版）</a:t>
            </a:r>
          </a:p>
        </rich>
      </tx>
    </title>
    <plotArea>
      <barChart>
        <barDir val="col"/>
        <grouping val="clustered"/>
        <ser>
          <idx val="0"/>
          <order val="0"/>
          <tx>
            <strRef>
              <f>'趋势_兼容版'!A2</f>
            </strRef>
          </tx>
          <spPr>
            <a:ln>
              <a:prstDash val="solid"/>
            </a:ln>
          </spPr>
          <cat>
            <numRef>
              <f>'趋势_兼容版'!$B$1:$F$1</f>
            </numRef>
          </cat>
          <val>
            <numRef>
              <f>'趋势_兼容版'!$B$2:$F$2</f>
            </numRef>
          </val>
        </ser>
        <ser>
          <idx val="1"/>
          <order val="1"/>
          <tx>
            <strRef>
              <f>'趋势_兼容版'!A3</f>
            </strRef>
          </tx>
          <spPr>
            <a:ln>
              <a:prstDash val="solid"/>
            </a:ln>
          </spPr>
          <cat>
            <numRef>
              <f>'趋势_兼容版'!$B$1:$F$1</f>
            </numRef>
          </cat>
          <val>
            <numRef>
              <f>'趋势_兼容版'!$B$3:$F$3</f>
            </numRef>
          </val>
        </ser>
        <ser>
          <idx val="2"/>
          <order val="2"/>
          <tx>
            <strRef>
              <f>'趋势_兼容版'!A4</f>
            </strRef>
          </tx>
          <spPr>
            <a:ln>
              <a:prstDash val="solid"/>
            </a:ln>
          </spPr>
          <cat>
            <numRef>
              <f>'趋势_兼容版'!$B$1:$F$1</f>
            </numRef>
          </cat>
          <val>
            <numRef>
              <f>'趋势_兼容版'!$B$4:$F$4</f>
            </numRef>
          </val>
        </ser>
        <ser>
          <idx val="3"/>
          <order val="3"/>
          <tx>
            <strRef>
              <f>'趋势_兼容版'!A5</f>
            </strRef>
          </tx>
          <spPr>
            <a:ln>
              <a:prstDash val="solid"/>
            </a:ln>
          </spPr>
          <cat>
            <numRef>
              <f>'趋势_兼容版'!$B$1:$F$1</f>
            </numRef>
          </cat>
          <val>
            <numRef>
              <f>'趋势_兼容版'!$B$5:$F$5</f>
            </numRef>
          </val>
        </ser>
        <ser>
          <idx val="4"/>
          <order val="4"/>
          <tx>
            <strRef>
              <f>'趋势_兼容版'!A6</f>
            </strRef>
          </tx>
          <spPr>
            <a:ln>
              <a:prstDash val="solid"/>
            </a:ln>
          </spPr>
          <cat>
            <numRef>
              <f>'趋势_兼容版'!$B$1:$F$1</f>
            </numRef>
          </cat>
          <val>
            <numRef>
              <f>'趋势_兼容版'!$B$6:$F$6</f>
            </numRef>
          </val>
        </ser>
        <gapWidth val="150"/>
        <axId val="10"/>
        <axId val="100"/>
      </barChart>
      <catAx>
        <axId val="10"/>
        <scaling>
          <orientation val="minMax"/>
        </scaling>
        <axPos val="l"/>
        <title>
          <tx>
            <rich>
              <a:bodyPr/>
              <a:p>
                <a:pPr>
                  <a:defRPr/>
                </a:pPr>
                <a:r>
                  <a:t>年份</a:t>
                </a:r>
              </a:p>
            </rich>
          </tx>
        </title>
        <majorTickMark val="none"/>
        <minorTickMark val="none"/>
        <crossAx val="100"/>
        <lblOffset val="100"/>
      </catAx>
      <valAx>
        <axId val="100"/>
        <scaling>
          <orientation val="minMax"/>
        </scaling>
        <axPos val="l"/>
        <majorGridlines/>
        <title>
          <tx>
            <rich>
              <a:bodyPr/>
              <a:p>
                <a:pPr>
                  <a:defRPr/>
                </a:pPr>
                <a:r>
                  <a:t>金额</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11</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t="inlineStr">
        <is>
          <t>兼容旧版Excel（无VSTACK/UNIQUE/XLOOKUP），通过INDEX/MATCH与辅助表实现。</t>
        </is>
      </c>
    </row>
    <row r="2">
      <c r="A2" t="inlineStr">
        <is>
          <t>使用步骤：</t>
        </is>
      </c>
    </row>
    <row r="3">
      <c r="A3" t="inlineStr">
        <is>
          <t>1) 将本模板与 AQ_2020.xlsx … AQ_2024.xlsx 放在同一文件夹；各年度含工作表‘原始数据’（列：A银行 B贷款总额 C逾期 D不良 E关注 F新发生不良）。</t>
        </is>
      </c>
    </row>
    <row r="4">
      <c r="A4" t="inlineStr">
        <is>
          <t>2) 在‘汇总_兼容版’A列下拉选择银行名称（来自‘辅助’的合并清单），向下最多支持1000行；</t>
        </is>
      </c>
    </row>
    <row r="5">
      <c r="A5" t="inlineStr">
        <is>
          <t>3) 各年度列将自动用INDEX/MATCH从对应年度取数，并计算逾期率/不良率/关注率；</t>
        </is>
      </c>
    </row>
    <row r="6">
      <c r="A6" t="inlineStr">
        <is>
          <t>4) ‘趋势_兼容版’自动汇总合计并生成趋势图；</t>
        </is>
      </c>
    </row>
    <row r="7">
      <c r="A7" t="inlineStr">
        <is>
          <t>5) 若需更多行或更多年份，可在‘辅助’与‘汇总_兼容版’相应扩展行数/复制列组并调整年份与外链文件名。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0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s>
  <sheetData>
    <row r="1" ht="24" customHeight="1">
      <c r="A1" s="1" t="n"/>
      <c r="B1" s="1" t="inlineStr">
        <is>
          <t>贷款总额</t>
        </is>
      </c>
      <c r="C1" s="1" t="n"/>
      <c r="D1" s="1" t="n"/>
      <c r="E1" s="1" t="n"/>
      <c r="F1" s="1" t="n"/>
      <c r="G1" s="1" t="inlineStr">
        <is>
          <t>逾期</t>
        </is>
      </c>
      <c r="H1" s="1" t="n"/>
      <c r="I1" s="1" t="n"/>
      <c r="J1" s="1" t="n"/>
      <c r="K1" s="1" t="n"/>
      <c r="L1" s="1" t="inlineStr">
        <is>
          <t>不良</t>
        </is>
      </c>
      <c r="M1" s="1" t="n"/>
      <c r="N1" s="1" t="n"/>
      <c r="O1" s="1" t="n"/>
      <c r="P1" s="1" t="n"/>
      <c r="Q1" s="1" t="inlineStr">
        <is>
          <t>关注</t>
        </is>
      </c>
      <c r="R1" s="1" t="n"/>
      <c r="S1" s="1" t="n"/>
      <c r="T1" s="1" t="n"/>
      <c r="U1" s="1" t="n"/>
      <c r="V1" s="1" t="inlineStr">
        <is>
          <t>新发生不良</t>
        </is>
      </c>
      <c r="W1" s="1" t="n"/>
      <c r="X1" s="1" t="n"/>
      <c r="Y1" s="1" t="n"/>
      <c r="Z1" s="1" t="n"/>
      <c r="AA1" s="1" t="inlineStr">
        <is>
          <t>逾期率</t>
        </is>
      </c>
      <c r="AB1" s="1" t="n"/>
      <c r="AC1" s="1" t="n"/>
      <c r="AD1" s="1" t="n"/>
      <c r="AE1" s="1" t="n"/>
      <c r="AF1" s="1" t="inlineStr">
        <is>
          <t>不良率</t>
        </is>
      </c>
      <c r="AG1" s="1" t="n"/>
      <c r="AH1" s="1" t="n"/>
      <c r="AI1" s="1" t="n"/>
      <c r="AJ1" s="1" t="n"/>
      <c r="AK1" s="1" t="inlineStr">
        <is>
          <t>关注率</t>
        </is>
      </c>
      <c r="AL1" s="1" t="n"/>
      <c r="AM1" s="1" t="n"/>
      <c r="AN1" s="1" t="n"/>
      <c r="AO1" s="1" t="n"/>
    </row>
    <row r="2" ht="20" customHeight="1">
      <c r="A2" s="1" t="inlineStr">
        <is>
          <t>银行</t>
        </is>
      </c>
      <c r="B2" s="1" t="inlineStr">
        <is>
          <t>2020</t>
        </is>
      </c>
      <c r="C2" s="1" t="inlineStr">
        <is>
          <t>2021</t>
        </is>
      </c>
      <c r="D2" s="1" t="inlineStr">
        <is>
          <t>2022</t>
        </is>
      </c>
      <c r="E2" s="1" t="inlineStr">
        <is>
          <t>2023</t>
        </is>
      </c>
      <c r="F2" s="1" t="inlineStr">
        <is>
          <t>2024</t>
        </is>
      </c>
      <c r="G2" s="1" t="inlineStr">
        <is>
          <t>2020</t>
        </is>
      </c>
      <c r="H2" s="1" t="inlineStr">
        <is>
          <t>2021</t>
        </is>
      </c>
      <c r="I2" s="1" t="inlineStr">
        <is>
          <t>2022</t>
        </is>
      </c>
      <c r="J2" s="1" t="inlineStr">
        <is>
          <t>2023</t>
        </is>
      </c>
      <c r="K2" s="1" t="inlineStr">
        <is>
          <t>2024</t>
        </is>
      </c>
      <c r="L2" s="1" t="inlineStr">
        <is>
          <t>2020</t>
        </is>
      </c>
      <c r="M2" s="1" t="inlineStr">
        <is>
          <t>2021</t>
        </is>
      </c>
      <c r="N2" s="1" t="inlineStr">
        <is>
          <t>2022</t>
        </is>
      </c>
      <c r="O2" s="1" t="inlineStr">
        <is>
          <t>2023</t>
        </is>
      </c>
      <c r="P2" s="1" t="inlineStr">
        <is>
          <t>2024</t>
        </is>
      </c>
      <c r="Q2" s="1" t="inlineStr">
        <is>
          <t>2020</t>
        </is>
      </c>
      <c r="R2" s="1" t="inlineStr">
        <is>
          <t>2021</t>
        </is>
      </c>
      <c r="S2" s="1" t="inlineStr">
        <is>
          <t>2022</t>
        </is>
      </c>
      <c r="T2" s="1" t="inlineStr">
        <is>
          <t>2023</t>
        </is>
      </c>
      <c r="U2" s="1" t="inlineStr">
        <is>
          <t>2024</t>
        </is>
      </c>
      <c r="V2" s="1" t="inlineStr">
        <is>
          <t>2020</t>
        </is>
      </c>
      <c r="W2" s="1" t="inlineStr">
        <is>
          <t>2021</t>
        </is>
      </c>
      <c r="X2" s="1" t="inlineStr">
        <is>
          <t>2022</t>
        </is>
      </c>
      <c r="Y2" s="1" t="inlineStr">
        <is>
          <t>2023</t>
        </is>
      </c>
      <c r="Z2" s="1" t="inlineStr">
        <is>
          <t>2024</t>
        </is>
      </c>
      <c r="AA2" s="1" t="inlineStr">
        <is>
          <t>2020</t>
        </is>
      </c>
      <c r="AB2" s="1" t="inlineStr">
        <is>
          <t>2021</t>
        </is>
      </c>
      <c r="AC2" s="1" t="inlineStr">
        <is>
          <t>2022</t>
        </is>
      </c>
      <c r="AD2" s="1" t="inlineStr">
        <is>
          <t>2023</t>
        </is>
      </c>
      <c r="AE2" s="1" t="inlineStr">
        <is>
          <t>2024</t>
        </is>
      </c>
      <c r="AF2" s="1" t="inlineStr">
        <is>
          <t>2020</t>
        </is>
      </c>
      <c r="AG2" s="1" t="inlineStr">
        <is>
          <t>2021</t>
        </is>
      </c>
      <c r="AH2" s="1" t="inlineStr">
        <is>
          <t>2022</t>
        </is>
      </c>
      <c r="AI2" s="1" t="inlineStr">
        <is>
          <t>2023</t>
        </is>
      </c>
      <c r="AJ2" s="1" t="inlineStr">
        <is>
          <t>2024</t>
        </is>
      </c>
      <c r="AK2" s="1" t="inlineStr">
        <is>
          <t>2020</t>
        </is>
      </c>
      <c r="AL2" s="1" t="inlineStr">
        <is>
          <t>2021</t>
        </is>
      </c>
      <c r="AM2" s="1" t="inlineStr">
        <is>
          <t>2022</t>
        </is>
      </c>
      <c r="AN2" s="1" t="inlineStr">
        <is>
          <t>2023</t>
        </is>
      </c>
      <c r="AO2" s="1" t="inlineStr">
        <is>
          <t>2024</t>
        </is>
      </c>
    </row>
    <row r="3">
      <c r="B3">
        <f>IF($A3="","",IFERROR(INDEX('[AQ_2020.xlsx]原始数据'!$B:$B,MATCH($A3,'[AQ_2020.xlsx]原始数据'!$A:$A,0)),""))</f>
        <v/>
      </c>
      <c r="C3">
        <f>IF($A3="","",IFERROR(INDEX('[AQ_2021.xlsx]原始数据'!$B:$B,MATCH($A3,'[AQ_2021.xlsx]原始数据'!$A:$A,0)),""))</f>
        <v/>
      </c>
      <c r="D3">
        <f>IF($A3="","",IFERROR(INDEX('[AQ_2022.xlsx]原始数据'!$B:$B,MATCH($A3,'[AQ_2022.xlsx]原始数据'!$A:$A,0)),""))</f>
        <v/>
      </c>
      <c r="E3">
        <f>IF($A3="","",IFERROR(INDEX('[AQ_2023.xlsx]原始数据'!$B:$B,MATCH($A3,'[AQ_2023.xlsx]原始数据'!$A:$A,0)),""))</f>
        <v/>
      </c>
      <c r="F3">
        <f>IF($A3="","",IFERROR(INDEX('[AQ_2024.xlsx]原始数据'!$B:$B,MATCH($A3,'[AQ_2024.xlsx]原始数据'!$A:$A,0)),""))</f>
        <v/>
      </c>
      <c r="G3">
        <f>IF($A3="","",IFERROR(INDEX('[AQ_2020.xlsx]原始数据'!$C:$C,MATCH($A3,'[AQ_2020.xlsx]原始数据'!$A:$A,0)),""))</f>
        <v/>
      </c>
      <c r="H3">
        <f>IF($A3="","",IFERROR(INDEX('[AQ_2021.xlsx]原始数据'!$C:$C,MATCH($A3,'[AQ_2021.xlsx]原始数据'!$A:$A,0)),""))</f>
        <v/>
      </c>
      <c r="I3">
        <f>IF($A3="","",IFERROR(INDEX('[AQ_2022.xlsx]原始数据'!$C:$C,MATCH($A3,'[AQ_2022.xlsx]原始数据'!$A:$A,0)),""))</f>
        <v/>
      </c>
      <c r="J3">
        <f>IF($A3="","",IFERROR(INDEX('[AQ_2023.xlsx]原始数据'!$C:$C,MATCH($A3,'[AQ_2023.xlsx]原始数据'!$A:$A,0)),""))</f>
        <v/>
      </c>
      <c r="K3">
        <f>IF($A3="","",IFERROR(INDEX('[AQ_2024.xlsx]原始数据'!$C:$C,MATCH($A3,'[AQ_2024.xlsx]原始数据'!$A:$A,0)),""))</f>
        <v/>
      </c>
      <c r="L3">
        <f>IF($A3="","",IFERROR(INDEX('[AQ_2020.xlsx]原始数据'!$D:$D,MATCH($A3,'[AQ_2020.xlsx]原始数据'!$A:$A,0)),""))</f>
        <v/>
      </c>
      <c r="M3">
        <f>IF($A3="","",IFERROR(INDEX('[AQ_2021.xlsx]原始数据'!$D:$D,MATCH($A3,'[AQ_2021.xlsx]原始数据'!$A:$A,0)),""))</f>
        <v/>
      </c>
      <c r="N3">
        <f>IF($A3="","",IFERROR(INDEX('[AQ_2022.xlsx]原始数据'!$D:$D,MATCH($A3,'[AQ_2022.xlsx]原始数据'!$A:$A,0)),""))</f>
        <v/>
      </c>
      <c r="O3">
        <f>IF($A3="","",IFERROR(INDEX('[AQ_2023.xlsx]原始数据'!$D:$D,MATCH($A3,'[AQ_2023.xlsx]原始数据'!$A:$A,0)),""))</f>
        <v/>
      </c>
      <c r="P3">
        <f>IF($A3="","",IFERROR(INDEX('[AQ_2024.xlsx]原始数据'!$D:$D,MATCH($A3,'[AQ_2024.xlsx]原始数据'!$A:$A,0)),""))</f>
        <v/>
      </c>
      <c r="Q3">
        <f>IF($A3="","",IFERROR(INDEX('[AQ_2020.xlsx]原始数据'!$E:$E,MATCH($A3,'[AQ_2020.xlsx]原始数据'!$A:$A,0)),""))</f>
        <v/>
      </c>
      <c r="R3">
        <f>IF($A3="","",IFERROR(INDEX('[AQ_2021.xlsx]原始数据'!$E:$E,MATCH($A3,'[AQ_2021.xlsx]原始数据'!$A:$A,0)),""))</f>
        <v/>
      </c>
      <c r="S3">
        <f>IF($A3="","",IFERROR(INDEX('[AQ_2022.xlsx]原始数据'!$E:$E,MATCH($A3,'[AQ_2022.xlsx]原始数据'!$A:$A,0)),""))</f>
        <v/>
      </c>
      <c r="T3">
        <f>IF($A3="","",IFERROR(INDEX('[AQ_2023.xlsx]原始数据'!$E:$E,MATCH($A3,'[AQ_2023.xlsx]原始数据'!$A:$A,0)),""))</f>
        <v/>
      </c>
      <c r="U3">
        <f>IF($A3="","",IFERROR(INDEX('[AQ_2024.xlsx]原始数据'!$E:$E,MATCH($A3,'[AQ_2024.xlsx]原始数据'!$A:$A,0)),""))</f>
        <v/>
      </c>
      <c r="V3">
        <f>IF($A3="","",IFERROR(INDEX('[AQ_2020.xlsx]原始数据'!$F:$F,MATCH($A3,'[AQ_2020.xlsx]原始数据'!$A:$A,0)),""))</f>
        <v/>
      </c>
      <c r="W3">
        <f>IF($A3="","",IFERROR(INDEX('[AQ_2021.xlsx]原始数据'!$F:$F,MATCH($A3,'[AQ_2021.xlsx]原始数据'!$A:$A,0)),""))</f>
        <v/>
      </c>
      <c r="X3">
        <f>IF($A3="","",IFERROR(INDEX('[AQ_2022.xlsx]原始数据'!$F:$F,MATCH($A3,'[AQ_2022.xlsx]原始数据'!$A:$A,0)),""))</f>
        <v/>
      </c>
      <c r="Y3">
        <f>IF($A3="","",IFERROR(INDEX('[AQ_2023.xlsx]原始数据'!$F:$F,MATCH($A3,'[AQ_2023.xlsx]原始数据'!$A:$A,0)),""))</f>
        <v/>
      </c>
      <c r="Z3">
        <f>IF($A3="","",IFERROR(INDEX('[AQ_2024.xlsx]原始数据'!$F:$F,MATCH($A3,'[AQ_2024.xlsx]原始数据'!$A:$A,0)),""))</f>
        <v/>
      </c>
      <c r="AA3" s="2">
        <f>IFERROR(G3/B3,"")</f>
        <v/>
      </c>
      <c r="AB3" s="2">
        <f>IFERROR(H3/C3,"")</f>
        <v/>
      </c>
      <c r="AC3" s="2">
        <f>IFERROR(I3/D3,"")</f>
        <v/>
      </c>
      <c r="AD3" s="2">
        <f>IFERROR(J3/E3,"")</f>
        <v/>
      </c>
      <c r="AE3" s="2">
        <f>IFERROR(K3/F3,"")</f>
        <v/>
      </c>
      <c r="AF3" s="2">
        <f>IFERROR(L3/B3,"")</f>
        <v/>
      </c>
      <c r="AG3" s="2">
        <f>IFERROR(M3/C3,"")</f>
        <v/>
      </c>
      <c r="AH3" s="2">
        <f>IFERROR(N3/D3,"")</f>
        <v/>
      </c>
      <c r="AI3" s="2">
        <f>IFERROR(O3/E3,"")</f>
        <v/>
      </c>
      <c r="AJ3" s="2">
        <f>IFERROR(P3/F3,"")</f>
        <v/>
      </c>
      <c r="AK3" s="2">
        <f>IFERROR(Q3/B3,"")</f>
        <v/>
      </c>
      <c r="AL3" s="2">
        <f>IFERROR(R3/C3,"")</f>
        <v/>
      </c>
      <c r="AM3" s="2">
        <f>IFERROR(S3/D3,"")</f>
        <v/>
      </c>
      <c r="AN3" s="2">
        <f>IFERROR(T3/E3,"")</f>
        <v/>
      </c>
      <c r="AO3" s="2">
        <f>IFERROR(U3/F3,"")</f>
        <v/>
      </c>
    </row>
    <row r="4">
      <c r="B4">
        <f>IF($A4="","",IFERROR(INDEX('[AQ_2020.xlsx]原始数据'!$B:$B,MATCH($A4,'[AQ_2020.xlsx]原始数据'!$A:$A,0)),""))</f>
        <v/>
      </c>
      <c r="C4">
        <f>IF($A4="","",IFERROR(INDEX('[AQ_2021.xlsx]原始数据'!$B:$B,MATCH($A4,'[AQ_2021.xlsx]原始数据'!$A:$A,0)),""))</f>
        <v/>
      </c>
      <c r="D4">
        <f>IF($A4="","",IFERROR(INDEX('[AQ_2022.xlsx]原始数据'!$B:$B,MATCH($A4,'[AQ_2022.xlsx]原始数据'!$A:$A,0)),""))</f>
        <v/>
      </c>
      <c r="E4">
        <f>IF($A4="","",IFERROR(INDEX('[AQ_2023.xlsx]原始数据'!$B:$B,MATCH($A4,'[AQ_2023.xlsx]原始数据'!$A:$A,0)),""))</f>
        <v/>
      </c>
      <c r="F4">
        <f>IF($A4="","",IFERROR(INDEX('[AQ_2024.xlsx]原始数据'!$B:$B,MATCH($A4,'[AQ_2024.xlsx]原始数据'!$A:$A,0)),""))</f>
        <v/>
      </c>
      <c r="G4">
        <f>IF($A4="","",IFERROR(INDEX('[AQ_2020.xlsx]原始数据'!$C:$C,MATCH($A4,'[AQ_2020.xlsx]原始数据'!$A:$A,0)),""))</f>
        <v/>
      </c>
      <c r="H4">
        <f>IF($A4="","",IFERROR(INDEX('[AQ_2021.xlsx]原始数据'!$C:$C,MATCH($A4,'[AQ_2021.xlsx]原始数据'!$A:$A,0)),""))</f>
        <v/>
      </c>
      <c r="I4">
        <f>IF($A4="","",IFERROR(INDEX('[AQ_2022.xlsx]原始数据'!$C:$C,MATCH($A4,'[AQ_2022.xlsx]原始数据'!$A:$A,0)),""))</f>
        <v/>
      </c>
      <c r="J4">
        <f>IF($A4="","",IFERROR(INDEX('[AQ_2023.xlsx]原始数据'!$C:$C,MATCH($A4,'[AQ_2023.xlsx]原始数据'!$A:$A,0)),""))</f>
        <v/>
      </c>
      <c r="K4">
        <f>IF($A4="","",IFERROR(INDEX('[AQ_2024.xlsx]原始数据'!$C:$C,MATCH($A4,'[AQ_2024.xlsx]原始数据'!$A:$A,0)),""))</f>
        <v/>
      </c>
      <c r="L4">
        <f>IF($A4="","",IFERROR(INDEX('[AQ_2020.xlsx]原始数据'!$D:$D,MATCH($A4,'[AQ_2020.xlsx]原始数据'!$A:$A,0)),""))</f>
        <v/>
      </c>
      <c r="M4">
        <f>IF($A4="","",IFERROR(INDEX('[AQ_2021.xlsx]原始数据'!$D:$D,MATCH($A4,'[AQ_2021.xlsx]原始数据'!$A:$A,0)),""))</f>
        <v/>
      </c>
      <c r="N4">
        <f>IF($A4="","",IFERROR(INDEX('[AQ_2022.xlsx]原始数据'!$D:$D,MATCH($A4,'[AQ_2022.xlsx]原始数据'!$A:$A,0)),""))</f>
        <v/>
      </c>
      <c r="O4">
        <f>IF($A4="","",IFERROR(INDEX('[AQ_2023.xlsx]原始数据'!$D:$D,MATCH($A4,'[AQ_2023.xlsx]原始数据'!$A:$A,0)),""))</f>
        <v/>
      </c>
      <c r="P4">
        <f>IF($A4="","",IFERROR(INDEX('[AQ_2024.xlsx]原始数据'!$D:$D,MATCH($A4,'[AQ_2024.xlsx]原始数据'!$A:$A,0)),""))</f>
        <v/>
      </c>
      <c r="Q4">
        <f>IF($A4="","",IFERROR(INDEX('[AQ_2020.xlsx]原始数据'!$E:$E,MATCH($A4,'[AQ_2020.xlsx]原始数据'!$A:$A,0)),""))</f>
        <v/>
      </c>
      <c r="R4">
        <f>IF($A4="","",IFERROR(INDEX('[AQ_2021.xlsx]原始数据'!$E:$E,MATCH($A4,'[AQ_2021.xlsx]原始数据'!$A:$A,0)),""))</f>
        <v/>
      </c>
      <c r="S4">
        <f>IF($A4="","",IFERROR(INDEX('[AQ_2022.xlsx]原始数据'!$E:$E,MATCH($A4,'[AQ_2022.xlsx]原始数据'!$A:$A,0)),""))</f>
        <v/>
      </c>
      <c r="T4">
        <f>IF($A4="","",IFERROR(INDEX('[AQ_2023.xlsx]原始数据'!$E:$E,MATCH($A4,'[AQ_2023.xlsx]原始数据'!$A:$A,0)),""))</f>
        <v/>
      </c>
      <c r="U4">
        <f>IF($A4="","",IFERROR(INDEX('[AQ_2024.xlsx]原始数据'!$E:$E,MATCH($A4,'[AQ_2024.xlsx]原始数据'!$A:$A,0)),""))</f>
        <v/>
      </c>
      <c r="V4">
        <f>IF($A4="","",IFERROR(INDEX('[AQ_2020.xlsx]原始数据'!$F:$F,MATCH($A4,'[AQ_2020.xlsx]原始数据'!$A:$A,0)),""))</f>
        <v/>
      </c>
      <c r="W4">
        <f>IF($A4="","",IFERROR(INDEX('[AQ_2021.xlsx]原始数据'!$F:$F,MATCH($A4,'[AQ_2021.xlsx]原始数据'!$A:$A,0)),""))</f>
        <v/>
      </c>
      <c r="X4">
        <f>IF($A4="","",IFERROR(INDEX('[AQ_2022.xlsx]原始数据'!$F:$F,MATCH($A4,'[AQ_2022.xlsx]原始数据'!$A:$A,0)),""))</f>
        <v/>
      </c>
      <c r="Y4">
        <f>IF($A4="","",IFERROR(INDEX('[AQ_2023.xlsx]原始数据'!$F:$F,MATCH($A4,'[AQ_2023.xlsx]原始数据'!$A:$A,0)),""))</f>
        <v/>
      </c>
      <c r="Z4">
        <f>IF($A4="","",IFERROR(INDEX('[AQ_2024.xlsx]原始数据'!$F:$F,MATCH($A4,'[AQ_2024.xlsx]原始数据'!$A:$A,0)),""))</f>
        <v/>
      </c>
      <c r="AA4" s="2">
        <f>IFERROR(G4/B4,"")</f>
        <v/>
      </c>
      <c r="AB4" s="2">
        <f>IFERROR(H4/C4,"")</f>
        <v/>
      </c>
      <c r="AC4" s="2">
        <f>IFERROR(I4/D4,"")</f>
        <v/>
      </c>
      <c r="AD4" s="2">
        <f>IFERROR(J4/E4,"")</f>
        <v/>
      </c>
      <c r="AE4" s="2">
        <f>IFERROR(K4/F4,"")</f>
        <v/>
      </c>
      <c r="AF4" s="2">
        <f>IFERROR(L4/B4,"")</f>
        <v/>
      </c>
      <c r="AG4" s="2">
        <f>IFERROR(M4/C4,"")</f>
        <v/>
      </c>
      <c r="AH4" s="2">
        <f>IFERROR(N4/D4,"")</f>
        <v/>
      </c>
      <c r="AI4" s="2">
        <f>IFERROR(O4/E4,"")</f>
        <v/>
      </c>
      <c r="AJ4" s="2">
        <f>IFERROR(P4/F4,"")</f>
        <v/>
      </c>
      <c r="AK4" s="2">
        <f>IFERROR(Q4/B4,"")</f>
        <v/>
      </c>
      <c r="AL4" s="2">
        <f>IFERROR(R4/C4,"")</f>
        <v/>
      </c>
      <c r="AM4" s="2">
        <f>IFERROR(S4/D4,"")</f>
        <v/>
      </c>
      <c r="AN4" s="2">
        <f>IFERROR(T4/E4,"")</f>
        <v/>
      </c>
      <c r="AO4" s="2">
        <f>IFERROR(U4/F4,"")</f>
        <v/>
      </c>
    </row>
    <row r="5">
      <c r="B5">
        <f>IF($A5="","",IFERROR(INDEX('[AQ_2020.xlsx]原始数据'!$B:$B,MATCH($A5,'[AQ_2020.xlsx]原始数据'!$A:$A,0)),""))</f>
        <v/>
      </c>
      <c r="C5">
        <f>IF($A5="","",IFERROR(INDEX('[AQ_2021.xlsx]原始数据'!$B:$B,MATCH($A5,'[AQ_2021.xlsx]原始数据'!$A:$A,0)),""))</f>
        <v/>
      </c>
      <c r="D5">
        <f>IF($A5="","",IFERROR(INDEX('[AQ_2022.xlsx]原始数据'!$B:$B,MATCH($A5,'[AQ_2022.xlsx]原始数据'!$A:$A,0)),""))</f>
        <v/>
      </c>
      <c r="E5">
        <f>IF($A5="","",IFERROR(INDEX('[AQ_2023.xlsx]原始数据'!$B:$B,MATCH($A5,'[AQ_2023.xlsx]原始数据'!$A:$A,0)),""))</f>
        <v/>
      </c>
      <c r="F5">
        <f>IF($A5="","",IFERROR(INDEX('[AQ_2024.xlsx]原始数据'!$B:$B,MATCH($A5,'[AQ_2024.xlsx]原始数据'!$A:$A,0)),""))</f>
        <v/>
      </c>
      <c r="G5">
        <f>IF($A5="","",IFERROR(INDEX('[AQ_2020.xlsx]原始数据'!$C:$C,MATCH($A5,'[AQ_2020.xlsx]原始数据'!$A:$A,0)),""))</f>
        <v/>
      </c>
      <c r="H5">
        <f>IF($A5="","",IFERROR(INDEX('[AQ_2021.xlsx]原始数据'!$C:$C,MATCH($A5,'[AQ_2021.xlsx]原始数据'!$A:$A,0)),""))</f>
        <v/>
      </c>
      <c r="I5">
        <f>IF($A5="","",IFERROR(INDEX('[AQ_2022.xlsx]原始数据'!$C:$C,MATCH($A5,'[AQ_2022.xlsx]原始数据'!$A:$A,0)),""))</f>
        <v/>
      </c>
      <c r="J5">
        <f>IF($A5="","",IFERROR(INDEX('[AQ_2023.xlsx]原始数据'!$C:$C,MATCH($A5,'[AQ_2023.xlsx]原始数据'!$A:$A,0)),""))</f>
        <v/>
      </c>
      <c r="K5">
        <f>IF($A5="","",IFERROR(INDEX('[AQ_2024.xlsx]原始数据'!$C:$C,MATCH($A5,'[AQ_2024.xlsx]原始数据'!$A:$A,0)),""))</f>
        <v/>
      </c>
      <c r="L5">
        <f>IF($A5="","",IFERROR(INDEX('[AQ_2020.xlsx]原始数据'!$D:$D,MATCH($A5,'[AQ_2020.xlsx]原始数据'!$A:$A,0)),""))</f>
        <v/>
      </c>
      <c r="M5">
        <f>IF($A5="","",IFERROR(INDEX('[AQ_2021.xlsx]原始数据'!$D:$D,MATCH($A5,'[AQ_2021.xlsx]原始数据'!$A:$A,0)),""))</f>
        <v/>
      </c>
      <c r="N5">
        <f>IF($A5="","",IFERROR(INDEX('[AQ_2022.xlsx]原始数据'!$D:$D,MATCH($A5,'[AQ_2022.xlsx]原始数据'!$A:$A,0)),""))</f>
        <v/>
      </c>
      <c r="O5">
        <f>IF($A5="","",IFERROR(INDEX('[AQ_2023.xlsx]原始数据'!$D:$D,MATCH($A5,'[AQ_2023.xlsx]原始数据'!$A:$A,0)),""))</f>
        <v/>
      </c>
      <c r="P5">
        <f>IF($A5="","",IFERROR(INDEX('[AQ_2024.xlsx]原始数据'!$D:$D,MATCH($A5,'[AQ_2024.xlsx]原始数据'!$A:$A,0)),""))</f>
        <v/>
      </c>
      <c r="Q5">
        <f>IF($A5="","",IFERROR(INDEX('[AQ_2020.xlsx]原始数据'!$E:$E,MATCH($A5,'[AQ_2020.xlsx]原始数据'!$A:$A,0)),""))</f>
        <v/>
      </c>
      <c r="R5">
        <f>IF($A5="","",IFERROR(INDEX('[AQ_2021.xlsx]原始数据'!$E:$E,MATCH($A5,'[AQ_2021.xlsx]原始数据'!$A:$A,0)),""))</f>
        <v/>
      </c>
      <c r="S5">
        <f>IF($A5="","",IFERROR(INDEX('[AQ_2022.xlsx]原始数据'!$E:$E,MATCH($A5,'[AQ_2022.xlsx]原始数据'!$A:$A,0)),""))</f>
        <v/>
      </c>
      <c r="T5">
        <f>IF($A5="","",IFERROR(INDEX('[AQ_2023.xlsx]原始数据'!$E:$E,MATCH($A5,'[AQ_2023.xlsx]原始数据'!$A:$A,0)),""))</f>
        <v/>
      </c>
      <c r="U5">
        <f>IF($A5="","",IFERROR(INDEX('[AQ_2024.xlsx]原始数据'!$E:$E,MATCH($A5,'[AQ_2024.xlsx]原始数据'!$A:$A,0)),""))</f>
        <v/>
      </c>
      <c r="V5">
        <f>IF($A5="","",IFERROR(INDEX('[AQ_2020.xlsx]原始数据'!$F:$F,MATCH($A5,'[AQ_2020.xlsx]原始数据'!$A:$A,0)),""))</f>
        <v/>
      </c>
      <c r="W5">
        <f>IF($A5="","",IFERROR(INDEX('[AQ_2021.xlsx]原始数据'!$F:$F,MATCH($A5,'[AQ_2021.xlsx]原始数据'!$A:$A,0)),""))</f>
        <v/>
      </c>
      <c r="X5">
        <f>IF($A5="","",IFERROR(INDEX('[AQ_2022.xlsx]原始数据'!$F:$F,MATCH($A5,'[AQ_2022.xlsx]原始数据'!$A:$A,0)),""))</f>
        <v/>
      </c>
      <c r="Y5">
        <f>IF($A5="","",IFERROR(INDEX('[AQ_2023.xlsx]原始数据'!$F:$F,MATCH($A5,'[AQ_2023.xlsx]原始数据'!$A:$A,0)),""))</f>
        <v/>
      </c>
      <c r="Z5">
        <f>IF($A5="","",IFERROR(INDEX('[AQ_2024.xlsx]原始数据'!$F:$F,MATCH($A5,'[AQ_2024.xlsx]原始数据'!$A:$A,0)),""))</f>
        <v/>
      </c>
      <c r="AA5" s="2">
        <f>IFERROR(G5/B5,"")</f>
        <v/>
      </c>
      <c r="AB5" s="2">
        <f>IFERROR(H5/C5,"")</f>
        <v/>
      </c>
      <c r="AC5" s="2">
        <f>IFERROR(I5/D5,"")</f>
        <v/>
      </c>
      <c r="AD5" s="2">
        <f>IFERROR(J5/E5,"")</f>
        <v/>
      </c>
      <c r="AE5" s="2">
        <f>IFERROR(K5/F5,"")</f>
        <v/>
      </c>
      <c r="AF5" s="2">
        <f>IFERROR(L5/B5,"")</f>
        <v/>
      </c>
      <c r="AG5" s="2">
        <f>IFERROR(M5/C5,"")</f>
        <v/>
      </c>
      <c r="AH5" s="2">
        <f>IFERROR(N5/D5,"")</f>
        <v/>
      </c>
      <c r="AI5" s="2">
        <f>IFERROR(O5/E5,"")</f>
        <v/>
      </c>
      <c r="AJ5" s="2">
        <f>IFERROR(P5/F5,"")</f>
        <v/>
      </c>
      <c r="AK5" s="2">
        <f>IFERROR(Q5/B5,"")</f>
        <v/>
      </c>
      <c r="AL5" s="2">
        <f>IFERROR(R5/C5,"")</f>
        <v/>
      </c>
      <c r="AM5" s="2">
        <f>IFERROR(S5/D5,"")</f>
        <v/>
      </c>
      <c r="AN5" s="2">
        <f>IFERROR(T5/E5,"")</f>
        <v/>
      </c>
      <c r="AO5" s="2">
        <f>IFERROR(U5/F5,"")</f>
        <v/>
      </c>
    </row>
    <row r="6">
      <c r="B6">
        <f>IF($A6="","",IFERROR(INDEX('[AQ_2020.xlsx]原始数据'!$B:$B,MATCH($A6,'[AQ_2020.xlsx]原始数据'!$A:$A,0)),""))</f>
        <v/>
      </c>
      <c r="C6">
        <f>IF($A6="","",IFERROR(INDEX('[AQ_2021.xlsx]原始数据'!$B:$B,MATCH($A6,'[AQ_2021.xlsx]原始数据'!$A:$A,0)),""))</f>
        <v/>
      </c>
      <c r="D6">
        <f>IF($A6="","",IFERROR(INDEX('[AQ_2022.xlsx]原始数据'!$B:$B,MATCH($A6,'[AQ_2022.xlsx]原始数据'!$A:$A,0)),""))</f>
        <v/>
      </c>
      <c r="E6">
        <f>IF($A6="","",IFERROR(INDEX('[AQ_2023.xlsx]原始数据'!$B:$B,MATCH($A6,'[AQ_2023.xlsx]原始数据'!$A:$A,0)),""))</f>
        <v/>
      </c>
      <c r="F6">
        <f>IF($A6="","",IFERROR(INDEX('[AQ_2024.xlsx]原始数据'!$B:$B,MATCH($A6,'[AQ_2024.xlsx]原始数据'!$A:$A,0)),""))</f>
        <v/>
      </c>
      <c r="G6">
        <f>IF($A6="","",IFERROR(INDEX('[AQ_2020.xlsx]原始数据'!$C:$C,MATCH($A6,'[AQ_2020.xlsx]原始数据'!$A:$A,0)),""))</f>
        <v/>
      </c>
      <c r="H6">
        <f>IF($A6="","",IFERROR(INDEX('[AQ_2021.xlsx]原始数据'!$C:$C,MATCH($A6,'[AQ_2021.xlsx]原始数据'!$A:$A,0)),""))</f>
        <v/>
      </c>
      <c r="I6">
        <f>IF($A6="","",IFERROR(INDEX('[AQ_2022.xlsx]原始数据'!$C:$C,MATCH($A6,'[AQ_2022.xlsx]原始数据'!$A:$A,0)),""))</f>
        <v/>
      </c>
      <c r="J6">
        <f>IF($A6="","",IFERROR(INDEX('[AQ_2023.xlsx]原始数据'!$C:$C,MATCH($A6,'[AQ_2023.xlsx]原始数据'!$A:$A,0)),""))</f>
        <v/>
      </c>
      <c r="K6">
        <f>IF($A6="","",IFERROR(INDEX('[AQ_2024.xlsx]原始数据'!$C:$C,MATCH($A6,'[AQ_2024.xlsx]原始数据'!$A:$A,0)),""))</f>
        <v/>
      </c>
      <c r="L6">
        <f>IF($A6="","",IFERROR(INDEX('[AQ_2020.xlsx]原始数据'!$D:$D,MATCH($A6,'[AQ_2020.xlsx]原始数据'!$A:$A,0)),""))</f>
        <v/>
      </c>
      <c r="M6">
        <f>IF($A6="","",IFERROR(INDEX('[AQ_2021.xlsx]原始数据'!$D:$D,MATCH($A6,'[AQ_2021.xlsx]原始数据'!$A:$A,0)),""))</f>
        <v/>
      </c>
      <c r="N6">
        <f>IF($A6="","",IFERROR(INDEX('[AQ_2022.xlsx]原始数据'!$D:$D,MATCH($A6,'[AQ_2022.xlsx]原始数据'!$A:$A,0)),""))</f>
        <v/>
      </c>
      <c r="O6">
        <f>IF($A6="","",IFERROR(INDEX('[AQ_2023.xlsx]原始数据'!$D:$D,MATCH($A6,'[AQ_2023.xlsx]原始数据'!$A:$A,0)),""))</f>
        <v/>
      </c>
      <c r="P6">
        <f>IF($A6="","",IFERROR(INDEX('[AQ_2024.xlsx]原始数据'!$D:$D,MATCH($A6,'[AQ_2024.xlsx]原始数据'!$A:$A,0)),""))</f>
        <v/>
      </c>
      <c r="Q6">
        <f>IF($A6="","",IFERROR(INDEX('[AQ_2020.xlsx]原始数据'!$E:$E,MATCH($A6,'[AQ_2020.xlsx]原始数据'!$A:$A,0)),""))</f>
        <v/>
      </c>
      <c r="R6">
        <f>IF($A6="","",IFERROR(INDEX('[AQ_2021.xlsx]原始数据'!$E:$E,MATCH($A6,'[AQ_2021.xlsx]原始数据'!$A:$A,0)),""))</f>
        <v/>
      </c>
      <c r="S6">
        <f>IF($A6="","",IFERROR(INDEX('[AQ_2022.xlsx]原始数据'!$E:$E,MATCH($A6,'[AQ_2022.xlsx]原始数据'!$A:$A,0)),""))</f>
        <v/>
      </c>
      <c r="T6">
        <f>IF($A6="","",IFERROR(INDEX('[AQ_2023.xlsx]原始数据'!$E:$E,MATCH($A6,'[AQ_2023.xlsx]原始数据'!$A:$A,0)),""))</f>
        <v/>
      </c>
      <c r="U6">
        <f>IF($A6="","",IFERROR(INDEX('[AQ_2024.xlsx]原始数据'!$E:$E,MATCH($A6,'[AQ_2024.xlsx]原始数据'!$A:$A,0)),""))</f>
        <v/>
      </c>
      <c r="V6">
        <f>IF($A6="","",IFERROR(INDEX('[AQ_2020.xlsx]原始数据'!$F:$F,MATCH($A6,'[AQ_2020.xlsx]原始数据'!$A:$A,0)),""))</f>
        <v/>
      </c>
      <c r="W6">
        <f>IF($A6="","",IFERROR(INDEX('[AQ_2021.xlsx]原始数据'!$F:$F,MATCH($A6,'[AQ_2021.xlsx]原始数据'!$A:$A,0)),""))</f>
        <v/>
      </c>
      <c r="X6">
        <f>IF($A6="","",IFERROR(INDEX('[AQ_2022.xlsx]原始数据'!$F:$F,MATCH($A6,'[AQ_2022.xlsx]原始数据'!$A:$A,0)),""))</f>
        <v/>
      </c>
      <c r="Y6">
        <f>IF($A6="","",IFERROR(INDEX('[AQ_2023.xlsx]原始数据'!$F:$F,MATCH($A6,'[AQ_2023.xlsx]原始数据'!$A:$A,0)),""))</f>
        <v/>
      </c>
      <c r="Z6">
        <f>IF($A6="","",IFERROR(INDEX('[AQ_2024.xlsx]原始数据'!$F:$F,MATCH($A6,'[AQ_2024.xlsx]原始数据'!$A:$A,0)),""))</f>
        <v/>
      </c>
      <c r="AA6" s="2">
        <f>IFERROR(G6/B6,"")</f>
        <v/>
      </c>
      <c r="AB6" s="2">
        <f>IFERROR(H6/C6,"")</f>
        <v/>
      </c>
      <c r="AC6" s="2">
        <f>IFERROR(I6/D6,"")</f>
        <v/>
      </c>
      <c r="AD6" s="2">
        <f>IFERROR(J6/E6,"")</f>
        <v/>
      </c>
      <c r="AE6" s="2">
        <f>IFERROR(K6/F6,"")</f>
        <v/>
      </c>
      <c r="AF6" s="2">
        <f>IFERROR(L6/B6,"")</f>
        <v/>
      </c>
      <c r="AG6" s="2">
        <f>IFERROR(M6/C6,"")</f>
        <v/>
      </c>
      <c r="AH6" s="2">
        <f>IFERROR(N6/D6,"")</f>
        <v/>
      </c>
      <c r="AI6" s="2">
        <f>IFERROR(O6/E6,"")</f>
        <v/>
      </c>
      <c r="AJ6" s="2">
        <f>IFERROR(P6/F6,"")</f>
        <v/>
      </c>
      <c r="AK6" s="2">
        <f>IFERROR(Q6/B6,"")</f>
        <v/>
      </c>
      <c r="AL6" s="2">
        <f>IFERROR(R6/C6,"")</f>
        <v/>
      </c>
      <c r="AM6" s="2">
        <f>IFERROR(S6/D6,"")</f>
        <v/>
      </c>
      <c r="AN6" s="2">
        <f>IFERROR(T6/E6,"")</f>
        <v/>
      </c>
      <c r="AO6" s="2">
        <f>IFERROR(U6/F6,"")</f>
        <v/>
      </c>
    </row>
    <row r="7">
      <c r="B7">
        <f>IF($A7="","",IFERROR(INDEX('[AQ_2020.xlsx]原始数据'!$B:$B,MATCH($A7,'[AQ_2020.xlsx]原始数据'!$A:$A,0)),""))</f>
        <v/>
      </c>
      <c r="C7">
        <f>IF($A7="","",IFERROR(INDEX('[AQ_2021.xlsx]原始数据'!$B:$B,MATCH($A7,'[AQ_2021.xlsx]原始数据'!$A:$A,0)),""))</f>
        <v/>
      </c>
      <c r="D7">
        <f>IF($A7="","",IFERROR(INDEX('[AQ_2022.xlsx]原始数据'!$B:$B,MATCH($A7,'[AQ_2022.xlsx]原始数据'!$A:$A,0)),""))</f>
        <v/>
      </c>
      <c r="E7">
        <f>IF($A7="","",IFERROR(INDEX('[AQ_2023.xlsx]原始数据'!$B:$B,MATCH($A7,'[AQ_2023.xlsx]原始数据'!$A:$A,0)),""))</f>
        <v/>
      </c>
      <c r="F7">
        <f>IF($A7="","",IFERROR(INDEX('[AQ_2024.xlsx]原始数据'!$B:$B,MATCH($A7,'[AQ_2024.xlsx]原始数据'!$A:$A,0)),""))</f>
        <v/>
      </c>
      <c r="G7">
        <f>IF($A7="","",IFERROR(INDEX('[AQ_2020.xlsx]原始数据'!$C:$C,MATCH($A7,'[AQ_2020.xlsx]原始数据'!$A:$A,0)),""))</f>
        <v/>
      </c>
      <c r="H7">
        <f>IF($A7="","",IFERROR(INDEX('[AQ_2021.xlsx]原始数据'!$C:$C,MATCH($A7,'[AQ_2021.xlsx]原始数据'!$A:$A,0)),""))</f>
        <v/>
      </c>
      <c r="I7">
        <f>IF($A7="","",IFERROR(INDEX('[AQ_2022.xlsx]原始数据'!$C:$C,MATCH($A7,'[AQ_2022.xlsx]原始数据'!$A:$A,0)),""))</f>
        <v/>
      </c>
      <c r="J7">
        <f>IF($A7="","",IFERROR(INDEX('[AQ_2023.xlsx]原始数据'!$C:$C,MATCH($A7,'[AQ_2023.xlsx]原始数据'!$A:$A,0)),""))</f>
        <v/>
      </c>
      <c r="K7">
        <f>IF($A7="","",IFERROR(INDEX('[AQ_2024.xlsx]原始数据'!$C:$C,MATCH($A7,'[AQ_2024.xlsx]原始数据'!$A:$A,0)),""))</f>
        <v/>
      </c>
      <c r="L7">
        <f>IF($A7="","",IFERROR(INDEX('[AQ_2020.xlsx]原始数据'!$D:$D,MATCH($A7,'[AQ_2020.xlsx]原始数据'!$A:$A,0)),""))</f>
        <v/>
      </c>
      <c r="M7">
        <f>IF($A7="","",IFERROR(INDEX('[AQ_2021.xlsx]原始数据'!$D:$D,MATCH($A7,'[AQ_2021.xlsx]原始数据'!$A:$A,0)),""))</f>
        <v/>
      </c>
      <c r="N7">
        <f>IF($A7="","",IFERROR(INDEX('[AQ_2022.xlsx]原始数据'!$D:$D,MATCH($A7,'[AQ_2022.xlsx]原始数据'!$A:$A,0)),""))</f>
        <v/>
      </c>
      <c r="O7">
        <f>IF($A7="","",IFERROR(INDEX('[AQ_2023.xlsx]原始数据'!$D:$D,MATCH($A7,'[AQ_2023.xlsx]原始数据'!$A:$A,0)),""))</f>
        <v/>
      </c>
      <c r="P7">
        <f>IF($A7="","",IFERROR(INDEX('[AQ_2024.xlsx]原始数据'!$D:$D,MATCH($A7,'[AQ_2024.xlsx]原始数据'!$A:$A,0)),""))</f>
        <v/>
      </c>
      <c r="Q7">
        <f>IF($A7="","",IFERROR(INDEX('[AQ_2020.xlsx]原始数据'!$E:$E,MATCH($A7,'[AQ_2020.xlsx]原始数据'!$A:$A,0)),""))</f>
        <v/>
      </c>
      <c r="R7">
        <f>IF($A7="","",IFERROR(INDEX('[AQ_2021.xlsx]原始数据'!$E:$E,MATCH($A7,'[AQ_2021.xlsx]原始数据'!$A:$A,0)),""))</f>
        <v/>
      </c>
      <c r="S7">
        <f>IF($A7="","",IFERROR(INDEX('[AQ_2022.xlsx]原始数据'!$E:$E,MATCH($A7,'[AQ_2022.xlsx]原始数据'!$A:$A,0)),""))</f>
        <v/>
      </c>
      <c r="T7">
        <f>IF($A7="","",IFERROR(INDEX('[AQ_2023.xlsx]原始数据'!$E:$E,MATCH($A7,'[AQ_2023.xlsx]原始数据'!$A:$A,0)),""))</f>
        <v/>
      </c>
      <c r="U7">
        <f>IF($A7="","",IFERROR(INDEX('[AQ_2024.xlsx]原始数据'!$E:$E,MATCH($A7,'[AQ_2024.xlsx]原始数据'!$A:$A,0)),""))</f>
        <v/>
      </c>
      <c r="V7">
        <f>IF($A7="","",IFERROR(INDEX('[AQ_2020.xlsx]原始数据'!$F:$F,MATCH($A7,'[AQ_2020.xlsx]原始数据'!$A:$A,0)),""))</f>
        <v/>
      </c>
      <c r="W7">
        <f>IF($A7="","",IFERROR(INDEX('[AQ_2021.xlsx]原始数据'!$F:$F,MATCH($A7,'[AQ_2021.xlsx]原始数据'!$A:$A,0)),""))</f>
        <v/>
      </c>
      <c r="X7">
        <f>IF($A7="","",IFERROR(INDEX('[AQ_2022.xlsx]原始数据'!$F:$F,MATCH($A7,'[AQ_2022.xlsx]原始数据'!$A:$A,0)),""))</f>
        <v/>
      </c>
      <c r="Y7">
        <f>IF($A7="","",IFERROR(INDEX('[AQ_2023.xlsx]原始数据'!$F:$F,MATCH($A7,'[AQ_2023.xlsx]原始数据'!$A:$A,0)),""))</f>
        <v/>
      </c>
      <c r="Z7">
        <f>IF($A7="","",IFERROR(INDEX('[AQ_2024.xlsx]原始数据'!$F:$F,MATCH($A7,'[AQ_2024.xlsx]原始数据'!$A:$A,0)),""))</f>
        <v/>
      </c>
      <c r="AA7" s="2">
        <f>IFERROR(G7/B7,"")</f>
        <v/>
      </c>
      <c r="AB7" s="2">
        <f>IFERROR(H7/C7,"")</f>
        <v/>
      </c>
      <c r="AC7" s="2">
        <f>IFERROR(I7/D7,"")</f>
        <v/>
      </c>
      <c r="AD7" s="2">
        <f>IFERROR(J7/E7,"")</f>
        <v/>
      </c>
      <c r="AE7" s="2">
        <f>IFERROR(K7/F7,"")</f>
        <v/>
      </c>
      <c r="AF7" s="2">
        <f>IFERROR(L7/B7,"")</f>
        <v/>
      </c>
      <c r="AG7" s="2">
        <f>IFERROR(M7/C7,"")</f>
        <v/>
      </c>
      <c r="AH7" s="2">
        <f>IFERROR(N7/D7,"")</f>
        <v/>
      </c>
      <c r="AI7" s="2">
        <f>IFERROR(O7/E7,"")</f>
        <v/>
      </c>
      <c r="AJ7" s="2">
        <f>IFERROR(P7/F7,"")</f>
        <v/>
      </c>
      <c r="AK7" s="2">
        <f>IFERROR(Q7/B7,"")</f>
        <v/>
      </c>
      <c r="AL7" s="2">
        <f>IFERROR(R7/C7,"")</f>
        <v/>
      </c>
      <c r="AM7" s="2">
        <f>IFERROR(S7/D7,"")</f>
        <v/>
      </c>
      <c r="AN7" s="2">
        <f>IFERROR(T7/E7,"")</f>
        <v/>
      </c>
      <c r="AO7" s="2">
        <f>IFERROR(U7/F7,"")</f>
        <v/>
      </c>
    </row>
    <row r="8">
      <c r="B8">
        <f>IF($A8="","",IFERROR(INDEX('[AQ_2020.xlsx]原始数据'!$B:$B,MATCH($A8,'[AQ_2020.xlsx]原始数据'!$A:$A,0)),""))</f>
        <v/>
      </c>
      <c r="C8">
        <f>IF($A8="","",IFERROR(INDEX('[AQ_2021.xlsx]原始数据'!$B:$B,MATCH($A8,'[AQ_2021.xlsx]原始数据'!$A:$A,0)),""))</f>
        <v/>
      </c>
      <c r="D8">
        <f>IF($A8="","",IFERROR(INDEX('[AQ_2022.xlsx]原始数据'!$B:$B,MATCH($A8,'[AQ_2022.xlsx]原始数据'!$A:$A,0)),""))</f>
        <v/>
      </c>
      <c r="E8">
        <f>IF($A8="","",IFERROR(INDEX('[AQ_2023.xlsx]原始数据'!$B:$B,MATCH($A8,'[AQ_2023.xlsx]原始数据'!$A:$A,0)),""))</f>
        <v/>
      </c>
      <c r="F8">
        <f>IF($A8="","",IFERROR(INDEX('[AQ_2024.xlsx]原始数据'!$B:$B,MATCH($A8,'[AQ_2024.xlsx]原始数据'!$A:$A,0)),""))</f>
        <v/>
      </c>
      <c r="G8">
        <f>IF($A8="","",IFERROR(INDEX('[AQ_2020.xlsx]原始数据'!$C:$C,MATCH($A8,'[AQ_2020.xlsx]原始数据'!$A:$A,0)),""))</f>
        <v/>
      </c>
      <c r="H8">
        <f>IF($A8="","",IFERROR(INDEX('[AQ_2021.xlsx]原始数据'!$C:$C,MATCH($A8,'[AQ_2021.xlsx]原始数据'!$A:$A,0)),""))</f>
        <v/>
      </c>
      <c r="I8">
        <f>IF($A8="","",IFERROR(INDEX('[AQ_2022.xlsx]原始数据'!$C:$C,MATCH($A8,'[AQ_2022.xlsx]原始数据'!$A:$A,0)),""))</f>
        <v/>
      </c>
      <c r="J8">
        <f>IF($A8="","",IFERROR(INDEX('[AQ_2023.xlsx]原始数据'!$C:$C,MATCH($A8,'[AQ_2023.xlsx]原始数据'!$A:$A,0)),""))</f>
        <v/>
      </c>
      <c r="K8">
        <f>IF($A8="","",IFERROR(INDEX('[AQ_2024.xlsx]原始数据'!$C:$C,MATCH($A8,'[AQ_2024.xlsx]原始数据'!$A:$A,0)),""))</f>
        <v/>
      </c>
      <c r="L8">
        <f>IF($A8="","",IFERROR(INDEX('[AQ_2020.xlsx]原始数据'!$D:$D,MATCH($A8,'[AQ_2020.xlsx]原始数据'!$A:$A,0)),""))</f>
        <v/>
      </c>
      <c r="M8">
        <f>IF($A8="","",IFERROR(INDEX('[AQ_2021.xlsx]原始数据'!$D:$D,MATCH($A8,'[AQ_2021.xlsx]原始数据'!$A:$A,0)),""))</f>
        <v/>
      </c>
      <c r="N8">
        <f>IF($A8="","",IFERROR(INDEX('[AQ_2022.xlsx]原始数据'!$D:$D,MATCH($A8,'[AQ_2022.xlsx]原始数据'!$A:$A,0)),""))</f>
        <v/>
      </c>
      <c r="O8">
        <f>IF($A8="","",IFERROR(INDEX('[AQ_2023.xlsx]原始数据'!$D:$D,MATCH($A8,'[AQ_2023.xlsx]原始数据'!$A:$A,0)),""))</f>
        <v/>
      </c>
      <c r="P8">
        <f>IF($A8="","",IFERROR(INDEX('[AQ_2024.xlsx]原始数据'!$D:$D,MATCH($A8,'[AQ_2024.xlsx]原始数据'!$A:$A,0)),""))</f>
        <v/>
      </c>
      <c r="Q8">
        <f>IF($A8="","",IFERROR(INDEX('[AQ_2020.xlsx]原始数据'!$E:$E,MATCH($A8,'[AQ_2020.xlsx]原始数据'!$A:$A,0)),""))</f>
        <v/>
      </c>
      <c r="R8">
        <f>IF($A8="","",IFERROR(INDEX('[AQ_2021.xlsx]原始数据'!$E:$E,MATCH($A8,'[AQ_2021.xlsx]原始数据'!$A:$A,0)),""))</f>
        <v/>
      </c>
      <c r="S8">
        <f>IF($A8="","",IFERROR(INDEX('[AQ_2022.xlsx]原始数据'!$E:$E,MATCH($A8,'[AQ_2022.xlsx]原始数据'!$A:$A,0)),""))</f>
        <v/>
      </c>
      <c r="T8">
        <f>IF($A8="","",IFERROR(INDEX('[AQ_2023.xlsx]原始数据'!$E:$E,MATCH($A8,'[AQ_2023.xlsx]原始数据'!$A:$A,0)),""))</f>
        <v/>
      </c>
      <c r="U8">
        <f>IF($A8="","",IFERROR(INDEX('[AQ_2024.xlsx]原始数据'!$E:$E,MATCH($A8,'[AQ_2024.xlsx]原始数据'!$A:$A,0)),""))</f>
        <v/>
      </c>
      <c r="V8">
        <f>IF($A8="","",IFERROR(INDEX('[AQ_2020.xlsx]原始数据'!$F:$F,MATCH($A8,'[AQ_2020.xlsx]原始数据'!$A:$A,0)),""))</f>
        <v/>
      </c>
      <c r="W8">
        <f>IF($A8="","",IFERROR(INDEX('[AQ_2021.xlsx]原始数据'!$F:$F,MATCH($A8,'[AQ_2021.xlsx]原始数据'!$A:$A,0)),""))</f>
        <v/>
      </c>
      <c r="X8">
        <f>IF($A8="","",IFERROR(INDEX('[AQ_2022.xlsx]原始数据'!$F:$F,MATCH($A8,'[AQ_2022.xlsx]原始数据'!$A:$A,0)),""))</f>
        <v/>
      </c>
      <c r="Y8">
        <f>IF($A8="","",IFERROR(INDEX('[AQ_2023.xlsx]原始数据'!$F:$F,MATCH($A8,'[AQ_2023.xlsx]原始数据'!$A:$A,0)),""))</f>
        <v/>
      </c>
      <c r="Z8">
        <f>IF($A8="","",IFERROR(INDEX('[AQ_2024.xlsx]原始数据'!$F:$F,MATCH($A8,'[AQ_2024.xlsx]原始数据'!$A:$A,0)),""))</f>
        <v/>
      </c>
      <c r="AA8" s="2">
        <f>IFERROR(G8/B8,"")</f>
        <v/>
      </c>
      <c r="AB8" s="2">
        <f>IFERROR(H8/C8,"")</f>
        <v/>
      </c>
      <c r="AC8" s="2">
        <f>IFERROR(I8/D8,"")</f>
        <v/>
      </c>
      <c r="AD8" s="2">
        <f>IFERROR(J8/E8,"")</f>
        <v/>
      </c>
      <c r="AE8" s="2">
        <f>IFERROR(K8/F8,"")</f>
        <v/>
      </c>
      <c r="AF8" s="2">
        <f>IFERROR(L8/B8,"")</f>
        <v/>
      </c>
      <c r="AG8" s="2">
        <f>IFERROR(M8/C8,"")</f>
        <v/>
      </c>
      <c r="AH8" s="2">
        <f>IFERROR(N8/D8,"")</f>
        <v/>
      </c>
      <c r="AI8" s="2">
        <f>IFERROR(O8/E8,"")</f>
        <v/>
      </c>
      <c r="AJ8" s="2">
        <f>IFERROR(P8/F8,"")</f>
        <v/>
      </c>
      <c r="AK8" s="2">
        <f>IFERROR(Q8/B8,"")</f>
        <v/>
      </c>
      <c r="AL8" s="2">
        <f>IFERROR(R8/C8,"")</f>
        <v/>
      </c>
      <c r="AM8" s="2">
        <f>IFERROR(S8/D8,"")</f>
        <v/>
      </c>
      <c r="AN8" s="2">
        <f>IFERROR(T8/E8,"")</f>
        <v/>
      </c>
      <c r="AO8" s="2">
        <f>IFERROR(U8/F8,"")</f>
        <v/>
      </c>
    </row>
    <row r="9">
      <c r="B9">
        <f>IF($A9="","",IFERROR(INDEX('[AQ_2020.xlsx]原始数据'!$B:$B,MATCH($A9,'[AQ_2020.xlsx]原始数据'!$A:$A,0)),""))</f>
        <v/>
      </c>
      <c r="C9">
        <f>IF($A9="","",IFERROR(INDEX('[AQ_2021.xlsx]原始数据'!$B:$B,MATCH($A9,'[AQ_2021.xlsx]原始数据'!$A:$A,0)),""))</f>
        <v/>
      </c>
      <c r="D9">
        <f>IF($A9="","",IFERROR(INDEX('[AQ_2022.xlsx]原始数据'!$B:$B,MATCH($A9,'[AQ_2022.xlsx]原始数据'!$A:$A,0)),""))</f>
        <v/>
      </c>
      <c r="E9">
        <f>IF($A9="","",IFERROR(INDEX('[AQ_2023.xlsx]原始数据'!$B:$B,MATCH($A9,'[AQ_2023.xlsx]原始数据'!$A:$A,0)),""))</f>
        <v/>
      </c>
      <c r="F9">
        <f>IF($A9="","",IFERROR(INDEX('[AQ_2024.xlsx]原始数据'!$B:$B,MATCH($A9,'[AQ_2024.xlsx]原始数据'!$A:$A,0)),""))</f>
        <v/>
      </c>
      <c r="G9">
        <f>IF($A9="","",IFERROR(INDEX('[AQ_2020.xlsx]原始数据'!$C:$C,MATCH($A9,'[AQ_2020.xlsx]原始数据'!$A:$A,0)),""))</f>
        <v/>
      </c>
      <c r="H9">
        <f>IF($A9="","",IFERROR(INDEX('[AQ_2021.xlsx]原始数据'!$C:$C,MATCH($A9,'[AQ_2021.xlsx]原始数据'!$A:$A,0)),""))</f>
        <v/>
      </c>
      <c r="I9">
        <f>IF($A9="","",IFERROR(INDEX('[AQ_2022.xlsx]原始数据'!$C:$C,MATCH($A9,'[AQ_2022.xlsx]原始数据'!$A:$A,0)),""))</f>
        <v/>
      </c>
      <c r="J9">
        <f>IF($A9="","",IFERROR(INDEX('[AQ_2023.xlsx]原始数据'!$C:$C,MATCH($A9,'[AQ_2023.xlsx]原始数据'!$A:$A,0)),""))</f>
        <v/>
      </c>
      <c r="K9">
        <f>IF($A9="","",IFERROR(INDEX('[AQ_2024.xlsx]原始数据'!$C:$C,MATCH($A9,'[AQ_2024.xlsx]原始数据'!$A:$A,0)),""))</f>
        <v/>
      </c>
      <c r="L9">
        <f>IF($A9="","",IFERROR(INDEX('[AQ_2020.xlsx]原始数据'!$D:$D,MATCH($A9,'[AQ_2020.xlsx]原始数据'!$A:$A,0)),""))</f>
        <v/>
      </c>
      <c r="M9">
        <f>IF($A9="","",IFERROR(INDEX('[AQ_2021.xlsx]原始数据'!$D:$D,MATCH($A9,'[AQ_2021.xlsx]原始数据'!$A:$A,0)),""))</f>
        <v/>
      </c>
      <c r="N9">
        <f>IF($A9="","",IFERROR(INDEX('[AQ_2022.xlsx]原始数据'!$D:$D,MATCH($A9,'[AQ_2022.xlsx]原始数据'!$A:$A,0)),""))</f>
        <v/>
      </c>
      <c r="O9">
        <f>IF($A9="","",IFERROR(INDEX('[AQ_2023.xlsx]原始数据'!$D:$D,MATCH($A9,'[AQ_2023.xlsx]原始数据'!$A:$A,0)),""))</f>
        <v/>
      </c>
      <c r="P9">
        <f>IF($A9="","",IFERROR(INDEX('[AQ_2024.xlsx]原始数据'!$D:$D,MATCH($A9,'[AQ_2024.xlsx]原始数据'!$A:$A,0)),""))</f>
        <v/>
      </c>
      <c r="Q9">
        <f>IF($A9="","",IFERROR(INDEX('[AQ_2020.xlsx]原始数据'!$E:$E,MATCH($A9,'[AQ_2020.xlsx]原始数据'!$A:$A,0)),""))</f>
        <v/>
      </c>
      <c r="R9">
        <f>IF($A9="","",IFERROR(INDEX('[AQ_2021.xlsx]原始数据'!$E:$E,MATCH($A9,'[AQ_2021.xlsx]原始数据'!$A:$A,0)),""))</f>
        <v/>
      </c>
      <c r="S9">
        <f>IF($A9="","",IFERROR(INDEX('[AQ_2022.xlsx]原始数据'!$E:$E,MATCH($A9,'[AQ_2022.xlsx]原始数据'!$A:$A,0)),""))</f>
        <v/>
      </c>
      <c r="T9">
        <f>IF($A9="","",IFERROR(INDEX('[AQ_2023.xlsx]原始数据'!$E:$E,MATCH($A9,'[AQ_2023.xlsx]原始数据'!$A:$A,0)),""))</f>
        <v/>
      </c>
      <c r="U9">
        <f>IF($A9="","",IFERROR(INDEX('[AQ_2024.xlsx]原始数据'!$E:$E,MATCH($A9,'[AQ_2024.xlsx]原始数据'!$A:$A,0)),""))</f>
        <v/>
      </c>
      <c r="V9">
        <f>IF($A9="","",IFERROR(INDEX('[AQ_2020.xlsx]原始数据'!$F:$F,MATCH($A9,'[AQ_2020.xlsx]原始数据'!$A:$A,0)),""))</f>
        <v/>
      </c>
      <c r="W9">
        <f>IF($A9="","",IFERROR(INDEX('[AQ_2021.xlsx]原始数据'!$F:$F,MATCH($A9,'[AQ_2021.xlsx]原始数据'!$A:$A,0)),""))</f>
        <v/>
      </c>
      <c r="X9">
        <f>IF($A9="","",IFERROR(INDEX('[AQ_2022.xlsx]原始数据'!$F:$F,MATCH($A9,'[AQ_2022.xlsx]原始数据'!$A:$A,0)),""))</f>
        <v/>
      </c>
      <c r="Y9">
        <f>IF($A9="","",IFERROR(INDEX('[AQ_2023.xlsx]原始数据'!$F:$F,MATCH($A9,'[AQ_2023.xlsx]原始数据'!$A:$A,0)),""))</f>
        <v/>
      </c>
      <c r="Z9">
        <f>IF($A9="","",IFERROR(INDEX('[AQ_2024.xlsx]原始数据'!$F:$F,MATCH($A9,'[AQ_2024.xlsx]原始数据'!$A:$A,0)),""))</f>
        <v/>
      </c>
      <c r="AA9" s="2">
        <f>IFERROR(G9/B9,"")</f>
        <v/>
      </c>
      <c r="AB9" s="2">
        <f>IFERROR(H9/C9,"")</f>
        <v/>
      </c>
      <c r="AC9" s="2">
        <f>IFERROR(I9/D9,"")</f>
        <v/>
      </c>
      <c r="AD9" s="2">
        <f>IFERROR(J9/E9,"")</f>
        <v/>
      </c>
      <c r="AE9" s="2">
        <f>IFERROR(K9/F9,"")</f>
        <v/>
      </c>
      <c r="AF9" s="2">
        <f>IFERROR(L9/B9,"")</f>
        <v/>
      </c>
      <c r="AG9" s="2">
        <f>IFERROR(M9/C9,"")</f>
        <v/>
      </c>
      <c r="AH9" s="2">
        <f>IFERROR(N9/D9,"")</f>
        <v/>
      </c>
      <c r="AI9" s="2">
        <f>IFERROR(O9/E9,"")</f>
        <v/>
      </c>
      <c r="AJ9" s="2">
        <f>IFERROR(P9/F9,"")</f>
        <v/>
      </c>
      <c r="AK9" s="2">
        <f>IFERROR(Q9/B9,"")</f>
        <v/>
      </c>
      <c r="AL9" s="2">
        <f>IFERROR(R9/C9,"")</f>
        <v/>
      </c>
      <c r="AM9" s="2">
        <f>IFERROR(S9/D9,"")</f>
        <v/>
      </c>
      <c r="AN9" s="2">
        <f>IFERROR(T9/E9,"")</f>
        <v/>
      </c>
      <c r="AO9" s="2">
        <f>IFERROR(U9/F9,"")</f>
        <v/>
      </c>
    </row>
    <row r="10">
      <c r="B10">
        <f>IF($A10="","",IFERROR(INDEX('[AQ_2020.xlsx]原始数据'!$B:$B,MATCH($A10,'[AQ_2020.xlsx]原始数据'!$A:$A,0)),""))</f>
        <v/>
      </c>
      <c r="C10">
        <f>IF($A10="","",IFERROR(INDEX('[AQ_2021.xlsx]原始数据'!$B:$B,MATCH($A10,'[AQ_2021.xlsx]原始数据'!$A:$A,0)),""))</f>
        <v/>
      </c>
      <c r="D10">
        <f>IF($A10="","",IFERROR(INDEX('[AQ_2022.xlsx]原始数据'!$B:$B,MATCH($A10,'[AQ_2022.xlsx]原始数据'!$A:$A,0)),""))</f>
        <v/>
      </c>
      <c r="E10">
        <f>IF($A10="","",IFERROR(INDEX('[AQ_2023.xlsx]原始数据'!$B:$B,MATCH($A10,'[AQ_2023.xlsx]原始数据'!$A:$A,0)),""))</f>
        <v/>
      </c>
      <c r="F10">
        <f>IF($A10="","",IFERROR(INDEX('[AQ_2024.xlsx]原始数据'!$B:$B,MATCH($A10,'[AQ_2024.xlsx]原始数据'!$A:$A,0)),""))</f>
        <v/>
      </c>
      <c r="G10">
        <f>IF($A10="","",IFERROR(INDEX('[AQ_2020.xlsx]原始数据'!$C:$C,MATCH($A10,'[AQ_2020.xlsx]原始数据'!$A:$A,0)),""))</f>
        <v/>
      </c>
      <c r="H10">
        <f>IF($A10="","",IFERROR(INDEX('[AQ_2021.xlsx]原始数据'!$C:$C,MATCH($A10,'[AQ_2021.xlsx]原始数据'!$A:$A,0)),""))</f>
        <v/>
      </c>
      <c r="I10">
        <f>IF($A10="","",IFERROR(INDEX('[AQ_2022.xlsx]原始数据'!$C:$C,MATCH($A10,'[AQ_2022.xlsx]原始数据'!$A:$A,0)),""))</f>
        <v/>
      </c>
      <c r="J10">
        <f>IF($A10="","",IFERROR(INDEX('[AQ_2023.xlsx]原始数据'!$C:$C,MATCH($A10,'[AQ_2023.xlsx]原始数据'!$A:$A,0)),""))</f>
        <v/>
      </c>
      <c r="K10">
        <f>IF($A10="","",IFERROR(INDEX('[AQ_2024.xlsx]原始数据'!$C:$C,MATCH($A10,'[AQ_2024.xlsx]原始数据'!$A:$A,0)),""))</f>
        <v/>
      </c>
      <c r="L10">
        <f>IF($A10="","",IFERROR(INDEX('[AQ_2020.xlsx]原始数据'!$D:$D,MATCH($A10,'[AQ_2020.xlsx]原始数据'!$A:$A,0)),""))</f>
        <v/>
      </c>
      <c r="M10">
        <f>IF($A10="","",IFERROR(INDEX('[AQ_2021.xlsx]原始数据'!$D:$D,MATCH($A10,'[AQ_2021.xlsx]原始数据'!$A:$A,0)),""))</f>
        <v/>
      </c>
      <c r="N10">
        <f>IF($A10="","",IFERROR(INDEX('[AQ_2022.xlsx]原始数据'!$D:$D,MATCH($A10,'[AQ_2022.xlsx]原始数据'!$A:$A,0)),""))</f>
        <v/>
      </c>
      <c r="O10">
        <f>IF($A10="","",IFERROR(INDEX('[AQ_2023.xlsx]原始数据'!$D:$D,MATCH($A10,'[AQ_2023.xlsx]原始数据'!$A:$A,0)),""))</f>
        <v/>
      </c>
      <c r="P10">
        <f>IF($A10="","",IFERROR(INDEX('[AQ_2024.xlsx]原始数据'!$D:$D,MATCH($A10,'[AQ_2024.xlsx]原始数据'!$A:$A,0)),""))</f>
        <v/>
      </c>
      <c r="Q10">
        <f>IF($A10="","",IFERROR(INDEX('[AQ_2020.xlsx]原始数据'!$E:$E,MATCH($A10,'[AQ_2020.xlsx]原始数据'!$A:$A,0)),""))</f>
        <v/>
      </c>
      <c r="R10">
        <f>IF($A10="","",IFERROR(INDEX('[AQ_2021.xlsx]原始数据'!$E:$E,MATCH($A10,'[AQ_2021.xlsx]原始数据'!$A:$A,0)),""))</f>
        <v/>
      </c>
      <c r="S10">
        <f>IF($A10="","",IFERROR(INDEX('[AQ_2022.xlsx]原始数据'!$E:$E,MATCH($A10,'[AQ_2022.xlsx]原始数据'!$A:$A,0)),""))</f>
        <v/>
      </c>
      <c r="T10">
        <f>IF($A10="","",IFERROR(INDEX('[AQ_2023.xlsx]原始数据'!$E:$E,MATCH($A10,'[AQ_2023.xlsx]原始数据'!$A:$A,0)),""))</f>
        <v/>
      </c>
      <c r="U10">
        <f>IF($A10="","",IFERROR(INDEX('[AQ_2024.xlsx]原始数据'!$E:$E,MATCH($A10,'[AQ_2024.xlsx]原始数据'!$A:$A,0)),""))</f>
        <v/>
      </c>
      <c r="V10">
        <f>IF($A10="","",IFERROR(INDEX('[AQ_2020.xlsx]原始数据'!$F:$F,MATCH($A10,'[AQ_2020.xlsx]原始数据'!$A:$A,0)),""))</f>
        <v/>
      </c>
      <c r="W10">
        <f>IF($A10="","",IFERROR(INDEX('[AQ_2021.xlsx]原始数据'!$F:$F,MATCH($A10,'[AQ_2021.xlsx]原始数据'!$A:$A,0)),""))</f>
        <v/>
      </c>
      <c r="X10">
        <f>IF($A10="","",IFERROR(INDEX('[AQ_2022.xlsx]原始数据'!$F:$F,MATCH($A10,'[AQ_2022.xlsx]原始数据'!$A:$A,0)),""))</f>
        <v/>
      </c>
      <c r="Y10">
        <f>IF($A10="","",IFERROR(INDEX('[AQ_2023.xlsx]原始数据'!$F:$F,MATCH($A10,'[AQ_2023.xlsx]原始数据'!$A:$A,0)),""))</f>
        <v/>
      </c>
      <c r="Z10">
        <f>IF($A10="","",IFERROR(INDEX('[AQ_2024.xlsx]原始数据'!$F:$F,MATCH($A10,'[AQ_2024.xlsx]原始数据'!$A:$A,0)),""))</f>
        <v/>
      </c>
      <c r="AA10" s="2">
        <f>IFERROR(G10/B10,"")</f>
        <v/>
      </c>
      <c r="AB10" s="2">
        <f>IFERROR(H10/C10,"")</f>
        <v/>
      </c>
      <c r="AC10" s="2">
        <f>IFERROR(I10/D10,"")</f>
        <v/>
      </c>
      <c r="AD10" s="2">
        <f>IFERROR(J10/E10,"")</f>
        <v/>
      </c>
      <c r="AE10" s="2">
        <f>IFERROR(K10/F10,"")</f>
        <v/>
      </c>
      <c r="AF10" s="2">
        <f>IFERROR(L10/B10,"")</f>
        <v/>
      </c>
      <c r="AG10" s="2">
        <f>IFERROR(M10/C10,"")</f>
        <v/>
      </c>
      <c r="AH10" s="2">
        <f>IFERROR(N10/D10,"")</f>
        <v/>
      </c>
      <c r="AI10" s="2">
        <f>IFERROR(O10/E10,"")</f>
        <v/>
      </c>
      <c r="AJ10" s="2">
        <f>IFERROR(P10/F10,"")</f>
        <v/>
      </c>
      <c r="AK10" s="2">
        <f>IFERROR(Q10/B10,"")</f>
        <v/>
      </c>
      <c r="AL10" s="2">
        <f>IFERROR(R10/C10,"")</f>
        <v/>
      </c>
      <c r="AM10" s="2">
        <f>IFERROR(S10/D10,"")</f>
        <v/>
      </c>
      <c r="AN10" s="2">
        <f>IFERROR(T10/E10,"")</f>
        <v/>
      </c>
      <c r="AO10" s="2">
        <f>IFERROR(U10/F10,"")</f>
        <v/>
      </c>
    </row>
    <row r="11">
      <c r="B11">
        <f>IF($A11="","",IFERROR(INDEX('[AQ_2020.xlsx]原始数据'!$B:$B,MATCH($A11,'[AQ_2020.xlsx]原始数据'!$A:$A,0)),""))</f>
        <v/>
      </c>
      <c r="C11">
        <f>IF($A11="","",IFERROR(INDEX('[AQ_2021.xlsx]原始数据'!$B:$B,MATCH($A11,'[AQ_2021.xlsx]原始数据'!$A:$A,0)),""))</f>
        <v/>
      </c>
      <c r="D11">
        <f>IF($A11="","",IFERROR(INDEX('[AQ_2022.xlsx]原始数据'!$B:$B,MATCH($A11,'[AQ_2022.xlsx]原始数据'!$A:$A,0)),""))</f>
        <v/>
      </c>
      <c r="E11">
        <f>IF($A11="","",IFERROR(INDEX('[AQ_2023.xlsx]原始数据'!$B:$B,MATCH($A11,'[AQ_2023.xlsx]原始数据'!$A:$A,0)),""))</f>
        <v/>
      </c>
      <c r="F11">
        <f>IF($A11="","",IFERROR(INDEX('[AQ_2024.xlsx]原始数据'!$B:$B,MATCH($A11,'[AQ_2024.xlsx]原始数据'!$A:$A,0)),""))</f>
        <v/>
      </c>
      <c r="G11">
        <f>IF($A11="","",IFERROR(INDEX('[AQ_2020.xlsx]原始数据'!$C:$C,MATCH($A11,'[AQ_2020.xlsx]原始数据'!$A:$A,0)),""))</f>
        <v/>
      </c>
      <c r="H11">
        <f>IF($A11="","",IFERROR(INDEX('[AQ_2021.xlsx]原始数据'!$C:$C,MATCH($A11,'[AQ_2021.xlsx]原始数据'!$A:$A,0)),""))</f>
        <v/>
      </c>
      <c r="I11">
        <f>IF($A11="","",IFERROR(INDEX('[AQ_2022.xlsx]原始数据'!$C:$C,MATCH($A11,'[AQ_2022.xlsx]原始数据'!$A:$A,0)),""))</f>
        <v/>
      </c>
      <c r="J11">
        <f>IF($A11="","",IFERROR(INDEX('[AQ_2023.xlsx]原始数据'!$C:$C,MATCH($A11,'[AQ_2023.xlsx]原始数据'!$A:$A,0)),""))</f>
        <v/>
      </c>
      <c r="K11">
        <f>IF($A11="","",IFERROR(INDEX('[AQ_2024.xlsx]原始数据'!$C:$C,MATCH($A11,'[AQ_2024.xlsx]原始数据'!$A:$A,0)),""))</f>
        <v/>
      </c>
      <c r="L11">
        <f>IF($A11="","",IFERROR(INDEX('[AQ_2020.xlsx]原始数据'!$D:$D,MATCH($A11,'[AQ_2020.xlsx]原始数据'!$A:$A,0)),""))</f>
        <v/>
      </c>
      <c r="M11">
        <f>IF($A11="","",IFERROR(INDEX('[AQ_2021.xlsx]原始数据'!$D:$D,MATCH($A11,'[AQ_2021.xlsx]原始数据'!$A:$A,0)),""))</f>
        <v/>
      </c>
      <c r="N11">
        <f>IF($A11="","",IFERROR(INDEX('[AQ_2022.xlsx]原始数据'!$D:$D,MATCH($A11,'[AQ_2022.xlsx]原始数据'!$A:$A,0)),""))</f>
        <v/>
      </c>
      <c r="O11">
        <f>IF($A11="","",IFERROR(INDEX('[AQ_2023.xlsx]原始数据'!$D:$D,MATCH($A11,'[AQ_2023.xlsx]原始数据'!$A:$A,0)),""))</f>
        <v/>
      </c>
      <c r="P11">
        <f>IF($A11="","",IFERROR(INDEX('[AQ_2024.xlsx]原始数据'!$D:$D,MATCH($A11,'[AQ_2024.xlsx]原始数据'!$A:$A,0)),""))</f>
        <v/>
      </c>
      <c r="Q11">
        <f>IF($A11="","",IFERROR(INDEX('[AQ_2020.xlsx]原始数据'!$E:$E,MATCH($A11,'[AQ_2020.xlsx]原始数据'!$A:$A,0)),""))</f>
        <v/>
      </c>
      <c r="R11">
        <f>IF($A11="","",IFERROR(INDEX('[AQ_2021.xlsx]原始数据'!$E:$E,MATCH($A11,'[AQ_2021.xlsx]原始数据'!$A:$A,0)),""))</f>
        <v/>
      </c>
      <c r="S11">
        <f>IF($A11="","",IFERROR(INDEX('[AQ_2022.xlsx]原始数据'!$E:$E,MATCH($A11,'[AQ_2022.xlsx]原始数据'!$A:$A,0)),""))</f>
        <v/>
      </c>
      <c r="T11">
        <f>IF($A11="","",IFERROR(INDEX('[AQ_2023.xlsx]原始数据'!$E:$E,MATCH($A11,'[AQ_2023.xlsx]原始数据'!$A:$A,0)),""))</f>
        <v/>
      </c>
      <c r="U11">
        <f>IF($A11="","",IFERROR(INDEX('[AQ_2024.xlsx]原始数据'!$E:$E,MATCH($A11,'[AQ_2024.xlsx]原始数据'!$A:$A,0)),""))</f>
        <v/>
      </c>
      <c r="V11">
        <f>IF($A11="","",IFERROR(INDEX('[AQ_2020.xlsx]原始数据'!$F:$F,MATCH($A11,'[AQ_2020.xlsx]原始数据'!$A:$A,0)),""))</f>
        <v/>
      </c>
      <c r="W11">
        <f>IF($A11="","",IFERROR(INDEX('[AQ_2021.xlsx]原始数据'!$F:$F,MATCH($A11,'[AQ_2021.xlsx]原始数据'!$A:$A,0)),""))</f>
        <v/>
      </c>
      <c r="X11">
        <f>IF($A11="","",IFERROR(INDEX('[AQ_2022.xlsx]原始数据'!$F:$F,MATCH($A11,'[AQ_2022.xlsx]原始数据'!$A:$A,0)),""))</f>
        <v/>
      </c>
      <c r="Y11">
        <f>IF($A11="","",IFERROR(INDEX('[AQ_2023.xlsx]原始数据'!$F:$F,MATCH($A11,'[AQ_2023.xlsx]原始数据'!$A:$A,0)),""))</f>
        <v/>
      </c>
      <c r="Z11">
        <f>IF($A11="","",IFERROR(INDEX('[AQ_2024.xlsx]原始数据'!$F:$F,MATCH($A11,'[AQ_2024.xlsx]原始数据'!$A:$A,0)),""))</f>
        <v/>
      </c>
      <c r="AA11" s="2">
        <f>IFERROR(G11/B11,"")</f>
        <v/>
      </c>
      <c r="AB11" s="2">
        <f>IFERROR(H11/C11,"")</f>
        <v/>
      </c>
      <c r="AC11" s="2">
        <f>IFERROR(I11/D11,"")</f>
        <v/>
      </c>
      <c r="AD11" s="2">
        <f>IFERROR(J11/E11,"")</f>
        <v/>
      </c>
      <c r="AE11" s="2">
        <f>IFERROR(K11/F11,"")</f>
        <v/>
      </c>
      <c r="AF11" s="2">
        <f>IFERROR(L11/B11,"")</f>
        <v/>
      </c>
      <c r="AG11" s="2">
        <f>IFERROR(M11/C11,"")</f>
        <v/>
      </c>
      <c r="AH11" s="2">
        <f>IFERROR(N11/D11,"")</f>
        <v/>
      </c>
      <c r="AI11" s="2">
        <f>IFERROR(O11/E11,"")</f>
        <v/>
      </c>
      <c r="AJ11" s="2">
        <f>IFERROR(P11/F11,"")</f>
        <v/>
      </c>
      <c r="AK11" s="2">
        <f>IFERROR(Q11/B11,"")</f>
        <v/>
      </c>
      <c r="AL11" s="2">
        <f>IFERROR(R11/C11,"")</f>
        <v/>
      </c>
      <c r="AM11" s="2">
        <f>IFERROR(S11/D11,"")</f>
        <v/>
      </c>
      <c r="AN11" s="2">
        <f>IFERROR(T11/E11,"")</f>
        <v/>
      </c>
      <c r="AO11" s="2">
        <f>IFERROR(U11/F11,"")</f>
        <v/>
      </c>
    </row>
    <row r="12">
      <c r="B12">
        <f>IF($A12="","",IFERROR(INDEX('[AQ_2020.xlsx]原始数据'!$B:$B,MATCH($A12,'[AQ_2020.xlsx]原始数据'!$A:$A,0)),""))</f>
        <v/>
      </c>
      <c r="C12">
        <f>IF($A12="","",IFERROR(INDEX('[AQ_2021.xlsx]原始数据'!$B:$B,MATCH($A12,'[AQ_2021.xlsx]原始数据'!$A:$A,0)),""))</f>
        <v/>
      </c>
      <c r="D12">
        <f>IF($A12="","",IFERROR(INDEX('[AQ_2022.xlsx]原始数据'!$B:$B,MATCH($A12,'[AQ_2022.xlsx]原始数据'!$A:$A,0)),""))</f>
        <v/>
      </c>
      <c r="E12">
        <f>IF($A12="","",IFERROR(INDEX('[AQ_2023.xlsx]原始数据'!$B:$B,MATCH($A12,'[AQ_2023.xlsx]原始数据'!$A:$A,0)),""))</f>
        <v/>
      </c>
      <c r="F12">
        <f>IF($A12="","",IFERROR(INDEX('[AQ_2024.xlsx]原始数据'!$B:$B,MATCH($A12,'[AQ_2024.xlsx]原始数据'!$A:$A,0)),""))</f>
        <v/>
      </c>
      <c r="G12">
        <f>IF($A12="","",IFERROR(INDEX('[AQ_2020.xlsx]原始数据'!$C:$C,MATCH($A12,'[AQ_2020.xlsx]原始数据'!$A:$A,0)),""))</f>
        <v/>
      </c>
      <c r="H12">
        <f>IF($A12="","",IFERROR(INDEX('[AQ_2021.xlsx]原始数据'!$C:$C,MATCH($A12,'[AQ_2021.xlsx]原始数据'!$A:$A,0)),""))</f>
        <v/>
      </c>
      <c r="I12">
        <f>IF($A12="","",IFERROR(INDEX('[AQ_2022.xlsx]原始数据'!$C:$C,MATCH($A12,'[AQ_2022.xlsx]原始数据'!$A:$A,0)),""))</f>
        <v/>
      </c>
      <c r="J12">
        <f>IF($A12="","",IFERROR(INDEX('[AQ_2023.xlsx]原始数据'!$C:$C,MATCH($A12,'[AQ_2023.xlsx]原始数据'!$A:$A,0)),""))</f>
        <v/>
      </c>
      <c r="K12">
        <f>IF($A12="","",IFERROR(INDEX('[AQ_2024.xlsx]原始数据'!$C:$C,MATCH($A12,'[AQ_2024.xlsx]原始数据'!$A:$A,0)),""))</f>
        <v/>
      </c>
      <c r="L12">
        <f>IF($A12="","",IFERROR(INDEX('[AQ_2020.xlsx]原始数据'!$D:$D,MATCH($A12,'[AQ_2020.xlsx]原始数据'!$A:$A,0)),""))</f>
        <v/>
      </c>
      <c r="M12">
        <f>IF($A12="","",IFERROR(INDEX('[AQ_2021.xlsx]原始数据'!$D:$D,MATCH($A12,'[AQ_2021.xlsx]原始数据'!$A:$A,0)),""))</f>
        <v/>
      </c>
      <c r="N12">
        <f>IF($A12="","",IFERROR(INDEX('[AQ_2022.xlsx]原始数据'!$D:$D,MATCH($A12,'[AQ_2022.xlsx]原始数据'!$A:$A,0)),""))</f>
        <v/>
      </c>
      <c r="O12">
        <f>IF($A12="","",IFERROR(INDEX('[AQ_2023.xlsx]原始数据'!$D:$D,MATCH($A12,'[AQ_2023.xlsx]原始数据'!$A:$A,0)),""))</f>
        <v/>
      </c>
      <c r="P12">
        <f>IF($A12="","",IFERROR(INDEX('[AQ_2024.xlsx]原始数据'!$D:$D,MATCH($A12,'[AQ_2024.xlsx]原始数据'!$A:$A,0)),""))</f>
        <v/>
      </c>
      <c r="Q12">
        <f>IF($A12="","",IFERROR(INDEX('[AQ_2020.xlsx]原始数据'!$E:$E,MATCH($A12,'[AQ_2020.xlsx]原始数据'!$A:$A,0)),""))</f>
        <v/>
      </c>
      <c r="R12">
        <f>IF($A12="","",IFERROR(INDEX('[AQ_2021.xlsx]原始数据'!$E:$E,MATCH($A12,'[AQ_2021.xlsx]原始数据'!$A:$A,0)),""))</f>
        <v/>
      </c>
      <c r="S12">
        <f>IF($A12="","",IFERROR(INDEX('[AQ_2022.xlsx]原始数据'!$E:$E,MATCH($A12,'[AQ_2022.xlsx]原始数据'!$A:$A,0)),""))</f>
        <v/>
      </c>
      <c r="T12">
        <f>IF($A12="","",IFERROR(INDEX('[AQ_2023.xlsx]原始数据'!$E:$E,MATCH($A12,'[AQ_2023.xlsx]原始数据'!$A:$A,0)),""))</f>
        <v/>
      </c>
      <c r="U12">
        <f>IF($A12="","",IFERROR(INDEX('[AQ_2024.xlsx]原始数据'!$E:$E,MATCH($A12,'[AQ_2024.xlsx]原始数据'!$A:$A,0)),""))</f>
        <v/>
      </c>
      <c r="V12">
        <f>IF($A12="","",IFERROR(INDEX('[AQ_2020.xlsx]原始数据'!$F:$F,MATCH($A12,'[AQ_2020.xlsx]原始数据'!$A:$A,0)),""))</f>
        <v/>
      </c>
      <c r="W12">
        <f>IF($A12="","",IFERROR(INDEX('[AQ_2021.xlsx]原始数据'!$F:$F,MATCH($A12,'[AQ_2021.xlsx]原始数据'!$A:$A,0)),""))</f>
        <v/>
      </c>
      <c r="X12">
        <f>IF($A12="","",IFERROR(INDEX('[AQ_2022.xlsx]原始数据'!$F:$F,MATCH($A12,'[AQ_2022.xlsx]原始数据'!$A:$A,0)),""))</f>
        <v/>
      </c>
      <c r="Y12">
        <f>IF($A12="","",IFERROR(INDEX('[AQ_2023.xlsx]原始数据'!$F:$F,MATCH($A12,'[AQ_2023.xlsx]原始数据'!$A:$A,0)),""))</f>
        <v/>
      </c>
      <c r="Z12">
        <f>IF($A12="","",IFERROR(INDEX('[AQ_2024.xlsx]原始数据'!$F:$F,MATCH($A12,'[AQ_2024.xlsx]原始数据'!$A:$A,0)),""))</f>
        <v/>
      </c>
      <c r="AA12" s="2">
        <f>IFERROR(G12/B12,"")</f>
        <v/>
      </c>
      <c r="AB12" s="2">
        <f>IFERROR(H12/C12,"")</f>
        <v/>
      </c>
      <c r="AC12" s="2">
        <f>IFERROR(I12/D12,"")</f>
        <v/>
      </c>
      <c r="AD12" s="2">
        <f>IFERROR(J12/E12,"")</f>
        <v/>
      </c>
      <c r="AE12" s="2">
        <f>IFERROR(K12/F12,"")</f>
        <v/>
      </c>
      <c r="AF12" s="2">
        <f>IFERROR(L12/B12,"")</f>
        <v/>
      </c>
      <c r="AG12" s="2">
        <f>IFERROR(M12/C12,"")</f>
        <v/>
      </c>
      <c r="AH12" s="2">
        <f>IFERROR(N12/D12,"")</f>
        <v/>
      </c>
      <c r="AI12" s="2">
        <f>IFERROR(O12/E12,"")</f>
        <v/>
      </c>
      <c r="AJ12" s="2">
        <f>IFERROR(P12/F12,"")</f>
        <v/>
      </c>
      <c r="AK12" s="2">
        <f>IFERROR(Q12/B12,"")</f>
        <v/>
      </c>
      <c r="AL12" s="2">
        <f>IFERROR(R12/C12,"")</f>
        <v/>
      </c>
      <c r="AM12" s="2">
        <f>IFERROR(S12/D12,"")</f>
        <v/>
      </c>
      <c r="AN12" s="2">
        <f>IFERROR(T12/E12,"")</f>
        <v/>
      </c>
      <c r="AO12" s="2">
        <f>IFERROR(U12/F12,"")</f>
        <v/>
      </c>
    </row>
    <row r="13">
      <c r="B13">
        <f>IF($A13="","",IFERROR(INDEX('[AQ_2020.xlsx]原始数据'!$B:$B,MATCH($A13,'[AQ_2020.xlsx]原始数据'!$A:$A,0)),""))</f>
        <v/>
      </c>
      <c r="C13">
        <f>IF($A13="","",IFERROR(INDEX('[AQ_2021.xlsx]原始数据'!$B:$B,MATCH($A13,'[AQ_2021.xlsx]原始数据'!$A:$A,0)),""))</f>
        <v/>
      </c>
      <c r="D13">
        <f>IF($A13="","",IFERROR(INDEX('[AQ_2022.xlsx]原始数据'!$B:$B,MATCH($A13,'[AQ_2022.xlsx]原始数据'!$A:$A,0)),""))</f>
        <v/>
      </c>
      <c r="E13">
        <f>IF($A13="","",IFERROR(INDEX('[AQ_2023.xlsx]原始数据'!$B:$B,MATCH($A13,'[AQ_2023.xlsx]原始数据'!$A:$A,0)),""))</f>
        <v/>
      </c>
      <c r="F13">
        <f>IF($A13="","",IFERROR(INDEX('[AQ_2024.xlsx]原始数据'!$B:$B,MATCH($A13,'[AQ_2024.xlsx]原始数据'!$A:$A,0)),""))</f>
        <v/>
      </c>
      <c r="G13">
        <f>IF($A13="","",IFERROR(INDEX('[AQ_2020.xlsx]原始数据'!$C:$C,MATCH($A13,'[AQ_2020.xlsx]原始数据'!$A:$A,0)),""))</f>
        <v/>
      </c>
      <c r="H13">
        <f>IF($A13="","",IFERROR(INDEX('[AQ_2021.xlsx]原始数据'!$C:$C,MATCH($A13,'[AQ_2021.xlsx]原始数据'!$A:$A,0)),""))</f>
        <v/>
      </c>
      <c r="I13">
        <f>IF($A13="","",IFERROR(INDEX('[AQ_2022.xlsx]原始数据'!$C:$C,MATCH($A13,'[AQ_2022.xlsx]原始数据'!$A:$A,0)),""))</f>
        <v/>
      </c>
      <c r="J13">
        <f>IF($A13="","",IFERROR(INDEX('[AQ_2023.xlsx]原始数据'!$C:$C,MATCH($A13,'[AQ_2023.xlsx]原始数据'!$A:$A,0)),""))</f>
        <v/>
      </c>
      <c r="K13">
        <f>IF($A13="","",IFERROR(INDEX('[AQ_2024.xlsx]原始数据'!$C:$C,MATCH($A13,'[AQ_2024.xlsx]原始数据'!$A:$A,0)),""))</f>
        <v/>
      </c>
      <c r="L13">
        <f>IF($A13="","",IFERROR(INDEX('[AQ_2020.xlsx]原始数据'!$D:$D,MATCH($A13,'[AQ_2020.xlsx]原始数据'!$A:$A,0)),""))</f>
        <v/>
      </c>
      <c r="M13">
        <f>IF($A13="","",IFERROR(INDEX('[AQ_2021.xlsx]原始数据'!$D:$D,MATCH($A13,'[AQ_2021.xlsx]原始数据'!$A:$A,0)),""))</f>
        <v/>
      </c>
      <c r="N13">
        <f>IF($A13="","",IFERROR(INDEX('[AQ_2022.xlsx]原始数据'!$D:$D,MATCH($A13,'[AQ_2022.xlsx]原始数据'!$A:$A,0)),""))</f>
        <v/>
      </c>
      <c r="O13">
        <f>IF($A13="","",IFERROR(INDEX('[AQ_2023.xlsx]原始数据'!$D:$D,MATCH($A13,'[AQ_2023.xlsx]原始数据'!$A:$A,0)),""))</f>
        <v/>
      </c>
      <c r="P13">
        <f>IF($A13="","",IFERROR(INDEX('[AQ_2024.xlsx]原始数据'!$D:$D,MATCH($A13,'[AQ_2024.xlsx]原始数据'!$A:$A,0)),""))</f>
        <v/>
      </c>
      <c r="Q13">
        <f>IF($A13="","",IFERROR(INDEX('[AQ_2020.xlsx]原始数据'!$E:$E,MATCH($A13,'[AQ_2020.xlsx]原始数据'!$A:$A,0)),""))</f>
        <v/>
      </c>
      <c r="R13">
        <f>IF($A13="","",IFERROR(INDEX('[AQ_2021.xlsx]原始数据'!$E:$E,MATCH($A13,'[AQ_2021.xlsx]原始数据'!$A:$A,0)),""))</f>
        <v/>
      </c>
      <c r="S13">
        <f>IF($A13="","",IFERROR(INDEX('[AQ_2022.xlsx]原始数据'!$E:$E,MATCH($A13,'[AQ_2022.xlsx]原始数据'!$A:$A,0)),""))</f>
        <v/>
      </c>
      <c r="T13">
        <f>IF($A13="","",IFERROR(INDEX('[AQ_2023.xlsx]原始数据'!$E:$E,MATCH($A13,'[AQ_2023.xlsx]原始数据'!$A:$A,0)),""))</f>
        <v/>
      </c>
      <c r="U13">
        <f>IF($A13="","",IFERROR(INDEX('[AQ_2024.xlsx]原始数据'!$E:$E,MATCH($A13,'[AQ_2024.xlsx]原始数据'!$A:$A,0)),""))</f>
        <v/>
      </c>
      <c r="V13">
        <f>IF($A13="","",IFERROR(INDEX('[AQ_2020.xlsx]原始数据'!$F:$F,MATCH($A13,'[AQ_2020.xlsx]原始数据'!$A:$A,0)),""))</f>
        <v/>
      </c>
      <c r="W13">
        <f>IF($A13="","",IFERROR(INDEX('[AQ_2021.xlsx]原始数据'!$F:$F,MATCH($A13,'[AQ_2021.xlsx]原始数据'!$A:$A,0)),""))</f>
        <v/>
      </c>
      <c r="X13">
        <f>IF($A13="","",IFERROR(INDEX('[AQ_2022.xlsx]原始数据'!$F:$F,MATCH($A13,'[AQ_2022.xlsx]原始数据'!$A:$A,0)),""))</f>
        <v/>
      </c>
      <c r="Y13">
        <f>IF($A13="","",IFERROR(INDEX('[AQ_2023.xlsx]原始数据'!$F:$F,MATCH($A13,'[AQ_2023.xlsx]原始数据'!$A:$A,0)),""))</f>
        <v/>
      </c>
      <c r="Z13">
        <f>IF($A13="","",IFERROR(INDEX('[AQ_2024.xlsx]原始数据'!$F:$F,MATCH($A13,'[AQ_2024.xlsx]原始数据'!$A:$A,0)),""))</f>
        <v/>
      </c>
      <c r="AA13" s="2">
        <f>IFERROR(G13/B13,"")</f>
        <v/>
      </c>
      <c r="AB13" s="2">
        <f>IFERROR(H13/C13,"")</f>
        <v/>
      </c>
      <c r="AC13" s="2">
        <f>IFERROR(I13/D13,"")</f>
        <v/>
      </c>
      <c r="AD13" s="2">
        <f>IFERROR(J13/E13,"")</f>
        <v/>
      </c>
      <c r="AE13" s="2">
        <f>IFERROR(K13/F13,"")</f>
        <v/>
      </c>
      <c r="AF13" s="2">
        <f>IFERROR(L13/B13,"")</f>
        <v/>
      </c>
      <c r="AG13" s="2">
        <f>IFERROR(M13/C13,"")</f>
        <v/>
      </c>
      <c r="AH13" s="2">
        <f>IFERROR(N13/D13,"")</f>
        <v/>
      </c>
      <c r="AI13" s="2">
        <f>IFERROR(O13/E13,"")</f>
        <v/>
      </c>
      <c r="AJ13" s="2">
        <f>IFERROR(P13/F13,"")</f>
        <v/>
      </c>
      <c r="AK13" s="2">
        <f>IFERROR(Q13/B13,"")</f>
        <v/>
      </c>
      <c r="AL13" s="2">
        <f>IFERROR(R13/C13,"")</f>
        <v/>
      </c>
      <c r="AM13" s="2">
        <f>IFERROR(S13/D13,"")</f>
        <v/>
      </c>
      <c r="AN13" s="2">
        <f>IFERROR(T13/E13,"")</f>
        <v/>
      </c>
      <c r="AO13" s="2">
        <f>IFERROR(U13/F13,"")</f>
        <v/>
      </c>
    </row>
    <row r="14">
      <c r="B14">
        <f>IF($A14="","",IFERROR(INDEX('[AQ_2020.xlsx]原始数据'!$B:$B,MATCH($A14,'[AQ_2020.xlsx]原始数据'!$A:$A,0)),""))</f>
        <v/>
      </c>
      <c r="C14">
        <f>IF($A14="","",IFERROR(INDEX('[AQ_2021.xlsx]原始数据'!$B:$B,MATCH($A14,'[AQ_2021.xlsx]原始数据'!$A:$A,0)),""))</f>
        <v/>
      </c>
      <c r="D14">
        <f>IF($A14="","",IFERROR(INDEX('[AQ_2022.xlsx]原始数据'!$B:$B,MATCH($A14,'[AQ_2022.xlsx]原始数据'!$A:$A,0)),""))</f>
        <v/>
      </c>
      <c r="E14">
        <f>IF($A14="","",IFERROR(INDEX('[AQ_2023.xlsx]原始数据'!$B:$B,MATCH($A14,'[AQ_2023.xlsx]原始数据'!$A:$A,0)),""))</f>
        <v/>
      </c>
      <c r="F14">
        <f>IF($A14="","",IFERROR(INDEX('[AQ_2024.xlsx]原始数据'!$B:$B,MATCH($A14,'[AQ_2024.xlsx]原始数据'!$A:$A,0)),""))</f>
        <v/>
      </c>
      <c r="G14">
        <f>IF($A14="","",IFERROR(INDEX('[AQ_2020.xlsx]原始数据'!$C:$C,MATCH($A14,'[AQ_2020.xlsx]原始数据'!$A:$A,0)),""))</f>
        <v/>
      </c>
      <c r="H14">
        <f>IF($A14="","",IFERROR(INDEX('[AQ_2021.xlsx]原始数据'!$C:$C,MATCH($A14,'[AQ_2021.xlsx]原始数据'!$A:$A,0)),""))</f>
        <v/>
      </c>
      <c r="I14">
        <f>IF($A14="","",IFERROR(INDEX('[AQ_2022.xlsx]原始数据'!$C:$C,MATCH($A14,'[AQ_2022.xlsx]原始数据'!$A:$A,0)),""))</f>
        <v/>
      </c>
      <c r="J14">
        <f>IF($A14="","",IFERROR(INDEX('[AQ_2023.xlsx]原始数据'!$C:$C,MATCH($A14,'[AQ_2023.xlsx]原始数据'!$A:$A,0)),""))</f>
        <v/>
      </c>
      <c r="K14">
        <f>IF($A14="","",IFERROR(INDEX('[AQ_2024.xlsx]原始数据'!$C:$C,MATCH($A14,'[AQ_2024.xlsx]原始数据'!$A:$A,0)),""))</f>
        <v/>
      </c>
      <c r="L14">
        <f>IF($A14="","",IFERROR(INDEX('[AQ_2020.xlsx]原始数据'!$D:$D,MATCH($A14,'[AQ_2020.xlsx]原始数据'!$A:$A,0)),""))</f>
        <v/>
      </c>
      <c r="M14">
        <f>IF($A14="","",IFERROR(INDEX('[AQ_2021.xlsx]原始数据'!$D:$D,MATCH($A14,'[AQ_2021.xlsx]原始数据'!$A:$A,0)),""))</f>
        <v/>
      </c>
      <c r="N14">
        <f>IF($A14="","",IFERROR(INDEX('[AQ_2022.xlsx]原始数据'!$D:$D,MATCH($A14,'[AQ_2022.xlsx]原始数据'!$A:$A,0)),""))</f>
        <v/>
      </c>
      <c r="O14">
        <f>IF($A14="","",IFERROR(INDEX('[AQ_2023.xlsx]原始数据'!$D:$D,MATCH($A14,'[AQ_2023.xlsx]原始数据'!$A:$A,0)),""))</f>
        <v/>
      </c>
      <c r="P14">
        <f>IF($A14="","",IFERROR(INDEX('[AQ_2024.xlsx]原始数据'!$D:$D,MATCH($A14,'[AQ_2024.xlsx]原始数据'!$A:$A,0)),""))</f>
        <v/>
      </c>
      <c r="Q14">
        <f>IF($A14="","",IFERROR(INDEX('[AQ_2020.xlsx]原始数据'!$E:$E,MATCH($A14,'[AQ_2020.xlsx]原始数据'!$A:$A,0)),""))</f>
        <v/>
      </c>
      <c r="R14">
        <f>IF($A14="","",IFERROR(INDEX('[AQ_2021.xlsx]原始数据'!$E:$E,MATCH($A14,'[AQ_2021.xlsx]原始数据'!$A:$A,0)),""))</f>
        <v/>
      </c>
      <c r="S14">
        <f>IF($A14="","",IFERROR(INDEX('[AQ_2022.xlsx]原始数据'!$E:$E,MATCH($A14,'[AQ_2022.xlsx]原始数据'!$A:$A,0)),""))</f>
        <v/>
      </c>
      <c r="T14">
        <f>IF($A14="","",IFERROR(INDEX('[AQ_2023.xlsx]原始数据'!$E:$E,MATCH($A14,'[AQ_2023.xlsx]原始数据'!$A:$A,0)),""))</f>
        <v/>
      </c>
      <c r="U14">
        <f>IF($A14="","",IFERROR(INDEX('[AQ_2024.xlsx]原始数据'!$E:$E,MATCH($A14,'[AQ_2024.xlsx]原始数据'!$A:$A,0)),""))</f>
        <v/>
      </c>
      <c r="V14">
        <f>IF($A14="","",IFERROR(INDEX('[AQ_2020.xlsx]原始数据'!$F:$F,MATCH($A14,'[AQ_2020.xlsx]原始数据'!$A:$A,0)),""))</f>
        <v/>
      </c>
      <c r="W14">
        <f>IF($A14="","",IFERROR(INDEX('[AQ_2021.xlsx]原始数据'!$F:$F,MATCH($A14,'[AQ_2021.xlsx]原始数据'!$A:$A,0)),""))</f>
        <v/>
      </c>
      <c r="X14">
        <f>IF($A14="","",IFERROR(INDEX('[AQ_2022.xlsx]原始数据'!$F:$F,MATCH($A14,'[AQ_2022.xlsx]原始数据'!$A:$A,0)),""))</f>
        <v/>
      </c>
      <c r="Y14">
        <f>IF($A14="","",IFERROR(INDEX('[AQ_2023.xlsx]原始数据'!$F:$F,MATCH($A14,'[AQ_2023.xlsx]原始数据'!$A:$A,0)),""))</f>
        <v/>
      </c>
      <c r="Z14">
        <f>IF($A14="","",IFERROR(INDEX('[AQ_2024.xlsx]原始数据'!$F:$F,MATCH($A14,'[AQ_2024.xlsx]原始数据'!$A:$A,0)),""))</f>
        <v/>
      </c>
      <c r="AA14" s="2">
        <f>IFERROR(G14/B14,"")</f>
        <v/>
      </c>
      <c r="AB14" s="2">
        <f>IFERROR(H14/C14,"")</f>
        <v/>
      </c>
      <c r="AC14" s="2">
        <f>IFERROR(I14/D14,"")</f>
        <v/>
      </c>
      <c r="AD14" s="2">
        <f>IFERROR(J14/E14,"")</f>
        <v/>
      </c>
      <c r="AE14" s="2">
        <f>IFERROR(K14/F14,"")</f>
        <v/>
      </c>
      <c r="AF14" s="2">
        <f>IFERROR(L14/B14,"")</f>
        <v/>
      </c>
      <c r="AG14" s="2">
        <f>IFERROR(M14/C14,"")</f>
        <v/>
      </c>
      <c r="AH14" s="2">
        <f>IFERROR(N14/D14,"")</f>
        <v/>
      </c>
      <c r="AI14" s="2">
        <f>IFERROR(O14/E14,"")</f>
        <v/>
      </c>
      <c r="AJ14" s="2">
        <f>IFERROR(P14/F14,"")</f>
        <v/>
      </c>
      <c r="AK14" s="2">
        <f>IFERROR(Q14/B14,"")</f>
        <v/>
      </c>
      <c r="AL14" s="2">
        <f>IFERROR(R14/C14,"")</f>
        <v/>
      </c>
      <c r="AM14" s="2">
        <f>IFERROR(S14/D14,"")</f>
        <v/>
      </c>
      <c r="AN14" s="2">
        <f>IFERROR(T14/E14,"")</f>
        <v/>
      </c>
      <c r="AO14" s="2">
        <f>IFERROR(U14/F14,"")</f>
        <v/>
      </c>
    </row>
    <row r="15">
      <c r="B15">
        <f>IF($A15="","",IFERROR(INDEX('[AQ_2020.xlsx]原始数据'!$B:$B,MATCH($A15,'[AQ_2020.xlsx]原始数据'!$A:$A,0)),""))</f>
        <v/>
      </c>
      <c r="C15">
        <f>IF($A15="","",IFERROR(INDEX('[AQ_2021.xlsx]原始数据'!$B:$B,MATCH($A15,'[AQ_2021.xlsx]原始数据'!$A:$A,0)),""))</f>
        <v/>
      </c>
      <c r="D15">
        <f>IF($A15="","",IFERROR(INDEX('[AQ_2022.xlsx]原始数据'!$B:$B,MATCH($A15,'[AQ_2022.xlsx]原始数据'!$A:$A,0)),""))</f>
        <v/>
      </c>
      <c r="E15">
        <f>IF($A15="","",IFERROR(INDEX('[AQ_2023.xlsx]原始数据'!$B:$B,MATCH($A15,'[AQ_2023.xlsx]原始数据'!$A:$A,0)),""))</f>
        <v/>
      </c>
      <c r="F15">
        <f>IF($A15="","",IFERROR(INDEX('[AQ_2024.xlsx]原始数据'!$B:$B,MATCH($A15,'[AQ_2024.xlsx]原始数据'!$A:$A,0)),""))</f>
        <v/>
      </c>
      <c r="G15">
        <f>IF($A15="","",IFERROR(INDEX('[AQ_2020.xlsx]原始数据'!$C:$C,MATCH($A15,'[AQ_2020.xlsx]原始数据'!$A:$A,0)),""))</f>
        <v/>
      </c>
      <c r="H15">
        <f>IF($A15="","",IFERROR(INDEX('[AQ_2021.xlsx]原始数据'!$C:$C,MATCH($A15,'[AQ_2021.xlsx]原始数据'!$A:$A,0)),""))</f>
        <v/>
      </c>
      <c r="I15">
        <f>IF($A15="","",IFERROR(INDEX('[AQ_2022.xlsx]原始数据'!$C:$C,MATCH($A15,'[AQ_2022.xlsx]原始数据'!$A:$A,0)),""))</f>
        <v/>
      </c>
      <c r="J15">
        <f>IF($A15="","",IFERROR(INDEX('[AQ_2023.xlsx]原始数据'!$C:$C,MATCH($A15,'[AQ_2023.xlsx]原始数据'!$A:$A,0)),""))</f>
        <v/>
      </c>
      <c r="K15">
        <f>IF($A15="","",IFERROR(INDEX('[AQ_2024.xlsx]原始数据'!$C:$C,MATCH($A15,'[AQ_2024.xlsx]原始数据'!$A:$A,0)),""))</f>
        <v/>
      </c>
      <c r="L15">
        <f>IF($A15="","",IFERROR(INDEX('[AQ_2020.xlsx]原始数据'!$D:$D,MATCH($A15,'[AQ_2020.xlsx]原始数据'!$A:$A,0)),""))</f>
        <v/>
      </c>
      <c r="M15">
        <f>IF($A15="","",IFERROR(INDEX('[AQ_2021.xlsx]原始数据'!$D:$D,MATCH($A15,'[AQ_2021.xlsx]原始数据'!$A:$A,0)),""))</f>
        <v/>
      </c>
      <c r="N15">
        <f>IF($A15="","",IFERROR(INDEX('[AQ_2022.xlsx]原始数据'!$D:$D,MATCH($A15,'[AQ_2022.xlsx]原始数据'!$A:$A,0)),""))</f>
        <v/>
      </c>
      <c r="O15">
        <f>IF($A15="","",IFERROR(INDEX('[AQ_2023.xlsx]原始数据'!$D:$D,MATCH($A15,'[AQ_2023.xlsx]原始数据'!$A:$A,0)),""))</f>
        <v/>
      </c>
      <c r="P15">
        <f>IF($A15="","",IFERROR(INDEX('[AQ_2024.xlsx]原始数据'!$D:$D,MATCH($A15,'[AQ_2024.xlsx]原始数据'!$A:$A,0)),""))</f>
        <v/>
      </c>
      <c r="Q15">
        <f>IF($A15="","",IFERROR(INDEX('[AQ_2020.xlsx]原始数据'!$E:$E,MATCH($A15,'[AQ_2020.xlsx]原始数据'!$A:$A,0)),""))</f>
        <v/>
      </c>
      <c r="R15">
        <f>IF($A15="","",IFERROR(INDEX('[AQ_2021.xlsx]原始数据'!$E:$E,MATCH($A15,'[AQ_2021.xlsx]原始数据'!$A:$A,0)),""))</f>
        <v/>
      </c>
      <c r="S15">
        <f>IF($A15="","",IFERROR(INDEX('[AQ_2022.xlsx]原始数据'!$E:$E,MATCH($A15,'[AQ_2022.xlsx]原始数据'!$A:$A,0)),""))</f>
        <v/>
      </c>
      <c r="T15">
        <f>IF($A15="","",IFERROR(INDEX('[AQ_2023.xlsx]原始数据'!$E:$E,MATCH($A15,'[AQ_2023.xlsx]原始数据'!$A:$A,0)),""))</f>
        <v/>
      </c>
      <c r="U15">
        <f>IF($A15="","",IFERROR(INDEX('[AQ_2024.xlsx]原始数据'!$E:$E,MATCH($A15,'[AQ_2024.xlsx]原始数据'!$A:$A,0)),""))</f>
        <v/>
      </c>
      <c r="V15">
        <f>IF($A15="","",IFERROR(INDEX('[AQ_2020.xlsx]原始数据'!$F:$F,MATCH($A15,'[AQ_2020.xlsx]原始数据'!$A:$A,0)),""))</f>
        <v/>
      </c>
      <c r="W15">
        <f>IF($A15="","",IFERROR(INDEX('[AQ_2021.xlsx]原始数据'!$F:$F,MATCH($A15,'[AQ_2021.xlsx]原始数据'!$A:$A,0)),""))</f>
        <v/>
      </c>
      <c r="X15">
        <f>IF($A15="","",IFERROR(INDEX('[AQ_2022.xlsx]原始数据'!$F:$F,MATCH($A15,'[AQ_2022.xlsx]原始数据'!$A:$A,0)),""))</f>
        <v/>
      </c>
      <c r="Y15">
        <f>IF($A15="","",IFERROR(INDEX('[AQ_2023.xlsx]原始数据'!$F:$F,MATCH($A15,'[AQ_2023.xlsx]原始数据'!$A:$A,0)),""))</f>
        <v/>
      </c>
      <c r="Z15">
        <f>IF($A15="","",IFERROR(INDEX('[AQ_2024.xlsx]原始数据'!$F:$F,MATCH($A15,'[AQ_2024.xlsx]原始数据'!$A:$A,0)),""))</f>
        <v/>
      </c>
      <c r="AA15" s="2">
        <f>IFERROR(G15/B15,"")</f>
        <v/>
      </c>
      <c r="AB15" s="2">
        <f>IFERROR(H15/C15,"")</f>
        <v/>
      </c>
      <c r="AC15" s="2">
        <f>IFERROR(I15/D15,"")</f>
        <v/>
      </c>
      <c r="AD15" s="2">
        <f>IFERROR(J15/E15,"")</f>
        <v/>
      </c>
      <c r="AE15" s="2">
        <f>IFERROR(K15/F15,"")</f>
        <v/>
      </c>
      <c r="AF15" s="2">
        <f>IFERROR(L15/B15,"")</f>
        <v/>
      </c>
      <c r="AG15" s="2">
        <f>IFERROR(M15/C15,"")</f>
        <v/>
      </c>
      <c r="AH15" s="2">
        <f>IFERROR(N15/D15,"")</f>
        <v/>
      </c>
      <c r="AI15" s="2">
        <f>IFERROR(O15/E15,"")</f>
        <v/>
      </c>
      <c r="AJ15" s="2">
        <f>IFERROR(P15/F15,"")</f>
        <v/>
      </c>
      <c r="AK15" s="2">
        <f>IFERROR(Q15/B15,"")</f>
        <v/>
      </c>
      <c r="AL15" s="2">
        <f>IFERROR(R15/C15,"")</f>
        <v/>
      </c>
      <c r="AM15" s="2">
        <f>IFERROR(S15/D15,"")</f>
        <v/>
      </c>
      <c r="AN15" s="2">
        <f>IFERROR(T15/E15,"")</f>
        <v/>
      </c>
      <c r="AO15" s="2">
        <f>IFERROR(U15/F15,"")</f>
        <v/>
      </c>
    </row>
    <row r="16">
      <c r="B16">
        <f>IF($A16="","",IFERROR(INDEX('[AQ_2020.xlsx]原始数据'!$B:$B,MATCH($A16,'[AQ_2020.xlsx]原始数据'!$A:$A,0)),""))</f>
        <v/>
      </c>
      <c r="C16">
        <f>IF($A16="","",IFERROR(INDEX('[AQ_2021.xlsx]原始数据'!$B:$B,MATCH($A16,'[AQ_2021.xlsx]原始数据'!$A:$A,0)),""))</f>
        <v/>
      </c>
      <c r="D16">
        <f>IF($A16="","",IFERROR(INDEX('[AQ_2022.xlsx]原始数据'!$B:$B,MATCH($A16,'[AQ_2022.xlsx]原始数据'!$A:$A,0)),""))</f>
        <v/>
      </c>
      <c r="E16">
        <f>IF($A16="","",IFERROR(INDEX('[AQ_2023.xlsx]原始数据'!$B:$B,MATCH($A16,'[AQ_2023.xlsx]原始数据'!$A:$A,0)),""))</f>
        <v/>
      </c>
      <c r="F16">
        <f>IF($A16="","",IFERROR(INDEX('[AQ_2024.xlsx]原始数据'!$B:$B,MATCH($A16,'[AQ_2024.xlsx]原始数据'!$A:$A,0)),""))</f>
        <v/>
      </c>
      <c r="G16">
        <f>IF($A16="","",IFERROR(INDEX('[AQ_2020.xlsx]原始数据'!$C:$C,MATCH($A16,'[AQ_2020.xlsx]原始数据'!$A:$A,0)),""))</f>
        <v/>
      </c>
      <c r="H16">
        <f>IF($A16="","",IFERROR(INDEX('[AQ_2021.xlsx]原始数据'!$C:$C,MATCH($A16,'[AQ_2021.xlsx]原始数据'!$A:$A,0)),""))</f>
        <v/>
      </c>
      <c r="I16">
        <f>IF($A16="","",IFERROR(INDEX('[AQ_2022.xlsx]原始数据'!$C:$C,MATCH($A16,'[AQ_2022.xlsx]原始数据'!$A:$A,0)),""))</f>
        <v/>
      </c>
      <c r="J16">
        <f>IF($A16="","",IFERROR(INDEX('[AQ_2023.xlsx]原始数据'!$C:$C,MATCH($A16,'[AQ_2023.xlsx]原始数据'!$A:$A,0)),""))</f>
        <v/>
      </c>
      <c r="K16">
        <f>IF($A16="","",IFERROR(INDEX('[AQ_2024.xlsx]原始数据'!$C:$C,MATCH($A16,'[AQ_2024.xlsx]原始数据'!$A:$A,0)),""))</f>
        <v/>
      </c>
      <c r="L16">
        <f>IF($A16="","",IFERROR(INDEX('[AQ_2020.xlsx]原始数据'!$D:$D,MATCH($A16,'[AQ_2020.xlsx]原始数据'!$A:$A,0)),""))</f>
        <v/>
      </c>
      <c r="M16">
        <f>IF($A16="","",IFERROR(INDEX('[AQ_2021.xlsx]原始数据'!$D:$D,MATCH($A16,'[AQ_2021.xlsx]原始数据'!$A:$A,0)),""))</f>
        <v/>
      </c>
      <c r="N16">
        <f>IF($A16="","",IFERROR(INDEX('[AQ_2022.xlsx]原始数据'!$D:$D,MATCH($A16,'[AQ_2022.xlsx]原始数据'!$A:$A,0)),""))</f>
        <v/>
      </c>
      <c r="O16">
        <f>IF($A16="","",IFERROR(INDEX('[AQ_2023.xlsx]原始数据'!$D:$D,MATCH($A16,'[AQ_2023.xlsx]原始数据'!$A:$A,0)),""))</f>
        <v/>
      </c>
      <c r="P16">
        <f>IF($A16="","",IFERROR(INDEX('[AQ_2024.xlsx]原始数据'!$D:$D,MATCH($A16,'[AQ_2024.xlsx]原始数据'!$A:$A,0)),""))</f>
        <v/>
      </c>
      <c r="Q16">
        <f>IF($A16="","",IFERROR(INDEX('[AQ_2020.xlsx]原始数据'!$E:$E,MATCH($A16,'[AQ_2020.xlsx]原始数据'!$A:$A,0)),""))</f>
        <v/>
      </c>
      <c r="R16">
        <f>IF($A16="","",IFERROR(INDEX('[AQ_2021.xlsx]原始数据'!$E:$E,MATCH($A16,'[AQ_2021.xlsx]原始数据'!$A:$A,0)),""))</f>
        <v/>
      </c>
      <c r="S16">
        <f>IF($A16="","",IFERROR(INDEX('[AQ_2022.xlsx]原始数据'!$E:$E,MATCH($A16,'[AQ_2022.xlsx]原始数据'!$A:$A,0)),""))</f>
        <v/>
      </c>
      <c r="T16">
        <f>IF($A16="","",IFERROR(INDEX('[AQ_2023.xlsx]原始数据'!$E:$E,MATCH($A16,'[AQ_2023.xlsx]原始数据'!$A:$A,0)),""))</f>
        <v/>
      </c>
      <c r="U16">
        <f>IF($A16="","",IFERROR(INDEX('[AQ_2024.xlsx]原始数据'!$E:$E,MATCH($A16,'[AQ_2024.xlsx]原始数据'!$A:$A,0)),""))</f>
        <v/>
      </c>
      <c r="V16">
        <f>IF($A16="","",IFERROR(INDEX('[AQ_2020.xlsx]原始数据'!$F:$F,MATCH($A16,'[AQ_2020.xlsx]原始数据'!$A:$A,0)),""))</f>
        <v/>
      </c>
      <c r="W16">
        <f>IF($A16="","",IFERROR(INDEX('[AQ_2021.xlsx]原始数据'!$F:$F,MATCH($A16,'[AQ_2021.xlsx]原始数据'!$A:$A,0)),""))</f>
        <v/>
      </c>
      <c r="X16">
        <f>IF($A16="","",IFERROR(INDEX('[AQ_2022.xlsx]原始数据'!$F:$F,MATCH($A16,'[AQ_2022.xlsx]原始数据'!$A:$A,0)),""))</f>
        <v/>
      </c>
      <c r="Y16">
        <f>IF($A16="","",IFERROR(INDEX('[AQ_2023.xlsx]原始数据'!$F:$F,MATCH($A16,'[AQ_2023.xlsx]原始数据'!$A:$A,0)),""))</f>
        <v/>
      </c>
      <c r="Z16">
        <f>IF($A16="","",IFERROR(INDEX('[AQ_2024.xlsx]原始数据'!$F:$F,MATCH($A16,'[AQ_2024.xlsx]原始数据'!$A:$A,0)),""))</f>
        <v/>
      </c>
      <c r="AA16" s="2">
        <f>IFERROR(G16/B16,"")</f>
        <v/>
      </c>
      <c r="AB16" s="2">
        <f>IFERROR(H16/C16,"")</f>
        <v/>
      </c>
      <c r="AC16" s="2">
        <f>IFERROR(I16/D16,"")</f>
        <v/>
      </c>
      <c r="AD16" s="2">
        <f>IFERROR(J16/E16,"")</f>
        <v/>
      </c>
      <c r="AE16" s="2">
        <f>IFERROR(K16/F16,"")</f>
        <v/>
      </c>
      <c r="AF16" s="2">
        <f>IFERROR(L16/B16,"")</f>
        <v/>
      </c>
      <c r="AG16" s="2">
        <f>IFERROR(M16/C16,"")</f>
        <v/>
      </c>
      <c r="AH16" s="2">
        <f>IFERROR(N16/D16,"")</f>
        <v/>
      </c>
      <c r="AI16" s="2">
        <f>IFERROR(O16/E16,"")</f>
        <v/>
      </c>
      <c r="AJ16" s="2">
        <f>IFERROR(P16/F16,"")</f>
        <v/>
      </c>
      <c r="AK16" s="2">
        <f>IFERROR(Q16/B16,"")</f>
        <v/>
      </c>
      <c r="AL16" s="2">
        <f>IFERROR(R16/C16,"")</f>
        <v/>
      </c>
      <c r="AM16" s="2">
        <f>IFERROR(S16/D16,"")</f>
        <v/>
      </c>
      <c r="AN16" s="2">
        <f>IFERROR(T16/E16,"")</f>
        <v/>
      </c>
      <c r="AO16" s="2">
        <f>IFERROR(U16/F16,"")</f>
        <v/>
      </c>
    </row>
    <row r="17">
      <c r="B17">
        <f>IF($A17="","",IFERROR(INDEX('[AQ_2020.xlsx]原始数据'!$B:$B,MATCH($A17,'[AQ_2020.xlsx]原始数据'!$A:$A,0)),""))</f>
        <v/>
      </c>
      <c r="C17">
        <f>IF($A17="","",IFERROR(INDEX('[AQ_2021.xlsx]原始数据'!$B:$B,MATCH($A17,'[AQ_2021.xlsx]原始数据'!$A:$A,0)),""))</f>
        <v/>
      </c>
      <c r="D17">
        <f>IF($A17="","",IFERROR(INDEX('[AQ_2022.xlsx]原始数据'!$B:$B,MATCH($A17,'[AQ_2022.xlsx]原始数据'!$A:$A,0)),""))</f>
        <v/>
      </c>
      <c r="E17">
        <f>IF($A17="","",IFERROR(INDEX('[AQ_2023.xlsx]原始数据'!$B:$B,MATCH($A17,'[AQ_2023.xlsx]原始数据'!$A:$A,0)),""))</f>
        <v/>
      </c>
      <c r="F17">
        <f>IF($A17="","",IFERROR(INDEX('[AQ_2024.xlsx]原始数据'!$B:$B,MATCH($A17,'[AQ_2024.xlsx]原始数据'!$A:$A,0)),""))</f>
        <v/>
      </c>
      <c r="G17">
        <f>IF($A17="","",IFERROR(INDEX('[AQ_2020.xlsx]原始数据'!$C:$C,MATCH($A17,'[AQ_2020.xlsx]原始数据'!$A:$A,0)),""))</f>
        <v/>
      </c>
      <c r="H17">
        <f>IF($A17="","",IFERROR(INDEX('[AQ_2021.xlsx]原始数据'!$C:$C,MATCH($A17,'[AQ_2021.xlsx]原始数据'!$A:$A,0)),""))</f>
        <v/>
      </c>
      <c r="I17">
        <f>IF($A17="","",IFERROR(INDEX('[AQ_2022.xlsx]原始数据'!$C:$C,MATCH($A17,'[AQ_2022.xlsx]原始数据'!$A:$A,0)),""))</f>
        <v/>
      </c>
      <c r="J17">
        <f>IF($A17="","",IFERROR(INDEX('[AQ_2023.xlsx]原始数据'!$C:$C,MATCH($A17,'[AQ_2023.xlsx]原始数据'!$A:$A,0)),""))</f>
        <v/>
      </c>
      <c r="K17">
        <f>IF($A17="","",IFERROR(INDEX('[AQ_2024.xlsx]原始数据'!$C:$C,MATCH($A17,'[AQ_2024.xlsx]原始数据'!$A:$A,0)),""))</f>
        <v/>
      </c>
      <c r="L17">
        <f>IF($A17="","",IFERROR(INDEX('[AQ_2020.xlsx]原始数据'!$D:$D,MATCH($A17,'[AQ_2020.xlsx]原始数据'!$A:$A,0)),""))</f>
        <v/>
      </c>
      <c r="M17">
        <f>IF($A17="","",IFERROR(INDEX('[AQ_2021.xlsx]原始数据'!$D:$D,MATCH($A17,'[AQ_2021.xlsx]原始数据'!$A:$A,0)),""))</f>
        <v/>
      </c>
      <c r="N17">
        <f>IF($A17="","",IFERROR(INDEX('[AQ_2022.xlsx]原始数据'!$D:$D,MATCH($A17,'[AQ_2022.xlsx]原始数据'!$A:$A,0)),""))</f>
        <v/>
      </c>
      <c r="O17">
        <f>IF($A17="","",IFERROR(INDEX('[AQ_2023.xlsx]原始数据'!$D:$D,MATCH($A17,'[AQ_2023.xlsx]原始数据'!$A:$A,0)),""))</f>
        <v/>
      </c>
      <c r="P17">
        <f>IF($A17="","",IFERROR(INDEX('[AQ_2024.xlsx]原始数据'!$D:$D,MATCH($A17,'[AQ_2024.xlsx]原始数据'!$A:$A,0)),""))</f>
        <v/>
      </c>
      <c r="Q17">
        <f>IF($A17="","",IFERROR(INDEX('[AQ_2020.xlsx]原始数据'!$E:$E,MATCH($A17,'[AQ_2020.xlsx]原始数据'!$A:$A,0)),""))</f>
        <v/>
      </c>
      <c r="R17">
        <f>IF($A17="","",IFERROR(INDEX('[AQ_2021.xlsx]原始数据'!$E:$E,MATCH($A17,'[AQ_2021.xlsx]原始数据'!$A:$A,0)),""))</f>
        <v/>
      </c>
      <c r="S17">
        <f>IF($A17="","",IFERROR(INDEX('[AQ_2022.xlsx]原始数据'!$E:$E,MATCH($A17,'[AQ_2022.xlsx]原始数据'!$A:$A,0)),""))</f>
        <v/>
      </c>
      <c r="T17">
        <f>IF($A17="","",IFERROR(INDEX('[AQ_2023.xlsx]原始数据'!$E:$E,MATCH($A17,'[AQ_2023.xlsx]原始数据'!$A:$A,0)),""))</f>
        <v/>
      </c>
      <c r="U17">
        <f>IF($A17="","",IFERROR(INDEX('[AQ_2024.xlsx]原始数据'!$E:$E,MATCH($A17,'[AQ_2024.xlsx]原始数据'!$A:$A,0)),""))</f>
        <v/>
      </c>
      <c r="V17">
        <f>IF($A17="","",IFERROR(INDEX('[AQ_2020.xlsx]原始数据'!$F:$F,MATCH($A17,'[AQ_2020.xlsx]原始数据'!$A:$A,0)),""))</f>
        <v/>
      </c>
      <c r="W17">
        <f>IF($A17="","",IFERROR(INDEX('[AQ_2021.xlsx]原始数据'!$F:$F,MATCH($A17,'[AQ_2021.xlsx]原始数据'!$A:$A,0)),""))</f>
        <v/>
      </c>
      <c r="X17">
        <f>IF($A17="","",IFERROR(INDEX('[AQ_2022.xlsx]原始数据'!$F:$F,MATCH($A17,'[AQ_2022.xlsx]原始数据'!$A:$A,0)),""))</f>
        <v/>
      </c>
      <c r="Y17">
        <f>IF($A17="","",IFERROR(INDEX('[AQ_2023.xlsx]原始数据'!$F:$F,MATCH($A17,'[AQ_2023.xlsx]原始数据'!$A:$A,0)),""))</f>
        <v/>
      </c>
      <c r="Z17">
        <f>IF($A17="","",IFERROR(INDEX('[AQ_2024.xlsx]原始数据'!$F:$F,MATCH($A17,'[AQ_2024.xlsx]原始数据'!$A:$A,0)),""))</f>
        <v/>
      </c>
      <c r="AA17" s="2">
        <f>IFERROR(G17/B17,"")</f>
        <v/>
      </c>
      <c r="AB17" s="2">
        <f>IFERROR(H17/C17,"")</f>
        <v/>
      </c>
      <c r="AC17" s="2">
        <f>IFERROR(I17/D17,"")</f>
        <v/>
      </c>
      <c r="AD17" s="2">
        <f>IFERROR(J17/E17,"")</f>
        <v/>
      </c>
      <c r="AE17" s="2">
        <f>IFERROR(K17/F17,"")</f>
        <v/>
      </c>
      <c r="AF17" s="2">
        <f>IFERROR(L17/B17,"")</f>
        <v/>
      </c>
      <c r="AG17" s="2">
        <f>IFERROR(M17/C17,"")</f>
        <v/>
      </c>
      <c r="AH17" s="2">
        <f>IFERROR(N17/D17,"")</f>
        <v/>
      </c>
      <c r="AI17" s="2">
        <f>IFERROR(O17/E17,"")</f>
        <v/>
      </c>
      <c r="AJ17" s="2">
        <f>IFERROR(P17/F17,"")</f>
        <v/>
      </c>
      <c r="AK17" s="2">
        <f>IFERROR(Q17/B17,"")</f>
        <v/>
      </c>
      <c r="AL17" s="2">
        <f>IFERROR(R17/C17,"")</f>
        <v/>
      </c>
      <c r="AM17" s="2">
        <f>IFERROR(S17/D17,"")</f>
        <v/>
      </c>
      <c r="AN17" s="2">
        <f>IFERROR(T17/E17,"")</f>
        <v/>
      </c>
      <c r="AO17" s="2">
        <f>IFERROR(U17/F17,"")</f>
        <v/>
      </c>
    </row>
    <row r="18">
      <c r="B18">
        <f>IF($A18="","",IFERROR(INDEX('[AQ_2020.xlsx]原始数据'!$B:$B,MATCH($A18,'[AQ_2020.xlsx]原始数据'!$A:$A,0)),""))</f>
        <v/>
      </c>
      <c r="C18">
        <f>IF($A18="","",IFERROR(INDEX('[AQ_2021.xlsx]原始数据'!$B:$B,MATCH($A18,'[AQ_2021.xlsx]原始数据'!$A:$A,0)),""))</f>
        <v/>
      </c>
      <c r="D18">
        <f>IF($A18="","",IFERROR(INDEX('[AQ_2022.xlsx]原始数据'!$B:$B,MATCH($A18,'[AQ_2022.xlsx]原始数据'!$A:$A,0)),""))</f>
        <v/>
      </c>
      <c r="E18">
        <f>IF($A18="","",IFERROR(INDEX('[AQ_2023.xlsx]原始数据'!$B:$B,MATCH($A18,'[AQ_2023.xlsx]原始数据'!$A:$A,0)),""))</f>
        <v/>
      </c>
      <c r="F18">
        <f>IF($A18="","",IFERROR(INDEX('[AQ_2024.xlsx]原始数据'!$B:$B,MATCH($A18,'[AQ_2024.xlsx]原始数据'!$A:$A,0)),""))</f>
        <v/>
      </c>
      <c r="G18">
        <f>IF($A18="","",IFERROR(INDEX('[AQ_2020.xlsx]原始数据'!$C:$C,MATCH($A18,'[AQ_2020.xlsx]原始数据'!$A:$A,0)),""))</f>
        <v/>
      </c>
      <c r="H18">
        <f>IF($A18="","",IFERROR(INDEX('[AQ_2021.xlsx]原始数据'!$C:$C,MATCH($A18,'[AQ_2021.xlsx]原始数据'!$A:$A,0)),""))</f>
        <v/>
      </c>
      <c r="I18">
        <f>IF($A18="","",IFERROR(INDEX('[AQ_2022.xlsx]原始数据'!$C:$C,MATCH($A18,'[AQ_2022.xlsx]原始数据'!$A:$A,0)),""))</f>
        <v/>
      </c>
      <c r="J18">
        <f>IF($A18="","",IFERROR(INDEX('[AQ_2023.xlsx]原始数据'!$C:$C,MATCH($A18,'[AQ_2023.xlsx]原始数据'!$A:$A,0)),""))</f>
        <v/>
      </c>
      <c r="K18">
        <f>IF($A18="","",IFERROR(INDEX('[AQ_2024.xlsx]原始数据'!$C:$C,MATCH($A18,'[AQ_2024.xlsx]原始数据'!$A:$A,0)),""))</f>
        <v/>
      </c>
      <c r="L18">
        <f>IF($A18="","",IFERROR(INDEX('[AQ_2020.xlsx]原始数据'!$D:$D,MATCH($A18,'[AQ_2020.xlsx]原始数据'!$A:$A,0)),""))</f>
        <v/>
      </c>
      <c r="M18">
        <f>IF($A18="","",IFERROR(INDEX('[AQ_2021.xlsx]原始数据'!$D:$D,MATCH($A18,'[AQ_2021.xlsx]原始数据'!$A:$A,0)),""))</f>
        <v/>
      </c>
      <c r="N18">
        <f>IF($A18="","",IFERROR(INDEX('[AQ_2022.xlsx]原始数据'!$D:$D,MATCH($A18,'[AQ_2022.xlsx]原始数据'!$A:$A,0)),""))</f>
        <v/>
      </c>
      <c r="O18">
        <f>IF($A18="","",IFERROR(INDEX('[AQ_2023.xlsx]原始数据'!$D:$D,MATCH($A18,'[AQ_2023.xlsx]原始数据'!$A:$A,0)),""))</f>
        <v/>
      </c>
      <c r="P18">
        <f>IF($A18="","",IFERROR(INDEX('[AQ_2024.xlsx]原始数据'!$D:$D,MATCH($A18,'[AQ_2024.xlsx]原始数据'!$A:$A,0)),""))</f>
        <v/>
      </c>
      <c r="Q18">
        <f>IF($A18="","",IFERROR(INDEX('[AQ_2020.xlsx]原始数据'!$E:$E,MATCH($A18,'[AQ_2020.xlsx]原始数据'!$A:$A,0)),""))</f>
        <v/>
      </c>
      <c r="R18">
        <f>IF($A18="","",IFERROR(INDEX('[AQ_2021.xlsx]原始数据'!$E:$E,MATCH($A18,'[AQ_2021.xlsx]原始数据'!$A:$A,0)),""))</f>
        <v/>
      </c>
      <c r="S18">
        <f>IF($A18="","",IFERROR(INDEX('[AQ_2022.xlsx]原始数据'!$E:$E,MATCH($A18,'[AQ_2022.xlsx]原始数据'!$A:$A,0)),""))</f>
        <v/>
      </c>
      <c r="T18">
        <f>IF($A18="","",IFERROR(INDEX('[AQ_2023.xlsx]原始数据'!$E:$E,MATCH($A18,'[AQ_2023.xlsx]原始数据'!$A:$A,0)),""))</f>
        <v/>
      </c>
      <c r="U18">
        <f>IF($A18="","",IFERROR(INDEX('[AQ_2024.xlsx]原始数据'!$E:$E,MATCH($A18,'[AQ_2024.xlsx]原始数据'!$A:$A,0)),""))</f>
        <v/>
      </c>
      <c r="V18">
        <f>IF($A18="","",IFERROR(INDEX('[AQ_2020.xlsx]原始数据'!$F:$F,MATCH($A18,'[AQ_2020.xlsx]原始数据'!$A:$A,0)),""))</f>
        <v/>
      </c>
      <c r="W18">
        <f>IF($A18="","",IFERROR(INDEX('[AQ_2021.xlsx]原始数据'!$F:$F,MATCH($A18,'[AQ_2021.xlsx]原始数据'!$A:$A,0)),""))</f>
        <v/>
      </c>
      <c r="X18">
        <f>IF($A18="","",IFERROR(INDEX('[AQ_2022.xlsx]原始数据'!$F:$F,MATCH($A18,'[AQ_2022.xlsx]原始数据'!$A:$A,0)),""))</f>
        <v/>
      </c>
      <c r="Y18">
        <f>IF($A18="","",IFERROR(INDEX('[AQ_2023.xlsx]原始数据'!$F:$F,MATCH($A18,'[AQ_2023.xlsx]原始数据'!$A:$A,0)),""))</f>
        <v/>
      </c>
      <c r="Z18">
        <f>IF($A18="","",IFERROR(INDEX('[AQ_2024.xlsx]原始数据'!$F:$F,MATCH($A18,'[AQ_2024.xlsx]原始数据'!$A:$A,0)),""))</f>
        <v/>
      </c>
      <c r="AA18" s="2">
        <f>IFERROR(G18/B18,"")</f>
        <v/>
      </c>
      <c r="AB18" s="2">
        <f>IFERROR(H18/C18,"")</f>
        <v/>
      </c>
      <c r="AC18" s="2">
        <f>IFERROR(I18/D18,"")</f>
        <v/>
      </c>
      <c r="AD18" s="2">
        <f>IFERROR(J18/E18,"")</f>
        <v/>
      </c>
      <c r="AE18" s="2">
        <f>IFERROR(K18/F18,"")</f>
        <v/>
      </c>
      <c r="AF18" s="2">
        <f>IFERROR(L18/B18,"")</f>
        <v/>
      </c>
      <c r="AG18" s="2">
        <f>IFERROR(M18/C18,"")</f>
        <v/>
      </c>
      <c r="AH18" s="2">
        <f>IFERROR(N18/D18,"")</f>
        <v/>
      </c>
      <c r="AI18" s="2">
        <f>IFERROR(O18/E18,"")</f>
        <v/>
      </c>
      <c r="AJ18" s="2">
        <f>IFERROR(P18/F18,"")</f>
        <v/>
      </c>
      <c r="AK18" s="2">
        <f>IFERROR(Q18/B18,"")</f>
        <v/>
      </c>
      <c r="AL18" s="2">
        <f>IFERROR(R18/C18,"")</f>
        <v/>
      </c>
      <c r="AM18" s="2">
        <f>IFERROR(S18/D18,"")</f>
        <v/>
      </c>
      <c r="AN18" s="2">
        <f>IFERROR(T18/E18,"")</f>
        <v/>
      </c>
      <c r="AO18" s="2">
        <f>IFERROR(U18/F18,"")</f>
        <v/>
      </c>
    </row>
    <row r="19">
      <c r="B19">
        <f>IF($A19="","",IFERROR(INDEX('[AQ_2020.xlsx]原始数据'!$B:$B,MATCH($A19,'[AQ_2020.xlsx]原始数据'!$A:$A,0)),""))</f>
        <v/>
      </c>
      <c r="C19">
        <f>IF($A19="","",IFERROR(INDEX('[AQ_2021.xlsx]原始数据'!$B:$B,MATCH($A19,'[AQ_2021.xlsx]原始数据'!$A:$A,0)),""))</f>
        <v/>
      </c>
      <c r="D19">
        <f>IF($A19="","",IFERROR(INDEX('[AQ_2022.xlsx]原始数据'!$B:$B,MATCH($A19,'[AQ_2022.xlsx]原始数据'!$A:$A,0)),""))</f>
        <v/>
      </c>
      <c r="E19">
        <f>IF($A19="","",IFERROR(INDEX('[AQ_2023.xlsx]原始数据'!$B:$B,MATCH($A19,'[AQ_2023.xlsx]原始数据'!$A:$A,0)),""))</f>
        <v/>
      </c>
      <c r="F19">
        <f>IF($A19="","",IFERROR(INDEX('[AQ_2024.xlsx]原始数据'!$B:$B,MATCH($A19,'[AQ_2024.xlsx]原始数据'!$A:$A,0)),""))</f>
        <v/>
      </c>
      <c r="G19">
        <f>IF($A19="","",IFERROR(INDEX('[AQ_2020.xlsx]原始数据'!$C:$C,MATCH($A19,'[AQ_2020.xlsx]原始数据'!$A:$A,0)),""))</f>
        <v/>
      </c>
      <c r="H19">
        <f>IF($A19="","",IFERROR(INDEX('[AQ_2021.xlsx]原始数据'!$C:$C,MATCH($A19,'[AQ_2021.xlsx]原始数据'!$A:$A,0)),""))</f>
        <v/>
      </c>
      <c r="I19">
        <f>IF($A19="","",IFERROR(INDEX('[AQ_2022.xlsx]原始数据'!$C:$C,MATCH($A19,'[AQ_2022.xlsx]原始数据'!$A:$A,0)),""))</f>
        <v/>
      </c>
      <c r="J19">
        <f>IF($A19="","",IFERROR(INDEX('[AQ_2023.xlsx]原始数据'!$C:$C,MATCH($A19,'[AQ_2023.xlsx]原始数据'!$A:$A,0)),""))</f>
        <v/>
      </c>
      <c r="K19">
        <f>IF($A19="","",IFERROR(INDEX('[AQ_2024.xlsx]原始数据'!$C:$C,MATCH($A19,'[AQ_2024.xlsx]原始数据'!$A:$A,0)),""))</f>
        <v/>
      </c>
      <c r="L19">
        <f>IF($A19="","",IFERROR(INDEX('[AQ_2020.xlsx]原始数据'!$D:$D,MATCH($A19,'[AQ_2020.xlsx]原始数据'!$A:$A,0)),""))</f>
        <v/>
      </c>
      <c r="M19">
        <f>IF($A19="","",IFERROR(INDEX('[AQ_2021.xlsx]原始数据'!$D:$D,MATCH($A19,'[AQ_2021.xlsx]原始数据'!$A:$A,0)),""))</f>
        <v/>
      </c>
      <c r="N19">
        <f>IF($A19="","",IFERROR(INDEX('[AQ_2022.xlsx]原始数据'!$D:$D,MATCH($A19,'[AQ_2022.xlsx]原始数据'!$A:$A,0)),""))</f>
        <v/>
      </c>
      <c r="O19">
        <f>IF($A19="","",IFERROR(INDEX('[AQ_2023.xlsx]原始数据'!$D:$D,MATCH($A19,'[AQ_2023.xlsx]原始数据'!$A:$A,0)),""))</f>
        <v/>
      </c>
      <c r="P19">
        <f>IF($A19="","",IFERROR(INDEX('[AQ_2024.xlsx]原始数据'!$D:$D,MATCH($A19,'[AQ_2024.xlsx]原始数据'!$A:$A,0)),""))</f>
        <v/>
      </c>
      <c r="Q19">
        <f>IF($A19="","",IFERROR(INDEX('[AQ_2020.xlsx]原始数据'!$E:$E,MATCH($A19,'[AQ_2020.xlsx]原始数据'!$A:$A,0)),""))</f>
        <v/>
      </c>
      <c r="R19">
        <f>IF($A19="","",IFERROR(INDEX('[AQ_2021.xlsx]原始数据'!$E:$E,MATCH($A19,'[AQ_2021.xlsx]原始数据'!$A:$A,0)),""))</f>
        <v/>
      </c>
      <c r="S19">
        <f>IF($A19="","",IFERROR(INDEX('[AQ_2022.xlsx]原始数据'!$E:$E,MATCH($A19,'[AQ_2022.xlsx]原始数据'!$A:$A,0)),""))</f>
        <v/>
      </c>
      <c r="T19">
        <f>IF($A19="","",IFERROR(INDEX('[AQ_2023.xlsx]原始数据'!$E:$E,MATCH($A19,'[AQ_2023.xlsx]原始数据'!$A:$A,0)),""))</f>
        <v/>
      </c>
      <c r="U19">
        <f>IF($A19="","",IFERROR(INDEX('[AQ_2024.xlsx]原始数据'!$E:$E,MATCH($A19,'[AQ_2024.xlsx]原始数据'!$A:$A,0)),""))</f>
        <v/>
      </c>
      <c r="V19">
        <f>IF($A19="","",IFERROR(INDEX('[AQ_2020.xlsx]原始数据'!$F:$F,MATCH($A19,'[AQ_2020.xlsx]原始数据'!$A:$A,0)),""))</f>
        <v/>
      </c>
      <c r="W19">
        <f>IF($A19="","",IFERROR(INDEX('[AQ_2021.xlsx]原始数据'!$F:$F,MATCH($A19,'[AQ_2021.xlsx]原始数据'!$A:$A,0)),""))</f>
        <v/>
      </c>
      <c r="X19">
        <f>IF($A19="","",IFERROR(INDEX('[AQ_2022.xlsx]原始数据'!$F:$F,MATCH($A19,'[AQ_2022.xlsx]原始数据'!$A:$A,0)),""))</f>
        <v/>
      </c>
      <c r="Y19">
        <f>IF($A19="","",IFERROR(INDEX('[AQ_2023.xlsx]原始数据'!$F:$F,MATCH($A19,'[AQ_2023.xlsx]原始数据'!$A:$A,0)),""))</f>
        <v/>
      </c>
      <c r="Z19">
        <f>IF($A19="","",IFERROR(INDEX('[AQ_2024.xlsx]原始数据'!$F:$F,MATCH($A19,'[AQ_2024.xlsx]原始数据'!$A:$A,0)),""))</f>
        <v/>
      </c>
      <c r="AA19" s="2">
        <f>IFERROR(G19/B19,"")</f>
        <v/>
      </c>
      <c r="AB19" s="2">
        <f>IFERROR(H19/C19,"")</f>
        <v/>
      </c>
      <c r="AC19" s="2">
        <f>IFERROR(I19/D19,"")</f>
        <v/>
      </c>
      <c r="AD19" s="2">
        <f>IFERROR(J19/E19,"")</f>
        <v/>
      </c>
      <c r="AE19" s="2">
        <f>IFERROR(K19/F19,"")</f>
        <v/>
      </c>
      <c r="AF19" s="2">
        <f>IFERROR(L19/B19,"")</f>
        <v/>
      </c>
      <c r="AG19" s="2">
        <f>IFERROR(M19/C19,"")</f>
        <v/>
      </c>
      <c r="AH19" s="2">
        <f>IFERROR(N19/D19,"")</f>
        <v/>
      </c>
      <c r="AI19" s="2">
        <f>IFERROR(O19/E19,"")</f>
        <v/>
      </c>
      <c r="AJ19" s="2">
        <f>IFERROR(P19/F19,"")</f>
        <v/>
      </c>
      <c r="AK19" s="2">
        <f>IFERROR(Q19/B19,"")</f>
        <v/>
      </c>
      <c r="AL19" s="2">
        <f>IFERROR(R19/C19,"")</f>
        <v/>
      </c>
      <c r="AM19" s="2">
        <f>IFERROR(S19/D19,"")</f>
        <v/>
      </c>
      <c r="AN19" s="2">
        <f>IFERROR(T19/E19,"")</f>
        <v/>
      </c>
      <c r="AO19" s="2">
        <f>IFERROR(U19/F19,"")</f>
        <v/>
      </c>
    </row>
    <row r="20">
      <c r="B20">
        <f>IF($A20="","",IFERROR(INDEX('[AQ_2020.xlsx]原始数据'!$B:$B,MATCH($A20,'[AQ_2020.xlsx]原始数据'!$A:$A,0)),""))</f>
        <v/>
      </c>
      <c r="C20">
        <f>IF($A20="","",IFERROR(INDEX('[AQ_2021.xlsx]原始数据'!$B:$B,MATCH($A20,'[AQ_2021.xlsx]原始数据'!$A:$A,0)),""))</f>
        <v/>
      </c>
      <c r="D20">
        <f>IF($A20="","",IFERROR(INDEX('[AQ_2022.xlsx]原始数据'!$B:$B,MATCH($A20,'[AQ_2022.xlsx]原始数据'!$A:$A,0)),""))</f>
        <v/>
      </c>
      <c r="E20">
        <f>IF($A20="","",IFERROR(INDEX('[AQ_2023.xlsx]原始数据'!$B:$B,MATCH($A20,'[AQ_2023.xlsx]原始数据'!$A:$A,0)),""))</f>
        <v/>
      </c>
      <c r="F20">
        <f>IF($A20="","",IFERROR(INDEX('[AQ_2024.xlsx]原始数据'!$B:$B,MATCH($A20,'[AQ_2024.xlsx]原始数据'!$A:$A,0)),""))</f>
        <v/>
      </c>
      <c r="G20">
        <f>IF($A20="","",IFERROR(INDEX('[AQ_2020.xlsx]原始数据'!$C:$C,MATCH($A20,'[AQ_2020.xlsx]原始数据'!$A:$A,0)),""))</f>
        <v/>
      </c>
      <c r="H20">
        <f>IF($A20="","",IFERROR(INDEX('[AQ_2021.xlsx]原始数据'!$C:$C,MATCH($A20,'[AQ_2021.xlsx]原始数据'!$A:$A,0)),""))</f>
        <v/>
      </c>
      <c r="I20">
        <f>IF($A20="","",IFERROR(INDEX('[AQ_2022.xlsx]原始数据'!$C:$C,MATCH($A20,'[AQ_2022.xlsx]原始数据'!$A:$A,0)),""))</f>
        <v/>
      </c>
      <c r="J20">
        <f>IF($A20="","",IFERROR(INDEX('[AQ_2023.xlsx]原始数据'!$C:$C,MATCH($A20,'[AQ_2023.xlsx]原始数据'!$A:$A,0)),""))</f>
        <v/>
      </c>
      <c r="K20">
        <f>IF($A20="","",IFERROR(INDEX('[AQ_2024.xlsx]原始数据'!$C:$C,MATCH($A20,'[AQ_2024.xlsx]原始数据'!$A:$A,0)),""))</f>
        <v/>
      </c>
      <c r="L20">
        <f>IF($A20="","",IFERROR(INDEX('[AQ_2020.xlsx]原始数据'!$D:$D,MATCH($A20,'[AQ_2020.xlsx]原始数据'!$A:$A,0)),""))</f>
        <v/>
      </c>
      <c r="M20">
        <f>IF($A20="","",IFERROR(INDEX('[AQ_2021.xlsx]原始数据'!$D:$D,MATCH($A20,'[AQ_2021.xlsx]原始数据'!$A:$A,0)),""))</f>
        <v/>
      </c>
      <c r="N20">
        <f>IF($A20="","",IFERROR(INDEX('[AQ_2022.xlsx]原始数据'!$D:$D,MATCH($A20,'[AQ_2022.xlsx]原始数据'!$A:$A,0)),""))</f>
        <v/>
      </c>
      <c r="O20">
        <f>IF($A20="","",IFERROR(INDEX('[AQ_2023.xlsx]原始数据'!$D:$D,MATCH($A20,'[AQ_2023.xlsx]原始数据'!$A:$A,0)),""))</f>
        <v/>
      </c>
      <c r="P20">
        <f>IF($A20="","",IFERROR(INDEX('[AQ_2024.xlsx]原始数据'!$D:$D,MATCH($A20,'[AQ_2024.xlsx]原始数据'!$A:$A,0)),""))</f>
        <v/>
      </c>
      <c r="Q20">
        <f>IF($A20="","",IFERROR(INDEX('[AQ_2020.xlsx]原始数据'!$E:$E,MATCH($A20,'[AQ_2020.xlsx]原始数据'!$A:$A,0)),""))</f>
        <v/>
      </c>
      <c r="R20">
        <f>IF($A20="","",IFERROR(INDEX('[AQ_2021.xlsx]原始数据'!$E:$E,MATCH($A20,'[AQ_2021.xlsx]原始数据'!$A:$A,0)),""))</f>
        <v/>
      </c>
      <c r="S20">
        <f>IF($A20="","",IFERROR(INDEX('[AQ_2022.xlsx]原始数据'!$E:$E,MATCH($A20,'[AQ_2022.xlsx]原始数据'!$A:$A,0)),""))</f>
        <v/>
      </c>
      <c r="T20">
        <f>IF($A20="","",IFERROR(INDEX('[AQ_2023.xlsx]原始数据'!$E:$E,MATCH($A20,'[AQ_2023.xlsx]原始数据'!$A:$A,0)),""))</f>
        <v/>
      </c>
      <c r="U20">
        <f>IF($A20="","",IFERROR(INDEX('[AQ_2024.xlsx]原始数据'!$E:$E,MATCH($A20,'[AQ_2024.xlsx]原始数据'!$A:$A,0)),""))</f>
        <v/>
      </c>
      <c r="V20">
        <f>IF($A20="","",IFERROR(INDEX('[AQ_2020.xlsx]原始数据'!$F:$F,MATCH($A20,'[AQ_2020.xlsx]原始数据'!$A:$A,0)),""))</f>
        <v/>
      </c>
      <c r="W20">
        <f>IF($A20="","",IFERROR(INDEX('[AQ_2021.xlsx]原始数据'!$F:$F,MATCH($A20,'[AQ_2021.xlsx]原始数据'!$A:$A,0)),""))</f>
        <v/>
      </c>
      <c r="X20">
        <f>IF($A20="","",IFERROR(INDEX('[AQ_2022.xlsx]原始数据'!$F:$F,MATCH($A20,'[AQ_2022.xlsx]原始数据'!$A:$A,0)),""))</f>
        <v/>
      </c>
      <c r="Y20">
        <f>IF($A20="","",IFERROR(INDEX('[AQ_2023.xlsx]原始数据'!$F:$F,MATCH($A20,'[AQ_2023.xlsx]原始数据'!$A:$A,0)),""))</f>
        <v/>
      </c>
      <c r="Z20">
        <f>IF($A20="","",IFERROR(INDEX('[AQ_2024.xlsx]原始数据'!$F:$F,MATCH($A20,'[AQ_2024.xlsx]原始数据'!$A:$A,0)),""))</f>
        <v/>
      </c>
      <c r="AA20" s="2">
        <f>IFERROR(G20/B20,"")</f>
        <v/>
      </c>
      <c r="AB20" s="2">
        <f>IFERROR(H20/C20,"")</f>
        <v/>
      </c>
      <c r="AC20" s="2">
        <f>IFERROR(I20/D20,"")</f>
        <v/>
      </c>
      <c r="AD20" s="2">
        <f>IFERROR(J20/E20,"")</f>
        <v/>
      </c>
      <c r="AE20" s="2">
        <f>IFERROR(K20/F20,"")</f>
        <v/>
      </c>
      <c r="AF20" s="2">
        <f>IFERROR(L20/B20,"")</f>
        <v/>
      </c>
      <c r="AG20" s="2">
        <f>IFERROR(M20/C20,"")</f>
        <v/>
      </c>
      <c r="AH20" s="2">
        <f>IFERROR(N20/D20,"")</f>
        <v/>
      </c>
      <c r="AI20" s="2">
        <f>IFERROR(O20/E20,"")</f>
        <v/>
      </c>
      <c r="AJ20" s="2">
        <f>IFERROR(P20/F20,"")</f>
        <v/>
      </c>
      <c r="AK20" s="2">
        <f>IFERROR(Q20/B20,"")</f>
        <v/>
      </c>
      <c r="AL20" s="2">
        <f>IFERROR(R20/C20,"")</f>
        <v/>
      </c>
      <c r="AM20" s="2">
        <f>IFERROR(S20/D20,"")</f>
        <v/>
      </c>
      <c r="AN20" s="2">
        <f>IFERROR(T20/E20,"")</f>
        <v/>
      </c>
      <c r="AO20" s="2">
        <f>IFERROR(U20/F20,"")</f>
        <v/>
      </c>
    </row>
    <row r="21">
      <c r="B21">
        <f>IF($A21="","",IFERROR(INDEX('[AQ_2020.xlsx]原始数据'!$B:$B,MATCH($A21,'[AQ_2020.xlsx]原始数据'!$A:$A,0)),""))</f>
        <v/>
      </c>
      <c r="C21">
        <f>IF($A21="","",IFERROR(INDEX('[AQ_2021.xlsx]原始数据'!$B:$B,MATCH($A21,'[AQ_2021.xlsx]原始数据'!$A:$A,0)),""))</f>
        <v/>
      </c>
      <c r="D21">
        <f>IF($A21="","",IFERROR(INDEX('[AQ_2022.xlsx]原始数据'!$B:$B,MATCH($A21,'[AQ_2022.xlsx]原始数据'!$A:$A,0)),""))</f>
        <v/>
      </c>
      <c r="E21">
        <f>IF($A21="","",IFERROR(INDEX('[AQ_2023.xlsx]原始数据'!$B:$B,MATCH($A21,'[AQ_2023.xlsx]原始数据'!$A:$A,0)),""))</f>
        <v/>
      </c>
      <c r="F21">
        <f>IF($A21="","",IFERROR(INDEX('[AQ_2024.xlsx]原始数据'!$B:$B,MATCH($A21,'[AQ_2024.xlsx]原始数据'!$A:$A,0)),""))</f>
        <v/>
      </c>
      <c r="G21">
        <f>IF($A21="","",IFERROR(INDEX('[AQ_2020.xlsx]原始数据'!$C:$C,MATCH($A21,'[AQ_2020.xlsx]原始数据'!$A:$A,0)),""))</f>
        <v/>
      </c>
      <c r="H21">
        <f>IF($A21="","",IFERROR(INDEX('[AQ_2021.xlsx]原始数据'!$C:$C,MATCH($A21,'[AQ_2021.xlsx]原始数据'!$A:$A,0)),""))</f>
        <v/>
      </c>
      <c r="I21">
        <f>IF($A21="","",IFERROR(INDEX('[AQ_2022.xlsx]原始数据'!$C:$C,MATCH($A21,'[AQ_2022.xlsx]原始数据'!$A:$A,0)),""))</f>
        <v/>
      </c>
      <c r="J21">
        <f>IF($A21="","",IFERROR(INDEX('[AQ_2023.xlsx]原始数据'!$C:$C,MATCH($A21,'[AQ_2023.xlsx]原始数据'!$A:$A,0)),""))</f>
        <v/>
      </c>
      <c r="K21">
        <f>IF($A21="","",IFERROR(INDEX('[AQ_2024.xlsx]原始数据'!$C:$C,MATCH($A21,'[AQ_2024.xlsx]原始数据'!$A:$A,0)),""))</f>
        <v/>
      </c>
      <c r="L21">
        <f>IF($A21="","",IFERROR(INDEX('[AQ_2020.xlsx]原始数据'!$D:$D,MATCH($A21,'[AQ_2020.xlsx]原始数据'!$A:$A,0)),""))</f>
        <v/>
      </c>
      <c r="M21">
        <f>IF($A21="","",IFERROR(INDEX('[AQ_2021.xlsx]原始数据'!$D:$D,MATCH($A21,'[AQ_2021.xlsx]原始数据'!$A:$A,0)),""))</f>
        <v/>
      </c>
      <c r="N21">
        <f>IF($A21="","",IFERROR(INDEX('[AQ_2022.xlsx]原始数据'!$D:$D,MATCH($A21,'[AQ_2022.xlsx]原始数据'!$A:$A,0)),""))</f>
        <v/>
      </c>
      <c r="O21">
        <f>IF($A21="","",IFERROR(INDEX('[AQ_2023.xlsx]原始数据'!$D:$D,MATCH($A21,'[AQ_2023.xlsx]原始数据'!$A:$A,0)),""))</f>
        <v/>
      </c>
      <c r="P21">
        <f>IF($A21="","",IFERROR(INDEX('[AQ_2024.xlsx]原始数据'!$D:$D,MATCH($A21,'[AQ_2024.xlsx]原始数据'!$A:$A,0)),""))</f>
        <v/>
      </c>
      <c r="Q21">
        <f>IF($A21="","",IFERROR(INDEX('[AQ_2020.xlsx]原始数据'!$E:$E,MATCH($A21,'[AQ_2020.xlsx]原始数据'!$A:$A,0)),""))</f>
        <v/>
      </c>
      <c r="R21">
        <f>IF($A21="","",IFERROR(INDEX('[AQ_2021.xlsx]原始数据'!$E:$E,MATCH($A21,'[AQ_2021.xlsx]原始数据'!$A:$A,0)),""))</f>
        <v/>
      </c>
      <c r="S21">
        <f>IF($A21="","",IFERROR(INDEX('[AQ_2022.xlsx]原始数据'!$E:$E,MATCH($A21,'[AQ_2022.xlsx]原始数据'!$A:$A,0)),""))</f>
        <v/>
      </c>
      <c r="T21">
        <f>IF($A21="","",IFERROR(INDEX('[AQ_2023.xlsx]原始数据'!$E:$E,MATCH($A21,'[AQ_2023.xlsx]原始数据'!$A:$A,0)),""))</f>
        <v/>
      </c>
      <c r="U21">
        <f>IF($A21="","",IFERROR(INDEX('[AQ_2024.xlsx]原始数据'!$E:$E,MATCH($A21,'[AQ_2024.xlsx]原始数据'!$A:$A,0)),""))</f>
        <v/>
      </c>
      <c r="V21">
        <f>IF($A21="","",IFERROR(INDEX('[AQ_2020.xlsx]原始数据'!$F:$F,MATCH($A21,'[AQ_2020.xlsx]原始数据'!$A:$A,0)),""))</f>
        <v/>
      </c>
      <c r="W21">
        <f>IF($A21="","",IFERROR(INDEX('[AQ_2021.xlsx]原始数据'!$F:$F,MATCH($A21,'[AQ_2021.xlsx]原始数据'!$A:$A,0)),""))</f>
        <v/>
      </c>
      <c r="X21">
        <f>IF($A21="","",IFERROR(INDEX('[AQ_2022.xlsx]原始数据'!$F:$F,MATCH($A21,'[AQ_2022.xlsx]原始数据'!$A:$A,0)),""))</f>
        <v/>
      </c>
      <c r="Y21">
        <f>IF($A21="","",IFERROR(INDEX('[AQ_2023.xlsx]原始数据'!$F:$F,MATCH($A21,'[AQ_2023.xlsx]原始数据'!$A:$A,0)),""))</f>
        <v/>
      </c>
      <c r="Z21">
        <f>IF($A21="","",IFERROR(INDEX('[AQ_2024.xlsx]原始数据'!$F:$F,MATCH($A21,'[AQ_2024.xlsx]原始数据'!$A:$A,0)),""))</f>
        <v/>
      </c>
      <c r="AA21" s="2">
        <f>IFERROR(G21/B21,"")</f>
        <v/>
      </c>
      <c r="AB21" s="2">
        <f>IFERROR(H21/C21,"")</f>
        <v/>
      </c>
      <c r="AC21" s="2">
        <f>IFERROR(I21/D21,"")</f>
        <v/>
      </c>
      <c r="AD21" s="2">
        <f>IFERROR(J21/E21,"")</f>
        <v/>
      </c>
      <c r="AE21" s="2">
        <f>IFERROR(K21/F21,"")</f>
        <v/>
      </c>
      <c r="AF21" s="2">
        <f>IFERROR(L21/B21,"")</f>
        <v/>
      </c>
      <c r="AG21" s="2">
        <f>IFERROR(M21/C21,"")</f>
        <v/>
      </c>
      <c r="AH21" s="2">
        <f>IFERROR(N21/D21,"")</f>
        <v/>
      </c>
      <c r="AI21" s="2">
        <f>IFERROR(O21/E21,"")</f>
        <v/>
      </c>
      <c r="AJ21" s="2">
        <f>IFERROR(P21/F21,"")</f>
        <v/>
      </c>
      <c r="AK21" s="2">
        <f>IFERROR(Q21/B21,"")</f>
        <v/>
      </c>
      <c r="AL21" s="2">
        <f>IFERROR(R21/C21,"")</f>
        <v/>
      </c>
      <c r="AM21" s="2">
        <f>IFERROR(S21/D21,"")</f>
        <v/>
      </c>
      <c r="AN21" s="2">
        <f>IFERROR(T21/E21,"")</f>
        <v/>
      </c>
      <c r="AO21" s="2">
        <f>IFERROR(U21/F21,"")</f>
        <v/>
      </c>
    </row>
    <row r="22">
      <c r="B22">
        <f>IF($A22="","",IFERROR(INDEX('[AQ_2020.xlsx]原始数据'!$B:$B,MATCH($A22,'[AQ_2020.xlsx]原始数据'!$A:$A,0)),""))</f>
        <v/>
      </c>
      <c r="C22">
        <f>IF($A22="","",IFERROR(INDEX('[AQ_2021.xlsx]原始数据'!$B:$B,MATCH($A22,'[AQ_2021.xlsx]原始数据'!$A:$A,0)),""))</f>
        <v/>
      </c>
      <c r="D22">
        <f>IF($A22="","",IFERROR(INDEX('[AQ_2022.xlsx]原始数据'!$B:$B,MATCH($A22,'[AQ_2022.xlsx]原始数据'!$A:$A,0)),""))</f>
        <v/>
      </c>
      <c r="E22">
        <f>IF($A22="","",IFERROR(INDEX('[AQ_2023.xlsx]原始数据'!$B:$B,MATCH($A22,'[AQ_2023.xlsx]原始数据'!$A:$A,0)),""))</f>
        <v/>
      </c>
      <c r="F22">
        <f>IF($A22="","",IFERROR(INDEX('[AQ_2024.xlsx]原始数据'!$B:$B,MATCH($A22,'[AQ_2024.xlsx]原始数据'!$A:$A,0)),""))</f>
        <v/>
      </c>
      <c r="G22">
        <f>IF($A22="","",IFERROR(INDEX('[AQ_2020.xlsx]原始数据'!$C:$C,MATCH($A22,'[AQ_2020.xlsx]原始数据'!$A:$A,0)),""))</f>
        <v/>
      </c>
      <c r="H22">
        <f>IF($A22="","",IFERROR(INDEX('[AQ_2021.xlsx]原始数据'!$C:$C,MATCH($A22,'[AQ_2021.xlsx]原始数据'!$A:$A,0)),""))</f>
        <v/>
      </c>
      <c r="I22">
        <f>IF($A22="","",IFERROR(INDEX('[AQ_2022.xlsx]原始数据'!$C:$C,MATCH($A22,'[AQ_2022.xlsx]原始数据'!$A:$A,0)),""))</f>
        <v/>
      </c>
      <c r="J22">
        <f>IF($A22="","",IFERROR(INDEX('[AQ_2023.xlsx]原始数据'!$C:$C,MATCH($A22,'[AQ_2023.xlsx]原始数据'!$A:$A,0)),""))</f>
        <v/>
      </c>
      <c r="K22">
        <f>IF($A22="","",IFERROR(INDEX('[AQ_2024.xlsx]原始数据'!$C:$C,MATCH($A22,'[AQ_2024.xlsx]原始数据'!$A:$A,0)),""))</f>
        <v/>
      </c>
      <c r="L22">
        <f>IF($A22="","",IFERROR(INDEX('[AQ_2020.xlsx]原始数据'!$D:$D,MATCH($A22,'[AQ_2020.xlsx]原始数据'!$A:$A,0)),""))</f>
        <v/>
      </c>
      <c r="M22">
        <f>IF($A22="","",IFERROR(INDEX('[AQ_2021.xlsx]原始数据'!$D:$D,MATCH($A22,'[AQ_2021.xlsx]原始数据'!$A:$A,0)),""))</f>
        <v/>
      </c>
      <c r="N22">
        <f>IF($A22="","",IFERROR(INDEX('[AQ_2022.xlsx]原始数据'!$D:$D,MATCH($A22,'[AQ_2022.xlsx]原始数据'!$A:$A,0)),""))</f>
        <v/>
      </c>
      <c r="O22">
        <f>IF($A22="","",IFERROR(INDEX('[AQ_2023.xlsx]原始数据'!$D:$D,MATCH($A22,'[AQ_2023.xlsx]原始数据'!$A:$A,0)),""))</f>
        <v/>
      </c>
      <c r="P22">
        <f>IF($A22="","",IFERROR(INDEX('[AQ_2024.xlsx]原始数据'!$D:$D,MATCH($A22,'[AQ_2024.xlsx]原始数据'!$A:$A,0)),""))</f>
        <v/>
      </c>
      <c r="Q22">
        <f>IF($A22="","",IFERROR(INDEX('[AQ_2020.xlsx]原始数据'!$E:$E,MATCH($A22,'[AQ_2020.xlsx]原始数据'!$A:$A,0)),""))</f>
        <v/>
      </c>
      <c r="R22">
        <f>IF($A22="","",IFERROR(INDEX('[AQ_2021.xlsx]原始数据'!$E:$E,MATCH($A22,'[AQ_2021.xlsx]原始数据'!$A:$A,0)),""))</f>
        <v/>
      </c>
      <c r="S22">
        <f>IF($A22="","",IFERROR(INDEX('[AQ_2022.xlsx]原始数据'!$E:$E,MATCH($A22,'[AQ_2022.xlsx]原始数据'!$A:$A,0)),""))</f>
        <v/>
      </c>
      <c r="T22">
        <f>IF($A22="","",IFERROR(INDEX('[AQ_2023.xlsx]原始数据'!$E:$E,MATCH($A22,'[AQ_2023.xlsx]原始数据'!$A:$A,0)),""))</f>
        <v/>
      </c>
      <c r="U22">
        <f>IF($A22="","",IFERROR(INDEX('[AQ_2024.xlsx]原始数据'!$E:$E,MATCH($A22,'[AQ_2024.xlsx]原始数据'!$A:$A,0)),""))</f>
        <v/>
      </c>
      <c r="V22">
        <f>IF($A22="","",IFERROR(INDEX('[AQ_2020.xlsx]原始数据'!$F:$F,MATCH($A22,'[AQ_2020.xlsx]原始数据'!$A:$A,0)),""))</f>
        <v/>
      </c>
      <c r="W22">
        <f>IF($A22="","",IFERROR(INDEX('[AQ_2021.xlsx]原始数据'!$F:$F,MATCH($A22,'[AQ_2021.xlsx]原始数据'!$A:$A,0)),""))</f>
        <v/>
      </c>
      <c r="X22">
        <f>IF($A22="","",IFERROR(INDEX('[AQ_2022.xlsx]原始数据'!$F:$F,MATCH($A22,'[AQ_2022.xlsx]原始数据'!$A:$A,0)),""))</f>
        <v/>
      </c>
      <c r="Y22">
        <f>IF($A22="","",IFERROR(INDEX('[AQ_2023.xlsx]原始数据'!$F:$F,MATCH($A22,'[AQ_2023.xlsx]原始数据'!$A:$A,0)),""))</f>
        <v/>
      </c>
      <c r="Z22">
        <f>IF($A22="","",IFERROR(INDEX('[AQ_2024.xlsx]原始数据'!$F:$F,MATCH($A22,'[AQ_2024.xlsx]原始数据'!$A:$A,0)),""))</f>
        <v/>
      </c>
      <c r="AA22" s="2">
        <f>IFERROR(G22/B22,"")</f>
        <v/>
      </c>
      <c r="AB22" s="2">
        <f>IFERROR(H22/C22,"")</f>
        <v/>
      </c>
      <c r="AC22" s="2">
        <f>IFERROR(I22/D22,"")</f>
        <v/>
      </c>
      <c r="AD22" s="2">
        <f>IFERROR(J22/E22,"")</f>
        <v/>
      </c>
      <c r="AE22" s="2">
        <f>IFERROR(K22/F22,"")</f>
        <v/>
      </c>
      <c r="AF22" s="2">
        <f>IFERROR(L22/B22,"")</f>
        <v/>
      </c>
      <c r="AG22" s="2">
        <f>IFERROR(M22/C22,"")</f>
        <v/>
      </c>
      <c r="AH22" s="2">
        <f>IFERROR(N22/D22,"")</f>
        <v/>
      </c>
      <c r="AI22" s="2">
        <f>IFERROR(O22/E22,"")</f>
        <v/>
      </c>
      <c r="AJ22" s="2">
        <f>IFERROR(P22/F22,"")</f>
        <v/>
      </c>
      <c r="AK22" s="2">
        <f>IFERROR(Q22/B22,"")</f>
        <v/>
      </c>
      <c r="AL22" s="2">
        <f>IFERROR(R22/C22,"")</f>
        <v/>
      </c>
      <c r="AM22" s="2">
        <f>IFERROR(S22/D22,"")</f>
        <v/>
      </c>
      <c r="AN22" s="2">
        <f>IFERROR(T22/E22,"")</f>
        <v/>
      </c>
      <c r="AO22" s="2">
        <f>IFERROR(U22/F22,"")</f>
        <v/>
      </c>
    </row>
    <row r="23">
      <c r="B23">
        <f>IF($A23="","",IFERROR(INDEX('[AQ_2020.xlsx]原始数据'!$B:$B,MATCH($A23,'[AQ_2020.xlsx]原始数据'!$A:$A,0)),""))</f>
        <v/>
      </c>
      <c r="C23">
        <f>IF($A23="","",IFERROR(INDEX('[AQ_2021.xlsx]原始数据'!$B:$B,MATCH($A23,'[AQ_2021.xlsx]原始数据'!$A:$A,0)),""))</f>
        <v/>
      </c>
      <c r="D23">
        <f>IF($A23="","",IFERROR(INDEX('[AQ_2022.xlsx]原始数据'!$B:$B,MATCH($A23,'[AQ_2022.xlsx]原始数据'!$A:$A,0)),""))</f>
        <v/>
      </c>
      <c r="E23">
        <f>IF($A23="","",IFERROR(INDEX('[AQ_2023.xlsx]原始数据'!$B:$B,MATCH($A23,'[AQ_2023.xlsx]原始数据'!$A:$A,0)),""))</f>
        <v/>
      </c>
      <c r="F23">
        <f>IF($A23="","",IFERROR(INDEX('[AQ_2024.xlsx]原始数据'!$B:$B,MATCH($A23,'[AQ_2024.xlsx]原始数据'!$A:$A,0)),""))</f>
        <v/>
      </c>
      <c r="G23">
        <f>IF($A23="","",IFERROR(INDEX('[AQ_2020.xlsx]原始数据'!$C:$C,MATCH($A23,'[AQ_2020.xlsx]原始数据'!$A:$A,0)),""))</f>
        <v/>
      </c>
      <c r="H23">
        <f>IF($A23="","",IFERROR(INDEX('[AQ_2021.xlsx]原始数据'!$C:$C,MATCH($A23,'[AQ_2021.xlsx]原始数据'!$A:$A,0)),""))</f>
        <v/>
      </c>
      <c r="I23">
        <f>IF($A23="","",IFERROR(INDEX('[AQ_2022.xlsx]原始数据'!$C:$C,MATCH($A23,'[AQ_2022.xlsx]原始数据'!$A:$A,0)),""))</f>
        <v/>
      </c>
      <c r="J23">
        <f>IF($A23="","",IFERROR(INDEX('[AQ_2023.xlsx]原始数据'!$C:$C,MATCH($A23,'[AQ_2023.xlsx]原始数据'!$A:$A,0)),""))</f>
        <v/>
      </c>
      <c r="K23">
        <f>IF($A23="","",IFERROR(INDEX('[AQ_2024.xlsx]原始数据'!$C:$C,MATCH($A23,'[AQ_2024.xlsx]原始数据'!$A:$A,0)),""))</f>
        <v/>
      </c>
      <c r="L23">
        <f>IF($A23="","",IFERROR(INDEX('[AQ_2020.xlsx]原始数据'!$D:$D,MATCH($A23,'[AQ_2020.xlsx]原始数据'!$A:$A,0)),""))</f>
        <v/>
      </c>
      <c r="M23">
        <f>IF($A23="","",IFERROR(INDEX('[AQ_2021.xlsx]原始数据'!$D:$D,MATCH($A23,'[AQ_2021.xlsx]原始数据'!$A:$A,0)),""))</f>
        <v/>
      </c>
      <c r="N23">
        <f>IF($A23="","",IFERROR(INDEX('[AQ_2022.xlsx]原始数据'!$D:$D,MATCH($A23,'[AQ_2022.xlsx]原始数据'!$A:$A,0)),""))</f>
        <v/>
      </c>
      <c r="O23">
        <f>IF($A23="","",IFERROR(INDEX('[AQ_2023.xlsx]原始数据'!$D:$D,MATCH($A23,'[AQ_2023.xlsx]原始数据'!$A:$A,0)),""))</f>
        <v/>
      </c>
      <c r="P23">
        <f>IF($A23="","",IFERROR(INDEX('[AQ_2024.xlsx]原始数据'!$D:$D,MATCH($A23,'[AQ_2024.xlsx]原始数据'!$A:$A,0)),""))</f>
        <v/>
      </c>
      <c r="Q23">
        <f>IF($A23="","",IFERROR(INDEX('[AQ_2020.xlsx]原始数据'!$E:$E,MATCH($A23,'[AQ_2020.xlsx]原始数据'!$A:$A,0)),""))</f>
        <v/>
      </c>
      <c r="R23">
        <f>IF($A23="","",IFERROR(INDEX('[AQ_2021.xlsx]原始数据'!$E:$E,MATCH($A23,'[AQ_2021.xlsx]原始数据'!$A:$A,0)),""))</f>
        <v/>
      </c>
      <c r="S23">
        <f>IF($A23="","",IFERROR(INDEX('[AQ_2022.xlsx]原始数据'!$E:$E,MATCH($A23,'[AQ_2022.xlsx]原始数据'!$A:$A,0)),""))</f>
        <v/>
      </c>
      <c r="T23">
        <f>IF($A23="","",IFERROR(INDEX('[AQ_2023.xlsx]原始数据'!$E:$E,MATCH($A23,'[AQ_2023.xlsx]原始数据'!$A:$A,0)),""))</f>
        <v/>
      </c>
      <c r="U23">
        <f>IF($A23="","",IFERROR(INDEX('[AQ_2024.xlsx]原始数据'!$E:$E,MATCH($A23,'[AQ_2024.xlsx]原始数据'!$A:$A,0)),""))</f>
        <v/>
      </c>
      <c r="V23">
        <f>IF($A23="","",IFERROR(INDEX('[AQ_2020.xlsx]原始数据'!$F:$F,MATCH($A23,'[AQ_2020.xlsx]原始数据'!$A:$A,0)),""))</f>
        <v/>
      </c>
      <c r="W23">
        <f>IF($A23="","",IFERROR(INDEX('[AQ_2021.xlsx]原始数据'!$F:$F,MATCH($A23,'[AQ_2021.xlsx]原始数据'!$A:$A,0)),""))</f>
        <v/>
      </c>
      <c r="X23">
        <f>IF($A23="","",IFERROR(INDEX('[AQ_2022.xlsx]原始数据'!$F:$F,MATCH($A23,'[AQ_2022.xlsx]原始数据'!$A:$A,0)),""))</f>
        <v/>
      </c>
      <c r="Y23">
        <f>IF($A23="","",IFERROR(INDEX('[AQ_2023.xlsx]原始数据'!$F:$F,MATCH($A23,'[AQ_2023.xlsx]原始数据'!$A:$A,0)),""))</f>
        <v/>
      </c>
      <c r="Z23">
        <f>IF($A23="","",IFERROR(INDEX('[AQ_2024.xlsx]原始数据'!$F:$F,MATCH($A23,'[AQ_2024.xlsx]原始数据'!$A:$A,0)),""))</f>
        <v/>
      </c>
      <c r="AA23" s="2">
        <f>IFERROR(G23/B23,"")</f>
        <v/>
      </c>
      <c r="AB23" s="2">
        <f>IFERROR(H23/C23,"")</f>
        <v/>
      </c>
      <c r="AC23" s="2">
        <f>IFERROR(I23/D23,"")</f>
        <v/>
      </c>
      <c r="AD23" s="2">
        <f>IFERROR(J23/E23,"")</f>
        <v/>
      </c>
      <c r="AE23" s="2">
        <f>IFERROR(K23/F23,"")</f>
        <v/>
      </c>
      <c r="AF23" s="2">
        <f>IFERROR(L23/B23,"")</f>
        <v/>
      </c>
      <c r="AG23" s="2">
        <f>IFERROR(M23/C23,"")</f>
        <v/>
      </c>
      <c r="AH23" s="2">
        <f>IFERROR(N23/D23,"")</f>
        <v/>
      </c>
      <c r="AI23" s="2">
        <f>IFERROR(O23/E23,"")</f>
        <v/>
      </c>
      <c r="AJ23" s="2">
        <f>IFERROR(P23/F23,"")</f>
        <v/>
      </c>
      <c r="AK23" s="2">
        <f>IFERROR(Q23/B23,"")</f>
        <v/>
      </c>
      <c r="AL23" s="2">
        <f>IFERROR(R23/C23,"")</f>
        <v/>
      </c>
      <c r="AM23" s="2">
        <f>IFERROR(S23/D23,"")</f>
        <v/>
      </c>
      <c r="AN23" s="2">
        <f>IFERROR(T23/E23,"")</f>
        <v/>
      </c>
      <c r="AO23" s="2">
        <f>IFERROR(U23/F23,"")</f>
        <v/>
      </c>
    </row>
    <row r="24">
      <c r="B24">
        <f>IF($A24="","",IFERROR(INDEX('[AQ_2020.xlsx]原始数据'!$B:$B,MATCH($A24,'[AQ_2020.xlsx]原始数据'!$A:$A,0)),""))</f>
        <v/>
      </c>
      <c r="C24">
        <f>IF($A24="","",IFERROR(INDEX('[AQ_2021.xlsx]原始数据'!$B:$B,MATCH($A24,'[AQ_2021.xlsx]原始数据'!$A:$A,0)),""))</f>
        <v/>
      </c>
      <c r="D24">
        <f>IF($A24="","",IFERROR(INDEX('[AQ_2022.xlsx]原始数据'!$B:$B,MATCH($A24,'[AQ_2022.xlsx]原始数据'!$A:$A,0)),""))</f>
        <v/>
      </c>
      <c r="E24">
        <f>IF($A24="","",IFERROR(INDEX('[AQ_2023.xlsx]原始数据'!$B:$B,MATCH($A24,'[AQ_2023.xlsx]原始数据'!$A:$A,0)),""))</f>
        <v/>
      </c>
      <c r="F24">
        <f>IF($A24="","",IFERROR(INDEX('[AQ_2024.xlsx]原始数据'!$B:$B,MATCH($A24,'[AQ_2024.xlsx]原始数据'!$A:$A,0)),""))</f>
        <v/>
      </c>
      <c r="G24">
        <f>IF($A24="","",IFERROR(INDEX('[AQ_2020.xlsx]原始数据'!$C:$C,MATCH($A24,'[AQ_2020.xlsx]原始数据'!$A:$A,0)),""))</f>
        <v/>
      </c>
      <c r="H24">
        <f>IF($A24="","",IFERROR(INDEX('[AQ_2021.xlsx]原始数据'!$C:$C,MATCH($A24,'[AQ_2021.xlsx]原始数据'!$A:$A,0)),""))</f>
        <v/>
      </c>
      <c r="I24">
        <f>IF($A24="","",IFERROR(INDEX('[AQ_2022.xlsx]原始数据'!$C:$C,MATCH($A24,'[AQ_2022.xlsx]原始数据'!$A:$A,0)),""))</f>
        <v/>
      </c>
      <c r="J24">
        <f>IF($A24="","",IFERROR(INDEX('[AQ_2023.xlsx]原始数据'!$C:$C,MATCH($A24,'[AQ_2023.xlsx]原始数据'!$A:$A,0)),""))</f>
        <v/>
      </c>
      <c r="K24">
        <f>IF($A24="","",IFERROR(INDEX('[AQ_2024.xlsx]原始数据'!$C:$C,MATCH($A24,'[AQ_2024.xlsx]原始数据'!$A:$A,0)),""))</f>
        <v/>
      </c>
      <c r="L24">
        <f>IF($A24="","",IFERROR(INDEX('[AQ_2020.xlsx]原始数据'!$D:$D,MATCH($A24,'[AQ_2020.xlsx]原始数据'!$A:$A,0)),""))</f>
        <v/>
      </c>
      <c r="M24">
        <f>IF($A24="","",IFERROR(INDEX('[AQ_2021.xlsx]原始数据'!$D:$D,MATCH($A24,'[AQ_2021.xlsx]原始数据'!$A:$A,0)),""))</f>
        <v/>
      </c>
      <c r="N24">
        <f>IF($A24="","",IFERROR(INDEX('[AQ_2022.xlsx]原始数据'!$D:$D,MATCH($A24,'[AQ_2022.xlsx]原始数据'!$A:$A,0)),""))</f>
        <v/>
      </c>
      <c r="O24">
        <f>IF($A24="","",IFERROR(INDEX('[AQ_2023.xlsx]原始数据'!$D:$D,MATCH($A24,'[AQ_2023.xlsx]原始数据'!$A:$A,0)),""))</f>
        <v/>
      </c>
      <c r="P24">
        <f>IF($A24="","",IFERROR(INDEX('[AQ_2024.xlsx]原始数据'!$D:$D,MATCH($A24,'[AQ_2024.xlsx]原始数据'!$A:$A,0)),""))</f>
        <v/>
      </c>
      <c r="Q24">
        <f>IF($A24="","",IFERROR(INDEX('[AQ_2020.xlsx]原始数据'!$E:$E,MATCH($A24,'[AQ_2020.xlsx]原始数据'!$A:$A,0)),""))</f>
        <v/>
      </c>
      <c r="R24">
        <f>IF($A24="","",IFERROR(INDEX('[AQ_2021.xlsx]原始数据'!$E:$E,MATCH($A24,'[AQ_2021.xlsx]原始数据'!$A:$A,0)),""))</f>
        <v/>
      </c>
      <c r="S24">
        <f>IF($A24="","",IFERROR(INDEX('[AQ_2022.xlsx]原始数据'!$E:$E,MATCH($A24,'[AQ_2022.xlsx]原始数据'!$A:$A,0)),""))</f>
        <v/>
      </c>
      <c r="T24">
        <f>IF($A24="","",IFERROR(INDEX('[AQ_2023.xlsx]原始数据'!$E:$E,MATCH($A24,'[AQ_2023.xlsx]原始数据'!$A:$A,0)),""))</f>
        <v/>
      </c>
      <c r="U24">
        <f>IF($A24="","",IFERROR(INDEX('[AQ_2024.xlsx]原始数据'!$E:$E,MATCH($A24,'[AQ_2024.xlsx]原始数据'!$A:$A,0)),""))</f>
        <v/>
      </c>
      <c r="V24">
        <f>IF($A24="","",IFERROR(INDEX('[AQ_2020.xlsx]原始数据'!$F:$F,MATCH($A24,'[AQ_2020.xlsx]原始数据'!$A:$A,0)),""))</f>
        <v/>
      </c>
      <c r="W24">
        <f>IF($A24="","",IFERROR(INDEX('[AQ_2021.xlsx]原始数据'!$F:$F,MATCH($A24,'[AQ_2021.xlsx]原始数据'!$A:$A,0)),""))</f>
        <v/>
      </c>
      <c r="X24">
        <f>IF($A24="","",IFERROR(INDEX('[AQ_2022.xlsx]原始数据'!$F:$F,MATCH($A24,'[AQ_2022.xlsx]原始数据'!$A:$A,0)),""))</f>
        <v/>
      </c>
      <c r="Y24">
        <f>IF($A24="","",IFERROR(INDEX('[AQ_2023.xlsx]原始数据'!$F:$F,MATCH($A24,'[AQ_2023.xlsx]原始数据'!$A:$A,0)),""))</f>
        <v/>
      </c>
      <c r="Z24">
        <f>IF($A24="","",IFERROR(INDEX('[AQ_2024.xlsx]原始数据'!$F:$F,MATCH($A24,'[AQ_2024.xlsx]原始数据'!$A:$A,0)),""))</f>
        <v/>
      </c>
      <c r="AA24" s="2">
        <f>IFERROR(G24/B24,"")</f>
        <v/>
      </c>
      <c r="AB24" s="2">
        <f>IFERROR(H24/C24,"")</f>
        <v/>
      </c>
      <c r="AC24" s="2">
        <f>IFERROR(I24/D24,"")</f>
        <v/>
      </c>
      <c r="AD24" s="2">
        <f>IFERROR(J24/E24,"")</f>
        <v/>
      </c>
      <c r="AE24" s="2">
        <f>IFERROR(K24/F24,"")</f>
        <v/>
      </c>
      <c r="AF24" s="2">
        <f>IFERROR(L24/B24,"")</f>
        <v/>
      </c>
      <c r="AG24" s="2">
        <f>IFERROR(M24/C24,"")</f>
        <v/>
      </c>
      <c r="AH24" s="2">
        <f>IFERROR(N24/D24,"")</f>
        <v/>
      </c>
      <c r="AI24" s="2">
        <f>IFERROR(O24/E24,"")</f>
        <v/>
      </c>
      <c r="AJ24" s="2">
        <f>IFERROR(P24/F24,"")</f>
        <v/>
      </c>
      <c r="AK24" s="2">
        <f>IFERROR(Q24/B24,"")</f>
        <v/>
      </c>
      <c r="AL24" s="2">
        <f>IFERROR(R24/C24,"")</f>
        <v/>
      </c>
      <c r="AM24" s="2">
        <f>IFERROR(S24/D24,"")</f>
        <v/>
      </c>
      <c r="AN24" s="2">
        <f>IFERROR(T24/E24,"")</f>
        <v/>
      </c>
      <c r="AO24" s="2">
        <f>IFERROR(U24/F24,"")</f>
        <v/>
      </c>
    </row>
    <row r="25">
      <c r="B25">
        <f>IF($A25="","",IFERROR(INDEX('[AQ_2020.xlsx]原始数据'!$B:$B,MATCH($A25,'[AQ_2020.xlsx]原始数据'!$A:$A,0)),""))</f>
        <v/>
      </c>
      <c r="C25">
        <f>IF($A25="","",IFERROR(INDEX('[AQ_2021.xlsx]原始数据'!$B:$B,MATCH($A25,'[AQ_2021.xlsx]原始数据'!$A:$A,0)),""))</f>
        <v/>
      </c>
      <c r="D25">
        <f>IF($A25="","",IFERROR(INDEX('[AQ_2022.xlsx]原始数据'!$B:$B,MATCH($A25,'[AQ_2022.xlsx]原始数据'!$A:$A,0)),""))</f>
        <v/>
      </c>
      <c r="E25">
        <f>IF($A25="","",IFERROR(INDEX('[AQ_2023.xlsx]原始数据'!$B:$B,MATCH($A25,'[AQ_2023.xlsx]原始数据'!$A:$A,0)),""))</f>
        <v/>
      </c>
      <c r="F25">
        <f>IF($A25="","",IFERROR(INDEX('[AQ_2024.xlsx]原始数据'!$B:$B,MATCH($A25,'[AQ_2024.xlsx]原始数据'!$A:$A,0)),""))</f>
        <v/>
      </c>
      <c r="G25">
        <f>IF($A25="","",IFERROR(INDEX('[AQ_2020.xlsx]原始数据'!$C:$C,MATCH($A25,'[AQ_2020.xlsx]原始数据'!$A:$A,0)),""))</f>
        <v/>
      </c>
      <c r="H25">
        <f>IF($A25="","",IFERROR(INDEX('[AQ_2021.xlsx]原始数据'!$C:$C,MATCH($A25,'[AQ_2021.xlsx]原始数据'!$A:$A,0)),""))</f>
        <v/>
      </c>
      <c r="I25">
        <f>IF($A25="","",IFERROR(INDEX('[AQ_2022.xlsx]原始数据'!$C:$C,MATCH($A25,'[AQ_2022.xlsx]原始数据'!$A:$A,0)),""))</f>
        <v/>
      </c>
      <c r="J25">
        <f>IF($A25="","",IFERROR(INDEX('[AQ_2023.xlsx]原始数据'!$C:$C,MATCH($A25,'[AQ_2023.xlsx]原始数据'!$A:$A,0)),""))</f>
        <v/>
      </c>
      <c r="K25">
        <f>IF($A25="","",IFERROR(INDEX('[AQ_2024.xlsx]原始数据'!$C:$C,MATCH($A25,'[AQ_2024.xlsx]原始数据'!$A:$A,0)),""))</f>
        <v/>
      </c>
      <c r="L25">
        <f>IF($A25="","",IFERROR(INDEX('[AQ_2020.xlsx]原始数据'!$D:$D,MATCH($A25,'[AQ_2020.xlsx]原始数据'!$A:$A,0)),""))</f>
        <v/>
      </c>
      <c r="M25">
        <f>IF($A25="","",IFERROR(INDEX('[AQ_2021.xlsx]原始数据'!$D:$D,MATCH($A25,'[AQ_2021.xlsx]原始数据'!$A:$A,0)),""))</f>
        <v/>
      </c>
      <c r="N25">
        <f>IF($A25="","",IFERROR(INDEX('[AQ_2022.xlsx]原始数据'!$D:$D,MATCH($A25,'[AQ_2022.xlsx]原始数据'!$A:$A,0)),""))</f>
        <v/>
      </c>
      <c r="O25">
        <f>IF($A25="","",IFERROR(INDEX('[AQ_2023.xlsx]原始数据'!$D:$D,MATCH($A25,'[AQ_2023.xlsx]原始数据'!$A:$A,0)),""))</f>
        <v/>
      </c>
      <c r="P25">
        <f>IF($A25="","",IFERROR(INDEX('[AQ_2024.xlsx]原始数据'!$D:$D,MATCH($A25,'[AQ_2024.xlsx]原始数据'!$A:$A,0)),""))</f>
        <v/>
      </c>
      <c r="Q25">
        <f>IF($A25="","",IFERROR(INDEX('[AQ_2020.xlsx]原始数据'!$E:$E,MATCH($A25,'[AQ_2020.xlsx]原始数据'!$A:$A,0)),""))</f>
        <v/>
      </c>
      <c r="R25">
        <f>IF($A25="","",IFERROR(INDEX('[AQ_2021.xlsx]原始数据'!$E:$E,MATCH($A25,'[AQ_2021.xlsx]原始数据'!$A:$A,0)),""))</f>
        <v/>
      </c>
      <c r="S25">
        <f>IF($A25="","",IFERROR(INDEX('[AQ_2022.xlsx]原始数据'!$E:$E,MATCH($A25,'[AQ_2022.xlsx]原始数据'!$A:$A,0)),""))</f>
        <v/>
      </c>
      <c r="T25">
        <f>IF($A25="","",IFERROR(INDEX('[AQ_2023.xlsx]原始数据'!$E:$E,MATCH($A25,'[AQ_2023.xlsx]原始数据'!$A:$A,0)),""))</f>
        <v/>
      </c>
      <c r="U25">
        <f>IF($A25="","",IFERROR(INDEX('[AQ_2024.xlsx]原始数据'!$E:$E,MATCH($A25,'[AQ_2024.xlsx]原始数据'!$A:$A,0)),""))</f>
        <v/>
      </c>
      <c r="V25">
        <f>IF($A25="","",IFERROR(INDEX('[AQ_2020.xlsx]原始数据'!$F:$F,MATCH($A25,'[AQ_2020.xlsx]原始数据'!$A:$A,0)),""))</f>
        <v/>
      </c>
      <c r="W25">
        <f>IF($A25="","",IFERROR(INDEX('[AQ_2021.xlsx]原始数据'!$F:$F,MATCH($A25,'[AQ_2021.xlsx]原始数据'!$A:$A,0)),""))</f>
        <v/>
      </c>
      <c r="X25">
        <f>IF($A25="","",IFERROR(INDEX('[AQ_2022.xlsx]原始数据'!$F:$F,MATCH($A25,'[AQ_2022.xlsx]原始数据'!$A:$A,0)),""))</f>
        <v/>
      </c>
      <c r="Y25">
        <f>IF($A25="","",IFERROR(INDEX('[AQ_2023.xlsx]原始数据'!$F:$F,MATCH($A25,'[AQ_2023.xlsx]原始数据'!$A:$A,0)),""))</f>
        <v/>
      </c>
      <c r="Z25">
        <f>IF($A25="","",IFERROR(INDEX('[AQ_2024.xlsx]原始数据'!$F:$F,MATCH($A25,'[AQ_2024.xlsx]原始数据'!$A:$A,0)),""))</f>
        <v/>
      </c>
      <c r="AA25" s="2">
        <f>IFERROR(G25/B25,"")</f>
        <v/>
      </c>
      <c r="AB25" s="2">
        <f>IFERROR(H25/C25,"")</f>
        <v/>
      </c>
      <c r="AC25" s="2">
        <f>IFERROR(I25/D25,"")</f>
        <v/>
      </c>
      <c r="AD25" s="2">
        <f>IFERROR(J25/E25,"")</f>
        <v/>
      </c>
      <c r="AE25" s="2">
        <f>IFERROR(K25/F25,"")</f>
        <v/>
      </c>
      <c r="AF25" s="2">
        <f>IFERROR(L25/B25,"")</f>
        <v/>
      </c>
      <c r="AG25" s="2">
        <f>IFERROR(M25/C25,"")</f>
        <v/>
      </c>
      <c r="AH25" s="2">
        <f>IFERROR(N25/D25,"")</f>
        <v/>
      </c>
      <c r="AI25" s="2">
        <f>IFERROR(O25/E25,"")</f>
        <v/>
      </c>
      <c r="AJ25" s="2">
        <f>IFERROR(P25/F25,"")</f>
        <v/>
      </c>
      <c r="AK25" s="2">
        <f>IFERROR(Q25/B25,"")</f>
        <v/>
      </c>
      <c r="AL25" s="2">
        <f>IFERROR(R25/C25,"")</f>
        <v/>
      </c>
      <c r="AM25" s="2">
        <f>IFERROR(S25/D25,"")</f>
        <v/>
      </c>
      <c r="AN25" s="2">
        <f>IFERROR(T25/E25,"")</f>
        <v/>
      </c>
      <c r="AO25" s="2">
        <f>IFERROR(U25/F25,"")</f>
        <v/>
      </c>
    </row>
    <row r="26">
      <c r="B26">
        <f>IF($A26="","",IFERROR(INDEX('[AQ_2020.xlsx]原始数据'!$B:$B,MATCH($A26,'[AQ_2020.xlsx]原始数据'!$A:$A,0)),""))</f>
        <v/>
      </c>
      <c r="C26">
        <f>IF($A26="","",IFERROR(INDEX('[AQ_2021.xlsx]原始数据'!$B:$B,MATCH($A26,'[AQ_2021.xlsx]原始数据'!$A:$A,0)),""))</f>
        <v/>
      </c>
      <c r="D26">
        <f>IF($A26="","",IFERROR(INDEX('[AQ_2022.xlsx]原始数据'!$B:$B,MATCH($A26,'[AQ_2022.xlsx]原始数据'!$A:$A,0)),""))</f>
        <v/>
      </c>
      <c r="E26">
        <f>IF($A26="","",IFERROR(INDEX('[AQ_2023.xlsx]原始数据'!$B:$B,MATCH($A26,'[AQ_2023.xlsx]原始数据'!$A:$A,0)),""))</f>
        <v/>
      </c>
      <c r="F26">
        <f>IF($A26="","",IFERROR(INDEX('[AQ_2024.xlsx]原始数据'!$B:$B,MATCH($A26,'[AQ_2024.xlsx]原始数据'!$A:$A,0)),""))</f>
        <v/>
      </c>
      <c r="G26">
        <f>IF($A26="","",IFERROR(INDEX('[AQ_2020.xlsx]原始数据'!$C:$C,MATCH($A26,'[AQ_2020.xlsx]原始数据'!$A:$A,0)),""))</f>
        <v/>
      </c>
      <c r="H26">
        <f>IF($A26="","",IFERROR(INDEX('[AQ_2021.xlsx]原始数据'!$C:$C,MATCH($A26,'[AQ_2021.xlsx]原始数据'!$A:$A,0)),""))</f>
        <v/>
      </c>
      <c r="I26">
        <f>IF($A26="","",IFERROR(INDEX('[AQ_2022.xlsx]原始数据'!$C:$C,MATCH($A26,'[AQ_2022.xlsx]原始数据'!$A:$A,0)),""))</f>
        <v/>
      </c>
      <c r="J26">
        <f>IF($A26="","",IFERROR(INDEX('[AQ_2023.xlsx]原始数据'!$C:$C,MATCH($A26,'[AQ_2023.xlsx]原始数据'!$A:$A,0)),""))</f>
        <v/>
      </c>
      <c r="K26">
        <f>IF($A26="","",IFERROR(INDEX('[AQ_2024.xlsx]原始数据'!$C:$C,MATCH($A26,'[AQ_2024.xlsx]原始数据'!$A:$A,0)),""))</f>
        <v/>
      </c>
      <c r="L26">
        <f>IF($A26="","",IFERROR(INDEX('[AQ_2020.xlsx]原始数据'!$D:$D,MATCH($A26,'[AQ_2020.xlsx]原始数据'!$A:$A,0)),""))</f>
        <v/>
      </c>
      <c r="M26">
        <f>IF($A26="","",IFERROR(INDEX('[AQ_2021.xlsx]原始数据'!$D:$D,MATCH($A26,'[AQ_2021.xlsx]原始数据'!$A:$A,0)),""))</f>
        <v/>
      </c>
      <c r="N26">
        <f>IF($A26="","",IFERROR(INDEX('[AQ_2022.xlsx]原始数据'!$D:$D,MATCH($A26,'[AQ_2022.xlsx]原始数据'!$A:$A,0)),""))</f>
        <v/>
      </c>
      <c r="O26">
        <f>IF($A26="","",IFERROR(INDEX('[AQ_2023.xlsx]原始数据'!$D:$D,MATCH($A26,'[AQ_2023.xlsx]原始数据'!$A:$A,0)),""))</f>
        <v/>
      </c>
      <c r="P26">
        <f>IF($A26="","",IFERROR(INDEX('[AQ_2024.xlsx]原始数据'!$D:$D,MATCH($A26,'[AQ_2024.xlsx]原始数据'!$A:$A,0)),""))</f>
        <v/>
      </c>
      <c r="Q26">
        <f>IF($A26="","",IFERROR(INDEX('[AQ_2020.xlsx]原始数据'!$E:$E,MATCH($A26,'[AQ_2020.xlsx]原始数据'!$A:$A,0)),""))</f>
        <v/>
      </c>
      <c r="R26">
        <f>IF($A26="","",IFERROR(INDEX('[AQ_2021.xlsx]原始数据'!$E:$E,MATCH($A26,'[AQ_2021.xlsx]原始数据'!$A:$A,0)),""))</f>
        <v/>
      </c>
      <c r="S26">
        <f>IF($A26="","",IFERROR(INDEX('[AQ_2022.xlsx]原始数据'!$E:$E,MATCH($A26,'[AQ_2022.xlsx]原始数据'!$A:$A,0)),""))</f>
        <v/>
      </c>
      <c r="T26">
        <f>IF($A26="","",IFERROR(INDEX('[AQ_2023.xlsx]原始数据'!$E:$E,MATCH($A26,'[AQ_2023.xlsx]原始数据'!$A:$A,0)),""))</f>
        <v/>
      </c>
      <c r="U26">
        <f>IF($A26="","",IFERROR(INDEX('[AQ_2024.xlsx]原始数据'!$E:$E,MATCH($A26,'[AQ_2024.xlsx]原始数据'!$A:$A,0)),""))</f>
        <v/>
      </c>
      <c r="V26">
        <f>IF($A26="","",IFERROR(INDEX('[AQ_2020.xlsx]原始数据'!$F:$F,MATCH($A26,'[AQ_2020.xlsx]原始数据'!$A:$A,0)),""))</f>
        <v/>
      </c>
      <c r="W26">
        <f>IF($A26="","",IFERROR(INDEX('[AQ_2021.xlsx]原始数据'!$F:$F,MATCH($A26,'[AQ_2021.xlsx]原始数据'!$A:$A,0)),""))</f>
        <v/>
      </c>
      <c r="X26">
        <f>IF($A26="","",IFERROR(INDEX('[AQ_2022.xlsx]原始数据'!$F:$F,MATCH($A26,'[AQ_2022.xlsx]原始数据'!$A:$A,0)),""))</f>
        <v/>
      </c>
      <c r="Y26">
        <f>IF($A26="","",IFERROR(INDEX('[AQ_2023.xlsx]原始数据'!$F:$F,MATCH($A26,'[AQ_2023.xlsx]原始数据'!$A:$A,0)),""))</f>
        <v/>
      </c>
      <c r="Z26">
        <f>IF($A26="","",IFERROR(INDEX('[AQ_2024.xlsx]原始数据'!$F:$F,MATCH($A26,'[AQ_2024.xlsx]原始数据'!$A:$A,0)),""))</f>
        <v/>
      </c>
      <c r="AA26" s="2">
        <f>IFERROR(G26/B26,"")</f>
        <v/>
      </c>
      <c r="AB26" s="2">
        <f>IFERROR(H26/C26,"")</f>
        <v/>
      </c>
      <c r="AC26" s="2">
        <f>IFERROR(I26/D26,"")</f>
        <v/>
      </c>
      <c r="AD26" s="2">
        <f>IFERROR(J26/E26,"")</f>
        <v/>
      </c>
      <c r="AE26" s="2">
        <f>IFERROR(K26/F26,"")</f>
        <v/>
      </c>
      <c r="AF26" s="2">
        <f>IFERROR(L26/B26,"")</f>
        <v/>
      </c>
      <c r="AG26" s="2">
        <f>IFERROR(M26/C26,"")</f>
        <v/>
      </c>
      <c r="AH26" s="2">
        <f>IFERROR(N26/D26,"")</f>
        <v/>
      </c>
      <c r="AI26" s="2">
        <f>IFERROR(O26/E26,"")</f>
        <v/>
      </c>
      <c r="AJ26" s="2">
        <f>IFERROR(P26/F26,"")</f>
        <v/>
      </c>
      <c r="AK26" s="2">
        <f>IFERROR(Q26/B26,"")</f>
        <v/>
      </c>
      <c r="AL26" s="2">
        <f>IFERROR(R26/C26,"")</f>
        <v/>
      </c>
      <c r="AM26" s="2">
        <f>IFERROR(S26/D26,"")</f>
        <v/>
      </c>
      <c r="AN26" s="2">
        <f>IFERROR(T26/E26,"")</f>
        <v/>
      </c>
      <c r="AO26" s="2">
        <f>IFERROR(U26/F26,"")</f>
        <v/>
      </c>
    </row>
    <row r="27">
      <c r="B27">
        <f>IF($A27="","",IFERROR(INDEX('[AQ_2020.xlsx]原始数据'!$B:$B,MATCH($A27,'[AQ_2020.xlsx]原始数据'!$A:$A,0)),""))</f>
        <v/>
      </c>
      <c r="C27">
        <f>IF($A27="","",IFERROR(INDEX('[AQ_2021.xlsx]原始数据'!$B:$B,MATCH($A27,'[AQ_2021.xlsx]原始数据'!$A:$A,0)),""))</f>
        <v/>
      </c>
      <c r="D27">
        <f>IF($A27="","",IFERROR(INDEX('[AQ_2022.xlsx]原始数据'!$B:$B,MATCH($A27,'[AQ_2022.xlsx]原始数据'!$A:$A,0)),""))</f>
        <v/>
      </c>
      <c r="E27">
        <f>IF($A27="","",IFERROR(INDEX('[AQ_2023.xlsx]原始数据'!$B:$B,MATCH($A27,'[AQ_2023.xlsx]原始数据'!$A:$A,0)),""))</f>
        <v/>
      </c>
      <c r="F27">
        <f>IF($A27="","",IFERROR(INDEX('[AQ_2024.xlsx]原始数据'!$B:$B,MATCH($A27,'[AQ_2024.xlsx]原始数据'!$A:$A,0)),""))</f>
        <v/>
      </c>
      <c r="G27">
        <f>IF($A27="","",IFERROR(INDEX('[AQ_2020.xlsx]原始数据'!$C:$C,MATCH($A27,'[AQ_2020.xlsx]原始数据'!$A:$A,0)),""))</f>
        <v/>
      </c>
      <c r="H27">
        <f>IF($A27="","",IFERROR(INDEX('[AQ_2021.xlsx]原始数据'!$C:$C,MATCH($A27,'[AQ_2021.xlsx]原始数据'!$A:$A,0)),""))</f>
        <v/>
      </c>
      <c r="I27">
        <f>IF($A27="","",IFERROR(INDEX('[AQ_2022.xlsx]原始数据'!$C:$C,MATCH($A27,'[AQ_2022.xlsx]原始数据'!$A:$A,0)),""))</f>
        <v/>
      </c>
      <c r="J27">
        <f>IF($A27="","",IFERROR(INDEX('[AQ_2023.xlsx]原始数据'!$C:$C,MATCH($A27,'[AQ_2023.xlsx]原始数据'!$A:$A,0)),""))</f>
        <v/>
      </c>
      <c r="K27">
        <f>IF($A27="","",IFERROR(INDEX('[AQ_2024.xlsx]原始数据'!$C:$C,MATCH($A27,'[AQ_2024.xlsx]原始数据'!$A:$A,0)),""))</f>
        <v/>
      </c>
      <c r="L27">
        <f>IF($A27="","",IFERROR(INDEX('[AQ_2020.xlsx]原始数据'!$D:$D,MATCH($A27,'[AQ_2020.xlsx]原始数据'!$A:$A,0)),""))</f>
        <v/>
      </c>
      <c r="M27">
        <f>IF($A27="","",IFERROR(INDEX('[AQ_2021.xlsx]原始数据'!$D:$D,MATCH($A27,'[AQ_2021.xlsx]原始数据'!$A:$A,0)),""))</f>
        <v/>
      </c>
      <c r="N27">
        <f>IF($A27="","",IFERROR(INDEX('[AQ_2022.xlsx]原始数据'!$D:$D,MATCH($A27,'[AQ_2022.xlsx]原始数据'!$A:$A,0)),""))</f>
        <v/>
      </c>
      <c r="O27">
        <f>IF($A27="","",IFERROR(INDEX('[AQ_2023.xlsx]原始数据'!$D:$D,MATCH($A27,'[AQ_2023.xlsx]原始数据'!$A:$A,0)),""))</f>
        <v/>
      </c>
      <c r="P27">
        <f>IF($A27="","",IFERROR(INDEX('[AQ_2024.xlsx]原始数据'!$D:$D,MATCH($A27,'[AQ_2024.xlsx]原始数据'!$A:$A,0)),""))</f>
        <v/>
      </c>
      <c r="Q27">
        <f>IF($A27="","",IFERROR(INDEX('[AQ_2020.xlsx]原始数据'!$E:$E,MATCH($A27,'[AQ_2020.xlsx]原始数据'!$A:$A,0)),""))</f>
        <v/>
      </c>
      <c r="R27">
        <f>IF($A27="","",IFERROR(INDEX('[AQ_2021.xlsx]原始数据'!$E:$E,MATCH($A27,'[AQ_2021.xlsx]原始数据'!$A:$A,0)),""))</f>
        <v/>
      </c>
      <c r="S27">
        <f>IF($A27="","",IFERROR(INDEX('[AQ_2022.xlsx]原始数据'!$E:$E,MATCH($A27,'[AQ_2022.xlsx]原始数据'!$A:$A,0)),""))</f>
        <v/>
      </c>
      <c r="T27">
        <f>IF($A27="","",IFERROR(INDEX('[AQ_2023.xlsx]原始数据'!$E:$E,MATCH($A27,'[AQ_2023.xlsx]原始数据'!$A:$A,0)),""))</f>
        <v/>
      </c>
      <c r="U27">
        <f>IF($A27="","",IFERROR(INDEX('[AQ_2024.xlsx]原始数据'!$E:$E,MATCH($A27,'[AQ_2024.xlsx]原始数据'!$A:$A,0)),""))</f>
        <v/>
      </c>
      <c r="V27">
        <f>IF($A27="","",IFERROR(INDEX('[AQ_2020.xlsx]原始数据'!$F:$F,MATCH($A27,'[AQ_2020.xlsx]原始数据'!$A:$A,0)),""))</f>
        <v/>
      </c>
      <c r="W27">
        <f>IF($A27="","",IFERROR(INDEX('[AQ_2021.xlsx]原始数据'!$F:$F,MATCH($A27,'[AQ_2021.xlsx]原始数据'!$A:$A,0)),""))</f>
        <v/>
      </c>
      <c r="X27">
        <f>IF($A27="","",IFERROR(INDEX('[AQ_2022.xlsx]原始数据'!$F:$F,MATCH($A27,'[AQ_2022.xlsx]原始数据'!$A:$A,0)),""))</f>
        <v/>
      </c>
      <c r="Y27">
        <f>IF($A27="","",IFERROR(INDEX('[AQ_2023.xlsx]原始数据'!$F:$F,MATCH($A27,'[AQ_2023.xlsx]原始数据'!$A:$A,0)),""))</f>
        <v/>
      </c>
      <c r="Z27">
        <f>IF($A27="","",IFERROR(INDEX('[AQ_2024.xlsx]原始数据'!$F:$F,MATCH($A27,'[AQ_2024.xlsx]原始数据'!$A:$A,0)),""))</f>
        <v/>
      </c>
      <c r="AA27" s="2">
        <f>IFERROR(G27/B27,"")</f>
        <v/>
      </c>
      <c r="AB27" s="2">
        <f>IFERROR(H27/C27,"")</f>
        <v/>
      </c>
      <c r="AC27" s="2">
        <f>IFERROR(I27/D27,"")</f>
        <v/>
      </c>
      <c r="AD27" s="2">
        <f>IFERROR(J27/E27,"")</f>
        <v/>
      </c>
      <c r="AE27" s="2">
        <f>IFERROR(K27/F27,"")</f>
        <v/>
      </c>
      <c r="AF27" s="2">
        <f>IFERROR(L27/B27,"")</f>
        <v/>
      </c>
      <c r="AG27" s="2">
        <f>IFERROR(M27/C27,"")</f>
        <v/>
      </c>
      <c r="AH27" s="2">
        <f>IFERROR(N27/D27,"")</f>
        <v/>
      </c>
      <c r="AI27" s="2">
        <f>IFERROR(O27/E27,"")</f>
        <v/>
      </c>
      <c r="AJ27" s="2">
        <f>IFERROR(P27/F27,"")</f>
        <v/>
      </c>
      <c r="AK27" s="2">
        <f>IFERROR(Q27/B27,"")</f>
        <v/>
      </c>
      <c r="AL27" s="2">
        <f>IFERROR(R27/C27,"")</f>
        <v/>
      </c>
      <c r="AM27" s="2">
        <f>IFERROR(S27/D27,"")</f>
        <v/>
      </c>
      <c r="AN27" s="2">
        <f>IFERROR(T27/E27,"")</f>
        <v/>
      </c>
      <c r="AO27" s="2">
        <f>IFERROR(U27/F27,"")</f>
        <v/>
      </c>
    </row>
    <row r="28">
      <c r="B28">
        <f>IF($A28="","",IFERROR(INDEX('[AQ_2020.xlsx]原始数据'!$B:$B,MATCH($A28,'[AQ_2020.xlsx]原始数据'!$A:$A,0)),""))</f>
        <v/>
      </c>
      <c r="C28">
        <f>IF($A28="","",IFERROR(INDEX('[AQ_2021.xlsx]原始数据'!$B:$B,MATCH($A28,'[AQ_2021.xlsx]原始数据'!$A:$A,0)),""))</f>
        <v/>
      </c>
      <c r="D28">
        <f>IF($A28="","",IFERROR(INDEX('[AQ_2022.xlsx]原始数据'!$B:$B,MATCH($A28,'[AQ_2022.xlsx]原始数据'!$A:$A,0)),""))</f>
        <v/>
      </c>
      <c r="E28">
        <f>IF($A28="","",IFERROR(INDEX('[AQ_2023.xlsx]原始数据'!$B:$B,MATCH($A28,'[AQ_2023.xlsx]原始数据'!$A:$A,0)),""))</f>
        <v/>
      </c>
      <c r="F28">
        <f>IF($A28="","",IFERROR(INDEX('[AQ_2024.xlsx]原始数据'!$B:$B,MATCH($A28,'[AQ_2024.xlsx]原始数据'!$A:$A,0)),""))</f>
        <v/>
      </c>
      <c r="G28">
        <f>IF($A28="","",IFERROR(INDEX('[AQ_2020.xlsx]原始数据'!$C:$C,MATCH($A28,'[AQ_2020.xlsx]原始数据'!$A:$A,0)),""))</f>
        <v/>
      </c>
      <c r="H28">
        <f>IF($A28="","",IFERROR(INDEX('[AQ_2021.xlsx]原始数据'!$C:$C,MATCH($A28,'[AQ_2021.xlsx]原始数据'!$A:$A,0)),""))</f>
        <v/>
      </c>
      <c r="I28">
        <f>IF($A28="","",IFERROR(INDEX('[AQ_2022.xlsx]原始数据'!$C:$C,MATCH($A28,'[AQ_2022.xlsx]原始数据'!$A:$A,0)),""))</f>
        <v/>
      </c>
      <c r="J28">
        <f>IF($A28="","",IFERROR(INDEX('[AQ_2023.xlsx]原始数据'!$C:$C,MATCH($A28,'[AQ_2023.xlsx]原始数据'!$A:$A,0)),""))</f>
        <v/>
      </c>
      <c r="K28">
        <f>IF($A28="","",IFERROR(INDEX('[AQ_2024.xlsx]原始数据'!$C:$C,MATCH($A28,'[AQ_2024.xlsx]原始数据'!$A:$A,0)),""))</f>
        <v/>
      </c>
      <c r="L28">
        <f>IF($A28="","",IFERROR(INDEX('[AQ_2020.xlsx]原始数据'!$D:$D,MATCH($A28,'[AQ_2020.xlsx]原始数据'!$A:$A,0)),""))</f>
        <v/>
      </c>
      <c r="M28">
        <f>IF($A28="","",IFERROR(INDEX('[AQ_2021.xlsx]原始数据'!$D:$D,MATCH($A28,'[AQ_2021.xlsx]原始数据'!$A:$A,0)),""))</f>
        <v/>
      </c>
      <c r="N28">
        <f>IF($A28="","",IFERROR(INDEX('[AQ_2022.xlsx]原始数据'!$D:$D,MATCH($A28,'[AQ_2022.xlsx]原始数据'!$A:$A,0)),""))</f>
        <v/>
      </c>
      <c r="O28">
        <f>IF($A28="","",IFERROR(INDEX('[AQ_2023.xlsx]原始数据'!$D:$D,MATCH($A28,'[AQ_2023.xlsx]原始数据'!$A:$A,0)),""))</f>
        <v/>
      </c>
      <c r="P28">
        <f>IF($A28="","",IFERROR(INDEX('[AQ_2024.xlsx]原始数据'!$D:$D,MATCH($A28,'[AQ_2024.xlsx]原始数据'!$A:$A,0)),""))</f>
        <v/>
      </c>
      <c r="Q28">
        <f>IF($A28="","",IFERROR(INDEX('[AQ_2020.xlsx]原始数据'!$E:$E,MATCH($A28,'[AQ_2020.xlsx]原始数据'!$A:$A,0)),""))</f>
        <v/>
      </c>
      <c r="R28">
        <f>IF($A28="","",IFERROR(INDEX('[AQ_2021.xlsx]原始数据'!$E:$E,MATCH($A28,'[AQ_2021.xlsx]原始数据'!$A:$A,0)),""))</f>
        <v/>
      </c>
      <c r="S28">
        <f>IF($A28="","",IFERROR(INDEX('[AQ_2022.xlsx]原始数据'!$E:$E,MATCH($A28,'[AQ_2022.xlsx]原始数据'!$A:$A,0)),""))</f>
        <v/>
      </c>
      <c r="T28">
        <f>IF($A28="","",IFERROR(INDEX('[AQ_2023.xlsx]原始数据'!$E:$E,MATCH($A28,'[AQ_2023.xlsx]原始数据'!$A:$A,0)),""))</f>
        <v/>
      </c>
      <c r="U28">
        <f>IF($A28="","",IFERROR(INDEX('[AQ_2024.xlsx]原始数据'!$E:$E,MATCH($A28,'[AQ_2024.xlsx]原始数据'!$A:$A,0)),""))</f>
        <v/>
      </c>
      <c r="V28">
        <f>IF($A28="","",IFERROR(INDEX('[AQ_2020.xlsx]原始数据'!$F:$F,MATCH($A28,'[AQ_2020.xlsx]原始数据'!$A:$A,0)),""))</f>
        <v/>
      </c>
      <c r="W28">
        <f>IF($A28="","",IFERROR(INDEX('[AQ_2021.xlsx]原始数据'!$F:$F,MATCH($A28,'[AQ_2021.xlsx]原始数据'!$A:$A,0)),""))</f>
        <v/>
      </c>
      <c r="X28">
        <f>IF($A28="","",IFERROR(INDEX('[AQ_2022.xlsx]原始数据'!$F:$F,MATCH($A28,'[AQ_2022.xlsx]原始数据'!$A:$A,0)),""))</f>
        <v/>
      </c>
      <c r="Y28">
        <f>IF($A28="","",IFERROR(INDEX('[AQ_2023.xlsx]原始数据'!$F:$F,MATCH($A28,'[AQ_2023.xlsx]原始数据'!$A:$A,0)),""))</f>
        <v/>
      </c>
      <c r="Z28">
        <f>IF($A28="","",IFERROR(INDEX('[AQ_2024.xlsx]原始数据'!$F:$F,MATCH($A28,'[AQ_2024.xlsx]原始数据'!$A:$A,0)),""))</f>
        <v/>
      </c>
      <c r="AA28" s="2">
        <f>IFERROR(G28/B28,"")</f>
        <v/>
      </c>
      <c r="AB28" s="2">
        <f>IFERROR(H28/C28,"")</f>
        <v/>
      </c>
      <c r="AC28" s="2">
        <f>IFERROR(I28/D28,"")</f>
        <v/>
      </c>
      <c r="AD28" s="2">
        <f>IFERROR(J28/E28,"")</f>
        <v/>
      </c>
      <c r="AE28" s="2">
        <f>IFERROR(K28/F28,"")</f>
        <v/>
      </c>
      <c r="AF28" s="2">
        <f>IFERROR(L28/B28,"")</f>
        <v/>
      </c>
      <c r="AG28" s="2">
        <f>IFERROR(M28/C28,"")</f>
        <v/>
      </c>
      <c r="AH28" s="2">
        <f>IFERROR(N28/D28,"")</f>
        <v/>
      </c>
      <c r="AI28" s="2">
        <f>IFERROR(O28/E28,"")</f>
        <v/>
      </c>
      <c r="AJ28" s="2">
        <f>IFERROR(P28/F28,"")</f>
        <v/>
      </c>
      <c r="AK28" s="2">
        <f>IFERROR(Q28/B28,"")</f>
        <v/>
      </c>
      <c r="AL28" s="2">
        <f>IFERROR(R28/C28,"")</f>
        <v/>
      </c>
      <c r="AM28" s="2">
        <f>IFERROR(S28/D28,"")</f>
        <v/>
      </c>
      <c r="AN28" s="2">
        <f>IFERROR(T28/E28,"")</f>
        <v/>
      </c>
      <c r="AO28" s="2">
        <f>IFERROR(U28/F28,"")</f>
        <v/>
      </c>
    </row>
    <row r="29">
      <c r="B29">
        <f>IF($A29="","",IFERROR(INDEX('[AQ_2020.xlsx]原始数据'!$B:$B,MATCH($A29,'[AQ_2020.xlsx]原始数据'!$A:$A,0)),""))</f>
        <v/>
      </c>
      <c r="C29">
        <f>IF($A29="","",IFERROR(INDEX('[AQ_2021.xlsx]原始数据'!$B:$B,MATCH($A29,'[AQ_2021.xlsx]原始数据'!$A:$A,0)),""))</f>
        <v/>
      </c>
      <c r="D29">
        <f>IF($A29="","",IFERROR(INDEX('[AQ_2022.xlsx]原始数据'!$B:$B,MATCH($A29,'[AQ_2022.xlsx]原始数据'!$A:$A,0)),""))</f>
        <v/>
      </c>
      <c r="E29">
        <f>IF($A29="","",IFERROR(INDEX('[AQ_2023.xlsx]原始数据'!$B:$B,MATCH($A29,'[AQ_2023.xlsx]原始数据'!$A:$A,0)),""))</f>
        <v/>
      </c>
      <c r="F29">
        <f>IF($A29="","",IFERROR(INDEX('[AQ_2024.xlsx]原始数据'!$B:$B,MATCH($A29,'[AQ_2024.xlsx]原始数据'!$A:$A,0)),""))</f>
        <v/>
      </c>
      <c r="G29">
        <f>IF($A29="","",IFERROR(INDEX('[AQ_2020.xlsx]原始数据'!$C:$C,MATCH($A29,'[AQ_2020.xlsx]原始数据'!$A:$A,0)),""))</f>
        <v/>
      </c>
      <c r="H29">
        <f>IF($A29="","",IFERROR(INDEX('[AQ_2021.xlsx]原始数据'!$C:$C,MATCH($A29,'[AQ_2021.xlsx]原始数据'!$A:$A,0)),""))</f>
        <v/>
      </c>
      <c r="I29">
        <f>IF($A29="","",IFERROR(INDEX('[AQ_2022.xlsx]原始数据'!$C:$C,MATCH($A29,'[AQ_2022.xlsx]原始数据'!$A:$A,0)),""))</f>
        <v/>
      </c>
      <c r="J29">
        <f>IF($A29="","",IFERROR(INDEX('[AQ_2023.xlsx]原始数据'!$C:$C,MATCH($A29,'[AQ_2023.xlsx]原始数据'!$A:$A,0)),""))</f>
        <v/>
      </c>
      <c r="K29">
        <f>IF($A29="","",IFERROR(INDEX('[AQ_2024.xlsx]原始数据'!$C:$C,MATCH($A29,'[AQ_2024.xlsx]原始数据'!$A:$A,0)),""))</f>
        <v/>
      </c>
      <c r="L29">
        <f>IF($A29="","",IFERROR(INDEX('[AQ_2020.xlsx]原始数据'!$D:$D,MATCH($A29,'[AQ_2020.xlsx]原始数据'!$A:$A,0)),""))</f>
        <v/>
      </c>
      <c r="M29">
        <f>IF($A29="","",IFERROR(INDEX('[AQ_2021.xlsx]原始数据'!$D:$D,MATCH($A29,'[AQ_2021.xlsx]原始数据'!$A:$A,0)),""))</f>
        <v/>
      </c>
      <c r="N29">
        <f>IF($A29="","",IFERROR(INDEX('[AQ_2022.xlsx]原始数据'!$D:$D,MATCH($A29,'[AQ_2022.xlsx]原始数据'!$A:$A,0)),""))</f>
        <v/>
      </c>
      <c r="O29">
        <f>IF($A29="","",IFERROR(INDEX('[AQ_2023.xlsx]原始数据'!$D:$D,MATCH($A29,'[AQ_2023.xlsx]原始数据'!$A:$A,0)),""))</f>
        <v/>
      </c>
      <c r="P29">
        <f>IF($A29="","",IFERROR(INDEX('[AQ_2024.xlsx]原始数据'!$D:$D,MATCH($A29,'[AQ_2024.xlsx]原始数据'!$A:$A,0)),""))</f>
        <v/>
      </c>
      <c r="Q29">
        <f>IF($A29="","",IFERROR(INDEX('[AQ_2020.xlsx]原始数据'!$E:$E,MATCH($A29,'[AQ_2020.xlsx]原始数据'!$A:$A,0)),""))</f>
        <v/>
      </c>
      <c r="R29">
        <f>IF($A29="","",IFERROR(INDEX('[AQ_2021.xlsx]原始数据'!$E:$E,MATCH($A29,'[AQ_2021.xlsx]原始数据'!$A:$A,0)),""))</f>
        <v/>
      </c>
      <c r="S29">
        <f>IF($A29="","",IFERROR(INDEX('[AQ_2022.xlsx]原始数据'!$E:$E,MATCH($A29,'[AQ_2022.xlsx]原始数据'!$A:$A,0)),""))</f>
        <v/>
      </c>
      <c r="T29">
        <f>IF($A29="","",IFERROR(INDEX('[AQ_2023.xlsx]原始数据'!$E:$E,MATCH($A29,'[AQ_2023.xlsx]原始数据'!$A:$A,0)),""))</f>
        <v/>
      </c>
      <c r="U29">
        <f>IF($A29="","",IFERROR(INDEX('[AQ_2024.xlsx]原始数据'!$E:$E,MATCH($A29,'[AQ_2024.xlsx]原始数据'!$A:$A,0)),""))</f>
        <v/>
      </c>
      <c r="V29">
        <f>IF($A29="","",IFERROR(INDEX('[AQ_2020.xlsx]原始数据'!$F:$F,MATCH($A29,'[AQ_2020.xlsx]原始数据'!$A:$A,0)),""))</f>
        <v/>
      </c>
      <c r="W29">
        <f>IF($A29="","",IFERROR(INDEX('[AQ_2021.xlsx]原始数据'!$F:$F,MATCH($A29,'[AQ_2021.xlsx]原始数据'!$A:$A,0)),""))</f>
        <v/>
      </c>
      <c r="X29">
        <f>IF($A29="","",IFERROR(INDEX('[AQ_2022.xlsx]原始数据'!$F:$F,MATCH($A29,'[AQ_2022.xlsx]原始数据'!$A:$A,0)),""))</f>
        <v/>
      </c>
      <c r="Y29">
        <f>IF($A29="","",IFERROR(INDEX('[AQ_2023.xlsx]原始数据'!$F:$F,MATCH($A29,'[AQ_2023.xlsx]原始数据'!$A:$A,0)),""))</f>
        <v/>
      </c>
      <c r="Z29">
        <f>IF($A29="","",IFERROR(INDEX('[AQ_2024.xlsx]原始数据'!$F:$F,MATCH($A29,'[AQ_2024.xlsx]原始数据'!$A:$A,0)),""))</f>
        <v/>
      </c>
      <c r="AA29" s="2">
        <f>IFERROR(G29/B29,"")</f>
        <v/>
      </c>
      <c r="AB29" s="2">
        <f>IFERROR(H29/C29,"")</f>
        <v/>
      </c>
      <c r="AC29" s="2">
        <f>IFERROR(I29/D29,"")</f>
        <v/>
      </c>
      <c r="AD29" s="2">
        <f>IFERROR(J29/E29,"")</f>
        <v/>
      </c>
      <c r="AE29" s="2">
        <f>IFERROR(K29/F29,"")</f>
        <v/>
      </c>
      <c r="AF29" s="2">
        <f>IFERROR(L29/B29,"")</f>
        <v/>
      </c>
      <c r="AG29" s="2">
        <f>IFERROR(M29/C29,"")</f>
        <v/>
      </c>
      <c r="AH29" s="2">
        <f>IFERROR(N29/D29,"")</f>
        <v/>
      </c>
      <c r="AI29" s="2">
        <f>IFERROR(O29/E29,"")</f>
        <v/>
      </c>
      <c r="AJ29" s="2">
        <f>IFERROR(P29/F29,"")</f>
        <v/>
      </c>
      <c r="AK29" s="2">
        <f>IFERROR(Q29/B29,"")</f>
        <v/>
      </c>
      <c r="AL29" s="2">
        <f>IFERROR(R29/C29,"")</f>
        <v/>
      </c>
      <c r="AM29" s="2">
        <f>IFERROR(S29/D29,"")</f>
        <v/>
      </c>
      <c r="AN29" s="2">
        <f>IFERROR(T29/E29,"")</f>
        <v/>
      </c>
      <c r="AO29" s="2">
        <f>IFERROR(U29/F29,"")</f>
        <v/>
      </c>
    </row>
    <row r="30">
      <c r="B30">
        <f>IF($A30="","",IFERROR(INDEX('[AQ_2020.xlsx]原始数据'!$B:$B,MATCH($A30,'[AQ_2020.xlsx]原始数据'!$A:$A,0)),""))</f>
        <v/>
      </c>
      <c r="C30">
        <f>IF($A30="","",IFERROR(INDEX('[AQ_2021.xlsx]原始数据'!$B:$B,MATCH($A30,'[AQ_2021.xlsx]原始数据'!$A:$A,0)),""))</f>
        <v/>
      </c>
      <c r="D30">
        <f>IF($A30="","",IFERROR(INDEX('[AQ_2022.xlsx]原始数据'!$B:$B,MATCH($A30,'[AQ_2022.xlsx]原始数据'!$A:$A,0)),""))</f>
        <v/>
      </c>
      <c r="E30">
        <f>IF($A30="","",IFERROR(INDEX('[AQ_2023.xlsx]原始数据'!$B:$B,MATCH($A30,'[AQ_2023.xlsx]原始数据'!$A:$A,0)),""))</f>
        <v/>
      </c>
      <c r="F30">
        <f>IF($A30="","",IFERROR(INDEX('[AQ_2024.xlsx]原始数据'!$B:$B,MATCH($A30,'[AQ_2024.xlsx]原始数据'!$A:$A,0)),""))</f>
        <v/>
      </c>
      <c r="G30">
        <f>IF($A30="","",IFERROR(INDEX('[AQ_2020.xlsx]原始数据'!$C:$C,MATCH($A30,'[AQ_2020.xlsx]原始数据'!$A:$A,0)),""))</f>
        <v/>
      </c>
      <c r="H30">
        <f>IF($A30="","",IFERROR(INDEX('[AQ_2021.xlsx]原始数据'!$C:$C,MATCH($A30,'[AQ_2021.xlsx]原始数据'!$A:$A,0)),""))</f>
        <v/>
      </c>
      <c r="I30">
        <f>IF($A30="","",IFERROR(INDEX('[AQ_2022.xlsx]原始数据'!$C:$C,MATCH($A30,'[AQ_2022.xlsx]原始数据'!$A:$A,0)),""))</f>
        <v/>
      </c>
      <c r="J30">
        <f>IF($A30="","",IFERROR(INDEX('[AQ_2023.xlsx]原始数据'!$C:$C,MATCH($A30,'[AQ_2023.xlsx]原始数据'!$A:$A,0)),""))</f>
        <v/>
      </c>
      <c r="K30">
        <f>IF($A30="","",IFERROR(INDEX('[AQ_2024.xlsx]原始数据'!$C:$C,MATCH($A30,'[AQ_2024.xlsx]原始数据'!$A:$A,0)),""))</f>
        <v/>
      </c>
      <c r="L30">
        <f>IF($A30="","",IFERROR(INDEX('[AQ_2020.xlsx]原始数据'!$D:$D,MATCH($A30,'[AQ_2020.xlsx]原始数据'!$A:$A,0)),""))</f>
        <v/>
      </c>
      <c r="M30">
        <f>IF($A30="","",IFERROR(INDEX('[AQ_2021.xlsx]原始数据'!$D:$D,MATCH($A30,'[AQ_2021.xlsx]原始数据'!$A:$A,0)),""))</f>
        <v/>
      </c>
      <c r="N30">
        <f>IF($A30="","",IFERROR(INDEX('[AQ_2022.xlsx]原始数据'!$D:$D,MATCH($A30,'[AQ_2022.xlsx]原始数据'!$A:$A,0)),""))</f>
        <v/>
      </c>
      <c r="O30">
        <f>IF($A30="","",IFERROR(INDEX('[AQ_2023.xlsx]原始数据'!$D:$D,MATCH($A30,'[AQ_2023.xlsx]原始数据'!$A:$A,0)),""))</f>
        <v/>
      </c>
      <c r="P30">
        <f>IF($A30="","",IFERROR(INDEX('[AQ_2024.xlsx]原始数据'!$D:$D,MATCH($A30,'[AQ_2024.xlsx]原始数据'!$A:$A,0)),""))</f>
        <v/>
      </c>
      <c r="Q30">
        <f>IF($A30="","",IFERROR(INDEX('[AQ_2020.xlsx]原始数据'!$E:$E,MATCH($A30,'[AQ_2020.xlsx]原始数据'!$A:$A,0)),""))</f>
        <v/>
      </c>
      <c r="R30">
        <f>IF($A30="","",IFERROR(INDEX('[AQ_2021.xlsx]原始数据'!$E:$E,MATCH($A30,'[AQ_2021.xlsx]原始数据'!$A:$A,0)),""))</f>
        <v/>
      </c>
      <c r="S30">
        <f>IF($A30="","",IFERROR(INDEX('[AQ_2022.xlsx]原始数据'!$E:$E,MATCH($A30,'[AQ_2022.xlsx]原始数据'!$A:$A,0)),""))</f>
        <v/>
      </c>
      <c r="T30">
        <f>IF($A30="","",IFERROR(INDEX('[AQ_2023.xlsx]原始数据'!$E:$E,MATCH($A30,'[AQ_2023.xlsx]原始数据'!$A:$A,0)),""))</f>
        <v/>
      </c>
      <c r="U30">
        <f>IF($A30="","",IFERROR(INDEX('[AQ_2024.xlsx]原始数据'!$E:$E,MATCH($A30,'[AQ_2024.xlsx]原始数据'!$A:$A,0)),""))</f>
        <v/>
      </c>
      <c r="V30">
        <f>IF($A30="","",IFERROR(INDEX('[AQ_2020.xlsx]原始数据'!$F:$F,MATCH($A30,'[AQ_2020.xlsx]原始数据'!$A:$A,0)),""))</f>
        <v/>
      </c>
      <c r="W30">
        <f>IF($A30="","",IFERROR(INDEX('[AQ_2021.xlsx]原始数据'!$F:$F,MATCH($A30,'[AQ_2021.xlsx]原始数据'!$A:$A,0)),""))</f>
        <v/>
      </c>
      <c r="X30">
        <f>IF($A30="","",IFERROR(INDEX('[AQ_2022.xlsx]原始数据'!$F:$F,MATCH($A30,'[AQ_2022.xlsx]原始数据'!$A:$A,0)),""))</f>
        <v/>
      </c>
      <c r="Y30">
        <f>IF($A30="","",IFERROR(INDEX('[AQ_2023.xlsx]原始数据'!$F:$F,MATCH($A30,'[AQ_2023.xlsx]原始数据'!$A:$A,0)),""))</f>
        <v/>
      </c>
      <c r="Z30">
        <f>IF($A30="","",IFERROR(INDEX('[AQ_2024.xlsx]原始数据'!$F:$F,MATCH($A30,'[AQ_2024.xlsx]原始数据'!$A:$A,0)),""))</f>
        <v/>
      </c>
      <c r="AA30" s="2">
        <f>IFERROR(G30/B30,"")</f>
        <v/>
      </c>
      <c r="AB30" s="2">
        <f>IFERROR(H30/C30,"")</f>
        <v/>
      </c>
      <c r="AC30" s="2">
        <f>IFERROR(I30/D30,"")</f>
        <v/>
      </c>
      <c r="AD30" s="2">
        <f>IFERROR(J30/E30,"")</f>
        <v/>
      </c>
      <c r="AE30" s="2">
        <f>IFERROR(K30/F30,"")</f>
        <v/>
      </c>
      <c r="AF30" s="2">
        <f>IFERROR(L30/B30,"")</f>
        <v/>
      </c>
      <c r="AG30" s="2">
        <f>IFERROR(M30/C30,"")</f>
        <v/>
      </c>
      <c r="AH30" s="2">
        <f>IFERROR(N30/D30,"")</f>
        <v/>
      </c>
      <c r="AI30" s="2">
        <f>IFERROR(O30/E30,"")</f>
        <v/>
      </c>
      <c r="AJ30" s="2">
        <f>IFERROR(P30/F30,"")</f>
        <v/>
      </c>
      <c r="AK30" s="2">
        <f>IFERROR(Q30/B30,"")</f>
        <v/>
      </c>
      <c r="AL30" s="2">
        <f>IFERROR(R30/C30,"")</f>
        <v/>
      </c>
      <c r="AM30" s="2">
        <f>IFERROR(S30/D30,"")</f>
        <v/>
      </c>
      <c r="AN30" s="2">
        <f>IFERROR(T30/E30,"")</f>
        <v/>
      </c>
      <c r="AO30" s="2">
        <f>IFERROR(U30/F30,"")</f>
        <v/>
      </c>
    </row>
    <row r="31">
      <c r="B31">
        <f>IF($A31="","",IFERROR(INDEX('[AQ_2020.xlsx]原始数据'!$B:$B,MATCH($A31,'[AQ_2020.xlsx]原始数据'!$A:$A,0)),""))</f>
        <v/>
      </c>
      <c r="C31">
        <f>IF($A31="","",IFERROR(INDEX('[AQ_2021.xlsx]原始数据'!$B:$B,MATCH($A31,'[AQ_2021.xlsx]原始数据'!$A:$A,0)),""))</f>
        <v/>
      </c>
      <c r="D31">
        <f>IF($A31="","",IFERROR(INDEX('[AQ_2022.xlsx]原始数据'!$B:$B,MATCH($A31,'[AQ_2022.xlsx]原始数据'!$A:$A,0)),""))</f>
        <v/>
      </c>
      <c r="E31">
        <f>IF($A31="","",IFERROR(INDEX('[AQ_2023.xlsx]原始数据'!$B:$B,MATCH($A31,'[AQ_2023.xlsx]原始数据'!$A:$A,0)),""))</f>
        <v/>
      </c>
      <c r="F31">
        <f>IF($A31="","",IFERROR(INDEX('[AQ_2024.xlsx]原始数据'!$B:$B,MATCH($A31,'[AQ_2024.xlsx]原始数据'!$A:$A,0)),""))</f>
        <v/>
      </c>
      <c r="G31">
        <f>IF($A31="","",IFERROR(INDEX('[AQ_2020.xlsx]原始数据'!$C:$C,MATCH($A31,'[AQ_2020.xlsx]原始数据'!$A:$A,0)),""))</f>
        <v/>
      </c>
      <c r="H31">
        <f>IF($A31="","",IFERROR(INDEX('[AQ_2021.xlsx]原始数据'!$C:$C,MATCH($A31,'[AQ_2021.xlsx]原始数据'!$A:$A,0)),""))</f>
        <v/>
      </c>
      <c r="I31">
        <f>IF($A31="","",IFERROR(INDEX('[AQ_2022.xlsx]原始数据'!$C:$C,MATCH($A31,'[AQ_2022.xlsx]原始数据'!$A:$A,0)),""))</f>
        <v/>
      </c>
      <c r="J31">
        <f>IF($A31="","",IFERROR(INDEX('[AQ_2023.xlsx]原始数据'!$C:$C,MATCH($A31,'[AQ_2023.xlsx]原始数据'!$A:$A,0)),""))</f>
        <v/>
      </c>
      <c r="K31">
        <f>IF($A31="","",IFERROR(INDEX('[AQ_2024.xlsx]原始数据'!$C:$C,MATCH($A31,'[AQ_2024.xlsx]原始数据'!$A:$A,0)),""))</f>
        <v/>
      </c>
      <c r="L31">
        <f>IF($A31="","",IFERROR(INDEX('[AQ_2020.xlsx]原始数据'!$D:$D,MATCH($A31,'[AQ_2020.xlsx]原始数据'!$A:$A,0)),""))</f>
        <v/>
      </c>
      <c r="M31">
        <f>IF($A31="","",IFERROR(INDEX('[AQ_2021.xlsx]原始数据'!$D:$D,MATCH($A31,'[AQ_2021.xlsx]原始数据'!$A:$A,0)),""))</f>
        <v/>
      </c>
      <c r="N31">
        <f>IF($A31="","",IFERROR(INDEX('[AQ_2022.xlsx]原始数据'!$D:$D,MATCH($A31,'[AQ_2022.xlsx]原始数据'!$A:$A,0)),""))</f>
        <v/>
      </c>
      <c r="O31">
        <f>IF($A31="","",IFERROR(INDEX('[AQ_2023.xlsx]原始数据'!$D:$D,MATCH($A31,'[AQ_2023.xlsx]原始数据'!$A:$A,0)),""))</f>
        <v/>
      </c>
      <c r="P31">
        <f>IF($A31="","",IFERROR(INDEX('[AQ_2024.xlsx]原始数据'!$D:$D,MATCH($A31,'[AQ_2024.xlsx]原始数据'!$A:$A,0)),""))</f>
        <v/>
      </c>
      <c r="Q31">
        <f>IF($A31="","",IFERROR(INDEX('[AQ_2020.xlsx]原始数据'!$E:$E,MATCH($A31,'[AQ_2020.xlsx]原始数据'!$A:$A,0)),""))</f>
        <v/>
      </c>
      <c r="R31">
        <f>IF($A31="","",IFERROR(INDEX('[AQ_2021.xlsx]原始数据'!$E:$E,MATCH($A31,'[AQ_2021.xlsx]原始数据'!$A:$A,0)),""))</f>
        <v/>
      </c>
      <c r="S31">
        <f>IF($A31="","",IFERROR(INDEX('[AQ_2022.xlsx]原始数据'!$E:$E,MATCH($A31,'[AQ_2022.xlsx]原始数据'!$A:$A,0)),""))</f>
        <v/>
      </c>
      <c r="T31">
        <f>IF($A31="","",IFERROR(INDEX('[AQ_2023.xlsx]原始数据'!$E:$E,MATCH($A31,'[AQ_2023.xlsx]原始数据'!$A:$A,0)),""))</f>
        <v/>
      </c>
      <c r="U31">
        <f>IF($A31="","",IFERROR(INDEX('[AQ_2024.xlsx]原始数据'!$E:$E,MATCH($A31,'[AQ_2024.xlsx]原始数据'!$A:$A,0)),""))</f>
        <v/>
      </c>
      <c r="V31">
        <f>IF($A31="","",IFERROR(INDEX('[AQ_2020.xlsx]原始数据'!$F:$F,MATCH($A31,'[AQ_2020.xlsx]原始数据'!$A:$A,0)),""))</f>
        <v/>
      </c>
      <c r="W31">
        <f>IF($A31="","",IFERROR(INDEX('[AQ_2021.xlsx]原始数据'!$F:$F,MATCH($A31,'[AQ_2021.xlsx]原始数据'!$A:$A,0)),""))</f>
        <v/>
      </c>
      <c r="X31">
        <f>IF($A31="","",IFERROR(INDEX('[AQ_2022.xlsx]原始数据'!$F:$F,MATCH($A31,'[AQ_2022.xlsx]原始数据'!$A:$A,0)),""))</f>
        <v/>
      </c>
      <c r="Y31">
        <f>IF($A31="","",IFERROR(INDEX('[AQ_2023.xlsx]原始数据'!$F:$F,MATCH($A31,'[AQ_2023.xlsx]原始数据'!$A:$A,0)),""))</f>
        <v/>
      </c>
      <c r="Z31">
        <f>IF($A31="","",IFERROR(INDEX('[AQ_2024.xlsx]原始数据'!$F:$F,MATCH($A31,'[AQ_2024.xlsx]原始数据'!$A:$A,0)),""))</f>
        <v/>
      </c>
      <c r="AA31" s="2">
        <f>IFERROR(G31/B31,"")</f>
        <v/>
      </c>
      <c r="AB31" s="2">
        <f>IFERROR(H31/C31,"")</f>
        <v/>
      </c>
      <c r="AC31" s="2">
        <f>IFERROR(I31/D31,"")</f>
        <v/>
      </c>
      <c r="AD31" s="2">
        <f>IFERROR(J31/E31,"")</f>
        <v/>
      </c>
      <c r="AE31" s="2">
        <f>IFERROR(K31/F31,"")</f>
        <v/>
      </c>
      <c r="AF31" s="2">
        <f>IFERROR(L31/B31,"")</f>
        <v/>
      </c>
      <c r="AG31" s="2">
        <f>IFERROR(M31/C31,"")</f>
        <v/>
      </c>
      <c r="AH31" s="2">
        <f>IFERROR(N31/D31,"")</f>
        <v/>
      </c>
      <c r="AI31" s="2">
        <f>IFERROR(O31/E31,"")</f>
        <v/>
      </c>
      <c r="AJ31" s="2">
        <f>IFERROR(P31/F31,"")</f>
        <v/>
      </c>
      <c r="AK31" s="2">
        <f>IFERROR(Q31/B31,"")</f>
        <v/>
      </c>
      <c r="AL31" s="2">
        <f>IFERROR(R31/C31,"")</f>
        <v/>
      </c>
      <c r="AM31" s="2">
        <f>IFERROR(S31/D31,"")</f>
        <v/>
      </c>
      <c r="AN31" s="2">
        <f>IFERROR(T31/E31,"")</f>
        <v/>
      </c>
      <c r="AO31" s="2">
        <f>IFERROR(U31/F31,"")</f>
        <v/>
      </c>
    </row>
    <row r="32">
      <c r="B32">
        <f>IF($A32="","",IFERROR(INDEX('[AQ_2020.xlsx]原始数据'!$B:$B,MATCH($A32,'[AQ_2020.xlsx]原始数据'!$A:$A,0)),""))</f>
        <v/>
      </c>
      <c r="C32">
        <f>IF($A32="","",IFERROR(INDEX('[AQ_2021.xlsx]原始数据'!$B:$B,MATCH($A32,'[AQ_2021.xlsx]原始数据'!$A:$A,0)),""))</f>
        <v/>
      </c>
      <c r="D32">
        <f>IF($A32="","",IFERROR(INDEX('[AQ_2022.xlsx]原始数据'!$B:$B,MATCH($A32,'[AQ_2022.xlsx]原始数据'!$A:$A,0)),""))</f>
        <v/>
      </c>
      <c r="E32">
        <f>IF($A32="","",IFERROR(INDEX('[AQ_2023.xlsx]原始数据'!$B:$B,MATCH($A32,'[AQ_2023.xlsx]原始数据'!$A:$A,0)),""))</f>
        <v/>
      </c>
      <c r="F32">
        <f>IF($A32="","",IFERROR(INDEX('[AQ_2024.xlsx]原始数据'!$B:$B,MATCH($A32,'[AQ_2024.xlsx]原始数据'!$A:$A,0)),""))</f>
        <v/>
      </c>
      <c r="G32">
        <f>IF($A32="","",IFERROR(INDEX('[AQ_2020.xlsx]原始数据'!$C:$C,MATCH($A32,'[AQ_2020.xlsx]原始数据'!$A:$A,0)),""))</f>
        <v/>
      </c>
      <c r="H32">
        <f>IF($A32="","",IFERROR(INDEX('[AQ_2021.xlsx]原始数据'!$C:$C,MATCH($A32,'[AQ_2021.xlsx]原始数据'!$A:$A,0)),""))</f>
        <v/>
      </c>
      <c r="I32">
        <f>IF($A32="","",IFERROR(INDEX('[AQ_2022.xlsx]原始数据'!$C:$C,MATCH($A32,'[AQ_2022.xlsx]原始数据'!$A:$A,0)),""))</f>
        <v/>
      </c>
      <c r="J32">
        <f>IF($A32="","",IFERROR(INDEX('[AQ_2023.xlsx]原始数据'!$C:$C,MATCH($A32,'[AQ_2023.xlsx]原始数据'!$A:$A,0)),""))</f>
        <v/>
      </c>
      <c r="K32">
        <f>IF($A32="","",IFERROR(INDEX('[AQ_2024.xlsx]原始数据'!$C:$C,MATCH($A32,'[AQ_2024.xlsx]原始数据'!$A:$A,0)),""))</f>
        <v/>
      </c>
      <c r="L32">
        <f>IF($A32="","",IFERROR(INDEX('[AQ_2020.xlsx]原始数据'!$D:$D,MATCH($A32,'[AQ_2020.xlsx]原始数据'!$A:$A,0)),""))</f>
        <v/>
      </c>
      <c r="M32">
        <f>IF($A32="","",IFERROR(INDEX('[AQ_2021.xlsx]原始数据'!$D:$D,MATCH($A32,'[AQ_2021.xlsx]原始数据'!$A:$A,0)),""))</f>
        <v/>
      </c>
      <c r="N32">
        <f>IF($A32="","",IFERROR(INDEX('[AQ_2022.xlsx]原始数据'!$D:$D,MATCH($A32,'[AQ_2022.xlsx]原始数据'!$A:$A,0)),""))</f>
        <v/>
      </c>
      <c r="O32">
        <f>IF($A32="","",IFERROR(INDEX('[AQ_2023.xlsx]原始数据'!$D:$D,MATCH($A32,'[AQ_2023.xlsx]原始数据'!$A:$A,0)),""))</f>
        <v/>
      </c>
      <c r="P32">
        <f>IF($A32="","",IFERROR(INDEX('[AQ_2024.xlsx]原始数据'!$D:$D,MATCH($A32,'[AQ_2024.xlsx]原始数据'!$A:$A,0)),""))</f>
        <v/>
      </c>
      <c r="Q32">
        <f>IF($A32="","",IFERROR(INDEX('[AQ_2020.xlsx]原始数据'!$E:$E,MATCH($A32,'[AQ_2020.xlsx]原始数据'!$A:$A,0)),""))</f>
        <v/>
      </c>
      <c r="R32">
        <f>IF($A32="","",IFERROR(INDEX('[AQ_2021.xlsx]原始数据'!$E:$E,MATCH($A32,'[AQ_2021.xlsx]原始数据'!$A:$A,0)),""))</f>
        <v/>
      </c>
      <c r="S32">
        <f>IF($A32="","",IFERROR(INDEX('[AQ_2022.xlsx]原始数据'!$E:$E,MATCH($A32,'[AQ_2022.xlsx]原始数据'!$A:$A,0)),""))</f>
        <v/>
      </c>
      <c r="T32">
        <f>IF($A32="","",IFERROR(INDEX('[AQ_2023.xlsx]原始数据'!$E:$E,MATCH($A32,'[AQ_2023.xlsx]原始数据'!$A:$A,0)),""))</f>
        <v/>
      </c>
      <c r="U32">
        <f>IF($A32="","",IFERROR(INDEX('[AQ_2024.xlsx]原始数据'!$E:$E,MATCH($A32,'[AQ_2024.xlsx]原始数据'!$A:$A,0)),""))</f>
        <v/>
      </c>
      <c r="V32">
        <f>IF($A32="","",IFERROR(INDEX('[AQ_2020.xlsx]原始数据'!$F:$F,MATCH($A32,'[AQ_2020.xlsx]原始数据'!$A:$A,0)),""))</f>
        <v/>
      </c>
      <c r="W32">
        <f>IF($A32="","",IFERROR(INDEX('[AQ_2021.xlsx]原始数据'!$F:$F,MATCH($A32,'[AQ_2021.xlsx]原始数据'!$A:$A,0)),""))</f>
        <v/>
      </c>
      <c r="X32">
        <f>IF($A32="","",IFERROR(INDEX('[AQ_2022.xlsx]原始数据'!$F:$F,MATCH($A32,'[AQ_2022.xlsx]原始数据'!$A:$A,0)),""))</f>
        <v/>
      </c>
      <c r="Y32">
        <f>IF($A32="","",IFERROR(INDEX('[AQ_2023.xlsx]原始数据'!$F:$F,MATCH($A32,'[AQ_2023.xlsx]原始数据'!$A:$A,0)),""))</f>
        <v/>
      </c>
      <c r="Z32">
        <f>IF($A32="","",IFERROR(INDEX('[AQ_2024.xlsx]原始数据'!$F:$F,MATCH($A32,'[AQ_2024.xlsx]原始数据'!$A:$A,0)),""))</f>
        <v/>
      </c>
      <c r="AA32" s="2">
        <f>IFERROR(G32/B32,"")</f>
        <v/>
      </c>
      <c r="AB32" s="2">
        <f>IFERROR(H32/C32,"")</f>
        <v/>
      </c>
      <c r="AC32" s="2">
        <f>IFERROR(I32/D32,"")</f>
        <v/>
      </c>
      <c r="AD32" s="2">
        <f>IFERROR(J32/E32,"")</f>
        <v/>
      </c>
      <c r="AE32" s="2">
        <f>IFERROR(K32/F32,"")</f>
        <v/>
      </c>
      <c r="AF32" s="2">
        <f>IFERROR(L32/B32,"")</f>
        <v/>
      </c>
      <c r="AG32" s="2">
        <f>IFERROR(M32/C32,"")</f>
        <v/>
      </c>
      <c r="AH32" s="2">
        <f>IFERROR(N32/D32,"")</f>
        <v/>
      </c>
      <c r="AI32" s="2">
        <f>IFERROR(O32/E32,"")</f>
        <v/>
      </c>
      <c r="AJ32" s="2">
        <f>IFERROR(P32/F32,"")</f>
        <v/>
      </c>
      <c r="AK32" s="2">
        <f>IFERROR(Q32/B32,"")</f>
        <v/>
      </c>
      <c r="AL32" s="2">
        <f>IFERROR(R32/C32,"")</f>
        <v/>
      </c>
      <c r="AM32" s="2">
        <f>IFERROR(S32/D32,"")</f>
        <v/>
      </c>
      <c r="AN32" s="2">
        <f>IFERROR(T32/E32,"")</f>
        <v/>
      </c>
      <c r="AO32" s="2">
        <f>IFERROR(U32/F32,"")</f>
        <v/>
      </c>
    </row>
    <row r="33">
      <c r="B33">
        <f>IF($A33="","",IFERROR(INDEX('[AQ_2020.xlsx]原始数据'!$B:$B,MATCH($A33,'[AQ_2020.xlsx]原始数据'!$A:$A,0)),""))</f>
        <v/>
      </c>
      <c r="C33">
        <f>IF($A33="","",IFERROR(INDEX('[AQ_2021.xlsx]原始数据'!$B:$B,MATCH($A33,'[AQ_2021.xlsx]原始数据'!$A:$A,0)),""))</f>
        <v/>
      </c>
      <c r="D33">
        <f>IF($A33="","",IFERROR(INDEX('[AQ_2022.xlsx]原始数据'!$B:$B,MATCH($A33,'[AQ_2022.xlsx]原始数据'!$A:$A,0)),""))</f>
        <v/>
      </c>
      <c r="E33">
        <f>IF($A33="","",IFERROR(INDEX('[AQ_2023.xlsx]原始数据'!$B:$B,MATCH($A33,'[AQ_2023.xlsx]原始数据'!$A:$A,0)),""))</f>
        <v/>
      </c>
      <c r="F33">
        <f>IF($A33="","",IFERROR(INDEX('[AQ_2024.xlsx]原始数据'!$B:$B,MATCH($A33,'[AQ_2024.xlsx]原始数据'!$A:$A,0)),""))</f>
        <v/>
      </c>
      <c r="G33">
        <f>IF($A33="","",IFERROR(INDEX('[AQ_2020.xlsx]原始数据'!$C:$C,MATCH($A33,'[AQ_2020.xlsx]原始数据'!$A:$A,0)),""))</f>
        <v/>
      </c>
      <c r="H33">
        <f>IF($A33="","",IFERROR(INDEX('[AQ_2021.xlsx]原始数据'!$C:$C,MATCH($A33,'[AQ_2021.xlsx]原始数据'!$A:$A,0)),""))</f>
        <v/>
      </c>
      <c r="I33">
        <f>IF($A33="","",IFERROR(INDEX('[AQ_2022.xlsx]原始数据'!$C:$C,MATCH($A33,'[AQ_2022.xlsx]原始数据'!$A:$A,0)),""))</f>
        <v/>
      </c>
      <c r="J33">
        <f>IF($A33="","",IFERROR(INDEX('[AQ_2023.xlsx]原始数据'!$C:$C,MATCH($A33,'[AQ_2023.xlsx]原始数据'!$A:$A,0)),""))</f>
        <v/>
      </c>
      <c r="K33">
        <f>IF($A33="","",IFERROR(INDEX('[AQ_2024.xlsx]原始数据'!$C:$C,MATCH($A33,'[AQ_2024.xlsx]原始数据'!$A:$A,0)),""))</f>
        <v/>
      </c>
      <c r="L33">
        <f>IF($A33="","",IFERROR(INDEX('[AQ_2020.xlsx]原始数据'!$D:$D,MATCH($A33,'[AQ_2020.xlsx]原始数据'!$A:$A,0)),""))</f>
        <v/>
      </c>
      <c r="M33">
        <f>IF($A33="","",IFERROR(INDEX('[AQ_2021.xlsx]原始数据'!$D:$D,MATCH($A33,'[AQ_2021.xlsx]原始数据'!$A:$A,0)),""))</f>
        <v/>
      </c>
      <c r="N33">
        <f>IF($A33="","",IFERROR(INDEX('[AQ_2022.xlsx]原始数据'!$D:$D,MATCH($A33,'[AQ_2022.xlsx]原始数据'!$A:$A,0)),""))</f>
        <v/>
      </c>
      <c r="O33">
        <f>IF($A33="","",IFERROR(INDEX('[AQ_2023.xlsx]原始数据'!$D:$D,MATCH($A33,'[AQ_2023.xlsx]原始数据'!$A:$A,0)),""))</f>
        <v/>
      </c>
      <c r="P33">
        <f>IF($A33="","",IFERROR(INDEX('[AQ_2024.xlsx]原始数据'!$D:$D,MATCH($A33,'[AQ_2024.xlsx]原始数据'!$A:$A,0)),""))</f>
        <v/>
      </c>
      <c r="Q33">
        <f>IF($A33="","",IFERROR(INDEX('[AQ_2020.xlsx]原始数据'!$E:$E,MATCH($A33,'[AQ_2020.xlsx]原始数据'!$A:$A,0)),""))</f>
        <v/>
      </c>
      <c r="R33">
        <f>IF($A33="","",IFERROR(INDEX('[AQ_2021.xlsx]原始数据'!$E:$E,MATCH($A33,'[AQ_2021.xlsx]原始数据'!$A:$A,0)),""))</f>
        <v/>
      </c>
      <c r="S33">
        <f>IF($A33="","",IFERROR(INDEX('[AQ_2022.xlsx]原始数据'!$E:$E,MATCH($A33,'[AQ_2022.xlsx]原始数据'!$A:$A,0)),""))</f>
        <v/>
      </c>
      <c r="T33">
        <f>IF($A33="","",IFERROR(INDEX('[AQ_2023.xlsx]原始数据'!$E:$E,MATCH($A33,'[AQ_2023.xlsx]原始数据'!$A:$A,0)),""))</f>
        <v/>
      </c>
      <c r="U33">
        <f>IF($A33="","",IFERROR(INDEX('[AQ_2024.xlsx]原始数据'!$E:$E,MATCH($A33,'[AQ_2024.xlsx]原始数据'!$A:$A,0)),""))</f>
        <v/>
      </c>
      <c r="V33">
        <f>IF($A33="","",IFERROR(INDEX('[AQ_2020.xlsx]原始数据'!$F:$F,MATCH($A33,'[AQ_2020.xlsx]原始数据'!$A:$A,0)),""))</f>
        <v/>
      </c>
      <c r="W33">
        <f>IF($A33="","",IFERROR(INDEX('[AQ_2021.xlsx]原始数据'!$F:$F,MATCH($A33,'[AQ_2021.xlsx]原始数据'!$A:$A,0)),""))</f>
        <v/>
      </c>
      <c r="X33">
        <f>IF($A33="","",IFERROR(INDEX('[AQ_2022.xlsx]原始数据'!$F:$F,MATCH($A33,'[AQ_2022.xlsx]原始数据'!$A:$A,0)),""))</f>
        <v/>
      </c>
      <c r="Y33">
        <f>IF($A33="","",IFERROR(INDEX('[AQ_2023.xlsx]原始数据'!$F:$F,MATCH($A33,'[AQ_2023.xlsx]原始数据'!$A:$A,0)),""))</f>
        <v/>
      </c>
      <c r="Z33">
        <f>IF($A33="","",IFERROR(INDEX('[AQ_2024.xlsx]原始数据'!$F:$F,MATCH($A33,'[AQ_2024.xlsx]原始数据'!$A:$A,0)),""))</f>
        <v/>
      </c>
      <c r="AA33" s="2">
        <f>IFERROR(G33/B33,"")</f>
        <v/>
      </c>
      <c r="AB33" s="2">
        <f>IFERROR(H33/C33,"")</f>
        <v/>
      </c>
      <c r="AC33" s="2">
        <f>IFERROR(I33/D33,"")</f>
        <v/>
      </c>
      <c r="AD33" s="2">
        <f>IFERROR(J33/E33,"")</f>
        <v/>
      </c>
      <c r="AE33" s="2">
        <f>IFERROR(K33/F33,"")</f>
        <v/>
      </c>
      <c r="AF33" s="2">
        <f>IFERROR(L33/B33,"")</f>
        <v/>
      </c>
      <c r="AG33" s="2">
        <f>IFERROR(M33/C33,"")</f>
        <v/>
      </c>
      <c r="AH33" s="2">
        <f>IFERROR(N33/D33,"")</f>
        <v/>
      </c>
      <c r="AI33" s="2">
        <f>IFERROR(O33/E33,"")</f>
        <v/>
      </c>
      <c r="AJ33" s="2">
        <f>IFERROR(P33/F33,"")</f>
        <v/>
      </c>
      <c r="AK33" s="2">
        <f>IFERROR(Q33/B33,"")</f>
        <v/>
      </c>
      <c r="AL33" s="2">
        <f>IFERROR(R33/C33,"")</f>
        <v/>
      </c>
      <c r="AM33" s="2">
        <f>IFERROR(S33/D33,"")</f>
        <v/>
      </c>
      <c r="AN33" s="2">
        <f>IFERROR(T33/E33,"")</f>
        <v/>
      </c>
      <c r="AO33" s="2">
        <f>IFERROR(U33/F33,"")</f>
        <v/>
      </c>
    </row>
    <row r="34">
      <c r="B34">
        <f>IF($A34="","",IFERROR(INDEX('[AQ_2020.xlsx]原始数据'!$B:$B,MATCH($A34,'[AQ_2020.xlsx]原始数据'!$A:$A,0)),""))</f>
        <v/>
      </c>
      <c r="C34">
        <f>IF($A34="","",IFERROR(INDEX('[AQ_2021.xlsx]原始数据'!$B:$B,MATCH($A34,'[AQ_2021.xlsx]原始数据'!$A:$A,0)),""))</f>
        <v/>
      </c>
      <c r="D34">
        <f>IF($A34="","",IFERROR(INDEX('[AQ_2022.xlsx]原始数据'!$B:$B,MATCH($A34,'[AQ_2022.xlsx]原始数据'!$A:$A,0)),""))</f>
        <v/>
      </c>
      <c r="E34">
        <f>IF($A34="","",IFERROR(INDEX('[AQ_2023.xlsx]原始数据'!$B:$B,MATCH($A34,'[AQ_2023.xlsx]原始数据'!$A:$A,0)),""))</f>
        <v/>
      </c>
      <c r="F34">
        <f>IF($A34="","",IFERROR(INDEX('[AQ_2024.xlsx]原始数据'!$B:$B,MATCH($A34,'[AQ_2024.xlsx]原始数据'!$A:$A,0)),""))</f>
        <v/>
      </c>
      <c r="G34">
        <f>IF($A34="","",IFERROR(INDEX('[AQ_2020.xlsx]原始数据'!$C:$C,MATCH($A34,'[AQ_2020.xlsx]原始数据'!$A:$A,0)),""))</f>
        <v/>
      </c>
      <c r="H34">
        <f>IF($A34="","",IFERROR(INDEX('[AQ_2021.xlsx]原始数据'!$C:$C,MATCH($A34,'[AQ_2021.xlsx]原始数据'!$A:$A,0)),""))</f>
        <v/>
      </c>
      <c r="I34">
        <f>IF($A34="","",IFERROR(INDEX('[AQ_2022.xlsx]原始数据'!$C:$C,MATCH($A34,'[AQ_2022.xlsx]原始数据'!$A:$A,0)),""))</f>
        <v/>
      </c>
      <c r="J34">
        <f>IF($A34="","",IFERROR(INDEX('[AQ_2023.xlsx]原始数据'!$C:$C,MATCH($A34,'[AQ_2023.xlsx]原始数据'!$A:$A,0)),""))</f>
        <v/>
      </c>
      <c r="K34">
        <f>IF($A34="","",IFERROR(INDEX('[AQ_2024.xlsx]原始数据'!$C:$C,MATCH($A34,'[AQ_2024.xlsx]原始数据'!$A:$A,0)),""))</f>
        <v/>
      </c>
      <c r="L34">
        <f>IF($A34="","",IFERROR(INDEX('[AQ_2020.xlsx]原始数据'!$D:$D,MATCH($A34,'[AQ_2020.xlsx]原始数据'!$A:$A,0)),""))</f>
        <v/>
      </c>
      <c r="M34">
        <f>IF($A34="","",IFERROR(INDEX('[AQ_2021.xlsx]原始数据'!$D:$D,MATCH($A34,'[AQ_2021.xlsx]原始数据'!$A:$A,0)),""))</f>
        <v/>
      </c>
      <c r="N34">
        <f>IF($A34="","",IFERROR(INDEX('[AQ_2022.xlsx]原始数据'!$D:$D,MATCH($A34,'[AQ_2022.xlsx]原始数据'!$A:$A,0)),""))</f>
        <v/>
      </c>
      <c r="O34">
        <f>IF($A34="","",IFERROR(INDEX('[AQ_2023.xlsx]原始数据'!$D:$D,MATCH($A34,'[AQ_2023.xlsx]原始数据'!$A:$A,0)),""))</f>
        <v/>
      </c>
      <c r="P34">
        <f>IF($A34="","",IFERROR(INDEX('[AQ_2024.xlsx]原始数据'!$D:$D,MATCH($A34,'[AQ_2024.xlsx]原始数据'!$A:$A,0)),""))</f>
        <v/>
      </c>
      <c r="Q34">
        <f>IF($A34="","",IFERROR(INDEX('[AQ_2020.xlsx]原始数据'!$E:$E,MATCH($A34,'[AQ_2020.xlsx]原始数据'!$A:$A,0)),""))</f>
        <v/>
      </c>
      <c r="R34">
        <f>IF($A34="","",IFERROR(INDEX('[AQ_2021.xlsx]原始数据'!$E:$E,MATCH($A34,'[AQ_2021.xlsx]原始数据'!$A:$A,0)),""))</f>
        <v/>
      </c>
      <c r="S34">
        <f>IF($A34="","",IFERROR(INDEX('[AQ_2022.xlsx]原始数据'!$E:$E,MATCH($A34,'[AQ_2022.xlsx]原始数据'!$A:$A,0)),""))</f>
        <v/>
      </c>
      <c r="T34">
        <f>IF($A34="","",IFERROR(INDEX('[AQ_2023.xlsx]原始数据'!$E:$E,MATCH($A34,'[AQ_2023.xlsx]原始数据'!$A:$A,0)),""))</f>
        <v/>
      </c>
      <c r="U34">
        <f>IF($A34="","",IFERROR(INDEX('[AQ_2024.xlsx]原始数据'!$E:$E,MATCH($A34,'[AQ_2024.xlsx]原始数据'!$A:$A,0)),""))</f>
        <v/>
      </c>
      <c r="V34">
        <f>IF($A34="","",IFERROR(INDEX('[AQ_2020.xlsx]原始数据'!$F:$F,MATCH($A34,'[AQ_2020.xlsx]原始数据'!$A:$A,0)),""))</f>
        <v/>
      </c>
      <c r="W34">
        <f>IF($A34="","",IFERROR(INDEX('[AQ_2021.xlsx]原始数据'!$F:$F,MATCH($A34,'[AQ_2021.xlsx]原始数据'!$A:$A,0)),""))</f>
        <v/>
      </c>
      <c r="X34">
        <f>IF($A34="","",IFERROR(INDEX('[AQ_2022.xlsx]原始数据'!$F:$F,MATCH($A34,'[AQ_2022.xlsx]原始数据'!$A:$A,0)),""))</f>
        <v/>
      </c>
      <c r="Y34">
        <f>IF($A34="","",IFERROR(INDEX('[AQ_2023.xlsx]原始数据'!$F:$F,MATCH($A34,'[AQ_2023.xlsx]原始数据'!$A:$A,0)),""))</f>
        <v/>
      </c>
      <c r="Z34">
        <f>IF($A34="","",IFERROR(INDEX('[AQ_2024.xlsx]原始数据'!$F:$F,MATCH($A34,'[AQ_2024.xlsx]原始数据'!$A:$A,0)),""))</f>
        <v/>
      </c>
      <c r="AA34" s="2">
        <f>IFERROR(G34/B34,"")</f>
        <v/>
      </c>
      <c r="AB34" s="2">
        <f>IFERROR(H34/C34,"")</f>
        <v/>
      </c>
      <c r="AC34" s="2">
        <f>IFERROR(I34/D34,"")</f>
        <v/>
      </c>
      <c r="AD34" s="2">
        <f>IFERROR(J34/E34,"")</f>
        <v/>
      </c>
      <c r="AE34" s="2">
        <f>IFERROR(K34/F34,"")</f>
        <v/>
      </c>
      <c r="AF34" s="2">
        <f>IFERROR(L34/B34,"")</f>
        <v/>
      </c>
      <c r="AG34" s="2">
        <f>IFERROR(M34/C34,"")</f>
        <v/>
      </c>
      <c r="AH34" s="2">
        <f>IFERROR(N34/D34,"")</f>
        <v/>
      </c>
      <c r="AI34" s="2">
        <f>IFERROR(O34/E34,"")</f>
        <v/>
      </c>
      <c r="AJ34" s="2">
        <f>IFERROR(P34/F34,"")</f>
        <v/>
      </c>
      <c r="AK34" s="2">
        <f>IFERROR(Q34/B34,"")</f>
        <v/>
      </c>
      <c r="AL34" s="2">
        <f>IFERROR(R34/C34,"")</f>
        <v/>
      </c>
      <c r="AM34" s="2">
        <f>IFERROR(S34/D34,"")</f>
        <v/>
      </c>
      <c r="AN34" s="2">
        <f>IFERROR(T34/E34,"")</f>
        <v/>
      </c>
      <c r="AO34" s="2">
        <f>IFERROR(U34/F34,"")</f>
        <v/>
      </c>
    </row>
    <row r="35">
      <c r="B35">
        <f>IF($A35="","",IFERROR(INDEX('[AQ_2020.xlsx]原始数据'!$B:$B,MATCH($A35,'[AQ_2020.xlsx]原始数据'!$A:$A,0)),""))</f>
        <v/>
      </c>
      <c r="C35">
        <f>IF($A35="","",IFERROR(INDEX('[AQ_2021.xlsx]原始数据'!$B:$B,MATCH($A35,'[AQ_2021.xlsx]原始数据'!$A:$A,0)),""))</f>
        <v/>
      </c>
      <c r="D35">
        <f>IF($A35="","",IFERROR(INDEX('[AQ_2022.xlsx]原始数据'!$B:$B,MATCH($A35,'[AQ_2022.xlsx]原始数据'!$A:$A,0)),""))</f>
        <v/>
      </c>
      <c r="E35">
        <f>IF($A35="","",IFERROR(INDEX('[AQ_2023.xlsx]原始数据'!$B:$B,MATCH($A35,'[AQ_2023.xlsx]原始数据'!$A:$A,0)),""))</f>
        <v/>
      </c>
      <c r="F35">
        <f>IF($A35="","",IFERROR(INDEX('[AQ_2024.xlsx]原始数据'!$B:$B,MATCH($A35,'[AQ_2024.xlsx]原始数据'!$A:$A,0)),""))</f>
        <v/>
      </c>
      <c r="G35">
        <f>IF($A35="","",IFERROR(INDEX('[AQ_2020.xlsx]原始数据'!$C:$C,MATCH($A35,'[AQ_2020.xlsx]原始数据'!$A:$A,0)),""))</f>
        <v/>
      </c>
      <c r="H35">
        <f>IF($A35="","",IFERROR(INDEX('[AQ_2021.xlsx]原始数据'!$C:$C,MATCH($A35,'[AQ_2021.xlsx]原始数据'!$A:$A,0)),""))</f>
        <v/>
      </c>
      <c r="I35">
        <f>IF($A35="","",IFERROR(INDEX('[AQ_2022.xlsx]原始数据'!$C:$C,MATCH($A35,'[AQ_2022.xlsx]原始数据'!$A:$A,0)),""))</f>
        <v/>
      </c>
      <c r="J35">
        <f>IF($A35="","",IFERROR(INDEX('[AQ_2023.xlsx]原始数据'!$C:$C,MATCH($A35,'[AQ_2023.xlsx]原始数据'!$A:$A,0)),""))</f>
        <v/>
      </c>
      <c r="K35">
        <f>IF($A35="","",IFERROR(INDEX('[AQ_2024.xlsx]原始数据'!$C:$C,MATCH($A35,'[AQ_2024.xlsx]原始数据'!$A:$A,0)),""))</f>
        <v/>
      </c>
      <c r="L35">
        <f>IF($A35="","",IFERROR(INDEX('[AQ_2020.xlsx]原始数据'!$D:$D,MATCH($A35,'[AQ_2020.xlsx]原始数据'!$A:$A,0)),""))</f>
        <v/>
      </c>
      <c r="M35">
        <f>IF($A35="","",IFERROR(INDEX('[AQ_2021.xlsx]原始数据'!$D:$D,MATCH($A35,'[AQ_2021.xlsx]原始数据'!$A:$A,0)),""))</f>
        <v/>
      </c>
      <c r="N35">
        <f>IF($A35="","",IFERROR(INDEX('[AQ_2022.xlsx]原始数据'!$D:$D,MATCH($A35,'[AQ_2022.xlsx]原始数据'!$A:$A,0)),""))</f>
        <v/>
      </c>
      <c r="O35">
        <f>IF($A35="","",IFERROR(INDEX('[AQ_2023.xlsx]原始数据'!$D:$D,MATCH($A35,'[AQ_2023.xlsx]原始数据'!$A:$A,0)),""))</f>
        <v/>
      </c>
      <c r="P35">
        <f>IF($A35="","",IFERROR(INDEX('[AQ_2024.xlsx]原始数据'!$D:$D,MATCH($A35,'[AQ_2024.xlsx]原始数据'!$A:$A,0)),""))</f>
        <v/>
      </c>
      <c r="Q35">
        <f>IF($A35="","",IFERROR(INDEX('[AQ_2020.xlsx]原始数据'!$E:$E,MATCH($A35,'[AQ_2020.xlsx]原始数据'!$A:$A,0)),""))</f>
        <v/>
      </c>
      <c r="R35">
        <f>IF($A35="","",IFERROR(INDEX('[AQ_2021.xlsx]原始数据'!$E:$E,MATCH($A35,'[AQ_2021.xlsx]原始数据'!$A:$A,0)),""))</f>
        <v/>
      </c>
      <c r="S35">
        <f>IF($A35="","",IFERROR(INDEX('[AQ_2022.xlsx]原始数据'!$E:$E,MATCH($A35,'[AQ_2022.xlsx]原始数据'!$A:$A,0)),""))</f>
        <v/>
      </c>
      <c r="T35">
        <f>IF($A35="","",IFERROR(INDEX('[AQ_2023.xlsx]原始数据'!$E:$E,MATCH($A35,'[AQ_2023.xlsx]原始数据'!$A:$A,0)),""))</f>
        <v/>
      </c>
      <c r="U35">
        <f>IF($A35="","",IFERROR(INDEX('[AQ_2024.xlsx]原始数据'!$E:$E,MATCH($A35,'[AQ_2024.xlsx]原始数据'!$A:$A,0)),""))</f>
        <v/>
      </c>
      <c r="V35">
        <f>IF($A35="","",IFERROR(INDEX('[AQ_2020.xlsx]原始数据'!$F:$F,MATCH($A35,'[AQ_2020.xlsx]原始数据'!$A:$A,0)),""))</f>
        <v/>
      </c>
      <c r="W35">
        <f>IF($A35="","",IFERROR(INDEX('[AQ_2021.xlsx]原始数据'!$F:$F,MATCH($A35,'[AQ_2021.xlsx]原始数据'!$A:$A,0)),""))</f>
        <v/>
      </c>
      <c r="X35">
        <f>IF($A35="","",IFERROR(INDEX('[AQ_2022.xlsx]原始数据'!$F:$F,MATCH($A35,'[AQ_2022.xlsx]原始数据'!$A:$A,0)),""))</f>
        <v/>
      </c>
      <c r="Y35">
        <f>IF($A35="","",IFERROR(INDEX('[AQ_2023.xlsx]原始数据'!$F:$F,MATCH($A35,'[AQ_2023.xlsx]原始数据'!$A:$A,0)),""))</f>
        <v/>
      </c>
      <c r="Z35">
        <f>IF($A35="","",IFERROR(INDEX('[AQ_2024.xlsx]原始数据'!$F:$F,MATCH($A35,'[AQ_2024.xlsx]原始数据'!$A:$A,0)),""))</f>
        <v/>
      </c>
      <c r="AA35" s="2">
        <f>IFERROR(G35/B35,"")</f>
        <v/>
      </c>
      <c r="AB35" s="2">
        <f>IFERROR(H35/C35,"")</f>
        <v/>
      </c>
      <c r="AC35" s="2">
        <f>IFERROR(I35/D35,"")</f>
        <v/>
      </c>
      <c r="AD35" s="2">
        <f>IFERROR(J35/E35,"")</f>
        <v/>
      </c>
      <c r="AE35" s="2">
        <f>IFERROR(K35/F35,"")</f>
        <v/>
      </c>
      <c r="AF35" s="2">
        <f>IFERROR(L35/B35,"")</f>
        <v/>
      </c>
      <c r="AG35" s="2">
        <f>IFERROR(M35/C35,"")</f>
        <v/>
      </c>
      <c r="AH35" s="2">
        <f>IFERROR(N35/D35,"")</f>
        <v/>
      </c>
      <c r="AI35" s="2">
        <f>IFERROR(O35/E35,"")</f>
        <v/>
      </c>
      <c r="AJ35" s="2">
        <f>IFERROR(P35/F35,"")</f>
        <v/>
      </c>
      <c r="AK35" s="2">
        <f>IFERROR(Q35/B35,"")</f>
        <v/>
      </c>
      <c r="AL35" s="2">
        <f>IFERROR(R35/C35,"")</f>
        <v/>
      </c>
      <c r="AM35" s="2">
        <f>IFERROR(S35/D35,"")</f>
        <v/>
      </c>
      <c r="AN35" s="2">
        <f>IFERROR(T35/E35,"")</f>
        <v/>
      </c>
      <c r="AO35" s="2">
        <f>IFERROR(U35/F35,"")</f>
        <v/>
      </c>
    </row>
    <row r="36">
      <c r="B36">
        <f>IF($A36="","",IFERROR(INDEX('[AQ_2020.xlsx]原始数据'!$B:$B,MATCH($A36,'[AQ_2020.xlsx]原始数据'!$A:$A,0)),""))</f>
        <v/>
      </c>
      <c r="C36">
        <f>IF($A36="","",IFERROR(INDEX('[AQ_2021.xlsx]原始数据'!$B:$B,MATCH($A36,'[AQ_2021.xlsx]原始数据'!$A:$A,0)),""))</f>
        <v/>
      </c>
      <c r="D36">
        <f>IF($A36="","",IFERROR(INDEX('[AQ_2022.xlsx]原始数据'!$B:$B,MATCH($A36,'[AQ_2022.xlsx]原始数据'!$A:$A,0)),""))</f>
        <v/>
      </c>
      <c r="E36">
        <f>IF($A36="","",IFERROR(INDEX('[AQ_2023.xlsx]原始数据'!$B:$B,MATCH($A36,'[AQ_2023.xlsx]原始数据'!$A:$A,0)),""))</f>
        <v/>
      </c>
      <c r="F36">
        <f>IF($A36="","",IFERROR(INDEX('[AQ_2024.xlsx]原始数据'!$B:$B,MATCH($A36,'[AQ_2024.xlsx]原始数据'!$A:$A,0)),""))</f>
        <v/>
      </c>
      <c r="G36">
        <f>IF($A36="","",IFERROR(INDEX('[AQ_2020.xlsx]原始数据'!$C:$C,MATCH($A36,'[AQ_2020.xlsx]原始数据'!$A:$A,0)),""))</f>
        <v/>
      </c>
      <c r="H36">
        <f>IF($A36="","",IFERROR(INDEX('[AQ_2021.xlsx]原始数据'!$C:$C,MATCH($A36,'[AQ_2021.xlsx]原始数据'!$A:$A,0)),""))</f>
        <v/>
      </c>
      <c r="I36">
        <f>IF($A36="","",IFERROR(INDEX('[AQ_2022.xlsx]原始数据'!$C:$C,MATCH($A36,'[AQ_2022.xlsx]原始数据'!$A:$A,0)),""))</f>
        <v/>
      </c>
      <c r="J36">
        <f>IF($A36="","",IFERROR(INDEX('[AQ_2023.xlsx]原始数据'!$C:$C,MATCH($A36,'[AQ_2023.xlsx]原始数据'!$A:$A,0)),""))</f>
        <v/>
      </c>
      <c r="K36">
        <f>IF($A36="","",IFERROR(INDEX('[AQ_2024.xlsx]原始数据'!$C:$C,MATCH($A36,'[AQ_2024.xlsx]原始数据'!$A:$A,0)),""))</f>
        <v/>
      </c>
      <c r="L36">
        <f>IF($A36="","",IFERROR(INDEX('[AQ_2020.xlsx]原始数据'!$D:$D,MATCH($A36,'[AQ_2020.xlsx]原始数据'!$A:$A,0)),""))</f>
        <v/>
      </c>
      <c r="M36">
        <f>IF($A36="","",IFERROR(INDEX('[AQ_2021.xlsx]原始数据'!$D:$D,MATCH($A36,'[AQ_2021.xlsx]原始数据'!$A:$A,0)),""))</f>
        <v/>
      </c>
      <c r="N36">
        <f>IF($A36="","",IFERROR(INDEX('[AQ_2022.xlsx]原始数据'!$D:$D,MATCH($A36,'[AQ_2022.xlsx]原始数据'!$A:$A,0)),""))</f>
        <v/>
      </c>
      <c r="O36">
        <f>IF($A36="","",IFERROR(INDEX('[AQ_2023.xlsx]原始数据'!$D:$D,MATCH($A36,'[AQ_2023.xlsx]原始数据'!$A:$A,0)),""))</f>
        <v/>
      </c>
      <c r="P36">
        <f>IF($A36="","",IFERROR(INDEX('[AQ_2024.xlsx]原始数据'!$D:$D,MATCH($A36,'[AQ_2024.xlsx]原始数据'!$A:$A,0)),""))</f>
        <v/>
      </c>
      <c r="Q36">
        <f>IF($A36="","",IFERROR(INDEX('[AQ_2020.xlsx]原始数据'!$E:$E,MATCH($A36,'[AQ_2020.xlsx]原始数据'!$A:$A,0)),""))</f>
        <v/>
      </c>
      <c r="R36">
        <f>IF($A36="","",IFERROR(INDEX('[AQ_2021.xlsx]原始数据'!$E:$E,MATCH($A36,'[AQ_2021.xlsx]原始数据'!$A:$A,0)),""))</f>
        <v/>
      </c>
      <c r="S36">
        <f>IF($A36="","",IFERROR(INDEX('[AQ_2022.xlsx]原始数据'!$E:$E,MATCH($A36,'[AQ_2022.xlsx]原始数据'!$A:$A,0)),""))</f>
        <v/>
      </c>
      <c r="T36">
        <f>IF($A36="","",IFERROR(INDEX('[AQ_2023.xlsx]原始数据'!$E:$E,MATCH($A36,'[AQ_2023.xlsx]原始数据'!$A:$A,0)),""))</f>
        <v/>
      </c>
      <c r="U36">
        <f>IF($A36="","",IFERROR(INDEX('[AQ_2024.xlsx]原始数据'!$E:$E,MATCH($A36,'[AQ_2024.xlsx]原始数据'!$A:$A,0)),""))</f>
        <v/>
      </c>
      <c r="V36">
        <f>IF($A36="","",IFERROR(INDEX('[AQ_2020.xlsx]原始数据'!$F:$F,MATCH($A36,'[AQ_2020.xlsx]原始数据'!$A:$A,0)),""))</f>
        <v/>
      </c>
      <c r="W36">
        <f>IF($A36="","",IFERROR(INDEX('[AQ_2021.xlsx]原始数据'!$F:$F,MATCH($A36,'[AQ_2021.xlsx]原始数据'!$A:$A,0)),""))</f>
        <v/>
      </c>
      <c r="X36">
        <f>IF($A36="","",IFERROR(INDEX('[AQ_2022.xlsx]原始数据'!$F:$F,MATCH($A36,'[AQ_2022.xlsx]原始数据'!$A:$A,0)),""))</f>
        <v/>
      </c>
      <c r="Y36">
        <f>IF($A36="","",IFERROR(INDEX('[AQ_2023.xlsx]原始数据'!$F:$F,MATCH($A36,'[AQ_2023.xlsx]原始数据'!$A:$A,0)),""))</f>
        <v/>
      </c>
      <c r="Z36">
        <f>IF($A36="","",IFERROR(INDEX('[AQ_2024.xlsx]原始数据'!$F:$F,MATCH($A36,'[AQ_2024.xlsx]原始数据'!$A:$A,0)),""))</f>
        <v/>
      </c>
      <c r="AA36" s="2">
        <f>IFERROR(G36/B36,"")</f>
        <v/>
      </c>
      <c r="AB36" s="2">
        <f>IFERROR(H36/C36,"")</f>
        <v/>
      </c>
      <c r="AC36" s="2">
        <f>IFERROR(I36/D36,"")</f>
        <v/>
      </c>
      <c r="AD36" s="2">
        <f>IFERROR(J36/E36,"")</f>
        <v/>
      </c>
      <c r="AE36" s="2">
        <f>IFERROR(K36/F36,"")</f>
        <v/>
      </c>
      <c r="AF36" s="2">
        <f>IFERROR(L36/B36,"")</f>
        <v/>
      </c>
      <c r="AG36" s="2">
        <f>IFERROR(M36/C36,"")</f>
        <v/>
      </c>
      <c r="AH36" s="2">
        <f>IFERROR(N36/D36,"")</f>
        <v/>
      </c>
      <c r="AI36" s="2">
        <f>IFERROR(O36/E36,"")</f>
        <v/>
      </c>
      <c r="AJ36" s="2">
        <f>IFERROR(P36/F36,"")</f>
        <v/>
      </c>
      <c r="AK36" s="2">
        <f>IFERROR(Q36/B36,"")</f>
        <v/>
      </c>
      <c r="AL36" s="2">
        <f>IFERROR(R36/C36,"")</f>
        <v/>
      </c>
      <c r="AM36" s="2">
        <f>IFERROR(S36/D36,"")</f>
        <v/>
      </c>
      <c r="AN36" s="2">
        <f>IFERROR(T36/E36,"")</f>
        <v/>
      </c>
      <c r="AO36" s="2">
        <f>IFERROR(U36/F36,"")</f>
        <v/>
      </c>
    </row>
    <row r="37">
      <c r="B37">
        <f>IF($A37="","",IFERROR(INDEX('[AQ_2020.xlsx]原始数据'!$B:$B,MATCH($A37,'[AQ_2020.xlsx]原始数据'!$A:$A,0)),""))</f>
        <v/>
      </c>
      <c r="C37">
        <f>IF($A37="","",IFERROR(INDEX('[AQ_2021.xlsx]原始数据'!$B:$B,MATCH($A37,'[AQ_2021.xlsx]原始数据'!$A:$A,0)),""))</f>
        <v/>
      </c>
      <c r="D37">
        <f>IF($A37="","",IFERROR(INDEX('[AQ_2022.xlsx]原始数据'!$B:$B,MATCH($A37,'[AQ_2022.xlsx]原始数据'!$A:$A,0)),""))</f>
        <v/>
      </c>
      <c r="E37">
        <f>IF($A37="","",IFERROR(INDEX('[AQ_2023.xlsx]原始数据'!$B:$B,MATCH($A37,'[AQ_2023.xlsx]原始数据'!$A:$A,0)),""))</f>
        <v/>
      </c>
      <c r="F37">
        <f>IF($A37="","",IFERROR(INDEX('[AQ_2024.xlsx]原始数据'!$B:$B,MATCH($A37,'[AQ_2024.xlsx]原始数据'!$A:$A,0)),""))</f>
        <v/>
      </c>
      <c r="G37">
        <f>IF($A37="","",IFERROR(INDEX('[AQ_2020.xlsx]原始数据'!$C:$C,MATCH($A37,'[AQ_2020.xlsx]原始数据'!$A:$A,0)),""))</f>
        <v/>
      </c>
      <c r="H37">
        <f>IF($A37="","",IFERROR(INDEX('[AQ_2021.xlsx]原始数据'!$C:$C,MATCH($A37,'[AQ_2021.xlsx]原始数据'!$A:$A,0)),""))</f>
        <v/>
      </c>
      <c r="I37">
        <f>IF($A37="","",IFERROR(INDEX('[AQ_2022.xlsx]原始数据'!$C:$C,MATCH($A37,'[AQ_2022.xlsx]原始数据'!$A:$A,0)),""))</f>
        <v/>
      </c>
      <c r="J37">
        <f>IF($A37="","",IFERROR(INDEX('[AQ_2023.xlsx]原始数据'!$C:$C,MATCH($A37,'[AQ_2023.xlsx]原始数据'!$A:$A,0)),""))</f>
        <v/>
      </c>
      <c r="K37">
        <f>IF($A37="","",IFERROR(INDEX('[AQ_2024.xlsx]原始数据'!$C:$C,MATCH($A37,'[AQ_2024.xlsx]原始数据'!$A:$A,0)),""))</f>
        <v/>
      </c>
      <c r="L37">
        <f>IF($A37="","",IFERROR(INDEX('[AQ_2020.xlsx]原始数据'!$D:$D,MATCH($A37,'[AQ_2020.xlsx]原始数据'!$A:$A,0)),""))</f>
        <v/>
      </c>
      <c r="M37">
        <f>IF($A37="","",IFERROR(INDEX('[AQ_2021.xlsx]原始数据'!$D:$D,MATCH($A37,'[AQ_2021.xlsx]原始数据'!$A:$A,0)),""))</f>
        <v/>
      </c>
      <c r="N37">
        <f>IF($A37="","",IFERROR(INDEX('[AQ_2022.xlsx]原始数据'!$D:$D,MATCH($A37,'[AQ_2022.xlsx]原始数据'!$A:$A,0)),""))</f>
        <v/>
      </c>
      <c r="O37">
        <f>IF($A37="","",IFERROR(INDEX('[AQ_2023.xlsx]原始数据'!$D:$D,MATCH($A37,'[AQ_2023.xlsx]原始数据'!$A:$A,0)),""))</f>
        <v/>
      </c>
      <c r="P37">
        <f>IF($A37="","",IFERROR(INDEX('[AQ_2024.xlsx]原始数据'!$D:$D,MATCH($A37,'[AQ_2024.xlsx]原始数据'!$A:$A,0)),""))</f>
        <v/>
      </c>
      <c r="Q37">
        <f>IF($A37="","",IFERROR(INDEX('[AQ_2020.xlsx]原始数据'!$E:$E,MATCH($A37,'[AQ_2020.xlsx]原始数据'!$A:$A,0)),""))</f>
        <v/>
      </c>
      <c r="R37">
        <f>IF($A37="","",IFERROR(INDEX('[AQ_2021.xlsx]原始数据'!$E:$E,MATCH($A37,'[AQ_2021.xlsx]原始数据'!$A:$A,0)),""))</f>
        <v/>
      </c>
      <c r="S37">
        <f>IF($A37="","",IFERROR(INDEX('[AQ_2022.xlsx]原始数据'!$E:$E,MATCH($A37,'[AQ_2022.xlsx]原始数据'!$A:$A,0)),""))</f>
        <v/>
      </c>
      <c r="T37">
        <f>IF($A37="","",IFERROR(INDEX('[AQ_2023.xlsx]原始数据'!$E:$E,MATCH($A37,'[AQ_2023.xlsx]原始数据'!$A:$A,0)),""))</f>
        <v/>
      </c>
      <c r="U37">
        <f>IF($A37="","",IFERROR(INDEX('[AQ_2024.xlsx]原始数据'!$E:$E,MATCH($A37,'[AQ_2024.xlsx]原始数据'!$A:$A,0)),""))</f>
        <v/>
      </c>
      <c r="V37">
        <f>IF($A37="","",IFERROR(INDEX('[AQ_2020.xlsx]原始数据'!$F:$F,MATCH($A37,'[AQ_2020.xlsx]原始数据'!$A:$A,0)),""))</f>
        <v/>
      </c>
      <c r="W37">
        <f>IF($A37="","",IFERROR(INDEX('[AQ_2021.xlsx]原始数据'!$F:$F,MATCH($A37,'[AQ_2021.xlsx]原始数据'!$A:$A,0)),""))</f>
        <v/>
      </c>
      <c r="X37">
        <f>IF($A37="","",IFERROR(INDEX('[AQ_2022.xlsx]原始数据'!$F:$F,MATCH($A37,'[AQ_2022.xlsx]原始数据'!$A:$A,0)),""))</f>
        <v/>
      </c>
      <c r="Y37">
        <f>IF($A37="","",IFERROR(INDEX('[AQ_2023.xlsx]原始数据'!$F:$F,MATCH($A37,'[AQ_2023.xlsx]原始数据'!$A:$A,0)),""))</f>
        <v/>
      </c>
      <c r="Z37">
        <f>IF($A37="","",IFERROR(INDEX('[AQ_2024.xlsx]原始数据'!$F:$F,MATCH($A37,'[AQ_2024.xlsx]原始数据'!$A:$A,0)),""))</f>
        <v/>
      </c>
      <c r="AA37" s="2">
        <f>IFERROR(G37/B37,"")</f>
        <v/>
      </c>
      <c r="AB37" s="2">
        <f>IFERROR(H37/C37,"")</f>
        <v/>
      </c>
      <c r="AC37" s="2">
        <f>IFERROR(I37/D37,"")</f>
        <v/>
      </c>
      <c r="AD37" s="2">
        <f>IFERROR(J37/E37,"")</f>
        <v/>
      </c>
      <c r="AE37" s="2">
        <f>IFERROR(K37/F37,"")</f>
        <v/>
      </c>
      <c r="AF37" s="2">
        <f>IFERROR(L37/B37,"")</f>
        <v/>
      </c>
      <c r="AG37" s="2">
        <f>IFERROR(M37/C37,"")</f>
        <v/>
      </c>
      <c r="AH37" s="2">
        <f>IFERROR(N37/D37,"")</f>
        <v/>
      </c>
      <c r="AI37" s="2">
        <f>IFERROR(O37/E37,"")</f>
        <v/>
      </c>
      <c r="AJ37" s="2">
        <f>IFERROR(P37/F37,"")</f>
        <v/>
      </c>
      <c r="AK37" s="2">
        <f>IFERROR(Q37/B37,"")</f>
        <v/>
      </c>
      <c r="AL37" s="2">
        <f>IFERROR(R37/C37,"")</f>
        <v/>
      </c>
      <c r="AM37" s="2">
        <f>IFERROR(S37/D37,"")</f>
        <v/>
      </c>
      <c r="AN37" s="2">
        <f>IFERROR(T37/E37,"")</f>
        <v/>
      </c>
      <c r="AO37" s="2">
        <f>IFERROR(U37/F37,"")</f>
        <v/>
      </c>
    </row>
    <row r="38">
      <c r="B38">
        <f>IF($A38="","",IFERROR(INDEX('[AQ_2020.xlsx]原始数据'!$B:$B,MATCH($A38,'[AQ_2020.xlsx]原始数据'!$A:$A,0)),""))</f>
        <v/>
      </c>
      <c r="C38">
        <f>IF($A38="","",IFERROR(INDEX('[AQ_2021.xlsx]原始数据'!$B:$B,MATCH($A38,'[AQ_2021.xlsx]原始数据'!$A:$A,0)),""))</f>
        <v/>
      </c>
      <c r="D38">
        <f>IF($A38="","",IFERROR(INDEX('[AQ_2022.xlsx]原始数据'!$B:$B,MATCH($A38,'[AQ_2022.xlsx]原始数据'!$A:$A,0)),""))</f>
        <v/>
      </c>
      <c r="E38">
        <f>IF($A38="","",IFERROR(INDEX('[AQ_2023.xlsx]原始数据'!$B:$B,MATCH($A38,'[AQ_2023.xlsx]原始数据'!$A:$A,0)),""))</f>
        <v/>
      </c>
      <c r="F38">
        <f>IF($A38="","",IFERROR(INDEX('[AQ_2024.xlsx]原始数据'!$B:$B,MATCH($A38,'[AQ_2024.xlsx]原始数据'!$A:$A,0)),""))</f>
        <v/>
      </c>
      <c r="G38">
        <f>IF($A38="","",IFERROR(INDEX('[AQ_2020.xlsx]原始数据'!$C:$C,MATCH($A38,'[AQ_2020.xlsx]原始数据'!$A:$A,0)),""))</f>
        <v/>
      </c>
      <c r="H38">
        <f>IF($A38="","",IFERROR(INDEX('[AQ_2021.xlsx]原始数据'!$C:$C,MATCH($A38,'[AQ_2021.xlsx]原始数据'!$A:$A,0)),""))</f>
        <v/>
      </c>
      <c r="I38">
        <f>IF($A38="","",IFERROR(INDEX('[AQ_2022.xlsx]原始数据'!$C:$C,MATCH($A38,'[AQ_2022.xlsx]原始数据'!$A:$A,0)),""))</f>
        <v/>
      </c>
      <c r="J38">
        <f>IF($A38="","",IFERROR(INDEX('[AQ_2023.xlsx]原始数据'!$C:$C,MATCH($A38,'[AQ_2023.xlsx]原始数据'!$A:$A,0)),""))</f>
        <v/>
      </c>
      <c r="K38">
        <f>IF($A38="","",IFERROR(INDEX('[AQ_2024.xlsx]原始数据'!$C:$C,MATCH($A38,'[AQ_2024.xlsx]原始数据'!$A:$A,0)),""))</f>
        <v/>
      </c>
      <c r="L38">
        <f>IF($A38="","",IFERROR(INDEX('[AQ_2020.xlsx]原始数据'!$D:$D,MATCH($A38,'[AQ_2020.xlsx]原始数据'!$A:$A,0)),""))</f>
        <v/>
      </c>
      <c r="M38">
        <f>IF($A38="","",IFERROR(INDEX('[AQ_2021.xlsx]原始数据'!$D:$D,MATCH($A38,'[AQ_2021.xlsx]原始数据'!$A:$A,0)),""))</f>
        <v/>
      </c>
      <c r="N38">
        <f>IF($A38="","",IFERROR(INDEX('[AQ_2022.xlsx]原始数据'!$D:$D,MATCH($A38,'[AQ_2022.xlsx]原始数据'!$A:$A,0)),""))</f>
        <v/>
      </c>
      <c r="O38">
        <f>IF($A38="","",IFERROR(INDEX('[AQ_2023.xlsx]原始数据'!$D:$D,MATCH($A38,'[AQ_2023.xlsx]原始数据'!$A:$A,0)),""))</f>
        <v/>
      </c>
      <c r="P38">
        <f>IF($A38="","",IFERROR(INDEX('[AQ_2024.xlsx]原始数据'!$D:$D,MATCH($A38,'[AQ_2024.xlsx]原始数据'!$A:$A,0)),""))</f>
        <v/>
      </c>
      <c r="Q38">
        <f>IF($A38="","",IFERROR(INDEX('[AQ_2020.xlsx]原始数据'!$E:$E,MATCH($A38,'[AQ_2020.xlsx]原始数据'!$A:$A,0)),""))</f>
        <v/>
      </c>
      <c r="R38">
        <f>IF($A38="","",IFERROR(INDEX('[AQ_2021.xlsx]原始数据'!$E:$E,MATCH($A38,'[AQ_2021.xlsx]原始数据'!$A:$A,0)),""))</f>
        <v/>
      </c>
      <c r="S38">
        <f>IF($A38="","",IFERROR(INDEX('[AQ_2022.xlsx]原始数据'!$E:$E,MATCH($A38,'[AQ_2022.xlsx]原始数据'!$A:$A,0)),""))</f>
        <v/>
      </c>
      <c r="T38">
        <f>IF($A38="","",IFERROR(INDEX('[AQ_2023.xlsx]原始数据'!$E:$E,MATCH($A38,'[AQ_2023.xlsx]原始数据'!$A:$A,0)),""))</f>
        <v/>
      </c>
      <c r="U38">
        <f>IF($A38="","",IFERROR(INDEX('[AQ_2024.xlsx]原始数据'!$E:$E,MATCH($A38,'[AQ_2024.xlsx]原始数据'!$A:$A,0)),""))</f>
        <v/>
      </c>
      <c r="V38">
        <f>IF($A38="","",IFERROR(INDEX('[AQ_2020.xlsx]原始数据'!$F:$F,MATCH($A38,'[AQ_2020.xlsx]原始数据'!$A:$A,0)),""))</f>
        <v/>
      </c>
      <c r="W38">
        <f>IF($A38="","",IFERROR(INDEX('[AQ_2021.xlsx]原始数据'!$F:$F,MATCH($A38,'[AQ_2021.xlsx]原始数据'!$A:$A,0)),""))</f>
        <v/>
      </c>
      <c r="X38">
        <f>IF($A38="","",IFERROR(INDEX('[AQ_2022.xlsx]原始数据'!$F:$F,MATCH($A38,'[AQ_2022.xlsx]原始数据'!$A:$A,0)),""))</f>
        <v/>
      </c>
      <c r="Y38">
        <f>IF($A38="","",IFERROR(INDEX('[AQ_2023.xlsx]原始数据'!$F:$F,MATCH($A38,'[AQ_2023.xlsx]原始数据'!$A:$A,0)),""))</f>
        <v/>
      </c>
      <c r="Z38">
        <f>IF($A38="","",IFERROR(INDEX('[AQ_2024.xlsx]原始数据'!$F:$F,MATCH($A38,'[AQ_2024.xlsx]原始数据'!$A:$A,0)),""))</f>
        <v/>
      </c>
      <c r="AA38" s="2">
        <f>IFERROR(G38/B38,"")</f>
        <v/>
      </c>
      <c r="AB38" s="2">
        <f>IFERROR(H38/C38,"")</f>
        <v/>
      </c>
      <c r="AC38" s="2">
        <f>IFERROR(I38/D38,"")</f>
        <v/>
      </c>
      <c r="AD38" s="2">
        <f>IFERROR(J38/E38,"")</f>
        <v/>
      </c>
      <c r="AE38" s="2">
        <f>IFERROR(K38/F38,"")</f>
        <v/>
      </c>
      <c r="AF38" s="2">
        <f>IFERROR(L38/B38,"")</f>
        <v/>
      </c>
      <c r="AG38" s="2">
        <f>IFERROR(M38/C38,"")</f>
        <v/>
      </c>
      <c r="AH38" s="2">
        <f>IFERROR(N38/D38,"")</f>
        <v/>
      </c>
      <c r="AI38" s="2">
        <f>IFERROR(O38/E38,"")</f>
        <v/>
      </c>
      <c r="AJ38" s="2">
        <f>IFERROR(P38/F38,"")</f>
        <v/>
      </c>
      <c r="AK38" s="2">
        <f>IFERROR(Q38/B38,"")</f>
        <v/>
      </c>
      <c r="AL38" s="2">
        <f>IFERROR(R38/C38,"")</f>
        <v/>
      </c>
      <c r="AM38" s="2">
        <f>IFERROR(S38/D38,"")</f>
        <v/>
      </c>
      <c r="AN38" s="2">
        <f>IFERROR(T38/E38,"")</f>
        <v/>
      </c>
      <c r="AO38" s="2">
        <f>IFERROR(U38/F38,"")</f>
        <v/>
      </c>
    </row>
    <row r="39">
      <c r="B39">
        <f>IF($A39="","",IFERROR(INDEX('[AQ_2020.xlsx]原始数据'!$B:$B,MATCH($A39,'[AQ_2020.xlsx]原始数据'!$A:$A,0)),""))</f>
        <v/>
      </c>
      <c r="C39">
        <f>IF($A39="","",IFERROR(INDEX('[AQ_2021.xlsx]原始数据'!$B:$B,MATCH($A39,'[AQ_2021.xlsx]原始数据'!$A:$A,0)),""))</f>
        <v/>
      </c>
      <c r="D39">
        <f>IF($A39="","",IFERROR(INDEX('[AQ_2022.xlsx]原始数据'!$B:$B,MATCH($A39,'[AQ_2022.xlsx]原始数据'!$A:$A,0)),""))</f>
        <v/>
      </c>
      <c r="E39">
        <f>IF($A39="","",IFERROR(INDEX('[AQ_2023.xlsx]原始数据'!$B:$B,MATCH($A39,'[AQ_2023.xlsx]原始数据'!$A:$A,0)),""))</f>
        <v/>
      </c>
      <c r="F39">
        <f>IF($A39="","",IFERROR(INDEX('[AQ_2024.xlsx]原始数据'!$B:$B,MATCH($A39,'[AQ_2024.xlsx]原始数据'!$A:$A,0)),""))</f>
        <v/>
      </c>
      <c r="G39">
        <f>IF($A39="","",IFERROR(INDEX('[AQ_2020.xlsx]原始数据'!$C:$C,MATCH($A39,'[AQ_2020.xlsx]原始数据'!$A:$A,0)),""))</f>
        <v/>
      </c>
      <c r="H39">
        <f>IF($A39="","",IFERROR(INDEX('[AQ_2021.xlsx]原始数据'!$C:$C,MATCH($A39,'[AQ_2021.xlsx]原始数据'!$A:$A,0)),""))</f>
        <v/>
      </c>
      <c r="I39">
        <f>IF($A39="","",IFERROR(INDEX('[AQ_2022.xlsx]原始数据'!$C:$C,MATCH($A39,'[AQ_2022.xlsx]原始数据'!$A:$A,0)),""))</f>
        <v/>
      </c>
      <c r="J39">
        <f>IF($A39="","",IFERROR(INDEX('[AQ_2023.xlsx]原始数据'!$C:$C,MATCH($A39,'[AQ_2023.xlsx]原始数据'!$A:$A,0)),""))</f>
        <v/>
      </c>
      <c r="K39">
        <f>IF($A39="","",IFERROR(INDEX('[AQ_2024.xlsx]原始数据'!$C:$C,MATCH($A39,'[AQ_2024.xlsx]原始数据'!$A:$A,0)),""))</f>
        <v/>
      </c>
      <c r="L39">
        <f>IF($A39="","",IFERROR(INDEX('[AQ_2020.xlsx]原始数据'!$D:$D,MATCH($A39,'[AQ_2020.xlsx]原始数据'!$A:$A,0)),""))</f>
        <v/>
      </c>
      <c r="M39">
        <f>IF($A39="","",IFERROR(INDEX('[AQ_2021.xlsx]原始数据'!$D:$D,MATCH($A39,'[AQ_2021.xlsx]原始数据'!$A:$A,0)),""))</f>
        <v/>
      </c>
      <c r="N39">
        <f>IF($A39="","",IFERROR(INDEX('[AQ_2022.xlsx]原始数据'!$D:$D,MATCH($A39,'[AQ_2022.xlsx]原始数据'!$A:$A,0)),""))</f>
        <v/>
      </c>
      <c r="O39">
        <f>IF($A39="","",IFERROR(INDEX('[AQ_2023.xlsx]原始数据'!$D:$D,MATCH($A39,'[AQ_2023.xlsx]原始数据'!$A:$A,0)),""))</f>
        <v/>
      </c>
      <c r="P39">
        <f>IF($A39="","",IFERROR(INDEX('[AQ_2024.xlsx]原始数据'!$D:$D,MATCH($A39,'[AQ_2024.xlsx]原始数据'!$A:$A,0)),""))</f>
        <v/>
      </c>
      <c r="Q39">
        <f>IF($A39="","",IFERROR(INDEX('[AQ_2020.xlsx]原始数据'!$E:$E,MATCH($A39,'[AQ_2020.xlsx]原始数据'!$A:$A,0)),""))</f>
        <v/>
      </c>
      <c r="R39">
        <f>IF($A39="","",IFERROR(INDEX('[AQ_2021.xlsx]原始数据'!$E:$E,MATCH($A39,'[AQ_2021.xlsx]原始数据'!$A:$A,0)),""))</f>
        <v/>
      </c>
      <c r="S39">
        <f>IF($A39="","",IFERROR(INDEX('[AQ_2022.xlsx]原始数据'!$E:$E,MATCH($A39,'[AQ_2022.xlsx]原始数据'!$A:$A,0)),""))</f>
        <v/>
      </c>
      <c r="T39">
        <f>IF($A39="","",IFERROR(INDEX('[AQ_2023.xlsx]原始数据'!$E:$E,MATCH($A39,'[AQ_2023.xlsx]原始数据'!$A:$A,0)),""))</f>
        <v/>
      </c>
      <c r="U39">
        <f>IF($A39="","",IFERROR(INDEX('[AQ_2024.xlsx]原始数据'!$E:$E,MATCH($A39,'[AQ_2024.xlsx]原始数据'!$A:$A,0)),""))</f>
        <v/>
      </c>
      <c r="V39">
        <f>IF($A39="","",IFERROR(INDEX('[AQ_2020.xlsx]原始数据'!$F:$F,MATCH($A39,'[AQ_2020.xlsx]原始数据'!$A:$A,0)),""))</f>
        <v/>
      </c>
      <c r="W39">
        <f>IF($A39="","",IFERROR(INDEX('[AQ_2021.xlsx]原始数据'!$F:$F,MATCH($A39,'[AQ_2021.xlsx]原始数据'!$A:$A,0)),""))</f>
        <v/>
      </c>
      <c r="X39">
        <f>IF($A39="","",IFERROR(INDEX('[AQ_2022.xlsx]原始数据'!$F:$F,MATCH($A39,'[AQ_2022.xlsx]原始数据'!$A:$A,0)),""))</f>
        <v/>
      </c>
      <c r="Y39">
        <f>IF($A39="","",IFERROR(INDEX('[AQ_2023.xlsx]原始数据'!$F:$F,MATCH($A39,'[AQ_2023.xlsx]原始数据'!$A:$A,0)),""))</f>
        <v/>
      </c>
      <c r="Z39">
        <f>IF($A39="","",IFERROR(INDEX('[AQ_2024.xlsx]原始数据'!$F:$F,MATCH($A39,'[AQ_2024.xlsx]原始数据'!$A:$A,0)),""))</f>
        <v/>
      </c>
      <c r="AA39" s="2">
        <f>IFERROR(G39/B39,"")</f>
        <v/>
      </c>
      <c r="AB39" s="2">
        <f>IFERROR(H39/C39,"")</f>
        <v/>
      </c>
      <c r="AC39" s="2">
        <f>IFERROR(I39/D39,"")</f>
        <v/>
      </c>
      <c r="AD39" s="2">
        <f>IFERROR(J39/E39,"")</f>
        <v/>
      </c>
      <c r="AE39" s="2">
        <f>IFERROR(K39/F39,"")</f>
        <v/>
      </c>
      <c r="AF39" s="2">
        <f>IFERROR(L39/B39,"")</f>
        <v/>
      </c>
      <c r="AG39" s="2">
        <f>IFERROR(M39/C39,"")</f>
        <v/>
      </c>
      <c r="AH39" s="2">
        <f>IFERROR(N39/D39,"")</f>
        <v/>
      </c>
      <c r="AI39" s="2">
        <f>IFERROR(O39/E39,"")</f>
        <v/>
      </c>
      <c r="AJ39" s="2">
        <f>IFERROR(P39/F39,"")</f>
        <v/>
      </c>
      <c r="AK39" s="2">
        <f>IFERROR(Q39/B39,"")</f>
        <v/>
      </c>
      <c r="AL39" s="2">
        <f>IFERROR(R39/C39,"")</f>
        <v/>
      </c>
      <c r="AM39" s="2">
        <f>IFERROR(S39/D39,"")</f>
        <v/>
      </c>
      <c r="AN39" s="2">
        <f>IFERROR(T39/E39,"")</f>
        <v/>
      </c>
      <c r="AO39" s="2">
        <f>IFERROR(U39/F39,"")</f>
        <v/>
      </c>
    </row>
    <row r="40">
      <c r="B40">
        <f>IF($A40="","",IFERROR(INDEX('[AQ_2020.xlsx]原始数据'!$B:$B,MATCH($A40,'[AQ_2020.xlsx]原始数据'!$A:$A,0)),""))</f>
        <v/>
      </c>
      <c r="C40">
        <f>IF($A40="","",IFERROR(INDEX('[AQ_2021.xlsx]原始数据'!$B:$B,MATCH($A40,'[AQ_2021.xlsx]原始数据'!$A:$A,0)),""))</f>
        <v/>
      </c>
      <c r="D40">
        <f>IF($A40="","",IFERROR(INDEX('[AQ_2022.xlsx]原始数据'!$B:$B,MATCH($A40,'[AQ_2022.xlsx]原始数据'!$A:$A,0)),""))</f>
        <v/>
      </c>
      <c r="E40">
        <f>IF($A40="","",IFERROR(INDEX('[AQ_2023.xlsx]原始数据'!$B:$B,MATCH($A40,'[AQ_2023.xlsx]原始数据'!$A:$A,0)),""))</f>
        <v/>
      </c>
      <c r="F40">
        <f>IF($A40="","",IFERROR(INDEX('[AQ_2024.xlsx]原始数据'!$B:$B,MATCH($A40,'[AQ_2024.xlsx]原始数据'!$A:$A,0)),""))</f>
        <v/>
      </c>
      <c r="G40">
        <f>IF($A40="","",IFERROR(INDEX('[AQ_2020.xlsx]原始数据'!$C:$C,MATCH($A40,'[AQ_2020.xlsx]原始数据'!$A:$A,0)),""))</f>
        <v/>
      </c>
      <c r="H40">
        <f>IF($A40="","",IFERROR(INDEX('[AQ_2021.xlsx]原始数据'!$C:$C,MATCH($A40,'[AQ_2021.xlsx]原始数据'!$A:$A,0)),""))</f>
        <v/>
      </c>
      <c r="I40">
        <f>IF($A40="","",IFERROR(INDEX('[AQ_2022.xlsx]原始数据'!$C:$C,MATCH($A40,'[AQ_2022.xlsx]原始数据'!$A:$A,0)),""))</f>
        <v/>
      </c>
      <c r="J40">
        <f>IF($A40="","",IFERROR(INDEX('[AQ_2023.xlsx]原始数据'!$C:$C,MATCH($A40,'[AQ_2023.xlsx]原始数据'!$A:$A,0)),""))</f>
        <v/>
      </c>
      <c r="K40">
        <f>IF($A40="","",IFERROR(INDEX('[AQ_2024.xlsx]原始数据'!$C:$C,MATCH($A40,'[AQ_2024.xlsx]原始数据'!$A:$A,0)),""))</f>
        <v/>
      </c>
      <c r="L40">
        <f>IF($A40="","",IFERROR(INDEX('[AQ_2020.xlsx]原始数据'!$D:$D,MATCH($A40,'[AQ_2020.xlsx]原始数据'!$A:$A,0)),""))</f>
        <v/>
      </c>
      <c r="M40">
        <f>IF($A40="","",IFERROR(INDEX('[AQ_2021.xlsx]原始数据'!$D:$D,MATCH($A40,'[AQ_2021.xlsx]原始数据'!$A:$A,0)),""))</f>
        <v/>
      </c>
      <c r="N40">
        <f>IF($A40="","",IFERROR(INDEX('[AQ_2022.xlsx]原始数据'!$D:$D,MATCH($A40,'[AQ_2022.xlsx]原始数据'!$A:$A,0)),""))</f>
        <v/>
      </c>
      <c r="O40">
        <f>IF($A40="","",IFERROR(INDEX('[AQ_2023.xlsx]原始数据'!$D:$D,MATCH($A40,'[AQ_2023.xlsx]原始数据'!$A:$A,0)),""))</f>
        <v/>
      </c>
      <c r="P40">
        <f>IF($A40="","",IFERROR(INDEX('[AQ_2024.xlsx]原始数据'!$D:$D,MATCH($A40,'[AQ_2024.xlsx]原始数据'!$A:$A,0)),""))</f>
        <v/>
      </c>
      <c r="Q40">
        <f>IF($A40="","",IFERROR(INDEX('[AQ_2020.xlsx]原始数据'!$E:$E,MATCH($A40,'[AQ_2020.xlsx]原始数据'!$A:$A,0)),""))</f>
        <v/>
      </c>
      <c r="R40">
        <f>IF($A40="","",IFERROR(INDEX('[AQ_2021.xlsx]原始数据'!$E:$E,MATCH($A40,'[AQ_2021.xlsx]原始数据'!$A:$A,0)),""))</f>
        <v/>
      </c>
      <c r="S40">
        <f>IF($A40="","",IFERROR(INDEX('[AQ_2022.xlsx]原始数据'!$E:$E,MATCH($A40,'[AQ_2022.xlsx]原始数据'!$A:$A,0)),""))</f>
        <v/>
      </c>
      <c r="T40">
        <f>IF($A40="","",IFERROR(INDEX('[AQ_2023.xlsx]原始数据'!$E:$E,MATCH($A40,'[AQ_2023.xlsx]原始数据'!$A:$A,0)),""))</f>
        <v/>
      </c>
      <c r="U40">
        <f>IF($A40="","",IFERROR(INDEX('[AQ_2024.xlsx]原始数据'!$E:$E,MATCH($A40,'[AQ_2024.xlsx]原始数据'!$A:$A,0)),""))</f>
        <v/>
      </c>
      <c r="V40">
        <f>IF($A40="","",IFERROR(INDEX('[AQ_2020.xlsx]原始数据'!$F:$F,MATCH($A40,'[AQ_2020.xlsx]原始数据'!$A:$A,0)),""))</f>
        <v/>
      </c>
      <c r="W40">
        <f>IF($A40="","",IFERROR(INDEX('[AQ_2021.xlsx]原始数据'!$F:$F,MATCH($A40,'[AQ_2021.xlsx]原始数据'!$A:$A,0)),""))</f>
        <v/>
      </c>
      <c r="X40">
        <f>IF($A40="","",IFERROR(INDEX('[AQ_2022.xlsx]原始数据'!$F:$F,MATCH($A40,'[AQ_2022.xlsx]原始数据'!$A:$A,0)),""))</f>
        <v/>
      </c>
      <c r="Y40">
        <f>IF($A40="","",IFERROR(INDEX('[AQ_2023.xlsx]原始数据'!$F:$F,MATCH($A40,'[AQ_2023.xlsx]原始数据'!$A:$A,0)),""))</f>
        <v/>
      </c>
      <c r="Z40">
        <f>IF($A40="","",IFERROR(INDEX('[AQ_2024.xlsx]原始数据'!$F:$F,MATCH($A40,'[AQ_2024.xlsx]原始数据'!$A:$A,0)),""))</f>
        <v/>
      </c>
      <c r="AA40" s="2">
        <f>IFERROR(G40/B40,"")</f>
        <v/>
      </c>
      <c r="AB40" s="2">
        <f>IFERROR(H40/C40,"")</f>
        <v/>
      </c>
      <c r="AC40" s="2">
        <f>IFERROR(I40/D40,"")</f>
        <v/>
      </c>
      <c r="AD40" s="2">
        <f>IFERROR(J40/E40,"")</f>
        <v/>
      </c>
      <c r="AE40" s="2">
        <f>IFERROR(K40/F40,"")</f>
        <v/>
      </c>
      <c r="AF40" s="2">
        <f>IFERROR(L40/B40,"")</f>
        <v/>
      </c>
      <c r="AG40" s="2">
        <f>IFERROR(M40/C40,"")</f>
        <v/>
      </c>
      <c r="AH40" s="2">
        <f>IFERROR(N40/D40,"")</f>
        <v/>
      </c>
      <c r="AI40" s="2">
        <f>IFERROR(O40/E40,"")</f>
        <v/>
      </c>
      <c r="AJ40" s="2">
        <f>IFERROR(P40/F40,"")</f>
        <v/>
      </c>
      <c r="AK40" s="2">
        <f>IFERROR(Q40/B40,"")</f>
        <v/>
      </c>
      <c r="AL40" s="2">
        <f>IFERROR(R40/C40,"")</f>
        <v/>
      </c>
      <c r="AM40" s="2">
        <f>IFERROR(S40/D40,"")</f>
        <v/>
      </c>
      <c r="AN40" s="2">
        <f>IFERROR(T40/E40,"")</f>
        <v/>
      </c>
      <c r="AO40" s="2">
        <f>IFERROR(U40/F40,"")</f>
        <v/>
      </c>
    </row>
    <row r="41">
      <c r="B41">
        <f>IF($A41="","",IFERROR(INDEX('[AQ_2020.xlsx]原始数据'!$B:$B,MATCH($A41,'[AQ_2020.xlsx]原始数据'!$A:$A,0)),""))</f>
        <v/>
      </c>
      <c r="C41">
        <f>IF($A41="","",IFERROR(INDEX('[AQ_2021.xlsx]原始数据'!$B:$B,MATCH($A41,'[AQ_2021.xlsx]原始数据'!$A:$A,0)),""))</f>
        <v/>
      </c>
      <c r="D41">
        <f>IF($A41="","",IFERROR(INDEX('[AQ_2022.xlsx]原始数据'!$B:$B,MATCH($A41,'[AQ_2022.xlsx]原始数据'!$A:$A,0)),""))</f>
        <v/>
      </c>
      <c r="E41">
        <f>IF($A41="","",IFERROR(INDEX('[AQ_2023.xlsx]原始数据'!$B:$B,MATCH($A41,'[AQ_2023.xlsx]原始数据'!$A:$A,0)),""))</f>
        <v/>
      </c>
      <c r="F41">
        <f>IF($A41="","",IFERROR(INDEX('[AQ_2024.xlsx]原始数据'!$B:$B,MATCH($A41,'[AQ_2024.xlsx]原始数据'!$A:$A,0)),""))</f>
        <v/>
      </c>
      <c r="G41">
        <f>IF($A41="","",IFERROR(INDEX('[AQ_2020.xlsx]原始数据'!$C:$C,MATCH($A41,'[AQ_2020.xlsx]原始数据'!$A:$A,0)),""))</f>
        <v/>
      </c>
      <c r="H41">
        <f>IF($A41="","",IFERROR(INDEX('[AQ_2021.xlsx]原始数据'!$C:$C,MATCH($A41,'[AQ_2021.xlsx]原始数据'!$A:$A,0)),""))</f>
        <v/>
      </c>
      <c r="I41">
        <f>IF($A41="","",IFERROR(INDEX('[AQ_2022.xlsx]原始数据'!$C:$C,MATCH($A41,'[AQ_2022.xlsx]原始数据'!$A:$A,0)),""))</f>
        <v/>
      </c>
      <c r="J41">
        <f>IF($A41="","",IFERROR(INDEX('[AQ_2023.xlsx]原始数据'!$C:$C,MATCH($A41,'[AQ_2023.xlsx]原始数据'!$A:$A,0)),""))</f>
        <v/>
      </c>
      <c r="K41">
        <f>IF($A41="","",IFERROR(INDEX('[AQ_2024.xlsx]原始数据'!$C:$C,MATCH($A41,'[AQ_2024.xlsx]原始数据'!$A:$A,0)),""))</f>
        <v/>
      </c>
      <c r="L41">
        <f>IF($A41="","",IFERROR(INDEX('[AQ_2020.xlsx]原始数据'!$D:$D,MATCH($A41,'[AQ_2020.xlsx]原始数据'!$A:$A,0)),""))</f>
        <v/>
      </c>
      <c r="M41">
        <f>IF($A41="","",IFERROR(INDEX('[AQ_2021.xlsx]原始数据'!$D:$D,MATCH($A41,'[AQ_2021.xlsx]原始数据'!$A:$A,0)),""))</f>
        <v/>
      </c>
      <c r="N41">
        <f>IF($A41="","",IFERROR(INDEX('[AQ_2022.xlsx]原始数据'!$D:$D,MATCH($A41,'[AQ_2022.xlsx]原始数据'!$A:$A,0)),""))</f>
        <v/>
      </c>
      <c r="O41">
        <f>IF($A41="","",IFERROR(INDEX('[AQ_2023.xlsx]原始数据'!$D:$D,MATCH($A41,'[AQ_2023.xlsx]原始数据'!$A:$A,0)),""))</f>
        <v/>
      </c>
      <c r="P41">
        <f>IF($A41="","",IFERROR(INDEX('[AQ_2024.xlsx]原始数据'!$D:$D,MATCH($A41,'[AQ_2024.xlsx]原始数据'!$A:$A,0)),""))</f>
        <v/>
      </c>
      <c r="Q41">
        <f>IF($A41="","",IFERROR(INDEX('[AQ_2020.xlsx]原始数据'!$E:$E,MATCH($A41,'[AQ_2020.xlsx]原始数据'!$A:$A,0)),""))</f>
        <v/>
      </c>
      <c r="R41">
        <f>IF($A41="","",IFERROR(INDEX('[AQ_2021.xlsx]原始数据'!$E:$E,MATCH($A41,'[AQ_2021.xlsx]原始数据'!$A:$A,0)),""))</f>
        <v/>
      </c>
      <c r="S41">
        <f>IF($A41="","",IFERROR(INDEX('[AQ_2022.xlsx]原始数据'!$E:$E,MATCH($A41,'[AQ_2022.xlsx]原始数据'!$A:$A,0)),""))</f>
        <v/>
      </c>
      <c r="T41">
        <f>IF($A41="","",IFERROR(INDEX('[AQ_2023.xlsx]原始数据'!$E:$E,MATCH($A41,'[AQ_2023.xlsx]原始数据'!$A:$A,0)),""))</f>
        <v/>
      </c>
      <c r="U41">
        <f>IF($A41="","",IFERROR(INDEX('[AQ_2024.xlsx]原始数据'!$E:$E,MATCH($A41,'[AQ_2024.xlsx]原始数据'!$A:$A,0)),""))</f>
        <v/>
      </c>
      <c r="V41">
        <f>IF($A41="","",IFERROR(INDEX('[AQ_2020.xlsx]原始数据'!$F:$F,MATCH($A41,'[AQ_2020.xlsx]原始数据'!$A:$A,0)),""))</f>
        <v/>
      </c>
      <c r="W41">
        <f>IF($A41="","",IFERROR(INDEX('[AQ_2021.xlsx]原始数据'!$F:$F,MATCH($A41,'[AQ_2021.xlsx]原始数据'!$A:$A,0)),""))</f>
        <v/>
      </c>
      <c r="X41">
        <f>IF($A41="","",IFERROR(INDEX('[AQ_2022.xlsx]原始数据'!$F:$F,MATCH($A41,'[AQ_2022.xlsx]原始数据'!$A:$A,0)),""))</f>
        <v/>
      </c>
      <c r="Y41">
        <f>IF($A41="","",IFERROR(INDEX('[AQ_2023.xlsx]原始数据'!$F:$F,MATCH($A41,'[AQ_2023.xlsx]原始数据'!$A:$A,0)),""))</f>
        <v/>
      </c>
      <c r="Z41">
        <f>IF($A41="","",IFERROR(INDEX('[AQ_2024.xlsx]原始数据'!$F:$F,MATCH($A41,'[AQ_2024.xlsx]原始数据'!$A:$A,0)),""))</f>
        <v/>
      </c>
      <c r="AA41" s="2">
        <f>IFERROR(G41/B41,"")</f>
        <v/>
      </c>
      <c r="AB41" s="2">
        <f>IFERROR(H41/C41,"")</f>
        <v/>
      </c>
      <c r="AC41" s="2">
        <f>IFERROR(I41/D41,"")</f>
        <v/>
      </c>
      <c r="AD41" s="2">
        <f>IFERROR(J41/E41,"")</f>
        <v/>
      </c>
      <c r="AE41" s="2">
        <f>IFERROR(K41/F41,"")</f>
        <v/>
      </c>
      <c r="AF41" s="2">
        <f>IFERROR(L41/B41,"")</f>
        <v/>
      </c>
      <c r="AG41" s="2">
        <f>IFERROR(M41/C41,"")</f>
        <v/>
      </c>
      <c r="AH41" s="2">
        <f>IFERROR(N41/D41,"")</f>
        <v/>
      </c>
      <c r="AI41" s="2">
        <f>IFERROR(O41/E41,"")</f>
        <v/>
      </c>
      <c r="AJ41" s="2">
        <f>IFERROR(P41/F41,"")</f>
        <v/>
      </c>
      <c r="AK41" s="2">
        <f>IFERROR(Q41/B41,"")</f>
        <v/>
      </c>
      <c r="AL41" s="2">
        <f>IFERROR(R41/C41,"")</f>
        <v/>
      </c>
      <c r="AM41" s="2">
        <f>IFERROR(S41/D41,"")</f>
        <v/>
      </c>
      <c r="AN41" s="2">
        <f>IFERROR(T41/E41,"")</f>
        <v/>
      </c>
      <c r="AO41" s="2">
        <f>IFERROR(U41/F41,"")</f>
        <v/>
      </c>
    </row>
    <row r="42">
      <c r="B42">
        <f>IF($A42="","",IFERROR(INDEX('[AQ_2020.xlsx]原始数据'!$B:$B,MATCH($A42,'[AQ_2020.xlsx]原始数据'!$A:$A,0)),""))</f>
        <v/>
      </c>
      <c r="C42">
        <f>IF($A42="","",IFERROR(INDEX('[AQ_2021.xlsx]原始数据'!$B:$B,MATCH($A42,'[AQ_2021.xlsx]原始数据'!$A:$A,0)),""))</f>
        <v/>
      </c>
      <c r="D42">
        <f>IF($A42="","",IFERROR(INDEX('[AQ_2022.xlsx]原始数据'!$B:$B,MATCH($A42,'[AQ_2022.xlsx]原始数据'!$A:$A,0)),""))</f>
        <v/>
      </c>
      <c r="E42">
        <f>IF($A42="","",IFERROR(INDEX('[AQ_2023.xlsx]原始数据'!$B:$B,MATCH($A42,'[AQ_2023.xlsx]原始数据'!$A:$A,0)),""))</f>
        <v/>
      </c>
      <c r="F42">
        <f>IF($A42="","",IFERROR(INDEX('[AQ_2024.xlsx]原始数据'!$B:$B,MATCH($A42,'[AQ_2024.xlsx]原始数据'!$A:$A,0)),""))</f>
        <v/>
      </c>
      <c r="G42">
        <f>IF($A42="","",IFERROR(INDEX('[AQ_2020.xlsx]原始数据'!$C:$C,MATCH($A42,'[AQ_2020.xlsx]原始数据'!$A:$A,0)),""))</f>
        <v/>
      </c>
      <c r="H42">
        <f>IF($A42="","",IFERROR(INDEX('[AQ_2021.xlsx]原始数据'!$C:$C,MATCH($A42,'[AQ_2021.xlsx]原始数据'!$A:$A,0)),""))</f>
        <v/>
      </c>
      <c r="I42">
        <f>IF($A42="","",IFERROR(INDEX('[AQ_2022.xlsx]原始数据'!$C:$C,MATCH($A42,'[AQ_2022.xlsx]原始数据'!$A:$A,0)),""))</f>
        <v/>
      </c>
      <c r="J42">
        <f>IF($A42="","",IFERROR(INDEX('[AQ_2023.xlsx]原始数据'!$C:$C,MATCH($A42,'[AQ_2023.xlsx]原始数据'!$A:$A,0)),""))</f>
        <v/>
      </c>
      <c r="K42">
        <f>IF($A42="","",IFERROR(INDEX('[AQ_2024.xlsx]原始数据'!$C:$C,MATCH($A42,'[AQ_2024.xlsx]原始数据'!$A:$A,0)),""))</f>
        <v/>
      </c>
      <c r="L42">
        <f>IF($A42="","",IFERROR(INDEX('[AQ_2020.xlsx]原始数据'!$D:$D,MATCH($A42,'[AQ_2020.xlsx]原始数据'!$A:$A,0)),""))</f>
        <v/>
      </c>
      <c r="M42">
        <f>IF($A42="","",IFERROR(INDEX('[AQ_2021.xlsx]原始数据'!$D:$D,MATCH($A42,'[AQ_2021.xlsx]原始数据'!$A:$A,0)),""))</f>
        <v/>
      </c>
      <c r="N42">
        <f>IF($A42="","",IFERROR(INDEX('[AQ_2022.xlsx]原始数据'!$D:$D,MATCH($A42,'[AQ_2022.xlsx]原始数据'!$A:$A,0)),""))</f>
        <v/>
      </c>
      <c r="O42">
        <f>IF($A42="","",IFERROR(INDEX('[AQ_2023.xlsx]原始数据'!$D:$D,MATCH($A42,'[AQ_2023.xlsx]原始数据'!$A:$A,0)),""))</f>
        <v/>
      </c>
      <c r="P42">
        <f>IF($A42="","",IFERROR(INDEX('[AQ_2024.xlsx]原始数据'!$D:$D,MATCH($A42,'[AQ_2024.xlsx]原始数据'!$A:$A,0)),""))</f>
        <v/>
      </c>
      <c r="Q42">
        <f>IF($A42="","",IFERROR(INDEX('[AQ_2020.xlsx]原始数据'!$E:$E,MATCH($A42,'[AQ_2020.xlsx]原始数据'!$A:$A,0)),""))</f>
        <v/>
      </c>
      <c r="R42">
        <f>IF($A42="","",IFERROR(INDEX('[AQ_2021.xlsx]原始数据'!$E:$E,MATCH($A42,'[AQ_2021.xlsx]原始数据'!$A:$A,0)),""))</f>
        <v/>
      </c>
      <c r="S42">
        <f>IF($A42="","",IFERROR(INDEX('[AQ_2022.xlsx]原始数据'!$E:$E,MATCH($A42,'[AQ_2022.xlsx]原始数据'!$A:$A,0)),""))</f>
        <v/>
      </c>
      <c r="T42">
        <f>IF($A42="","",IFERROR(INDEX('[AQ_2023.xlsx]原始数据'!$E:$E,MATCH($A42,'[AQ_2023.xlsx]原始数据'!$A:$A,0)),""))</f>
        <v/>
      </c>
      <c r="U42">
        <f>IF($A42="","",IFERROR(INDEX('[AQ_2024.xlsx]原始数据'!$E:$E,MATCH($A42,'[AQ_2024.xlsx]原始数据'!$A:$A,0)),""))</f>
        <v/>
      </c>
      <c r="V42">
        <f>IF($A42="","",IFERROR(INDEX('[AQ_2020.xlsx]原始数据'!$F:$F,MATCH($A42,'[AQ_2020.xlsx]原始数据'!$A:$A,0)),""))</f>
        <v/>
      </c>
      <c r="W42">
        <f>IF($A42="","",IFERROR(INDEX('[AQ_2021.xlsx]原始数据'!$F:$F,MATCH($A42,'[AQ_2021.xlsx]原始数据'!$A:$A,0)),""))</f>
        <v/>
      </c>
      <c r="X42">
        <f>IF($A42="","",IFERROR(INDEX('[AQ_2022.xlsx]原始数据'!$F:$F,MATCH($A42,'[AQ_2022.xlsx]原始数据'!$A:$A,0)),""))</f>
        <v/>
      </c>
      <c r="Y42">
        <f>IF($A42="","",IFERROR(INDEX('[AQ_2023.xlsx]原始数据'!$F:$F,MATCH($A42,'[AQ_2023.xlsx]原始数据'!$A:$A,0)),""))</f>
        <v/>
      </c>
      <c r="Z42">
        <f>IF($A42="","",IFERROR(INDEX('[AQ_2024.xlsx]原始数据'!$F:$F,MATCH($A42,'[AQ_2024.xlsx]原始数据'!$A:$A,0)),""))</f>
        <v/>
      </c>
      <c r="AA42" s="2">
        <f>IFERROR(G42/B42,"")</f>
        <v/>
      </c>
      <c r="AB42" s="2">
        <f>IFERROR(H42/C42,"")</f>
        <v/>
      </c>
      <c r="AC42" s="2">
        <f>IFERROR(I42/D42,"")</f>
        <v/>
      </c>
      <c r="AD42" s="2">
        <f>IFERROR(J42/E42,"")</f>
        <v/>
      </c>
      <c r="AE42" s="2">
        <f>IFERROR(K42/F42,"")</f>
        <v/>
      </c>
      <c r="AF42" s="2">
        <f>IFERROR(L42/B42,"")</f>
        <v/>
      </c>
      <c r="AG42" s="2">
        <f>IFERROR(M42/C42,"")</f>
        <v/>
      </c>
      <c r="AH42" s="2">
        <f>IFERROR(N42/D42,"")</f>
        <v/>
      </c>
      <c r="AI42" s="2">
        <f>IFERROR(O42/E42,"")</f>
        <v/>
      </c>
      <c r="AJ42" s="2">
        <f>IFERROR(P42/F42,"")</f>
        <v/>
      </c>
      <c r="AK42" s="2">
        <f>IFERROR(Q42/B42,"")</f>
        <v/>
      </c>
      <c r="AL42" s="2">
        <f>IFERROR(R42/C42,"")</f>
        <v/>
      </c>
      <c r="AM42" s="2">
        <f>IFERROR(S42/D42,"")</f>
        <v/>
      </c>
      <c r="AN42" s="2">
        <f>IFERROR(T42/E42,"")</f>
        <v/>
      </c>
      <c r="AO42" s="2">
        <f>IFERROR(U42/F42,"")</f>
        <v/>
      </c>
    </row>
    <row r="43">
      <c r="B43">
        <f>IF($A43="","",IFERROR(INDEX('[AQ_2020.xlsx]原始数据'!$B:$B,MATCH($A43,'[AQ_2020.xlsx]原始数据'!$A:$A,0)),""))</f>
        <v/>
      </c>
      <c r="C43">
        <f>IF($A43="","",IFERROR(INDEX('[AQ_2021.xlsx]原始数据'!$B:$B,MATCH($A43,'[AQ_2021.xlsx]原始数据'!$A:$A,0)),""))</f>
        <v/>
      </c>
      <c r="D43">
        <f>IF($A43="","",IFERROR(INDEX('[AQ_2022.xlsx]原始数据'!$B:$B,MATCH($A43,'[AQ_2022.xlsx]原始数据'!$A:$A,0)),""))</f>
        <v/>
      </c>
      <c r="E43">
        <f>IF($A43="","",IFERROR(INDEX('[AQ_2023.xlsx]原始数据'!$B:$B,MATCH($A43,'[AQ_2023.xlsx]原始数据'!$A:$A,0)),""))</f>
        <v/>
      </c>
      <c r="F43">
        <f>IF($A43="","",IFERROR(INDEX('[AQ_2024.xlsx]原始数据'!$B:$B,MATCH($A43,'[AQ_2024.xlsx]原始数据'!$A:$A,0)),""))</f>
        <v/>
      </c>
      <c r="G43">
        <f>IF($A43="","",IFERROR(INDEX('[AQ_2020.xlsx]原始数据'!$C:$C,MATCH($A43,'[AQ_2020.xlsx]原始数据'!$A:$A,0)),""))</f>
        <v/>
      </c>
      <c r="H43">
        <f>IF($A43="","",IFERROR(INDEX('[AQ_2021.xlsx]原始数据'!$C:$C,MATCH($A43,'[AQ_2021.xlsx]原始数据'!$A:$A,0)),""))</f>
        <v/>
      </c>
      <c r="I43">
        <f>IF($A43="","",IFERROR(INDEX('[AQ_2022.xlsx]原始数据'!$C:$C,MATCH($A43,'[AQ_2022.xlsx]原始数据'!$A:$A,0)),""))</f>
        <v/>
      </c>
      <c r="J43">
        <f>IF($A43="","",IFERROR(INDEX('[AQ_2023.xlsx]原始数据'!$C:$C,MATCH($A43,'[AQ_2023.xlsx]原始数据'!$A:$A,0)),""))</f>
        <v/>
      </c>
      <c r="K43">
        <f>IF($A43="","",IFERROR(INDEX('[AQ_2024.xlsx]原始数据'!$C:$C,MATCH($A43,'[AQ_2024.xlsx]原始数据'!$A:$A,0)),""))</f>
        <v/>
      </c>
      <c r="L43">
        <f>IF($A43="","",IFERROR(INDEX('[AQ_2020.xlsx]原始数据'!$D:$D,MATCH($A43,'[AQ_2020.xlsx]原始数据'!$A:$A,0)),""))</f>
        <v/>
      </c>
      <c r="M43">
        <f>IF($A43="","",IFERROR(INDEX('[AQ_2021.xlsx]原始数据'!$D:$D,MATCH($A43,'[AQ_2021.xlsx]原始数据'!$A:$A,0)),""))</f>
        <v/>
      </c>
      <c r="N43">
        <f>IF($A43="","",IFERROR(INDEX('[AQ_2022.xlsx]原始数据'!$D:$D,MATCH($A43,'[AQ_2022.xlsx]原始数据'!$A:$A,0)),""))</f>
        <v/>
      </c>
      <c r="O43">
        <f>IF($A43="","",IFERROR(INDEX('[AQ_2023.xlsx]原始数据'!$D:$D,MATCH($A43,'[AQ_2023.xlsx]原始数据'!$A:$A,0)),""))</f>
        <v/>
      </c>
      <c r="P43">
        <f>IF($A43="","",IFERROR(INDEX('[AQ_2024.xlsx]原始数据'!$D:$D,MATCH($A43,'[AQ_2024.xlsx]原始数据'!$A:$A,0)),""))</f>
        <v/>
      </c>
      <c r="Q43">
        <f>IF($A43="","",IFERROR(INDEX('[AQ_2020.xlsx]原始数据'!$E:$E,MATCH($A43,'[AQ_2020.xlsx]原始数据'!$A:$A,0)),""))</f>
        <v/>
      </c>
      <c r="R43">
        <f>IF($A43="","",IFERROR(INDEX('[AQ_2021.xlsx]原始数据'!$E:$E,MATCH($A43,'[AQ_2021.xlsx]原始数据'!$A:$A,0)),""))</f>
        <v/>
      </c>
      <c r="S43">
        <f>IF($A43="","",IFERROR(INDEX('[AQ_2022.xlsx]原始数据'!$E:$E,MATCH($A43,'[AQ_2022.xlsx]原始数据'!$A:$A,0)),""))</f>
        <v/>
      </c>
      <c r="T43">
        <f>IF($A43="","",IFERROR(INDEX('[AQ_2023.xlsx]原始数据'!$E:$E,MATCH($A43,'[AQ_2023.xlsx]原始数据'!$A:$A,0)),""))</f>
        <v/>
      </c>
      <c r="U43">
        <f>IF($A43="","",IFERROR(INDEX('[AQ_2024.xlsx]原始数据'!$E:$E,MATCH($A43,'[AQ_2024.xlsx]原始数据'!$A:$A,0)),""))</f>
        <v/>
      </c>
      <c r="V43">
        <f>IF($A43="","",IFERROR(INDEX('[AQ_2020.xlsx]原始数据'!$F:$F,MATCH($A43,'[AQ_2020.xlsx]原始数据'!$A:$A,0)),""))</f>
        <v/>
      </c>
      <c r="W43">
        <f>IF($A43="","",IFERROR(INDEX('[AQ_2021.xlsx]原始数据'!$F:$F,MATCH($A43,'[AQ_2021.xlsx]原始数据'!$A:$A,0)),""))</f>
        <v/>
      </c>
      <c r="X43">
        <f>IF($A43="","",IFERROR(INDEX('[AQ_2022.xlsx]原始数据'!$F:$F,MATCH($A43,'[AQ_2022.xlsx]原始数据'!$A:$A,0)),""))</f>
        <v/>
      </c>
      <c r="Y43">
        <f>IF($A43="","",IFERROR(INDEX('[AQ_2023.xlsx]原始数据'!$F:$F,MATCH($A43,'[AQ_2023.xlsx]原始数据'!$A:$A,0)),""))</f>
        <v/>
      </c>
      <c r="Z43">
        <f>IF($A43="","",IFERROR(INDEX('[AQ_2024.xlsx]原始数据'!$F:$F,MATCH($A43,'[AQ_2024.xlsx]原始数据'!$A:$A,0)),""))</f>
        <v/>
      </c>
      <c r="AA43" s="2">
        <f>IFERROR(G43/B43,"")</f>
        <v/>
      </c>
      <c r="AB43" s="2">
        <f>IFERROR(H43/C43,"")</f>
        <v/>
      </c>
      <c r="AC43" s="2">
        <f>IFERROR(I43/D43,"")</f>
        <v/>
      </c>
      <c r="AD43" s="2">
        <f>IFERROR(J43/E43,"")</f>
        <v/>
      </c>
      <c r="AE43" s="2">
        <f>IFERROR(K43/F43,"")</f>
        <v/>
      </c>
      <c r="AF43" s="2">
        <f>IFERROR(L43/B43,"")</f>
        <v/>
      </c>
      <c r="AG43" s="2">
        <f>IFERROR(M43/C43,"")</f>
        <v/>
      </c>
      <c r="AH43" s="2">
        <f>IFERROR(N43/D43,"")</f>
        <v/>
      </c>
      <c r="AI43" s="2">
        <f>IFERROR(O43/E43,"")</f>
        <v/>
      </c>
      <c r="AJ43" s="2">
        <f>IFERROR(P43/F43,"")</f>
        <v/>
      </c>
      <c r="AK43" s="2">
        <f>IFERROR(Q43/B43,"")</f>
        <v/>
      </c>
      <c r="AL43" s="2">
        <f>IFERROR(R43/C43,"")</f>
        <v/>
      </c>
      <c r="AM43" s="2">
        <f>IFERROR(S43/D43,"")</f>
        <v/>
      </c>
      <c r="AN43" s="2">
        <f>IFERROR(T43/E43,"")</f>
        <v/>
      </c>
      <c r="AO43" s="2">
        <f>IFERROR(U43/F43,"")</f>
        <v/>
      </c>
    </row>
    <row r="44">
      <c r="B44">
        <f>IF($A44="","",IFERROR(INDEX('[AQ_2020.xlsx]原始数据'!$B:$B,MATCH($A44,'[AQ_2020.xlsx]原始数据'!$A:$A,0)),""))</f>
        <v/>
      </c>
      <c r="C44">
        <f>IF($A44="","",IFERROR(INDEX('[AQ_2021.xlsx]原始数据'!$B:$B,MATCH($A44,'[AQ_2021.xlsx]原始数据'!$A:$A,0)),""))</f>
        <v/>
      </c>
      <c r="D44">
        <f>IF($A44="","",IFERROR(INDEX('[AQ_2022.xlsx]原始数据'!$B:$B,MATCH($A44,'[AQ_2022.xlsx]原始数据'!$A:$A,0)),""))</f>
        <v/>
      </c>
      <c r="E44">
        <f>IF($A44="","",IFERROR(INDEX('[AQ_2023.xlsx]原始数据'!$B:$B,MATCH($A44,'[AQ_2023.xlsx]原始数据'!$A:$A,0)),""))</f>
        <v/>
      </c>
      <c r="F44">
        <f>IF($A44="","",IFERROR(INDEX('[AQ_2024.xlsx]原始数据'!$B:$B,MATCH($A44,'[AQ_2024.xlsx]原始数据'!$A:$A,0)),""))</f>
        <v/>
      </c>
      <c r="G44">
        <f>IF($A44="","",IFERROR(INDEX('[AQ_2020.xlsx]原始数据'!$C:$C,MATCH($A44,'[AQ_2020.xlsx]原始数据'!$A:$A,0)),""))</f>
        <v/>
      </c>
      <c r="H44">
        <f>IF($A44="","",IFERROR(INDEX('[AQ_2021.xlsx]原始数据'!$C:$C,MATCH($A44,'[AQ_2021.xlsx]原始数据'!$A:$A,0)),""))</f>
        <v/>
      </c>
      <c r="I44">
        <f>IF($A44="","",IFERROR(INDEX('[AQ_2022.xlsx]原始数据'!$C:$C,MATCH($A44,'[AQ_2022.xlsx]原始数据'!$A:$A,0)),""))</f>
        <v/>
      </c>
      <c r="J44">
        <f>IF($A44="","",IFERROR(INDEX('[AQ_2023.xlsx]原始数据'!$C:$C,MATCH($A44,'[AQ_2023.xlsx]原始数据'!$A:$A,0)),""))</f>
        <v/>
      </c>
      <c r="K44">
        <f>IF($A44="","",IFERROR(INDEX('[AQ_2024.xlsx]原始数据'!$C:$C,MATCH($A44,'[AQ_2024.xlsx]原始数据'!$A:$A,0)),""))</f>
        <v/>
      </c>
      <c r="L44">
        <f>IF($A44="","",IFERROR(INDEX('[AQ_2020.xlsx]原始数据'!$D:$D,MATCH($A44,'[AQ_2020.xlsx]原始数据'!$A:$A,0)),""))</f>
        <v/>
      </c>
      <c r="M44">
        <f>IF($A44="","",IFERROR(INDEX('[AQ_2021.xlsx]原始数据'!$D:$D,MATCH($A44,'[AQ_2021.xlsx]原始数据'!$A:$A,0)),""))</f>
        <v/>
      </c>
      <c r="N44">
        <f>IF($A44="","",IFERROR(INDEX('[AQ_2022.xlsx]原始数据'!$D:$D,MATCH($A44,'[AQ_2022.xlsx]原始数据'!$A:$A,0)),""))</f>
        <v/>
      </c>
      <c r="O44">
        <f>IF($A44="","",IFERROR(INDEX('[AQ_2023.xlsx]原始数据'!$D:$D,MATCH($A44,'[AQ_2023.xlsx]原始数据'!$A:$A,0)),""))</f>
        <v/>
      </c>
      <c r="P44">
        <f>IF($A44="","",IFERROR(INDEX('[AQ_2024.xlsx]原始数据'!$D:$D,MATCH($A44,'[AQ_2024.xlsx]原始数据'!$A:$A,0)),""))</f>
        <v/>
      </c>
      <c r="Q44">
        <f>IF($A44="","",IFERROR(INDEX('[AQ_2020.xlsx]原始数据'!$E:$E,MATCH($A44,'[AQ_2020.xlsx]原始数据'!$A:$A,0)),""))</f>
        <v/>
      </c>
      <c r="R44">
        <f>IF($A44="","",IFERROR(INDEX('[AQ_2021.xlsx]原始数据'!$E:$E,MATCH($A44,'[AQ_2021.xlsx]原始数据'!$A:$A,0)),""))</f>
        <v/>
      </c>
      <c r="S44">
        <f>IF($A44="","",IFERROR(INDEX('[AQ_2022.xlsx]原始数据'!$E:$E,MATCH($A44,'[AQ_2022.xlsx]原始数据'!$A:$A,0)),""))</f>
        <v/>
      </c>
      <c r="T44">
        <f>IF($A44="","",IFERROR(INDEX('[AQ_2023.xlsx]原始数据'!$E:$E,MATCH($A44,'[AQ_2023.xlsx]原始数据'!$A:$A,0)),""))</f>
        <v/>
      </c>
      <c r="U44">
        <f>IF($A44="","",IFERROR(INDEX('[AQ_2024.xlsx]原始数据'!$E:$E,MATCH($A44,'[AQ_2024.xlsx]原始数据'!$A:$A,0)),""))</f>
        <v/>
      </c>
      <c r="V44">
        <f>IF($A44="","",IFERROR(INDEX('[AQ_2020.xlsx]原始数据'!$F:$F,MATCH($A44,'[AQ_2020.xlsx]原始数据'!$A:$A,0)),""))</f>
        <v/>
      </c>
      <c r="W44">
        <f>IF($A44="","",IFERROR(INDEX('[AQ_2021.xlsx]原始数据'!$F:$F,MATCH($A44,'[AQ_2021.xlsx]原始数据'!$A:$A,0)),""))</f>
        <v/>
      </c>
      <c r="X44">
        <f>IF($A44="","",IFERROR(INDEX('[AQ_2022.xlsx]原始数据'!$F:$F,MATCH($A44,'[AQ_2022.xlsx]原始数据'!$A:$A,0)),""))</f>
        <v/>
      </c>
      <c r="Y44">
        <f>IF($A44="","",IFERROR(INDEX('[AQ_2023.xlsx]原始数据'!$F:$F,MATCH($A44,'[AQ_2023.xlsx]原始数据'!$A:$A,0)),""))</f>
        <v/>
      </c>
      <c r="Z44">
        <f>IF($A44="","",IFERROR(INDEX('[AQ_2024.xlsx]原始数据'!$F:$F,MATCH($A44,'[AQ_2024.xlsx]原始数据'!$A:$A,0)),""))</f>
        <v/>
      </c>
      <c r="AA44" s="2">
        <f>IFERROR(G44/B44,"")</f>
        <v/>
      </c>
      <c r="AB44" s="2">
        <f>IFERROR(H44/C44,"")</f>
        <v/>
      </c>
      <c r="AC44" s="2">
        <f>IFERROR(I44/D44,"")</f>
        <v/>
      </c>
      <c r="AD44" s="2">
        <f>IFERROR(J44/E44,"")</f>
        <v/>
      </c>
      <c r="AE44" s="2">
        <f>IFERROR(K44/F44,"")</f>
        <v/>
      </c>
      <c r="AF44" s="2">
        <f>IFERROR(L44/B44,"")</f>
        <v/>
      </c>
      <c r="AG44" s="2">
        <f>IFERROR(M44/C44,"")</f>
        <v/>
      </c>
      <c r="AH44" s="2">
        <f>IFERROR(N44/D44,"")</f>
        <v/>
      </c>
      <c r="AI44" s="2">
        <f>IFERROR(O44/E44,"")</f>
        <v/>
      </c>
      <c r="AJ44" s="2">
        <f>IFERROR(P44/F44,"")</f>
        <v/>
      </c>
      <c r="AK44" s="2">
        <f>IFERROR(Q44/B44,"")</f>
        <v/>
      </c>
      <c r="AL44" s="2">
        <f>IFERROR(R44/C44,"")</f>
        <v/>
      </c>
      <c r="AM44" s="2">
        <f>IFERROR(S44/D44,"")</f>
        <v/>
      </c>
      <c r="AN44" s="2">
        <f>IFERROR(T44/E44,"")</f>
        <v/>
      </c>
      <c r="AO44" s="2">
        <f>IFERROR(U44/F44,"")</f>
        <v/>
      </c>
    </row>
    <row r="45">
      <c r="B45">
        <f>IF($A45="","",IFERROR(INDEX('[AQ_2020.xlsx]原始数据'!$B:$B,MATCH($A45,'[AQ_2020.xlsx]原始数据'!$A:$A,0)),""))</f>
        <v/>
      </c>
      <c r="C45">
        <f>IF($A45="","",IFERROR(INDEX('[AQ_2021.xlsx]原始数据'!$B:$B,MATCH($A45,'[AQ_2021.xlsx]原始数据'!$A:$A,0)),""))</f>
        <v/>
      </c>
      <c r="D45">
        <f>IF($A45="","",IFERROR(INDEX('[AQ_2022.xlsx]原始数据'!$B:$B,MATCH($A45,'[AQ_2022.xlsx]原始数据'!$A:$A,0)),""))</f>
        <v/>
      </c>
      <c r="E45">
        <f>IF($A45="","",IFERROR(INDEX('[AQ_2023.xlsx]原始数据'!$B:$B,MATCH($A45,'[AQ_2023.xlsx]原始数据'!$A:$A,0)),""))</f>
        <v/>
      </c>
      <c r="F45">
        <f>IF($A45="","",IFERROR(INDEX('[AQ_2024.xlsx]原始数据'!$B:$B,MATCH($A45,'[AQ_2024.xlsx]原始数据'!$A:$A,0)),""))</f>
        <v/>
      </c>
      <c r="G45">
        <f>IF($A45="","",IFERROR(INDEX('[AQ_2020.xlsx]原始数据'!$C:$C,MATCH($A45,'[AQ_2020.xlsx]原始数据'!$A:$A,0)),""))</f>
        <v/>
      </c>
      <c r="H45">
        <f>IF($A45="","",IFERROR(INDEX('[AQ_2021.xlsx]原始数据'!$C:$C,MATCH($A45,'[AQ_2021.xlsx]原始数据'!$A:$A,0)),""))</f>
        <v/>
      </c>
      <c r="I45">
        <f>IF($A45="","",IFERROR(INDEX('[AQ_2022.xlsx]原始数据'!$C:$C,MATCH($A45,'[AQ_2022.xlsx]原始数据'!$A:$A,0)),""))</f>
        <v/>
      </c>
      <c r="J45">
        <f>IF($A45="","",IFERROR(INDEX('[AQ_2023.xlsx]原始数据'!$C:$C,MATCH($A45,'[AQ_2023.xlsx]原始数据'!$A:$A,0)),""))</f>
        <v/>
      </c>
      <c r="K45">
        <f>IF($A45="","",IFERROR(INDEX('[AQ_2024.xlsx]原始数据'!$C:$C,MATCH($A45,'[AQ_2024.xlsx]原始数据'!$A:$A,0)),""))</f>
        <v/>
      </c>
      <c r="L45">
        <f>IF($A45="","",IFERROR(INDEX('[AQ_2020.xlsx]原始数据'!$D:$D,MATCH($A45,'[AQ_2020.xlsx]原始数据'!$A:$A,0)),""))</f>
        <v/>
      </c>
      <c r="M45">
        <f>IF($A45="","",IFERROR(INDEX('[AQ_2021.xlsx]原始数据'!$D:$D,MATCH($A45,'[AQ_2021.xlsx]原始数据'!$A:$A,0)),""))</f>
        <v/>
      </c>
      <c r="N45">
        <f>IF($A45="","",IFERROR(INDEX('[AQ_2022.xlsx]原始数据'!$D:$D,MATCH($A45,'[AQ_2022.xlsx]原始数据'!$A:$A,0)),""))</f>
        <v/>
      </c>
      <c r="O45">
        <f>IF($A45="","",IFERROR(INDEX('[AQ_2023.xlsx]原始数据'!$D:$D,MATCH($A45,'[AQ_2023.xlsx]原始数据'!$A:$A,0)),""))</f>
        <v/>
      </c>
      <c r="P45">
        <f>IF($A45="","",IFERROR(INDEX('[AQ_2024.xlsx]原始数据'!$D:$D,MATCH($A45,'[AQ_2024.xlsx]原始数据'!$A:$A,0)),""))</f>
        <v/>
      </c>
      <c r="Q45">
        <f>IF($A45="","",IFERROR(INDEX('[AQ_2020.xlsx]原始数据'!$E:$E,MATCH($A45,'[AQ_2020.xlsx]原始数据'!$A:$A,0)),""))</f>
        <v/>
      </c>
      <c r="R45">
        <f>IF($A45="","",IFERROR(INDEX('[AQ_2021.xlsx]原始数据'!$E:$E,MATCH($A45,'[AQ_2021.xlsx]原始数据'!$A:$A,0)),""))</f>
        <v/>
      </c>
      <c r="S45">
        <f>IF($A45="","",IFERROR(INDEX('[AQ_2022.xlsx]原始数据'!$E:$E,MATCH($A45,'[AQ_2022.xlsx]原始数据'!$A:$A,0)),""))</f>
        <v/>
      </c>
      <c r="T45">
        <f>IF($A45="","",IFERROR(INDEX('[AQ_2023.xlsx]原始数据'!$E:$E,MATCH($A45,'[AQ_2023.xlsx]原始数据'!$A:$A,0)),""))</f>
        <v/>
      </c>
      <c r="U45">
        <f>IF($A45="","",IFERROR(INDEX('[AQ_2024.xlsx]原始数据'!$E:$E,MATCH($A45,'[AQ_2024.xlsx]原始数据'!$A:$A,0)),""))</f>
        <v/>
      </c>
      <c r="V45">
        <f>IF($A45="","",IFERROR(INDEX('[AQ_2020.xlsx]原始数据'!$F:$F,MATCH($A45,'[AQ_2020.xlsx]原始数据'!$A:$A,0)),""))</f>
        <v/>
      </c>
      <c r="W45">
        <f>IF($A45="","",IFERROR(INDEX('[AQ_2021.xlsx]原始数据'!$F:$F,MATCH($A45,'[AQ_2021.xlsx]原始数据'!$A:$A,0)),""))</f>
        <v/>
      </c>
      <c r="X45">
        <f>IF($A45="","",IFERROR(INDEX('[AQ_2022.xlsx]原始数据'!$F:$F,MATCH($A45,'[AQ_2022.xlsx]原始数据'!$A:$A,0)),""))</f>
        <v/>
      </c>
      <c r="Y45">
        <f>IF($A45="","",IFERROR(INDEX('[AQ_2023.xlsx]原始数据'!$F:$F,MATCH($A45,'[AQ_2023.xlsx]原始数据'!$A:$A,0)),""))</f>
        <v/>
      </c>
      <c r="Z45">
        <f>IF($A45="","",IFERROR(INDEX('[AQ_2024.xlsx]原始数据'!$F:$F,MATCH($A45,'[AQ_2024.xlsx]原始数据'!$A:$A,0)),""))</f>
        <v/>
      </c>
      <c r="AA45" s="2">
        <f>IFERROR(G45/B45,"")</f>
        <v/>
      </c>
      <c r="AB45" s="2">
        <f>IFERROR(H45/C45,"")</f>
        <v/>
      </c>
      <c r="AC45" s="2">
        <f>IFERROR(I45/D45,"")</f>
        <v/>
      </c>
      <c r="AD45" s="2">
        <f>IFERROR(J45/E45,"")</f>
        <v/>
      </c>
      <c r="AE45" s="2">
        <f>IFERROR(K45/F45,"")</f>
        <v/>
      </c>
      <c r="AF45" s="2">
        <f>IFERROR(L45/B45,"")</f>
        <v/>
      </c>
      <c r="AG45" s="2">
        <f>IFERROR(M45/C45,"")</f>
        <v/>
      </c>
      <c r="AH45" s="2">
        <f>IFERROR(N45/D45,"")</f>
        <v/>
      </c>
      <c r="AI45" s="2">
        <f>IFERROR(O45/E45,"")</f>
        <v/>
      </c>
      <c r="AJ45" s="2">
        <f>IFERROR(P45/F45,"")</f>
        <v/>
      </c>
      <c r="AK45" s="2">
        <f>IFERROR(Q45/B45,"")</f>
        <v/>
      </c>
      <c r="AL45" s="2">
        <f>IFERROR(R45/C45,"")</f>
        <v/>
      </c>
      <c r="AM45" s="2">
        <f>IFERROR(S45/D45,"")</f>
        <v/>
      </c>
      <c r="AN45" s="2">
        <f>IFERROR(T45/E45,"")</f>
        <v/>
      </c>
      <c r="AO45" s="2">
        <f>IFERROR(U45/F45,"")</f>
        <v/>
      </c>
    </row>
    <row r="46">
      <c r="B46">
        <f>IF($A46="","",IFERROR(INDEX('[AQ_2020.xlsx]原始数据'!$B:$B,MATCH($A46,'[AQ_2020.xlsx]原始数据'!$A:$A,0)),""))</f>
        <v/>
      </c>
      <c r="C46">
        <f>IF($A46="","",IFERROR(INDEX('[AQ_2021.xlsx]原始数据'!$B:$B,MATCH($A46,'[AQ_2021.xlsx]原始数据'!$A:$A,0)),""))</f>
        <v/>
      </c>
      <c r="D46">
        <f>IF($A46="","",IFERROR(INDEX('[AQ_2022.xlsx]原始数据'!$B:$B,MATCH($A46,'[AQ_2022.xlsx]原始数据'!$A:$A,0)),""))</f>
        <v/>
      </c>
      <c r="E46">
        <f>IF($A46="","",IFERROR(INDEX('[AQ_2023.xlsx]原始数据'!$B:$B,MATCH($A46,'[AQ_2023.xlsx]原始数据'!$A:$A,0)),""))</f>
        <v/>
      </c>
      <c r="F46">
        <f>IF($A46="","",IFERROR(INDEX('[AQ_2024.xlsx]原始数据'!$B:$B,MATCH($A46,'[AQ_2024.xlsx]原始数据'!$A:$A,0)),""))</f>
        <v/>
      </c>
      <c r="G46">
        <f>IF($A46="","",IFERROR(INDEX('[AQ_2020.xlsx]原始数据'!$C:$C,MATCH($A46,'[AQ_2020.xlsx]原始数据'!$A:$A,0)),""))</f>
        <v/>
      </c>
      <c r="H46">
        <f>IF($A46="","",IFERROR(INDEX('[AQ_2021.xlsx]原始数据'!$C:$C,MATCH($A46,'[AQ_2021.xlsx]原始数据'!$A:$A,0)),""))</f>
        <v/>
      </c>
      <c r="I46">
        <f>IF($A46="","",IFERROR(INDEX('[AQ_2022.xlsx]原始数据'!$C:$C,MATCH($A46,'[AQ_2022.xlsx]原始数据'!$A:$A,0)),""))</f>
        <v/>
      </c>
      <c r="J46">
        <f>IF($A46="","",IFERROR(INDEX('[AQ_2023.xlsx]原始数据'!$C:$C,MATCH($A46,'[AQ_2023.xlsx]原始数据'!$A:$A,0)),""))</f>
        <v/>
      </c>
      <c r="K46">
        <f>IF($A46="","",IFERROR(INDEX('[AQ_2024.xlsx]原始数据'!$C:$C,MATCH($A46,'[AQ_2024.xlsx]原始数据'!$A:$A,0)),""))</f>
        <v/>
      </c>
      <c r="L46">
        <f>IF($A46="","",IFERROR(INDEX('[AQ_2020.xlsx]原始数据'!$D:$D,MATCH($A46,'[AQ_2020.xlsx]原始数据'!$A:$A,0)),""))</f>
        <v/>
      </c>
      <c r="M46">
        <f>IF($A46="","",IFERROR(INDEX('[AQ_2021.xlsx]原始数据'!$D:$D,MATCH($A46,'[AQ_2021.xlsx]原始数据'!$A:$A,0)),""))</f>
        <v/>
      </c>
      <c r="N46">
        <f>IF($A46="","",IFERROR(INDEX('[AQ_2022.xlsx]原始数据'!$D:$D,MATCH($A46,'[AQ_2022.xlsx]原始数据'!$A:$A,0)),""))</f>
        <v/>
      </c>
      <c r="O46">
        <f>IF($A46="","",IFERROR(INDEX('[AQ_2023.xlsx]原始数据'!$D:$D,MATCH($A46,'[AQ_2023.xlsx]原始数据'!$A:$A,0)),""))</f>
        <v/>
      </c>
      <c r="P46">
        <f>IF($A46="","",IFERROR(INDEX('[AQ_2024.xlsx]原始数据'!$D:$D,MATCH($A46,'[AQ_2024.xlsx]原始数据'!$A:$A,0)),""))</f>
        <v/>
      </c>
      <c r="Q46">
        <f>IF($A46="","",IFERROR(INDEX('[AQ_2020.xlsx]原始数据'!$E:$E,MATCH($A46,'[AQ_2020.xlsx]原始数据'!$A:$A,0)),""))</f>
        <v/>
      </c>
      <c r="R46">
        <f>IF($A46="","",IFERROR(INDEX('[AQ_2021.xlsx]原始数据'!$E:$E,MATCH($A46,'[AQ_2021.xlsx]原始数据'!$A:$A,0)),""))</f>
        <v/>
      </c>
      <c r="S46">
        <f>IF($A46="","",IFERROR(INDEX('[AQ_2022.xlsx]原始数据'!$E:$E,MATCH($A46,'[AQ_2022.xlsx]原始数据'!$A:$A,0)),""))</f>
        <v/>
      </c>
      <c r="T46">
        <f>IF($A46="","",IFERROR(INDEX('[AQ_2023.xlsx]原始数据'!$E:$E,MATCH($A46,'[AQ_2023.xlsx]原始数据'!$A:$A,0)),""))</f>
        <v/>
      </c>
      <c r="U46">
        <f>IF($A46="","",IFERROR(INDEX('[AQ_2024.xlsx]原始数据'!$E:$E,MATCH($A46,'[AQ_2024.xlsx]原始数据'!$A:$A,0)),""))</f>
        <v/>
      </c>
      <c r="V46">
        <f>IF($A46="","",IFERROR(INDEX('[AQ_2020.xlsx]原始数据'!$F:$F,MATCH($A46,'[AQ_2020.xlsx]原始数据'!$A:$A,0)),""))</f>
        <v/>
      </c>
      <c r="W46">
        <f>IF($A46="","",IFERROR(INDEX('[AQ_2021.xlsx]原始数据'!$F:$F,MATCH($A46,'[AQ_2021.xlsx]原始数据'!$A:$A,0)),""))</f>
        <v/>
      </c>
      <c r="X46">
        <f>IF($A46="","",IFERROR(INDEX('[AQ_2022.xlsx]原始数据'!$F:$F,MATCH($A46,'[AQ_2022.xlsx]原始数据'!$A:$A,0)),""))</f>
        <v/>
      </c>
      <c r="Y46">
        <f>IF($A46="","",IFERROR(INDEX('[AQ_2023.xlsx]原始数据'!$F:$F,MATCH($A46,'[AQ_2023.xlsx]原始数据'!$A:$A,0)),""))</f>
        <v/>
      </c>
      <c r="Z46">
        <f>IF($A46="","",IFERROR(INDEX('[AQ_2024.xlsx]原始数据'!$F:$F,MATCH($A46,'[AQ_2024.xlsx]原始数据'!$A:$A,0)),""))</f>
        <v/>
      </c>
      <c r="AA46" s="2">
        <f>IFERROR(G46/B46,"")</f>
        <v/>
      </c>
      <c r="AB46" s="2">
        <f>IFERROR(H46/C46,"")</f>
        <v/>
      </c>
      <c r="AC46" s="2">
        <f>IFERROR(I46/D46,"")</f>
        <v/>
      </c>
      <c r="AD46" s="2">
        <f>IFERROR(J46/E46,"")</f>
        <v/>
      </c>
      <c r="AE46" s="2">
        <f>IFERROR(K46/F46,"")</f>
        <v/>
      </c>
      <c r="AF46" s="2">
        <f>IFERROR(L46/B46,"")</f>
        <v/>
      </c>
      <c r="AG46" s="2">
        <f>IFERROR(M46/C46,"")</f>
        <v/>
      </c>
      <c r="AH46" s="2">
        <f>IFERROR(N46/D46,"")</f>
        <v/>
      </c>
      <c r="AI46" s="2">
        <f>IFERROR(O46/E46,"")</f>
        <v/>
      </c>
      <c r="AJ46" s="2">
        <f>IFERROR(P46/F46,"")</f>
        <v/>
      </c>
      <c r="AK46" s="2">
        <f>IFERROR(Q46/B46,"")</f>
        <v/>
      </c>
      <c r="AL46" s="2">
        <f>IFERROR(R46/C46,"")</f>
        <v/>
      </c>
      <c r="AM46" s="2">
        <f>IFERROR(S46/D46,"")</f>
        <v/>
      </c>
      <c r="AN46" s="2">
        <f>IFERROR(T46/E46,"")</f>
        <v/>
      </c>
      <c r="AO46" s="2">
        <f>IFERROR(U46/F46,"")</f>
        <v/>
      </c>
    </row>
    <row r="47">
      <c r="B47">
        <f>IF($A47="","",IFERROR(INDEX('[AQ_2020.xlsx]原始数据'!$B:$B,MATCH($A47,'[AQ_2020.xlsx]原始数据'!$A:$A,0)),""))</f>
        <v/>
      </c>
      <c r="C47">
        <f>IF($A47="","",IFERROR(INDEX('[AQ_2021.xlsx]原始数据'!$B:$B,MATCH($A47,'[AQ_2021.xlsx]原始数据'!$A:$A,0)),""))</f>
        <v/>
      </c>
      <c r="D47">
        <f>IF($A47="","",IFERROR(INDEX('[AQ_2022.xlsx]原始数据'!$B:$B,MATCH($A47,'[AQ_2022.xlsx]原始数据'!$A:$A,0)),""))</f>
        <v/>
      </c>
      <c r="E47">
        <f>IF($A47="","",IFERROR(INDEX('[AQ_2023.xlsx]原始数据'!$B:$B,MATCH($A47,'[AQ_2023.xlsx]原始数据'!$A:$A,0)),""))</f>
        <v/>
      </c>
      <c r="F47">
        <f>IF($A47="","",IFERROR(INDEX('[AQ_2024.xlsx]原始数据'!$B:$B,MATCH($A47,'[AQ_2024.xlsx]原始数据'!$A:$A,0)),""))</f>
        <v/>
      </c>
      <c r="G47">
        <f>IF($A47="","",IFERROR(INDEX('[AQ_2020.xlsx]原始数据'!$C:$C,MATCH($A47,'[AQ_2020.xlsx]原始数据'!$A:$A,0)),""))</f>
        <v/>
      </c>
      <c r="H47">
        <f>IF($A47="","",IFERROR(INDEX('[AQ_2021.xlsx]原始数据'!$C:$C,MATCH($A47,'[AQ_2021.xlsx]原始数据'!$A:$A,0)),""))</f>
        <v/>
      </c>
      <c r="I47">
        <f>IF($A47="","",IFERROR(INDEX('[AQ_2022.xlsx]原始数据'!$C:$C,MATCH($A47,'[AQ_2022.xlsx]原始数据'!$A:$A,0)),""))</f>
        <v/>
      </c>
      <c r="J47">
        <f>IF($A47="","",IFERROR(INDEX('[AQ_2023.xlsx]原始数据'!$C:$C,MATCH($A47,'[AQ_2023.xlsx]原始数据'!$A:$A,0)),""))</f>
        <v/>
      </c>
      <c r="K47">
        <f>IF($A47="","",IFERROR(INDEX('[AQ_2024.xlsx]原始数据'!$C:$C,MATCH($A47,'[AQ_2024.xlsx]原始数据'!$A:$A,0)),""))</f>
        <v/>
      </c>
      <c r="L47">
        <f>IF($A47="","",IFERROR(INDEX('[AQ_2020.xlsx]原始数据'!$D:$D,MATCH($A47,'[AQ_2020.xlsx]原始数据'!$A:$A,0)),""))</f>
        <v/>
      </c>
      <c r="M47">
        <f>IF($A47="","",IFERROR(INDEX('[AQ_2021.xlsx]原始数据'!$D:$D,MATCH($A47,'[AQ_2021.xlsx]原始数据'!$A:$A,0)),""))</f>
        <v/>
      </c>
      <c r="N47">
        <f>IF($A47="","",IFERROR(INDEX('[AQ_2022.xlsx]原始数据'!$D:$D,MATCH($A47,'[AQ_2022.xlsx]原始数据'!$A:$A,0)),""))</f>
        <v/>
      </c>
      <c r="O47">
        <f>IF($A47="","",IFERROR(INDEX('[AQ_2023.xlsx]原始数据'!$D:$D,MATCH($A47,'[AQ_2023.xlsx]原始数据'!$A:$A,0)),""))</f>
        <v/>
      </c>
      <c r="P47">
        <f>IF($A47="","",IFERROR(INDEX('[AQ_2024.xlsx]原始数据'!$D:$D,MATCH($A47,'[AQ_2024.xlsx]原始数据'!$A:$A,0)),""))</f>
        <v/>
      </c>
      <c r="Q47">
        <f>IF($A47="","",IFERROR(INDEX('[AQ_2020.xlsx]原始数据'!$E:$E,MATCH($A47,'[AQ_2020.xlsx]原始数据'!$A:$A,0)),""))</f>
        <v/>
      </c>
      <c r="R47">
        <f>IF($A47="","",IFERROR(INDEX('[AQ_2021.xlsx]原始数据'!$E:$E,MATCH($A47,'[AQ_2021.xlsx]原始数据'!$A:$A,0)),""))</f>
        <v/>
      </c>
      <c r="S47">
        <f>IF($A47="","",IFERROR(INDEX('[AQ_2022.xlsx]原始数据'!$E:$E,MATCH($A47,'[AQ_2022.xlsx]原始数据'!$A:$A,0)),""))</f>
        <v/>
      </c>
      <c r="T47">
        <f>IF($A47="","",IFERROR(INDEX('[AQ_2023.xlsx]原始数据'!$E:$E,MATCH($A47,'[AQ_2023.xlsx]原始数据'!$A:$A,0)),""))</f>
        <v/>
      </c>
      <c r="U47">
        <f>IF($A47="","",IFERROR(INDEX('[AQ_2024.xlsx]原始数据'!$E:$E,MATCH($A47,'[AQ_2024.xlsx]原始数据'!$A:$A,0)),""))</f>
        <v/>
      </c>
      <c r="V47">
        <f>IF($A47="","",IFERROR(INDEX('[AQ_2020.xlsx]原始数据'!$F:$F,MATCH($A47,'[AQ_2020.xlsx]原始数据'!$A:$A,0)),""))</f>
        <v/>
      </c>
      <c r="W47">
        <f>IF($A47="","",IFERROR(INDEX('[AQ_2021.xlsx]原始数据'!$F:$F,MATCH($A47,'[AQ_2021.xlsx]原始数据'!$A:$A,0)),""))</f>
        <v/>
      </c>
      <c r="X47">
        <f>IF($A47="","",IFERROR(INDEX('[AQ_2022.xlsx]原始数据'!$F:$F,MATCH($A47,'[AQ_2022.xlsx]原始数据'!$A:$A,0)),""))</f>
        <v/>
      </c>
      <c r="Y47">
        <f>IF($A47="","",IFERROR(INDEX('[AQ_2023.xlsx]原始数据'!$F:$F,MATCH($A47,'[AQ_2023.xlsx]原始数据'!$A:$A,0)),""))</f>
        <v/>
      </c>
      <c r="Z47">
        <f>IF($A47="","",IFERROR(INDEX('[AQ_2024.xlsx]原始数据'!$F:$F,MATCH($A47,'[AQ_2024.xlsx]原始数据'!$A:$A,0)),""))</f>
        <v/>
      </c>
      <c r="AA47" s="2">
        <f>IFERROR(G47/B47,"")</f>
        <v/>
      </c>
      <c r="AB47" s="2">
        <f>IFERROR(H47/C47,"")</f>
        <v/>
      </c>
      <c r="AC47" s="2">
        <f>IFERROR(I47/D47,"")</f>
        <v/>
      </c>
      <c r="AD47" s="2">
        <f>IFERROR(J47/E47,"")</f>
        <v/>
      </c>
      <c r="AE47" s="2">
        <f>IFERROR(K47/F47,"")</f>
        <v/>
      </c>
      <c r="AF47" s="2">
        <f>IFERROR(L47/B47,"")</f>
        <v/>
      </c>
      <c r="AG47" s="2">
        <f>IFERROR(M47/C47,"")</f>
        <v/>
      </c>
      <c r="AH47" s="2">
        <f>IFERROR(N47/D47,"")</f>
        <v/>
      </c>
      <c r="AI47" s="2">
        <f>IFERROR(O47/E47,"")</f>
        <v/>
      </c>
      <c r="AJ47" s="2">
        <f>IFERROR(P47/F47,"")</f>
        <v/>
      </c>
      <c r="AK47" s="2">
        <f>IFERROR(Q47/B47,"")</f>
        <v/>
      </c>
      <c r="AL47" s="2">
        <f>IFERROR(R47/C47,"")</f>
        <v/>
      </c>
      <c r="AM47" s="2">
        <f>IFERROR(S47/D47,"")</f>
        <v/>
      </c>
      <c r="AN47" s="2">
        <f>IFERROR(T47/E47,"")</f>
        <v/>
      </c>
      <c r="AO47" s="2">
        <f>IFERROR(U47/F47,"")</f>
        <v/>
      </c>
    </row>
    <row r="48">
      <c r="B48">
        <f>IF($A48="","",IFERROR(INDEX('[AQ_2020.xlsx]原始数据'!$B:$B,MATCH($A48,'[AQ_2020.xlsx]原始数据'!$A:$A,0)),""))</f>
        <v/>
      </c>
      <c r="C48">
        <f>IF($A48="","",IFERROR(INDEX('[AQ_2021.xlsx]原始数据'!$B:$B,MATCH($A48,'[AQ_2021.xlsx]原始数据'!$A:$A,0)),""))</f>
        <v/>
      </c>
      <c r="D48">
        <f>IF($A48="","",IFERROR(INDEX('[AQ_2022.xlsx]原始数据'!$B:$B,MATCH($A48,'[AQ_2022.xlsx]原始数据'!$A:$A,0)),""))</f>
        <v/>
      </c>
      <c r="E48">
        <f>IF($A48="","",IFERROR(INDEX('[AQ_2023.xlsx]原始数据'!$B:$B,MATCH($A48,'[AQ_2023.xlsx]原始数据'!$A:$A,0)),""))</f>
        <v/>
      </c>
      <c r="F48">
        <f>IF($A48="","",IFERROR(INDEX('[AQ_2024.xlsx]原始数据'!$B:$B,MATCH($A48,'[AQ_2024.xlsx]原始数据'!$A:$A,0)),""))</f>
        <v/>
      </c>
      <c r="G48">
        <f>IF($A48="","",IFERROR(INDEX('[AQ_2020.xlsx]原始数据'!$C:$C,MATCH($A48,'[AQ_2020.xlsx]原始数据'!$A:$A,0)),""))</f>
        <v/>
      </c>
      <c r="H48">
        <f>IF($A48="","",IFERROR(INDEX('[AQ_2021.xlsx]原始数据'!$C:$C,MATCH($A48,'[AQ_2021.xlsx]原始数据'!$A:$A,0)),""))</f>
        <v/>
      </c>
      <c r="I48">
        <f>IF($A48="","",IFERROR(INDEX('[AQ_2022.xlsx]原始数据'!$C:$C,MATCH($A48,'[AQ_2022.xlsx]原始数据'!$A:$A,0)),""))</f>
        <v/>
      </c>
      <c r="J48">
        <f>IF($A48="","",IFERROR(INDEX('[AQ_2023.xlsx]原始数据'!$C:$C,MATCH($A48,'[AQ_2023.xlsx]原始数据'!$A:$A,0)),""))</f>
        <v/>
      </c>
      <c r="K48">
        <f>IF($A48="","",IFERROR(INDEX('[AQ_2024.xlsx]原始数据'!$C:$C,MATCH($A48,'[AQ_2024.xlsx]原始数据'!$A:$A,0)),""))</f>
        <v/>
      </c>
      <c r="L48">
        <f>IF($A48="","",IFERROR(INDEX('[AQ_2020.xlsx]原始数据'!$D:$D,MATCH($A48,'[AQ_2020.xlsx]原始数据'!$A:$A,0)),""))</f>
        <v/>
      </c>
      <c r="M48">
        <f>IF($A48="","",IFERROR(INDEX('[AQ_2021.xlsx]原始数据'!$D:$D,MATCH($A48,'[AQ_2021.xlsx]原始数据'!$A:$A,0)),""))</f>
        <v/>
      </c>
      <c r="N48">
        <f>IF($A48="","",IFERROR(INDEX('[AQ_2022.xlsx]原始数据'!$D:$D,MATCH($A48,'[AQ_2022.xlsx]原始数据'!$A:$A,0)),""))</f>
        <v/>
      </c>
      <c r="O48">
        <f>IF($A48="","",IFERROR(INDEX('[AQ_2023.xlsx]原始数据'!$D:$D,MATCH($A48,'[AQ_2023.xlsx]原始数据'!$A:$A,0)),""))</f>
        <v/>
      </c>
      <c r="P48">
        <f>IF($A48="","",IFERROR(INDEX('[AQ_2024.xlsx]原始数据'!$D:$D,MATCH($A48,'[AQ_2024.xlsx]原始数据'!$A:$A,0)),""))</f>
        <v/>
      </c>
      <c r="Q48">
        <f>IF($A48="","",IFERROR(INDEX('[AQ_2020.xlsx]原始数据'!$E:$E,MATCH($A48,'[AQ_2020.xlsx]原始数据'!$A:$A,0)),""))</f>
        <v/>
      </c>
      <c r="R48">
        <f>IF($A48="","",IFERROR(INDEX('[AQ_2021.xlsx]原始数据'!$E:$E,MATCH($A48,'[AQ_2021.xlsx]原始数据'!$A:$A,0)),""))</f>
        <v/>
      </c>
      <c r="S48">
        <f>IF($A48="","",IFERROR(INDEX('[AQ_2022.xlsx]原始数据'!$E:$E,MATCH($A48,'[AQ_2022.xlsx]原始数据'!$A:$A,0)),""))</f>
        <v/>
      </c>
      <c r="T48">
        <f>IF($A48="","",IFERROR(INDEX('[AQ_2023.xlsx]原始数据'!$E:$E,MATCH($A48,'[AQ_2023.xlsx]原始数据'!$A:$A,0)),""))</f>
        <v/>
      </c>
      <c r="U48">
        <f>IF($A48="","",IFERROR(INDEX('[AQ_2024.xlsx]原始数据'!$E:$E,MATCH($A48,'[AQ_2024.xlsx]原始数据'!$A:$A,0)),""))</f>
        <v/>
      </c>
      <c r="V48">
        <f>IF($A48="","",IFERROR(INDEX('[AQ_2020.xlsx]原始数据'!$F:$F,MATCH($A48,'[AQ_2020.xlsx]原始数据'!$A:$A,0)),""))</f>
        <v/>
      </c>
      <c r="W48">
        <f>IF($A48="","",IFERROR(INDEX('[AQ_2021.xlsx]原始数据'!$F:$F,MATCH($A48,'[AQ_2021.xlsx]原始数据'!$A:$A,0)),""))</f>
        <v/>
      </c>
      <c r="X48">
        <f>IF($A48="","",IFERROR(INDEX('[AQ_2022.xlsx]原始数据'!$F:$F,MATCH($A48,'[AQ_2022.xlsx]原始数据'!$A:$A,0)),""))</f>
        <v/>
      </c>
      <c r="Y48">
        <f>IF($A48="","",IFERROR(INDEX('[AQ_2023.xlsx]原始数据'!$F:$F,MATCH($A48,'[AQ_2023.xlsx]原始数据'!$A:$A,0)),""))</f>
        <v/>
      </c>
      <c r="Z48">
        <f>IF($A48="","",IFERROR(INDEX('[AQ_2024.xlsx]原始数据'!$F:$F,MATCH($A48,'[AQ_2024.xlsx]原始数据'!$A:$A,0)),""))</f>
        <v/>
      </c>
      <c r="AA48" s="2">
        <f>IFERROR(G48/B48,"")</f>
        <v/>
      </c>
      <c r="AB48" s="2">
        <f>IFERROR(H48/C48,"")</f>
        <v/>
      </c>
      <c r="AC48" s="2">
        <f>IFERROR(I48/D48,"")</f>
        <v/>
      </c>
      <c r="AD48" s="2">
        <f>IFERROR(J48/E48,"")</f>
        <v/>
      </c>
      <c r="AE48" s="2">
        <f>IFERROR(K48/F48,"")</f>
        <v/>
      </c>
      <c r="AF48" s="2">
        <f>IFERROR(L48/B48,"")</f>
        <v/>
      </c>
      <c r="AG48" s="2">
        <f>IFERROR(M48/C48,"")</f>
        <v/>
      </c>
      <c r="AH48" s="2">
        <f>IFERROR(N48/D48,"")</f>
        <v/>
      </c>
      <c r="AI48" s="2">
        <f>IFERROR(O48/E48,"")</f>
        <v/>
      </c>
      <c r="AJ48" s="2">
        <f>IFERROR(P48/F48,"")</f>
        <v/>
      </c>
      <c r="AK48" s="2">
        <f>IFERROR(Q48/B48,"")</f>
        <v/>
      </c>
      <c r="AL48" s="2">
        <f>IFERROR(R48/C48,"")</f>
        <v/>
      </c>
      <c r="AM48" s="2">
        <f>IFERROR(S48/D48,"")</f>
        <v/>
      </c>
      <c r="AN48" s="2">
        <f>IFERROR(T48/E48,"")</f>
        <v/>
      </c>
      <c r="AO48" s="2">
        <f>IFERROR(U48/F48,"")</f>
        <v/>
      </c>
    </row>
    <row r="49">
      <c r="B49">
        <f>IF($A49="","",IFERROR(INDEX('[AQ_2020.xlsx]原始数据'!$B:$B,MATCH($A49,'[AQ_2020.xlsx]原始数据'!$A:$A,0)),""))</f>
        <v/>
      </c>
      <c r="C49">
        <f>IF($A49="","",IFERROR(INDEX('[AQ_2021.xlsx]原始数据'!$B:$B,MATCH($A49,'[AQ_2021.xlsx]原始数据'!$A:$A,0)),""))</f>
        <v/>
      </c>
      <c r="D49">
        <f>IF($A49="","",IFERROR(INDEX('[AQ_2022.xlsx]原始数据'!$B:$B,MATCH($A49,'[AQ_2022.xlsx]原始数据'!$A:$A,0)),""))</f>
        <v/>
      </c>
      <c r="E49">
        <f>IF($A49="","",IFERROR(INDEX('[AQ_2023.xlsx]原始数据'!$B:$B,MATCH($A49,'[AQ_2023.xlsx]原始数据'!$A:$A,0)),""))</f>
        <v/>
      </c>
      <c r="F49">
        <f>IF($A49="","",IFERROR(INDEX('[AQ_2024.xlsx]原始数据'!$B:$B,MATCH($A49,'[AQ_2024.xlsx]原始数据'!$A:$A,0)),""))</f>
        <v/>
      </c>
      <c r="G49">
        <f>IF($A49="","",IFERROR(INDEX('[AQ_2020.xlsx]原始数据'!$C:$C,MATCH($A49,'[AQ_2020.xlsx]原始数据'!$A:$A,0)),""))</f>
        <v/>
      </c>
      <c r="H49">
        <f>IF($A49="","",IFERROR(INDEX('[AQ_2021.xlsx]原始数据'!$C:$C,MATCH($A49,'[AQ_2021.xlsx]原始数据'!$A:$A,0)),""))</f>
        <v/>
      </c>
      <c r="I49">
        <f>IF($A49="","",IFERROR(INDEX('[AQ_2022.xlsx]原始数据'!$C:$C,MATCH($A49,'[AQ_2022.xlsx]原始数据'!$A:$A,0)),""))</f>
        <v/>
      </c>
      <c r="J49">
        <f>IF($A49="","",IFERROR(INDEX('[AQ_2023.xlsx]原始数据'!$C:$C,MATCH($A49,'[AQ_2023.xlsx]原始数据'!$A:$A,0)),""))</f>
        <v/>
      </c>
      <c r="K49">
        <f>IF($A49="","",IFERROR(INDEX('[AQ_2024.xlsx]原始数据'!$C:$C,MATCH($A49,'[AQ_2024.xlsx]原始数据'!$A:$A,0)),""))</f>
        <v/>
      </c>
      <c r="L49">
        <f>IF($A49="","",IFERROR(INDEX('[AQ_2020.xlsx]原始数据'!$D:$D,MATCH($A49,'[AQ_2020.xlsx]原始数据'!$A:$A,0)),""))</f>
        <v/>
      </c>
      <c r="M49">
        <f>IF($A49="","",IFERROR(INDEX('[AQ_2021.xlsx]原始数据'!$D:$D,MATCH($A49,'[AQ_2021.xlsx]原始数据'!$A:$A,0)),""))</f>
        <v/>
      </c>
      <c r="N49">
        <f>IF($A49="","",IFERROR(INDEX('[AQ_2022.xlsx]原始数据'!$D:$D,MATCH($A49,'[AQ_2022.xlsx]原始数据'!$A:$A,0)),""))</f>
        <v/>
      </c>
      <c r="O49">
        <f>IF($A49="","",IFERROR(INDEX('[AQ_2023.xlsx]原始数据'!$D:$D,MATCH($A49,'[AQ_2023.xlsx]原始数据'!$A:$A,0)),""))</f>
        <v/>
      </c>
      <c r="P49">
        <f>IF($A49="","",IFERROR(INDEX('[AQ_2024.xlsx]原始数据'!$D:$D,MATCH($A49,'[AQ_2024.xlsx]原始数据'!$A:$A,0)),""))</f>
        <v/>
      </c>
      <c r="Q49">
        <f>IF($A49="","",IFERROR(INDEX('[AQ_2020.xlsx]原始数据'!$E:$E,MATCH($A49,'[AQ_2020.xlsx]原始数据'!$A:$A,0)),""))</f>
        <v/>
      </c>
      <c r="R49">
        <f>IF($A49="","",IFERROR(INDEX('[AQ_2021.xlsx]原始数据'!$E:$E,MATCH($A49,'[AQ_2021.xlsx]原始数据'!$A:$A,0)),""))</f>
        <v/>
      </c>
      <c r="S49">
        <f>IF($A49="","",IFERROR(INDEX('[AQ_2022.xlsx]原始数据'!$E:$E,MATCH($A49,'[AQ_2022.xlsx]原始数据'!$A:$A,0)),""))</f>
        <v/>
      </c>
      <c r="T49">
        <f>IF($A49="","",IFERROR(INDEX('[AQ_2023.xlsx]原始数据'!$E:$E,MATCH($A49,'[AQ_2023.xlsx]原始数据'!$A:$A,0)),""))</f>
        <v/>
      </c>
      <c r="U49">
        <f>IF($A49="","",IFERROR(INDEX('[AQ_2024.xlsx]原始数据'!$E:$E,MATCH($A49,'[AQ_2024.xlsx]原始数据'!$A:$A,0)),""))</f>
        <v/>
      </c>
      <c r="V49">
        <f>IF($A49="","",IFERROR(INDEX('[AQ_2020.xlsx]原始数据'!$F:$F,MATCH($A49,'[AQ_2020.xlsx]原始数据'!$A:$A,0)),""))</f>
        <v/>
      </c>
      <c r="W49">
        <f>IF($A49="","",IFERROR(INDEX('[AQ_2021.xlsx]原始数据'!$F:$F,MATCH($A49,'[AQ_2021.xlsx]原始数据'!$A:$A,0)),""))</f>
        <v/>
      </c>
      <c r="X49">
        <f>IF($A49="","",IFERROR(INDEX('[AQ_2022.xlsx]原始数据'!$F:$F,MATCH($A49,'[AQ_2022.xlsx]原始数据'!$A:$A,0)),""))</f>
        <v/>
      </c>
      <c r="Y49">
        <f>IF($A49="","",IFERROR(INDEX('[AQ_2023.xlsx]原始数据'!$F:$F,MATCH($A49,'[AQ_2023.xlsx]原始数据'!$A:$A,0)),""))</f>
        <v/>
      </c>
      <c r="Z49">
        <f>IF($A49="","",IFERROR(INDEX('[AQ_2024.xlsx]原始数据'!$F:$F,MATCH($A49,'[AQ_2024.xlsx]原始数据'!$A:$A,0)),""))</f>
        <v/>
      </c>
      <c r="AA49" s="2">
        <f>IFERROR(G49/B49,"")</f>
        <v/>
      </c>
      <c r="AB49" s="2">
        <f>IFERROR(H49/C49,"")</f>
        <v/>
      </c>
      <c r="AC49" s="2">
        <f>IFERROR(I49/D49,"")</f>
        <v/>
      </c>
      <c r="AD49" s="2">
        <f>IFERROR(J49/E49,"")</f>
        <v/>
      </c>
      <c r="AE49" s="2">
        <f>IFERROR(K49/F49,"")</f>
        <v/>
      </c>
      <c r="AF49" s="2">
        <f>IFERROR(L49/B49,"")</f>
        <v/>
      </c>
      <c r="AG49" s="2">
        <f>IFERROR(M49/C49,"")</f>
        <v/>
      </c>
      <c r="AH49" s="2">
        <f>IFERROR(N49/D49,"")</f>
        <v/>
      </c>
      <c r="AI49" s="2">
        <f>IFERROR(O49/E49,"")</f>
        <v/>
      </c>
      <c r="AJ49" s="2">
        <f>IFERROR(P49/F49,"")</f>
        <v/>
      </c>
      <c r="AK49" s="2">
        <f>IFERROR(Q49/B49,"")</f>
        <v/>
      </c>
      <c r="AL49" s="2">
        <f>IFERROR(R49/C49,"")</f>
        <v/>
      </c>
      <c r="AM49" s="2">
        <f>IFERROR(S49/D49,"")</f>
        <v/>
      </c>
      <c r="AN49" s="2">
        <f>IFERROR(T49/E49,"")</f>
        <v/>
      </c>
      <c r="AO49" s="2">
        <f>IFERROR(U49/F49,"")</f>
        <v/>
      </c>
    </row>
    <row r="50">
      <c r="B50">
        <f>IF($A50="","",IFERROR(INDEX('[AQ_2020.xlsx]原始数据'!$B:$B,MATCH($A50,'[AQ_2020.xlsx]原始数据'!$A:$A,0)),""))</f>
        <v/>
      </c>
      <c r="C50">
        <f>IF($A50="","",IFERROR(INDEX('[AQ_2021.xlsx]原始数据'!$B:$B,MATCH($A50,'[AQ_2021.xlsx]原始数据'!$A:$A,0)),""))</f>
        <v/>
      </c>
      <c r="D50">
        <f>IF($A50="","",IFERROR(INDEX('[AQ_2022.xlsx]原始数据'!$B:$B,MATCH($A50,'[AQ_2022.xlsx]原始数据'!$A:$A,0)),""))</f>
        <v/>
      </c>
      <c r="E50">
        <f>IF($A50="","",IFERROR(INDEX('[AQ_2023.xlsx]原始数据'!$B:$B,MATCH($A50,'[AQ_2023.xlsx]原始数据'!$A:$A,0)),""))</f>
        <v/>
      </c>
      <c r="F50">
        <f>IF($A50="","",IFERROR(INDEX('[AQ_2024.xlsx]原始数据'!$B:$B,MATCH($A50,'[AQ_2024.xlsx]原始数据'!$A:$A,0)),""))</f>
        <v/>
      </c>
      <c r="G50">
        <f>IF($A50="","",IFERROR(INDEX('[AQ_2020.xlsx]原始数据'!$C:$C,MATCH($A50,'[AQ_2020.xlsx]原始数据'!$A:$A,0)),""))</f>
        <v/>
      </c>
      <c r="H50">
        <f>IF($A50="","",IFERROR(INDEX('[AQ_2021.xlsx]原始数据'!$C:$C,MATCH($A50,'[AQ_2021.xlsx]原始数据'!$A:$A,0)),""))</f>
        <v/>
      </c>
      <c r="I50">
        <f>IF($A50="","",IFERROR(INDEX('[AQ_2022.xlsx]原始数据'!$C:$C,MATCH($A50,'[AQ_2022.xlsx]原始数据'!$A:$A,0)),""))</f>
        <v/>
      </c>
      <c r="J50">
        <f>IF($A50="","",IFERROR(INDEX('[AQ_2023.xlsx]原始数据'!$C:$C,MATCH($A50,'[AQ_2023.xlsx]原始数据'!$A:$A,0)),""))</f>
        <v/>
      </c>
      <c r="K50">
        <f>IF($A50="","",IFERROR(INDEX('[AQ_2024.xlsx]原始数据'!$C:$C,MATCH($A50,'[AQ_2024.xlsx]原始数据'!$A:$A,0)),""))</f>
        <v/>
      </c>
      <c r="L50">
        <f>IF($A50="","",IFERROR(INDEX('[AQ_2020.xlsx]原始数据'!$D:$D,MATCH($A50,'[AQ_2020.xlsx]原始数据'!$A:$A,0)),""))</f>
        <v/>
      </c>
      <c r="M50">
        <f>IF($A50="","",IFERROR(INDEX('[AQ_2021.xlsx]原始数据'!$D:$D,MATCH($A50,'[AQ_2021.xlsx]原始数据'!$A:$A,0)),""))</f>
        <v/>
      </c>
      <c r="N50">
        <f>IF($A50="","",IFERROR(INDEX('[AQ_2022.xlsx]原始数据'!$D:$D,MATCH($A50,'[AQ_2022.xlsx]原始数据'!$A:$A,0)),""))</f>
        <v/>
      </c>
      <c r="O50">
        <f>IF($A50="","",IFERROR(INDEX('[AQ_2023.xlsx]原始数据'!$D:$D,MATCH($A50,'[AQ_2023.xlsx]原始数据'!$A:$A,0)),""))</f>
        <v/>
      </c>
      <c r="P50">
        <f>IF($A50="","",IFERROR(INDEX('[AQ_2024.xlsx]原始数据'!$D:$D,MATCH($A50,'[AQ_2024.xlsx]原始数据'!$A:$A,0)),""))</f>
        <v/>
      </c>
      <c r="Q50">
        <f>IF($A50="","",IFERROR(INDEX('[AQ_2020.xlsx]原始数据'!$E:$E,MATCH($A50,'[AQ_2020.xlsx]原始数据'!$A:$A,0)),""))</f>
        <v/>
      </c>
      <c r="R50">
        <f>IF($A50="","",IFERROR(INDEX('[AQ_2021.xlsx]原始数据'!$E:$E,MATCH($A50,'[AQ_2021.xlsx]原始数据'!$A:$A,0)),""))</f>
        <v/>
      </c>
      <c r="S50">
        <f>IF($A50="","",IFERROR(INDEX('[AQ_2022.xlsx]原始数据'!$E:$E,MATCH($A50,'[AQ_2022.xlsx]原始数据'!$A:$A,0)),""))</f>
        <v/>
      </c>
      <c r="T50">
        <f>IF($A50="","",IFERROR(INDEX('[AQ_2023.xlsx]原始数据'!$E:$E,MATCH($A50,'[AQ_2023.xlsx]原始数据'!$A:$A,0)),""))</f>
        <v/>
      </c>
      <c r="U50">
        <f>IF($A50="","",IFERROR(INDEX('[AQ_2024.xlsx]原始数据'!$E:$E,MATCH($A50,'[AQ_2024.xlsx]原始数据'!$A:$A,0)),""))</f>
        <v/>
      </c>
      <c r="V50">
        <f>IF($A50="","",IFERROR(INDEX('[AQ_2020.xlsx]原始数据'!$F:$F,MATCH($A50,'[AQ_2020.xlsx]原始数据'!$A:$A,0)),""))</f>
        <v/>
      </c>
      <c r="W50">
        <f>IF($A50="","",IFERROR(INDEX('[AQ_2021.xlsx]原始数据'!$F:$F,MATCH($A50,'[AQ_2021.xlsx]原始数据'!$A:$A,0)),""))</f>
        <v/>
      </c>
      <c r="X50">
        <f>IF($A50="","",IFERROR(INDEX('[AQ_2022.xlsx]原始数据'!$F:$F,MATCH($A50,'[AQ_2022.xlsx]原始数据'!$A:$A,0)),""))</f>
        <v/>
      </c>
      <c r="Y50">
        <f>IF($A50="","",IFERROR(INDEX('[AQ_2023.xlsx]原始数据'!$F:$F,MATCH($A50,'[AQ_2023.xlsx]原始数据'!$A:$A,0)),""))</f>
        <v/>
      </c>
      <c r="Z50">
        <f>IF($A50="","",IFERROR(INDEX('[AQ_2024.xlsx]原始数据'!$F:$F,MATCH($A50,'[AQ_2024.xlsx]原始数据'!$A:$A,0)),""))</f>
        <v/>
      </c>
      <c r="AA50" s="2">
        <f>IFERROR(G50/B50,"")</f>
        <v/>
      </c>
      <c r="AB50" s="2">
        <f>IFERROR(H50/C50,"")</f>
        <v/>
      </c>
      <c r="AC50" s="2">
        <f>IFERROR(I50/D50,"")</f>
        <v/>
      </c>
      <c r="AD50" s="2">
        <f>IFERROR(J50/E50,"")</f>
        <v/>
      </c>
      <c r="AE50" s="2">
        <f>IFERROR(K50/F50,"")</f>
        <v/>
      </c>
      <c r="AF50" s="2">
        <f>IFERROR(L50/B50,"")</f>
        <v/>
      </c>
      <c r="AG50" s="2">
        <f>IFERROR(M50/C50,"")</f>
        <v/>
      </c>
      <c r="AH50" s="2">
        <f>IFERROR(N50/D50,"")</f>
        <v/>
      </c>
      <c r="AI50" s="2">
        <f>IFERROR(O50/E50,"")</f>
        <v/>
      </c>
      <c r="AJ50" s="2">
        <f>IFERROR(P50/F50,"")</f>
        <v/>
      </c>
      <c r="AK50" s="2">
        <f>IFERROR(Q50/B50,"")</f>
        <v/>
      </c>
      <c r="AL50" s="2">
        <f>IFERROR(R50/C50,"")</f>
        <v/>
      </c>
      <c r="AM50" s="2">
        <f>IFERROR(S50/D50,"")</f>
        <v/>
      </c>
      <c r="AN50" s="2">
        <f>IFERROR(T50/E50,"")</f>
        <v/>
      </c>
      <c r="AO50" s="2">
        <f>IFERROR(U50/F50,"")</f>
        <v/>
      </c>
    </row>
    <row r="51">
      <c r="B51">
        <f>IF($A51="","",IFERROR(INDEX('[AQ_2020.xlsx]原始数据'!$B:$B,MATCH($A51,'[AQ_2020.xlsx]原始数据'!$A:$A,0)),""))</f>
        <v/>
      </c>
      <c r="C51">
        <f>IF($A51="","",IFERROR(INDEX('[AQ_2021.xlsx]原始数据'!$B:$B,MATCH($A51,'[AQ_2021.xlsx]原始数据'!$A:$A,0)),""))</f>
        <v/>
      </c>
      <c r="D51">
        <f>IF($A51="","",IFERROR(INDEX('[AQ_2022.xlsx]原始数据'!$B:$B,MATCH($A51,'[AQ_2022.xlsx]原始数据'!$A:$A,0)),""))</f>
        <v/>
      </c>
      <c r="E51">
        <f>IF($A51="","",IFERROR(INDEX('[AQ_2023.xlsx]原始数据'!$B:$B,MATCH($A51,'[AQ_2023.xlsx]原始数据'!$A:$A,0)),""))</f>
        <v/>
      </c>
      <c r="F51">
        <f>IF($A51="","",IFERROR(INDEX('[AQ_2024.xlsx]原始数据'!$B:$B,MATCH($A51,'[AQ_2024.xlsx]原始数据'!$A:$A,0)),""))</f>
        <v/>
      </c>
      <c r="G51">
        <f>IF($A51="","",IFERROR(INDEX('[AQ_2020.xlsx]原始数据'!$C:$C,MATCH($A51,'[AQ_2020.xlsx]原始数据'!$A:$A,0)),""))</f>
        <v/>
      </c>
      <c r="H51">
        <f>IF($A51="","",IFERROR(INDEX('[AQ_2021.xlsx]原始数据'!$C:$C,MATCH($A51,'[AQ_2021.xlsx]原始数据'!$A:$A,0)),""))</f>
        <v/>
      </c>
      <c r="I51">
        <f>IF($A51="","",IFERROR(INDEX('[AQ_2022.xlsx]原始数据'!$C:$C,MATCH($A51,'[AQ_2022.xlsx]原始数据'!$A:$A,0)),""))</f>
        <v/>
      </c>
      <c r="J51">
        <f>IF($A51="","",IFERROR(INDEX('[AQ_2023.xlsx]原始数据'!$C:$C,MATCH($A51,'[AQ_2023.xlsx]原始数据'!$A:$A,0)),""))</f>
        <v/>
      </c>
      <c r="K51">
        <f>IF($A51="","",IFERROR(INDEX('[AQ_2024.xlsx]原始数据'!$C:$C,MATCH($A51,'[AQ_2024.xlsx]原始数据'!$A:$A,0)),""))</f>
        <v/>
      </c>
      <c r="L51">
        <f>IF($A51="","",IFERROR(INDEX('[AQ_2020.xlsx]原始数据'!$D:$D,MATCH($A51,'[AQ_2020.xlsx]原始数据'!$A:$A,0)),""))</f>
        <v/>
      </c>
      <c r="M51">
        <f>IF($A51="","",IFERROR(INDEX('[AQ_2021.xlsx]原始数据'!$D:$D,MATCH($A51,'[AQ_2021.xlsx]原始数据'!$A:$A,0)),""))</f>
        <v/>
      </c>
      <c r="N51">
        <f>IF($A51="","",IFERROR(INDEX('[AQ_2022.xlsx]原始数据'!$D:$D,MATCH($A51,'[AQ_2022.xlsx]原始数据'!$A:$A,0)),""))</f>
        <v/>
      </c>
      <c r="O51">
        <f>IF($A51="","",IFERROR(INDEX('[AQ_2023.xlsx]原始数据'!$D:$D,MATCH($A51,'[AQ_2023.xlsx]原始数据'!$A:$A,0)),""))</f>
        <v/>
      </c>
      <c r="P51">
        <f>IF($A51="","",IFERROR(INDEX('[AQ_2024.xlsx]原始数据'!$D:$D,MATCH($A51,'[AQ_2024.xlsx]原始数据'!$A:$A,0)),""))</f>
        <v/>
      </c>
      <c r="Q51">
        <f>IF($A51="","",IFERROR(INDEX('[AQ_2020.xlsx]原始数据'!$E:$E,MATCH($A51,'[AQ_2020.xlsx]原始数据'!$A:$A,0)),""))</f>
        <v/>
      </c>
      <c r="R51">
        <f>IF($A51="","",IFERROR(INDEX('[AQ_2021.xlsx]原始数据'!$E:$E,MATCH($A51,'[AQ_2021.xlsx]原始数据'!$A:$A,0)),""))</f>
        <v/>
      </c>
      <c r="S51">
        <f>IF($A51="","",IFERROR(INDEX('[AQ_2022.xlsx]原始数据'!$E:$E,MATCH($A51,'[AQ_2022.xlsx]原始数据'!$A:$A,0)),""))</f>
        <v/>
      </c>
      <c r="T51">
        <f>IF($A51="","",IFERROR(INDEX('[AQ_2023.xlsx]原始数据'!$E:$E,MATCH($A51,'[AQ_2023.xlsx]原始数据'!$A:$A,0)),""))</f>
        <v/>
      </c>
      <c r="U51">
        <f>IF($A51="","",IFERROR(INDEX('[AQ_2024.xlsx]原始数据'!$E:$E,MATCH($A51,'[AQ_2024.xlsx]原始数据'!$A:$A,0)),""))</f>
        <v/>
      </c>
      <c r="V51">
        <f>IF($A51="","",IFERROR(INDEX('[AQ_2020.xlsx]原始数据'!$F:$F,MATCH($A51,'[AQ_2020.xlsx]原始数据'!$A:$A,0)),""))</f>
        <v/>
      </c>
      <c r="W51">
        <f>IF($A51="","",IFERROR(INDEX('[AQ_2021.xlsx]原始数据'!$F:$F,MATCH($A51,'[AQ_2021.xlsx]原始数据'!$A:$A,0)),""))</f>
        <v/>
      </c>
      <c r="X51">
        <f>IF($A51="","",IFERROR(INDEX('[AQ_2022.xlsx]原始数据'!$F:$F,MATCH($A51,'[AQ_2022.xlsx]原始数据'!$A:$A,0)),""))</f>
        <v/>
      </c>
      <c r="Y51">
        <f>IF($A51="","",IFERROR(INDEX('[AQ_2023.xlsx]原始数据'!$F:$F,MATCH($A51,'[AQ_2023.xlsx]原始数据'!$A:$A,0)),""))</f>
        <v/>
      </c>
      <c r="Z51">
        <f>IF($A51="","",IFERROR(INDEX('[AQ_2024.xlsx]原始数据'!$F:$F,MATCH($A51,'[AQ_2024.xlsx]原始数据'!$A:$A,0)),""))</f>
        <v/>
      </c>
      <c r="AA51" s="2">
        <f>IFERROR(G51/B51,"")</f>
        <v/>
      </c>
      <c r="AB51" s="2">
        <f>IFERROR(H51/C51,"")</f>
        <v/>
      </c>
      <c r="AC51" s="2">
        <f>IFERROR(I51/D51,"")</f>
        <v/>
      </c>
      <c r="AD51" s="2">
        <f>IFERROR(J51/E51,"")</f>
        <v/>
      </c>
      <c r="AE51" s="2">
        <f>IFERROR(K51/F51,"")</f>
        <v/>
      </c>
      <c r="AF51" s="2">
        <f>IFERROR(L51/B51,"")</f>
        <v/>
      </c>
      <c r="AG51" s="2">
        <f>IFERROR(M51/C51,"")</f>
        <v/>
      </c>
      <c r="AH51" s="2">
        <f>IFERROR(N51/D51,"")</f>
        <v/>
      </c>
      <c r="AI51" s="2">
        <f>IFERROR(O51/E51,"")</f>
        <v/>
      </c>
      <c r="AJ51" s="2">
        <f>IFERROR(P51/F51,"")</f>
        <v/>
      </c>
      <c r="AK51" s="2">
        <f>IFERROR(Q51/B51,"")</f>
        <v/>
      </c>
      <c r="AL51" s="2">
        <f>IFERROR(R51/C51,"")</f>
        <v/>
      </c>
      <c r="AM51" s="2">
        <f>IFERROR(S51/D51,"")</f>
        <v/>
      </c>
      <c r="AN51" s="2">
        <f>IFERROR(T51/E51,"")</f>
        <v/>
      </c>
      <c r="AO51" s="2">
        <f>IFERROR(U51/F51,"")</f>
        <v/>
      </c>
    </row>
    <row r="52">
      <c r="B52">
        <f>IF($A52="","",IFERROR(INDEX('[AQ_2020.xlsx]原始数据'!$B:$B,MATCH($A52,'[AQ_2020.xlsx]原始数据'!$A:$A,0)),""))</f>
        <v/>
      </c>
      <c r="C52">
        <f>IF($A52="","",IFERROR(INDEX('[AQ_2021.xlsx]原始数据'!$B:$B,MATCH($A52,'[AQ_2021.xlsx]原始数据'!$A:$A,0)),""))</f>
        <v/>
      </c>
      <c r="D52">
        <f>IF($A52="","",IFERROR(INDEX('[AQ_2022.xlsx]原始数据'!$B:$B,MATCH($A52,'[AQ_2022.xlsx]原始数据'!$A:$A,0)),""))</f>
        <v/>
      </c>
      <c r="E52">
        <f>IF($A52="","",IFERROR(INDEX('[AQ_2023.xlsx]原始数据'!$B:$B,MATCH($A52,'[AQ_2023.xlsx]原始数据'!$A:$A,0)),""))</f>
        <v/>
      </c>
      <c r="F52">
        <f>IF($A52="","",IFERROR(INDEX('[AQ_2024.xlsx]原始数据'!$B:$B,MATCH($A52,'[AQ_2024.xlsx]原始数据'!$A:$A,0)),""))</f>
        <v/>
      </c>
      <c r="G52">
        <f>IF($A52="","",IFERROR(INDEX('[AQ_2020.xlsx]原始数据'!$C:$C,MATCH($A52,'[AQ_2020.xlsx]原始数据'!$A:$A,0)),""))</f>
        <v/>
      </c>
      <c r="H52">
        <f>IF($A52="","",IFERROR(INDEX('[AQ_2021.xlsx]原始数据'!$C:$C,MATCH($A52,'[AQ_2021.xlsx]原始数据'!$A:$A,0)),""))</f>
        <v/>
      </c>
      <c r="I52">
        <f>IF($A52="","",IFERROR(INDEX('[AQ_2022.xlsx]原始数据'!$C:$C,MATCH($A52,'[AQ_2022.xlsx]原始数据'!$A:$A,0)),""))</f>
        <v/>
      </c>
      <c r="J52">
        <f>IF($A52="","",IFERROR(INDEX('[AQ_2023.xlsx]原始数据'!$C:$C,MATCH($A52,'[AQ_2023.xlsx]原始数据'!$A:$A,0)),""))</f>
        <v/>
      </c>
      <c r="K52">
        <f>IF($A52="","",IFERROR(INDEX('[AQ_2024.xlsx]原始数据'!$C:$C,MATCH($A52,'[AQ_2024.xlsx]原始数据'!$A:$A,0)),""))</f>
        <v/>
      </c>
      <c r="L52">
        <f>IF($A52="","",IFERROR(INDEX('[AQ_2020.xlsx]原始数据'!$D:$D,MATCH($A52,'[AQ_2020.xlsx]原始数据'!$A:$A,0)),""))</f>
        <v/>
      </c>
      <c r="M52">
        <f>IF($A52="","",IFERROR(INDEX('[AQ_2021.xlsx]原始数据'!$D:$D,MATCH($A52,'[AQ_2021.xlsx]原始数据'!$A:$A,0)),""))</f>
        <v/>
      </c>
      <c r="N52">
        <f>IF($A52="","",IFERROR(INDEX('[AQ_2022.xlsx]原始数据'!$D:$D,MATCH($A52,'[AQ_2022.xlsx]原始数据'!$A:$A,0)),""))</f>
        <v/>
      </c>
      <c r="O52">
        <f>IF($A52="","",IFERROR(INDEX('[AQ_2023.xlsx]原始数据'!$D:$D,MATCH($A52,'[AQ_2023.xlsx]原始数据'!$A:$A,0)),""))</f>
        <v/>
      </c>
      <c r="P52">
        <f>IF($A52="","",IFERROR(INDEX('[AQ_2024.xlsx]原始数据'!$D:$D,MATCH($A52,'[AQ_2024.xlsx]原始数据'!$A:$A,0)),""))</f>
        <v/>
      </c>
      <c r="Q52">
        <f>IF($A52="","",IFERROR(INDEX('[AQ_2020.xlsx]原始数据'!$E:$E,MATCH($A52,'[AQ_2020.xlsx]原始数据'!$A:$A,0)),""))</f>
        <v/>
      </c>
      <c r="R52">
        <f>IF($A52="","",IFERROR(INDEX('[AQ_2021.xlsx]原始数据'!$E:$E,MATCH($A52,'[AQ_2021.xlsx]原始数据'!$A:$A,0)),""))</f>
        <v/>
      </c>
      <c r="S52">
        <f>IF($A52="","",IFERROR(INDEX('[AQ_2022.xlsx]原始数据'!$E:$E,MATCH($A52,'[AQ_2022.xlsx]原始数据'!$A:$A,0)),""))</f>
        <v/>
      </c>
      <c r="T52">
        <f>IF($A52="","",IFERROR(INDEX('[AQ_2023.xlsx]原始数据'!$E:$E,MATCH($A52,'[AQ_2023.xlsx]原始数据'!$A:$A,0)),""))</f>
        <v/>
      </c>
      <c r="U52">
        <f>IF($A52="","",IFERROR(INDEX('[AQ_2024.xlsx]原始数据'!$E:$E,MATCH($A52,'[AQ_2024.xlsx]原始数据'!$A:$A,0)),""))</f>
        <v/>
      </c>
      <c r="V52">
        <f>IF($A52="","",IFERROR(INDEX('[AQ_2020.xlsx]原始数据'!$F:$F,MATCH($A52,'[AQ_2020.xlsx]原始数据'!$A:$A,0)),""))</f>
        <v/>
      </c>
      <c r="W52">
        <f>IF($A52="","",IFERROR(INDEX('[AQ_2021.xlsx]原始数据'!$F:$F,MATCH($A52,'[AQ_2021.xlsx]原始数据'!$A:$A,0)),""))</f>
        <v/>
      </c>
      <c r="X52">
        <f>IF($A52="","",IFERROR(INDEX('[AQ_2022.xlsx]原始数据'!$F:$F,MATCH($A52,'[AQ_2022.xlsx]原始数据'!$A:$A,0)),""))</f>
        <v/>
      </c>
      <c r="Y52">
        <f>IF($A52="","",IFERROR(INDEX('[AQ_2023.xlsx]原始数据'!$F:$F,MATCH($A52,'[AQ_2023.xlsx]原始数据'!$A:$A,0)),""))</f>
        <v/>
      </c>
      <c r="Z52">
        <f>IF($A52="","",IFERROR(INDEX('[AQ_2024.xlsx]原始数据'!$F:$F,MATCH($A52,'[AQ_2024.xlsx]原始数据'!$A:$A,0)),""))</f>
        <v/>
      </c>
      <c r="AA52" s="2">
        <f>IFERROR(G52/B52,"")</f>
        <v/>
      </c>
      <c r="AB52" s="2">
        <f>IFERROR(H52/C52,"")</f>
        <v/>
      </c>
      <c r="AC52" s="2">
        <f>IFERROR(I52/D52,"")</f>
        <v/>
      </c>
      <c r="AD52" s="2">
        <f>IFERROR(J52/E52,"")</f>
        <v/>
      </c>
      <c r="AE52" s="2">
        <f>IFERROR(K52/F52,"")</f>
        <v/>
      </c>
      <c r="AF52" s="2">
        <f>IFERROR(L52/B52,"")</f>
        <v/>
      </c>
      <c r="AG52" s="2">
        <f>IFERROR(M52/C52,"")</f>
        <v/>
      </c>
      <c r="AH52" s="2">
        <f>IFERROR(N52/D52,"")</f>
        <v/>
      </c>
      <c r="AI52" s="2">
        <f>IFERROR(O52/E52,"")</f>
        <v/>
      </c>
      <c r="AJ52" s="2">
        <f>IFERROR(P52/F52,"")</f>
        <v/>
      </c>
      <c r="AK52" s="2">
        <f>IFERROR(Q52/B52,"")</f>
        <v/>
      </c>
      <c r="AL52" s="2">
        <f>IFERROR(R52/C52,"")</f>
        <v/>
      </c>
      <c r="AM52" s="2">
        <f>IFERROR(S52/D52,"")</f>
        <v/>
      </c>
      <c r="AN52" s="2">
        <f>IFERROR(T52/E52,"")</f>
        <v/>
      </c>
      <c r="AO52" s="2">
        <f>IFERROR(U52/F52,"")</f>
        <v/>
      </c>
    </row>
    <row r="53">
      <c r="B53">
        <f>IF($A53="","",IFERROR(INDEX('[AQ_2020.xlsx]原始数据'!$B:$B,MATCH($A53,'[AQ_2020.xlsx]原始数据'!$A:$A,0)),""))</f>
        <v/>
      </c>
      <c r="C53">
        <f>IF($A53="","",IFERROR(INDEX('[AQ_2021.xlsx]原始数据'!$B:$B,MATCH($A53,'[AQ_2021.xlsx]原始数据'!$A:$A,0)),""))</f>
        <v/>
      </c>
      <c r="D53">
        <f>IF($A53="","",IFERROR(INDEX('[AQ_2022.xlsx]原始数据'!$B:$B,MATCH($A53,'[AQ_2022.xlsx]原始数据'!$A:$A,0)),""))</f>
        <v/>
      </c>
      <c r="E53">
        <f>IF($A53="","",IFERROR(INDEX('[AQ_2023.xlsx]原始数据'!$B:$B,MATCH($A53,'[AQ_2023.xlsx]原始数据'!$A:$A,0)),""))</f>
        <v/>
      </c>
      <c r="F53">
        <f>IF($A53="","",IFERROR(INDEX('[AQ_2024.xlsx]原始数据'!$B:$B,MATCH($A53,'[AQ_2024.xlsx]原始数据'!$A:$A,0)),""))</f>
        <v/>
      </c>
      <c r="G53">
        <f>IF($A53="","",IFERROR(INDEX('[AQ_2020.xlsx]原始数据'!$C:$C,MATCH($A53,'[AQ_2020.xlsx]原始数据'!$A:$A,0)),""))</f>
        <v/>
      </c>
      <c r="H53">
        <f>IF($A53="","",IFERROR(INDEX('[AQ_2021.xlsx]原始数据'!$C:$C,MATCH($A53,'[AQ_2021.xlsx]原始数据'!$A:$A,0)),""))</f>
        <v/>
      </c>
      <c r="I53">
        <f>IF($A53="","",IFERROR(INDEX('[AQ_2022.xlsx]原始数据'!$C:$C,MATCH($A53,'[AQ_2022.xlsx]原始数据'!$A:$A,0)),""))</f>
        <v/>
      </c>
      <c r="J53">
        <f>IF($A53="","",IFERROR(INDEX('[AQ_2023.xlsx]原始数据'!$C:$C,MATCH($A53,'[AQ_2023.xlsx]原始数据'!$A:$A,0)),""))</f>
        <v/>
      </c>
      <c r="K53">
        <f>IF($A53="","",IFERROR(INDEX('[AQ_2024.xlsx]原始数据'!$C:$C,MATCH($A53,'[AQ_2024.xlsx]原始数据'!$A:$A,0)),""))</f>
        <v/>
      </c>
      <c r="L53">
        <f>IF($A53="","",IFERROR(INDEX('[AQ_2020.xlsx]原始数据'!$D:$D,MATCH($A53,'[AQ_2020.xlsx]原始数据'!$A:$A,0)),""))</f>
        <v/>
      </c>
      <c r="M53">
        <f>IF($A53="","",IFERROR(INDEX('[AQ_2021.xlsx]原始数据'!$D:$D,MATCH($A53,'[AQ_2021.xlsx]原始数据'!$A:$A,0)),""))</f>
        <v/>
      </c>
      <c r="N53">
        <f>IF($A53="","",IFERROR(INDEX('[AQ_2022.xlsx]原始数据'!$D:$D,MATCH($A53,'[AQ_2022.xlsx]原始数据'!$A:$A,0)),""))</f>
        <v/>
      </c>
      <c r="O53">
        <f>IF($A53="","",IFERROR(INDEX('[AQ_2023.xlsx]原始数据'!$D:$D,MATCH($A53,'[AQ_2023.xlsx]原始数据'!$A:$A,0)),""))</f>
        <v/>
      </c>
      <c r="P53">
        <f>IF($A53="","",IFERROR(INDEX('[AQ_2024.xlsx]原始数据'!$D:$D,MATCH($A53,'[AQ_2024.xlsx]原始数据'!$A:$A,0)),""))</f>
        <v/>
      </c>
      <c r="Q53">
        <f>IF($A53="","",IFERROR(INDEX('[AQ_2020.xlsx]原始数据'!$E:$E,MATCH($A53,'[AQ_2020.xlsx]原始数据'!$A:$A,0)),""))</f>
        <v/>
      </c>
      <c r="R53">
        <f>IF($A53="","",IFERROR(INDEX('[AQ_2021.xlsx]原始数据'!$E:$E,MATCH($A53,'[AQ_2021.xlsx]原始数据'!$A:$A,0)),""))</f>
        <v/>
      </c>
      <c r="S53">
        <f>IF($A53="","",IFERROR(INDEX('[AQ_2022.xlsx]原始数据'!$E:$E,MATCH($A53,'[AQ_2022.xlsx]原始数据'!$A:$A,0)),""))</f>
        <v/>
      </c>
      <c r="T53">
        <f>IF($A53="","",IFERROR(INDEX('[AQ_2023.xlsx]原始数据'!$E:$E,MATCH($A53,'[AQ_2023.xlsx]原始数据'!$A:$A,0)),""))</f>
        <v/>
      </c>
      <c r="U53">
        <f>IF($A53="","",IFERROR(INDEX('[AQ_2024.xlsx]原始数据'!$E:$E,MATCH($A53,'[AQ_2024.xlsx]原始数据'!$A:$A,0)),""))</f>
        <v/>
      </c>
      <c r="V53">
        <f>IF($A53="","",IFERROR(INDEX('[AQ_2020.xlsx]原始数据'!$F:$F,MATCH($A53,'[AQ_2020.xlsx]原始数据'!$A:$A,0)),""))</f>
        <v/>
      </c>
      <c r="W53">
        <f>IF($A53="","",IFERROR(INDEX('[AQ_2021.xlsx]原始数据'!$F:$F,MATCH($A53,'[AQ_2021.xlsx]原始数据'!$A:$A,0)),""))</f>
        <v/>
      </c>
      <c r="X53">
        <f>IF($A53="","",IFERROR(INDEX('[AQ_2022.xlsx]原始数据'!$F:$F,MATCH($A53,'[AQ_2022.xlsx]原始数据'!$A:$A,0)),""))</f>
        <v/>
      </c>
      <c r="Y53">
        <f>IF($A53="","",IFERROR(INDEX('[AQ_2023.xlsx]原始数据'!$F:$F,MATCH($A53,'[AQ_2023.xlsx]原始数据'!$A:$A,0)),""))</f>
        <v/>
      </c>
      <c r="Z53">
        <f>IF($A53="","",IFERROR(INDEX('[AQ_2024.xlsx]原始数据'!$F:$F,MATCH($A53,'[AQ_2024.xlsx]原始数据'!$A:$A,0)),""))</f>
        <v/>
      </c>
      <c r="AA53" s="2">
        <f>IFERROR(G53/B53,"")</f>
        <v/>
      </c>
      <c r="AB53" s="2">
        <f>IFERROR(H53/C53,"")</f>
        <v/>
      </c>
      <c r="AC53" s="2">
        <f>IFERROR(I53/D53,"")</f>
        <v/>
      </c>
      <c r="AD53" s="2">
        <f>IFERROR(J53/E53,"")</f>
        <v/>
      </c>
      <c r="AE53" s="2">
        <f>IFERROR(K53/F53,"")</f>
        <v/>
      </c>
      <c r="AF53" s="2">
        <f>IFERROR(L53/B53,"")</f>
        <v/>
      </c>
      <c r="AG53" s="2">
        <f>IFERROR(M53/C53,"")</f>
        <v/>
      </c>
      <c r="AH53" s="2">
        <f>IFERROR(N53/D53,"")</f>
        <v/>
      </c>
      <c r="AI53" s="2">
        <f>IFERROR(O53/E53,"")</f>
        <v/>
      </c>
      <c r="AJ53" s="2">
        <f>IFERROR(P53/F53,"")</f>
        <v/>
      </c>
      <c r="AK53" s="2">
        <f>IFERROR(Q53/B53,"")</f>
        <v/>
      </c>
      <c r="AL53" s="2">
        <f>IFERROR(R53/C53,"")</f>
        <v/>
      </c>
      <c r="AM53" s="2">
        <f>IFERROR(S53/D53,"")</f>
        <v/>
      </c>
      <c r="AN53" s="2">
        <f>IFERROR(T53/E53,"")</f>
        <v/>
      </c>
      <c r="AO53" s="2">
        <f>IFERROR(U53/F53,"")</f>
        <v/>
      </c>
    </row>
    <row r="54">
      <c r="B54">
        <f>IF($A54="","",IFERROR(INDEX('[AQ_2020.xlsx]原始数据'!$B:$B,MATCH($A54,'[AQ_2020.xlsx]原始数据'!$A:$A,0)),""))</f>
        <v/>
      </c>
      <c r="C54">
        <f>IF($A54="","",IFERROR(INDEX('[AQ_2021.xlsx]原始数据'!$B:$B,MATCH($A54,'[AQ_2021.xlsx]原始数据'!$A:$A,0)),""))</f>
        <v/>
      </c>
      <c r="D54">
        <f>IF($A54="","",IFERROR(INDEX('[AQ_2022.xlsx]原始数据'!$B:$B,MATCH($A54,'[AQ_2022.xlsx]原始数据'!$A:$A,0)),""))</f>
        <v/>
      </c>
      <c r="E54">
        <f>IF($A54="","",IFERROR(INDEX('[AQ_2023.xlsx]原始数据'!$B:$B,MATCH($A54,'[AQ_2023.xlsx]原始数据'!$A:$A,0)),""))</f>
        <v/>
      </c>
      <c r="F54">
        <f>IF($A54="","",IFERROR(INDEX('[AQ_2024.xlsx]原始数据'!$B:$B,MATCH($A54,'[AQ_2024.xlsx]原始数据'!$A:$A,0)),""))</f>
        <v/>
      </c>
      <c r="G54">
        <f>IF($A54="","",IFERROR(INDEX('[AQ_2020.xlsx]原始数据'!$C:$C,MATCH($A54,'[AQ_2020.xlsx]原始数据'!$A:$A,0)),""))</f>
        <v/>
      </c>
      <c r="H54">
        <f>IF($A54="","",IFERROR(INDEX('[AQ_2021.xlsx]原始数据'!$C:$C,MATCH($A54,'[AQ_2021.xlsx]原始数据'!$A:$A,0)),""))</f>
        <v/>
      </c>
      <c r="I54">
        <f>IF($A54="","",IFERROR(INDEX('[AQ_2022.xlsx]原始数据'!$C:$C,MATCH($A54,'[AQ_2022.xlsx]原始数据'!$A:$A,0)),""))</f>
        <v/>
      </c>
      <c r="J54">
        <f>IF($A54="","",IFERROR(INDEX('[AQ_2023.xlsx]原始数据'!$C:$C,MATCH($A54,'[AQ_2023.xlsx]原始数据'!$A:$A,0)),""))</f>
        <v/>
      </c>
      <c r="K54">
        <f>IF($A54="","",IFERROR(INDEX('[AQ_2024.xlsx]原始数据'!$C:$C,MATCH($A54,'[AQ_2024.xlsx]原始数据'!$A:$A,0)),""))</f>
        <v/>
      </c>
      <c r="L54">
        <f>IF($A54="","",IFERROR(INDEX('[AQ_2020.xlsx]原始数据'!$D:$D,MATCH($A54,'[AQ_2020.xlsx]原始数据'!$A:$A,0)),""))</f>
        <v/>
      </c>
      <c r="M54">
        <f>IF($A54="","",IFERROR(INDEX('[AQ_2021.xlsx]原始数据'!$D:$D,MATCH($A54,'[AQ_2021.xlsx]原始数据'!$A:$A,0)),""))</f>
        <v/>
      </c>
      <c r="N54">
        <f>IF($A54="","",IFERROR(INDEX('[AQ_2022.xlsx]原始数据'!$D:$D,MATCH($A54,'[AQ_2022.xlsx]原始数据'!$A:$A,0)),""))</f>
        <v/>
      </c>
      <c r="O54">
        <f>IF($A54="","",IFERROR(INDEX('[AQ_2023.xlsx]原始数据'!$D:$D,MATCH($A54,'[AQ_2023.xlsx]原始数据'!$A:$A,0)),""))</f>
        <v/>
      </c>
      <c r="P54">
        <f>IF($A54="","",IFERROR(INDEX('[AQ_2024.xlsx]原始数据'!$D:$D,MATCH($A54,'[AQ_2024.xlsx]原始数据'!$A:$A,0)),""))</f>
        <v/>
      </c>
      <c r="Q54">
        <f>IF($A54="","",IFERROR(INDEX('[AQ_2020.xlsx]原始数据'!$E:$E,MATCH($A54,'[AQ_2020.xlsx]原始数据'!$A:$A,0)),""))</f>
        <v/>
      </c>
      <c r="R54">
        <f>IF($A54="","",IFERROR(INDEX('[AQ_2021.xlsx]原始数据'!$E:$E,MATCH($A54,'[AQ_2021.xlsx]原始数据'!$A:$A,0)),""))</f>
        <v/>
      </c>
      <c r="S54">
        <f>IF($A54="","",IFERROR(INDEX('[AQ_2022.xlsx]原始数据'!$E:$E,MATCH($A54,'[AQ_2022.xlsx]原始数据'!$A:$A,0)),""))</f>
        <v/>
      </c>
      <c r="T54">
        <f>IF($A54="","",IFERROR(INDEX('[AQ_2023.xlsx]原始数据'!$E:$E,MATCH($A54,'[AQ_2023.xlsx]原始数据'!$A:$A,0)),""))</f>
        <v/>
      </c>
      <c r="U54">
        <f>IF($A54="","",IFERROR(INDEX('[AQ_2024.xlsx]原始数据'!$E:$E,MATCH($A54,'[AQ_2024.xlsx]原始数据'!$A:$A,0)),""))</f>
        <v/>
      </c>
      <c r="V54">
        <f>IF($A54="","",IFERROR(INDEX('[AQ_2020.xlsx]原始数据'!$F:$F,MATCH($A54,'[AQ_2020.xlsx]原始数据'!$A:$A,0)),""))</f>
        <v/>
      </c>
      <c r="W54">
        <f>IF($A54="","",IFERROR(INDEX('[AQ_2021.xlsx]原始数据'!$F:$F,MATCH($A54,'[AQ_2021.xlsx]原始数据'!$A:$A,0)),""))</f>
        <v/>
      </c>
      <c r="X54">
        <f>IF($A54="","",IFERROR(INDEX('[AQ_2022.xlsx]原始数据'!$F:$F,MATCH($A54,'[AQ_2022.xlsx]原始数据'!$A:$A,0)),""))</f>
        <v/>
      </c>
      <c r="Y54">
        <f>IF($A54="","",IFERROR(INDEX('[AQ_2023.xlsx]原始数据'!$F:$F,MATCH($A54,'[AQ_2023.xlsx]原始数据'!$A:$A,0)),""))</f>
        <v/>
      </c>
      <c r="Z54">
        <f>IF($A54="","",IFERROR(INDEX('[AQ_2024.xlsx]原始数据'!$F:$F,MATCH($A54,'[AQ_2024.xlsx]原始数据'!$A:$A,0)),""))</f>
        <v/>
      </c>
      <c r="AA54" s="2">
        <f>IFERROR(G54/B54,"")</f>
        <v/>
      </c>
      <c r="AB54" s="2">
        <f>IFERROR(H54/C54,"")</f>
        <v/>
      </c>
      <c r="AC54" s="2">
        <f>IFERROR(I54/D54,"")</f>
        <v/>
      </c>
      <c r="AD54" s="2">
        <f>IFERROR(J54/E54,"")</f>
        <v/>
      </c>
      <c r="AE54" s="2">
        <f>IFERROR(K54/F54,"")</f>
        <v/>
      </c>
      <c r="AF54" s="2">
        <f>IFERROR(L54/B54,"")</f>
        <v/>
      </c>
      <c r="AG54" s="2">
        <f>IFERROR(M54/C54,"")</f>
        <v/>
      </c>
      <c r="AH54" s="2">
        <f>IFERROR(N54/D54,"")</f>
        <v/>
      </c>
      <c r="AI54" s="2">
        <f>IFERROR(O54/E54,"")</f>
        <v/>
      </c>
      <c r="AJ54" s="2">
        <f>IFERROR(P54/F54,"")</f>
        <v/>
      </c>
      <c r="AK54" s="2">
        <f>IFERROR(Q54/B54,"")</f>
        <v/>
      </c>
      <c r="AL54" s="2">
        <f>IFERROR(R54/C54,"")</f>
        <v/>
      </c>
      <c r="AM54" s="2">
        <f>IFERROR(S54/D54,"")</f>
        <v/>
      </c>
      <c r="AN54" s="2">
        <f>IFERROR(T54/E54,"")</f>
        <v/>
      </c>
      <c r="AO54" s="2">
        <f>IFERROR(U54/F54,"")</f>
        <v/>
      </c>
    </row>
    <row r="55">
      <c r="B55">
        <f>IF($A55="","",IFERROR(INDEX('[AQ_2020.xlsx]原始数据'!$B:$B,MATCH($A55,'[AQ_2020.xlsx]原始数据'!$A:$A,0)),""))</f>
        <v/>
      </c>
      <c r="C55">
        <f>IF($A55="","",IFERROR(INDEX('[AQ_2021.xlsx]原始数据'!$B:$B,MATCH($A55,'[AQ_2021.xlsx]原始数据'!$A:$A,0)),""))</f>
        <v/>
      </c>
      <c r="D55">
        <f>IF($A55="","",IFERROR(INDEX('[AQ_2022.xlsx]原始数据'!$B:$B,MATCH($A55,'[AQ_2022.xlsx]原始数据'!$A:$A,0)),""))</f>
        <v/>
      </c>
      <c r="E55">
        <f>IF($A55="","",IFERROR(INDEX('[AQ_2023.xlsx]原始数据'!$B:$B,MATCH($A55,'[AQ_2023.xlsx]原始数据'!$A:$A,0)),""))</f>
        <v/>
      </c>
      <c r="F55">
        <f>IF($A55="","",IFERROR(INDEX('[AQ_2024.xlsx]原始数据'!$B:$B,MATCH($A55,'[AQ_2024.xlsx]原始数据'!$A:$A,0)),""))</f>
        <v/>
      </c>
      <c r="G55">
        <f>IF($A55="","",IFERROR(INDEX('[AQ_2020.xlsx]原始数据'!$C:$C,MATCH($A55,'[AQ_2020.xlsx]原始数据'!$A:$A,0)),""))</f>
        <v/>
      </c>
      <c r="H55">
        <f>IF($A55="","",IFERROR(INDEX('[AQ_2021.xlsx]原始数据'!$C:$C,MATCH($A55,'[AQ_2021.xlsx]原始数据'!$A:$A,0)),""))</f>
        <v/>
      </c>
      <c r="I55">
        <f>IF($A55="","",IFERROR(INDEX('[AQ_2022.xlsx]原始数据'!$C:$C,MATCH($A55,'[AQ_2022.xlsx]原始数据'!$A:$A,0)),""))</f>
        <v/>
      </c>
      <c r="J55">
        <f>IF($A55="","",IFERROR(INDEX('[AQ_2023.xlsx]原始数据'!$C:$C,MATCH($A55,'[AQ_2023.xlsx]原始数据'!$A:$A,0)),""))</f>
        <v/>
      </c>
      <c r="K55">
        <f>IF($A55="","",IFERROR(INDEX('[AQ_2024.xlsx]原始数据'!$C:$C,MATCH($A55,'[AQ_2024.xlsx]原始数据'!$A:$A,0)),""))</f>
        <v/>
      </c>
      <c r="L55">
        <f>IF($A55="","",IFERROR(INDEX('[AQ_2020.xlsx]原始数据'!$D:$D,MATCH($A55,'[AQ_2020.xlsx]原始数据'!$A:$A,0)),""))</f>
        <v/>
      </c>
      <c r="M55">
        <f>IF($A55="","",IFERROR(INDEX('[AQ_2021.xlsx]原始数据'!$D:$D,MATCH($A55,'[AQ_2021.xlsx]原始数据'!$A:$A,0)),""))</f>
        <v/>
      </c>
      <c r="N55">
        <f>IF($A55="","",IFERROR(INDEX('[AQ_2022.xlsx]原始数据'!$D:$D,MATCH($A55,'[AQ_2022.xlsx]原始数据'!$A:$A,0)),""))</f>
        <v/>
      </c>
      <c r="O55">
        <f>IF($A55="","",IFERROR(INDEX('[AQ_2023.xlsx]原始数据'!$D:$D,MATCH($A55,'[AQ_2023.xlsx]原始数据'!$A:$A,0)),""))</f>
        <v/>
      </c>
      <c r="P55">
        <f>IF($A55="","",IFERROR(INDEX('[AQ_2024.xlsx]原始数据'!$D:$D,MATCH($A55,'[AQ_2024.xlsx]原始数据'!$A:$A,0)),""))</f>
        <v/>
      </c>
      <c r="Q55">
        <f>IF($A55="","",IFERROR(INDEX('[AQ_2020.xlsx]原始数据'!$E:$E,MATCH($A55,'[AQ_2020.xlsx]原始数据'!$A:$A,0)),""))</f>
        <v/>
      </c>
      <c r="R55">
        <f>IF($A55="","",IFERROR(INDEX('[AQ_2021.xlsx]原始数据'!$E:$E,MATCH($A55,'[AQ_2021.xlsx]原始数据'!$A:$A,0)),""))</f>
        <v/>
      </c>
      <c r="S55">
        <f>IF($A55="","",IFERROR(INDEX('[AQ_2022.xlsx]原始数据'!$E:$E,MATCH($A55,'[AQ_2022.xlsx]原始数据'!$A:$A,0)),""))</f>
        <v/>
      </c>
      <c r="T55">
        <f>IF($A55="","",IFERROR(INDEX('[AQ_2023.xlsx]原始数据'!$E:$E,MATCH($A55,'[AQ_2023.xlsx]原始数据'!$A:$A,0)),""))</f>
        <v/>
      </c>
      <c r="U55">
        <f>IF($A55="","",IFERROR(INDEX('[AQ_2024.xlsx]原始数据'!$E:$E,MATCH($A55,'[AQ_2024.xlsx]原始数据'!$A:$A,0)),""))</f>
        <v/>
      </c>
      <c r="V55">
        <f>IF($A55="","",IFERROR(INDEX('[AQ_2020.xlsx]原始数据'!$F:$F,MATCH($A55,'[AQ_2020.xlsx]原始数据'!$A:$A,0)),""))</f>
        <v/>
      </c>
      <c r="W55">
        <f>IF($A55="","",IFERROR(INDEX('[AQ_2021.xlsx]原始数据'!$F:$F,MATCH($A55,'[AQ_2021.xlsx]原始数据'!$A:$A,0)),""))</f>
        <v/>
      </c>
      <c r="X55">
        <f>IF($A55="","",IFERROR(INDEX('[AQ_2022.xlsx]原始数据'!$F:$F,MATCH($A55,'[AQ_2022.xlsx]原始数据'!$A:$A,0)),""))</f>
        <v/>
      </c>
      <c r="Y55">
        <f>IF($A55="","",IFERROR(INDEX('[AQ_2023.xlsx]原始数据'!$F:$F,MATCH($A55,'[AQ_2023.xlsx]原始数据'!$A:$A,0)),""))</f>
        <v/>
      </c>
      <c r="Z55">
        <f>IF($A55="","",IFERROR(INDEX('[AQ_2024.xlsx]原始数据'!$F:$F,MATCH($A55,'[AQ_2024.xlsx]原始数据'!$A:$A,0)),""))</f>
        <v/>
      </c>
      <c r="AA55" s="2">
        <f>IFERROR(G55/B55,"")</f>
        <v/>
      </c>
      <c r="AB55" s="2">
        <f>IFERROR(H55/C55,"")</f>
        <v/>
      </c>
      <c r="AC55" s="2">
        <f>IFERROR(I55/D55,"")</f>
        <v/>
      </c>
      <c r="AD55" s="2">
        <f>IFERROR(J55/E55,"")</f>
        <v/>
      </c>
      <c r="AE55" s="2">
        <f>IFERROR(K55/F55,"")</f>
        <v/>
      </c>
      <c r="AF55" s="2">
        <f>IFERROR(L55/B55,"")</f>
        <v/>
      </c>
      <c r="AG55" s="2">
        <f>IFERROR(M55/C55,"")</f>
        <v/>
      </c>
      <c r="AH55" s="2">
        <f>IFERROR(N55/D55,"")</f>
        <v/>
      </c>
      <c r="AI55" s="2">
        <f>IFERROR(O55/E55,"")</f>
        <v/>
      </c>
      <c r="AJ55" s="2">
        <f>IFERROR(P55/F55,"")</f>
        <v/>
      </c>
      <c r="AK55" s="2">
        <f>IFERROR(Q55/B55,"")</f>
        <v/>
      </c>
      <c r="AL55" s="2">
        <f>IFERROR(R55/C55,"")</f>
        <v/>
      </c>
      <c r="AM55" s="2">
        <f>IFERROR(S55/D55,"")</f>
        <v/>
      </c>
      <c r="AN55" s="2">
        <f>IFERROR(T55/E55,"")</f>
        <v/>
      </c>
      <c r="AO55" s="2">
        <f>IFERROR(U55/F55,"")</f>
        <v/>
      </c>
    </row>
    <row r="56">
      <c r="B56">
        <f>IF($A56="","",IFERROR(INDEX('[AQ_2020.xlsx]原始数据'!$B:$B,MATCH($A56,'[AQ_2020.xlsx]原始数据'!$A:$A,0)),""))</f>
        <v/>
      </c>
      <c r="C56">
        <f>IF($A56="","",IFERROR(INDEX('[AQ_2021.xlsx]原始数据'!$B:$B,MATCH($A56,'[AQ_2021.xlsx]原始数据'!$A:$A,0)),""))</f>
        <v/>
      </c>
      <c r="D56">
        <f>IF($A56="","",IFERROR(INDEX('[AQ_2022.xlsx]原始数据'!$B:$B,MATCH($A56,'[AQ_2022.xlsx]原始数据'!$A:$A,0)),""))</f>
        <v/>
      </c>
      <c r="E56">
        <f>IF($A56="","",IFERROR(INDEX('[AQ_2023.xlsx]原始数据'!$B:$B,MATCH($A56,'[AQ_2023.xlsx]原始数据'!$A:$A,0)),""))</f>
        <v/>
      </c>
      <c r="F56">
        <f>IF($A56="","",IFERROR(INDEX('[AQ_2024.xlsx]原始数据'!$B:$B,MATCH($A56,'[AQ_2024.xlsx]原始数据'!$A:$A,0)),""))</f>
        <v/>
      </c>
      <c r="G56">
        <f>IF($A56="","",IFERROR(INDEX('[AQ_2020.xlsx]原始数据'!$C:$C,MATCH($A56,'[AQ_2020.xlsx]原始数据'!$A:$A,0)),""))</f>
        <v/>
      </c>
      <c r="H56">
        <f>IF($A56="","",IFERROR(INDEX('[AQ_2021.xlsx]原始数据'!$C:$C,MATCH($A56,'[AQ_2021.xlsx]原始数据'!$A:$A,0)),""))</f>
        <v/>
      </c>
      <c r="I56">
        <f>IF($A56="","",IFERROR(INDEX('[AQ_2022.xlsx]原始数据'!$C:$C,MATCH($A56,'[AQ_2022.xlsx]原始数据'!$A:$A,0)),""))</f>
        <v/>
      </c>
      <c r="J56">
        <f>IF($A56="","",IFERROR(INDEX('[AQ_2023.xlsx]原始数据'!$C:$C,MATCH($A56,'[AQ_2023.xlsx]原始数据'!$A:$A,0)),""))</f>
        <v/>
      </c>
      <c r="K56">
        <f>IF($A56="","",IFERROR(INDEX('[AQ_2024.xlsx]原始数据'!$C:$C,MATCH($A56,'[AQ_2024.xlsx]原始数据'!$A:$A,0)),""))</f>
        <v/>
      </c>
      <c r="L56">
        <f>IF($A56="","",IFERROR(INDEX('[AQ_2020.xlsx]原始数据'!$D:$D,MATCH($A56,'[AQ_2020.xlsx]原始数据'!$A:$A,0)),""))</f>
        <v/>
      </c>
      <c r="M56">
        <f>IF($A56="","",IFERROR(INDEX('[AQ_2021.xlsx]原始数据'!$D:$D,MATCH($A56,'[AQ_2021.xlsx]原始数据'!$A:$A,0)),""))</f>
        <v/>
      </c>
      <c r="N56">
        <f>IF($A56="","",IFERROR(INDEX('[AQ_2022.xlsx]原始数据'!$D:$D,MATCH($A56,'[AQ_2022.xlsx]原始数据'!$A:$A,0)),""))</f>
        <v/>
      </c>
      <c r="O56">
        <f>IF($A56="","",IFERROR(INDEX('[AQ_2023.xlsx]原始数据'!$D:$D,MATCH($A56,'[AQ_2023.xlsx]原始数据'!$A:$A,0)),""))</f>
        <v/>
      </c>
      <c r="P56">
        <f>IF($A56="","",IFERROR(INDEX('[AQ_2024.xlsx]原始数据'!$D:$D,MATCH($A56,'[AQ_2024.xlsx]原始数据'!$A:$A,0)),""))</f>
        <v/>
      </c>
      <c r="Q56">
        <f>IF($A56="","",IFERROR(INDEX('[AQ_2020.xlsx]原始数据'!$E:$E,MATCH($A56,'[AQ_2020.xlsx]原始数据'!$A:$A,0)),""))</f>
        <v/>
      </c>
      <c r="R56">
        <f>IF($A56="","",IFERROR(INDEX('[AQ_2021.xlsx]原始数据'!$E:$E,MATCH($A56,'[AQ_2021.xlsx]原始数据'!$A:$A,0)),""))</f>
        <v/>
      </c>
      <c r="S56">
        <f>IF($A56="","",IFERROR(INDEX('[AQ_2022.xlsx]原始数据'!$E:$E,MATCH($A56,'[AQ_2022.xlsx]原始数据'!$A:$A,0)),""))</f>
        <v/>
      </c>
      <c r="T56">
        <f>IF($A56="","",IFERROR(INDEX('[AQ_2023.xlsx]原始数据'!$E:$E,MATCH($A56,'[AQ_2023.xlsx]原始数据'!$A:$A,0)),""))</f>
        <v/>
      </c>
      <c r="U56">
        <f>IF($A56="","",IFERROR(INDEX('[AQ_2024.xlsx]原始数据'!$E:$E,MATCH($A56,'[AQ_2024.xlsx]原始数据'!$A:$A,0)),""))</f>
        <v/>
      </c>
      <c r="V56">
        <f>IF($A56="","",IFERROR(INDEX('[AQ_2020.xlsx]原始数据'!$F:$F,MATCH($A56,'[AQ_2020.xlsx]原始数据'!$A:$A,0)),""))</f>
        <v/>
      </c>
      <c r="W56">
        <f>IF($A56="","",IFERROR(INDEX('[AQ_2021.xlsx]原始数据'!$F:$F,MATCH($A56,'[AQ_2021.xlsx]原始数据'!$A:$A,0)),""))</f>
        <v/>
      </c>
      <c r="X56">
        <f>IF($A56="","",IFERROR(INDEX('[AQ_2022.xlsx]原始数据'!$F:$F,MATCH($A56,'[AQ_2022.xlsx]原始数据'!$A:$A,0)),""))</f>
        <v/>
      </c>
      <c r="Y56">
        <f>IF($A56="","",IFERROR(INDEX('[AQ_2023.xlsx]原始数据'!$F:$F,MATCH($A56,'[AQ_2023.xlsx]原始数据'!$A:$A,0)),""))</f>
        <v/>
      </c>
      <c r="Z56">
        <f>IF($A56="","",IFERROR(INDEX('[AQ_2024.xlsx]原始数据'!$F:$F,MATCH($A56,'[AQ_2024.xlsx]原始数据'!$A:$A,0)),""))</f>
        <v/>
      </c>
      <c r="AA56" s="2">
        <f>IFERROR(G56/B56,"")</f>
        <v/>
      </c>
      <c r="AB56" s="2">
        <f>IFERROR(H56/C56,"")</f>
        <v/>
      </c>
      <c r="AC56" s="2">
        <f>IFERROR(I56/D56,"")</f>
        <v/>
      </c>
      <c r="AD56" s="2">
        <f>IFERROR(J56/E56,"")</f>
        <v/>
      </c>
      <c r="AE56" s="2">
        <f>IFERROR(K56/F56,"")</f>
        <v/>
      </c>
      <c r="AF56" s="2">
        <f>IFERROR(L56/B56,"")</f>
        <v/>
      </c>
      <c r="AG56" s="2">
        <f>IFERROR(M56/C56,"")</f>
        <v/>
      </c>
      <c r="AH56" s="2">
        <f>IFERROR(N56/D56,"")</f>
        <v/>
      </c>
      <c r="AI56" s="2">
        <f>IFERROR(O56/E56,"")</f>
        <v/>
      </c>
      <c r="AJ56" s="2">
        <f>IFERROR(P56/F56,"")</f>
        <v/>
      </c>
      <c r="AK56" s="2">
        <f>IFERROR(Q56/B56,"")</f>
        <v/>
      </c>
      <c r="AL56" s="2">
        <f>IFERROR(R56/C56,"")</f>
        <v/>
      </c>
      <c r="AM56" s="2">
        <f>IFERROR(S56/D56,"")</f>
        <v/>
      </c>
      <c r="AN56" s="2">
        <f>IFERROR(T56/E56,"")</f>
        <v/>
      </c>
      <c r="AO56" s="2">
        <f>IFERROR(U56/F56,"")</f>
        <v/>
      </c>
    </row>
    <row r="57">
      <c r="B57">
        <f>IF($A57="","",IFERROR(INDEX('[AQ_2020.xlsx]原始数据'!$B:$B,MATCH($A57,'[AQ_2020.xlsx]原始数据'!$A:$A,0)),""))</f>
        <v/>
      </c>
      <c r="C57">
        <f>IF($A57="","",IFERROR(INDEX('[AQ_2021.xlsx]原始数据'!$B:$B,MATCH($A57,'[AQ_2021.xlsx]原始数据'!$A:$A,0)),""))</f>
        <v/>
      </c>
      <c r="D57">
        <f>IF($A57="","",IFERROR(INDEX('[AQ_2022.xlsx]原始数据'!$B:$B,MATCH($A57,'[AQ_2022.xlsx]原始数据'!$A:$A,0)),""))</f>
        <v/>
      </c>
      <c r="E57">
        <f>IF($A57="","",IFERROR(INDEX('[AQ_2023.xlsx]原始数据'!$B:$B,MATCH($A57,'[AQ_2023.xlsx]原始数据'!$A:$A,0)),""))</f>
        <v/>
      </c>
      <c r="F57">
        <f>IF($A57="","",IFERROR(INDEX('[AQ_2024.xlsx]原始数据'!$B:$B,MATCH($A57,'[AQ_2024.xlsx]原始数据'!$A:$A,0)),""))</f>
        <v/>
      </c>
      <c r="G57">
        <f>IF($A57="","",IFERROR(INDEX('[AQ_2020.xlsx]原始数据'!$C:$C,MATCH($A57,'[AQ_2020.xlsx]原始数据'!$A:$A,0)),""))</f>
        <v/>
      </c>
      <c r="H57">
        <f>IF($A57="","",IFERROR(INDEX('[AQ_2021.xlsx]原始数据'!$C:$C,MATCH($A57,'[AQ_2021.xlsx]原始数据'!$A:$A,0)),""))</f>
        <v/>
      </c>
      <c r="I57">
        <f>IF($A57="","",IFERROR(INDEX('[AQ_2022.xlsx]原始数据'!$C:$C,MATCH($A57,'[AQ_2022.xlsx]原始数据'!$A:$A,0)),""))</f>
        <v/>
      </c>
      <c r="J57">
        <f>IF($A57="","",IFERROR(INDEX('[AQ_2023.xlsx]原始数据'!$C:$C,MATCH($A57,'[AQ_2023.xlsx]原始数据'!$A:$A,0)),""))</f>
        <v/>
      </c>
      <c r="K57">
        <f>IF($A57="","",IFERROR(INDEX('[AQ_2024.xlsx]原始数据'!$C:$C,MATCH($A57,'[AQ_2024.xlsx]原始数据'!$A:$A,0)),""))</f>
        <v/>
      </c>
      <c r="L57">
        <f>IF($A57="","",IFERROR(INDEX('[AQ_2020.xlsx]原始数据'!$D:$D,MATCH($A57,'[AQ_2020.xlsx]原始数据'!$A:$A,0)),""))</f>
        <v/>
      </c>
      <c r="M57">
        <f>IF($A57="","",IFERROR(INDEX('[AQ_2021.xlsx]原始数据'!$D:$D,MATCH($A57,'[AQ_2021.xlsx]原始数据'!$A:$A,0)),""))</f>
        <v/>
      </c>
      <c r="N57">
        <f>IF($A57="","",IFERROR(INDEX('[AQ_2022.xlsx]原始数据'!$D:$D,MATCH($A57,'[AQ_2022.xlsx]原始数据'!$A:$A,0)),""))</f>
        <v/>
      </c>
      <c r="O57">
        <f>IF($A57="","",IFERROR(INDEX('[AQ_2023.xlsx]原始数据'!$D:$D,MATCH($A57,'[AQ_2023.xlsx]原始数据'!$A:$A,0)),""))</f>
        <v/>
      </c>
      <c r="P57">
        <f>IF($A57="","",IFERROR(INDEX('[AQ_2024.xlsx]原始数据'!$D:$D,MATCH($A57,'[AQ_2024.xlsx]原始数据'!$A:$A,0)),""))</f>
        <v/>
      </c>
      <c r="Q57">
        <f>IF($A57="","",IFERROR(INDEX('[AQ_2020.xlsx]原始数据'!$E:$E,MATCH($A57,'[AQ_2020.xlsx]原始数据'!$A:$A,0)),""))</f>
        <v/>
      </c>
      <c r="R57">
        <f>IF($A57="","",IFERROR(INDEX('[AQ_2021.xlsx]原始数据'!$E:$E,MATCH($A57,'[AQ_2021.xlsx]原始数据'!$A:$A,0)),""))</f>
        <v/>
      </c>
      <c r="S57">
        <f>IF($A57="","",IFERROR(INDEX('[AQ_2022.xlsx]原始数据'!$E:$E,MATCH($A57,'[AQ_2022.xlsx]原始数据'!$A:$A,0)),""))</f>
        <v/>
      </c>
      <c r="T57">
        <f>IF($A57="","",IFERROR(INDEX('[AQ_2023.xlsx]原始数据'!$E:$E,MATCH($A57,'[AQ_2023.xlsx]原始数据'!$A:$A,0)),""))</f>
        <v/>
      </c>
      <c r="U57">
        <f>IF($A57="","",IFERROR(INDEX('[AQ_2024.xlsx]原始数据'!$E:$E,MATCH($A57,'[AQ_2024.xlsx]原始数据'!$A:$A,0)),""))</f>
        <v/>
      </c>
      <c r="V57">
        <f>IF($A57="","",IFERROR(INDEX('[AQ_2020.xlsx]原始数据'!$F:$F,MATCH($A57,'[AQ_2020.xlsx]原始数据'!$A:$A,0)),""))</f>
        <v/>
      </c>
      <c r="W57">
        <f>IF($A57="","",IFERROR(INDEX('[AQ_2021.xlsx]原始数据'!$F:$F,MATCH($A57,'[AQ_2021.xlsx]原始数据'!$A:$A,0)),""))</f>
        <v/>
      </c>
      <c r="X57">
        <f>IF($A57="","",IFERROR(INDEX('[AQ_2022.xlsx]原始数据'!$F:$F,MATCH($A57,'[AQ_2022.xlsx]原始数据'!$A:$A,0)),""))</f>
        <v/>
      </c>
      <c r="Y57">
        <f>IF($A57="","",IFERROR(INDEX('[AQ_2023.xlsx]原始数据'!$F:$F,MATCH($A57,'[AQ_2023.xlsx]原始数据'!$A:$A,0)),""))</f>
        <v/>
      </c>
      <c r="Z57">
        <f>IF($A57="","",IFERROR(INDEX('[AQ_2024.xlsx]原始数据'!$F:$F,MATCH($A57,'[AQ_2024.xlsx]原始数据'!$A:$A,0)),""))</f>
        <v/>
      </c>
      <c r="AA57" s="2">
        <f>IFERROR(G57/B57,"")</f>
        <v/>
      </c>
      <c r="AB57" s="2">
        <f>IFERROR(H57/C57,"")</f>
        <v/>
      </c>
      <c r="AC57" s="2">
        <f>IFERROR(I57/D57,"")</f>
        <v/>
      </c>
      <c r="AD57" s="2">
        <f>IFERROR(J57/E57,"")</f>
        <v/>
      </c>
      <c r="AE57" s="2">
        <f>IFERROR(K57/F57,"")</f>
        <v/>
      </c>
      <c r="AF57" s="2">
        <f>IFERROR(L57/B57,"")</f>
        <v/>
      </c>
      <c r="AG57" s="2">
        <f>IFERROR(M57/C57,"")</f>
        <v/>
      </c>
      <c r="AH57" s="2">
        <f>IFERROR(N57/D57,"")</f>
        <v/>
      </c>
      <c r="AI57" s="2">
        <f>IFERROR(O57/E57,"")</f>
        <v/>
      </c>
      <c r="AJ57" s="2">
        <f>IFERROR(P57/F57,"")</f>
        <v/>
      </c>
      <c r="AK57" s="2">
        <f>IFERROR(Q57/B57,"")</f>
        <v/>
      </c>
      <c r="AL57" s="2">
        <f>IFERROR(R57/C57,"")</f>
        <v/>
      </c>
      <c r="AM57" s="2">
        <f>IFERROR(S57/D57,"")</f>
        <v/>
      </c>
      <c r="AN57" s="2">
        <f>IFERROR(T57/E57,"")</f>
        <v/>
      </c>
      <c r="AO57" s="2">
        <f>IFERROR(U57/F57,"")</f>
        <v/>
      </c>
    </row>
    <row r="58">
      <c r="B58">
        <f>IF($A58="","",IFERROR(INDEX('[AQ_2020.xlsx]原始数据'!$B:$B,MATCH($A58,'[AQ_2020.xlsx]原始数据'!$A:$A,0)),""))</f>
        <v/>
      </c>
      <c r="C58">
        <f>IF($A58="","",IFERROR(INDEX('[AQ_2021.xlsx]原始数据'!$B:$B,MATCH($A58,'[AQ_2021.xlsx]原始数据'!$A:$A,0)),""))</f>
        <v/>
      </c>
      <c r="D58">
        <f>IF($A58="","",IFERROR(INDEX('[AQ_2022.xlsx]原始数据'!$B:$B,MATCH($A58,'[AQ_2022.xlsx]原始数据'!$A:$A,0)),""))</f>
        <v/>
      </c>
      <c r="E58">
        <f>IF($A58="","",IFERROR(INDEX('[AQ_2023.xlsx]原始数据'!$B:$B,MATCH($A58,'[AQ_2023.xlsx]原始数据'!$A:$A,0)),""))</f>
        <v/>
      </c>
      <c r="F58">
        <f>IF($A58="","",IFERROR(INDEX('[AQ_2024.xlsx]原始数据'!$B:$B,MATCH($A58,'[AQ_2024.xlsx]原始数据'!$A:$A,0)),""))</f>
        <v/>
      </c>
      <c r="G58">
        <f>IF($A58="","",IFERROR(INDEX('[AQ_2020.xlsx]原始数据'!$C:$C,MATCH($A58,'[AQ_2020.xlsx]原始数据'!$A:$A,0)),""))</f>
        <v/>
      </c>
      <c r="H58">
        <f>IF($A58="","",IFERROR(INDEX('[AQ_2021.xlsx]原始数据'!$C:$C,MATCH($A58,'[AQ_2021.xlsx]原始数据'!$A:$A,0)),""))</f>
        <v/>
      </c>
      <c r="I58">
        <f>IF($A58="","",IFERROR(INDEX('[AQ_2022.xlsx]原始数据'!$C:$C,MATCH($A58,'[AQ_2022.xlsx]原始数据'!$A:$A,0)),""))</f>
        <v/>
      </c>
      <c r="J58">
        <f>IF($A58="","",IFERROR(INDEX('[AQ_2023.xlsx]原始数据'!$C:$C,MATCH($A58,'[AQ_2023.xlsx]原始数据'!$A:$A,0)),""))</f>
        <v/>
      </c>
      <c r="K58">
        <f>IF($A58="","",IFERROR(INDEX('[AQ_2024.xlsx]原始数据'!$C:$C,MATCH($A58,'[AQ_2024.xlsx]原始数据'!$A:$A,0)),""))</f>
        <v/>
      </c>
      <c r="L58">
        <f>IF($A58="","",IFERROR(INDEX('[AQ_2020.xlsx]原始数据'!$D:$D,MATCH($A58,'[AQ_2020.xlsx]原始数据'!$A:$A,0)),""))</f>
        <v/>
      </c>
      <c r="M58">
        <f>IF($A58="","",IFERROR(INDEX('[AQ_2021.xlsx]原始数据'!$D:$D,MATCH($A58,'[AQ_2021.xlsx]原始数据'!$A:$A,0)),""))</f>
        <v/>
      </c>
      <c r="N58">
        <f>IF($A58="","",IFERROR(INDEX('[AQ_2022.xlsx]原始数据'!$D:$D,MATCH($A58,'[AQ_2022.xlsx]原始数据'!$A:$A,0)),""))</f>
        <v/>
      </c>
      <c r="O58">
        <f>IF($A58="","",IFERROR(INDEX('[AQ_2023.xlsx]原始数据'!$D:$D,MATCH($A58,'[AQ_2023.xlsx]原始数据'!$A:$A,0)),""))</f>
        <v/>
      </c>
      <c r="P58">
        <f>IF($A58="","",IFERROR(INDEX('[AQ_2024.xlsx]原始数据'!$D:$D,MATCH($A58,'[AQ_2024.xlsx]原始数据'!$A:$A,0)),""))</f>
        <v/>
      </c>
      <c r="Q58">
        <f>IF($A58="","",IFERROR(INDEX('[AQ_2020.xlsx]原始数据'!$E:$E,MATCH($A58,'[AQ_2020.xlsx]原始数据'!$A:$A,0)),""))</f>
        <v/>
      </c>
      <c r="R58">
        <f>IF($A58="","",IFERROR(INDEX('[AQ_2021.xlsx]原始数据'!$E:$E,MATCH($A58,'[AQ_2021.xlsx]原始数据'!$A:$A,0)),""))</f>
        <v/>
      </c>
      <c r="S58">
        <f>IF($A58="","",IFERROR(INDEX('[AQ_2022.xlsx]原始数据'!$E:$E,MATCH($A58,'[AQ_2022.xlsx]原始数据'!$A:$A,0)),""))</f>
        <v/>
      </c>
      <c r="T58">
        <f>IF($A58="","",IFERROR(INDEX('[AQ_2023.xlsx]原始数据'!$E:$E,MATCH($A58,'[AQ_2023.xlsx]原始数据'!$A:$A,0)),""))</f>
        <v/>
      </c>
      <c r="U58">
        <f>IF($A58="","",IFERROR(INDEX('[AQ_2024.xlsx]原始数据'!$E:$E,MATCH($A58,'[AQ_2024.xlsx]原始数据'!$A:$A,0)),""))</f>
        <v/>
      </c>
      <c r="V58">
        <f>IF($A58="","",IFERROR(INDEX('[AQ_2020.xlsx]原始数据'!$F:$F,MATCH($A58,'[AQ_2020.xlsx]原始数据'!$A:$A,0)),""))</f>
        <v/>
      </c>
      <c r="W58">
        <f>IF($A58="","",IFERROR(INDEX('[AQ_2021.xlsx]原始数据'!$F:$F,MATCH($A58,'[AQ_2021.xlsx]原始数据'!$A:$A,0)),""))</f>
        <v/>
      </c>
      <c r="X58">
        <f>IF($A58="","",IFERROR(INDEX('[AQ_2022.xlsx]原始数据'!$F:$F,MATCH($A58,'[AQ_2022.xlsx]原始数据'!$A:$A,0)),""))</f>
        <v/>
      </c>
      <c r="Y58">
        <f>IF($A58="","",IFERROR(INDEX('[AQ_2023.xlsx]原始数据'!$F:$F,MATCH($A58,'[AQ_2023.xlsx]原始数据'!$A:$A,0)),""))</f>
        <v/>
      </c>
      <c r="Z58">
        <f>IF($A58="","",IFERROR(INDEX('[AQ_2024.xlsx]原始数据'!$F:$F,MATCH($A58,'[AQ_2024.xlsx]原始数据'!$A:$A,0)),""))</f>
        <v/>
      </c>
      <c r="AA58" s="2">
        <f>IFERROR(G58/B58,"")</f>
        <v/>
      </c>
      <c r="AB58" s="2">
        <f>IFERROR(H58/C58,"")</f>
        <v/>
      </c>
      <c r="AC58" s="2">
        <f>IFERROR(I58/D58,"")</f>
        <v/>
      </c>
      <c r="AD58" s="2">
        <f>IFERROR(J58/E58,"")</f>
        <v/>
      </c>
      <c r="AE58" s="2">
        <f>IFERROR(K58/F58,"")</f>
        <v/>
      </c>
      <c r="AF58" s="2">
        <f>IFERROR(L58/B58,"")</f>
        <v/>
      </c>
      <c r="AG58" s="2">
        <f>IFERROR(M58/C58,"")</f>
        <v/>
      </c>
      <c r="AH58" s="2">
        <f>IFERROR(N58/D58,"")</f>
        <v/>
      </c>
      <c r="AI58" s="2">
        <f>IFERROR(O58/E58,"")</f>
        <v/>
      </c>
      <c r="AJ58" s="2">
        <f>IFERROR(P58/F58,"")</f>
        <v/>
      </c>
      <c r="AK58" s="2">
        <f>IFERROR(Q58/B58,"")</f>
        <v/>
      </c>
      <c r="AL58" s="2">
        <f>IFERROR(R58/C58,"")</f>
        <v/>
      </c>
      <c r="AM58" s="2">
        <f>IFERROR(S58/D58,"")</f>
        <v/>
      </c>
      <c r="AN58" s="2">
        <f>IFERROR(T58/E58,"")</f>
        <v/>
      </c>
      <c r="AO58" s="2">
        <f>IFERROR(U58/F58,"")</f>
        <v/>
      </c>
    </row>
    <row r="59">
      <c r="B59">
        <f>IF($A59="","",IFERROR(INDEX('[AQ_2020.xlsx]原始数据'!$B:$B,MATCH($A59,'[AQ_2020.xlsx]原始数据'!$A:$A,0)),""))</f>
        <v/>
      </c>
      <c r="C59">
        <f>IF($A59="","",IFERROR(INDEX('[AQ_2021.xlsx]原始数据'!$B:$B,MATCH($A59,'[AQ_2021.xlsx]原始数据'!$A:$A,0)),""))</f>
        <v/>
      </c>
      <c r="D59">
        <f>IF($A59="","",IFERROR(INDEX('[AQ_2022.xlsx]原始数据'!$B:$B,MATCH($A59,'[AQ_2022.xlsx]原始数据'!$A:$A,0)),""))</f>
        <v/>
      </c>
      <c r="E59">
        <f>IF($A59="","",IFERROR(INDEX('[AQ_2023.xlsx]原始数据'!$B:$B,MATCH($A59,'[AQ_2023.xlsx]原始数据'!$A:$A,0)),""))</f>
        <v/>
      </c>
      <c r="F59">
        <f>IF($A59="","",IFERROR(INDEX('[AQ_2024.xlsx]原始数据'!$B:$B,MATCH($A59,'[AQ_2024.xlsx]原始数据'!$A:$A,0)),""))</f>
        <v/>
      </c>
      <c r="G59">
        <f>IF($A59="","",IFERROR(INDEX('[AQ_2020.xlsx]原始数据'!$C:$C,MATCH($A59,'[AQ_2020.xlsx]原始数据'!$A:$A,0)),""))</f>
        <v/>
      </c>
      <c r="H59">
        <f>IF($A59="","",IFERROR(INDEX('[AQ_2021.xlsx]原始数据'!$C:$C,MATCH($A59,'[AQ_2021.xlsx]原始数据'!$A:$A,0)),""))</f>
        <v/>
      </c>
      <c r="I59">
        <f>IF($A59="","",IFERROR(INDEX('[AQ_2022.xlsx]原始数据'!$C:$C,MATCH($A59,'[AQ_2022.xlsx]原始数据'!$A:$A,0)),""))</f>
        <v/>
      </c>
      <c r="J59">
        <f>IF($A59="","",IFERROR(INDEX('[AQ_2023.xlsx]原始数据'!$C:$C,MATCH($A59,'[AQ_2023.xlsx]原始数据'!$A:$A,0)),""))</f>
        <v/>
      </c>
      <c r="K59">
        <f>IF($A59="","",IFERROR(INDEX('[AQ_2024.xlsx]原始数据'!$C:$C,MATCH($A59,'[AQ_2024.xlsx]原始数据'!$A:$A,0)),""))</f>
        <v/>
      </c>
      <c r="L59">
        <f>IF($A59="","",IFERROR(INDEX('[AQ_2020.xlsx]原始数据'!$D:$D,MATCH($A59,'[AQ_2020.xlsx]原始数据'!$A:$A,0)),""))</f>
        <v/>
      </c>
      <c r="M59">
        <f>IF($A59="","",IFERROR(INDEX('[AQ_2021.xlsx]原始数据'!$D:$D,MATCH($A59,'[AQ_2021.xlsx]原始数据'!$A:$A,0)),""))</f>
        <v/>
      </c>
      <c r="N59">
        <f>IF($A59="","",IFERROR(INDEX('[AQ_2022.xlsx]原始数据'!$D:$D,MATCH($A59,'[AQ_2022.xlsx]原始数据'!$A:$A,0)),""))</f>
        <v/>
      </c>
      <c r="O59">
        <f>IF($A59="","",IFERROR(INDEX('[AQ_2023.xlsx]原始数据'!$D:$D,MATCH($A59,'[AQ_2023.xlsx]原始数据'!$A:$A,0)),""))</f>
        <v/>
      </c>
      <c r="P59">
        <f>IF($A59="","",IFERROR(INDEX('[AQ_2024.xlsx]原始数据'!$D:$D,MATCH($A59,'[AQ_2024.xlsx]原始数据'!$A:$A,0)),""))</f>
        <v/>
      </c>
      <c r="Q59">
        <f>IF($A59="","",IFERROR(INDEX('[AQ_2020.xlsx]原始数据'!$E:$E,MATCH($A59,'[AQ_2020.xlsx]原始数据'!$A:$A,0)),""))</f>
        <v/>
      </c>
      <c r="R59">
        <f>IF($A59="","",IFERROR(INDEX('[AQ_2021.xlsx]原始数据'!$E:$E,MATCH($A59,'[AQ_2021.xlsx]原始数据'!$A:$A,0)),""))</f>
        <v/>
      </c>
      <c r="S59">
        <f>IF($A59="","",IFERROR(INDEX('[AQ_2022.xlsx]原始数据'!$E:$E,MATCH($A59,'[AQ_2022.xlsx]原始数据'!$A:$A,0)),""))</f>
        <v/>
      </c>
      <c r="T59">
        <f>IF($A59="","",IFERROR(INDEX('[AQ_2023.xlsx]原始数据'!$E:$E,MATCH($A59,'[AQ_2023.xlsx]原始数据'!$A:$A,0)),""))</f>
        <v/>
      </c>
      <c r="U59">
        <f>IF($A59="","",IFERROR(INDEX('[AQ_2024.xlsx]原始数据'!$E:$E,MATCH($A59,'[AQ_2024.xlsx]原始数据'!$A:$A,0)),""))</f>
        <v/>
      </c>
      <c r="V59">
        <f>IF($A59="","",IFERROR(INDEX('[AQ_2020.xlsx]原始数据'!$F:$F,MATCH($A59,'[AQ_2020.xlsx]原始数据'!$A:$A,0)),""))</f>
        <v/>
      </c>
      <c r="W59">
        <f>IF($A59="","",IFERROR(INDEX('[AQ_2021.xlsx]原始数据'!$F:$F,MATCH($A59,'[AQ_2021.xlsx]原始数据'!$A:$A,0)),""))</f>
        <v/>
      </c>
      <c r="X59">
        <f>IF($A59="","",IFERROR(INDEX('[AQ_2022.xlsx]原始数据'!$F:$F,MATCH($A59,'[AQ_2022.xlsx]原始数据'!$A:$A,0)),""))</f>
        <v/>
      </c>
      <c r="Y59">
        <f>IF($A59="","",IFERROR(INDEX('[AQ_2023.xlsx]原始数据'!$F:$F,MATCH($A59,'[AQ_2023.xlsx]原始数据'!$A:$A,0)),""))</f>
        <v/>
      </c>
      <c r="Z59">
        <f>IF($A59="","",IFERROR(INDEX('[AQ_2024.xlsx]原始数据'!$F:$F,MATCH($A59,'[AQ_2024.xlsx]原始数据'!$A:$A,0)),""))</f>
        <v/>
      </c>
      <c r="AA59" s="2">
        <f>IFERROR(G59/B59,"")</f>
        <v/>
      </c>
      <c r="AB59" s="2">
        <f>IFERROR(H59/C59,"")</f>
        <v/>
      </c>
      <c r="AC59" s="2">
        <f>IFERROR(I59/D59,"")</f>
        <v/>
      </c>
      <c r="AD59" s="2">
        <f>IFERROR(J59/E59,"")</f>
        <v/>
      </c>
      <c r="AE59" s="2">
        <f>IFERROR(K59/F59,"")</f>
        <v/>
      </c>
      <c r="AF59" s="2">
        <f>IFERROR(L59/B59,"")</f>
        <v/>
      </c>
      <c r="AG59" s="2">
        <f>IFERROR(M59/C59,"")</f>
        <v/>
      </c>
      <c r="AH59" s="2">
        <f>IFERROR(N59/D59,"")</f>
        <v/>
      </c>
      <c r="AI59" s="2">
        <f>IFERROR(O59/E59,"")</f>
        <v/>
      </c>
      <c r="AJ59" s="2">
        <f>IFERROR(P59/F59,"")</f>
        <v/>
      </c>
      <c r="AK59" s="2">
        <f>IFERROR(Q59/B59,"")</f>
        <v/>
      </c>
      <c r="AL59" s="2">
        <f>IFERROR(R59/C59,"")</f>
        <v/>
      </c>
      <c r="AM59" s="2">
        <f>IFERROR(S59/D59,"")</f>
        <v/>
      </c>
      <c r="AN59" s="2">
        <f>IFERROR(T59/E59,"")</f>
        <v/>
      </c>
      <c r="AO59" s="2">
        <f>IFERROR(U59/F59,"")</f>
        <v/>
      </c>
    </row>
    <row r="60">
      <c r="B60">
        <f>IF($A60="","",IFERROR(INDEX('[AQ_2020.xlsx]原始数据'!$B:$B,MATCH($A60,'[AQ_2020.xlsx]原始数据'!$A:$A,0)),""))</f>
        <v/>
      </c>
      <c r="C60">
        <f>IF($A60="","",IFERROR(INDEX('[AQ_2021.xlsx]原始数据'!$B:$B,MATCH($A60,'[AQ_2021.xlsx]原始数据'!$A:$A,0)),""))</f>
        <v/>
      </c>
      <c r="D60">
        <f>IF($A60="","",IFERROR(INDEX('[AQ_2022.xlsx]原始数据'!$B:$B,MATCH($A60,'[AQ_2022.xlsx]原始数据'!$A:$A,0)),""))</f>
        <v/>
      </c>
      <c r="E60">
        <f>IF($A60="","",IFERROR(INDEX('[AQ_2023.xlsx]原始数据'!$B:$B,MATCH($A60,'[AQ_2023.xlsx]原始数据'!$A:$A,0)),""))</f>
        <v/>
      </c>
      <c r="F60">
        <f>IF($A60="","",IFERROR(INDEX('[AQ_2024.xlsx]原始数据'!$B:$B,MATCH($A60,'[AQ_2024.xlsx]原始数据'!$A:$A,0)),""))</f>
        <v/>
      </c>
      <c r="G60">
        <f>IF($A60="","",IFERROR(INDEX('[AQ_2020.xlsx]原始数据'!$C:$C,MATCH($A60,'[AQ_2020.xlsx]原始数据'!$A:$A,0)),""))</f>
        <v/>
      </c>
      <c r="H60">
        <f>IF($A60="","",IFERROR(INDEX('[AQ_2021.xlsx]原始数据'!$C:$C,MATCH($A60,'[AQ_2021.xlsx]原始数据'!$A:$A,0)),""))</f>
        <v/>
      </c>
      <c r="I60">
        <f>IF($A60="","",IFERROR(INDEX('[AQ_2022.xlsx]原始数据'!$C:$C,MATCH($A60,'[AQ_2022.xlsx]原始数据'!$A:$A,0)),""))</f>
        <v/>
      </c>
      <c r="J60">
        <f>IF($A60="","",IFERROR(INDEX('[AQ_2023.xlsx]原始数据'!$C:$C,MATCH($A60,'[AQ_2023.xlsx]原始数据'!$A:$A,0)),""))</f>
        <v/>
      </c>
      <c r="K60">
        <f>IF($A60="","",IFERROR(INDEX('[AQ_2024.xlsx]原始数据'!$C:$C,MATCH($A60,'[AQ_2024.xlsx]原始数据'!$A:$A,0)),""))</f>
        <v/>
      </c>
      <c r="L60">
        <f>IF($A60="","",IFERROR(INDEX('[AQ_2020.xlsx]原始数据'!$D:$D,MATCH($A60,'[AQ_2020.xlsx]原始数据'!$A:$A,0)),""))</f>
        <v/>
      </c>
      <c r="M60">
        <f>IF($A60="","",IFERROR(INDEX('[AQ_2021.xlsx]原始数据'!$D:$D,MATCH($A60,'[AQ_2021.xlsx]原始数据'!$A:$A,0)),""))</f>
        <v/>
      </c>
      <c r="N60">
        <f>IF($A60="","",IFERROR(INDEX('[AQ_2022.xlsx]原始数据'!$D:$D,MATCH($A60,'[AQ_2022.xlsx]原始数据'!$A:$A,0)),""))</f>
        <v/>
      </c>
      <c r="O60">
        <f>IF($A60="","",IFERROR(INDEX('[AQ_2023.xlsx]原始数据'!$D:$D,MATCH($A60,'[AQ_2023.xlsx]原始数据'!$A:$A,0)),""))</f>
        <v/>
      </c>
      <c r="P60">
        <f>IF($A60="","",IFERROR(INDEX('[AQ_2024.xlsx]原始数据'!$D:$D,MATCH($A60,'[AQ_2024.xlsx]原始数据'!$A:$A,0)),""))</f>
        <v/>
      </c>
      <c r="Q60">
        <f>IF($A60="","",IFERROR(INDEX('[AQ_2020.xlsx]原始数据'!$E:$E,MATCH($A60,'[AQ_2020.xlsx]原始数据'!$A:$A,0)),""))</f>
        <v/>
      </c>
      <c r="R60">
        <f>IF($A60="","",IFERROR(INDEX('[AQ_2021.xlsx]原始数据'!$E:$E,MATCH($A60,'[AQ_2021.xlsx]原始数据'!$A:$A,0)),""))</f>
        <v/>
      </c>
      <c r="S60">
        <f>IF($A60="","",IFERROR(INDEX('[AQ_2022.xlsx]原始数据'!$E:$E,MATCH($A60,'[AQ_2022.xlsx]原始数据'!$A:$A,0)),""))</f>
        <v/>
      </c>
      <c r="T60">
        <f>IF($A60="","",IFERROR(INDEX('[AQ_2023.xlsx]原始数据'!$E:$E,MATCH($A60,'[AQ_2023.xlsx]原始数据'!$A:$A,0)),""))</f>
        <v/>
      </c>
      <c r="U60">
        <f>IF($A60="","",IFERROR(INDEX('[AQ_2024.xlsx]原始数据'!$E:$E,MATCH($A60,'[AQ_2024.xlsx]原始数据'!$A:$A,0)),""))</f>
        <v/>
      </c>
      <c r="V60">
        <f>IF($A60="","",IFERROR(INDEX('[AQ_2020.xlsx]原始数据'!$F:$F,MATCH($A60,'[AQ_2020.xlsx]原始数据'!$A:$A,0)),""))</f>
        <v/>
      </c>
      <c r="W60">
        <f>IF($A60="","",IFERROR(INDEX('[AQ_2021.xlsx]原始数据'!$F:$F,MATCH($A60,'[AQ_2021.xlsx]原始数据'!$A:$A,0)),""))</f>
        <v/>
      </c>
      <c r="X60">
        <f>IF($A60="","",IFERROR(INDEX('[AQ_2022.xlsx]原始数据'!$F:$F,MATCH($A60,'[AQ_2022.xlsx]原始数据'!$A:$A,0)),""))</f>
        <v/>
      </c>
      <c r="Y60">
        <f>IF($A60="","",IFERROR(INDEX('[AQ_2023.xlsx]原始数据'!$F:$F,MATCH($A60,'[AQ_2023.xlsx]原始数据'!$A:$A,0)),""))</f>
        <v/>
      </c>
      <c r="Z60">
        <f>IF($A60="","",IFERROR(INDEX('[AQ_2024.xlsx]原始数据'!$F:$F,MATCH($A60,'[AQ_2024.xlsx]原始数据'!$A:$A,0)),""))</f>
        <v/>
      </c>
      <c r="AA60" s="2">
        <f>IFERROR(G60/B60,"")</f>
        <v/>
      </c>
      <c r="AB60" s="2">
        <f>IFERROR(H60/C60,"")</f>
        <v/>
      </c>
      <c r="AC60" s="2">
        <f>IFERROR(I60/D60,"")</f>
        <v/>
      </c>
      <c r="AD60" s="2">
        <f>IFERROR(J60/E60,"")</f>
        <v/>
      </c>
      <c r="AE60" s="2">
        <f>IFERROR(K60/F60,"")</f>
        <v/>
      </c>
      <c r="AF60" s="2">
        <f>IFERROR(L60/B60,"")</f>
        <v/>
      </c>
      <c r="AG60" s="2">
        <f>IFERROR(M60/C60,"")</f>
        <v/>
      </c>
      <c r="AH60" s="2">
        <f>IFERROR(N60/D60,"")</f>
        <v/>
      </c>
      <c r="AI60" s="2">
        <f>IFERROR(O60/E60,"")</f>
        <v/>
      </c>
      <c r="AJ60" s="2">
        <f>IFERROR(P60/F60,"")</f>
        <v/>
      </c>
      <c r="AK60" s="2">
        <f>IFERROR(Q60/B60,"")</f>
        <v/>
      </c>
      <c r="AL60" s="2">
        <f>IFERROR(R60/C60,"")</f>
        <v/>
      </c>
      <c r="AM60" s="2">
        <f>IFERROR(S60/D60,"")</f>
        <v/>
      </c>
      <c r="AN60" s="2">
        <f>IFERROR(T60/E60,"")</f>
        <v/>
      </c>
      <c r="AO60" s="2">
        <f>IFERROR(U60/F60,"")</f>
        <v/>
      </c>
    </row>
    <row r="61">
      <c r="B61">
        <f>IF($A61="","",IFERROR(INDEX('[AQ_2020.xlsx]原始数据'!$B:$B,MATCH($A61,'[AQ_2020.xlsx]原始数据'!$A:$A,0)),""))</f>
        <v/>
      </c>
      <c r="C61">
        <f>IF($A61="","",IFERROR(INDEX('[AQ_2021.xlsx]原始数据'!$B:$B,MATCH($A61,'[AQ_2021.xlsx]原始数据'!$A:$A,0)),""))</f>
        <v/>
      </c>
      <c r="D61">
        <f>IF($A61="","",IFERROR(INDEX('[AQ_2022.xlsx]原始数据'!$B:$B,MATCH($A61,'[AQ_2022.xlsx]原始数据'!$A:$A,0)),""))</f>
        <v/>
      </c>
      <c r="E61">
        <f>IF($A61="","",IFERROR(INDEX('[AQ_2023.xlsx]原始数据'!$B:$B,MATCH($A61,'[AQ_2023.xlsx]原始数据'!$A:$A,0)),""))</f>
        <v/>
      </c>
      <c r="F61">
        <f>IF($A61="","",IFERROR(INDEX('[AQ_2024.xlsx]原始数据'!$B:$B,MATCH($A61,'[AQ_2024.xlsx]原始数据'!$A:$A,0)),""))</f>
        <v/>
      </c>
      <c r="G61">
        <f>IF($A61="","",IFERROR(INDEX('[AQ_2020.xlsx]原始数据'!$C:$C,MATCH($A61,'[AQ_2020.xlsx]原始数据'!$A:$A,0)),""))</f>
        <v/>
      </c>
      <c r="H61">
        <f>IF($A61="","",IFERROR(INDEX('[AQ_2021.xlsx]原始数据'!$C:$C,MATCH($A61,'[AQ_2021.xlsx]原始数据'!$A:$A,0)),""))</f>
        <v/>
      </c>
      <c r="I61">
        <f>IF($A61="","",IFERROR(INDEX('[AQ_2022.xlsx]原始数据'!$C:$C,MATCH($A61,'[AQ_2022.xlsx]原始数据'!$A:$A,0)),""))</f>
        <v/>
      </c>
      <c r="J61">
        <f>IF($A61="","",IFERROR(INDEX('[AQ_2023.xlsx]原始数据'!$C:$C,MATCH($A61,'[AQ_2023.xlsx]原始数据'!$A:$A,0)),""))</f>
        <v/>
      </c>
      <c r="K61">
        <f>IF($A61="","",IFERROR(INDEX('[AQ_2024.xlsx]原始数据'!$C:$C,MATCH($A61,'[AQ_2024.xlsx]原始数据'!$A:$A,0)),""))</f>
        <v/>
      </c>
      <c r="L61">
        <f>IF($A61="","",IFERROR(INDEX('[AQ_2020.xlsx]原始数据'!$D:$D,MATCH($A61,'[AQ_2020.xlsx]原始数据'!$A:$A,0)),""))</f>
        <v/>
      </c>
      <c r="M61">
        <f>IF($A61="","",IFERROR(INDEX('[AQ_2021.xlsx]原始数据'!$D:$D,MATCH($A61,'[AQ_2021.xlsx]原始数据'!$A:$A,0)),""))</f>
        <v/>
      </c>
      <c r="N61">
        <f>IF($A61="","",IFERROR(INDEX('[AQ_2022.xlsx]原始数据'!$D:$D,MATCH($A61,'[AQ_2022.xlsx]原始数据'!$A:$A,0)),""))</f>
        <v/>
      </c>
      <c r="O61">
        <f>IF($A61="","",IFERROR(INDEX('[AQ_2023.xlsx]原始数据'!$D:$D,MATCH($A61,'[AQ_2023.xlsx]原始数据'!$A:$A,0)),""))</f>
        <v/>
      </c>
      <c r="P61">
        <f>IF($A61="","",IFERROR(INDEX('[AQ_2024.xlsx]原始数据'!$D:$D,MATCH($A61,'[AQ_2024.xlsx]原始数据'!$A:$A,0)),""))</f>
        <v/>
      </c>
      <c r="Q61">
        <f>IF($A61="","",IFERROR(INDEX('[AQ_2020.xlsx]原始数据'!$E:$E,MATCH($A61,'[AQ_2020.xlsx]原始数据'!$A:$A,0)),""))</f>
        <v/>
      </c>
      <c r="R61">
        <f>IF($A61="","",IFERROR(INDEX('[AQ_2021.xlsx]原始数据'!$E:$E,MATCH($A61,'[AQ_2021.xlsx]原始数据'!$A:$A,0)),""))</f>
        <v/>
      </c>
      <c r="S61">
        <f>IF($A61="","",IFERROR(INDEX('[AQ_2022.xlsx]原始数据'!$E:$E,MATCH($A61,'[AQ_2022.xlsx]原始数据'!$A:$A,0)),""))</f>
        <v/>
      </c>
      <c r="T61">
        <f>IF($A61="","",IFERROR(INDEX('[AQ_2023.xlsx]原始数据'!$E:$E,MATCH($A61,'[AQ_2023.xlsx]原始数据'!$A:$A,0)),""))</f>
        <v/>
      </c>
      <c r="U61">
        <f>IF($A61="","",IFERROR(INDEX('[AQ_2024.xlsx]原始数据'!$E:$E,MATCH($A61,'[AQ_2024.xlsx]原始数据'!$A:$A,0)),""))</f>
        <v/>
      </c>
      <c r="V61">
        <f>IF($A61="","",IFERROR(INDEX('[AQ_2020.xlsx]原始数据'!$F:$F,MATCH($A61,'[AQ_2020.xlsx]原始数据'!$A:$A,0)),""))</f>
        <v/>
      </c>
      <c r="W61">
        <f>IF($A61="","",IFERROR(INDEX('[AQ_2021.xlsx]原始数据'!$F:$F,MATCH($A61,'[AQ_2021.xlsx]原始数据'!$A:$A,0)),""))</f>
        <v/>
      </c>
      <c r="X61">
        <f>IF($A61="","",IFERROR(INDEX('[AQ_2022.xlsx]原始数据'!$F:$F,MATCH($A61,'[AQ_2022.xlsx]原始数据'!$A:$A,0)),""))</f>
        <v/>
      </c>
      <c r="Y61">
        <f>IF($A61="","",IFERROR(INDEX('[AQ_2023.xlsx]原始数据'!$F:$F,MATCH($A61,'[AQ_2023.xlsx]原始数据'!$A:$A,0)),""))</f>
        <v/>
      </c>
      <c r="Z61">
        <f>IF($A61="","",IFERROR(INDEX('[AQ_2024.xlsx]原始数据'!$F:$F,MATCH($A61,'[AQ_2024.xlsx]原始数据'!$A:$A,0)),""))</f>
        <v/>
      </c>
      <c r="AA61" s="2">
        <f>IFERROR(G61/B61,"")</f>
        <v/>
      </c>
      <c r="AB61" s="2">
        <f>IFERROR(H61/C61,"")</f>
        <v/>
      </c>
      <c r="AC61" s="2">
        <f>IFERROR(I61/D61,"")</f>
        <v/>
      </c>
      <c r="AD61" s="2">
        <f>IFERROR(J61/E61,"")</f>
        <v/>
      </c>
      <c r="AE61" s="2">
        <f>IFERROR(K61/F61,"")</f>
        <v/>
      </c>
      <c r="AF61" s="2">
        <f>IFERROR(L61/B61,"")</f>
        <v/>
      </c>
      <c r="AG61" s="2">
        <f>IFERROR(M61/C61,"")</f>
        <v/>
      </c>
      <c r="AH61" s="2">
        <f>IFERROR(N61/D61,"")</f>
        <v/>
      </c>
      <c r="AI61" s="2">
        <f>IFERROR(O61/E61,"")</f>
        <v/>
      </c>
      <c r="AJ61" s="2">
        <f>IFERROR(P61/F61,"")</f>
        <v/>
      </c>
      <c r="AK61" s="2">
        <f>IFERROR(Q61/B61,"")</f>
        <v/>
      </c>
      <c r="AL61" s="2">
        <f>IFERROR(R61/C61,"")</f>
        <v/>
      </c>
      <c r="AM61" s="2">
        <f>IFERROR(S61/D61,"")</f>
        <v/>
      </c>
      <c r="AN61" s="2">
        <f>IFERROR(T61/E61,"")</f>
        <v/>
      </c>
      <c r="AO61" s="2">
        <f>IFERROR(U61/F61,"")</f>
        <v/>
      </c>
    </row>
    <row r="62">
      <c r="B62">
        <f>IF($A62="","",IFERROR(INDEX('[AQ_2020.xlsx]原始数据'!$B:$B,MATCH($A62,'[AQ_2020.xlsx]原始数据'!$A:$A,0)),""))</f>
        <v/>
      </c>
      <c r="C62">
        <f>IF($A62="","",IFERROR(INDEX('[AQ_2021.xlsx]原始数据'!$B:$B,MATCH($A62,'[AQ_2021.xlsx]原始数据'!$A:$A,0)),""))</f>
        <v/>
      </c>
      <c r="D62">
        <f>IF($A62="","",IFERROR(INDEX('[AQ_2022.xlsx]原始数据'!$B:$B,MATCH($A62,'[AQ_2022.xlsx]原始数据'!$A:$A,0)),""))</f>
        <v/>
      </c>
      <c r="E62">
        <f>IF($A62="","",IFERROR(INDEX('[AQ_2023.xlsx]原始数据'!$B:$B,MATCH($A62,'[AQ_2023.xlsx]原始数据'!$A:$A,0)),""))</f>
        <v/>
      </c>
      <c r="F62">
        <f>IF($A62="","",IFERROR(INDEX('[AQ_2024.xlsx]原始数据'!$B:$B,MATCH($A62,'[AQ_2024.xlsx]原始数据'!$A:$A,0)),""))</f>
        <v/>
      </c>
      <c r="G62">
        <f>IF($A62="","",IFERROR(INDEX('[AQ_2020.xlsx]原始数据'!$C:$C,MATCH($A62,'[AQ_2020.xlsx]原始数据'!$A:$A,0)),""))</f>
        <v/>
      </c>
      <c r="H62">
        <f>IF($A62="","",IFERROR(INDEX('[AQ_2021.xlsx]原始数据'!$C:$C,MATCH($A62,'[AQ_2021.xlsx]原始数据'!$A:$A,0)),""))</f>
        <v/>
      </c>
      <c r="I62">
        <f>IF($A62="","",IFERROR(INDEX('[AQ_2022.xlsx]原始数据'!$C:$C,MATCH($A62,'[AQ_2022.xlsx]原始数据'!$A:$A,0)),""))</f>
        <v/>
      </c>
      <c r="J62">
        <f>IF($A62="","",IFERROR(INDEX('[AQ_2023.xlsx]原始数据'!$C:$C,MATCH($A62,'[AQ_2023.xlsx]原始数据'!$A:$A,0)),""))</f>
        <v/>
      </c>
      <c r="K62">
        <f>IF($A62="","",IFERROR(INDEX('[AQ_2024.xlsx]原始数据'!$C:$C,MATCH($A62,'[AQ_2024.xlsx]原始数据'!$A:$A,0)),""))</f>
        <v/>
      </c>
      <c r="L62">
        <f>IF($A62="","",IFERROR(INDEX('[AQ_2020.xlsx]原始数据'!$D:$D,MATCH($A62,'[AQ_2020.xlsx]原始数据'!$A:$A,0)),""))</f>
        <v/>
      </c>
      <c r="M62">
        <f>IF($A62="","",IFERROR(INDEX('[AQ_2021.xlsx]原始数据'!$D:$D,MATCH($A62,'[AQ_2021.xlsx]原始数据'!$A:$A,0)),""))</f>
        <v/>
      </c>
      <c r="N62">
        <f>IF($A62="","",IFERROR(INDEX('[AQ_2022.xlsx]原始数据'!$D:$D,MATCH($A62,'[AQ_2022.xlsx]原始数据'!$A:$A,0)),""))</f>
        <v/>
      </c>
      <c r="O62">
        <f>IF($A62="","",IFERROR(INDEX('[AQ_2023.xlsx]原始数据'!$D:$D,MATCH($A62,'[AQ_2023.xlsx]原始数据'!$A:$A,0)),""))</f>
        <v/>
      </c>
      <c r="P62">
        <f>IF($A62="","",IFERROR(INDEX('[AQ_2024.xlsx]原始数据'!$D:$D,MATCH($A62,'[AQ_2024.xlsx]原始数据'!$A:$A,0)),""))</f>
        <v/>
      </c>
      <c r="Q62">
        <f>IF($A62="","",IFERROR(INDEX('[AQ_2020.xlsx]原始数据'!$E:$E,MATCH($A62,'[AQ_2020.xlsx]原始数据'!$A:$A,0)),""))</f>
        <v/>
      </c>
      <c r="R62">
        <f>IF($A62="","",IFERROR(INDEX('[AQ_2021.xlsx]原始数据'!$E:$E,MATCH($A62,'[AQ_2021.xlsx]原始数据'!$A:$A,0)),""))</f>
        <v/>
      </c>
      <c r="S62">
        <f>IF($A62="","",IFERROR(INDEX('[AQ_2022.xlsx]原始数据'!$E:$E,MATCH($A62,'[AQ_2022.xlsx]原始数据'!$A:$A,0)),""))</f>
        <v/>
      </c>
      <c r="T62">
        <f>IF($A62="","",IFERROR(INDEX('[AQ_2023.xlsx]原始数据'!$E:$E,MATCH($A62,'[AQ_2023.xlsx]原始数据'!$A:$A,0)),""))</f>
        <v/>
      </c>
      <c r="U62">
        <f>IF($A62="","",IFERROR(INDEX('[AQ_2024.xlsx]原始数据'!$E:$E,MATCH($A62,'[AQ_2024.xlsx]原始数据'!$A:$A,0)),""))</f>
        <v/>
      </c>
      <c r="V62">
        <f>IF($A62="","",IFERROR(INDEX('[AQ_2020.xlsx]原始数据'!$F:$F,MATCH($A62,'[AQ_2020.xlsx]原始数据'!$A:$A,0)),""))</f>
        <v/>
      </c>
      <c r="W62">
        <f>IF($A62="","",IFERROR(INDEX('[AQ_2021.xlsx]原始数据'!$F:$F,MATCH($A62,'[AQ_2021.xlsx]原始数据'!$A:$A,0)),""))</f>
        <v/>
      </c>
      <c r="X62">
        <f>IF($A62="","",IFERROR(INDEX('[AQ_2022.xlsx]原始数据'!$F:$F,MATCH($A62,'[AQ_2022.xlsx]原始数据'!$A:$A,0)),""))</f>
        <v/>
      </c>
      <c r="Y62">
        <f>IF($A62="","",IFERROR(INDEX('[AQ_2023.xlsx]原始数据'!$F:$F,MATCH($A62,'[AQ_2023.xlsx]原始数据'!$A:$A,0)),""))</f>
        <v/>
      </c>
      <c r="Z62">
        <f>IF($A62="","",IFERROR(INDEX('[AQ_2024.xlsx]原始数据'!$F:$F,MATCH($A62,'[AQ_2024.xlsx]原始数据'!$A:$A,0)),""))</f>
        <v/>
      </c>
      <c r="AA62" s="2">
        <f>IFERROR(G62/B62,"")</f>
        <v/>
      </c>
      <c r="AB62" s="2">
        <f>IFERROR(H62/C62,"")</f>
        <v/>
      </c>
      <c r="AC62" s="2">
        <f>IFERROR(I62/D62,"")</f>
        <v/>
      </c>
      <c r="AD62" s="2">
        <f>IFERROR(J62/E62,"")</f>
        <v/>
      </c>
      <c r="AE62" s="2">
        <f>IFERROR(K62/F62,"")</f>
        <v/>
      </c>
      <c r="AF62" s="2">
        <f>IFERROR(L62/B62,"")</f>
        <v/>
      </c>
      <c r="AG62" s="2">
        <f>IFERROR(M62/C62,"")</f>
        <v/>
      </c>
      <c r="AH62" s="2">
        <f>IFERROR(N62/D62,"")</f>
        <v/>
      </c>
      <c r="AI62" s="2">
        <f>IFERROR(O62/E62,"")</f>
        <v/>
      </c>
      <c r="AJ62" s="2">
        <f>IFERROR(P62/F62,"")</f>
        <v/>
      </c>
      <c r="AK62" s="2">
        <f>IFERROR(Q62/B62,"")</f>
        <v/>
      </c>
      <c r="AL62" s="2">
        <f>IFERROR(R62/C62,"")</f>
        <v/>
      </c>
      <c r="AM62" s="2">
        <f>IFERROR(S62/D62,"")</f>
        <v/>
      </c>
      <c r="AN62" s="2">
        <f>IFERROR(T62/E62,"")</f>
        <v/>
      </c>
      <c r="AO62" s="2">
        <f>IFERROR(U62/F62,"")</f>
        <v/>
      </c>
    </row>
    <row r="63">
      <c r="B63">
        <f>IF($A63="","",IFERROR(INDEX('[AQ_2020.xlsx]原始数据'!$B:$B,MATCH($A63,'[AQ_2020.xlsx]原始数据'!$A:$A,0)),""))</f>
        <v/>
      </c>
      <c r="C63">
        <f>IF($A63="","",IFERROR(INDEX('[AQ_2021.xlsx]原始数据'!$B:$B,MATCH($A63,'[AQ_2021.xlsx]原始数据'!$A:$A,0)),""))</f>
        <v/>
      </c>
      <c r="D63">
        <f>IF($A63="","",IFERROR(INDEX('[AQ_2022.xlsx]原始数据'!$B:$B,MATCH($A63,'[AQ_2022.xlsx]原始数据'!$A:$A,0)),""))</f>
        <v/>
      </c>
      <c r="E63">
        <f>IF($A63="","",IFERROR(INDEX('[AQ_2023.xlsx]原始数据'!$B:$B,MATCH($A63,'[AQ_2023.xlsx]原始数据'!$A:$A,0)),""))</f>
        <v/>
      </c>
      <c r="F63">
        <f>IF($A63="","",IFERROR(INDEX('[AQ_2024.xlsx]原始数据'!$B:$B,MATCH($A63,'[AQ_2024.xlsx]原始数据'!$A:$A,0)),""))</f>
        <v/>
      </c>
      <c r="G63">
        <f>IF($A63="","",IFERROR(INDEX('[AQ_2020.xlsx]原始数据'!$C:$C,MATCH($A63,'[AQ_2020.xlsx]原始数据'!$A:$A,0)),""))</f>
        <v/>
      </c>
      <c r="H63">
        <f>IF($A63="","",IFERROR(INDEX('[AQ_2021.xlsx]原始数据'!$C:$C,MATCH($A63,'[AQ_2021.xlsx]原始数据'!$A:$A,0)),""))</f>
        <v/>
      </c>
      <c r="I63">
        <f>IF($A63="","",IFERROR(INDEX('[AQ_2022.xlsx]原始数据'!$C:$C,MATCH($A63,'[AQ_2022.xlsx]原始数据'!$A:$A,0)),""))</f>
        <v/>
      </c>
      <c r="J63">
        <f>IF($A63="","",IFERROR(INDEX('[AQ_2023.xlsx]原始数据'!$C:$C,MATCH($A63,'[AQ_2023.xlsx]原始数据'!$A:$A,0)),""))</f>
        <v/>
      </c>
      <c r="K63">
        <f>IF($A63="","",IFERROR(INDEX('[AQ_2024.xlsx]原始数据'!$C:$C,MATCH($A63,'[AQ_2024.xlsx]原始数据'!$A:$A,0)),""))</f>
        <v/>
      </c>
      <c r="L63">
        <f>IF($A63="","",IFERROR(INDEX('[AQ_2020.xlsx]原始数据'!$D:$D,MATCH($A63,'[AQ_2020.xlsx]原始数据'!$A:$A,0)),""))</f>
        <v/>
      </c>
      <c r="M63">
        <f>IF($A63="","",IFERROR(INDEX('[AQ_2021.xlsx]原始数据'!$D:$D,MATCH($A63,'[AQ_2021.xlsx]原始数据'!$A:$A,0)),""))</f>
        <v/>
      </c>
      <c r="N63">
        <f>IF($A63="","",IFERROR(INDEX('[AQ_2022.xlsx]原始数据'!$D:$D,MATCH($A63,'[AQ_2022.xlsx]原始数据'!$A:$A,0)),""))</f>
        <v/>
      </c>
      <c r="O63">
        <f>IF($A63="","",IFERROR(INDEX('[AQ_2023.xlsx]原始数据'!$D:$D,MATCH($A63,'[AQ_2023.xlsx]原始数据'!$A:$A,0)),""))</f>
        <v/>
      </c>
      <c r="P63">
        <f>IF($A63="","",IFERROR(INDEX('[AQ_2024.xlsx]原始数据'!$D:$D,MATCH($A63,'[AQ_2024.xlsx]原始数据'!$A:$A,0)),""))</f>
        <v/>
      </c>
      <c r="Q63">
        <f>IF($A63="","",IFERROR(INDEX('[AQ_2020.xlsx]原始数据'!$E:$E,MATCH($A63,'[AQ_2020.xlsx]原始数据'!$A:$A,0)),""))</f>
        <v/>
      </c>
      <c r="R63">
        <f>IF($A63="","",IFERROR(INDEX('[AQ_2021.xlsx]原始数据'!$E:$E,MATCH($A63,'[AQ_2021.xlsx]原始数据'!$A:$A,0)),""))</f>
        <v/>
      </c>
      <c r="S63">
        <f>IF($A63="","",IFERROR(INDEX('[AQ_2022.xlsx]原始数据'!$E:$E,MATCH($A63,'[AQ_2022.xlsx]原始数据'!$A:$A,0)),""))</f>
        <v/>
      </c>
      <c r="T63">
        <f>IF($A63="","",IFERROR(INDEX('[AQ_2023.xlsx]原始数据'!$E:$E,MATCH($A63,'[AQ_2023.xlsx]原始数据'!$A:$A,0)),""))</f>
        <v/>
      </c>
      <c r="U63">
        <f>IF($A63="","",IFERROR(INDEX('[AQ_2024.xlsx]原始数据'!$E:$E,MATCH($A63,'[AQ_2024.xlsx]原始数据'!$A:$A,0)),""))</f>
        <v/>
      </c>
      <c r="V63">
        <f>IF($A63="","",IFERROR(INDEX('[AQ_2020.xlsx]原始数据'!$F:$F,MATCH($A63,'[AQ_2020.xlsx]原始数据'!$A:$A,0)),""))</f>
        <v/>
      </c>
      <c r="W63">
        <f>IF($A63="","",IFERROR(INDEX('[AQ_2021.xlsx]原始数据'!$F:$F,MATCH($A63,'[AQ_2021.xlsx]原始数据'!$A:$A,0)),""))</f>
        <v/>
      </c>
      <c r="X63">
        <f>IF($A63="","",IFERROR(INDEX('[AQ_2022.xlsx]原始数据'!$F:$F,MATCH($A63,'[AQ_2022.xlsx]原始数据'!$A:$A,0)),""))</f>
        <v/>
      </c>
      <c r="Y63">
        <f>IF($A63="","",IFERROR(INDEX('[AQ_2023.xlsx]原始数据'!$F:$F,MATCH($A63,'[AQ_2023.xlsx]原始数据'!$A:$A,0)),""))</f>
        <v/>
      </c>
      <c r="Z63">
        <f>IF($A63="","",IFERROR(INDEX('[AQ_2024.xlsx]原始数据'!$F:$F,MATCH($A63,'[AQ_2024.xlsx]原始数据'!$A:$A,0)),""))</f>
        <v/>
      </c>
      <c r="AA63" s="2">
        <f>IFERROR(G63/B63,"")</f>
        <v/>
      </c>
      <c r="AB63" s="2">
        <f>IFERROR(H63/C63,"")</f>
        <v/>
      </c>
      <c r="AC63" s="2">
        <f>IFERROR(I63/D63,"")</f>
        <v/>
      </c>
      <c r="AD63" s="2">
        <f>IFERROR(J63/E63,"")</f>
        <v/>
      </c>
      <c r="AE63" s="2">
        <f>IFERROR(K63/F63,"")</f>
        <v/>
      </c>
      <c r="AF63" s="2">
        <f>IFERROR(L63/B63,"")</f>
        <v/>
      </c>
      <c r="AG63" s="2">
        <f>IFERROR(M63/C63,"")</f>
        <v/>
      </c>
      <c r="AH63" s="2">
        <f>IFERROR(N63/D63,"")</f>
        <v/>
      </c>
      <c r="AI63" s="2">
        <f>IFERROR(O63/E63,"")</f>
        <v/>
      </c>
      <c r="AJ63" s="2">
        <f>IFERROR(P63/F63,"")</f>
        <v/>
      </c>
      <c r="AK63" s="2">
        <f>IFERROR(Q63/B63,"")</f>
        <v/>
      </c>
      <c r="AL63" s="2">
        <f>IFERROR(R63/C63,"")</f>
        <v/>
      </c>
      <c r="AM63" s="2">
        <f>IFERROR(S63/D63,"")</f>
        <v/>
      </c>
      <c r="AN63" s="2">
        <f>IFERROR(T63/E63,"")</f>
        <v/>
      </c>
      <c r="AO63" s="2">
        <f>IFERROR(U63/F63,"")</f>
        <v/>
      </c>
    </row>
    <row r="64">
      <c r="B64">
        <f>IF($A64="","",IFERROR(INDEX('[AQ_2020.xlsx]原始数据'!$B:$B,MATCH($A64,'[AQ_2020.xlsx]原始数据'!$A:$A,0)),""))</f>
        <v/>
      </c>
      <c r="C64">
        <f>IF($A64="","",IFERROR(INDEX('[AQ_2021.xlsx]原始数据'!$B:$B,MATCH($A64,'[AQ_2021.xlsx]原始数据'!$A:$A,0)),""))</f>
        <v/>
      </c>
      <c r="D64">
        <f>IF($A64="","",IFERROR(INDEX('[AQ_2022.xlsx]原始数据'!$B:$B,MATCH($A64,'[AQ_2022.xlsx]原始数据'!$A:$A,0)),""))</f>
        <v/>
      </c>
      <c r="E64">
        <f>IF($A64="","",IFERROR(INDEX('[AQ_2023.xlsx]原始数据'!$B:$B,MATCH($A64,'[AQ_2023.xlsx]原始数据'!$A:$A,0)),""))</f>
        <v/>
      </c>
      <c r="F64">
        <f>IF($A64="","",IFERROR(INDEX('[AQ_2024.xlsx]原始数据'!$B:$B,MATCH($A64,'[AQ_2024.xlsx]原始数据'!$A:$A,0)),""))</f>
        <v/>
      </c>
      <c r="G64">
        <f>IF($A64="","",IFERROR(INDEX('[AQ_2020.xlsx]原始数据'!$C:$C,MATCH($A64,'[AQ_2020.xlsx]原始数据'!$A:$A,0)),""))</f>
        <v/>
      </c>
      <c r="H64">
        <f>IF($A64="","",IFERROR(INDEX('[AQ_2021.xlsx]原始数据'!$C:$C,MATCH($A64,'[AQ_2021.xlsx]原始数据'!$A:$A,0)),""))</f>
        <v/>
      </c>
      <c r="I64">
        <f>IF($A64="","",IFERROR(INDEX('[AQ_2022.xlsx]原始数据'!$C:$C,MATCH($A64,'[AQ_2022.xlsx]原始数据'!$A:$A,0)),""))</f>
        <v/>
      </c>
      <c r="J64">
        <f>IF($A64="","",IFERROR(INDEX('[AQ_2023.xlsx]原始数据'!$C:$C,MATCH($A64,'[AQ_2023.xlsx]原始数据'!$A:$A,0)),""))</f>
        <v/>
      </c>
      <c r="K64">
        <f>IF($A64="","",IFERROR(INDEX('[AQ_2024.xlsx]原始数据'!$C:$C,MATCH($A64,'[AQ_2024.xlsx]原始数据'!$A:$A,0)),""))</f>
        <v/>
      </c>
      <c r="L64">
        <f>IF($A64="","",IFERROR(INDEX('[AQ_2020.xlsx]原始数据'!$D:$D,MATCH($A64,'[AQ_2020.xlsx]原始数据'!$A:$A,0)),""))</f>
        <v/>
      </c>
      <c r="M64">
        <f>IF($A64="","",IFERROR(INDEX('[AQ_2021.xlsx]原始数据'!$D:$D,MATCH($A64,'[AQ_2021.xlsx]原始数据'!$A:$A,0)),""))</f>
        <v/>
      </c>
      <c r="N64">
        <f>IF($A64="","",IFERROR(INDEX('[AQ_2022.xlsx]原始数据'!$D:$D,MATCH($A64,'[AQ_2022.xlsx]原始数据'!$A:$A,0)),""))</f>
        <v/>
      </c>
      <c r="O64">
        <f>IF($A64="","",IFERROR(INDEX('[AQ_2023.xlsx]原始数据'!$D:$D,MATCH($A64,'[AQ_2023.xlsx]原始数据'!$A:$A,0)),""))</f>
        <v/>
      </c>
      <c r="P64">
        <f>IF($A64="","",IFERROR(INDEX('[AQ_2024.xlsx]原始数据'!$D:$D,MATCH($A64,'[AQ_2024.xlsx]原始数据'!$A:$A,0)),""))</f>
        <v/>
      </c>
      <c r="Q64">
        <f>IF($A64="","",IFERROR(INDEX('[AQ_2020.xlsx]原始数据'!$E:$E,MATCH($A64,'[AQ_2020.xlsx]原始数据'!$A:$A,0)),""))</f>
        <v/>
      </c>
      <c r="R64">
        <f>IF($A64="","",IFERROR(INDEX('[AQ_2021.xlsx]原始数据'!$E:$E,MATCH($A64,'[AQ_2021.xlsx]原始数据'!$A:$A,0)),""))</f>
        <v/>
      </c>
      <c r="S64">
        <f>IF($A64="","",IFERROR(INDEX('[AQ_2022.xlsx]原始数据'!$E:$E,MATCH($A64,'[AQ_2022.xlsx]原始数据'!$A:$A,0)),""))</f>
        <v/>
      </c>
      <c r="T64">
        <f>IF($A64="","",IFERROR(INDEX('[AQ_2023.xlsx]原始数据'!$E:$E,MATCH($A64,'[AQ_2023.xlsx]原始数据'!$A:$A,0)),""))</f>
        <v/>
      </c>
      <c r="U64">
        <f>IF($A64="","",IFERROR(INDEX('[AQ_2024.xlsx]原始数据'!$E:$E,MATCH($A64,'[AQ_2024.xlsx]原始数据'!$A:$A,0)),""))</f>
        <v/>
      </c>
      <c r="V64">
        <f>IF($A64="","",IFERROR(INDEX('[AQ_2020.xlsx]原始数据'!$F:$F,MATCH($A64,'[AQ_2020.xlsx]原始数据'!$A:$A,0)),""))</f>
        <v/>
      </c>
      <c r="W64">
        <f>IF($A64="","",IFERROR(INDEX('[AQ_2021.xlsx]原始数据'!$F:$F,MATCH($A64,'[AQ_2021.xlsx]原始数据'!$A:$A,0)),""))</f>
        <v/>
      </c>
      <c r="X64">
        <f>IF($A64="","",IFERROR(INDEX('[AQ_2022.xlsx]原始数据'!$F:$F,MATCH($A64,'[AQ_2022.xlsx]原始数据'!$A:$A,0)),""))</f>
        <v/>
      </c>
      <c r="Y64">
        <f>IF($A64="","",IFERROR(INDEX('[AQ_2023.xlsx]原始数据'!$F:$F,MATCH($A64,'[AQ_2023.xlsx]原始数据'!$A:$A,0)),""))</f>
        <v/>
      </c>
      <c r="Z64">
        <f>IF($A64="","",IFERROR(INDEX('[AQ_2024.xlsx]原始数据'!$F:$F,MATCH($A64,'[AQ_2024.xlsx]原始数据'!$A:$A,0)),""))</f>
        <v/>
      </c>
      <c r="AA64" s="2">
        <f>IFERROR(G64/B64,"")</f>
        <v/>
      </c>
      <c r="AB64" s="2">
        <f>IFERROR(H64/C64,"")</f>
        <v/>
      </c>
      <c r="AC64" s="2">
        <f>IFERROR(I64/D64,"")</f>
        <v/>
      </c>
      <c r="AD64" s="2">
        <f>IFERROR(J64/E64,"")</f>
        <v/>
      </c>
      <c r="AE64" s="2">
        <f>IFERROR(K64/F64,"")</f>
        <v/>
      </c>
      <c r="AF64" s="2">
        <f>IFERROR(L64/B64,"")</f>
        <v/>
      </c>
      <c r="AG64" s="2">
        <f>IFERROR(M64/C64,"")</f>
        <v/>
      </c>
      <c r="AH64" s="2">
        <f>IFERROR(N64/D64,"")</f>
        <v/>
      </c>
      <c r="AI64" s="2">
        <f>IFERROR(O64/E64,"")</f>
        <v/>
      </c>
      <c r="AJ64" s="2">
        <f>IFERROR(P64/F64,"")</f>
        <v/>
      </c>
      <c r="AK64" s="2">
        <f>IFERROR(Q64/B64,"")</f>
        <v/>
      </c>
      <c r="AL64" s="2">
        <f>IFERROR(R64/C64,"")</f>
        <v/>
      </c>
      <c r="AM64" s="2">
        <f>IFERROR(S64/D64,"")</f>
        <v/>
      </c>
      <c r="AN64" s="2">
        <f>IFERROR(T64/E64,"")</f>
        <v/>
      </c>
      <c r="AO64" s="2">
        <f>IFERROR(U64/F64,"")</f>
        <v/>
      </c>
    </row>
    <row r="65">
      <c r="B65">
        <f>IF($A65="","",IFERROR(INDEX('[AQ_2020.xlsx]原始数据'!$B:$B,MATCH($A65,'[AQ_2020.xlsx]原始数据'!$A:$A,0)),""))</f>
        <v/>
      </c>
      <c r="C65">
        <f>IF($A65="","",IFERROR(INDEX('[AQ_2021.xlsx]原始数据'!$B:$B,MATCH($A65,'[AQ_2021.xlsx]原始数据'!$A:$A,0)),""))</f>
        <v/>
      </c>
      <c r="D65">
        <f>IF($A65="","",IFERROR(INDEX('[AQ_2022.xlsx]原始数据'!$B:$B,MATCH($A65,'[AQ_2022.xlsx]原始数据'!$A:$A,0)),""))</f>
        <v/>
      </c>
      <c r="E65">
        <f>IF($A65="","",IFERROR(INDEX('[AQ_2023.xlsx]原始数据'!$B:$B,MATCH($A65,'[AQ_2023.xlsx]原始数据'!$A:$A,0)),""))</f>
        <v/>
      </c>
      <c r="F65">
        <f>IF($A65="","",IFERROR(INDEX('[AQ_2024.xlsx]原始数据'!$B:$B,MATCH($A65,'[AQ_2024.xlsx]原始数据'!$A:$A,0)),""))</f>
        <v/>
      </c>
      <c r="G65">
        <f>IF($A65="","",IFERROR(INDEX('[AQ_2020.xlsx]原始数据'!$C:$C,MATCH($A65,'[AQ_2020.xlsx]原始数据'!$A:$A,0)),""))</f>
        <v/>
      </c>
      <c r="H65">
        <f>IF($A65="","",IFERROR(INDEX('[AQ_2021.xlsx]原始数据'!$C:$C,MATCH($A65,'[AQ_2021.xlsx]原始数据'!$A:$A,0)),""))</f>
        <v/>
      </c>
      <c r="I65">
        <f>IF($A65="","",IFERROR(INDEX('[AQ_2022.xlsx]原始数据'!$C:$C,MATCH($A65,'[AQ_2022.xlsx]原始数据'!$A:$A,0)),""))</f>
        <v/>
      </c>
      <c r="J65">
        <f>IF($A65="","",IFERROR(INDEX('[AQ_2023.xlsx]原始数据'!$C:$C,MATCH($A65,'[AQ_2023.xlsx]原始数据'!$A:$A,0)),""))</f>
        <v/>
      </c>
      <c r="K65">
        <f>IF($A65="","",IFERROR(INDEX('[AQ_2024.xlsx]原始数据'!$C:$C,MATCH($A65,'[AQ_2024.xlsx]原始数据'!$A:$A,0)),""))</f>
        <v/>
      </c>
      <c r="L65">
        <f>IF($A65="","",IFERROR(INDEX('[AQ_2020.xlsx]原始数据'!$D:$D,MATCH($A65,'[AQ_2020.xlsx]原始数据'!$A:$A,0)),""))</f>
        <v/>
      </c>
      <c r="M65">
        <f>IF($A65="","",IFERROR(INDEX('[AQ_2021.xlsx]原始数据'!$D:$D,MATCH($A65,'[AQ_2021.xlsx]原始数据'!$A:$A,0)),""))</f>
        <v/>
      </c>
      <c r="N65">
        <f>IF($A65="","",IFERROR(INDEX('[AQ_2022.xlsx]原始数据'!$D:$D,MATCH($A65,'[AQ_2022.xlsx]原始数据'!$A:$A,0)),""))</f>
        <v/>
      </c>
      <c r="O65">
        <f>IF($A65="","",IFERROR(INDEX('[AQ_2023.xlsx]原始数据'!$D:$D,MATCH($A65,'[AQ_2023.xlsx]原始数据'!$A:$A,0)),""))</f>
        <v/>
      </c>
      <c r="P65">
        <f>IF($A65="","",IFERROR(INDEX('[AQ_2024.xlsx]原始数据'!$D:$D,MATCH($A65,'[AQ_2024.xlsx]原始数据'!$A:$A,0)),""))</f>
        <v/>
      </c>
      <c r="Q65">
        <f>IF($A65="","",IFERROR(INDEX('[AQ_2020.xlsx]原始数据'!$E:$E,MATCH($A65,'[AQ_2020.xlsx]原始数据'!$A:$A,0)),""))</f>
        <v/>
      </c>
      <c r="R65">
        <f>IF($A65="","",IFERROR(INDEX('[AQ_2021.xlsx]原始数据'!$E:$E,MATCH($A65,'[AQ_2021.xlsx]原始数据'!$A:$A,0)),""))</f>
        <v/>
      </c>
      <c r="S65">
        <f>IF($A65="","",IFERROR(INDEX('[AQ_2022.xlsx]原始数据'!$E:$E,MATCH($A65,'[AQ_2022.xlsx]原始数据'!$A:$A,0)),""))</f>
        <v/>
      </c>
      <c r="T65">
        <f>IF($A65="","",IFERROR(INDEX('[AQ_2023.xlsx]原始数据'!$E:$E,MATCH($A65,'[AQ_2023.xlsx]原始数据'!$A:$A,0)),""))</f>
        <v/>
      </c>
      <c r="U65">
        <f>IF($A65="","",IFERROR(INDEX('[AQ_2024.xlsx]原始数据'!$E:$E,MATCH($A65,'[AQ_2024.xlsx]原始数据'!$A:$A,0)),""))</f>
        <v/>
      </c>
      <c r="V65">
        <f>IF($A65="","",IFERROR(INDEX('[AQ_2020.xlsx]原始数据'!$F:$F,MATCH($A65,'[AQ_2020.xlsx]原始数据'!$A:$A,0)),""))</f>
        <v/>
      </c>
      <c r="W65">
        <f>IF($A65="","",IFERROR(INDEX('[AQ_2021.xlsx]原始数据'!$F:$F,MATCH($A65,'[AQ_2021.xlsx]原始数据'!$A:$A,0)),""))</f>
        <v/>
      </c>
      <c r="X65">
        <f>IF($A65="","",IFERROR(INDEX('[AQ_2022.xlsx]原始数据'!$F:$F,MATCH($A65,'[AQ_2022.xlsx]原始数据'!$A:$A,0)),""))</f>
        <v/>
      </c>
      <c r="Y65">
        <f>IF($A65="","",IFERROR(INDEX('[AQ_2023.xlsx]原始数据'!$F:$F,MATCH($A65,'[AQ_2023.xlsx]原始数据'!$A:$A,0)),""))</f>
        <v/>
      </c>
      <c r="Z65">
        <f>IF($A65="","",IFERROR(INDEX('[AQ_2024.xlsx]原始数据'!$F:$F,MATCH($A65,'[AQ_2024.xlsx]原始数据'!$A:$A,0)),""))</f>
        <v/>
      </c>
      <c r="AA65" s="2">
        <f>IFERROR(G65/B65,"")</f>
        <v/>
      </c>
      <c r="AB65" s="2">
        <f>IFERROR(H65/C65,"")</f>
        <v/>
      </c>
      <c r="AC65" s="2">
        <f>IFERROR(I65/D65,"")</f>
        <v/>
      </c>
      <c r="AD65" s="2">
        <f>IFERROR(J65/E65,"")</f>
        <v/>
      </c>
      <c r="AE65" s="2">
        <f>IFERROR(K65/F65,"")</f>
        <v/>
      </c>
      <c r="AF65" s="2">
        <f>IFERROR(L65/B65,"")</f>
        <v/>
      </c>
      <c r="AG65" s="2">
        <f>IFERROR(M65/C65,"")</f>
        <v/>
      </c>
      <c r="AH65" s="2">
        <f>IFERROR(N65/D65,"")</f>
        <v/>
      </c>
      <c r="AI65" s="2">
        <f>IFERROR(O65/E65,"")</f>
        <v/>
      </c>
      <c r="AJ65" s="2">
        <f>IFERROR(P65/F65,"")</f>
        <v/>
      </c>
      <c r="AK65" s="2">
        <f>IFERROR(Q65/B65,"")</f>
        <v/>
      </c>
      <c r="AL65" s="2">
        <f>IFERROR(R65/C65,"")</f>
        <v/>
      </c>
      <c r="AM65" s="2">
        <f>IFERROR(S65/D65,"")</f>
        <v/>
      </c>
      <c r="AN65" s="2">
        <f>IFERROR(T65/E65,"")</f>
        <v/>
      </c>
      <c r="AO65" s="2">
        <f>IFERROR(U65/F65,"")</f>
        <v/>
      </c>
    </row>
    <row r="66">
      <c r="B66">
        <f>IF($A66="","",IFERROR(INDEX('[AQ_2020.xlsx]原始数据'!$B:$B,MATCH($A66,'[AQ_2020.xlsx]原始数据'!$A:$A,0)),""))</f>
        <v/>
      </c>
      <c r="C66">
        <f>IF($A66="","",IFERROR(INDEX('[AQ_2021.xlsx]原始数据'!$B:$B,MATCH($A66,'[AQ_2021.xlsx]原始数据'!$A:$A,0)),""))</f>
        <v/>
      </c>
      <c r="D66">
        <f>IF($A66="","",IFERROR(INDEX('[AQ_2022.xlsx]原始数据'!$B:$B,MATCH($A66,'[AQ_2022.xlsx]原始数据'!$A:$A,0)),""))</f>
        <v/>
      </c>
      <c r="E66">
        <f>IF($A66="","",IFERROR(INDEX('[AQ_2023.xlsx]原始数据'!$B:$B,MATCH($A66,'[AQ_2023.xlsx]原始数据'!$A:$A,0)),""))</f>
        <v/>
      </c>
      <c r="F66">
        <f>IF($A66="","",IFERROR(INDEX('[AQ_2024.xlsx]原始数据'!$B:$B,MATCH($A66,'[AQ_2024.xlsx]原始数据'!$A:$A,0)),""))</f>
        <v/>
      </c>
      <c r="G66">
        <f>IF($A66="","",IFERROR(INDEX('[AQ_2020.xlsx]原始数据'!$C:$C,MATCH($A66,'[AQ_2020.xlsx]原始数据'!$A:$A,0)),""))</f>
        <v/>
      </c>
      <c r="H66">
        <f>IF($A66="","",IFERROR(INDEX('[AQ_2021.xlsx]原始数据'!$C:$C,MATCH($A66,'[AQ_2021.xlsx]原始数据'!$A:$A,0)),""))</f>
        <v/>
      </c>
      <c r="I66">
        <f>IF($A66="","",IFERROR(INDEX('[AQ_2022.xlsx]原始数据'!$C:$C,MATCH($A66,'[AQ_2022.xlsx]原始数据'!$A:$A,0)),""))</f>
        <v/>
      </c>
      <c r="J66">
        <f>IF($A66="","",IFERROR(INDEX('[AQ_2023.xlsx]原始数据'!$C:$C,MATCH($A66,'[AQ_2023.xlsx]原始数据'!$A:$A,0)),""))</f>
        <v/>
      </c>
      <c r="K66">
        <f>IF($A66="","",IFERROR(INDEX('[AQ_2024.xlsx]原始数据'!$C:$C,MATCH($A66,'[AQ_2024.xlsx]原始数据'!$A:$A,0)),""))</f>
        <v/>
      </c>
      <c r="L66">
        <f>IF($A66="","",IFERROR(INDEX('[AQ_2020.xlsx]原始数据'!$D:$D,MATCH($A66,'[AQ_2020.xlsx]原始数据'!$A:$A,0)),""))</f>
        <v/>
      </c>
      <c r="M66">
        <f>IF($A66="","",IFERROR(INDEX('[AQ_2021.xlsx]原始数据'!$D:$D,MATCH($A66,'[AQ_2021.xlsx]原始数据'!$A:$A,0)),""))</f>
        <v/>
      </c>
      <c r="N66">
        <f>IF($A66="","",IFERROR(INDEX('[AQ_2022.xlsx]原始数据'!$D:$D,MATCH($A66,'[AQ_2022.xlsx]原始数据'!$A:$A,0)),""))</f>
        <v/>
      </c>
      <c r="O66">
        <f>IF($A66="","",IFERROR(INDEX('[AQ_2023.xlsx]原始数据'!$D:$D,MATCH($A66,'[AQ_2023.xlsx]原始数据'!$A:$A,0)),""))</f>
        <v/>
      </c>
      <c r="P66">
        <f>IF($A66="","",IFERROR(INDEX('[AQ_2024.xlsx]原始数据'!$D:$D,MATCH($A66,'[AQ_2024.xlsx]原始数据'!$A:$A,0)),""))</f>
        <v/>
      </c>
      <c r="Q66">
        <f>IF($A66="","",IFERROR(INDEX('[AQ_2020.xlsx]原始数据'!$E:$E,MATCH($A66,'[AQ_2020.xlsx]原始数据'!$A:$A,0)),""))</f>
        <v/>
      </c>
      <c r="R66">
        <f>IF($A66="","",IFERROR(INDEX('[AQ_2021.xlsx]原始数据'!$E:$E,MATCH($A66,'[AQ_2021.xlsx]原始数据'!$A:$A,0)),""))</f>
        <v/>
      </c>
      <c r="S66">
        <f>IF($A66="","",IFERROR(INDEX('[AQ_2022.xlsx]原始数据'!$E:$E,MATCH($A66,'[AQ_2022.xlsx]原始数据'!$A:$A,0)),""))</f>
        <v/>
      </c>
      <c r="T66">
        <f>IF($A66="","",IFERROR(INDEX('[AQ_2023.xlsx]原始数据'!$E:$E,MATCH($A66,'[AQ_2023.xlsx]原始数据'!$A:$A,0)),""))</f>
        <v/>
      </c>
      <c r="U66">
        <f>IF($A66="","",IFERROR(INDEX('[AQ_2024.xlsx]原始数据'!$E:$E,MATCH($A66,'[AQ_2024.xlsx]原始数据'!$A:$A,0)),""))</f>
        <v/>
      </c>
      <c r="V66">
        <f>IF($A66="","",IFERROR(INDEX('[AQ_2020.xlsx]原始数据'!$F:$F,MATCH($A66,'[AQ_2020.xlsx]原始数据'!$A:$A,0)),""))</f>
        <v/>
      </c>
      <c r="W66">
        <f>IF($A66="","",IFERROR(INDEX('[AQ_2021.xlsx]原始数据'!$F:$F,MATCH($A66,'[AQ_2021.xlsx]原始数据'!$A:$A,0)),""))</f>
        <v/>
      </c>
      <c r="X66">
        <f>IF($A66="","",IFERROR(INDEX('[AQ_2022.xlsx]原始数据'!$F:$F,MATCH($A66,'[AQ_2022.xlsx]原始数据'!$A:$A,0)),""))</f>
        <v/>
      </c>
      <c r="Y66">
        <f>IF($A66="","",IFERROR(INDEX('[AQ_2023.xlsx]原始数据'!$F:$F,MATCH($A66,'[AQ_2023.xlsx]原始数据'!$A:$A,0)),""))</f>
        <v/>
      </c>
      <c r="Z66">
        <f>IF($A66="","",IFERROR(INDEX('[AQ_2024.xlsx]原始数据'!$F:$F,MATCH($A66,'[AQ_2024.xlsx]原始数据'!$A:$A,0)),""))</f>
        <v/>
      </c>
      <c r="AA66" s="2">
        <f>IFERROR(G66/B66,"")</f>
        <v/>
      </c>
      <c r="AB66" s="2">
        <f>IFERROR(H66/C66,"")</f>
        <v/>
      </c>
      <c r="AC66" s="2">
        <f>IFERROR(I66/D66,"")</f>
        <v/>
      </c>
      <c r="AD66" s="2">
        <f>IFERROR(J66/E66,"")</f>
        <v/>
      </c>
      <c r="AE66" s="2">
        <f>IFERROR(K66/F66,"")</f>
        <v/>
      </c>
      <c r="AF66" s="2">
        <f>IFERROR(L66/B66,"")</f>
        <v/>
      </c>
      <c r="AG66" s="2">
        <f>IFERROR(M66/C66,"")</f>
        <v/>
      </c>
      <c r="AH66" s="2">
        <f>IFERROR(N66/D66,"")</f>
        <v/>
      </c>
      <c r="AI66" s="2">
        <f>IFERROR(O66/E66,"")</f>
        <v/>
      </c>
      <c r="AJ66" s="2">
        <f>IFERROR(P66/F66,"")</f>
        <v/>
      </c>
      <c r="AK66" s="2">
        <f>IFERROR(Q66/B66,"")</f>
        <v/>
      </c>
      <c r="AL66" s="2">
        <f>IFERROR(R66/C66,"")</f>
        <v/>
      </c>
      <c r="AM66" s="2">
        <f>IFERROR(S66/D66,"")</f>
        <v/>
      </c>
      <c r="AN66" s="2">
        <f>IFERROR(T66/E66,"")</f>
        <v/>
      </c>
      <c r="AO66" s="2">
        <f>IFERROR(U66/F66,"")</f>
        <v/>
      </c>
    </row>
    <row r="67">
      <c r="B67">
        <f>IF($A67="","",IFERROR(INDEX('[AQ_2020.xlsx]原始数据'!$B:$B,MATCH($A67,'[AQ_2020.xlsx]原始数据'!$A:$A,0)),""))</f>
        <v/>
      </c>
      <c r="C67">
        <f>IF($A67="","",IFERROR(INDEX('[AQ_2021.xlsx]原始数据'!$B:$B,MATCH($A67,'[AQ_2021.xlsx]原始数据'!$A:$A,0)),""))</f>
        <v/>
      </c>
      <c r="D67">
        <f>IF($A67="","",IFERROR(INDEX('[AQ_2022.xlsx]原始数据'!$B:$B,MATCH($A67,'[AQ_2022.xlsx]原始数据'!$A:$A,0)),""))</f>
        <v/>
      </c>
      <c r="E67">
        <f>IF($A67="","",IFERROR(INDEX('[AQ_2023.xlsx]原始数据'!$B:$B,MATCH($A67,'[AQ_2023.xlsx]原始数据'!$A:$A,0)),""))</f>
        <v/>
      </c>
      <c r="F67">
        <f>IF($A67="","",IFERROR(INDEX('[AQ_2024.xlsx]原始数据'!$B:$B,MATCH($A67,'[AQ_2024.xlsx]原始数据'!$A:$A,0)),""))</f>
        <v/>
      </c>
      <c r="G67">
        <f>IF($A67="","",IFERROR(INDEX('[AQ_2020.xlsx]原始数据'!$C:$C,MATCH($A67,'[AQ_2020.xlsx]原始数据'!$A:$A,0)),""))</f>
        <v/>
      </c>
      <c r="H67">
        <f>IF($A67="","",IFERROR(INDEX('[AQ_2021.xlsx]原始数据'!$C:$C,MATCH($A67,'[AQ_2021.xlsx]原始数据'!$A:$A,0)),""))</f>
        <v/>
      </c>
      <c r="I67">
        <f>IF($A67="","",IFERROR(INDEX('[AQ_2022.xlsx]原始数据'!$C:$C,MATCH($A67,'[AQ_2022.xlsx]原始数据'!$A:$A,0)),""))</f>
        <v/>
      </c>
      <c r="J67">
        <f>IF($A67="","",IFERROR(INDEX('[AQ_2023.xlsx]原始数据'!$C:$C,MATCH($A67,'[AQ_2023.xlsx]原始数据'!$A:$A,0)),""))</f>
        <v/>
      </c>
      <c r="K67">
        <f>IF($A67="","",IFERROR(INDEX('[AQ_2024.xlsx]原始数据'!$C:$C,MATCH($A67,'[AQ_2024.xlsx]原始数据'!$A:$A,0)),""))</f>
        <v/>
      </c>
      <c r="L67">
        <f>IF($A67="","",IFERROR(INDEX('[AQ_2020.xlsx]原始数据'!$D:$D,MATCH($A67,'[AQ_2020.xlsx]原始数据'!$A:$A,0)),""))</f>
        <v/>
      </c>
      <c r="M67">
        <f>IF($A67="","",IFERROR(INDEX('[AQ_2021.xlsx]原始数据'!$D:$D,MATCH($A67,'[AQ_2021.xlsx]原始数据'!$A:$A,0)),""))</f>
        <v/>
      </c>
      <c r="N67">
        <f>IF($A67="","",IFERROR(INDEX('[AQ_2022.xlsx]原始数据'!$D:$D,MATCH($A67,'[AQ_2022.xlsx]原始数据'!$A:$A,0)),""))</f>
        <v/>
      </c>
      <c r="O67">
        <f>IF($A67="","",IFERROR(INDEX('[AQ_2023.xlsx]原始数据'!$D:$D,MATCH($A67,'[AQ_2023.xlsx]原始数据'!$A:$A,0)),""))</f>
        <v/>
      </c>
      <c r="P67">
        <f>IF($A67="","",IFERROR(INDEX('[AQ_2024.xlsx]原始数据'!$D:$D,MATCH($A67,'[AQ_2024.xlsx]原始数据'!$A:$A,0)),""))</f>
        <v/>
      </c>
      <c r="Q67">
        <f>IF($A67="","",IFERROR(INDEX('[AQ_2020.xlsx]原始数据'!$E:$E,MATCH($A67,'[AQ_2020.xlsx]原始数据'!$A:$A,0)),""))</f>
        <v/>
      </c>
      <c r="R67">
        <f>IF($A67="","",IFERROR(INDEX('[AQ_2021.xlsx]原始数据'!$E:$E,MATCH($A67,'[AQ_2021.xlsx]原始数据'!$A:$A,0)),""))</f>
        <v/>
      </c>
      <c r="S67">
        <f>IF($A67="","",IFERROR(INDEX('[AQ_2022.xlsx]原始数据'!$E:$E,MATCH($A67,'[AQ_2022.xlsx]原始数据'!$A:$A,0)),""))</f>
        <v/>
      </c>
      <c r="T67">
        <f>IF($A67="","",IFERROR(INDEX('[AQ_2023.xlsx]原始数据'!$E:$E,MATCH($A67,'[AQ_2023.xlsx]原始数据'!$A:$A,0)),""))</f>
        <v/>
      </c>
      <c r="U67">
        <f>IF($A67="","",IFERROR(INDEX('[AQ_2024.xlsx]原始数据'!$E:$E,MATCH($A67,'[AQ_2024.xlsx]原始数据'!$A:$A,0)),""))</f>
        <v/>
      </c>
      <c r="V67">
        <f>IF($A67="","",IFERROR(INDEX('[AQ_2020.xlsx]原始数据'!$F:$F,MATCH($A67,'[AQ_2020.xlsx]原始数据'!$A:$A,0)),""))</f>
        <v/>
      </c>
      <c r="W67">
        <f>IF($A67="","",IFERROR(INDEX('[AQ_2021.xlsx]原始数据'!$F:$F,MATCH($A67,'[AQ_2021.xlsx]原始数据'!$A:$A,0)),""))</f>
        <v/>
      </c>
      <c r="X67">
        <f>IF($A67="","",IFERROR(INDEX('[AQ_2022.xlsx]原始数据'!$F:$F,MATCH($A67,'[AQ_2022.xlsx]原始数据'!$A:$A,0)),""))</f>
        <v/>
      </c>
      <c r="Y67">
        <f>IF($A67="","",IFERROR(INDEX('[AQ_2023.xlsx]原始数据'!$F:$F,MATCH($A67,'[AQ_2023.xlsx]原始数据'!$A:$A,0)),""))</f>
        <v/>
      </c>
      <c r="Z67">
        <f>IF($A67="","",IFERROR(INDEX('[AQ_2024.xlsx]原始数据'!$F:$F,MATCH($A67,'[AQ_2024.xlsx]原始数据'!$A:$A,0)),""))</f>
        <v/>
      </c>
      <c r="AA67" s="2">
        <f>IFERROR(G67/B67,"")</f>
        <v/>
      </c>
      <c r="AB67" s="2">
        <f>IFERROR(H67/C67,"")</f>
        <v/>
      </c>
      <c r="AC67" s="2">
        <f>IFERROR(I67/D67,"")</f>
        <v/>
      </c>
      <c r="AD67" s="2">
        <f>IFERROR(J67/E67,"")</f>
        <v/>
      </c>
      <c r="AE67" s="2">
        <f>IFERROR(K67/F67,"")</f>
        <v/>
      </c>
      <c r="AF67" s="2">
        <f>IFERROR(L67/B67,"")</f>
        <v/>
      </c>
      <c r="AG67" s="2">
        <f>IFERROR(M67/C67,"")</f>
        <v/>
      </c>
      <c r="AH67" s="2">
        <f>IFERROR(N67/D67,"")</f>
        <v/>
      </c>
      <c r="AI67" s="2">
        <f>IFERROR(O67/E67,"")</f>
        <v/>
      </c>
      <c r="AJ67" s="2">
        <f>IFERROR(P67/F67,"")</f>
        <v/>
      </c>
      <c r="AK67" s="2">
        <f>IFERROR(Q67/B67,"")</f>
        <v/>
      </c>
      <c r="AL67" s="2">
        <f>IFERROR(R67/C67,"")</f>
        <v/>
      </c>
      <c r="AM67" s="2">
        <f>IFERROR(S67/D67,"")</f>
        <v/>
      </c>
      <c r="AN67" s="2">
        <f>IFERROR(T67/E67,"")</f>
        <v/>
      </c>
      <c r="AO67" s="2">
        <f>IFERROR(U67/F67,"")</f>
        <v/>
      </c>
    </row>
    <row r="68">
      <c r="B68">
        <f>IF($A68="","",IFERROR(INDEX('[AQ_2020.xlsx]原始数据'!$B:$B,MATCH($A68,'[AQ_2020.xlsx]原始数据'!$A:$A,0)),""))</f>
        <v/>
      </c>
      <c r="C68">
        <f>IF($A68="","",IFERROR(INDEX('[AQ_2021.xlsx]原始数据'!$B:$B,MATCH($A68,'[AQ_2021.xlsx]原始数据'!$A:$A,0)),""))</f>
        <v/>
      </c>
      <c r="D68">
        <f>IF($A68="","",IFERROR(INDEX('[AQ_2022.xlsx]原始数据'!$B:$B,MATCH($A68,'[AQ_2022.xlsx]原始数据'!$A:$A,0)),""))</f>
        <v/>
      </c>
      <c r="E68">
        <f>IF($A68="","",IFERROR(INDEX('[AQ_2023.xlsx]原始数据'!$B:$B,MATCH($A68,'[AQ_2023.xlsx]原始数据'!$A:$A,0)),""))</f>
        <v/>
      </c>
      <c r="F68">
        <f>IF($A68="","",IFERROR(INDEX('[AQ_2024.xlsx]原始数据'!$B:$B,MATCH($A68,'[AQ_2024.xlsx]原始数据'!$A:$A,0)),""))</f>
        <v/>
      </c>
      <c r="G68">
        <f>IF($A68="","",IFERROR(INDEX('[AQ_2020.xlsx]原始数据'!$C:$C,MATCH($A68,'[AQ_2020.xlsx]原始数据'!$A:$A,0)),""))</f>
        <v/>
      </c>
      <c r="H68">
        <f>IF($A68="","",IFERROR(INDEX('[AQ_2021.xlsx]原始数据'!$C:$C,MATCH($A68,'[AQ_2021.xlsx]原始数据'!$A:$A,0)),""))</f>
        <v/>
      </c>
      <c r="I68">
        <f>IF($A68="","",IFERROR(INDEX('[AQ_2022.xlsx]原始数据'!$C:$C,MATCH($A68,'[AQ_2022.xlsx]原始数据'!$A:$A,0)),""))</f>
        <v/>
      </c>
      <c r="J68">
        <f>IF($A68="","",IFERROR(INDEX('[AQ_2023.xlsx]原始数据'!$C:$C,MATCH($A68,'[AQ_2023.xlsx]原始数据'!$A:$A,0)),""))</f>
        <v/>
      </c>
      <c r="K68">
        <f>IF($A68="","",IFERROR(INDEX('[AQ_2024.xlsx]原始数据'!$C:$C,MATCH($A68,'[AQ_2024.xlsx]原始数据'!$A:$A,0)),""))</f>
        <v/>
      </c>
      <c r="L68">
        <f>IF($A68="","",IFERROR(INDEX('[AQ_2020.xlsx]原始数据'!$D:$D,MATCH($A68,'[AQ_2020.xlsx]原始数据'!$A:$A,0)),""))</f>
        <v/>
      </c>
      <c r="M68">
        <f>IF($A68="","",IFERROR(INDEX('[AQ_2021.xlsx]原始数据'!$D:$D,MATCH($A68,'[AQ_2021.xlsx]原始数据'!$A:$A,0)),""))</f>
        <v/>
      </c>
      <c r="N68">
        <f>IF($A68="","",IFERROR(INDEX('[AQ_2022.xlsx]原始数据'!$D:$D,MATCH($A68,'[AQ_2022.xlsx]原始数据'!$A:$A,0)),""))</f>
        <v/>
      </c>
      <c r="O68">
        <f>IF($A68="","",IFERROR(INDEX('[AQ_2023.xlsx]原始数据'!$D:$D,MATCH($A68,'[AQ_2023.xlsx]原始数据'!$A:$A,0)),""))</f>
        <v/>
      </c>
      <c r="P68">
        <f>IF($A68="","",IFERROR(INDEX('[AQ_2024.xlsx]原始数据'!$D:$D,MATCH($A68,'[AQ_2024.xlsx]原始数据'!$A:$A,0)),""))</f>
        <v/>
      </c>
      <c r="Q68">
        <f>IF($A68="","",IFERROR(INDEX('[AQ_2020.xlsx]原始数据'!$E:$E,MATCH($A68,'[AQ_2020.xlsx]原始数据'!$A:$A,0)),""))</f>
        <v/>
      </c>
      <c r="R68">
        <f>IF($A68="","",IFERROR(INDEX('[AQ_2021.xlsx]原始数据'!$E:$E,MATCH($A68,'[AQ_2021.xlsx]原始数据'!$A:$A,0)),""))</f>
        <v/>
      </c>
      <c r="S68">
        <f>IF($A68="","",IFERROR(INDEX('[AQ_2022.xlsx]原始数据'!$E:$E,MATCH($A68,'[AQ_2022.xlsx]原始数据'!$A:$A,0)),""))</f>
        <v/>
      </c>
      <c r="T68">
        <f>IF($A68="","",IFERROR(INDEX('[AQ_2023.xlsx]原始数据'!$E:$E,MATCH($A68,'[AQ_2023.xlsx]原始数据'!$A:$A,0)),""))</f>
        <v/>
      </c>
      <c r="U68">
        <f>IF($A68="","",IFERROR(INDEX('[AQ_2024.xlsx]原始数据'!$E:$E,MATCH($A68,'[AQ_2024.xlsx]原始数据'!$A:$A,0)),""))</f>
        <v/>
      </c>
      <c r="V68">
        <f>IF($A68="","",IFERROR(INDEX('[AQ_2020.xlsx]原始数据'!$F:$F,MATCH($A68,'[AQ_2020.xlsx]原始数据'!$A:$A,0)),""))</f>
        <v/>
      </c>
      <c r="W68">
        <f>IF($A68="","",IFERROR(INDEX('[AQ_2021.xlsx]原始数据'!$F:$F,MATCH($A68,'[AQ_2021.xlsx]原始数据'!$A:$A,0)),""))</f>
        <v/>
      </c>
      <c r="X68">
        <f>IF($A68="","",IFERROR(INDEX('[AQ_2022.xlsx]原始数据'!$F:$F,MATCH($A68,'[AQ_2022.xlsx]原始数据'!$A:$A,0)),""))</f>
        <v/>
      </c>
      <c r="Y68">
        <f>IF($A68="","",IFERROR(INDEX('[AQ_2023.xlsx]原始数据'!$F:$F,MATCH($A68,'[AQ_2023.xlsx]原始数据'!$A:$A,0)),""))</f>
        <v/>
      </c>
      <c r="Z68">
        <f>IF($A68="","",IFERROR(INDEX('[AQ_2024.xlsx]原始数据'!$F:$F,MATCH($A68,'[AQ_2024.xlsx]原始数据'!$A:$A,0)),""))</f>
        <v/>
      </c>
      <c r="AA68" s="2">
        <f>IFERROR(G68/B68,"")</f>
        <v/>
      </c>
      <c r="AB68" s="2">
        <f>IFERROR(H68/C68,"")</f>
        <v/>
      </c>
      <c r="AC68" s="2">
        <f>IFERROR(I68/D68,"")</f>
        <v/>
      </c>
      <c r="AD68" s="2">
        <f>IFERROR(J68/E68,"")</f>
        <v/>
      </c>
      <c r="AE68" s="2">
        <f>IFERROR(K68/F68,"")</f>
        <v/>
      </c>
      <c r="AF68" s="2">
        <f>IFERROR(L68/B68,"")</f>
        <v/>
      </c>
      <c r="AG68" s="2">
        <f>IFERROR(M68/C68,"")</f>
        <v/>
      </c>
      <c r="AH68" s="2">
        <f>IFERROR(N68/D68,"")</f>
        <v/>
      </c>
      <c r="AI68" s="2">
        <f>IFERROR(O68/E68,"")</f>
        <v/>
      </c>
      <c r="AJ68" s="2">
        <f>IFERROR(P68/F68,"")</f>
        <v/>
      </c>
      <c r="AK68" s="2">
        <f>IFERROR(Q68/B68,"")</f>
        <v/>
      </c>
      <c r="AL68" s="2">
        <f>IFERROR(R68/C68,"")</f>
        <v/>
      </c>
      <c r="AM68" s="2">
        <f>IFERROR(S68/D68,"")</f>
        <v/>
      </c>
      <c r="AN68" s="2">
        <f>IFERROR(T68/E68,"")</f>
        <v/>
      </c>
      <c r="AO68" s="2">
        <f>IFERROR(U68/F68,"")</f>
        <v/>
      </c>
    </row>
    <row r="69">
      <c r="B69">
        <f>IF($A69="","",IFERROR(INDEX('[AQ_2020.xlsx]原始数据'!$B:$B,MATCH($A69,'[AQ_2020.xlsx]原始数据'!$A:$A,0)),""))</f>
        <v/>
      </c>
      <c r="C69">
        <f>IF($A69="","",IFERROR(INDEX('[AQ_2021.xlsx]原始数据'!$B:$B,MATCH($A69,'[AQ_2021.xlsx]原始数据'!$A:$A,0)),""))</f>
        <v/>
      </c>
      <c r="D69">
        <f>IF($A69="","",IFERROR(INDEX('[AQ_2022.xlsx]原始数据'!$B:$B,MATCH($A69,'[AQ_2022.xlsx]原始数据'!$A:$A,0)),""))</f>
        <v/>
      </c>
      <c r="E69">
        <f>IF($A69="","",IFERROR(INDEX('[AQ_2023.xlsx]原始数据'!$B:$B,MATCH($A69,'[AQ_2023.xlsx]原始数据'!$A:$A,0)),""))</f>
        <v/>
      </c>
      <c r="F69">
        <f>IF($A69="","",IFERROR(INDEX('[AQ_2024.xlsx]原始数据'!$B:$B,MATCH($A69,'[AQ_2024.xlsx]原始数据'!$A:$A,0)),""))</f>
        <v/>
      </c>
      <c r="G69">
        <f>IF($A69="","",IFERROR(INDEX('[AQ_2020.xlsx]原始数据'!$C:$C,MATCH($A69,'[AQ_2020.xlsx]原始数据'!$A:$A,0)),""))</f>
        <v/>
      </c>
      <c r="H69">
        <f>IF($A69="","",IFERROR(INDEX('[AQ_2021.xlsx]原始数据'!$C:$C,MATCH($A69,'[AQ_2021.xlsx]原始数据'!$A:$A,0)),""))</f>
        <v/>
      </c>
      <c r="I69">
        <f>IF($A69="","",IFERROR(INDEX('[AQ_2022.xlsx]原始数据'!$C:$C,MATCH($A69,'[AQ_2022.xlsx]原始数据'!$A:$A,0)),""))</f>
        <v/>
      </c>
      <c r="J69">
        <f>IF($A69="","",IFERROR(INDEX('[AQ_2023.xlsx]原始数据'!$C:$C,MATCH($A69,'[AQ_2023.xlsx]原始数据'!$A:$A,0)),""))</f>
        <v/>
      </c>
      <c r="K69">
        <f>IF($A69="","",IFERROR(INDEX('[AQ_2024.xlsx]原始数据'!$C:$C,MATCH($A69,'[AQ_2024.xlsx]原始数据'!$A:$A,0)),""))</f>
        <v/>
      </c>
      <c r="L69">
        <f>IF($A69="","",IFERROR(INDEX('[AQ_2020.xlsx]原始数据'!$D:$D,MATCH($A69,'[AQ_2020.xlsx]原始数据'!$A:$A,0)),""))</f>
        <v/>
      </c>
      <c r="M69">
        <f>IF($A69="","",IFERROR(INDEX('[AQ_2021.xlsx]原始数据'!$D:$D,MATCH($A69,'[AQ_2021.xlsx]原始数据'!$A:$A,0)),""))</f>
        <v/>
      </c>
      <c r="N69">
        <f>IF($A69="","",IFERROR(INDEX('[AQ_2022.xlsx]原始数据'!$D:$D,MATCH($A69,'[AQ_2022.xlsx]原始数据'!$A:$A,0)),""))</f>
        <v/>
      </c>
      <c r="O69">
        <f>IF($A69="","",IFERROR(INDEX('[AQ_2023.xlsx]原始数据'!$D:$D,MATCH($A69,'[AQ_2023.xlsx]原始数据'!$A:$A,0)),""))</f>
        <v/>
      </c>
      <c r="P69">
        <f>IF($A69="","",IFERROR(INDEX('[AQ_2024.xlsx]原始数据'!$D:$D,MATCH($A69,'[AQ_2024.xlsx]原始数据'!$A:$A,0)),""))</f>
        <v/>
      </c>
      <c r="Q69">
        <f>IF($A69="","",IFERROR(INDEX('[AQ_2020.xlsx]原始数据'!$E:$E,MATCH($A69,'[AQ_2020.xlsx]原始数据'!$A:$A,0)),""))</f>
        <v/>
      </c>
      <c r="R69">
        <f>IF($A69="","",IFERROR(INDEX('[AQ_2021.xlsx]原始数据'!$E:$E,MATCH($A69,'[AQ_2021.xlsx]原始数据'!$A:$A,0)),""))</f>
        <v/>
      </c>
      <c r="S69">
        <f>IF($A69="","",IFERROR(INDEX('[AQ_2022.xlsx]原始数据'!$E:$E,MATCH($A69,'[AQ_2022.xlsx]原始数据'!$A:$A,0)),""))</f>
        <v/>
      </c>
      <c r="T69">
        <f>IF($A69="","",IFERROR(INDEX('[AQ_2023.xlsx]原始数据'!$E:$E,MATCH($A69,'[AQ_2023.xlsx]原始数据'!$A:$A,0)),""))</f>
        <v/>
      </c>
      <c r="U69">
        <f>IF($A69="","",IFERROR(INDEX('[AQ_2024.xlsx]原始数据'!$E:$E,MATCH($A69,'[AQ_2024.xlsx]原始数据'!$A:$A,0)),""))</f>
        <v/>
      </c>
      <c r="V69">
        <f>IF($A69="","",IFERROR(INDEX('[AQ_2020.xlsx]原始数据'!$F:$F,MATCH($A69,'[AQ_2020.xlsx]原始数据'!$A:$A,0)),""))</f>
        <v/>
      </c>
      <c r="W69">
        <f>IF($A69="","",IFERROR(INDEX('[AQ_2021.xlsx]原始数据'!$F:$F,MATCH($A69,'[AQ_2021.xlsx]原始数据'!$A:$A,0)),""))</f>
        <v/>
      </c>
      <c r="X69">
        <f>IF($A69="","",IFERROR(INDEX('[AQ_2022.xlsx]原始数据'!$F:$F,MATCH($A69,'[AQ_2022.xlsx]原始数据'!$A:$A,0)),""))</f>
        <v/>
      </c>
      <c r="Y69">
        <f>IF($A69="","",IFERROR(INDEX('[AQ_2023.xlsx]原始数据'!$F:$F,MATCH($A69,'[AQ_2023.xlsx]原始数据'!$A:$A,0)),""))</f>
        <v/>
      </c>
      <c r="Z69">
        <f>IF($A69="","",IFERROR(INDEX('[AQ_2024.xlsx]原始数据'!$F:$F,MATCH($A69,'[AQ_2024.xlsx]原始数据'!$A:$A,0)),""))</f>
        <v/>
      </c>
      <c r="AA69" s="2">
        <f>IFERROR(G69/B69,"")</f>
        <v/>
      </c>
      <c r="AB69" s="2">
        <f>IFERROR(H69/C69,"")</f>
        <v/>
      </c>
      <c r="AC69" s="2">
        <f>IFERROR(I69/D69,"")</f>
        <v/>
      </c>
      <c r="AD69" s="2">
        <f>IFERROR(J69/E69,"")</f>
        <v/>
      </c>
      <c r="AE69" s="2">
        <f>IFERROR(K69/F69,"")</f>
        <v/>
      </c>
      <c r="AF69" s="2">
        <f>IFERROR(L69/B69,"")</f>
        <v/>
      </c>
      <c r="AG69" s="2">
        <f>IFERROR(M69/C69,"")</f>
        <v/>
      </c>
      <c r="AH69" s="2">
        <f>IFERROR(N69/D69,"")</f>
        <v/>
      </c>
      <c r="AI69" s="2">
        <f>IFERROR(O69/E69,"")</f>
        <v/>
      </c>
      <c r="AJ69" s="2">
        <f>IFERROR(P69/F69,"")</f>
        <v/>
      </c>
      <c r="AK69" s="2">
        <f>IFERROR(Q69/B69,"")</f>
        <v/>
      </c>
      <c r="AL69" s="2">
        <f>IFERROR(R69/C69,"")</f>
        <v/>
      </c>
      <c r="AM69" s="2">
        <f>IFERROR(S69/D69,"")</f>
        <v/>
      </c>
      <c r="AN69" s="2">
        <f>IFERROR(T69/E69,"")</f>
        <v/>
      </c>
      <c r="AO69" s="2">
        <f>IFERROR(U69/F69,"")</f>
        <v/>
      </c>
    </row>
    <row r="70">
      <c r="B70">
        <f>IF($A70="","",IFERROR(INDEX('[AQ_2020.xlsx]原始数据'!$B:$B,MATCH($A70,'[AQ_2020.xlsx]原始数据'!$A:$A,0)),""))</f>
        <v/>
      </c>
      <c r="C70">
        <f>IF($A70="","",IFERROR(INDEX('[AQ_2021.xlsx]原始数据'!$B:$B,MATCH($A70,'[AQ_2021.xlsx]原始数据'!$A:$A,0)),""))</f>
        <v/>
      </c>
      <c r="D70">
        <f>IF($A70="","",IFERROR(INDEX('[AQ_2022.xlsx]原始数据'!$B:$B,MATCH($A70,'[AQ_2022.xlsx]原始数据'!$A:$A,0)),""))</f>
        <v/>
      </c>
      <c r="E70">
        <f>IF($A70="","",IFERROR(INDEX('[AQ_2023.xlsx]原始数据'!$B:$B,MATCH($A70,'[AQ_2023.xlsx]原始数据'!$A:$A,0)),""))</f>
        <v/>
      </c>
      <c r="F70">
        <f>IF($A70="","",IFERROR(INDEX('[AQ_2024.xlsx]原始数据'!$B:$B,MATCH($A70,'[AQ_2024.xlsx]原始数据'!$A:$A,0)),""))</f>
        <v/>
      </c>
      <c r="G70">
        <f>IF($A70="","",IFERROR(INDEX('[AQ_2020.xlsx]原始数据'!$C:$C,MATCH($A70,'[AQ_2020.xlsx]原始数据'!$A:$A,0)),""))</f>
        <v/>
      </c>
      <c r="H70">
        <f>IF($A70="","",IFERROR(INDEX('[AQ_2021.xlsx]原始数据'!$C:$C,MATCH($A70,'[AQ_2021.xlsx]原始数据'!$A:$A,0)),""))</f>
        <v/>
      </c>
      <c r="I70">
        <f>IF($A70="","",IFERROR(INDEX('[AQ_2022.xlsx]原始数据'!$C:$C,MATCH($A70,'[AQ_2022.xlsx]原始数据'!$A:$A,0)),""))</f>
        <v/>
      </c>
      <c r="J70">
        <f>IF($A70="","",IFERROR(INDEX('[AQ_2023.xlsx]原始数据'!$C:$C,MATCH($A70,'[AQ_2023.xlsx]原始数据'!$A:$A,0)),""))</f>
        <v/>
      </c>
      <c r="K70">
        <f>IF($A70="","",IFERROR(INDEX('[AQ_2024.xlsx]原始数据'!$C:$C,MATCH($A70,'[AQ_2024.xlsx]原始数据'!$A:$A,0)),""))</f>
        <v/>
      </c>
      <c r="L70">
        <f>IF($A70="","",IFERROR(INDEX('[AQ_2020.xlsx]原始数据'!$D:$D,MATCH($A70,'[AQ_2020.xlsx]原始数据'!$A:$A,0)),""))</f>
        <v/>
      </c>
      <c r="M70">
        <f>IF($A70="","",IFERROR(INDEX('[AQ_2021.xlsx]原始数据'!$D:$D,MATCH($A70,'[AQ_2021.xlsx]原始数据'!$A:$A,0)),""))</f>
        <v/>
      </c>
      <c r="N70">
        <f>IF($A70="","",IFERROR(INDEX('[AQ_2022.xlsx]原始数据'!$D:$D,MATCH($A70,'[AQ_2022.xlsx]原始数据'!$A:$A,0)),""))</f>
        <v/>
      </c>
      <c r="O70">
        <f>IF($A70="","",IFERROR(INDEX('[AQ_2023.xlsx]原始数据'!$D:$D,MATCH($A70,'[AQ_2023.xlsx]原始数据'!$A:$A,0)),""))</f>
        <v/>
      </c>
      <c r="P70">
        <f>IF($A70="","",IFERROR(INDEX('[AQ_2024.xlsx]原始数据'!$D:$D,MATCH($A70,'[AQ_2024.xlsx]原始数据'!$A:$A,0)),""))</f>
        <v/>
      </c>
      <c r="Q70">
        <f>IF($A70="","",IFERROR(INDEX('[AQ_2020.xlsx]原始数据'!$E:$E,MATCH($A70,'[AQ_2020.xlsx]原始数据'!$A:$A,0)),""))</f>
        <v/>
      </c>
      <c r="R70">
        <f>IF($A70="","",IFERROR(INDEX('[AQ_2021.xlsx]原始数据'!$E:$E,MATCH($A70,'[AQ_2021.xlsx]原始数据'!$A:$A,0)),""))</f>
        <v/>
      </c>
      <c r="S70">
        <f>IF($A70="","",IFERROR(INDEX('[AQ_2022.xlsx]原始数据'!$E:$E,MATCH($A70,'[AQ_2022.xlsx]原始数据'!$A:$A,0)),""))</f>
        <v/>
      </c>
      <c r="T70">
        <f>IF($A70="","",IFERROR(INDEX('[AQ_2023.xlsx]原始数据'!$E:$E,MATCH($A70,'[AQ_2023.xlsx]原始数据'!$A:$A,0)),""))</f>
        <v/>
      </c>
      <c r="U70">
        <f>IF($A70="","",IFERROR(INDEX('[AQ_2024.xlsx]原始数据'!$E:$E,MATCH($A70,'[AQ_2024.xlsx]原始数据'!$A:$A,0)),""))</f>
        <v/>
      </c>
      <c r="V70">
        <f>IF($A70="","",IFERROR(INDEX('[AQ_2020.xlsx]原始数据'!$F:$F,MATCH($A70,'[AQ_2020.xlsx]原始数据'!$A:$A,0)),""))</f>
        <v/>
      </c>
      <c r="W70">
        <f>IF($A70="","",IFERROR(INDEX('[AQ_2021.xlsx]原始数据'!$F:$F,MATCH($A70,'[AQ_2021.xlsx]原始数据'!$A:$A,0)),""))</f>
        <v/>
      </c>
      <c r="X70">
        <f>IF($A70="","",IFERROR(INDEX('[AQ_2022.xlsx]原始数据'!$F:$F,MATCH($A70,'[AQ_2022.xlsx]原始数据'!$A:$A,0)),""))</f>
        <v/>
      </c>
      <c r="Y70">
        <f>IF($A70="","",IFERROR(INDEX('[AQ_2023.xlsx]原始数据'!$F:$F,MATCH($A70,'[AQ_2023.xlsx]原始数据'!$A:$A,0)),""))</f>
        <v/>
      </c>
      <c r="Z70">
        <f>IF($A70="","",IFERROR(INDEX('[AQ_2024.xlsx]原始数据'!$F:$F,MATCH($A70,'[AQ_2024.xlsx]原始数据'!$A:$A,0)),""))</f>
        <v/>
      </c>
      <c r="AA70" s="2">
        <f>IFERROR(G70/B70,"")</f>
        <v/>
      </c>
      <c r="AB70" s="2">
        <f>IFERROR(H70/C70,"")</f>
        <v/>
      </c>
      <c r="AC70" s="2">
        <f>IFERROR(I70/D70,"")</f>
        <v/>
      </c>
      <c r="AD70" s="2">
        <f>IFERROR(J70/E70,"")</f>
        <v/>
      </c>
      <c r="AE70" s="2">
        <f>IFERROR(K70/F70,"")</f>
        <v/>
      </c>
      <c r="AF70" s="2">
        <f>IFERROR(L70/B70,"")</f>
        <v/>
      </c>
      <c r="AG70" s="2">
        <f>IFERROR(M70/C70,"")</f>
        <v/>
      </c>
      <c r="AH70" s="2">
        <f>IFERROR(N70/D70,"")</f>
        <v/>
      </c>
      <c r="AI70" s="2">
        <f>IFERROR(O70/E70,"")</f>
        <v/>
      </c>
      <c r="AJ70" s="2">
        <f>IFERROR(P70/F70,"")</f>
        <v/>
      </c>
      <c r="AK70" s="2">
        <f>IFERROR(Q70/B70,"")</f>
        <v/>
      </c>
      <c r="AL70" s="2">
        <f>IFERROR(R70/C70,"")</f>
        <v/>
      </c>
      <c r="AM70" s="2">
        <f>IFERROR(S70/D70,"")</f>
        <v/>
      </c>
      <c r="AN70" s="2">
        <f>IFERROR(T70/E70,"")</f>
        <v/>
      </c>
      <c r="AO70" s="2">
        <f>IFERROR(U70/F70,"")</f>
        <v/>
      </c>
    </row>
    <row r="71">
      <c r="B71">
        <f>IF($A71="","",IFERROR(INDEX('[AQ_2020.xlsx]原始数据'!$B:$B,MATCH($A71,'[AQ_2020.xlsx]原始数据'!$A:$A,0)),""))</f>
        <v/>
      </c>
      <c r="C71">
        <f>IF($A71="","",IFERROR(INDEX('[AQ_2021.xlsx]原始数据'!$B:$B,MATCH($A71,'[AQ_2021.xlsx]原始数据'!$A:$A,0)),""))</f>
        <v/>
      </c>
      <c r="D71">
        <f>IF($A71="","",IFERROR(INDEX('[AQ_2022.xlsx]原始数据'!$B:$B,MATCH($A71,'[AQ_2022.xlsx]原始数据'!$A:$A,0)),""))</f>
        <v/>
      </c>
      <c r="E71">
        <f>IF($A71="","",IFERROR(INDEX('[AQ_2023.xlsx]原始数据'!$B:$B,MATCH($A71,'[AQ_2023.xlsx]原始数据'!$A:$A,0)),""))</f>
        <v/>
      </c>
      <c r="F71">
        <f>IF($A71="","",IFERROR(INDEX('[AQ_2024.xlsx]原始数据'!$B:$B,MATCH($A71,'[AQ_2024.xlsx]原始数据'!$A:$A,0)),""))</f>
        <v/>
      </c>
      <c r="G71">
        <f>IF($A71="","",IFERROR(INDEX('[AQ_2020.xlsx]原始数据'!$C:$C,MATCH($A71,'[AQ_2020.xlsx]原始数据'!$A:$A,0)),""))</f>
        <v/>
      </c>
      <c r="H71">
        <f>IF($A71="","",IFERROR(INDEX('[AQ_2021.xlsx]原始数据'!$C:$C,MATCH($A71,'[AQ_2021.xlsx]原始数据'!$A:$A,0)),""))</f>
        <v/>
      </c>
      <c r="I71">
        <f>IF($A71="","",IFERROR(INDEX('[AQ_2022.xlsx]原始数据'!$C:$C,MATCH($A71,'[AQ_2022.xlsx]原始数据'!$A:$A,0)),""))</f>
        <v/>
      </c>
      <c r="J71">
        <f>IF($A71="","",IFERROR(INDEX('[AQ_2023.xlsx]原始数据'!$C:$C,MATCH($A71,'[AQ_2023.xlsx]原始数据'!$A:$A,0)),""))</f>
        <v/>
      </c>
      <c r="K71">
        <f>IF($A71="","",IFERROR(INDEX('[AQ_2024.xlsx]原始数据'!$C:$C,MATCH($A71,'[AQ_2024.xlsx]原始数据'!$A:$A,0)),""))</f>
        <v/>
      </c>
      <c r="L71">
        <f>IF($A71="","",IFERROR(INDEX('[AQ_2020.xlsx]原始数据'!$D:$D,MATCH($A71,'[AQ_2020.xlsx]原始数据'!$A:$A,0)),""))</f>
        <v/>
      </c>
      <c r="M71">
        <f>IF($A71="","",IFERROR(INDEX('[AQ_2021.xlsx]原始数据'!$D:$D,MATCH($A71,'[AQ_2021.xlsx]原始数据'!$A:$A,0)),""))</f>
        <v/>
      </c>
      <c r="N71">
        <f>IF($A71="","",IFERROR(INDEX('[AQ_2022.xlsx]原始数据'!$D:$D,MATCH($A71,'[AQ_2022.xlsx]原始数据'!$A:$A,0)),""))</f>
        <v/>
      </c>
      <c r="O71">
        <f>IF($A71="","",IFERROR(INDEX('[AQ_2023.xlsx]原始数据'!$D:$D,MATCH($A71,'[AQ_2023.xlsx]原始数据'!$A:$A,0)),""))</f>
        <v/>
      </c>
      <c r="P71">
        <f>IF($A71="","",IFERROR(INDEX('[AQ_2024.xlsx]原始数据'!$D:$D,MATCH($A71,'[AQ_2024.xlsx]原始数据'!$A:$A,0)),""))</f>
        <v/>
      </c>
      <c r="Q71">
        <f>IF($A71="","",IFERROR(INDEX('[AQ_2020.xlsx]原始数据'!$E:$E,MATCH($A71,'[AQ_2020.xlsx]原始数据'!$A:$A,0)),""))</f>
        <v/>
      </c>
      <c r="R71">
        <f>IF($A71="","",IFERROR(INDEX('[AQ_2021.xlsx]原始数据'!$E:$E,MATCH($A71,'[AQ_2021.xlsx]原始数据'!$A:$A,0)),""))</f>
        <v/>
      </c>
      <c r="S71">
        <f>IF($A71="","",IFERROR(INDEX('[AQ_2022.xlsx]原始数据'!$E:$E,MATCH($A71,'[AQ_2022.xlsx]原始数据'!$A:$A,0)),""))</f>
        <v/>
      </c>
      <c r="T71">
        <f>IF($A71="","",IFERROR(INDEX('[AQ_2023.xlsx]原始数据'!$E:$E,MATCH($A71,'[AQ_2023.xlsx]原始数据'!$A:$A,0)),""))</f>
        <v/>
      </c>
      <c r="U71">
        <f>IF($A71="","",IFERROR(INDEX('[AQ_2024.xlsx]原始数据'!$E:$E,MATCH($A71,'[AQ_2024.xlsx]原始数据'!$A:$A,0)),""))</f>
        <v/>
      </c>
      <c r="V71">
        <f>IF($A71="","",IFERROR(INDEX('[AQ_2020.xlsx]原始数据'!$F:$F,MATCH($A71,'[AQ_2020.xlsx]原始数据'!$A:$A,0)),""))</f>
        <v/>
      </c>
      <c r="W71">
        <f>IF($A71="","",IFERROR(INDEX('[AQ_2021.xlsx]原始数据'!$F:$F,MATCH($A71,'[AQ_2021.xlsx]原始数据'!$A:$A,0)),""))</f>
        <v/>
      </c>
      <c r="X71">
        <f>IF($A71="","",IFERROR(INDEX('[AQ_2022.xlsx]原始数据'!$F:$F,MATCH($A71,'[AQ_2022.xlsx]原始数据'!$A:$A,0)),""))</f>
        <v/>
      </c>
      <c r="Y71">
        <f>IF($A71="","",IFERROR(INDEX('[AQ_2023.xlsx]原始数据'!$F:$F,MATCH($A71,'[AQ_2023.xlsx]原始数据'!$A:$A,0)),""))</f>
        <v/>
      </c>
      <c r="Z71">
        <f>IF($A71="","",IFERROR(INDEX('[AQ_2024.xlsx]原始数据'!$F:$F,MATCH($A71,'[AQ_2024.xlsx]原始数据'!$A:$A,0)),""))</f>
        <v/>
      </c>
      <c r="AA71" s="2">
        <f>IFERROR(G71/B71,"")</f>
        <v/>
      </c>
      <c r="AB71" s="2">
        <f>IFERROR(H71/C71,"")</f>
        <v/>
      </c>
      <c r="AC71" s="2">
        <f>IFERROR(I71/D71,"")</f>
        <v/>
      </c>
      <c r="AD71" s="2">
        <f>IFERROR(J71/E71,"")</f>
        <v/>
      </c>
      <c r="AE71" s="2">
        <f>IFERROR(K71/F71,"")</f>
        <v/>
      </c>
      <c r="AF71" s="2">
        <f>IFERROR(L71/B71,"")</f>
        <v/>
      </c>
      <c r="AG71" s="2">
        <f>IFERROR(M71/C71,"")</f>
        <v/>
      </c>
      <c r="AH71" s="2">
        <f>IFERROR(N71/D71,"")</f>
        <v/>
      </c>
      <c r="AI71" s="2">
        <f>IFERROR(O71/E71,"")</f>
        <v/>
      </c>
      <c r="AJ71" s="2">
        <f>IFERROR(P71/F71,"")</f>
        <v/>
      </c>
      <c r="AK71" s="2">
        <f>IFERROR(Q71/B71,"")</f>
        <v/>
      </c>
      <c r="AL71" s="2">
        <f>IFERROR(R71/C71,"")</f>
        <v/>
      </c>
      <c r="AM71" s="2">
        <f>IFERROR(S71/D71,"")</f>
        <v/>
      </c>
      <c r="AN71" s="2">
        <f>IFERROR(T71/E71,"")</f>
        <v/>
      </c>
      <c r="AO71" s="2">
        <f>IFERROR(U71/F71,"")</f>
        <v/>
      </c>
    </row>
    <row r="72">
      <c r="B72">
        <f>IF($A72="","",IFERROR(INDEX('[AQ_2020.xlsx]原始数据'!$B:$B,MATCH($A72,'[AQ_2020.xlsx]原始数据'!$A:$A,0)),""))</f>
        <v/>
      </c>
      <c r="C72">
        <f>IF($A72="","",IFERROR(INDEX('[AQ_2021.xlsx]原始数据'!$B:$B,MATCH($A72,'[AQ_2021.xlsx]原始数据'!$A:$A,0)),""))</f>
        <v/>
      </c>
      <c r="D72">
        <f>IF($A72="","",IFERROR(INDEX('[AQ_2022.xlsx]原始数据'!$B:$B,MATCH($A72,'[AQ_2022.xlsx]原始数据'!$A:$A,0)),""))</f>
        <v/>
      </c>
      <c r="E72">
        <f>IF($A72="","",IFERROR(INDEX('[AQ_2023.xlsx]原始数据'!$B:$B,MATCH($A72,'[AQ_2023.xlsx]原始数据'!$A:$A,0)),""))</f>
        <v/>
      </c>
      <c r="F72">
        <f>IF($A72="","",IFERROR(INDEX('[AQ_2024.xlsx]原始数据'!$B:$B,MATCH($A72,'[AQ_2024.xlsx]原始数据'!$A:$A,0)),""))</f>
        <v/>
      </c>
      <c r="G72">
        <f>IF($A72="","",IFERROR(INDEX('[AQ_2020.xlsx]原始数据'!$C:$C,MATCH($A72,'[AQ_2020.xlsx]原始数据'!$A:$A,0)),""))</f>
        <v/>
      </c>
      <c r="H72">
        <f>IF($A72="","",IFERROR(INDEX('[AQ_2021.xlsx]原始数据'!$C:$C,MATCH($A72,'[AQ_2021.xlsx]原始数据'!$A:$A,0)),""))</f>
        <v/>
      </c>
      <c r="I72">
        <f>IF($A72="","",IFERROR(INDEX('[AQ_2022.xlsx]原始数据'!$C:$C,MATCH($A72,'[AQ_2022.xlsx]原始数据'!$A:$A,0)),""))</f>
        <v/>
      </c>
      <c r="J72">
        <f>IF($A72="","",IFERROR(INDEX('[AQ_2023.xlsx]原始数据'!$C:$C,MATCH($A72,'[AQ_2023.xlsx]原始数据'!$A:$A,0)),""))</f>
        <v/>
      </c>
      <c r="K72">
        <f>IF($A72="","",IFERROR(INDEX('[AQ_2024.xlsx]原始数据'!$C:$C,MATCH($A72,'[AQ_2024.xlsx]原始数据'!$A:$A,0)),""))</f>
        <v/>
      </c>
      <c r="L72">
        <f>IF($A72="","",IFERROR(INDEX('[AQ_2020.xlsx]原始数据'!$D:$D,MATCH($A72,'[AQ_2020.xlsx]原始数据'!$A:$A,0)),""))</f>
        <v/>
      </c>
      <c r="M72">
        <f>IF($A72="","",IFERROR(INDEX('[AQ_2021.xlsx]原始数据'!$D:$D,MATCH($A72,'[AQ_2021.xlsx]原始数据'!$A:$A,0)),""))</f>
        <v/>
      </c>
      <c r="N72">
        <f>IF($A72="","",IFERROR(INDEX('[AQ_2022.xlsx]原始数据'!$D:$D,MATCH($A72,'[AQ_2022.xlsx]原始数据'!$A:$A,0)),""))</f>
        <v/>
      </c>
      <c r="O72">
        <f>IF($A72="","",IFERROR(INDEX('[AQ_2023.xlsx]原始数据'!$D:$D,MATCH($A72,'[AQ_2023.xlsx]原始数据'!$A:$A,0)),""))</f>
        <v/>
      </c>
      <c r="P72">
        <f>IF($A72="","",IFERROR(INDEX('[AQ_2024.xlsx]原始数据'!$D:$D,MATCH($A72,'[AQ_2024.xlsx]原始数据'!$A:$A,0)),""))</f>
        <v/>
      </c>
      <c r="Q72">
        <f>IF($A72="","",IFERROR(INDEX('[AQ_2020.xlsx]原始数据'!$E:$E,MATCH($A72,'[AQ_2020.xlsx]原始数据'!$A:$A,0)),""))</f>
        <v/>
      </c>
      <c r="R72">
        <f>IF($A72="","",IFERROR(INDEX('[AQ_2021.xlsx]原始数据'!$E:$E,MATCH($A72,'[AQ_2021.xlsx]原始数据'!$A:$A,0)),""))</f>
        <v/>
      </c>
      <c r="S72">
        <f>IF($A72="","",IFERROR(INDEX('[AQ_2022.xlsx]原始数据'!$E:$E,MATCH($A72,'[AQ_2022.xlsx]原始数据'!$A:$A,0)),""))</f>
        <v/>
      </c>
      <c r="T72">
        <f>IF($A72="","",IFERROR(INDEX('[AQ_2023.xlsx]原始数据'!$E:$E,MATCH($A72,'[AQ_2023.xlsx]原始数据'!$A:$A,0)),""))</f>
        <v/>
      </c>
      <c r="U72">
        <f>IF($A72="","",IFERROR(INDEX('[AQ_2024.xlsx]原始数据'!$E:$E,MATCH($A72,'[AQ_2024.xlsx]原始数据'!$A:$A,0)),""))</f>
        <v/>
      </c>
      <c r="V72">
        <f>IF($A72="","",IFERROR(INDEX('[AQ_2020.xlsx]原始数据'!$F:$F,MATCH($A72,'[AQ_2020.xlsx]原始数据'!$A:$A,0)),""))</f>
        <v/>
      </c>
      <c r="W72">
        <f>IF($A72="","",IFERROR(INDEX('[AQ_2021.xlsx]原始数据'!$F:$F,MATCH($A72,'[AQ_2021.xlsx]原始数据'!$A:$A,0)),""))</f>
        <v/>
      </c>
      <c r="X72">
        <f>IF($A72="","",IFERROR(INDEX('[AQ_2022.xlsx]原始数据'!$F:$F,MATCH($A72,'[AQ_2022.xlsx]原始数据'!$A:$A,0)),""))</f>
        <v/>
      </c>
      <c r="Y72">
        <f>IF($A72="","",IFERROR(INDEX('[AQ_2023.xlsx]原始数据'!$F:$F,MATCH($A72,'[AQ_2023.xlsx]原始数据'!$A:$A,0)),""))</f>
        <v/>
      </c>
      <c r="Z72">
        <f>IF($A72="","",IFERROR(INDEX('[AQ_2024.xlsx]原始数据'!$F:$F,MATCH($A72,'[AQ_2024.xlsx]原始数据'!$A:$A,0)),""))</f>
        <v/>
      </c>
      <c r="AA72" s="2">
        <f>IFERROR(G72/B72,"")</f>
        <v/>
      </c>
      <c r="AB72" s="2">
        <f>IFERROR(H72/C72,"")</f>
        <v/>
      </c>
      <c r="AC72" s="2">
        <f>IFERROR(I72/D72,"")</f>
        <v/>
      </c>
      <c r="AD72" s="2">
        <f>IFERROR(J72/E72,"")</f>
        <v/>
      </c>
      <c r="AE72" s="2">
        <f>IFERROR(K72/F72,"")</f>
        <v/>
      </c>
      <c r="AF72" s="2">
        <f>IFERROR(L72/B72,"")</f>
        <v/>
      </c>
      <c r="AG72" s="2">
        <f>IFERROR(M72/C72,"")</f>
        <v/>
      </c>
      <c r="AH72" s="2">
        <f>IFERROR(N72/D72,"")</f>
        <v/>
      </c>
      <c r="AI72" s="2">
        <f>IFERROR(O72/E72,"")</f>
        <v/>
      </c>
      <c r="AJ72" s="2">
        <f>IFERROR(P72/F72,"")</f>
        <v/>
      </c>
      <c r="AK72" s="2">
        <f>IFERROR(Q72/B72,"")</f>
        <v/>
      </c>
      <c r="AL72" s="2">
        <f>IFERROR(R72/C72,"")</f>
        <v/>
      </c>
      <c r="AM72" s="2">
        <f>IFERROR(S72/D72,"")</f>
        <v/>
      </c>
      <c r="AN72" s="2">
        <f>IFERROR(T72/E72,"")</f>
        <v/>
      </c>
      <c r="AO72" s="2">
        <f>IFERROR(U72/F72,"")</f>
        <v/>
      </c>
    </row>
    <row r="73">
      <c r="B73">
        <f>IF($A73="","",IFERROR(INDEX('[AQ_2020.xlsx]原始数据'!$B:$B,MATCH($A73,'[AQ_2020.xlsx]原始数据'!$A:$A,0)),""))</f>
        <v/>
      </c>
      <c r="C73">
        <f>IF($A73="","",IFERROR(INDEX('[AQ_2021.xlsx]原始数据'!$B:$B,MATCH($A73,'[AQ_2021.xlsx]原始数据'!$A:$A,0)),""))</f>
        <v/>
      </c>
      <c r="D73">
        <f>IF($A73="","",IFERROR(INDEX('[AQ_2022.xlsx]原始数据'!$B:$B,MATCH($A73,'[AQ_2022.xlsx]原始数据'!$A:$A,0)),""))</f>
        <v/>
      </c>
      <c r="E73">
        <f>IF($A73="","",IFERROR(INDEX('[AQ_2023.xlsx]原始数据'!$B:$B,MATCH($A73,'[AQ_2023.xlsx]原始数据'!$A:$A,0)),""))</f>
        <v/>
      </c>
      <c r="F73">
        <f>IF($A73="","",IFERROR(INDEX('[AQ_2024.xlsx]原始数据'!$B:$B,MATCH($A73,'[AQ_2024.xlsx]原始数据'!$A:$A,0)),""))</f>
        <v/>
      </c>
      <c r="G73">
        <f>IF($A73="","",IFERROR(INDEX('[AQ_2020.xlsx]原始数据'!$C:$C,MATCH($A73,'[AQ_2020.xlsx]原始数据'!$A:$A,0)),""))</f>
        <v/>
      </c>
      <c r="H73">
        <f>IF($A73="","",IFERROR(INDEX('[AQ_2021.xlsx]原始数据'!$C:$C,MATCH($A73,'[AQ_2021.xlsx]原始数据'!$A:$A,0)),""))</f>
        <v/>
      </c>
      <c r="I73">
        <f>IF($A73="","",IFERROR(INDEX('[AQ_2022.xlsx]原始数据'!$C:$C,MATCH($A73,'[AQ_2022.xlsx]原始数据'!$A:$A,0)),""))</f>
        <v/>
      </c>
      <c r="J73">
        <f>IF($A73="","",IFERROR(INDEX('[AQ_2023.xlsx]原始数据'!$C:$C,MATCH($A73,'[AQ_2023.xlsx]原始数据'!$A:$A,0)),""))</f>
        <v/>
      </c>
      <c r="K73">
        <f>IF($A73="","",IFERROR(INDEX('[AQ_2024.xlsx]原始数据'!$C:$C,MATCH($A73,'[AQ_2024.xlsx]原始数据'!$A:$A,0)),""))</f>
        <v/>
      </c>
      <c r="L73">
        <f>IF($A73="","",IFERROR(INDEX('[AQ_2020.xlsx]原始数据'!$D:$D,MATCH($A73,'[AQ_2020.xlsx]原始数据'!$A:$A,0)),""))</f>
        <v/>
      </c>
      <c r="M73">
        <f>IF($A73="","",IFERROR(INDEX('[AQ_2021.xlsx]原始数据'!$D:$D,MATCH($A73,'[AQ_2021.xlsx]原始数据'!$A:$A,0)),""))</f>
        <v/>
      </c>
      <c r="N73">
        <f>IF($A73="","",IFERROR(INDEX('[AQ_2022.xlsx]原始数据'!$D:$D,MATCH($A73,'[AQ_2022.xlsx]原始数据'!$A:$A,0)),""))</f>
        <v/>
      </c>
      <c r="O73">
        <f>IF($A73="","",IFERROR(INDEX('[AQ_2023.xlsx]原始数据'!$D:$D,MATCH($A73,'[AQ_2023.xlsx]原始数据'!$A:$A,0)),""))</f>
        <v/>
      </c>
      <c r="P73">
        <f>IF($A73="","",IFERROR(INDEX('[AQ_2024.xlsx]原始数据'!$D:$D,MATCH($A73,'[AQ_2024.xlsx]原始数据'!$A:$A,0)),""))</f>
        <v/>
      </c>
      <c r="Q73">
        <f>IF($A73="","",IFERROR(INDEX('[AQ_2020.xlsx]原始数据'!$E:$E,MATCH($A73,'[AQ_2020.xlsx]原始数据'!$A:$A,0)),""))</f>
        <v/>
      </c>
      <c r="R73">
        <f>IF($A73="","",IFERROR(INDEX('[AQ_2021.xlsx]原始数据'!$E:$E,MATCH($A73,'[AQ_2021.xlsx]原始数据'!$A:$A,0)),""))</f>
        <v/>
      </c>
      <c r="S73">
        <f>IF($A73="","",IFERROR(INDEX('[AQ_2022.xlsx]原始数据'!$E:$E,MATCH($A73,'[AQ_2022.xlsx]原始数据'!$A:$A,0)),""))</f>
        <v/>
      </c>
      <c r="T73">
        <f>IF($A73="","",IFERROR(INDEX('[AQ_2023.xlsx]原始数据'!$E:$E,MATCH($A73,'[AQ_2023.xlsx]原始数据'!$A:$A,0)),""))</f>
        <v/>
      </c>
      <c r="U73">
        <f>IF($A73="","",IFERROR(INDEX('[AQ_2024.xlsx]原始数据'!$E:$E,MATCH($A73,'[AQ_2024.xlsx]原始数据'!$A:$A,0)),""))</f>
        <v/>
      </c>
      <c r="V73">
        <f>IF($A73="","",IFERROR(INDEX('[AQ_2020.xlsx]原始数据'!$F:$F,MATCH($A73,'[AQ_2020.xlsx]原始数据'!$A:$A,0)),""))</f>
        <v/>
      </c>
      <c r="W73">
        <f>IF($A73="","",IFERROR(INDEX('[AQ_2021.xlsx]原始数据'!$F:$F,MATCH($A73,'[AQ_2021.xlsx]原始数据'!$A:$A,0)),""))</f>
        <v/>
      </c>
      <c r="X73">
        <f>IF($A73="","",IFERROR(INDEX('[AQ_2022.xlsx]原始数据'!$F:$F,MATCH($A73,'[AQ_2022.xlsx]原始数据'!$A:$A,0)),""))</f>
        <v/>
      </c>
      <c r="Y73">
        <f>IF($A73="","",IFERROR(INDEX('[AQ_2023.xlsx]原始数据'!$F:$F,MATCH($A73,'[AQ_2023.xlsx]原始数据'!$A:$A,0)),""))</f>
        <v/>
      </c>
      <c r="Z73">
        <f>IF($A73="","",IFERROR(INDEX('[AQ_2024.xlsx]原始数据'!$F:$F,MATCH($A73,'[AQ_2024.xlsx]原始数据'!$A:$A,0)),""))</f>
        <v/>
      </c>
      <c r="AA73" s="2">
        <f>IFERROR(G73/B73,"")</f>
        <v/>
      </c>
      <c r="AB73" s="2">
        <f>IFERROR(H73/C73,"")</f>
        <v/>
      </c>
      <c r="AC73" s="2">
        <f>IFERROR(I73/D73,"")</f>
        <v/>
      </c>
      <c r="AD73" s="2">
        <f>IFERROR(J73/E73,"")</f>
        <v/>
      </c>
      <c r="AE73" s="2">
        <f>IFERROR(K73/F73,"")</f>
        <v/>
      </c>
      <c r="AF73" s="2">
        <f>IFERROR(L73/B73,"")</f>
        <v/>
      </c>
      <c r="AG73" s="2">
        <f>IFERROR(M73/C73,"")</f>
        <v/>
      </c>
      <c r="AH73" s="2">
        <f>IFERROR(N73/D73,"")</f>
        <v/>
      </c>
      <c r="AI73" s="2">
        <f>IFERROR(O73/E73,"")</f>
        <v/>
      </c>
      <c r="AJ73" s="2">
        <f>IFERROR(P73/F73,"")</f>
        <v/>
      </c>
      <c r="AK73" s="2">
        <f>IFERROR(Q73/B73,"")</f>
        <v/>
      </c>
      <c r="AL73" s="2">
        <f>IFERROR(R73/C73,"")</f>
        <v/>
      </c>
      <c r="AM73" s="2">
        <f>IFERROR(S73/D73,"")</f>
        <v/>
      </c>
      <c r="AN73" s="2">
        <f>IFERROR(T73/E73,"")</f>
        <v/>
      </c>
      <c r="AO73" s="2">
        <f>IFERROR(U73/F73,"")</f>
        <v/>
      </c>
    </row>
    <row r="74">
      <c r="B74">
        <f>IF($A74="","",IFERROR(INDEX('[AQ_2020.xlsx]原始数据'!$B:$B,MATCH($A74,'[AQ_2020.xlsx]原始数据'!$A:$A,0)),""))</f>
        <v/>
      </c>
      <c r="C74">
        <f>IF($A74="","",IFERROR(INDEX('[AQ_2021.xlsx]原始数据'!$B:$B,MATCH($A74,'[AQ_2021.xlsx]原始数据'!$A:$A,0)),""))</f>
        <v/>
      </c>
      <c r="D74">
        <f>IF($A74="","",IFERROR(INDEX('[AQ_2022.xlsx]原始数据'!$B:$B,MATCH($A74,'[AQ_2022.xlsx]原始数据'!$A:$A,0)),""))</f>
        <v/>
      </c>
      <c r="E74">
        <f>IF($A74="","",IFERROR(INDEX('[AQ_2023.xlsx]原始数据'!$B:$B,MATCH($A74,'[AQ_2023.xlsx]原始数据'!$A:$A,0)),""))</f>
        <v/>
      </c>
      <c r="F74">
        <f>IF($A74="","",IFERROR(INDEX('[AQ_2024.xlsx]原始数据'!$B:$B,MATCH($A74,'[AQ_2024.xlsx]原始数据'!$A:$A,0)),""))</f>
        <v/>
      </c>
      <c r="G74">
        <f>IF($A74="","",IFERROR(INDEX('[AQ_2020.xlsx]原始数据'!$C:$C,MATCH($A74,'[AQ_2020.xlsx]原始数据'!$A:$A,0)),""))</f>
        <v/>
      </c>
      <c r="H74">
        <f>IF($A74="","",IFERROR(INDEX('[AQ_2021.xlsx]原始数据'!$C:$C,MATCH($A74,'[AQ_2021.xlsx]原始数据'!$A:$A,0)),""))</f>
        <v/>
      </c>
      <c r="I74">
        <f>IF($A74="","",IFERROR(INDEX('[AQ_2022.xlsx]原始数据'!$C:$C,MATCH($A74,'[AQ_2022.xlsx]原始数据'!$A:$A,0)),""))</f>
        <v/>
      </c>
      <c r="J74">
        <f>IF($A74="","",IFERROR(INDEX('[AQ_2023.xlsx]原始数据'!$C:$C,MATCH($A74,'[AQ_2023.xlsx]原始数据'!$A:$A,0)),""))</f>
        <v/>
      </c>
      <c r="K74">
        <f>IF($A74="","",IFERROR(INDEX('[AQ_2024.xlsx]原始数据'!$C:$C,MATCH($A74,'[AQ_2024.xlsx]原始数据'!$A:$A,0)),""))</f>
        <v/>
      </c>
      <c r="L74">
        <f>IF($A74="","",IFERROR(INDEX('[AQ_2020.xlsx]原始数据'!$D:$D,MATCH($A74,'[AQ_2020.xlsx]原始数据'!$A:$A,0)),""))</f>
        <v/>
      </c>
      <c r="M74">
        <f>IF($A74="","",IFERROR(INDEX('[AQ_2021.xlsx]原始数据'!$D:$D,MATCH($A74,'[AQ_2021.xlsx]原始数据'!$A:$A,0)),""))</f>
        <v/>
      </c>
      <c r="N74">
        <f>IF($A74="","",IFERROR(INDEX('[AQ_2022.xlsx]原始数据'!$D:$D,MATCH($A74,'[AQ_2022.xlsx]原始数据'!$A:$A,0)),""))</f>
        <v/>
      </c>
      <c r="O74">
        <f>IF($A74="","",IFERROR(INDEX('[AQ_2023.xlsx]原始数据'!$D:$D,MATCH($A74,'[AQ_2023.xlsx]原始数据'!$A:$A,0)),""))</f>
        <v/>
      </c>
      <c r="P74">
        <f>IF($A74="","",IFERROR(INDEX('[AQ_2024.xlsx]原始数据'!$D:$D,MATCH($A74,'[AQ_2024.xlsx]原始数据'!$A:$A,0)),""))</f>
        <v/>
      </c>
      <c r="Q74">
        <f>IF($A74="","",IFERROR(INDEX('[AQ_2020.xlsx]原始数据'!$E:$E,MATCH($A74,'[AQ_2020.xlsx]原始数据'!$A:$A,0)),""))</f>
        <v/>
      </c>
      <c r="R74">
        <f>IF($A74="","",IFERROR(INDEX('[AQ_2021.xlsx]原始数据'!$E:$E,MATCH($A74,'[AQ_2021.xlsx]原始数据'!$A:$A,0)),""))</f>
        <v/>
      </c>
      <c r="S74">
        <f>IF($A74="","",IFERROR(INDEX('[AQ_2022.xlsx]原始数据'!$E:$E,MATCH($A74,'[AQ_2022.xlsx]原始数据'!$A:$A,0)),""))</f>
        <v/>
      </c>
      <c r="T74">
        <f>IF($A74="","",IFERROR(INDEX('[AQ_2023.xlsx]原始数据'!$E:$E,MATCH($A74,'[AQ_2023.xlsx]原始数据'!$A:$A,0)),""))</f>
        <v/>
      </c>
      <c r="U74">
        <f>IF($A74="","",IFERROR(INDEX('[AQ_2024.xlsx]原始数据'!$E:$E,MATCH($A74,'[AQ_2024.xlsx]原始数据'!$A:$A,0)),""))</f>
        <v/>
      </c>
      <c r="V74">
        <f>IF($A74="","",IFERROR(INDEX('[AQ_2020.xlsx]原始数据'!$F:$F,MATCH($A74,'[AQ_2020.xlsx]原始数据'!$A:$A,0)),""))</f>
        <v/>
      </c>
      <c r="W74">
        <f>IF($A74="","",IFERROR(INDEX('[AQ_2021.xlsx]原始数据'!$F:$F,MATCH($A74,'[AQ_2021.xlsx]原始数据'!$A:$A,0)),""))</f>
        <v/>
      </c>
      <c r="X74">
        <f>IF($A74="","",IFERROR(INDEX('[AQ_2022.xlsx]原始数据'!$F:$F,MATCH($A74,'[AQ_2022.xlsx]原始数据'!$A:$A,0)),""))</f>
        <v/>
      </c>
      <c r="Y74">
        <f>IF($A74="","",IFERROR(INDEX('[AQ_2023.xlsx]原始数据'!$F:$F,MATCH($A74,'[AQ_2023.xlsx]原始数据'!$A:$A,0)),""))</f>
        <v/>
      </c>
      <c r="Z74">
        <f>IF($A74="","",IFERROR(INDEX('[AQ_2024.xlsx]原始数据'!$F:$F,MATCH($A74,'[AQ_2024.xlsx]原始数据'!$A:$A,0)),""))</f>
        <v/>
      </c>
      <c r="AA74" s="2">
        <f>IFERROR(G74/B74,"")</f>
        <v/>
      </c>
      <c r="AB74" s="2">
        <f>IFERROR(H74/C74,"")</f>
        <v/>
      </c>
      <c r="AC74" s="2">
        <f>IFERROR(I74/D74,"")</f>
        <v/>
      </c>
      <c r="AD74" s="2">
        <f>IFERROR(J74/E74,"")</f>
        <v/>
      </c>
      <c r="AE74" s="2">
        <f>IFERROR(K74/F74,"")</f>
        <v/>
      </c>
      <c r="AF74" s="2">
        <f>IFERROR(L74/B74,"")</f>
        <v/>
      </c>
      <c r="AG74" s="2">
        <f>IFERROR(M74/C74,"")</f>
        <v/>
      </c>
      <c r="AH74" s="2">
        <f>IFERROR(N74/D74,"")</f>
        <v/>
      </c>
      <c r="AI74" s="2">
        <f>IFERROR(O74/E74,"")</f>
        <v/>
      </c>
      <c r="AJ74" s="2">
        <f>IFERROR(P74/F74,"")</f>
        <v/>
      </c>
      <c r="AK74" s="2">
        <f>IFERROR(Q74/B74,"")</f>
        <v/>
      </c>
      <c r="AL74" s="2">
        <f>IFERROR(R74/C74,"")</f>
        <v/>
      </c>
      <c r="AM74" s="2">
        <f>IFERROR(S74/D74,"")</f>
        <v/>
      </c>
      <c r="AN74" s="2">
        <f>IFERROR(T74/E74,"")</f>
        <v/>
      </c>
      <c r="AO74" s="2">
        <f>IFERROR(U74/F74,"")</f>
        <v/>
      </c>
    </row>
    <row r="75">
      <c r="B75">
        <f>IF($A75="","",IFERROR(INDEX('[AQ_2020.xlsx]原始数据'!$B:$B,MATCH($A75,'[AQ_2020.xlsx]原始数据'!$A:$A,0)),""))</f>
        <v/>
      </c>
      <c r="C75">
        <f>IF($A75="","",IFERROR(INDEX('[AQ_2021.xlsx]原始数据'!$B:$B,MATCH($A75,'[AQ_2021.xlsx]原始数据'!$A:$A,0)),""))</f>
        <v/>
      </c>
      <c r="D75">
        <f>IF($A75="","",IFERROR(INDEX('[AQ_2022.xlsx]原始数据'!$B:$B,MATCH($A75,'[AQ_2022.xlsx]原始数据'!$A:$A,0)),""))</f>
        <v/>
      </c>
      <c r="E75">
        <f>IF($A75="","",IFERROR(INDEX('[AQ_2023.xlsx]原始数据'!$B:$B,MATCH($A75,'[AQ_2023.xlsx]原始数据'!$A:$A,0)),""))</f>
        <v/>
      </c>
      <c r="F75">
        <f>IF($A75="","",IFERROR(INDEX('[AQ_2024.xlsx]原始数据'!$B:$B,MATCH($A75,'[AQ_2024.xlsx]原始数据'!$A:$A,0)),""))</f>
        <v/>
      </c>
      <c r="G75">
        <f>IF($A75="","",IFERROR(INDEX('[AQ_2020.xlsx]原始数据'!$C:$C,MATCH($A75,'[AQ_2020.xlsx]原始数据'!$A:$A,0)),""))</f>
        <v/>
      </c>
      <c r="H75">
        <f>IF($A75="","",IFERROR(INDEX('[AQ_2021.xlsx]原始数据'!$C:$C,MATCH($A75,'[AQ_2021.xlsx]原始数据'!$A:$A,0)),""))</f>
        <v/>
      </c>
      <c r="I75">
        <f>IF($A75="","",IFERROR(INDEX('[AQ_2022.xlsx]原始数据'!$C:$C,MATCH($A75,'[AQ_2022.xlsx]原始数据'!$A:$A,0)),""))</f>
        <v/>
      </c>
      <c r="J75">
        <f>IF($A75="","",IFERROR(INDEX('[AQ_2023.xlsx]原始数据'!$C:$C,MATCH($A75,'[AQ_2023.xlsx]原始数据'!$A:$A,0)),""))</f>
        <v/>
      </c>
      <c r="K75">
        <f>IF($A75="","",IFERROR(INDEX('[AQ_2024.xlsx]原始数据'!$C:$C,MATCH($A75,'[AQ_2024.xlsx]原始数据'!$A:$A,0)),""))</f>
        <v/>
      </c>
      <c r="L75">
        <f>IF($A75="","",IFERROR(INDEX('[AQ_2020.xlsx]原始数据'!$D:$D,MATCH($A75,'[AQ_2020.xlsx]原始数据'!$A:$A,0)),""))</f>
        <v/>
      </c>
      <c r="M75">
        <f>IF($A75="","",IFERROR(INDEX('[AQ_2021.xlsx]原始数据'!$D:$D,MATCH($A75,'[AQ_2021.xlsx]原始数据'!$A:$A,0)),""))</f>
        <v/>
      </c>
      <c r="N75">
        <f>IF($A75="","",IFERROR(INDEX('[AQ_2022.xlsx]原始数据'!$D:$D,MATCH($A75,'[AQ_2022.xlsx]原始数据'!$A:$A,0)),""))</f>
        <v/>
      </c>
      <c r="O75">
        <f>IF($A75="","",IFERROR(INDEX('[AQ_2023.xlsx]原始数据'!$D:$D,MATCH($A75,'[AQ_2023.xlsx]原始数据'!$A:$A,0)),""))</f>
        <v/>
      </c>
      <c r="P75">
        <f>IF($A75="","",IFERROR(INDEX('[AQ_2024.xlsx]原始数据'!$D:$D,MATCH($A75,'[AQ_2024.xlsx]原始数据'!$A:$A,0)),""))</f>
        <v/>
      </c>
      <c r="Q75">
        <f>IF($A75="","",IFERROR(INDEX('[AQ_2020.xlsx]原始数据'!$E:$E,MATCH($A75,'[AQ_2020.xlsx]原始数据'!$A:$A,0)),""))</f>
        <v/>
      </c>
      <c r="R75">
        <f>IF($A75="","",IFERROR(INDEX('[AQ_2021.xlsx]原始数据'!$E:$E,MATCH($A75,'[AQ_2021.xlsx]原始数据'!$A:$A,0)),""))</f>
        <v/>
      </c>
      <c r="S75">
        <f>IF($A75="","",IFERROR(INDEX('[AQ_2022.xlsx]原始数据'!$E:$E,MATCH($A75,'[AQ_2022.xlsx]原始数据'!$A:$A,0)),""))</f>
        <v/>
      </c>
      <c r="T75">
        <f>IF($A75="","",IFERROR(INDEX('[AQ_2023.xlsx]原始数据'!$E:$E,MATCH($A75,'[AQ_2023.xlsx]原始数据'!$A:$A,0)),""))</f>
        <v/>
      </c>
      <c r="U75">
        <f>IF($A75="","",IFERROR(INDEX('[AQ_2024.xlsx]原始数据'!$E:$E,MATCH($A75,'[AQ_2024.xlsx]原始数据'!$A:$A,0)),""))</f>
        <v/>
      </c>
      <c r="V75">
        <f>IF($A75="","",IFERROR(INDEX('[AQ_2020.xlsx]原始数据'!$F:$F,MATCH($A75,'[AQ_2020.xlsx]原始数据'!$A:$A,0)),""))</f>
        <v/>
      </c>
      <c r="W75">
        <f>IF($A75="","",IFERROR(INDEX('[AQ_2021.xlsx]原始数据'!$F:$F,MATCH($A75,'[AQ_2021.xlsx]原始数据'!$A:$A,0)),""))</f>
        <v/>
      </c>
      <c r="X75">
        <f>IF($A75="","",IFERROR(INDEX('[AQ_2022.xlsx]原始数据'!$F:$F,MATCH($A75,'[AQ_2022.xlsx]原始数据'!$A:$A,0)),""))</f>
        <v/>
      </c>
      <c r="Y75">
        <f>IF($A75="","",IFERROR(INDEX('[AQ_2023.xlsx]原始数据'!$F:$F,MATCH($A75,'[AQ_2023.xlsx]原始数据'!$A:$A,0)),""))</f>
        <v/>
      </c>
      <c r="Z75">
        <f>IF($A75="","",IFERROR(INDEX('[AQ_2024.xlsx]原始数据'!$F:$F,MATCH($A75,'[AQ_2024.xlsx]原始数据'!$A:$A,0)),""))</f>
        <v/>
      </c>
      <c r="AA75" s="2">
        <f>IFERROR(G75/B75,"")</f>
        <v/>
      </c>
      <c r="AB75" s="2">
        <f>IFERROR(H75/C75,"")</f>
        <v/>
      </c>
      <c r="AC75" s="2">
        <f>IFERROR(I75/D75,"")</f>
        <v/>
      </c>
      <c r="AD75" s="2">
        <f>IFERROR(J75/E75,"")</f>
        <v/>
      </c>
      <c r="AE75" s="2">
        <f>IFERROR(K75/F75,"")</f>
        <v/>
      </c>
      <c r="AF75" s="2">
        <f>IFERROR(L75/B75,"")</f>
        <v/>
      </c>
      <c r="AG75" s="2">
        <f>IFERROR(M75/C75,"")</f>
        <v/>
      </c>
      <c r="AH75" s="2">
        <f>IFERROR(N75/D75,"")</f>
        <v/>
      </c>
      <c r="AI75" s="2">
        <f>IFERROR(O75/E75,"")</f>
        <v/>
      </c>
      <c r="AJ75" s="2">
        <f>IFERROR(P75/F75,"")</f>
        <v/>
      </c>
      <c r="AK75" s="2">
        <f>IFERROR(Q75/B75,"")</f>
        <v/>
      </c>
      <c r="AL75" s="2">
        <f>IFERROR(R75/C75,"")</f>
        <v/>
      </c>
      <c r="AM75" s="2">
        <f>IFERROR(S75/D75,"")</f>
        <v/>
      </c>
      <c r="AN75" s="2">
        <f>IFERROR(T75/E75,"")</f>
        <v/>
      </c>
      <c r="AO75" s="2">
        <f>IFERROR(U75/F75,"")</f>
        <v/>
      </c>
    </row>
    <row r="76">
      <c r="B76">
        <f>IF($A76="","",IFERROR(INDEX('[AQ_2020.xlsx]原始数据'!$B:$B,MATCH($A76,'[AQ_2020.xlsx]原始数据'!$A:$A,0)),""))</f>
        <v/>
      </c>
      <c r="C76">
        <f>IF($A76="","",IFERROR(INDEX('[AQ_2021.xlsx]原始数据'!$B:$B,MATCH($A76,'[AQ_2021.xlsx]原始数据'!$A:$A,0)),""))</f>
        <v/>
      </c>
      <c r="D76">
        <f>IF($A76="","",IFERROR(INDEX('[AQ_2022.xlsx]原始数据'!$B:$B,MATCH($A76,'[AQ_2022.xlsx]原始数据'!$A:$A,0)),""))</f>
        <v/>
      </c>
      <c r="E76">
        <f>IF($A76="","",IFERROR(INDEX('[AQ_2023.xlsx]原始数据'!$B:$B,MATCH($A76,'[AQ_2023.xlsx]原始数据'!$A:$A,0)),""))</f>
        <v/>
      </c>
      <c r="F76">
        <f>IF($A76="","",IFERROR(INDEX('[AQ_2024.xlsx]原始数据'!$B:$B,MATCH($A76,'[AQ_2024.xlsx]原始数据'!$A:$A,0)),""))</f>
        <v/>
      </c>
      <c r="G76">
        <f>IF($A76="","",IFERROR(INDEX('[AQ_2020.xlsx]原始数据'!$C:$C,MATCH($A76,'[AQ_2020.xlsx]原始数据'!$A:$A,0)),""))</f>
        <v/>
      </c>
      <c r="H76">
        <f>IF($A76="","",IFERROR(INDEX('[AQ_2021.xlsx]原始数据'!$C:$C,MATCH($A76,'[AQ_2021.xlsx]原始数据'!$A:$A,0)),""))</f>
        <v/>
      </c>
      <c r="I76">
        <f>IF($A76="","",IFERROR(INDEX('[AQ_2022.xlsx]原始数据'!$C:$C,MATCH($A76,'[AQ_2022.xlsx]原始数据'!$A:$A,0)),""))</f>
        <v/>
      </c>
      <c r="J76">
        <f>IF($A76="","",IFERROR(INDEX('[AQ_2023.xlsx]原始数据'!$C:$C,MATCH($A76,'[AQ_2023.xlsx]原始数据'!$A:$A,0)),""))</f>
        <v/>
      </c>
      <c r="K76">
        <f>IF($A76="","",IFERROR(INDEX('[AQ_2024.xlsx]原始数据'!$C:$C,MATCH($A76,'[AQ_2024.xlsx]原始数据'!$A:$A,0)),""))</f>
        <v/>
      </c>
      <c r="L76">
        <f>IF($A76="","",IFERROR(INDEX('[AQ_2020.xlsx]原始数据'!$D:$D,MATCH($A76,'[AQ_2020.xlsx]原始数据'!$A:$A,0)),""))</f>
        <v/>
      </c>
      <c r="M76">
        <f>IF($A76="","",IFERROR(INDEX('[AQ_2021.xlsx]原始数据'!$D:$D,MATCH($A76,'[AQ_2021.xlsx]原始数据'!$A:$A,0)),""))</f>
        <v/>
      </c>
      <c r="N76">
        <f>IF($A76="","",IFERROR(INDEX('[AQ_2022.xlsx]原始数据'!$D:$D,MATCH($A76,'[AQ_2022.xlsx]原始数据'!$A:$A,0)),""))</f>
        <v/>
      </c>
      <c r="O76">
        <f>IF($A76="","",IFERROR(INDEX('[AQ_2023.xlsx]原始数据'!$D:$D,MATCH($A76,'[AQ_2023.xlsx]原始数据'!$A:$A,0)),""))</f>
        <v/>
      </c>
      <c r="P76">
        <f>IF($A76="","",IFERROR(INDEX('[AQ_2024.xlsx]原始数据'!$D:$D,MATCH($A76,'[AQ_2024.xlsx]原始数据'!$A:$A,0)),""))</f>
        <v/>
      </c>
      <c r="Q76">
        <f>IF($A76="","",IFERROR(INDEX('[AQ_2020.xlsx]原始数据'!$E:$E,MATCH($A76,'[AQ_2020.xlsx]原始数据'!$A:$A,0)),""))</f>
        <v/>
      </c>
      <c r="R76">
        <f>IF($A76="","",IFERROR(INDEX('[AQ_2021.xlsx]原始数据'!$E:$E,MATCH($A76,'[AQ_2021.xlsx]原始数据'!$A:$A,0)),""))</f>
        <v/>
      </c>
      <c r="S76">
        <f>IF($A76="","",IFERROR(INDEX('[AQ_2022.xlsx]原始数据'!$E:$E,MATCH($A76,'[AQ_2022.xlsx]原始数据'!$A:$A,0)),""))</f>
        <v/>
      </c>
      <c r="T76">
        <f>IF($A76="","",IFERROR(INDEX('[AQ_2023.xlsx]原始数据'!$E:$E,MATCH($A76,'[AQ_2023.xlsx]原始数据'!$A:$A,0)),""))</f>
        <v/>
      </c>
      <c r="U76">
        <f>IF($A76="","",IFERROR(INDEX('[AQ_2024.xlsx]原始数据'!$E:$E,MATCH($A76,'[AQ_2024.xlsx]原始数据'!$A:$A,0)),""))</f>
        <v/>
      </c>
      <c r="V76">
        <f>IF($A76="","",IFERROR(INDEX('[AQ_2020.xlsx]原始数据'!$F:$F,MATCH($A76,'[AQ_2020.xlsx]原始数据'!$A:$A,0)),""))</f>
        <v/>
      </c>
      <c r="W76">
        <f>IF($A76="","",IFERROR(INDEX('[AQ_2021.xlsx]原始数据'!$F:$F,MATCH($A76,'[AQ_2021.xlsx]原始数据'!$A:$A,0)),""))</f>
        <v/>
      </c>
      <c r="X76">
        <f>IF($A76="","",IFERROR(INDEX('[AQ_2022.xlsx]原始数据'!$F:$F,MATCH($A76,'[AQ_2022.xlsx]原始数据'!$A:$A,0)),""))</f>
        <v/>
      </c>
      <c r="Y76">
        <f>IF($A76="","",IFERROR(INDEX('[AQ_2023.xlsx]原始数据'!$F:$F,MATCH($A76,'[AQ_2023.xlsx]原始数据'!$A:$A,0)),""))</f>
        <v/>
      </c>
      <c r="Z76">
        <f>IF($A76="","",IFERROR(INDEX('[AQ_2024.xlsx]原始数据'!$F:$F,MATCH($A76,'[AQ_2024.xlsx]原始数据'!$A:$A,0)),""))</f>
        <v/>
      </c>
      <c r="AA76" s="2">
        <f>IFERROR(G76/B76,"")</f>
        <v/>
      </c>
      <c r="AB76" s="2">
        <f>IFERROR(H76/C76,"")</f>
        <v/>
      </c>
      <c r="AC76" s="2">
        <f>IFERROR(I76/D76,"")</f>
        <v/>
      </c>
      <c r="AD76" s="2">
        <f>IFERROR(J76/E76,"")</f>
        <v/>
      </c>
      <c r="AE76" s="2">
        <f>IFERROR(K76/F76,"")</f>
        <v/>
      </c>
      <c r="AF76" s="2">
        <f>IFERROR(L76/B76,"")</f>
        <v/>
      </c>
      <c r="AG76" s="2">
        <f>IFERROR(M76/C76,"")</f>
        <v/>
      </c>
      <c r="AH76" s="2">
        <f>IFERROR(N76/D76,"")</f>
        <v/>
      </c>
      <c r="AI76" s="2">
        <f>IFERROR(O76/E76,"")</f>
        <v/>
      </c>
      <c r="AJ76" s="2">
        <f>IFERROR(P76/F76,"")</f>
        <v/>
      </c>
      <c r="AK76" s="2">
        <f>IFERROR(Q76/B76,"")</f>
        <v/>
      </c>
      <c r="AL76" s="2">
        <f>IFERROR(R76/C76,"")</f>
        <v/>
      </c>
      <c r="AM76" s="2">
        <f>IFERROR(S76/D76,"")</f>
        <v/>
      </c>
      <c r="AN76" s="2">
        <f>IFERROR(T76/E76,"")</f>
        <v/>
      </c>
      <c r="AO76" s="2">
        <f>IFERROR(U76/F76,"")</f>
        <v/>
      </c>
    </row>
    <row r="77">
      <c r="B77">
        <f>IF($A77="","",IFERROR(INDEX('[AQ_2020.xlsx]原始数据'!$B:$B,MATCH($A77,'[AQ_2020.xlsx]原始数据'!$A:$A,0)),""))</f>
        <v/>
      </c>
      <c r="C77">
        <f>IF($A77="","",IFERROR(INDEX('[AQ_2021.xlsx]原始数据'!$B:$B,MATCH($A77,'[AQ_2021.xlsx]原始数据'!$A:$A,0)),""))</f>
        <v/>
      </c>
      <c r="D77">
        <f>IF($A77="","",IFERROR(INDEX('[AQ_2022.xlsx]原始数据'!$B:$B,MATCH($A77,'[AQ_2022.xlsx]原始数据'!$A:$A,0)),""))</f>
        <v/>
      </c>
      <c r="E77">
        <f>IF($A77="","",IFERROR(INDEX('[AQ_2023.xlsx]原始数据'!$B:$B,MATCH($A77,'[AQ_2023.xlsx]原始数据'!$A:$A,0)),""))</f>
        <v/>
      </c>
      <c r="F77">
        <f>IF($A77="","",IFERROR(INDEX('[AQ_2024.xlsx]原始数据'!$B:$B,MATCH($A77,'[AQ_2024.xlsx]原始数据'!$A:$A,0)),""))</f>
        <v/>
      </c>
      <c r="G77">
        <f>IF($A77="","",IFERROR(INDEX('[AQ_2020.xlsx]原始数据'!$C:$C,MATCH($A77,'[AQ_2020.xlsx]原始数据'!$A:$A,0)),""))</f>
        <v/>
      </c>
      <c r="H77">
        <f>IF($A77="","",IFERROR(INDEX('[AQ_2021.xlsx]原始数据'!$C:$C,MATCH($A77,'[AQ_2021.xlsx]原始数据'!$A:$A,0)),""))</f>
        <v/>
      </c>
      <c r="I77">
        <f>IF($A77="","",IFERROR(INDEX('[AQ_2022.xlsx]原始数据'!$C:$C,MATCH($A77,'[AQ_2022.xlsx]原始数据'!$A:$A,0)),""))</f>
        <v/>
      </c>
      <c r="J77">
        <f>IF($A77="","",IFERROR(INDEX('[AQ_2023.xlsx]原始数据'!$C:$C,MATCH($A77,'[AQ_2023.xlsx]原始数据'!$A:$A,0)),""))</f>
        <v/>
      </c>
      <c r="K77">
        <f>IF($A77="","",IFERROR(INDEX('[AQ_2024.xlsx]原始数据'!$C:$C,MATCH($A77,'[AQ_2024.xlsx]原始数据'!$A:$A,0)),""))</f>
        <v/>
      </c>
      <c r="L77">
        <f>IF($A77="","",IFERROR(INDEX('[AQ_2020.xlsx]原始数据'!$D:$D,MATCH($A77,'[AQ_2020.xlsx]原始数据'!$A:$A,0)),""))</f>
        <v/>
      </c>
      <c r="M77">
        <f>IF($A77="","",IFERROR(INDEX('[AQ_2021.xlsx]原始数据'!$D:$D,MATCH($A77,'[AQ_2021.xlsx]原始数据'!$A:$A,0)),""))</f>
        <v/>
      </c>
      <c r="N77">
        <f>IF($A77="","",IFERROR(INDEX('[AQ_2022.xlsx]原始数据'!$D:$D,MATCH($A77,'[AQ_2022.xlsx]原始数据'!$A:$A,0)),""))</f>
        <v/>
      </c>
      <c r="O77">
        <f>IF($A77="","",IFERROR(INDEX('[AQ_2023.xlsx]原始数据'!$D:$D,MATCH($A77,'[AQ_2023.xlsx]原始数据'!$A:$A,0)),""))</f>
        <v/>
      </c>
      <c r="P77">
        <f>IF($A77="","",IFERROR(INDEX('[AQ_2024.xlsx]原始数据'!$D:$D,MATCH($A77,'[AQ_2024.xlsx]原始数据'!$A:$A,0)),""))</f>
        <v/>
      </c>
      <c r="Q77">
        <f>IF($A77="","",IFERROR(INDEX('[AQ_2020.xlsx]原始数据'!$E:$E,MATCH($A77,'[AQ_2020.xlsx]原始数据'!$A:$A,0)),""))</f>
        <v/>
      </c>
      <c r="R77">
        <f>IF($A77="","",IFERROR(INDEX('[AQ_2021.xlsx]原始数据'!$E:$E,MATCH($A77,'[AQ_2021.xlsx]原始数据'!$A:$A,0)),""))</f>
        <v/>
      </c>
      <c r="S77">
        <f>IF($A77="","",IFERROR(INDEX('[AQ_2022.xlsx]原始数据'!$E:$E,MATCH($A77,'[AQ_2022.xlsx]原始数据'!$A:$A,0)),""))</f>
        <v/>
      </c>
      <c r="T77">
        <f>IF($A77="","",IFERROR(INDEX('[AQ_2023.xlsx]原始数据'!$E:$E,MATCH($A77,'[AQ_2023.xlsx]原始数据'!$A:$A,0)),""))</f>
        <v/>
      </c>
      <c r="U77">
        <f>IF($A77="","",IFERROR(INDEX('[AQ_2024.xlsx]原始数据'!$E:$E,MATCH($A77,'[AQ_2024.xlsx]原始数据'!$A:$A,0)),""))</f>
        <v/>
      </c>
      <c r="V77">
        <f>IF($A77="","",IFERROR(INDEX('[AQ_2020.xlsx]原始数据'!$F:$F,MATCH($A77,'[AQ_2020.xlsx]原始数据'!$A:$A,0)),""))</f>
        <v/>
      </c>
      <c r="W77">
        <f>IF($A77="","",IFERROR(INDEX('[AQ_2021.xlsx]原始数据'!$F:$F,MATCH($A77,'[AQ_2021.xlsx]原始数据'!$A:$A,0)),""))</f>
        <v/>
      </c>
      <c r="X77">
        <f>IF($A77="","",IFERROR(INDEX('[AQ_2022.xlsx]原始数据'!$F:$F,MATCH($A77,'[AQ_2022.xlsx]原始数据'!$A:$A,0)),""))</f>
        <v/>
      </c>
      <c r="Y77">
        <f>IF($A77="","",IFERROR(INDEX('[AQ_2023.xlsx]原始数据'!$F:$F,MATCH($A77,'[AQ_2023.xlsx]原始数据'!$A:$A,0)),""))</f>
        <v/>
      </c>
      <c r="Z77">
        <f>IF($A77="","",IFERROR(INDEX('[AQ_2024.xlsx]原始数据'!$F:$F,MATCH($A77,'[AQ_2024.xlsx]原始数据'!$A:$A,0)),""))</f>
        <v/>
      </c>
      <c r="AA77" s="2">
        <f>IFERROR(G77/B77,"")</f>
        <v/>
      </c>
      <c r="AB77" s="2">
        <f>IFERROR(H77/C77,"")</f>
        <v/>
      </c>
      <c r="AC77" s="2">
        <f>IFERROR(I77/D77,"")</f>
        <v/>
      </c>
      <c r="AD77" s="2">
        <f>IFERROR(J77/E77,"")</f>
        <v/>
      </c>
      <c r="AE77" s="2">
        <f>IFERROR(K77/F77,"")</f>
        <v/>
      </c>
      <c r="AF77" s="2">
        <f>IFERROR(L77/B77,"")</f>
        <v/>
      </c>
      <c r="AG77" s="2">
        <f>IFERROR(M77/C77,"")</f>
        <v/>
      </c>
      <c r="AH77" s="2">
        <f>IFERROR(N77/D77,"")</f>
        <v/>
      </c>
      <c r="AI77" s="2">
        <f>IFERROR(O77/E77,"")</f>
        <v/>
      </c>
      <c r="AJ77" s="2">
        <f>IFERROR(P77/F77,"")</f>
        <v/>
      </c>
      <c r="AK77" s="2">
        <f>IFERROR(Q77/B77,"")</f>
        <v/>
      </c>
      <c r="AL77" s="2">
        <f>IFERROR(R77/C77,"")</f>
        <v/>
      </c>
      <c r="AM77" s="2">
        <f>IFERROR(S77/D77,"")</f>
        <v/>
      </c>
      <c r="AN77" s="2">
        <f>IFERROR(T77/E77,"")</f>
        <v/>
      </c>
      <c r="AO77" s="2">
        <f>IFERROR(U77/F77,"")</f>
        <v/>
      </c>
    </row>
    <row r="78">
      <c r="B78">
        <f>IF($A78="","",IFERROR(INDEX('[AQ_2020.xlsx]原始数据'!$B:$B,MATCH($A78,'[AQ_2020.xlsx]原始数据'!$A:$A,0)),""))</f>
        <v/>
      </c>
      <c r="C78">
        <f>IF($A78="","",IFERROR(INDEX('[AQ_2021.xlsx]原始数据'!$B:$B,MATCH($A78,'[AQ_2021.xlsx]原始数据'!$A:$A,0)),""))</f>
        <v/>
      </c>
      <c r="D78">
        <f>IF($A78="","",IFERROR(INDEX('[AQ_2022.xlsx]原始数据'!$B:$B,MATCH($A78,'[AQ_2022.xlsx]原始数据'!$A:$A,0)),""))</f>
        <v/>
      </c>
      <c r="E78">
        <f>IF($A78="","",IFERROR(INDEX('[AQ_2023.xlsx]原始数据'!$B:$B,MATCH($A78,'[AQ_2023.xlsx]原始数据'!$A:$A,0)),""))</f>
        <v/>
      </c>
      <c r="F78">
        <f>IF($A78="","",IFERROR(INDEX('[AQ_2024.xlsx]原始数据'!$B:$B,MATCH($A78,'[AQ_2024.xlsx]原始数据'!$A:$A,0)),""))</f>
        <v/>
      </c>
      <c r="G78">
        <f>IF($A78="","",IFERROR(INDEX('[AQ_2020.xlsx]原始数据'!$C:$C,MATCH($A78,'[AQ_2020.xlsx]原始数据'!$A:$A,0)),""))</f>
        <v/>
      </c>
      <c r="H78">
        <f>IF($A78="","",IFERROR(INDEX('[AQ_2021.xlsx]原始数据'!$C:$C,MATCH($A78,'[AQ_2021.xlsx]原始数据'!$A:$A,0)),""))</f>
        <v/>
      </c>
      <c r="I78">
        <f>IF($A78="","",IFERROR(INDEX('[AQ_2022.xlsx]原始数据'!$C:$C,MATCH($A78,'[AQ_2022.xlsx]原始数据'!$A:$A,0)),""))</f>
        <v/>
      </c>
      <c r="J78">
        <f>IF($A78="","",IFERROR(INDEX('[AQ_2023.xlsx]原始数据'!$C:$C,MATCH($A78,'[AQ_2023.xlsx]原始数据'!$A:$A,0)),""))</f>
        <v/>
      </c>
      <c r="K78">
        <f>IF($A78="","",IFERROR(INDEX('[AQ_2024.xlsx]原始数据'!$C:$C,MATCH($A78,'[AQ_2024.xlsx]原始数据'!$A:$A,0)),""))</f>
        <v/>
      </c>
      <c r="L78">
        <f>IF($A78="","",IFERROR(INDEX('[AQ_2020.xlsx]原始数据'!$D:$D,MATCH($A78,'[AQ_2020.xlsx]原始数据'!$A:$A,0)),""))</f>
        <v/>
      </c>
      <c r="M78">
        <f>IF($A78="","",IFERROR(INDEX('[AQ_2021.xlsx]原始数据'!$D:$D,MATCH($A78,'[AQ_2021.xlsx]原始数据'!$A:$A,0)),""))</f>
        <v/>
      </c>
      <c r="N78">
        <f>IF($A78="","",IFERROR(INDEX('[AQ_2022.xlsx]原始数据'!$D:$D,MATCH($A78,'[AQ_2022.xlsx]原始数据'!$A:$A,0)),""))</f>
        <v/>
      </c>
      <c r="O78">
        <f>IF($A78="","",IFERROR(INDEX('[AQ_2023.xlsx]原始数据'!$D:$D,MATCH($A78,'[AQ_2023.xlsx]原始数据'!$A:$A,0)),""))</f>
        <v/>
      </c>
      <c r="P78">
        <f>IF($A78="","",IFERROR(INDEX('[AQ_2024.xlsx]原始数据'!$D:$D,MATCH($A78,'[AQ_2024.xlsx]原始数据'!$A:$A,0)),""))</f>
        <v/>
      </c>
      <c r="Q78">
        <f>IF($A78="","",IFERROR(INDEX('[AQ_2020.xlsx]原始数据'!$E:$E,MATCH($A78,'[AQ_2020.xlsx]原始数据'!$A:$A,0)),""))</f>
        <v/>
      </c>
      <c r="R78">
        <f>IF($A78="","",IFERROR(INDEX('[AQ_2021.xlsx]原始数据'!$E:$E,MATCH($A78,'[AQ_2021.xlsx]原始数据'!$A:$A,0)),""))</f>
        <v/>
      </c>
      <c r="S78">
        <f>IF($A78="","",IFERROR(INDEX('[AQ_2022.xlsx]原始数据'!$E:$E,MATCH($A78,'[AQ_2022.xlsx]原始数据'!$A:$A,0)),""))</f>
        <v/>
      </c>
      <c r="T78">
        <f>IF($A78="","",IFERROR(INDEX('[AQ_2023.xlsx]原始数据'!$E:$E,MATCH($A78,'[AQ_2023.xlsx]原始数据'!$A:$A,0)),""))</f>
        <v/>
      </c>
      <c r="U78">
        <f>IF($A78="","",IFERROR(INDEX('[AQ_2024.xlsx]原始数据'!$E:$E,MATCH($A78,'[AQ_2024.xlsx]原始数据'!$A:$A,0)),""))</f>
        <v/>
      </c>
      <c r="V78">
        <f>IF($A78="","",IFERROR(INDEX('[AQ_2020.xlsx]原始数据'!$F:$F,MATCH($A78,'[AQ_2020.xlsx]原始数据'!$A:$A,0)),""))</f>
        <v/>
      </c>
      <c r="W78">
        <f>IF($A78="","",IFERROR(INDEX('[AQ_2021.xlsx]原始数据'!$F:$F,MATCH($A78,'[AQ_2021.xlsx]原始数据'!$A:$A,0)),""))</f>
        <v/>
      </c>
      <c r="X78">
        <f>IF($A78="","",IFERROR(INDEX('[AQ_2022.xlsx]原始数据'!$F:$F,MATCH($A78,'[AQ_2022.xlsx]原始数据'!$A:$A,0)),""))</f>
        <v/>
      </c>
      <c r="Y78">
        <f>IF($A78="","",IFERROR(INDEX('[AQ_2023.xlsx]原始数据'!$F:$F,MATCH($A78,'[AQ_2023.xlsx]原始数据'!$A:$A,0)),""))</f>
        <v/>
      </c>
      <c r="Z78">
        <f>IF($A78="","",IFERROR(INDEX('[AQ_2024.xlsx]原始数据'!$F:$F,MATCH($A78,'[AQ_2024.xlsx]原始数据'!$A:$A,0)),""))</f>
        <v/>
      </c>
      <c r="AA78" s="2">
        <f>IFERROR(G78/B78,"")</f>
        <v/>
      </c>
      <c r="AB78" s="2">
        <f>IFERROR(H78/C78,"")</f>
        <v/>
      </c>
      <c r="AC78" s="2">
        <f>IFERROR(I78/D78,"")</f>
        <v/>
      </c>
      <c r="AD78" s="2">
        <f>IFERROR(J78/E78,"")</f>
        <v/>
      </c>
      <c r="AE78" s="2">
        <f>IFERROR(K78/F78,"")</f>
        <v/>
      </c>
      <c r="AF78" s="2">
        <f>IFERROR(L78/B78,"")</f>
        <v/>
      </c>
      <c r="AG78" s="2">
        <f>IFERROR(M78/C78,"")</f>
        <v/>
      </c>
      <c r="AH78" s="2">
        <f>IFERROR(N78/D78,"")</f>
        <v/>
      </c>
      <c r="AI78" s="2">
        <f>IFERROR(O78/E78,"")</f>
        <v/>
      </c>
      <c r="AJ78" s="2">
        <f>IFERROR(P78/F78,"")</f>
        <v/>
      </c>
      <c r="AK78" s="2">
        <f>IFERROR(Q78/B78,"")</f>
        <v/>
      </c>
      <c r="AL78" s="2">
        <f>IFERROR(R78/C78,"")</f>
        <v/>
      </c>
      <c r="AM78" s="2">
        <f>IFERROR(S78/D78,"")</f>
        <v/>
      </c>
      <c r="AN78" s="2">
        <f>IFERROR(T78/E78,"")</f>
        <v/>
      </c>
      <c r="AO78" s="2">
        <f>IFERROR(U78/F78,"")</f>
        <v/>
      </c>
    </row>
    <row r="79">
      <c r="B79">
        <f>IF($A79="","",IFERROR(INDEX('[AQ_2020.xlsx]原始数据'!$B:$B,MATCH($A79,'[AQ_2020.xlsx]原始数据'!$A:$A,0)),""))</f>
        <v/>
      </c>
      <c r="C79">
        <f>IF($A79="","",IFERROR(INDEX('[AQ_2021.xlsx]原始数据'!$B:$B,MATCH($A79,'[AQ_2021.xlsx]原始数据'!$A:$A,0)),""))</f>
        <v/>
      </c>
      <c r="D79">
        <f>IF($A79="","",IFERROR(INDEX('[AQ_2022.xlsx]原始数据'!$B:$B,MATCH($A79,'[AQ_2022.xlsx]原始数据'!$A:$A,0)),""))</f>
        <v/>
      </c>
      <c r="E79">
        <f>IF($A79="","",IFERROR(INDEX('[AQ_2023.xlsx]原始数据'!$B:$B,MATCH($A79,'[AQ_2023.xlsx]原始数据'!$A:$A,0)),""))</f>
        <v/>
      </c>
      <c r="F79">
        <f>IF($A79="","",IFERROR(INDEX('[AQ_2024.xlsx]原始数据'!$B:$B,MATCH($A79,'[AQ_2024.xlsx]原始数据'!$A:$A,0)),""))</f>
        <v/>
      </c>
      <c r="G79">
        <f>IF($A79="","",IFERROR(INDEX('[AQ_2020.xlsx]原始数据'!$C:$C,MATCH($A79,'[AQ_2020.xlsx]原始数据'!$A:$A,0)),""))</f>
        <v/>
      </c>
      <c r="H79">
        <f>IF($A79="","",IFERROR(INDEX('[AQ_2021.xlsx]原始数据'!$C:$C,MATCH($A79,'[AQ_2021.xlsx]原始数据'!$A:$A,0)),""))</f>
        <v/>
      </c>
      <c r="I79">
        <f>IF($A79="","",IFERROR(INDEX('[AQ_2022.xlsx]原始数据'!$C:$C,MATCH($A79,'[AQ_2022.xlsx]原始数据'!$A:$A,0)),""))</f>
        <v/>
      </c>
      <c r="J79">
        <f>IF($A79="","",IFERROR(INDEX('[AQ_2023.xlsx]原始数据'!$C:$C,MATCH($A79,'[AQ_2023.xlsx]原始数据'!$A:$A,0)),""))</f>
        <v/>
      </c>
      <c r="K79">
        <f>IF($A79="","",IFERROR(INDEX('[AQ_2024.xlsx]原始数据'!$C:$C,MATCH($A79,'[AQ_2024.xlsx]原始数据'!$A:$A,0)),""))</f>
        <v/>
      </c>
      <c r="L79">
        <f>IF($A79="","",IFERROR(INDEX('[AQ_2020.xlsx]原始数据'!$D:$D,MATCH($A79,'[AQ_2020.xlsx]原始数据'!$A:$A,0)),""))</f>
        <v/>
      </c>
      <c r="M79">
        <f>IF($A79="","",IFERROR(INDEX('[AQ_2021.xlsx]原始数据'!$D:$D,MATCH($A79,'[AQ_2021.xlsx]原始数据'!$A:$A,0)),""))</f>
        <v/>
      </c>
      <c r="N79">
        <f>IF($A79="","",IFERROR(INDEX('[AQ_2022.xlsx]原始数据'!$D:$D,MATCH($A79,'[AQ_2022.xlsx]原始数据'!$A:$A,0)),""))</f>
        <v/>
      </c>
      <c r="O79">
        <f>IF($A79="","",IFERROR(INDEX('[AQ_2023.xlsx]原始数据'!$D:$D,MATCH($A79,'[AQ_2023.xlsx]原始数据'!$A:$A,0)),""))</f>
        <v/>
      </c>
      <c r="P79">
        <f>IF($A79="","",IFERROR(INDEX('[AQ_2024.xlsx]原始数据'!$D:$D,MATCH($A79,'[AQ_2024.xlsx]原始数据'!$A:$A,0)),""))</f>
        <v/>
      </c>
      <c r="Q79">
        <f>IF($A79="","",IFERROR(INDEX('[AQ_2020.xlsx]原始数据'!$E:$E,MATCH($A79,'[AQ_2020.xlsx]原始数据'!$A:$A,0)),""))</f>
        <v/>
      </c>
      <c r="R79">
        <f>IF($A79="","",IFERROR(INDEX('[AQ_2021.xlsx]原始数据'!$E:$E,MATCH($A79,'[AQ_2021.xlsx]原始数据'!$A:$A,0)),""))</f>
        <v/>
      </c>
      <c r="S79">
        <f>IF($A79="","",IFERROR(INDEX('[AQ_2022.xlsx]原始数据'!$E:$E,MATCH($A79,'[AQ_2022.xlsx]原始数据'!$A:$A,0)),""))</f>
        <v/>
      </c>
      <c r="T79">
        <f>IF($A79="","",IFERROR(INDEX('[AQ_2023.xlsx]原始数据'!$E:$E,MATCH($A79,'[AQ_2023.xlsx]原始数据'!$A:$A,0)),""))</f>
        <v/>
      </c>
      <c r="U79">
        <f>IF($A79="","",IFERROR(INDEX('[AQ_2024.xlsx]原始数据'!$E:$E,MATCH($A79,'[AQ_2024.xlsx]原始数据'!$A:$A,0)),""))</f>
        <v/>
      </c>
      <c r="V79">
        <f>IF($A79="","",IFERROR(INDEX('[AQ_2020.xlsx]原始数据'!$F:$F,MATCH($A79,'[AQ_2020.xlsx]原始数据'!$A:$A,0)),""))</f>
        <v/>
      </c>
      <c r="W79">
        <f>IF($A79="","",IFERROR(INDEX('[AQ_2021.xlsx]原始数据'!$F:$F,MATCH($A79,'[AQ_2021.xlsx]原始数据'!$A:$A,0)),""))</f>
        <v/>
      </c>
      <c r="X79">
        <f>IF($A79="","",IFERROR(INDEX('[AQ_2022.xlsx]原始数据'!$F:$F,MATCH($A79,'[AQ_2022.xlsx]原始数据'!$A:$A,0)),""))</f>
        <v/>
      </c>
      <c r="Y79">
        <f>IF($A79="","",IFERROR(INDEX('[AQ_2023.xlsx]原始数据'!$F:$F,MATCH($A79,'[AQ_2023.xlsx]原始数据'!$A:$A,0)),""))</f>
        <v/>
      </c>
      <c r="Z79">
        <f>IF($A79="","",IFERROR(INDEX('[AQ_2024.xlsx]原始数据'!$F:$F,MATCH($A79,'[AQ_2024.xlsx]原始数据'!$A:$A,0)),""))</f>
        <v/>
      </c>
      <c r="AA79" s="2">
        <f>IFERROR(G79/B79,"")</f>
        <v/>
      </c>
      <c r="AB79" s="2">
        <f>IFERROR(H79/C79,"")</f>
        <v/>
      </c>
      <c r="AC79" s="2">
        <f>IFERROR(I79/D79,"")</f>
        <v/>
      </c>
      <c r="AD79" s="2">
        <f>IFERROR(J79/E79,"")</f>
        <v/>
      </c>
      <c r="AE79" s="2">
        <f>IFERROR(K79/F79,"")</f>
        <v/>
      </c>
      <c r="AF79" s="2">
        <f>IFERROR(L79/B79,"")</f>
        <v/>
      </c>
      <c r="AG79" s="2">
        <f>IFERROR(M79/C79,"")</f>
        <v/>
      </c>
      <c r="AH79" s="2">
        <f>IFERROR(N79/D79,"")</f>
        <v/>
      </c>
      <c r="AI79" s="2">
        <f>IFERROR(O79/E79,"")</f>
        <v/>
      </c>
      <c r="AJ79" s="2">
        <f>IFERROR(P79/F79,"")</f>
        <v/>
      </c>
      <c r="AK79" s="2">
        <f>IFERROR(Q79/B79,"")</f>
        <v/>
      </c>
      <c r="AL79" s="2">
        <f>IFERROR(R79/C79,"")</f>
        <v/>
      </c>
      <c r="AM79" s="2">
        <f>IFERROR(S79/D79,"")</f>
        <v/>
      </c>
      <c r="AN79" s="2">
        <f>IFERROR(T79/E79,"")</f>
        <v/>
      </c>
      <c r="AO79" s="2">
        <f>IFERROR(U79/F79,"")</f>
        <v/>
      </c>
    </row>
    <row r="80">
      <c r="B80">
        <f>IF($A80="","",IFERROR(INDEX('[AQ_2020.xlsx]原始数据'!$B:$B,MATCH($A80,'[AQ_2020.xlsx]原始数据'!$A:$A,0)),""))</f>
        <v/>
      </c>
      <c r="C80">
        <f>IF($A80="","",IFERROR(INDEX('[AQ_2021.xlsx]原始数据'!$B:$B,MATCH($A80,'[AQ_2021.xlsx]原始数据'!$A:$A,0)),""))</f>
        <v/>
      </c>
      <c r="D80">
        <f>IF($A80="","",IFERROR(INDEX('[AQ_2022.xlsx]原始数据'!$B:$B,MATCH($A80,'[AQ_2022.xlsx]原始数据'!$A:$A,0)),""))</f>
        <v/>
      </c>
      <c r="E80">
        <f>IF($A80="","",IFERROR(INDEX('[AQ_2023.xlsx]原始数据'!$B:$B,MATCH($A80,'[AQ_2023.xlsx]原始数据'!$A:$A,0)),""))</f>
        <v/>
      </c>
      <c r="F80">
        <f>IF($A80="","",IFERROR(INDEX('[AQ_2024.xlsx]原始数据'!$B:$B,MATCH($A80,'[AQ_2024.xlsx]原始数据'!$A:$A,0)),""))</f>
        <v/>
      </c>
      <c r="G80">
        <f>IF($A80="","",IFERROR(INDEX('[AQ_2020.xlsx]原始数据'!$C:$C,MATCH($A80,'[AQ_2020.xlsx]原始数据'!$A:$A,0)),""))</f>
        <v/>
      </c>
      <c r="H80">
        <f>IF($A80="","",IFERROR(INDEX('[AQ_2021.xlsx]原始数据'!$C:$C,MATCH($A80,'[AQ_2021.xlsx]原始数据'!$A:$A,0)),""))</f>
        <v/>
      </c>
      <c r="I80">
        <f>IF($A80="","",IFERROR(INDEX('[AQ_2022.xlsx]原始数据'!$C:$C,MATCH($A80,'[AQ_2022.xlsx]原始数据'!$A:$A,0)),""))</f>
        <v/>
      </c>
      <c r="J80">
        <f>IF($A80="","",IFERROR(INDEX('[AQ_2023.xlsx]原始数据'!$C:$C,MATCH($A80,'[AQ_2023.xlsx]原始数据'!$A:$A,0)),""))</f>
        <v/>
      </c>
      <c r="K80">
        <f>IF($A80="","",IFERROR(INDEX('[AQ_2024.xlsx]原始数据'!$C:$C,MATCH($A80,'[AQ_2024.xlsx]原始数据'!$A:$A,0)),""))</f>
        <v/>
      </c>
      <c r="L80">
        <f>IF($A80="","",IFERROR(INDEX('[AQ_2020.xlsx]原始数据'!$D:$D,MATCH($A80,'[AQ_2020.xlsx]原始数据'!$A:$A,0)),""))</f>
        <v/>
      </c>
      <c r="M80">
        <f>IF($A80="","",IFERROR(INDEX('[AQ_2021.xlsx]原始数据'!$D:$D,MATCH($A80,'[AQ_2021.xlsx]原始数据'!$A:$A,0)),""))</f>
        <v/>
      </c>
      <c r="N80">
        <f>IF($A80="","",IFERROR(INDEX('[AQ_2022.xlsx]原始数据'!$D:$D,MATCH($A80,'[AQ_2022.xlsx]原始数据'!$A:$A,0)),""))</f>
        <v/>
      </c>
      <c r="O80">
        <f>IF($A80="","",IFERROR(INDEX('[AQ_2023.xlsx]原始数据'!$D:$D,MATCH($A80,'[AQ_2023.xlsx]原始数据'!$A:$A,0)),""))</f>
        <v/>
      </c>
      <c r="P80">
        <f>IF($A80="","",IFERROR(INDEX('[AQ_2024.xlsx]原始数据'!$D:$D,MATCH($A80,'[AQ_2024.xlsx]原始数据'!$A:$A,0)),""))</f>
        <v/>
      </c>
      <c r="Q80">
        <f>IF($A80="","",IFERROR(INDEX('[AQ_2020.xlsx]原始数据'!$E:$E,MATCH($A80,'[AQ_2020.xlsx]原始数据'!$A:$A,0)),""))</f>
        <v/>
      </c>
      <c r="R80">
        <f>IF($A80="","",IFERROR(INDEX('[AQ_2021.xlsx]原始数据'!$E:$E,MATCH($A80,'[AQ_2021.xlsx]原始数据'!$A:$A,0)),""))</f>
        <v/>
      </c>
      <c r="S80">
        <f>IF($A80="","",IFERROR(INDEX('[AQ_2022.xlsx]原始数据'!$E:$E,MATCH($A80,'[AQ_2022.xlsx]原始数据'!$A:$A,0)),""))</f>
        <v/>
      </c>
      <c r="T80">
        <f>IF($A80="","",IFERROR(INDEX('[AQ_2023.xlsx]原始数据'!$E:$E,MATCH($A80,'[AQ_2023.xlsx]原始数据'!$A:$A,0)),""))</f>
        <v/>
      </c>
      <c r="U80">
        <f>IF($A80="","",IFERROR(INDEX('[AQ_2024.xlsx]原始数据'!$E:$E,MATCH($A80,'[AQ_2024.xlsx]原始数据'!$A:$A,0)),""))</f>
        <v/>
      </c>
      <c r="V80">
        <f>IF($A80="","",IFERROR(INDEX('[AQ_2020.xlsx]原始数据'!$F:$F,MATCH($A80,'[AQ_2020.xlsx]原始数据'!$A:$A,0)),""))</f>
        <v/>
      </c>
      <c r="W80">
        <f>IF($A80="","",IFERROR(INDEX('[AQ_2021.xlsx]原始数据'!$F:$F,MATCH($A80,'[AQ_2021.xlsx]原始数据'!$A:$A,0)),""))</f>
        <v/>
      </c>
      <c r="X80">
        <f>IF($A80="","",IFERROR(INDEX('[AQ_2022.xlsx]原始数据'!$F:$F,MATCH($A80,'[AQ_2022.xlsx]原始数据'!$A:$A,0)),""))</f>
        <v/>
      </c>
      <c r="Y80">
        <f>IF($A80="","",IFERROR(INDEX('[AQ_2023.xlsx]原始数据'!$F:$F,MATCH($A80,'[AQ_2023.xlsx]原始数据'!$A:$A,0)),""))</f>
        <v/>
      </c>
      <c r="Z80">
        <f>IF($A80="","",IFERROR(INDEX('[AQ_2024.xlsx]原始数据'!$F:$F,MATCH($A80,'[AQ_2024.xlsx]原始数据'!$A:$A,0)),""))</f>
        <v/>
      </c>
      <c r="AA80" s="2">
        <f>IFERROR(G80/B80,"")</f>
        <v/>
      </c>
      <c r="AB80" s="2">
        <f>IFERROR(H80/C80,"")</f>
        <v/>
      </c>
      <c r="AC80" s="2">
        <f>IFERROR(I80/D80,"")</f>
        <v/>
      </c>
      <c r="AD80" s="2">
        <f>IFERROR(J80/E80,"")</f>
        <v/>
      </c>
      <c r="AE80" s="2">
        <f>IFERROR(K80/F80,"")</f>
        <v/>
      </c>
      <c r="AF80" s="2">
        <f>IFERROR(L80/B80,"")</f>
        <v/>
      </c>
      <c r="AG80" s="2">
        <f>IFERROR(M80/C80,"")</f>
        <v/>
      </c>
      <c r="AH80" s="2">
        <f>IFERROR(N80/D80,"")</f>
        <v/>
      </c>
      <c r="AI80" s="2">
        <f>IFERROR(O80/E80,"")</f>
        <v/>
      </c>
      <c r="AJ80" s="2">
        <f>IFERROR(P80/F80,"")</f>
        <v/>
      </c>
      <c r="AK80" s="2">
        <f>IFERROR(Q80/B80,"")</f>
        <v/>
      </c>
      <c r="AL80" s="2">
        <f>IFERROR(R80/C80,"")</f>
        <v/>
      </c>
      <c r="AM80" s="2">
        <f>IFERROR(S80/D80,"")</f>
        <v/>
      </c>
      <c r="AN80" s="2">
        <f>IFERROR(T80/E80,"")</f>
        <v/>
      </c>
      <c r="AO80" s="2">
        <f>IFERROR(U80/F80,"")</f>
        <v/>
      </c>
    </row>
    <row r="81">
      <c r="B81">
        <f>IF($A81="","",IFERROR(INDEX('[AQ_2020.xlsx]原始数据'!$B:$B,MATCH($A81,'[AQ_2020.xlsx]原始数据'!$A:$A,0)),""))</f>
        <v/>
      </c>
      <c r="C81">
        <f>IF($A81="","",IFERROR(INDEX('[AQ_2021.xlsx]原始数据'!$B:$B,MATCH($A81,'[AQ_2021.xlsx]原始数据'!$A:$A,0)),""))</f>
        <v/>
      </c>
      <c r="D81">
        <f>IF($A81="","",IFERROR(INDEX('[AQ_2022.xlsx]原始数据'!$B:$B,MATCH($A81,'[AQ_2022.xlsx]原始数据'!$A:$A,0)),""))</f>
        <v/>
      </c>
      <c r="E81">
        <f>IF($A81="","",IFERROR(INDEX('[AQ_2023.xlsx]原始数据'!$B:$B,MATCH($A81,'[AQ_2023.xlsx]原始数据'!$A:$A,0)),""))</f>
        <v/>
      </c>
      <c r="F81">
        <f>IF($A81="","",IFERROR(INDEX('[AQ_2024.xlsx]原始数据'!$B:$B,MATCH($A81,'[AQ_2024.xlsx]原始数据'!$A:$A,0)),""))</f>
        <v/>
      </c>
      <c r="G81">
        <f>IF($A81="","",IFERROR(INDEX('[AQ_2020.xlsx]原始数据'!$C:$C,MATCH($A81,'[AQ_2020.xlsx]原始数据'!$A:$A,0)),""))</f>
        <v/>
      </c>
      <c r="H81">
        <f>IF($A81="","",IFERROR(INDEX('[AQ_2021.xlsx]原始数据'!$C:$C,MATCH($A81,'[AQ_2021.xlsx]原始数据'!$A:$A,0)),""))</f>
        <v/>
      </c>
      <c r="I81">
        <f>IF($A81="","",IFERROR(INDEX('[AQ_2022.xlsx]原始数据'!$C:$C,MATCH($A81,'[AQ_2022.xlsx]原始数据'!$A:$A,0)),""))</f>
        <v/>
      </c>
      <c r="J81">
        <f>IF($A81="","",IFERROR(INDEX('[AQ_2023.xlsx]原始数据'!$C:$C,MATCH($A81,'[AQ_2023.xlsx]原始数据'!$A:$A,0)),""))</f>
        <v/>
      </c>
      <c r="K81">
        <f>IF($A81="","",IFERROR(INDEX('[AQ_2024.xlsx]原始数据'!$C:$C,MATCH($A81,'[AQ_2024.xlsx]原始数据'!$A:$A,0)),""))</f>
        <v/>
      </c>
      <c r="L81">
        <f>IF($A81="","",IFERROR(INDEX('[AQ_2020.xlsx]原始数据'!$D:$D,MATCH($A81,'[AQ_2020.xlsx]原始数据'!$A:$A,0)),""))</f>
        <v/>
      </c>
      <c r="M81">
        <f>IF($A81="","",IFERROR(INDEX('[AQ_2021.xlsx]原始数据'!$D:$D,MATCH($A81,'[AQ_2021.xlsx]原始数据'!$A:$A,0)),""))</f>
        <v/>
      </c>
      <c r="N81">
        <f>IF($A81="","",IFERROR(INDEX('[AQ_2022.xlsx]原始数据'!$D:$D,MATCH($A81,'[AQ_2022.xlsx]原始数据'!$A:$A,0)),""))</f>
        <v/>
      </c>
      <c r="O81">
        <f>IF($A81="","",IFERROR(INDEX('[AQ_2023.xlsx]原始数据'!$D:$D,MATCH($A81,'[AQ_2023.xlsx]原始数据'!$A:$A,0)),""))</f>
        <v/>
      </c>
      <c r="P81">
        <f>IF($A81="","",IFERROR(INDEX('[AQ_2024.xlsx]原始数据'!$D:$D,MATCH($A81,'[AQ_2024.xlsx]原始数据'!$A:$A,0)),""))</f>
        <v/>
      </c>
      <c r="Q81">
        <f>IF($A81="","",IFERROR(INDEX('[AQ_2020.xlsx]原始数据'!$E:$E,MATCH($A81,'[AQ_2020.xlsx]原始数据'!$A:$A,0)),""))</f>
        <v/>
      </c>
      <c r="R81">
        <f>IF($A81="","",IFERROR(INDEX('[AQ_2021.xlsx]原始数据'!$E:$E,MATCH($A81,'[AQ_2021.xlsx]原始数据'!$A:$A,0)),""))</f>
        <v/>
      </c>
      <c r="S81">
        <f>IF($A81="","",IFERROR(INDEX('[AQ_2022.xlsx]原始数据'!$E:$E,MATCH($A81,'[AQ_2022.xlsx]原始数据'!$A:$A,0)),""))</f>
        <v/>
      </c>
      <c r="T81">
        <f>IF($A81="","",IFERROR(INDEX('[AQ_2023.xlsx]原始数据'!$E:$E,MATCH($A81,'[AQ_2023.xlsx]原始数据'!$A:$A,0)),""))</f>
        <v/>
      </c>
      <c r="U81">
        <f>IF($A81="","",IFERROR(INDEX('[AQ_2024.xlsx]原始数据'!$E:$E,MATCH($A81,'[AQ_2024.xlsx]原始数据'!$A:$A,0)),""))</f>
        <v/>
      </c>
      <c r="V81">
        <f>IF($A81="","",IFERROR(INDEX('[AQ_2020.xlsx]原始数据'!$F:$F,MATCH($A81,'[AQ_2020.xlsx]原始数据'!$A:$A,0)),""))</f>
        <v/>
      </c>
      <c r="W81">
        <f>IF($A81="","",IFERROR(INDEX('[AQ_2021.xlsx]原始数据'!$F:$F,MATCH($A81,'[AQ_2021.xlsx]原始数据'!$A:$A,0)),""))</f>
        <v/>
      </c>
      <c r="X81">
        <f>IF($A81="","",IFERROR(INDEX('[AQ_2022.xlsx]原始数据'!$F:$F,MATCH($A81,'[AQ_2022.xlsx]原始数据'!$A:$A,0)),""))</f>
        <v/>
      </c>
      <c r="Y81">
        <f>IF($A81="","",IFERROR(INDEX('[AQ_2023.xlsx]原始数据'!$F:$F,MATCH($A81,'[AQ_2023.xlsx]原始数据'!$A:$A,0)),""))</f>
        <v/>
      </c>
      <c r="Z81">
        <f>IF($A81="","",IFERROR(INDEX('[AQ_2024.xlsx]原始数据'!$F:$F,MATCH($A81,'[AQ_2024.xlsx]原始数据'!$A:$A,0)),""))</f>
        <v/>
      </c>
      <c r="AA81" s="2">
        <f>IFERROR(G81/B81,"")</f>
        <v/>
      </c>
      <c r="AB81" s="2">
        <f>IFERROR(H81/C81,"")</f>
        <v/>
      </c>
      <c r="AC81" s="2">
        <f>IFERROR(I81/D81,"")</f>
        <v/>
      </c>
      <c r="AD81" s="2">
        <f>IFERROR(J81/E81,"")</f>
        <v/>
      </c>
      <c r="AE81" s="2">
        <f>IFERROR(K81/F81,"")</f>
        <v/>
      </c>
      <c r="AF81" s="2">
        <f>IFERROR(L81/B81,"")</f>
        <v/>
      </c>
      <c r="AG81" s="2">
        <f>IFERROR(M81/C81,"")</f>
        <v/>
      </c>
      <c r="AH81" s="2">
        <f>IFERROR(N81/D81,"")</f>
        <v/>
      </c>
      <c r="AI81" s="2">
        <f>IFERROR(O81/E81,"")</f>
        <v/>
      </c>
      <c r="AJ81" s="2">
        <f>IFERROR(P81/F81,"")</f>
        <v/>
      </c>
      <c r="AK81" s="2">
        <f>IFERROR(Q81/B81,"")</f>
        <v/>
      </c>
      <c r="AL81" s="2">
        <f>IFERROR(R81/C81,"")</f>
        <v/>
      </c>
      <c r="AM81" s="2">
        <f>IFERROR(S81/D81,"")</f>
        <v/>
      </c>
      <c r="AN81" s="2">
        <f>IFERROR(T81/E81,"")</f>
        <v/>
      </c>
      <c r="AO81" s="2">
        <f>IFERROR(U81/F81,"")</f>
        <v/>
      </c>
    </row>
    <row r="82">
      <c r="B82">
        <f>IF($A82="","",IFERROR(INDEX('[AQ_2020.xlsx]原始数据'!$B:$B,MATCH($A82,'[AQ_2020.xlsx]原始数据'!$A:$A,0)),""))</f>
        <v/>
      </c>
      <c r="C82">
        <f>IF($A82="","",IFERROR(INDEX('[AQ_2021.xlsx]原始数据'!$B:$B,MATCH($A82,'[AQ_2021.xlsx]原始数据'!$A:$A,0)),""))</f>
        <v/>
      </c>
      <c r="D82">
        <f>IF($A82="","",IFERROR(INDEX('[AQ_2022.xlsx]原始数据'!$B:$B,MATCH($A82,'[AQ_2022.xlsx]原始数据'!$A:$A,0)),""))</f>
        <v/>
      </c>
      <c r="E82">
        <f>IF($A82="","",IFERROR(INDEX('[AQ_2023.xlsx]原始数据'!$B:$B,MATCH($A82,'[AQ_2023.xlsx]原始数据'!$A:$A,0)),""))</f>
        <v/>
      </c>
      <c r="F82">
        <f>IF($A82="","",IFERROR(INDEX('[AQ_2024.xlsx]原始数据'!$B:$B,MATCH($A82,'[AQ_2024.xlsx]原始数据'!$A:$A,0)),""))</f>
        <v/>
      </c>
      <c r="G82">
        <f>IF($A82="","",IFERROR(INDEX('[AQ_2020.xlsx]原始数据'!$C:$C,MATCH($A82,'[AQ_2020.xlsx]原始数据'!$A:$A,0)),""))</f>
        <v/>
      </c>
      <c r="H82">
        <f>IF($A82="","",IFERROR(INDEX('[AQ_2021.xlsx]原始数据'!$C:$C,MATCH($A82,'[AQ_2021.xlsx]原始数据'!$A:$A,0)),""))</f>
        <v/>
      </c>
      <c r="I82">
        <f>IF($A82="","",IFERROR(INDEX('[AQ_2022.xlsx]原始数据'!$C:$C,MATCH($A82,'[AQ_2022.xlsx]原始数据'!$A:$A,0)),""))</f>
        <v/>
      </c>
      <c r="J82">
        <f>IF($A82="","",IFERROR(INDEX('[AQ_2023.xlsx]原始数据'!$C:$C,MATCH($A82,'[AQ_2023.xlsx]原始数据'!$A:$A,0)),""))</f>
        <v/>
      </c>
      <c r="K82">
        <f>IF($A82="","",IFERROR(INDEX('[AQ_2024.xlsx]原始数据'!$C:$C,MATCH($A82,'[AQ_2024.xlsx]原始数据'!$A:$A,0)),""))</f>
        <v/>
      </c>
      <c r="L82">
        <f>IF($A82="","",IFERROR(INDEX('[AQ_2020.xlsx]原始数据'!$D:$D,MATCH($A82,'[AQ_2020.xlsx]原始数据'!$A:$A,0)),""))</f>
        <v/>
      </c>
      <c r="M82">
        <f>IF($A82="","",IFERROR(INDEX('[AQ_2021.xlsx]原始数据'!$D:$D,MATCH($A82,'[AQ_2021.xlsx]原始数据'!$A:$A,0)),""))</f>
        <v/>
      </c>
      <c r="N82">
        <f>IF($A82="","",IFERROR(INDEX('[AQ_2022.xlsx]原始数据'!$D:$D,MATCH($A82,'[AQ_2022.xlsx]原始数据'!$A:$A,0)),""))</f>
        <v/>
      </c>
      <c r="O82">
        <f>IF($A82="","",IFERROR(INDEX('[AQ_2023.xlsx]原始数据'!$D:$D,MATCH($A82,'[AQ_2023.xlsx]原始数据'!$A:$A,0)),""))</f>
        <v/>
      </c>
      <c r="P82">
        <f>IF($A82="","",IFERROR(INDEX('[AQ_2024.xlsx]原始数据'!$D:$D,MATCH($A82,'[AQ_2024.xlsx]原始数据'!$A:$A,0)),""))</f>
        <v/>
      </c>
      <c r="Q82">
        <f>IF($A82="","",IFERROR(INDEX('[AQ_2020.xlsx]原始数据'!$E:$E,MATCH($A82,'[AQ_2020.xlsx]原始数据'!$A:$A,0)),""))</f>
        <v/>
      </c>
      <c r="R82">
        <f>IF($A82="","",IFERROR(INDEX('[AQ_2021.xlsx]原始数据'!$E:$E,MATCH($A82,'[AQ_2021.xlsx]原始数据'!$A:$A,0)),""))</f>
        <v/>
      </c>
      <c r="S82">
        <f>IF($A82="","",IFERROR(INDEX('[AQ_2022.xlsx]原始数据'!$E:$E,MATCH($A82,'[AQ_2022.xlsx]原始数据'!$A:$A,0)),""))</f>
        <v/>
      </c>
      <c r="T82">
        <f>IF($A82="","",IFERROR(INDEX('[AQ_2023.xlsx]原始数据'!$E:$E,MATCH($A82,'[AQ_2023.xlsx]原始数据'!$A:$A,0)),""))</f>
        <v/>
      </c>
      <c r="U82">
        <f>IF($A82="","",IFERROR(INDEX('[AQ_2024.xlsx]原始数据'!$E:$E,MATCH($A82,'[AQ_2024.xlsx]原始数据'!$A:$A,0)),""))</f>
        <v/>
      </c>
      <c r="V82">
        <f>IF($A82="","",IFERROR(INDEX('[AQ_2020.xlsx]原始数据'!$F:$F,MATCH($A82,'[AQ_2020.xlsx]原始数据'!$A:$A,0)),""))</f>
        <v/>
      </c>
      <c r="W82">
        <f>IF($A82="","",IFERROR(INDEX('[AQ_2021.xlsx]原始数据'!$F:$F,MATCH($A82,'[AQ_2021.xlsx]原始数据'!$A:$A,0)),""))</f>
        <v/>
      </c>
      <c r="X82">
        <f>IF($A82="","",IFERROR(INDEX('[AQ_2022.xlsx]原始数据'!$F:$F,MATCH($A82,'[AQ_2022.xlsx]原始数据'!$A:$A,0)),""))</f>
        <v/>
      </c>
      <c r="Y82">
        <f>IF($A82="","",IFERROR(INDEX('[AQ_2023.xlsx]原始数据'!$F:$F,MATCH($A82,'[AQ_2023.xlsx]原始数据'!$A:$A,0)),""))</f>
        <v/>
      </c>
      <c r="Z82">
        <f>IF($A82="","",IFERROR(INDEX('[AQ_2024.xlsx]原始数据'!$F:$F,MATCH($A82,'[AQ_2024.xlsx]原始数据'!$A:$A,0)),""))</f>
        <v/>
      </c>
      <c r="AA82" s="2">
        <f>IFERROR(G82/B82,"")</f>
        <v/>
      </c>
      <c r="AB82" s="2">
        <f>IFERROR(H82/C82,"")</f>
        <v/>
      </c>
      <c r="AC82" s="2">
        <f>IFERROR(I82/D82,"")</f>
        <v/>
      </c>
      <c r="AD82" s="2">
        <f>IFERROR(J82/E82,"")</f>
        <v/>
      </c>
      <c r="AE82" s="2">
        <f>IFERROR(K82/F82,"")</f>
        <v/>
      </c>
      <c r="AF82" s="2">
        <f>IFERROR(L82/B82,"")</f>
        <v/>
      </c>
      <c r="AG82" s="2">
        <f>IFERROR(M82/C82,"")</f>
        <v/>
      </c>
      <c r="AH82" s="2">
        <f>IFERROR(N82/D82,"")</f>
        <v/>
      </c>
      <c r="AI82" s="2">
        <f>IFERROR(O82/E82,"")</f>
        <v/>
      </c>
      <c r="AJ82" s="2">
        <f>IFERROR(P82/F82,"")</f>
        <v/>
      </c>
      <c r="AK82" s="2">
        <f>IFERROR(Q82/B82,"")</f>
        <v/>
      </c>
      <c r="AL82" s="2">
        <f>IFERROR(R82/C82,"")</f>
        <v/>
      </c>
      <c r="AM82" s="2">
        <f>IFERROR(S82/D82,"")</f>
        <v/>
      </c>
      <c r="AN82" s="2">
        <f>IFERROR(T82/E82,"")</f>
        <v/>
      </c>
      <c r="AO82" s="2">
        <f>IFERROR(U82/F82,"")</f>
        <v/>
      </c>
    </row>
    <row r="83">
      <c r="B83">
        <f>IF($A83="","",IFERROR(INDEX('[AQ_2020.xlsx]原始数据'!$B:$B,MATCH($A83,'[AQ_2020.xlsx]原始数据'!$A:$A,0)),""))</f>
        <v/>
      </c>
      <c r="C83">
        <f>IF($A83="","",IFERROR(INDEX('[AQ_2021.xlsx]原始数据'!$B:$B,MATCH($A83,'[AQ_2021.xlsx]原始数据'!$A:$A,0)),""))</f>
        <v/>
      </c>
      <c r="D83">
        <f>IF($A83="","",IFERROR(INDEX('[AQ_2022.xlsx]原始数据'!$B:$B,MATCH($A83,'[AQ_2022.xlsx]原始数据'!$A:$A,0)),""))</f>
        <v/>
      </c>
      <c r="E83">
        <f>IF($A83="","",IFERROR(INDEX('[AQ_2023.xlsx]原始数据'!$B:$B,MATCH($A83,'[AQ_2023.xlsx]原始数据'!$A:$A,0)),""))</f>
        <v/>
      </c>
      <c r="F83">
        <f>IF($A83="","",IFERROR(INDEX('[AQ_2024.xlsx]原始数据'!$B:$B,MATCH($A83,'[AQ_2024.xlsx]原始数据'!$A:$A,0)),""))</f>
        <v/>
      </c>
      <c r="G83">
        <f>IF($A83="","",IFERROR(INDEX('[AQ_2020.xlsx]原始数据'!$C:$C,MATCH($A83,'[AQ_2020.xlsx]原始数据'!$A:$A,0)),""))</f>
        <v/>
      </c>
      <c r="H83">
        <f>IF($A83="","",IFERROR(INDEX('[AQ_2021.xlsx]原始数据'!$C:$C,MATCH($A83,'[AQ_2021.xlsx]原始数据'!$A:$A,0)),""))</f>
        <v/>
      </c>
      <c r="I83">
        <f>IF($A83="","",IFERROR(INDEX('[AQ_2022.xlsx]原始数据'!$C:$C,MATCH($A83,'[AQ_2022.xlsx]原始数据'!$A:$A,0)),""))</f>
        <v/>
      </c>
      <c r="J83">
        <f>IF($A83="","",IFERROR(INDEX('[AQ_2023.xlsx]原始数据'!$C:$C,MATCH($A83,'[AQ_2023.xlsx]原始数据'!$A:$A,0)),""))</f>
        <v/>
      </c>
      <c r="K83">
        <f>IF($A83="","",IFERROR(INDEX('[AQ_2024.xlsx]原始数据'!$C:$C,MATCH($A83,'[AQ_2024.xlsx]原始数据'!$A:$A,0)),""))</f>
        <v/>
      </c>
      <c r="L83">
        <f>IF($A83="","",IFERROR(INDEX('[AQ_2020.xlsx]原始数据'!$D:$D,MATCH($A83,'[AQ_2020.xlsx]原始数据'!$A:$A,0)),""))</f>
        <v/>
      </c>
      <c r="M83">
        <f>IF($A83="","",IFERROR(INDEX('[AQ_2021.xlsx]原始数据'!$D:$D,MATCH($A83,'[AQ_2021.xlsx]原始数据'!$A:$A,0)),""))</f>
        <v/>
      </c>
      <c r="N83">
        <f>IF($A83="","",IFERROR(INDEX('[AQ_2022.xlsx]原始数据'!$D:$D,MATCH($A83,'[AQ_2022.xlsx]原始数据'!$A:$A,0)),""))</f>
        <v/>
      </c>
      <c r="O83">
        <f>IF($A83="","",IFERROR(INDEX('[AQ_2023.xlsx]原始数据'!$D:$D,MATCH($A83,'[AQ_2023.xlsx]原始数据'!$A:$A,0)),""))</f>
        <v/>
      </c>
      <c r="P83">
        <f>IF($A83="","",IFERROR(INDEX('[AQ_2024.xlsx]原始数据'!$D:$D,MATCH($A83,'[AQ_2024.xlsx]原始数据'!$A:$A,0)),""))</f>
        <v/>
      </c>
      <c r="Q83">
        <f>IF($A83="","",IFERROR(INDEX('[AQ_2020.xlsx]原始数据'!$E:$E,MATCH($A83,'[AQ_2020.xlsx]原始数据'!$A:$A,0)),""))</f>
        <v/>
      </c>
      <c r="R83">
        <f>IF($A83="","",IFERROR(INDEX('[AQ_2021.xlsx]原始数据'!$E:$E,MATCH($A83,'[AQ_2021.xlsx]原始数据'!$A:$A,0)),""))</f>
        <v/>
      </c>
      <c r="S83">
        <f>IF($A83="","",IFERROR(INDEX('[AQ_2022.xlsx]原始数据'!$E:$E,MATCH($A83,'[AQ_2022.xlsx]原始数据'!$A:$A,0)),""))</f>
        <v/>
      </c>
      <c r="T83">
        <f>IF($A83="","",IFERROR(INDEX('[AQ_2023.xlsx]原始数据'!$E:$E,MATCH($A83,'[AQ_2023.xlsx]原始数据'!$A:$A,0)),""))</f>
        <v/>
      </c>
      <c r="U83">
        <f>IF($A83="","",IFERROR(INDEX('[AQ_2024.xlsx]原始数据'!$E:$E,MATCH($A83,'[AQ_2024.xlsx]原始数据'!$A:$A,0)),""))</f>
        <v/>
      </c>
      <c r="V83">
        <f>IF($A83="","",IFERROR(INDEX('[AQ_2020.xlsx]原始数据'!$F:$F,MATCH($A83,'[AQ_2020.xlsx]原始数据'!$A:$A,0)),""))</f>
        <v/>
      </c>
      <c r="W83">
        <f>IF($A83="","",IFERROR(INDEX('[AQ_2021.xlsx]原始数据'!$F:$F,MATCH($A83,'[AQ_2021.xlsx]原始数据'!$A:$A,0)),""))</f>
        <v/>
      </c>
      <c r="X83">
        <f>IF($A83="","",IFERROR(INDEX('[AQ_2022.xlsx]原始数据'!$F:$F,MATCH($A83,'[AQ_2022.xlsx]原始数据'!$A:$A,0)),""))</f>
        <v/>
      </c>
      <c r="Y83">
        <f>IF($A83="","",IFERROR(INDEX('[AQ_2023.xlsx]原始数据'!$F:$F,MATCH($A83,'[AQ_2023.xlsx]原始数据'!$A:$A,0)),""))</f>
        <v/>
      </c>
      <c r="Z83">
        <f>IF($A83="","",IFERROR(INDEX('[AQ_2024.xlsx]原始数据'!$F:$F,MATCH($A83,'[AQ_2024.xlsx]原始数据'!$A:$A,0)),""))</f>
        <v/>
      </c>
      <c r="AA83" s="2">
        <f>IFERROR(G83/B83,"")</f>
        <v/>
      </c>
      <c r="AB83" s="2">
        <f>IFERROR(H83/C83,"")</f>
        <v/>
      </c>
      <c r="AC83" s="2">
        <f>IFERROR(I83/D83,"")</f>
        <v/>
      </c>
      <c r="AD83" s="2">
        <f>IFERROR(J83/E83,"")</f>
        <v/>
      </c>
      <c r="AE83" s="2">
        <f>IFERROR(K83/F83,"")</f>
        <v/>
      </c>
      <c r="AF83" s="2">
        <f>IFERROR(L83/B83,"")</f>
        <v/>
      </c>
      <c r="AG83" s="2">
        <f>IFERROR(M83/C83,"")</f>
        <v/>
      </c>
      <c r="AH83" s="2">
        <f>IFERROR(N83/D83,"")</f>
        <v/>
      </c>
      <c r="AI83" s="2">
        <f>IFERROR(O83/E83,"")</f>
        <v/>
      </c>
      <c r="AJ83" s="2">
        <f>IFERROR(P83/F83,"")</f>
        <v/>
      </c>
      <c r="AK83" s="2">
        <f>IFERROR(Q83/B83,"")</f>
        <v/>
      </c>
      <c r="AL83" s="2">
        <f>IFERROR(R83/C83,"")</f>
        <v/>
      </c>
      <c r="AM83" s="2">
        <f>IFERROR(S83/D83,"")</f>
        <v/>
      </c>
      <c r="AN83" s="2">
        <f>IFERROR(T83/E83,"")</f>
        <v/>
      </c>
      <c r="AO83" s="2">
        <f>IFERROR(U83/F83,"")</f>
        <v/>
      </c>
    </row>
    <row r="84">
      <c r="B84">
        <f>IF($A84="","",IFERROR(INDEX('[AQ_2020.xlsx]原始数据'!$B:$B,MATCH($A84,'[AQ_2020.xlsx]原始数据'!$A:$A,0)),""))</f>
        <v/>
      </c>
      <c r="C84">
        <f>IF($A84="","",IFERROR(INDEX('[AQ_2021.xlsx]原始数据'!$B:$B,MATCH($A84,'[AQ_2021.xlsx]原始数据'!$A:$A,0)),""))</f>
        <v/>
      </c>
      <c r="D84">
        <f>IF($A84="","",IFERROR(INDEX('[AQ_2022.xlsx]原始数据'!$B:$B,MATCH($A84,'[AQ_2022.xlsx]原始数据'!$A:$A,0)),""))</f>
        <v/>
      </c>
      <c r="E84">
        <f>IF($A84="","",IFERROR(INDEX('[AQ_2023.xlsx]原始数据'!$B:$B,MATCH($A84,'[AQ_2023.xlsx]原始数据'!$A:$A,0)),""))</f>
        <v/>
      </c>
      <c r="F84">
        <f>IF($A84="","",IFERROR(INDEX('[AQ_2024.xlsx]原始数据'!$B:$B,MATCH($A84,'[AQ_2024.xlsx]原始数据'!$A:$A,0)),""))</f>
        <v/>
      </c>
      <c r="G84">
        <f>IF($A84="","",IFERROR(INDEX('[AQ_2020.xlsx]原始数据'!$C:$C,MATCH($A84,'[AQ_2020.xlsx]原始数据'!$A:$A,0)),""))</f>
        <v/>
      </c>
      <c r="H84">
        <f>IF($A84="","",IFERROR(INDEX('[AQ_2021.xlsx]原始数据'!$C:$C,MATCH($A84,'[AQ_2021.xlsx]原始数据'!$A:$A,0)),""))</f>
        <v/>
      </c>
      <c r="I84">
        <f>IF($A84="","",IFERROR(INDEX('[AQ_2022.xlsx]原始数据'!$C:$C,MATCH($A84,'[AQ_2022.xlsx]原始数据'!$A:$A,0)),""))</f>
        <v/>
      </c>
      <c r="J84">
        <f>IF($A84="","",IFERROR(INDEX('[AQ_2023.xlsx]原始数据'!$C:$C,MATCH($A84,'[AQ_2023.xlsx]原始数据'!$A:$A,0)),""))</f>
        <v/>
      </c>
      <c r="K84">
        <f>IF($A84="","",IFERROR(INDEX('[AQ_2024.xlsx]原始数据'!$C:$C,MATCH($A84,'[AQ_2024.xlsx]原始数据'!$A:$A,0)),""))</f>
        <v/>
      </c>
      <c r="L84">
        <f>IF($A84="","",IFERROR(INDEX('[AQ_2020.xlsx]原始数据'!$D:$D,MATCH($A84,'[AQ_2020.xlsx]原始数据'!$A:$A,0)),""))</f>
        <v/>
      </c>
      <c r="M84">
        <f>IF($A84="","",IFERROR(INDEX('[AQ_2021.xlsx]原始数据'!$D:$D,MATCH($A84,'[AQ_2021.xlsx]原始数据'!$A:$A,0)),""))</f>
        <v/>
      </c>
      <c r="N84">
        <f>IF($A84="","",IFERROR(INDEX('[AQ_2022.xlsx]原始数据'!$D:$D,MATCH($A84,'[AQ_2022.xlsx]原始数据'!$A:$A,0)),""))</f>
        <v/>
      </c>
      <c r="O84">
        <f>IF($A84="","",IFERROR(INDEX('[AQ_2023.xlsx]原始数据'!$D:$D,MATCH($A84,'[AQ_2023.xlsx]原始数据'!$A:$A,0)),""))</f>
        <v/>
      </c>
      <c r="P84">
        <f>IF($A84="","",IFERROR(INDEX('[AQ_2024.xlsx]原始数据'!$D:$D,MATCH($A84,'[AQ_2024.xlsx]原始数据'!$A:$A,0)),""))</f>
        <v/>
      </c>
      <c r="Q84">
        <f>IF($A84="","",IFERROR(INDEX('[AQ_2020.xlsx]原始数据'!$E:$E,MATCH($A84,'[AQ_2020.xlsx]原始数据'!$A:$A,0)),""))</f>
        <v/>
      </c>
      <c r="R84">
        <f>IF($A84="","",IFERROR(INDEX('[AQ_2021.xlsx]原始数据'!$E:$E,MATCH($A84,'[AQ_2021.xlsx]原始数据'!$A:$A,0)),""))</f>
        <v/>
      </c>
      <c r="S84">
        <f>IF($A84="","",IFERROR(INDEX('[AQ_2022.xlsx]原始数据'!$E:$E,MATCH($A84,'[AQ_2022.xlsx]原始数据'!$A:$A,0)),""))</f>
        <v/>
      </c>
      <c r="T84">
        <f>IF($A84="","",IFERROR(INDEX('[AQ_2023.xlsx]原始数据'!$E:$E,MATCH($A84,'[AQ_2023.xlsx]原始数据'!$A:$A,0)),""))</f>
        <v/>
      </c>
      <c r="U84">
        <f>IF($A84="","",IFERROR(INDEX('[AQ_2024.xlsx]原始数据'!$E:$E,MATCH($A84,'[AQ_2024.xlsx]原始数据'!$A:$A,0)),""))</f>
        <v/>
      </c>
      <c r="V84">
        <f>IF($A84="","",IFERROR(INDEX('[AQ_2020.xlsx]原始数据'!$F:$F,MATCH($A84,'[AQ_2020.xlsx]原始数据'!$A:$A,0)),""))</f>
        <v/>
      </c>
      <c r="W84">
        <f>IF($A84="","",IFERROR(INDEX('[AQ_2021.xlsx]原始数据'!$F:$F,MATCH($A84,'[AQ_2021.xlsx]原始数据'!$A:$A,0)),""))</f>
        <v/>
      </c>
      <c r="X84">
        <f>IF($A84="","",IFERROR(INDEX('[AQ_2022.xlsx]原始数据'!$F:$F,MATCH($A84,'[AQ_2022.xlsx]原始数据'!$A:$A,0)),""))</f>
        <v/>
      </c>
      <c r="Y84">
        <f>IF($A84="","",IFERROR(INDEX('[AQ_2023.xlsx]原始数据'!$F:$F,MATCH($A84,'[AQ_2023.xlsx]原始数据'!$A:$A,0)),""))</f>
        <v/>
      </c>
      <c r="Z84">
        <f>IF($A84="","",IFERROR(INDEX('[AQ_2024.xlsx]原始数据'!$F:$F,MATCH($A84,'[AQ_2024.xlsx]原始数据'!$A:$A,0)),""))</f>
        <v/>
      </c>
      <c r="AA84" s="2">
        <f>IFERROR(G84/B84,"")</f>
        <v/>
      </c>
      <c r="AB84" s="2">
        <f>IFERROR(H84/C84,"")</f>
        <v/>
      </c>
      <c r="AC84" s="2">
        <f>IFERROR(I84/D84,"")</f>
        <v/>
      </c>
      <c r="AD84" s="2">
        <f>IFERROR(J84/E84,"")</f>
        <v/>
      </c>
      <c r="AE84" s="2">
        <f>IFERROR(K84/F84,"")</f>
        <v/>
      </c>
      <c r="AF84" s="2">
        <f>IFERROR(L84/B84,"")</f>
        <v/>
      </c>
      <c r="AG84" s="2">
        <f>IFERROR(M84/C84,"")</f>
        <v/>
      </c>
      <c r="AH84" s="2">
        <f>IFERROR(N84/D84,"")</f>
        <v/>
      </c>
      <c r="AI84" s="2">
        <f>IFERROR(O84/E84,"")</f>
        <v/>
      </c>
      <c r="AJ84" s="2">
        <f>IFERROR(P84/F84,"")</f>
        <v/>
      </c>
      <c r="AK84" s="2">
        <f>IFERROR(Q84/B84,"")</f>
        <v/>
      </c>
      <c r="AL84" s="2">
        <f>IFERROR(R84/C84,"")</f>
        <v/>
      </c>
      <c r="AM84" s="2">
        <f>IFERROR(S84/D84,"")</f>
        <v/>
      </c>
      <c r="AN84" s="2">
        <f>IFERROR(T84/E84,"")</f>
        <v/>
      </c>
      <c r="AO84" s="2">
        <f>IFERROR(U84/F84,"")</f>
        <v/>
      </c>
    </row>
    <row r="85">
      <c r="B85">
        <f>IF($A85="","",IFERROR(INDEX('[AQ_2020.xlsx]原始数据'!$B:$B,MATCH($A85,'[AQ_2020.xlsx]原始数据'!$A:$A,0)),""))</f>
        <v/>
      </c>
      <c r="C85">
        <f>IF($A85="","",IFERROR(INDEX('[AQ_2021.xlsx]原始数据'!$B:$B,MATCH($A85,'[AQ_2021.xlsx]原始数据'!$A:$A,0)),""))</f>
        <v/>
      </c>
      <c r="D85">
        <f>IF($A85="","",IFERROR(INDEX('[AQ_2022.xlsx]原始数据'!$B:$B,MATCH($A85,'[AQ_2022.xlsx]原始数据'!$A:$A,0)),""))</f>
        <v/>
      </c>
      <c r="E85">
        <f>IF($A85="","",IFERROR(INDEX('[AQ_2023.xlsx]原始数据'!$B:$B,MATCH($A85,'[AQ_2023.xlsx]原始数据'!$A:$A,0)),""))</f>
        <v/>
      </c>
      <c r="F85">
        <f>IF($A85="","",IFERROR(INDEX('[AQ_2024.xlsx]原始数据'!$B:$B,MATCH($A85,'[AQ_2024.xlsx]原始数据'!$A:$A,0)),""))</f>
        <v/>
      </c>
      <c r="G85">
        <f>IF($A85="","",IFERROR(INDEX('[AQ_2020.xlsx]原始数据'!$C:$C,MATCH($A85,'[AQ_2020.xlsx]原始数据'!$A:$A,0)),""))</f>
        <v/>
      </c>
      <c r="H85">
        <f>IF($A85="","",IFERROR(INDEX('[AQ_2021.xlsx]原始数据'!$C:$C,MATCH($A85,'[AQ_2021.xlsx]原始数据'!$A:$A,0)),""))</f>
        <v/>
      </c>
      <c r="I85">
        <f>IF($A85="","",IFERROR(INDEX('[AQ_2022.xlsx]原始数据'!$C:$C,MATCH($A85,'[AQ_2022.xlsx]原始数据'!$A:$A,0)),""))</f>
        <v/>
      </c>
      <c r="J85">
        <f>IF($A85="","",IFERROR(INDEX('[AQ_2023.xlsx]原始数据'!$C:$C,MATCH($A85,'[AQ_2023.xlsx]原始数据'!$A:$A,0)),""))</f>
        <v/>
      </c>
      <c r="K85">
        <f>IF($A85="","",IFERROR(INDEX('[AQ_2024.xlsx]原始数据'!$C:$C,MATCH($A85,'[AQ_2024.xlsx]原始数据'!$A:$A,0)),""))</f>
        <v/>
      </c>
      <c r="L85">
        <f>IF($A85="","",IFERROR(INDEX('[AQ_2020.xlsx]原始数据'!$D:$D,MATCH($A85,'[AQ_2020.xlsx]原始数据'!$A:$A,0)),""))</f>
        <v/>
      </c>
      <c r="M85">
        <f>IF($A85="","",IFERROR(INDEX('[AQ_2021.xlsx]原始数据'!$D:$D,MATCH($A85,'[AQ_2021.xlsx]原始数据'!$A:$A,0)),""))</f>
        <v/>
      </c>
      <c r="N85">
        <f>IF($A85="","",IFERROR(INDEX('[AQ_2022.xlsx]原始数据'!$D:$D,MATCH($A85,'[AQ_2022.xlsx]原始数据'!$A:$A,0)),""))</f>
        <v/>
      </c>
      <c r="O85">
        <f>IF($A85="","",IFERROR(INDEX('[AQ_2023.xlsx]原始数据'!$D:$D,MATCH($A85,'[AQ_2023.xlsx]原始数据'!$A:$A,0)),""))</f>
        <v/>
      </c>
      <c r="P85">
        <f>IF($A85="","",IFERROR(INDEX('[AQ_2024.xlsx]原始数据'!$D:$D,MATCH($A85,'[AQ_2024.xlsx]原始数据'!$A:$A,0)),""))</f>
        <v/>
      </c>
      <c r="Q85">
        <f>IF($A85="","",IFERROR(INDEX('[AQ_2020.xlsx]原始数据'!$E:$E,MATCH($A85,'[AQ_2020.xlsx]原始数据'!$A:$A,0)),""))</f>
        <v/>
      </c>
      <c r="R85">
        <f>IF($A85="","",IFERROR(INDEX('[AQ_2021.xlsx]原始数据'!$E:$E,MATCH($A85,'[AQ_2021.xlsx]原始数据'!$A:$A,0)),""))</f>
        <v/>
      </c>
      <c r="S85">
        <f>IF($A85="","",IFERROR(INDEX('[AQ_2022.xlsx]原始数据'!$E:$E,MATCH($A85,'[AQ_2022.xlsx]原始数据'!$A:$A,0)),""))</f>
        <v/>
      </c>
      <c r="T85">
        <f>IF($A85="","",IFERROR(INDEX('[AQ_2023.xlsx]原始数据'!$E:$E,MATCH($A85,'[AQ_2023.xlsx]原始数据'!$A:$A,0)),""))</f>
        <v/>
      </c>
      <c r="U85">
        <f>IF($A85="","",IFERROR(INDEX('[AQ_2024.xlsx]原始数据'!$E:$E,MATCH($A85,'[AQ_2024.xlsx]原始数据'!$A:$A,0)),""))</f>
        <v/>
      </c>
      <c r="V85">
        <f>IF($A85="","",IFERROR(INDEX('[AQ_2020.xlsx]原始数据'!$F:$F,MATCH($A85,'[AQ_2020.xlsx]原始数据'!$A:$A,0)),""))</f>
        <v/>
      </c>
      <c r="W85">
        <f>IF($A85="","",IFERROR(INDEX('[AQ_2021.xlsx]原始数据'!$F:$F,MATCH($A85,'[AQ_2021.xlsx]原始数据'!$A:$A,0)),""))</f>
        <v/>
      </c>
      <c r="X85">
        <f>IF($A85="","",IFERROR(INDEX('[AQ_2022.xlsx]原始数据'!$F:$F,MATCH($A85,'[AQ_2022.xlsx]原始数据'!$A:$A,0)),""))</f>
        <v/>
      </c>
      <c r="Y85">
        <f>IF($A85="","",IFERROR(INDEX('[AQ_2023.xlsx]原始数据'!$F:$F,MATCH($A85,'[AQ_2023.xlsx]原始数据'!$A:$A,0)),""))</f>
        <v/>
      </c>
      <c r="Z85">
        <f>IF($A85="","",IFERROR(INDEX('[AQ_2024.xlsx]原始数据'!$F:$F,MATCH($A85,'[AQ_2024.xlsx]原始数据'!$A:$A,0)),""))</f>
        <v/>
      </c>
      <c r="AA85" s="2">
        <f>IFERROR(G85/B85,"")</f>
        <v/>
      </c>
      <c r="AB85" s="2">
        <f>IFERROR(H85/C85,"")</f>
        <v/>
      </c>
      <c r="AC85" s="2">
        <f>IFERROR(I85/D85,"")</f>
        <v/>
      </c>
      <c r="AD85" s="2">
        <f>IFERROR(J85/E85,"")</f>
        <v/>
      </c>
      <c r="AE85" s="2">
        <f>IFERROR(K85/F85,"")</f>
        <v/>
      </c>
      <c r="AF85" s="2">
        <f>IFERROR(L85/B85,"")</f>
        <v/>
      </c>
      <c r="AG85" s="2">
        <f>IFERROR(M85/C85,"")</f>
        <v/>
      </c>
      <c r="AH85" s="2">
        <f>IFERROR(N85/D85,"")</f>
        <v/>
      </c>
      <c r="AI85" s="2">
        <f>IFERROR(O85/E85,"")</f>
        <v/>
      </c>
      <c r="AJ85" s="2">
        <f>IFERROR(P85/F85,"")</f>
        <v/>
      </c>
      <c r="AK85" s="2">
        <f>IFERROR(Q85/B85,"")</f>
        <v/>
      </c>
      <c r="AL85" s="2">
        <f>IFERROR(R85/C85,"")</f>
        <v/>
      </c>
      <c r="AM85" s="2">
        <f>IFERROR(S85/D85,"")</f>
        <v/>
      </c>
      <c r="AN85" s="2">
        <f>IFERROR(T85/E85,"")</f>
        <v/>
      </c>
      <c r="AO85" s="2">
        <f>IFERROR(U85/F85,"")</f>
        <v/>
      </c>
    </row>
    <row r="86">
      <c r="B86">
        <f>IF($A86="","",IFERROR(INDEX('[AQ_2020.xlsx]原始数据'!$B:$B,MATCH($A86,'[AQ_2020.xlsx]原始数据'!$A:$A,0)),""))</f>
        <v/>
      </c>
      <c r="C86">
        <f>IF($A86="","",IFERROR(INDEX('[AQ_2021.xlsx]原始数据'!$B:$B,MATCH($A86,'[AQ_2021.xlsx]原始数据'!$A:$A,0)),""))</f>
        <v/>
      </c>
      <c r="D86">
        <f>IF($A86="","",IFERROR(INDEX('[AQ_2022.xlsx]原始数据'!$B:$B,MATCH($A86,'[AQ_2022.xlsx]原始数据'!$A:$A,0)),""))</f>
        <v/>
      </c>
      <c r="E86">
        <f>IF($A86="","",IFERROR(INDEX('[AQ_2023.xlsx]原始数据'!$B:$B,MATCH($A86,'[AQ_2023.xlsx]原始数据'!$A:$A,0)),""))</f>
        <v/>
      </c>
      <c r="F86">
        <f>IF($A86="","",IFERROR(INDEX('[AQ_2024.xlsx]原始数据'!$B:$B,MATCH($A86,'[AQ_2024.xlsx]原始数据'!$A:$A,0)),""))</f>
        <v/>
      </c>
      <c r="G86">
        <f>IF($A86="","",IFERROR(INDEX('[AQ_2020.xlsx]原始数据'!$C:$C,MATCH($A86,'[AQ_2020.xlsx]原始数据'!$A:$A,0)),""))</f>
        <v/>
      </c>
      <c r="H86">
        <f>IF($A86="","",IFERROR(INDEX('[AQ_2021.xlsx]原始数据'!$C:$C,MATCH($A86,'[AQ_2021.xlsx]原始数据'!$A:$A,0)),""))</f>
        <v/>
      </c>
      <c r="I86">
        <f>IF($A86="","",IFERROR(INDEX('[AQ_2022.xlsx]原始数据'!$C:$C,MATCH($A86,'[AQ_2022.xlsx]原始数据'!$A:$A,0)),""))</f>
        <v/>
      </c>
      <c r="J86">
        <f>IF($A86="","",IFERROR(INDEX('[AQ_2023.xlsx]原始数据'!$C:$C,MATCH($A86,'[AQ_2023.xlsx]原始数据'!$A:$A,0)),""))</f>
        <v/>
      </c>
      <c r="K86">
        <f>IF($A86="","",IFERROR(INDEX('[AQ_2024.xlsx]原始数据'!$C:$C,MATCH($A86,'[AQ_2024.xlsx]原始数据'!$A:$A,0)),""))</f>
        <v/>
      </c>
      <c r="L86">
        <f>IF($A86="","",IFERROR(INDEX('[AQ_2020.xlsx]原始数据'!$D:$D,MATCH($A86,'[AQ_2020.xlsx]原始数据'!$A:$A,0)),""))</f>
        <v/>
      </c>
      <c r="M86">
        <f>IF($A86="","",IFERROR(INDEX('[AQ_2021.xlsx]原始数据'!$D:$D,MATCH($A86,'[AQ_2021.xlsx]原始数据'!$A:$A,0)),""))</f>
        <v/>
      </c>
      <c r="N86">
        <f>IF($A86="","",IFERROR(INDEX('[AQ_2022.xlsx]原始数据'!$D:$D,MATCH($A86,'[AQ_2022.xlsx]原始数据'!$A:$A,0)),""))</f>
        <v/>
      </c>
      <c r="O86">
        <f>IF($A86="","",IFERROR(INDEX('[AQ_2023.xlsx]原始数据'!$D:$D,MATCH($A86,'[AQ_2023.xlsx]原始数据'!$A:$A,0)),""))</f>
        <v/>
      </c>
      <c r="P86">
        <f>IF($A86="","",IFERROR(INDEX('[AQ_2024.xlsx]原始数据'!$D:$D,MATCH($A86,'[AQ_2024.xlsx]原始数据'!$A:$A,0)),""))</f>
        <v/>
      </c>
      <c r="Q86">
        <f>IF($A86="","",IFERROR(INDEX('[AQ_2020.xlsx]原始数据'!$E:$E,MATCH($A86,'[AQ_2020.xlsx]原始数据'!$A:$A,0)),""))</f>
        <v/>
      </c>
      <c r="R86">
        <f>IF($A86="","",IFERROR(INDEX('[AQ_2021.xlsx]原始数据'!$E:$E,MATCH($A86,'[AQ_2021.xlsx]原始数据'!$A:$A,0)),""))</f>
        <v/>
      </c>
      <c r="S86">
        <f>IF($A86="","",IFERROR(INDEX('[AQ_2022.xlsx]原始数据'!$E:$E,MATCH($A86,'[AQ_2022.xlsx]原始数据'!$A:$A,0)),""))</f>
        <v/>
      </c>
      <c r="T86">
        <f>IF($A86="","",IFERROR(INDEX('[AQ_2023.xlsx]原始数据'!$E:$E,MATCH($A86,'[AQ_2023.xlsx]原始数据'!$A:$A,0)),""))</f>
        <v/>
      </c>
      <c r="U86">
        <f>IF($A86="","",IFERROR(INDEX('[AQ_2024.xlsx]原始数据'!$E:$E,MATCH($A86,'[AQ_2024.xlsx]原始数据'!$A:$A,0)),""))</f>
        <v/>
      </c>
      <c r="V86">
        <f>IF($A86="","",IFERROR(INDEX('[AQ_2020.xlsx]原始数据'!$F:$F,MATCH($A86,'[AQ_2020.xlsx]原始数据'!$A:$A,0)),""))</f>
        <v/>
      </c>
      <c r="W86">
        <f>IF($A86="","",IFERROR(INDEX('[AQ_2021.xlsx]原始数据'!$F:$F,MATCH($A86,'[AQ_2021.xlsx]原始数据'!$A:$A,0)),""))</f>
        <v/>
      </c>
      <c r="X86">
        <f>IF($A86="","",IFERROR(INDEX('[AQ_2022.xlsx]原始数据'!$F:$F,MATCH($A86,'[AQ_2022.xlsx]原始数据'!$A:$A,0)),""))</f>
        <v/>
      </c>
      <c r="Y86">
        <f>IF($A86="","",IFERROR(INDEX('[AQ_2023.xlsx]原始数据'!$F:$F,MATCH($A86,'[AQ_2023.xlsx]原始数据'!$A:$A,0)),""))</f>
        <v/>
      </c>
      <c r="Z86">
        <f>IF($A86="","",IFERROR(INDEX('[AQ_2024.xlsx]原始数据'!$F:$F,MATCH($A86,'[AQ_2024.xlsx]原始数据'!$A:$A,0)),""))</f>
        <v/>
      </c>
      <c r="AA86" s="2">
        <f>IFERROR(G86/B86,"")</f>
        <v/>
      </c>
      <c r="AB86" s="2">
        <f>IFERROR(H86/C86,"")</f>
        <v/>
      </c>
      <c r="AC86" s="2">
        <f>IFERROR(I86/D86,"")</f>
        <v/>
      </c>
      <c r="AD86" s="2">
        <f>IFERROR(J86/E86,"")</f>
        <v/>
      </c>
      <c r="AE86" s="2">
        <f>IFERROR(K86/F86,"")</f>
        <v/>
      </c>
      <c r="AF86" s="2">
        <f>IFERROR(L86/B86,"")</f>
        <v/>
      </c>
      <c r="AG86" s="2">
        <f>IFERROR(M86/C86,"")</f>
        <v/>
      </c>
      <c r="AH86" s="2">
        <f>IFERROR(N86/D86,"")</f>
        <v/>
      </c>
      <c r="AI86" s="2">
        <f>IFERROR(O86/E86,"")</f>
        <v/>
      </c>
      <c r="AJ86" s="2">
        <f>IFERROR(P86/F86,"")</f>
        <v/>
      </c>
      <c r="AK86" s="2">
        <f>IFERROR(Q86/B86,"")</f>
        <v/>
      </c>
      <c r="AL86" s="2">
        <f>IFERROR(R86/C86,"")</f>
        <v/>
      </c>
      <c r="AM86" s="2">
        <f>IFERROR(S86/D86,"")</f>
        <v/>
      </c>
      <c r="AN86" s="2">
        <f>IFERROR(T86/E86,"")</f>
        <v/>
      </c>
      <c r="AO86" s="2">
        <f>IFERROR(U86/F86,"")</f>
        <v/>
      </c>
    </row>
    <row r="87">
      <c r="B87">
        <f>IF($A87="","",IFERROR(INDEX('[AQ_2020.xlsx]原始数据'!$B:$B,MATCH($A87,'[AQ_2020.xlsx]原始数据'!$A:$A,0)),""))</f>
        <v/>
      </c>
      <c r="C87">
        <f>IF($A87="","",IFERROR(INDEX('[AQ_2021.xlsx]原始数据'!$B:$B,MATCH($A87,'[AQ_2021.xlsx]原始数据'!$A:$A,0)),""))</f>
        <v/>
      </c>
      <c r="D87">
        <f>IF($A87="","",IFERROR(INDEX('[AQ_2022.xlsx]原始数据'!$B:$B,MATCH($A87,'[AQ_2022.xlsx]原始数据'!$A:$A,0)),""))</f>
        <v/>
      </c>
      <c r="E87">
        <f>IF($A87="","",IFERROR(INDEX('[AQ_2023.xlsx]原始数据'!$B:$B,MATCH($A87,'[AQ_2023.xlsx]原始数据'!$A:$A,0)),""))</f>
        <v/>
      </c>
      <c r="F87">
        <f>IF($A87="","",IFERROR(INDEX('[AQ_2024.xlsx]原始数据'!$B:$B,MATCH($A87,'[AQ_2024.xlsx]原始数据'!$A:$A,0)),""))</f>
        <v/>
      </c>
      <c r="G87">
        <f>IF($A87="","",IFERROR(INDEX('[AQ_2020.xlsx]原始数据'!$C:$C,MATCH($A87,'[AQ_2020.xlsx]原始数据'!$A:$A,0)),""))</f>
        <v/>
      </c>
      <c r="H87">
        <f>IF($A87="","",IFERROR(INDEX('[AQ_2021.xlsx]原始数据'!$C:$C,MATCH($A87,'[AQ_2021.xlsx]原始数据'!$A:$A,0)),""))</f>
        <v/>
      </c>
      <c r="I87">
        <f>IF($A87="","",IFERROR(INDEX('[AQ_2022.xlsx]原始数据'!$C:$C,MATCH($A87,'[AQ_2022.xlsx]原始数据'!$A:$A,0)),""))</f>
        <v/>
      </c>
      <c r="J87">
        <f>IF($A87="","",IFERROR(INDEX('[AQ_2023.xlsx]原始数据'!$C:$C,MATCH($A87,'[AQ_2023.xlsx]原始数据'!$A:$A,0)),""))</f>
        <v/>
      </c>
      <c r="K87">
        <f>IF($A87="","",IFERROR(INDEX('[AQ_2024.xlsx]原始数据'!$C:$C,MATCH($A87,'[AQ_2024.xlsx]原始数据'!$A:$A,0)),""))</f>
        <v/>
      </c>
      <c r="L87">
        <f>IF($A87="","",IFERROR(INDEX('[AQ_2020.xlsx]原始数据'!$D:$D,MATCH($A87,'[AQ_2020.xlsx]原始数据'!$A:$A,0)),""))</f>
        <v/>
      </c>
      <c r="M87">
        <f>IF($A87="","",IFERROR(INDEX('[AQ_2021.xlsx]原始数据'!$D:$D,MATCH($A87,'[AQ_2021.xlsx]原始数据'!$A:$A,0)),""))</f>
        <v/>
      </c>
      <c r="N87">
        <f>IF($A87="","",IFERROR(INDEX('[AQ_2022.xlsx]原始数据'!$D:$D,MATCH($A87,'[AQ_2022.xlsx]原始数据'!$A:$A,0)),""))</f>
        <v/>
      </c>
      <c r="O87">
        <f>IF($A87="","",IFERROR(INDEX('[AQ_2023.xlsx]原始数据'!$D:$D,MATCH($A87,'[AQ_2023.xlsx]原始数据'!$A:$A,0)),""))</f>
        <v/>
      </c>
      <c r="P87">
        <f>IF($A87="","",IFERROR(INDEX('[AQ_2024.xlsx]原始数据'!$D:$D,MATCH($A87,'[AQ_2024.xlsx]原始数据'!$A:$A,0)),""))</f>
        <v/>
      </c>
      <c r="Q87">
        <f>IF($A87="","",IFERROR(INDEX('[AQ_2020.xlsx]原始数据'!$E:$E,MATCH($A87,'[AQ_2020.xlsx]原始数据'!$A:$A,0)),""))</f>
        <v/>
      </c>
      <c r="R87">
        <f>IF($A87="","",IFERROR(INDEX('[AQ_2021.xlsx]原始数据'!$E:$E,MATCH($A87,'[AQ_2021.xlsx]原始数据'!$A:$A,0)),""))</f>
        <v/>
      </c>
      <c r="S87">
        <f>IF($A87="","",IFERROR(INDEX('[AQ_2022.xlsx]原始数据'!$E:$E,MATCH($A87,'[AQ_2022.xlsx]原始数据'!$A:$A,0)),""))</f>
        <v/>
      </c>
      <c r="T87">
        <f>IF($A87="","",IFERROR(INDEX('[AQ_2023.xlsx]原始数据'!$E:$E,MATCH($A87,'[AQ_2023.xlsx]原始数据'!$A:$A,0)),""))</f>
        <v/>
      </c>
      <c r="U87">
        <f>IF($A87="","",IFERROR(INDEX('[AQ_2024.xlsx]原始数据'!$E:$E,MATCH($A87,'[AQ_2024.xlsx]原始数据'!$A:$A,0)),""))</f>
        <v/>
      </c>
      <c r="V87">
        <f>IF($A87="","",IFERROR(INDEX('[AQ_2020.xlsx]原始数据'!$F:$F,MATCH($A87,'[AQ_2020.xlsx]原始数据'!$A:$A,0)),""))</f>
        <v/>
      </c>
      <c r="W87">
        <f>IF($A87="","",IFERROR(INDEX('[AQ_2021.xlsx]原始数据'!$F:$F,MATCH($A87,'[AQ_2021.xlsx]原始数据'!$A:$A,0)),""))</f>
        <v/>
      </c>
      <c r="X87">
        <f>IF($A87="","",IFERROR(INDEX('[AQ_2022.xlsx]原始数据'!$F:$F,MATCH($A87,'[AQ_2022.xlsx]原始数据'!$A:$A,0)),""))</f>
        <v/>
      </c>
      <c r="Y87">
        <f>IF($A87="","",IFERROR(INDEX('[AQ_2023.xlsx]原始数据'!$F:$F,MATCH($A87,'[AQ_2023.xlsx]原始数据'!$A:$A,0)),""))</f>
        <v/>
      </c>
      <c r="Z87">
        <f>IF($A87="","",IFERROR(INDEX('[AQ_2024.xlsx]原始数据'!$F:$F,MATCH($A87,'[AQ_2024.xlsx]原始数据'!$A:$A,0)),""))</f>
        <v/>
      </c>
      <c r="AA87" s="2">
        <f>IFERROR(G87/B87,"")</f>
        <v/>
      </c>
      <c r="AB87" s="2">
        <f>IFERROR(H87/C87,"")</f>
        <v/>
      </c>
      <c r="AC87" s="2">
        <f>IFERROR(I87/D87,"")</f>
        <v/>
      </c>
      <c r="AD87" s="2">
        <f>IFERROR(J87/E87,"")</f>
        <v/>
      </c>
      <c r="AE87" s="2">
        <f>IFERROR(K87/F87,"")</f>
        <v/>
      </c>
      <c r="AF87" s="2">
        <f>IFERROR(L87/B87,"")</f>
        <v/>
      </c>
      <c r="AG87" s="2">
        <f>IFERROR(M87/C87,"")</f>
        <v/>
      </c>
      <c r="AH87" s="2">
        <f>IFERROR(N87/D87,"")</f>
        <v/>
      </c>
      <c r="AI87" s="2">
        <f>IFERROR(O87/E87,"")</f>
        <v/>
      </c>
      <c r="AJ87" s="2">
        <f>IFERROR(P87/F87,"")</f>
        <v/>
      </c>
      <c r="AK87" s="2">
        <f>IFERROR(Q87/B87,"")</f>
        <v/>
      </c>
      <c r="AL87" s="2">
        <f>IFERROR(R87/C87,"")</f>
        <v/>
      </c>
      <c r="AM87" s="2">
        <f>IFERROR(S87/D87,"")</f>
        <v/>
      </c>
      <c r="AN87" s="2">
        <f>IFERROR(T87/E87,"")</f>
        <v/>
      </c>
      <c r="AO87" s="2">
        <f>IFERROR(U87/F87,"")</f>
        <v/>
      </c>
    </row>
    <row r="88">
      <c r="B88">
        <f>IF($A88="","",IFERROR(INDEX('[AQ_2020.xlsx]原始数据'!$B:$B,MATCH($A88,'[AQ_2020.xlsx]原始数据'!$A:$A,0)),""))</f>
        <v/>
      </c>
      <c r="C88">
        <f>IF($A88="","",IFERROR(INDEX('[AQ_2021.xlsx]原始数据'!$B:$B,MATCH($A88,'[AQ_2021.xlsx]原始数据'!$A:$A,0)),""))</f>
        <v/>
      </c>
      <c r="D88">
        <f>IF($A88="","",IFERROR(INDEX('[AQ_2022.xlsx]原始数据'!$B:$B,MATCH($A88,'[AQ_2022.xlsx]原始数据'!$A:$A,0)),""))</f>
        <v/>
      </c>
      <c r="E88">
        <f>IF($A88="","",IFERROR(INDEX('[AQ_2023.xlsx]原始数据'!$B:$B,MATCH($A88,'[AQ_2023.xlsx]原始数据'!$A:$A,0)),""))</f>
        <v/>
      </c>
      <c r="F88">
        <f>IF($A88="","",IFERROR(INDEX('[AQ_2024.xlsx]原始数据'!$B:$B,MATCH($A88,'[AQ_2024.xlsx]原始数据'!$A:$A,0)),""))</f>
        <v/>
      </c>
      <c r="G88">
        <f>IF($A88="","",IFERROR(INDEX('[AQ_2020.xlsx]原始数据'!$C:$C,MATCH($A88,'[AQ_2020.xlsx]原始数据'!$A:$A,0)),""))</f>
        <v/>
      </c>
      <c r="H88">
        <f>IF($A88="","",IFERROR(INDEX('[AQ_2021.xlsx]原始数据'!$C:$C,MATCH($A88,'[AQ_2021.xlsx]原始数据'!$A:$A,0)),""))</f>
        <v/>
      </c>
      <c r="I88">
        <f>IF($A88="","",IFERROR(INDEX('[AQ_2022.xlsx]原始数据'!$C:$C,MATCH($A88,'[AQ_2022.xlsx]原始数据'!$A:$A,0)),""))</f>
        <v/>
      </c>
      <c r="J88">
        <f>IF($A88="","",IFERROR(INDEX('[AQ_2023.xlsx]原始数据'!$C:$C,MATCH($A88,'[AQ_2023.xlsx]原始数据'!$A:$A,0)),""))</f>
        <v/>
      </c>
      <c r="K88">
        <f>IF($A88="","",IFERROR(INDEX('[AQ_2024.xlsx]原始数据'!$C:$C,MATCH($A88,'[AQ_2024.xlsx]原始数据'!$A:$A,0)),""))</f>
        <v/>
      </c>
      <c r="L88">
        <f>IF($A88="","",IFERROR(INDEX('[AQ_2020.xlsx]原始数据'!$D:$D,MATCH($A88,'[AQ_2020.xlsx]原始数据'!$A:$A,0)),""))</f>
        <v/>
      </c>
      <c r="M88">
        <f>IF($A88="","",IFERROR(INDEX('[AQ_2021.xlsx]原始数据'!$D:$D,MATCH($A88,'[AQ_2021.xlsx]原始数据'!$A:$A,0)),""))</f>
        <v/>
      </c>
      <c r="N88">
        <f>IF($A88="","",IFERROR(INDEX('[AQ_2022.xlsx]原始数据'!$D:$D,MATCH($A88,'[AQ_2022.xlsx]原始数据'!$A:$A,0)),""))</f>
        <v/>
      </c>
      <c r="O88">
        <f>IF($A88="","",IFERROR(INDEX('[AQ_2023.xlsx]原始数据'!$D:$D,MATCH($A88,'[AQ_2023.xlsx]原始数据'!$A:$A,0)),""))</f>
        <v/>
      </c>
      <c r="P88">
        <f>IF($A88="","",IFERROR(INDEX('[AQ_2024.xlsx]原始数据'!$D:$D,MATCH($A88,'[AQ_2024.xlsx]原始数据'!$A:$A,0)),""))</f>
        <v/>
      </c>
      <c r="Q88">
        <f>IF($A88="","",IFERROR(INDEX('[AQ_2020.xlsx]原始数据'!$E:$E,MATCH($A88,'[AQ_2020.xlsx]原始数据'!$A:$A,0)),""))</f>
        <v/>
      </c>
      <c r="R88">
        <f>IF($A88="","",IFERROR(INDEX('[AQ_2021.xlsx]原始数据'!$E:$E,MATCH($A88,'[AQ_2021.xlsx]原始数据'!$A:$A,0)),""))</f>
        <v/>
      </c>
      <c r="S88">
        <f>IF($A88="","",IFERROR(INDEX('[AQ_2022.xlsx]原始数据'!$E:$E,MATCH($A88,'[AQ_2022.xlsx]原始数据'!$A:$A,0)),""))</f>
        <v/>
      </c>
      <c r="T88">
        <f>IF($A88="","",IFERROR(INDEX('[AQ_2023.xlsx]原始数据'!$E:$E,MATCH($A88,'[AQ_2023.xlsx]原始数据'!$A:$A,0)),""))</f>
        <v/>
      </c>
      <c r="U88">
        <f>IF($A88="","",IFERROR(INDEX('[AQ_2024.xlsx]原始数据'!$E:$E,MATCH($A88,'[AQ_2024.xlsx]原始数据'!$A:$A,0)),""))</f>
        <v/>
      </c>
      <c r="V88">
        <f>IF($A88="","",IFERROR(INDEX('[AQ_2020.xlsx]原始数据'!$F:$F,MATCH($A88,'[AQ_2020.xlsx]原始数据'!$A:$A,0)),""))</f>
        <v/>
      </c>
      <c r="W88">
        <f>IF($A88="","",IFERROR(INDEX('[AQ_2021.xlsx]原始数据'!$F:$F,MATCH($A88,'[AQ_2021.xlsx]原始数据'!$A:$A,0)),""))</f>
        <v/>
      </c>
      <c r="X88">
        <f>IF($A88="","",IFERROR(INDEX('[AQ_2022.xlsx]原始数据'!$F:$F,MATCH($A88,'[AQ_2022.xlsx]原始数据'!$A:$A,0)),""))</f>
        <v/>
      </c>
      <c r="Y88">
        <f>IF($A88="","",IFERROR(INDEX('[AQ_2023.xlsx]原始数据'!$F:$F,MATCH($A88,'[AQ_2023.xlsx]原始数据'!$A:$A,0)),""))</f>
        <v/>
      </c>
      <c r="Z88">
        <f>IF($A88="","",IFERROR(INDEX('[AQ_2024.xlsx]原始数据'!$F:$F,MATCH($A88,'[AQ_2024.xlsx]原始数据'!$A:$A,0)),""))</f>
        <v/>
      </c>
      <c r="AA88" s="2">
        <f>IFERROR(G88/B88,"")</f>
        <v/>
      </c>
      <c r="AB88" s="2">
        <f>IFERROR(H88/C88,"")</f>
        <v/>
      </c>
      <c r="AC88" s="2">
        <f>IFERROR(I88/D88,"")</f>
        <v/>
      </c>
      <c r="AD88" s="2">
        <f>IFERROR(J88/E88,"")</f>
        <v/>
      </c>
      <c r="AE88" s="2">
        <f>IFERROR(K88/F88,"")</f>
        <v/>
      </c>
      <c r="AF88" s="2">
        <f>IFERROR(L88/B88,"")</f>
        <v/>
      </c>
      <c r="AG88" s="2">
        <f>IFERROR(M88/C88,"")</f>
        <v/>
      </c>
      <c r="AH88" s="2">
        <f>IFERROR(N88/D88,"")</f>
        <v/>
      </c>
      <c r="AI88" s="2">
        <f>IFERROR(O88/E88,"")</f>
        <v/>
      </c>
      <c r="AJ88" s="2">
        <f>IFERROR(P88/F88,"")</f>
        <v/>
      </c>
      <c r="AK88" s="2">
        <f>IFERROR(Q88/B88,"")</f>
        <v/>
      </c>
      <c r="AL88" s="2">
        <f>IFERROR(R88/C88,"")</f>
        <v/>
      </c>
      <c r="AM88" s="2">
        <f>IFERROR(S88/D88,"")</f>
        <v/>
      </c>
      <c r="AN88" s="2">
        <f>IFERROR(T88/E88,"")</f>
        <v/>
      </c>
      <c r="AO88" s="2">
        <f>IFERROR(U88/F88,"")</f>
        <v/>
      </c>
    </row>
    <row r="89">
      <c r="B89">
        <f>IF($A89="","",IFERROR(INDEX('[AQ_2020.xlsx]原始数据'!$B:$B,MATCH($A89,'[AQ_2020.xlsx]原始数据'!$A:$A,0)),""))</f>
        <v/>
      </c>
      <c r="C89">
        <f>IF($A89="","",IFERROR(INDEX('[AQ_2021.xlsx]原始数据'!$B:$B,MATCH($A89,'[AQ_2021.xlsx]原始数据'!$A:$A,0)),""))</f>
        <v/>
      </c>
      <c r="D89">
        <f>IF($A89="","",IFERROR(INDEX('[AQ_2022.xlsx]原始数据'!$B:$B,MATCH($A89,'[AQ_2022.xlsx]原始数据'!$A:$A,0)),""))</f>
        <v/>
      </c>
      <c r="E89">
        <f>IF($A89="","",IFERROR(INDEX('[AQ_2023.xlsx]原始数据'!$B:$B,MATCH($A89,'[AQ_2023.xlsx]原始数据'!$A:$A,0)),""))</f>
        <v/>
      </c>
      <c r="F89">
        <f>IF($A89="","",IFERROR(INDEX('[AQ_2024.xlsx]原始数据'!$B:$B,MATCH($A89,'[AQ_2024.xlsx]原始数据'!$A:$A,0)),""))</f>
        <v/>
      </c>
      <c r="G89">
        <f>IF($A89="","",IFERROR(INDEX('[AQ_2020.xlsx]原始数据'!$C:$C,MATCH($A89,'[AQ_2020.xlsx]原始数据'!$A:$A,0)),""))</f>
        <v/>
      </c>
      <c r="H89">
        <f>IF($A89="","",IFERROR(INDEX('[AQ_2021.xlsx]原始数据'!$C:$C,MATCH($A89,'[AQ_2021.xlsx]原始数据'!$A:$A,0)),""))</f>
        <v/>
      </c>
      <c r="I89">
        <f>IF($A89="","",IFERROR(INDEX('[AQ_2022.xlsx]原始数据'!$C:$C,MATCH($A89,'[AQ_2022.xlsx]原始数据'!$A:$A,0)),""))</f>
        <v/>
      </c>
      <c r="J89">
        <f>IF($A89="","",IFERROR(INDEX('[AQ_2023.xlsx]原始数据'!$C:$C,MATCH($A89,'[AQ_2023.xlsx]原始数据'!$A:$A,0)),""))</f>
        <v/>
      </c>
      <c r="K89">
        <f>IF($A89="","",IFERROR(INDEX('[AQ_2024.xlsx]原始数据'!$C:$C,MATCH($A89,'[AQ_2024.xlsx]原始数据'!$A:$A,0)),""))</f>
        <v/>
      </c>
      <c r="L89">
        <f>IF($A89="","",IFERROR(INDEX('[AQ_2020.xlsx]原始数据'!$D:$D,MATCH($A89,'[AQ_2020.xlsx]原始数据'!$A:$A,0)),""))</f>
        <v/>
      </c>
      <c r="M89">
        <f>IF($A89="","",IFERROR(INDEX('[AQ_2021.xlsx]原始数据'!$D:$D,MATCH($A89,'[AQ_2021.xlsx]原始数据'!$A:$A,0)),""))</f>
        <v/>
      </c>
      <c r="N89">
        <f>IF($A89="","",IFERROR(INDEX('[AQ_2022.xlsx]原始数据'!$D:$D,MATCH($A89,'[AQ_2022.xlsx]原始数据'!$A:$A,0)),""))</f>
        <v/>
      </c>
      <c r="O89">
        <f>IF($A89="","",IFERROR(INDEX('[AQ_2023.xlsx]原始数据'!$D:$D,MATCH($A89,'[AQ_2023.xlsx]原始数据'!$A:$A,0)),""))</f>
        <v/>
      </c>
      <c r="P89">
        <f>IF($A89="","",IFERROR(INDEX('[AQ_2024.xlsx]原始数据'!$D:$D,MATCH($A89,'[AQ_2024.xlsx]原始数据'!$A:$A,0)),""))</f>
        <v/>
      </c>
      <c r="Q89">
        <f>IF($A89="","",IFERROR(INDEX('[AQ_2020.xlsx]原始数据'!$E:$E,MATCH($A89,'[AQ_2020.xlsx]原始数据'!$A:$A,0)),""))</f>
        <v/>
      </c>
      <c r="R89">
        <f>IF($A89="","",IFERROR(INDEX('[AQ_2021.xlsx]原始数据'!$E:$E,MATCH($A89,'[AQ_2021.xlsx]原始数据'!$A:$A,0)),""))</f>
        <v/>
      </c>
      <c r="S89">
        <f>IF($A89="","",IFERROR(INDEX('[AQ_2022.xlsx]原始数据'!$E:$E,MATCH($A89,'[AQ_2022.xlsx]原始数据'!$A:$A,0)),""))</f>
        <v/>
      </c>
      <c r="T89">
        <f>IF($A89="","",IFERROR(INDEX('[AQ_2023.xlsx]原始数据'!$E:$E,MATCH($A89,'[AQ_2023.xlsx]原始数据'!$A:$A,0)),""))</f>
        <v/>
      </c>
      <c r="U89">
        <f>IF($A89="","",IFERROR(INDEX('[AQ_2024.xlsx]原始数据'!$E:$E,MATCH($A89,'[AQ_2024.xlsx]原始数据'!$A:$A,0)),""))</f>
        <v/>
      </c>
      <c r="V89">
        <f>IF($A89="","",IFERROR(INDEX('[AQ_2020.xlsx]原始数据'!$F:$F,MATCH($A89,'[AQ_2020.xlsx]原始数据'!$A:$A,0)),""))</f>
        <v/>
      </c>
      <c r="W89">
        <f>IF($A89="","",IFERROR(INDEX('[AQ_2021.xlsx]原始数据'!$F:$F,MATCH($A89,'[AQ_2021.xlsx]原始数据'!$A:$A,0)),""))</f>
        <v/>
      </c>
      <c r="X89">
        <f>IF($A89="","",IFERROR(INDEX('[AQ_2022.xlsx]原始数据'!$F:$F,MATCH($A89,'[AQ_2022.xlsx]原始数据'!$A:$A,0)),""))</f>
        <v/>
      </c>
      <c r="Y89">
        <f>IF($A89="","",IFERROR(INDEX('[AQ_2023.xlsx]原始数据'!$F:$F,MATCH($A89,'[AQ_2023.xlsx]原始数据'!$A:$A,0)),""))</f>
        <v/>
      </c>
      <c r="Z89">
        <f>IF($A89="","",IFERROR(INDEX('[AQ_2024.xlsx]原始数据'!$F:$F,MATCH($A89,'[AQ_2024.xlsx]原始数据'!$A:$A,0)),""))</f>
        <v/>
      </c>
      <c r="AA89" s="2">
        <f>IFERROR(G89/B89,"")</f>
        <v/>
      </c>
      <c r="AB89" s="2">
        <f>IFERROR(H89/C89,"")</f>
        <v/>
      </c>
      <c r="AC89" s="2">
        <f>IFERROR(I89/D89,"")</f>
        <v/>
      </c>
      <c r="AD89" s="2">
        <f>IFERROR(J89/E89,"")</f>
        <v/>
      </c>
      <c r="AE89" s="2">
        <f>IFERROR(K89/F89,"")</f>
        <v/>
      </c>
      <c r="AF89" s="2">
        <f>IFERROR(L89/B89,"")</f>
        <v/>
      </c>
      <c r="AG89" s="2">
        <f>IFERROR(M89/C89,"")</f>
        <v/>
      </c>
      <c r="AH89" s="2">
        <f>IFERROR(N89/D89,"")</f>
        <v/>
      </c>
      <c r="AI89" s="2">
        <f>IFERROR(O89/E89,"")</f>
        <v/>
      </c>
      <c r="AJ89" s="2">
        <f>IFERROR(P89/F89,"")</f>
        <v/>
      </c>
      <c r="AK89" s="2">
        <f>IFERROR(Q89/B89,"")</f>
        <v/>
      </c>
      <c r="AL89" s="2">
        <f>IFERROR(R89/C89,"")</f>
        <v/>
      </c>
      <c r="AM89" s="2">
        <f>IFERROR(S89/D89,"")</f>
        <v/>
      </c>
      <c r="AN89" s="2">
        <f>IFERROR(T89/E89,"")</f>
        <v/>
      </c>
      <c r="AO89" s="2">
        <f>IFERROR(U89/F89,"")</f>
        <v/>
      </c>
    </row>
    <row r="90">
      <c r="B90">
        <f>IF($A90="","",IFERROR(INDEX('[AQ_2020.xlsx]原始数据'!$B:$B,MATCH($A90,'[AQ_2020.xlsx]原始数据'!$A:$A,0)),""))</f>
        <v/>
      </c>
      <c r="C90">
        <f>IF($A90="","",IFERROR(INDEX('[AQ_2021.xlsx]原始数据'!$B:$B,MATCH($A90,'[AQ_2021.xlsx]原始数据'!$A:$A,0)),""))</f>
        <v/>
      </c>
      <c r="D90">
        <f>IF($A90="","",IFERROR(INDEX('[AQ_2022.xlsx]原始数据'!$B:$B,MATCH($A90,'[AQ_2022.xlsx]原始数据'!$A:$A,0)),""))</f>
        <v/>
      </c>
      <c r="E90">
        <f>IF($A90="","",IFERROR(INDEX('[AQ_2023.xlsx]原始数据'!$B:$B,MATCH($A90,'[AQ_2023.xlsx]原始数据'!$A:$A,0)),""))</f>
        <v/>
      </c>
      <c r="F90">
        <f>IF($A90="","",IFERROR(INDEX('[AQ_2024.xlsx]原始数据'!$B:$B,MATCH($A90,'[AQ_2024.xlsx]原始数据'!$A:$A,0)),""))</f>
        <v/>
      </c>
      <c r="G90">
        <f>IF($A90="","",IFERROR(INDEX('[AQ_2020.xlsx]原始数据'!$C:$C,MATCH($A90,'[AQ_2020.xlsx]原始数据'!$A:$A,0)),""))</f>
        <v/>
      </c>
      <c r="H90">
        <f>IF($A90="","",IFERROR(INDEX('[AQ_2021.xlsx]原始数据'!$C:$C,MATCH($A90,'[AQ_2021.xlsx]原始数据'!$A:$A,0)),""))</f>
        <v/>
      </c>
      <c r="I90">
        <f>IF($A90="","",IFERROR(INDEX('[AQ_2022.xlsx]原始数据'!$C:$C,MATCH($A90,'[AQ_2022.xlsx]原始数据'!$A:$A,0)),""))</f>
        <v/>
      </c>
      <c r="J90">
        <f>IF($A90="","",IFERROR(INDEX('[AQ_2023.xlsx]原始数据'!$C:$C,MATCH($A90,'[AQ_2023.xlsx]原始数据'!$A:$A,0)),""))</f>
        <v/>
      </c>
      <c r="K90">
        <f>IF($A90="","",IFERROR(INDEX('[AQ_2024.xlsx]原始数据'!$C:$C,MATCH($A90,'[AQ_2024.xlsx]原始数据'!$A:$A,0)),""))</f>
        <v/>
      </c>
      <c r="L90">
        <f>IF($A90="","",IFERROR(INDEX('[AQ_2020.xlsx]原始数据'!$D:$D,MATCH($A90,'[AQ_2020.xlsx]原始数据'!$A:$A,0)),""))</f>
        <v/>
      </c>
      <c r="M90">
        <f>IF($A90="","",IFERROR(INDEX('[AQ_2021.xlsx]原始数据'!$D:$D,MATCH($A90,'[AQ_2021.xlsx]原始数据'!$A:$A,0)),""))</f>
        <v/>
      </c>
      <c r="N90">
        <f>IF($A90="","",IFERROR(INDEX('[AQ_2022.xlsx]原始数据'!$D:$D,MATCH($A90,'[AQ_2022.xlsx]原始数据'!$A:$A,0)),""))</f>
        <v/>
      </c>
      <c r="O90">
        <f>IF($A90="","",IFERROR(INDEX('[AQ_2023.xlsx]原始数据'!$D:$D,MATCH($A90,'[AQ_2023.xlsx]原始数据'!$A:$A,0)),""))</f>
        <v/>
      </c>
      <c r="P90">
        <f>IF($A90="","",IFERROR(INDEX('[AQ_2024.xlsx]原始数据'!$D:$D,MATCH($A90,'[AQ_2024.xlsx]原始数据'!$A:$A,0)),""))</f>
        <v/>
      </c>
      <c r="Q90">
        <f>IF($A90="","",IFERROR(INDEX('[AQ_2020.xlsx]原始数据'!$E:$E,MATCH($A90,'[AQ_2020.xlsx]原始数据'!$A:$A,0)),""))</f>
        <v/>
      </c>
      <c r="R90">
        <f>IF($A90="","",IFERROR(INDEX('[AQ_2021.xlsx]原始数据'!$E:$E,MATCH($A90,'[AQ_2021.xlsx]原始数据'!$A:$A,0)),""))</f>
        <v/>
      </c>
      <c r="S90">
        <f>IF($A90="","",IFERROR(INDEX('[AQ_2022.xlsx]原始数据'!$E:$E,MATCH($A90,'[AQ_2022.xlsx]原始数据'!$A:$A,0)),""))</f>
        <v/>
      </c>
      <c r="T90">
        <f>IF($A90="","",IFERROR(INDEX('[AQ_2023.xlsx]原始数据'!$E:$E,MATCH($A90,'[AQ_2023.xlsx]原始数据'!$A:$A,0)),""))</f>
        <v/>
      </c>
      <c r="U90">
        <f>IF($A90="","",IFERROR(INDEX('[AQ_2024.xlsx]原始数据'!$E:$E,MATCH($A90,'[AQ_2024.xlsx]原始数据'!$A:$A,0)),""))</f>
        <v/>
      </c>
      <c r="V90">
        <f>IF($A90="","",IFERROR(INDEX('[AQ_2020.xlsx]原始数据'!$F:$F,MATCH($A90,'[AQ_2020.xlsx]原始数据'!$A:$A,0)),""))</f>
        <v/>
      </c>
      <c r="W90">
        <f>IF($A90="","",IFERROR(INDEX('[AQ_2021.xlsx]原始数据'!$F:$F,MATCH($A90,'[AQ_2021.xlsx]原始数据'!$A:$A,0)),""))</f>
        <v/>
      </c>
      <c r="X90">
        <f>IF($A90="","",IFERROR(INDEX('[AQ_2022.xlsx]原始数据'!$F:$F,MATCH($A90,'[AQ_2022.xlsx]原始数据'!$A:$A,0)),""))</f>
        <v/>
      </c>
      <c r="Y90">
        <f>IF($A90="","",IFERROR(INDEX('[AQ_2023.xlsx]原始数据'!$F:$F,MATCH($A90,'[AQ_2023.xlsx]原始数据'!$A:$A,0)),""))</f>
        <v/>
      </c>
      <c r="Z90">
        <f>IF($A90="","",IFERROR(INDEX('[AQ_2024.xlsx]原始数据'!$F:$F,MATCH($A90,'[AQ_2024.xlsx]原始数据'!$A:$A,0)),""))</f>
        <v/>
      </c>
      <c r="AA90" s="2">
        <f>IFERROR(G90/B90,"")</f>
        <v/>
      </c>
      <c r="AB90" s="2">
        <f>IFERROR(H90/C90,"")</f>
        <v/>
      </c>
      <c r="AC90" s="2">
        <f>IFERROR(I90/D90,"")</f>
        <v/>
      </c>
      <c r="AD90" s="2">
        <f>IFERROR(J90/E90,"")</f>
        <v/>
      </c>
      <c r="AE90" s="2">
        <f>IFERROR(K90/F90,"")</f>
        <v/>
      </c>
      <c r="AF90" s="2">
        <f>IFERROR(L90/B90,"")</f>
        <v/>
      </c>
      <c r="AG90" s="2">
        <f>IFERROR(M90/C90,"")</f>
        <v/>
      </c>
      <c r="AH90" s="2">
        <f>IFERROR(N90/D90,"")</f>
        <v/>
      </c>
      <c r="AI90" s="2">
        <f>IFERROR(O90/E90,"")</f>
        <v/>
      </c>
      <c r="AJ90" s="2">
        <f>IFERROR(P90/F90,"")</f>
        <v/>
      </c>
      <c r="AK90" s="2">
        <f>IFERROR(Q90/B90,"")</f>
        <v/>
      </c>
      <c r="AL90" s="2">
        <f>IFERROR(R90/C90,"")</f>
        <v/>
      </c>
      <c r="AM90" s="2">
        <f>IFERROR(S90/D90,"")</f>
        <v/>
      </c>
      <c r="AN90" s="2">
        <f>IFERROR(T90/E90,"")</f>
        <v/>
      </c>
      <c r="AO90" s="2">
        <f>IFERROR(U90/F90,"")</f>
        <v/>
      </c>
    </row>
    <row r="91">
      <c r="B91">
        <f>IF($A91="","",IFERROR(INDEX('[AQ_2020.xlsx]原始数据'!$B:$B,MATCH($A91,'[AQ_2020.xlsx]原始数据'!$A:$A,0)),""))</f>
        <v/>
      </c>
      <c r="C91">
        <f>IF($A91="","",IFERROR(INDEX('[AQ_2021.xlsx]原始数据'!$B:$B,MATCH($A91,'[AQ_2021.xlsx]原始数据'!$A:$A,0)),""))</f>
        <v/>
      </c>
      <c r="D91">
        <f>IF($A91="","",IFERROR(INDEX('[AQ_2022.xlsx]原始数据'!$B:$B,MATCH($A91,'[AQ_2022.xlsx]原始数据'!$A:$A,0)),""))</f>
        <v/>
      </c>
      <c r="E91">
        <f>IF($A91="","",IFERROR(INDEX('[AQ_2023.xlsx]原始数据'!$B:$B,MATCH($A91,'[AQ_2023.xlsx]原始数据'!$A:$A,0)),""))</f>
        <v/>
      </c>
      <c r="F91">
        <f>IF($A91="","",IFERROR(INDEX('[AQ_2024.xlsx]原始数据'!$B:$B,MATCH($A91,'[AQ_2024.xlsx]原始数据'!$A:$A,0)),""))</f>
        <v/>
      </c>
      <c r="G91">
        <f>IF($A91="","",IFERROR(INDEX('[AQ_2020.xlsx]原始数据'!$C:$C,MATCH($A91,'[AQ_2020.xlsx]原始数据'!$A:$A,0)),""))</f>
        <v/>
      </c>
      <c r="H91">
        <f>IF($A91="","",IFERROR(INDEX('[AQ_2021.xlsx]原始数据'!$C:$C,MATCH($A91,'[AQ_2021.xlsx]原始数据'!$A:$A,0)),""))</f>
        <v/>
      </c>
      <c r="I91">
        <f>IF($A91="","",IFERROR(INDEX('[AQ_2022.xlsx]原始数据'!$C:$C,MATCH($A91,'[AQ_2022.xlsx]原始数据'!$A:$A,0)),""))</f>
        <v/>
      </c>
      <c r="J91">
        <f>IF($A91="","",IFERROR(INDEX('[AQ_2023.xlsx]原始数据'!$C:$C,MATCH($A91,'[AQ_2023.xlsx]原始数据'!$A:$A,0)),""))</f>
        <v/>
      </c>
      <c r="K91">
        <f>IF($A91="","",IFERROR(INDEX('[AQ_2024.xlsx]原始数据'!$C:$C,MATCH($A91,'[AQ_2024.xlsx]原始数据'!$A:$A,0)),""))</f>
        <v/>
      </c>
      <c r="L91">
        <f>IF($A91="","",IFERROR(INDEX('[AQ_2020.xlsx]原始数据'!$D:$D,MATCH($A91,'[AQ_2020.xlsx]原始数据'!$A:$A,0)),""))</f>
        <v/>
      </c>
      <c r="M91">
        <f>IF($A91="","",IFERROR(INDEX('[AQ_2021.xlsx]原始数据'!$D:$D,MATCH($A91,'[AQ_2021.xlsx]原始数据'!$A:$A,0)),""))</f>
        <v/>
      </c>
      <c r="N91">
        <f>IF($A91="","",IFERROR(INDEX('[AQ_2022.xlsx]原始数据'!$D:$D,MATCH($A91,'[AQ_2022.xlsx]原始数据'!$A:$A,0)),""))</f>
        <v/>
      </c>
      <c r="O91">
        <f>IF($A91="","",IFERROR(INDEX('[AQ_2023.xlsx]原始数据'!$D:$D,MATCH($A91,'[AQ_2023.xlsx]原始数据'!$A:$A,0)),""))</f>
        <v/>
      </c>
      <c r="P91">
        <f>IF($A91="","",IFERROR(INDEX('[AQ_2024.xlsx]原始数据'!$D:$D,MATCH($A91,'[AQ_2024.xlsx]原始数据'!$A:$A,0)),""))</f>
        <v/>
      </c>
      <c r="Q91">
        <f>IF($A91="","",IFERROR(INDEX('[AQ_2020.xlsx]原始数据'!$E:$E,MATCH($A91,'[AQ_2020.xlsx]原始数据'!$A:$A,0)),""))</f>
        <v/>
      </c>
      <c r="R91">
        <f>IF($A91="","",IFERROR(INDEX('[AQ_2021.xlsx]原始数据'!$E:$E,MATCH($A91,'[AQ_2021.xlsx]原始数据'!$A:$A,0)),""))</f>
        <v/>
      </c>
      <c r="S91">
        <f>IF($A91="","",IFERROR(INDEX('[AQ_2022.xlsx]原始数据'!$E:$E,MATCH($A91,'[AQ_2022.xlsx]原始数据'!$A:$A,0)),""))</f>
        <v/>
      </c>
      <c r="T91">
        <f>IF($A91="","",IFERROR(INDEX('[AQ_2023.xlsx]原始数据'!$E:$E,MATCH($A91,'[AQ_2023.xlsx]原始数据'!$A:$A,0)),""))</f>
        <v/>
      </c>
      <c r="U91">
        <f>IF($A91="","",IFERROR(INDEX('[AQ_2024.xlsx]原始数据'!$E:$E,MATCH($A91,'[AQ_2024.xlsx]原始数据'!$A:$A,0)),""))</f>
        <v/>
      </c>
      <c r="V91">
        <f>IF($A91="","",IFERROR(INDEX('[AQ_2020.xlsx]原始数据'!$F:$F,MATCH($A91,'[AQ_2020.xlsx]原始数据'!$A:$A,0)),""))</f>
        <v/>
      </c>
      <c r="W91">
        <f>IF($A91="","",IFERROR(INDEX('[AQ_2021.xlsx]原始数据'!$F:$F,MATCH($A91,'[AQ_2021.xlsx]原始数据'!$A:$A,0)),""))</f>
        <v/>
      </c>
      <c r="X91">
        <f>IF($A91="","",IFERROR(INDEX('[AQ_2022.xlsx]原始数据'!$F:$F,MATCH($A91,'[AQ_2022.xlsx]原始数据'!$A:$A,0)),""))</f>
        <v/>
      </c>
      <c r="Y91">
        <f>IF($A91="","",IFERROR(INDEX('[AQ_2023.xlsx]原始数据'!$F:$F,MATCH($A91,'[AQ_2023.xlsx]原始数据'!$A:$A,0)),""))</f>
        <v/>
      </c>
      <c r="Z91">
        <f>IF($A91="","",IFERROR(INDEX('[AQ_2024.xlsx]原始数据'!$F:$F,MATCH($A91,'[AQ_2024.xlsx]原始数据'!$A:$A,0)),""))</f>
        <v/>
      </c>
      <c r="AA91" s="2">
        <f>IFERROR(G91/B91,"")</f>
        <v/>
      </c>
      <c r="AB91" s="2">
        <f>IFERROR(H91/C91,"")</f>
        <v/>
      </c>
      <c r="AC91" s="2">
        <f>IFERROR(I91/D91,"")</f>
        <v/>
      </c>
      <c r="AD91" s="2">
        <f>IFERROR(J91/E91,"")</f>
        <v/>
      </c>
      <c r="AE91" s="2">
        <f>IFERROR(K91/F91,"")</f>
        <v/>
      </c>
      <c r="AF91" s="2">
        <f>IFERROR(L91/B91,"")</f>
        <v/>
      </c>
      <c r="AG91" s="2">
        <f>IFERROR(M91/C91,"")</f>
        <v/>
      </c>
      <c r="AH91" s="2">
        <f>IFERROR(N91/D91,"")</f>
        <v/>
      </c>
      <c r="AI91" s="2">
        <f>IFERROR(O91/E91,"")</f>
        <v/>
      </c>
      <c r="AJ91" s="2">
        <f>IFERROR(P91/F91,"")</f>
        <v/>
      </c>
      <c r="AK91" s="2">
        <f>IFERROR(Q91/B91,"")</f>
        <v/>
      </c>
      <c r="AL91" s="2">
        <f>IFERROR(R91/C91,"")</f>
        <v/>
      </c>
      <c r="AM91" s="2">
        <f>IFERROR(S91/D91,"")</f>
        <v/>
      </c>
      <c r="AN91" s="2">
        <f>IFERROR(T91/E91,"")</f>
        <v/>
      </c>
      <c r="AO91" s="2">
        <f>IFERROR(U91/F91,"")</f>
        <v/>
      </c>
    </row>
    <row r="92">
      <c r="B92">
        <f>IF($A92="","",IFERROR(INDEX('[AQ_2020.xlsx]原始数据'!$B:$B,MATCH($A92,'[AQ_2020.xlsx]原始数据'!$A:$A,0)),""))</f>
        <v/>
      </c>
      <c r="C92">
        <f>IF($A92="","",IFERROR(INDEX('[AQ_2021.xlsx]原始数据'!$B:$B,MATCH($A92,'[AQ_2021.xlsx]原始数据'!$A:$A,0)),""))</f>
        <v/>
      </c>
      <c r="D92">
        <f>IF($A92="","",IFERROR(INDEX('[AQ_2022.xlsx]原始数据'!$B:$B,MATCH($A92,'[AQ_2022.xlsx]原始数据'!$A:$A,0)),""))</f>
        <v/>
      </c>
      <c r="E92">
        <f>IF($A92="","",IFERROR(INDEX('[AQ_2023.xlsx]原始数据'!$B:$B,MATCH($A92,'[AQ_2023.xlsx]原始数据'!$A:$A,0)),""))</f>
        <v/>
      </c>
      <c r="F92">
        <f>IF($A92="","",IFERROR(INDEX('[AQ_2024.xlsx]原始数据'!$B:$B,MATCH($A92,'[AQ_2024.xlsx]原始数据'!$A:$A,0)),""))</f>
        <v/>
      </c>
      <c r="G92">
        <f>IF($A92="","",IFERROR(INDEX('[AQ_2020.xlsx]原始数据'!$C:$C,MATCH($A92,'[AQ_2020.xlsx]原始数据'!$A:$A,0)),""))</f>
        <v/>
      </c>
      <c r="H92">
        <f>IF($A92="","",IFERROR(INDEX('[AQ_2021.xlsx]原始数据'!$C:$C,MATCH($A92,'[AQ_2021.xlsx]原始数据'!$A:$A,0)),""))</f>
        <v/>
      </c>
      <c r="I92">
        <f>IF($A92="","",IFERROR(INDEX('[AQ_2022.xlsx]原始数据'!$C:$C,MATCH($A92,'[AQ_2022.xlsx]原始数据'!$A:$A,0)),""))</f>
        <v/>
      </c>
      <c r="J92">
        <f>IF($A92="","",IFERROR(INDEX('[AQ_2023.xlsx]原始数据'!$C:$C,MATCH($A92,'[AQ_2023.xlsx]原始数据'!$A:$A,0)),""))</f>
        <v/>
      </c>
      <c r="K92">
        <f>IF($A92="","",IFERROR(INDEX('[AQ_2024.xlsx]原始数据'!$C:$C,MATCH($A92,'[AQ_2024.xlsx]原始数据'!$A:$A,0)),""))</f>
        <v/>
      </c>
      <c r="L92">
        <f>IF($A92="","",IFERROR(INDEX('[AQ_2020.xlsx]原始数据'!$D:$D,MATCH($A92,'[AQ_2020.xlsx]原始数据'!$A:$A,0)),""))</f>
        <v/>
      </c>
      <c r="M92">
        <f>IF($A92="","",IFERROR(INDEX('[AQ_2021.xlsx]原始数据'!$D:$D,MATCH($A92,'[AQ_2021.xlsx]原始数据'!$A:$A,0)),""))</f>
        <v/>
      </c>
      <c r="N92">
        <f>IF($A92="","",IFERROR(INDEX('[AQ_2022.xlsx]原始数据'!$D:$D,MATCH($A92,'[AQ_2022.xlsx]原始数据'!$A:$A,0)),""))</f>
        <v/>
      </c>
      <c r="O92">
        <f>IF($A92="","",IFERROR(INDEX('[AQ_2023.xlsx]原始数据'!$D:$D,MATCH($A92,'[AQ_2023.xlsx]原始数据'!$A:$A,0)),""))</f>
        <v/>
      </c>
      <c r="P92">
        <f>IF($A92="","",IFERROR(INDEX('[AQ_2024.xlsx]原始数据'!$D:$D,MATCH($A92,'[AQ_2024.xlsx]原始数据'!$A:$A,0)),""))</f>
        <v/>
      </c>
      <c r="Q92">
        <f>IF($A92="","",IFERROR(INDEX('[AQ_2020.xlsx]原始数据'!$E:$E,MATCH($A92,'[AQ_2020.xlsx]原始数据'!$A:$A,0)),""))</f>
        <v/>
      </c>
      <c r="R92">
        <f>IF($A92="","",IFERROR(INDEX('[AQ_2021.xlsx]原始数据'!$E:$E,MATCH($A92,'[AQ_2021.xlsx]原始数据'!$A:$A,0)),""))</f>
        <v/>
      </c>
      <c r="S92">
        <f>IF($A92="","",IFERROR(INDEX('[AQ_2022.xlsx]原始数据'!$E:$E,MATCH($A92,'[AQ_2022.xlsx]原始数据'!$A:$A,0)),""))</f>
        <v/>
      </c>
      <c r="T92">
        <f>IF($A92="","",IFERROR(INDEX('[AQ_2023.xlsx]原始数据'!$E:$E,MATCH($A92,'[AQ_2023.xlsx]原始数据'!$A:$A,0)),""))</f>
        <v/>
      </c>
      <c r="U92">
        <f>IF($A92="","",IFERROR(INDEX('[AQ_2024.xlsx]原始数据'!$E:$E,MATCH($A92,'[AQ_2024.xlsx]原始数据'!$A:$A,0)),""))</f>
        <v/>
      </c>
      <c r="V92">
        <f>IF($A92="","",IFERROR(INDEX('[AQ_2020.xlsx]原始数据'!$F:$F,MATCH($A92,'[AQ_2020.xlsx]原始数据'!$A:$A,0)),""))</f>
        <v/>
      </c>
      <c r="W92">
        <f>IF($A92="","",IFERROR(INDEX('[AQ_2021.xlsx]原始数据'!$F:$F,MATCH($A92,'[AQ_2021.xlsx]原始数据'!$A:$A,0)),""))</f>
        <v/>
      </c>
      <c r="X92">
        <f>IF($A92="","",IFERROR(INDEX('[AQ_2022.xlsx]原始数据'!$F:$F,MATCH($A92,'[AQ_2022.xlsx]原始数据'!$A:$A,0)),""))</f>
        <v/>
      </c>
      <c r="Y92">
        <f>IF($A92="","",IFERROR(INDEX('[AQ_2023.xlsx]原始数据'!$F:$F,MATCH($A92,'[AQ_2023.xlsx]原始数据'!$A:$A,0)),""))</f>
        <v/>
      </c>
      <c r="Z92">
        <f>IF($A92="","",IFERROR(INDEX('[AQ_2024.xlsx]原始数据'!$F:$F,MATCH($A92,'[AQ_2024.xlsx]原始数据'!$A:$A,0)),""))</f>
        <v/>
      </c>
      <c r="AA92" s="2">
        <f>IFERROR(G92/B92,"")</f>
        <v/>
      </c>
      <c r="AB92" s="2">
        <f>IFERROR(H92/C92,"")</f>
        <v/>
      </c>
      <c r="AC92" s="2">
        <f>IFERROR(I92/D92,"")</f>
        <v/>
      </c>
      <c r="AD92" s="2">
        <f>IFERROR(J92/E92,"")</f>
        <v/>
      </c>
      <c r="AE92" s="2">
        <f>IFERROR(K92/F92,"")</f>
        <v/>
      </c>
      <c r="AF92" s="2">
        <f>IFERROR(L92/B92,"")</f>
        <v/>
      </c>
      <c r="AG92" s="2">
        <f>IFERROR(M92/C92,"")</f>
        <v/>
      </c>
      <c r="AH92" s="2">
        <f>IFERROR(N92/D92,"")</f>
        <v/>
      </c>
      <c r="AI92" s="2">
        <f>IFERROR(O92/E92,"")</f>
        <v/>
      </c>
      <c r="AJ92" s="2">
        <f>IFERROR(P92/F92,"")</f>
        <v/>
      </c>
      <c r="AK92" s="2">
        <f>IFERROR(Q92/B92,"")</f>
        <v/>
      </c>
      <c r="AL92" s="2">
        <f>IFERROR(R92/C92,"")</f>
        <v/>
      </c>
      <c r="AM92" s="2">
        <f>IFERROR(S92/D92,"")</f>
        <v/>
      </c>
      <c r="AN92" s="2">
        <f>IFERROR(T92/E92,"")</f>
        <v/>
      </c>
      <c r="AO92" s="2">
        <f>IFERROR(U92/F92,"")</f>
        <v/>
      </c>
    </row>
    <row r="93">
      <c r="B93">
        <f>IF($A93="","",IFERROR(INDEX('[AQ_2020.xlsx]原始数据'!$B:$B,MATCH($A93,'[AQ_2020.xlsx]原始数据'!$A:$A,0)),""))</f>
        <v/>
      </c>
      <c r="C93">
        <f>IF($A93="","",IFERROR(INDEX('[AQ_2021.xlsx]原始数据'!$B:$B,MATCH($A93,'[AQ_2021.xlsx]原始数据'!$A:$A,0)),""))</f>
        <v/>
      </c>
      <c r="D93">
        <f>IF($A93="","",IFERROR(INDEX('[AQ_2022.xlsx]原始数据'!$B:$B,MATCH($A93,'[AQ_2022.xlsx]原始数据'!$A:$A,0)),""))</f>
        <v/>
      </c>
      <c r="E93">
        <f>IF($A93="","",IFERROR(INDEX('[AQ_2023.xlsx]原始数据'!$B:$B,MATCH($A93,'[AQ_2023.xlsx]原始数据'!$A:$A,0)),""))</f>
        <v/>
      </c>
      <c r="F93">
        <f>IF($A93="","",IFERROR(INDEX('[AQ_2024.xlsx]原始数据'!$B:$B,MATCH($A93,'[AQ_2024.xlsx]原始数据'!$A:$A,0)),""))</f>
        <v/>
      </c>
      <c r="G93">
        <f>IF($A93="","",IFERROR(INDEX('[AQ_2020.xlsx]原始数据'!$C:$C,MATCH($A93,'[AQ_2020.xlsx]原始数据'!$A:$A,0)),""))</f>
        <v/>
      </c>
      <c r="H93">
        <f>IF($A93="","",IFERROR(INDEX('[AQ_2021.xlsx]原始数据'!$C:$C,MATCH($A93,'[AQ_2021.xlsx]原始数据'!$A:$A,0)),""))</f>
        <v/>
      </c>
      <c r="I93">
        <f>IF($A93="","",IFERROR(INDEX('[AQ_2022.xlsx]原始数据'!$C:$C,MATCH($A93,'[AQ_2022.xlsx]原始数据'!$A:$A,0)),""))</f>
        <v/>
      </c>
      <c r="J93">
        <f>IF($A93="","",IFERROR(INDEX('[AQ_2023.xlsx]原始数据'!$C:$C,MATCH($A93,'[AQ_2023.xlsx]原始数据'!$A:$A,0)),""))</f>
        <v/>
      </c>
      <c r="K93">
        <f>IF($A93="","",IFERROR(INDEX('[AQ_2024.xlsx]原始数据'!$C:$C,MATCH($A93,'[AQ_2024.xlsx]原始数据'!$A:$A,0)),""))</f>
        <v/>
      </c>
      <c r="L93">
        <f>IF($A93="","",IFERROR(INDEX('[AQ_2020.xlsx]原始数据'!$D:$D,MATCH($A93,'[AQ_2020.xlsx]原始数据'!$A:$A,0)),""))</f>
        <v/>
      </c>
      <c r="M93">
        <f>IF($A93="","",IFERROR(INDEX('[AQ_2021.xlsx]原始数据'!$D:$D,MATCH($A93,'[AQ_2021.xlsx]原始数据'!$A:$A,0)),""))</f>
        <v/>
      </c>
      <c r="N93">
        <f>IF($A93="","",IFERROR(INDEX('[AQ_2022.xlsx]原始数据'!$D:$D,MATCH($A93,'[AQ_2022.xlsx]原始数据'!$A:$A,0)),""))</f>
        <v/>
      </c>
      <c r="O93">
        <f>IF($A93="","",IFERROR(INDEX('[AQ_2023.xlsx]原始数据'!$D:$D,MATCH($A93,'[AQ_2023.xlsx]原始数据'!$A:$A,0)),""))</f>
        <v/>
      </c>
      <c r="P93">
        <f>IF($A93="","",IFERROR(INDEX('[AQ_2024.xlsx]原始数据'!$D:$D,MATCH($A93,'[AQ_2024.xlsx]原始数据'!$A:$A,0)),""))</f>
        <v/>
      </c>
      <c r="Q93">
        <f>IF($A93="","",IFERROR(INDEX('[AQ_2020.xlsx]原始数据'!$E:$E,MATCH($A93,'[AQ_2020.xlsx]原始数据'!$A:$A,0)),""))</f>
        <v/>
      </c>
      <c r="R93">
        <f>IF($A93="","",IFERROR(INDEX('[AQ_2021.xlsx]原始数据'!$E:$E,MATCH($A93,'[AQ_2021.xlsx]原始数据'!$A:$A,0)),""))</f>
        <v/>
      </c>
      <c r="S93">
        <f>IF($A93="","",IFERROR(INDEX('[AQ_2022.xlsx]原始数据'!$E:$E,MATCH($A93,'[AQ_2022.xlsx]原始数据'!$A:$A,0)),""))</f>
        <v/>
      </c>
      <c r="T93">
        <f>IF($A93="","",IFERROR(INDEX('[AQ_2023.xlsx]原始数据'!$E:$E,MATCH($A93,'[AQ_2023.xlsx]原始数据'!$A:$A,0)),""))</f>
        <v/>
      </c>
      <c r="U93">
        <f>IF($A93="","",IFERROR(INDEX('[AQ_2024.xlsx]原始数据'!$E:$E,MATCH($A93,'[AQ_2024.xlsx]原始数据'!$A:$A,0)),""))</f>
        <v/>
      </c>
      <c r="V93">
        <f>IF($A93="","",IFERROR(INDEX('[AQ_2020.xlsx]原始数据'!$F:$F,MATCH($A93,'[AQ_2020.xlsx]原始数据'!$A:$A,0)),""))</f>
        <v/>
      </c>
      <c r="W93">
        <f>IF($A93="","",IFERROR(INDEX('[AQ_2021.xlsx]原始数据'!$F:$F,MATCH($A93,'[AQ_2021.xlsx]原始数据'!$A:$A,0)),""))</f>
        <v/>
      </c>
      <c r="X93">
        <f>IF($A93="","",IFERROR(INDEX('[AQ_2022.xlsx]原始数据'!$F:$F,MATCH($A93,'[AQ_2022.xlsx]原始数据'!$A:$A,0)),""))</f>
        <v/>
      </c>
      <c r="Y93">
        <f>IF($A93="","",IFERROR(INDEX('[AQ_2023.xlsx]原始数据'!$F:$F,MATCH($A93,'[AQ_2023.xlsx]原始数据'!$A:$A,0)),""))</f>
        <v/>
      </c>
      <c r="Z93">
        <f>IF($A93="","",IFERROR(INDEX('[AQ_2024.xlsx]原始数据'!$F:$F,MATCH($A93,'[AQ_2024.xlsx]原始数据'!$A:$A,0)),""))</f>
        <v/>
      </c>
      <c r="AA93" s="2">
        <f>IFERROR(G93/B93,"")</f>
        <v/>
      </c>
      <c r="AB93" s="2">
        <f>IFERROR(H93/C93,"")</f>
        <v/>
      </c>
      <c r="AC93" s="2">
        <f>IFERROR(I93/D93,"")</f>
        <v/>
      </c>
      <c r="AD93" s="2">
        <f>IFERROR(J93/E93,"")</f>
        <v/>
      </c>
      <c r="AE93" s="2">
        <f>IFERROR(K93/F93,"")</f>
        <v/>
      </c>
      <c r="AF93" s="2">
        <f>IFERROR(L93/B93,"")</f>
        <v/>
      </c>
      <c r="AG93" s="2">
        <f>IFERROR(M93/C93,"")</f>
        <v/>
      </c>
      <c r="AH93" s="2">
        <f>IFERROR(N93/D93,"")</f>
        <v/>
      </c>
      <c r="AI93" s="2">
        <f>IFERROR(O93/E93,"")</f>
        <v/>
      </c>
      <c r="AJ93" s="2">
        <f>IFERROR(P93/F93,"")</f>
        <v/>
      </c>
      <c r="AK93" s="2">
        <f>IFERROR(Q93/B93,"")</f>
        <v/>
      </c>
      <c r="AL93" s="2">
        <f>IFERROR(R93/C93,"")</f>
        <v/>
      </c>
      <c r="AM93" s="2">
        <f>IFERROR(S93/D93,"")</f>
        <v/>
      </c>
      <c r="AN93" s="2">
        <f>IFERROR(T93/E93,"")</f>
        <v/>
      </c>
      <c r="AO93" s="2">
        <f>IFERROR(U93/F93,"")</f>
        <v/>
      </c>
    </row>
    <row r="94">
      <c r="B94">
        <f>IF($A94="","",IFERROR(INDEX('[AQ_2020.xlsx]原始数据'!$B:$B,MATCH($A94,'[AQ_2020.xlsx]原始数据'!$A:$A,0)),""))</f>
        <v/>
      </c>
      <c r="C94">
        <f>IF($A94="","",IFERROR(INDEX('[AQ_2021.xlsx]原始数据'!$B:$B,MATCH($A94,'[AQ_2021.xlsx]原始数据'!$A:$A,0)),""))</f>
        <v/>
      </c>
      <c r="D94">
        <f>IF($A94="","",IFERROR(INDEX('[AQ_2022.xlsx]原始数据'!$B:$B,MATCH($A94,'[AQ_2022.xlsx]原始数据'!$A:$A,0)),""))</f>
        <v/>
      </c>
      <c r="E94">
        <f>IF($A94="","",IFERROR(INDEX('[AQ_2023.xlsx]原始数据'!$B:$B,MATCH($A94,'[AQ_2023.xlsx]原始数据'!$A:$A,0)),""))</f>
        <v/>
      </c>
      <c r="F94">
        <f>IF($A94="","",IFERROR(INDEX('[AQ_2024.xlsx]原始数据'!$B:$B,MATCH($A94,'[AQ_2024.xlsx]原始数据'!$A:$A,0)),""))</f>
        <v/>
      </c>
      <c r="G94">
        <f>IF($A94="","",IFERROR(INDEX('[AQ_2020.xlsx]原始数据'!$C:$C,MATCH($A94,'[AQ_2020.xlsx]原始数据'!$A:$A,0)),""))</f>
        <v/>
      </c>
      <c r="H94">
        <f>IF($A94="","",IFERROR(INDEX('[AQ_2021.xlsx]原始数据'!$C:$C,MATCH($A94,'[AQ_2021.xlsx]原始数据'!$A:$A,0)),""))</f>
        <v/>
      </c>
      <c r="I94">
        <f>IF($A94="","",IFERROR(INDEX('[AQ_2022.xlsx]原始数据'!$C:$C,MATCH($A94,'[AQ_2022.xlsx]原始数据'!$A:$A,0)),""))</f>
        <v/>
      </c>
      <c r="J94">
        <f>IF($A94="","",IFERROR(INDEX('[AQ_2023.xlsx]原始数据'!$C:$C,MATCH($A94,'[AQ_2023.xlsx]原始数据'!$A:$A,0)),""))</f>
        <v/>
      </c>
      <c r="K94">
        <f>IF($A94="","",IFERROR(INDEX('[AQ_2024.xlsx]原始数据'!$C:$C,MATCH($A94,'[AQ_2024.xlsx]原始数据'!$A:$A,0)),""))</f>
        <v/>
      </c>
      <c r="L94">
        <f>IF($A94="","",IFERROR(INDEX('[AQ_2020.xlsx]原始数据'!$D:$D,MATCH($A94,'[AQ_2020.xlsx]原始数据'!$A:$A,0)),""))</f>
        <v/>
      </c>
      <c r="M94">
        <f>IF($A94="","",IFERROR(INDEX('[AQ_2021.xlsx]原始数据'!$D:$D,MATCH($A94,'[AQ_2021.xlsx]原始数据'!$A:$A,0)),""))</f>
        <v/>
      </c>
      <c r="N94">
        <f>IF($A94="","",IFERROR(INDEX('[AQ_2022.xlsx]原始数据'!$D:$D,MATCH($A94,'[AQ_2022.xlsx]原始数据'!$A:$A,0)),""))</f>
        <v/>
      </c>
      <c r="O94">
        <f>IF($A94="","",IFERROR(INDEX('[AQ_2023.xlsx]原始数据'!$D:$D,MATCH($A94,'[AQ_2023.xlsx]原始数据'!$A:$A,0)),""))</f>
        <v/>
      </c>
      <c r="P94">
        <f>IF($A94="","",IFERROR(INDEX('[AQ_2024.xlsx]原始数据'!$D:$D,MATCH($A94,'[AQ_2024.xlsx]原始数据'!$A:$A,0)),""))</f>
        <v/>
      </c>
      <c r="Q94">
        <f>IF($A94="","",IFERROR(INDEX('[AQ_2020.xlsx]原始数据'!$E:$E,MATCH($A94,'[AQ_2020.xlsx]原始数据'!$A:$A,0)),""))</f>
        <v/>
      </c>
      <c r="R94">
        <f>IF($A94="","",IFERROR(INDEX('[AQ_2021.xlsx]原始数据'!$E:$E,MATCH($A94,'[AQ_2021.xlsx]原始数据'!$A:$A,0)),""))</f>
        <v/>
      </c>
      <c r="S94">
        <f>IF($A94="","",IFERROR(INDEX('[AQ_2022.xlsx]原始数据'!$E:$E,MATCH($A94,'[AQ_2022.xlsx]原始数据'!$A:$A,0)),""))</f>
        <v/>
      </c>
      <c r="T94">
        <f>IF($A94="","",IFERROR(INDEX('[AQ_2023.xlsx]原始数据'!$E:$E,MATCH($A94,'[AQ_2023.xlsx]原始数据'!$A:$A,0)),""))</f>
        <v/>
      </c>
      <c r="U94">
        <f>IF($A94="","",IFERROR(INDEX('[AQ_2024.xlsx]原始数据'!$E:$E,MATCH($A94,'[AQ_2024.xlsx]原始数据'!$A:$A,0)),""))</f>
        <v/>
      </c>
      <c r="V94">
        <f>IF($A94="","",IFERROR(INDEX('[AQ_2020.xlsx]原始数据'!$F:$F,MATCH($A94,'[AQ_2020.xlsx]原始数据'!$A:$A,0)),""))</f>
        <v/>
      </c>
      <c r="W94">
        <f>IF($A94="","",IFERROR(INDEX('[AQ_2021.xlsx]原始数据'!$F:$F,MATCH($A94,'[AQ_2021.xlsx]原始数据'!$A:$A,0)),""))</f>
        <v/>
      </c>
      <c r="X94">
        <f>IF($A94="","",IFERROR(INDEX('[AQ_2022.xlsx]原始数据'!$F:$F,MATCH($A94,'[AQ_2022.xlsx]原始数据'!$A:$A,0)),""))</f>
        <v/>
      </c>
      <c r="Y94">
        <f>IF($A94="","",IFERROR(INDEX('[AQ_2023.xlsx]原始数据'!$F:$F,MATCH($A94,'[AQ_2023.xlsx]原始数据'!$A:$A,0)),""))</f>
        <v/>
      </c>
      <c r="Z94">
        <f>IF($A94="","",IFERROR(INDEX('[AQ_2024.xlsx]原始数据'!$F:$F,MATCH($A94,'[AQ_2024.xlsx]原始数据'!$A:$A,0)),""))</f>
        <v/>
      </c>
      <c r="AA94" s="2">
        <f>IFERROR(G94/B94,"")</f>
        <v/>
      </c>
      <c r="AB94" s="2">
        <f>IFERROR(H94/C94,"")</f>
        <v/>
      </c>
      <c r="AC94" s="2">
        <f>IFERROR(I94/D94,"")</f>
        <v/>
      </c>
      <c r="AD94" s="2">
        <f>IFERROR(J94/E94,"")</f>
        <v/>
      </c>
      <c r="AE94" s="2">
        <f>IFERROR(K94/F94,"")</f>
        <v/>
      </c>
      <c r="AF94" s="2">
        <f>IFERROR(L94/B94,"")</f>
        <v/>
      </c>
      <c r="AG94" s="2">
        <f>IFERROR(M94/C94,"")</f>
        <v/>
      </c>
      <c r="AH94" s="2">
        <f>IFERROR(N94/D94,"")</f>
        <v/>
      </c>
      <c r="AI94" s="2">
        <f>IFERROR(O94/E94,"")</f>
        <v/>
      </c>
      <c r="AJ94" s="2">
        <f>IFERROR(P94/F94,"")</f>
        <v/>
      </c>
      <c r="AK94" s="2">
        <f>IFERROR(Q94/B94,"")</f>
        <v/>
      </c>
      <c r="AL94" s="2">
        <f>IFERROR(R94/C94,"")</f>
        <v/>
      </c>
      <c r="AM94" s="2">
        <f>IFERROR(S94/D94,"")</f>
        <v/>
      </c>
      <c r="AN94" s="2">
        <f>IFERROR(T94/E94,"")</f>
        <v/>
      </c>
      <c r="AO94" s="2">
        <f>IFERROR(U94/F94,"")</f>
        <v/>
      </c>
    </row>
    <row r="95">
      <c r="B95">
        <f>IF($A95="","",IFERROR(INDEX('[AQ_2020.xlsx]原始数据'!$B:$B,MATCH($A95,'[AQ_2020.xlsx]原始数据'!$A:$A,0)),""))</f>
        <v/>
      </c>
      <c r="C95">
        <f>IF($A95="","",IFERROR(INDEX('[AQ_2021.xlsx]原始数据'!$B:$B,MATCH($A95,'[AQ_2021.xlsx]原始数据'!$A:$A,0)),""))</f>
        <v/>
      </c>
      <c r="D95">
        <f>IF($A95="","",IFERROR(INDEX('[AQ_2022.xlsx]原始数据'!$B:$B,MATCH($A95,'[AQ_2022.xlsx]原始数据'!$A:$A,0)),""))</f>
        <v/>
      </c>
      <c r="E95">
        <f>IF($A95="","",IFERROR(INDEX('[AQ_2023.xlsx]原始数据'!$B:$B,MATCH($A95,'[AQ_2023.xlsx]原始数据'!$A:$A,0)),""))</f>
        <v/>
      </c>
      <c r="F95">
        <f>IF($A95="","",IFERROR(INDEX('[AQ_2024.xlsx]原始数据'!$B:$B,MATCH($A95,'[AQ_2024.xlsx]原始数据'!$A:$A,0)),""))</f>
        <v/>
      </c>
      <c r="G95">
        <f>IF($A95="","",IFERROR(INDEX('[AQ_2020.xlsx]原始数据'!$C:$C,MATCH($A95,'[AQ_2020.xlsx]原始数据'!$A:$A,0)),""))</f>
        <v/>
      </c>
      <c r="H95">
        <f>IF($A95="","",IFERROR(INDEX('[AQ_2021.xlsx]原始数据'!$C:$C,MATCH($A95,'[AQ_2021.xlsx]原始数据'!$A:$A,0)),""))</f>
        <v/>
      </c>
      <c r="I95">
        <f>IF($A95="","",IFERROR(INDEX('[AQ_2022.xlsx]原始数据'!$C:$C,MATCH($A95,'[AQ_2022.xlsx]原始数据'!$A:$A,0)),""))</f>
        <v/>
      </c>
      <c r="J95">
        <f>IF($A95="","",IFERROR(INDEX('[AQ_2023.xlsx]原始数据'!$C:$C,MATCH($A95,'[AQ_2023.xlsx]原始数据'!$A:$A,0)),""))</f>
        <v/>
      </c>
      <c r="K95">
        <f>IF($A95="","",IFERROR(INDEX('[AQ_2024.xlsx]原始数据'!$C:$C,MATCH($A95,'[AQ_2024.xlsx]原始数据'!$A:$A,0)),""))</f>
        <v/>
      </c>
      <c r="L95">
        <f>IF($A95="","",IFERROR(INDEX('[AQ_2020.xlsx]原始数据'!$D:$D,MATCH($A95,'[AQ_2020.xlsx]原始数据'!$A:$A,0)),""))</f>
        <v/>
      </c>
      <c r="M95">
        <f>IF($A95="","",IFERROR(INDEX('[AQ_2021.xlsx]原始数据'!$D:$D,MATCH($A95,'[AQ_2021.xlsx]原始数据'!$A:$A,0)),""))</f>
        <v/>
      </c>
      <c r="N95">
        <f>IF($A95="","",IFERROR(INDEX('[AQ_2022.xlsx]原始数据'!$D:$D,MATCH($A95,'[AQ_2022.xlsx]原始数据'!$A:$A,0)),""))</f>
        <v/>
      </c>
      <c r="O95">
        <f>IF($A95="","",IFERROR(INDEX('[AQ_2023.xlsx]原始数据'!$D:$D,MATCH($A95,'[AQ_2023.xlsx]原始数据'!$A:$A,0)),""))</f>
        <v/>
      </c>
      <c r="P95">
        <f>IF($A95="","",IFERROR(INDEX('[AQ_2024.xlsx]原始数据'!$D:$D,MATCH($A95,'[AQ_2024.xlsx]原始数据'!$A:$A,0)),""))</f>
        <v/>
      </c>
      <c r="Q95">
        <f>IF($A95="","",IFERROR(INDEX('[AQ_2020.xlsx]原始数据'!$E:$E,MATCH($A95,'[AQ_2020.xlsx]原始数据'!$A:$A,0)),""))</f>
        <v/>
      </c>
      <c r="R95">
        <f>IF($A95="","",IFERROR(INDEX('[AQ_2021.xlsx]原始数据'!$E:$E,MATCH($A95,'[AQ_2021.xlsx]原始数据'!$A:$A,0)),""))</f>
        <v/>
      </c>
      <c r="S95">
        <f>IF($A95="","",IFERROR(INDEX('[AQ_2022.xlsx]原始数据'!$E:$E,MATCH($A95,'[AQ_2022.xlsx]原始数据'!$A:$A,0)),""))</f>
        <v/>
      </c>
      <c r="T95">
        <f>IF($A95="","",IFERROR(INDEX('[AQ_2023.xlsx]原始数据'!$E:$E,MATCH($A95,'[AQ_2023.xlsx]原始数据'!$A:$A,0)),""))</f>
        <v/>
      </c>
      <c r="U95">
        <f>IF($A95="","",IFERROR(INDEX('[AQ_2024.xlsx]原始数据'!$E:$E,MATCH($A95,'[AQ_2024.xlsx]原始数据'!$A:$A,0)),""))</f>
        <v/>
      </c>
      <c r="V95">
        <f>IF($A95="","",IFERROR(INDEX('[AQ_2020.xlsx]原始数据'!$F:$F,MATCH($A95,'[AQ_2020.xlsx]原始数据'!$A:$A,0)),""))</f>
        <v/>
      </c>
      <c r="W95">
        <f>IF($A95="","",IFERROR(INDEX('[AQ_2021.xlsx]原始数据'!$F:$F,MATCH($A95,'[AQ_2021.xlsx]原始数据'!$A:$A,0)),""))</f>
        <v/>
      </c>
      <c r="X95">
        <f>IF($A95="","",IFERROR(INDEX('[AQ_2022.xlsx]原始数据'!$F:$F,MATCH($A95,'[AQ_2022.xlsx]原始数据'!$A:$A,0)),""))</f>
        <v/>
      </c>
      <c r="Y95">
        <f>IF($A95="","",IFERROR(INDEX('[AQ_2023.xlsx]原始数据'!$F:$F,MATCH($A95,'[AQ_2023.xlsx]原始数据'!$A:$A,0)),""))</f>
        <v/>
      </c>
      <c r="Z95">
        <f>IF($A95="","",IFERROR(INDEX('[AQ_2024.xlsx]原始数据'!$F:$F,MATCH($A95,'[AQ_2024.xlsx]原始数据'!$A:$A,0)),""))</f>
        <v/>
      </c>
      <c r="AA95" s="2">
        <f>IFERROR(G95/B95,"")</f>
        <v/>
      </c>
      <c r="AB95" s="2">
        <f>IFERROR(H95/C95,"")</f>
        <v/>
      </c>
      <c r="AC95" s="2">
        <f>IFERROR(I95/D95,"")</f>
        <v/>
      </c>
      <c r="AD95" s="2">
        <f>IFERROR(J95/E95,"")</f>
        <v/>
      </c>
      <c r="AE95" s="2">
        <f>IFERROR(K95/F95,"")</f>
        <v/>
      </c>
      <c r="AF95" s="2">
        <f>IFERROR(L95/B95,"")</f>
        <v/>
      </c>
      <c r="AG95" s="2">
        <f>IFERROR(M95/C95,"")</f>
        <v/>
      </c>
      <c r="AH95" s="2">
        <f>IFERROR(N95/D95,"")</f>
        <v/>
      </c>
      <c r="AI95" s="2">
        <f>IFERROR(O95/E95,"")</f>
        <v/>
      </c>
      <c r="AJ95" s="2">
        <f>IFERROR(P95/F95,"")</f>
        <v/>
      </c>
      <c r="AK95" s="2">
        <f>IFERROR(Q95/B95,"")</f>
        <v/>
      </c>
      <c r="AL95" s="2">
        <f>IFERROR(R95/C95,"")</f>
        <v/>
      </c>
      <c r="AM95" s="2">
        <f>IFERROR(S95/D95,"")</f>
        <v/>
      </c>
      <c r="AN95" s="2">
        <f>IFERROR(T95/E95,"")</f>
        <v/>
      </c>
      <c r="AO95" s="2">
        <f>IFERROR(U95/F95,"")</f>
        <v/>
      </c>
    </row>
    <row r="96">
      <c r="B96">
        <f>IF($A96="","",IFERROR(INDEX('[AQ_2020.xlsx]原始数据'!$B:$B,MATCH($A96,'[AQ_2020.xlsx]原始数据'!$A:$A,0)),""))</f>
        <v/>
      </c>
      <c r="C96">
        <f>IF($A96="","",IFERROR(INDEX('[AQ_2021.xlsx]原始数据'!$B:$B,MATCH($A96,'[AQ_2021.xlsx]原始数据'!$A:$A,0)),""))</f>
        <v/>
      </c>
      <c r="D96">
        <f>IF($A96="","",IFERROR(INDEX('[AQ_2022.xlsx]原始数据'!$B:$B,MATCH($A96,'[AQ_2022.xlsx]原始数据'!$A:$A,0)),""))</f>
        <v/>
      </c>
      <c r="E96">
        <f>IF($A96="","",IFERROR(INDEX('[AQ_2023.xlsx]原始数据'!$B:$B,MATCH($A96,'[AQ_2023.xlsx]原始数据'!$A:$A,0)),""))</f>
        <v/>
      </c>
      <c r="F96">
        <f>IF($A96="","",IFERROR(INDEX('[AQ_2024.xlsx]原始数据'!$B:$B,MATCH($A96,'[AQ_2024.xlsx]原始数据'!$A:$A,0)),""))</f>
        <v/>
      </c>
      <c r="G96">
        <f>IF($A96="","",IFERROR(INDEX('[AQ_2020.xlsx]原始数据'!$C:$C,MATCH($A96,'[AQ_2020.xlsx]原始数据'!$A:$A,0)),""))</f>
        <v/>
      </c>
      <c r="H96">
        <f>IF($A96="","",IFERROR(INDEX('[AQ_2021.xlsx]原始数据'!$C:$C,MATCH($A96,'[AQ_2021.xlsx]原始数据'!$A:$A,0)),""))</f>
        <v/>
      </c>
      <c r="I96">
        <f>IF($A96="","",IFERROR(INDEX('[AQ_2022.xlsx]原始数据'!$C:$C,MATCH($A96,'[AQ_2022.xlsx]原始数据'!$A:$A,0)),""))</f>
        <v/>
      </c>
      <c r="J96">
        <f>IF($A96="","",IFERROR(INDEX('[AQ_2023.xlsx]原始数据'!$C:$C,MATCH($A96,'[AQ_2023.xlsx]原始数据'!$A:$A,0)),""))</f>
        <v/>
      </c>
      <c r="K96">
        <f>IF($A96="","",IFERROR(INDEX('[AQ_2024.xlsx]原始数据'!$C:$C,MATCH($A96,'[AQ_2024.xlsx]原始数据'!$A:$A,0)),""))</f>
        <v/>
      </c>
      <c r="L96">
        <f>IF($A96="","",IFERROR(INDEX('[AQ_2020.xlsx]原始数据'!$D:$D,MATCH($A96,'[AQ_2020.xlsx]原始数据'!$A:$A,0)),""))</f>
        <v/>
      </c>
      <c r="M96">
        <f>IF($A96="","",IFERROR(INDEX('[AQ_2021.xlsx]原始数据'!$D:$D,MATCH($A96,'[AQ_2021.xlsx]原始数据'!$A:$A,0)),""))</f>
        <v/>
      </c>
      <c r="N96">
        <f>IF($A96="","",IFERROR(INDEX('[AQ_2022.xlsx]原始数据'!$D:$D,MATCH($A96,'[AQ_2022.xlsx]原始数据'!$A:$A,0)),""))</f>
        <v/>
      </c>
      <c r="O96">
        <f>IF($A96="","",IFERROR(INDEX('[AQ_2023.xlsx]原始数据'!$D:$D,MATCH($A96,'[AQ_2023.xlsx]原始数据'!$A:$A,0)),""))</f>
        <v/>
      </c>
      <c r="P96">
        <f>IF($A96="","",IFERROR(INDEX('[AQ_2024.xlsx]原始数据'!$D:$D,MATCH($A96,'[AQ_2024.xlsx]原始数据'!$A:$A,0)),""))</f>
        <v/>
      </c>
      <c r="Q96">
        <f>IF($A96="","",IFERROR(INDEX('[AQ_2020.xlsx]原始数据'!$E:$E,MATCH($A96,'[AQ_2020.xlsx]原始数据'!$A:$A,0)),""))</f>
        <v/>
      </c>
      <c r="R96">
        <f>IF($A96="","",IFERROR(INDEX('[AQ_2021.xlsx]原始数据'!$E:$E,MATCH($A96,'[AQ_2021.xlsx]原始数据'!$A:$A,0)),""))</f>
        <v/>
      </c>
      <c r="S96">
        <f>IF($A96="","",IFERROR(INDEX('[AQ_2022.xlsx]原始数据'!$E:$E,MATCH($A96,'[AQ_2022.xlsx]原始数据'!$A:$A,0)),""))</f>
        <v/>
      </c>
      <c r="T96">
        <f>IF($A96="","",IFERROR(INDEX('[AQ_2023.xlsx]原始数据'!$E:$E,MATCH($A96,'[AQ_2023.xlsx]原始数据'!$A:$A,0)),""))</f>
        <v/>
      </c>
      <c r="U96">
        <f>IF($A96="","",IFERROR(INDEX('[AQ_2024.xlsx]原始数据'!$E:$E,MATCH($A96,'[AQ_2024.xlsx]原始数据'!$A:$A,0)),""))</f>
        <v/>
      </c>
      <c r="V96">
        <f>IF($A96="","",IFERROR(INDEX('[AQ_2020.xlsx]原始数据'!$F:$F,MATCH($A96,'[AQ_2020.xlsx]原始数据'!$A:$A,0)),""))</f>
        <v/>
      </c>
      <c r="W96">
        <f>IF($A96="","",IFERROR(INDEX('[AQ_2021.xlsx]原始数据'!$F:$F,MATCH($A96,'[AQ_2021.xlsx]原始数据'!$A:$A,0)),""))</f>
        <v/>
      </c>
      <c r="X96">
        <f>IF($A96="","",IFERROR(INDEX('[AQ_2022.xlsx]原始数据'!$F:$F,MATCH($A96,'[AQ_2022.xlsx]原始数据'!$A:$A,0)),""))</f>
        <v/>
      </c>
      <c r="Y96">
        <f>IF($A96="","",IFERROR(INDEX('[AQ_2023.xlsx]原始数据'!$F:$F,MATCH($A96,'[AQ_2023.xlsx]原始数据'!$A:$A,0)),""))</f>
        <v/>
      </c>
      <c r="Z96">
        <f>IF($A96="","",IFERROR(INDEX('[AQ_2024.xlsx]原始数据'!$F:$F,MATCH($A96,'[AQ_2024.xlsx]原始数据'!$A:$A,0)),""))</f>
        <v/>
      </c>
      <c r="AA96" s="2">
        <f>IFERROR(G96/B96,"")</f>
        <v/>
      </c>
      <c r="AB96" s="2">
        <f>IFERROR(H96/C96,"")</f>
        <v/>
      </c>
      <c r="AC96" s="2">
        <f>IFERROR(I96/D96,"")</f>
        <v/>
      </c>
      <c r="AD96" s="2">
        <f>IFERROR(J96/E96,"")</f>
        <v/>
      </c>
      <c r="AE96" s="2">
        <f>IFERROR(K96/F96,"")</f>
        <v/>
      </c>
      <c r="AF96" s="2">
        <f>IFERROR(L96/B96,"")</f>
        <v/>
      </c>
      <c r="AG96" s="2">
        <f>IFERROR(M96/C96,"")</f>
        <v/>
      </c>
      <c r="AH96" s="2">
        <f>IFERROR(N96/D96,"")</f>
        <v/>
      </c>
      <c r="AI96" s="2">
        <f>IFERROR(O96/E96,"")</f>
        <v/>
      </c>
      <c r="AJ96" s="2">
        <f>IFERROR(P96/F96,"")</f>
        <v/>
      </c>
      <c r="AK96" s="2">
        <f>IFERROR(Q96/B96,"")</f>
        <v/>
      </c>
      <c r="AL96" s="2">
        <f>IFERROR(R96/C96,"")</f>
        <v/>
      </c>
      <c r="AM96" s="2">
        <f>IFERROR(S96/D96,"")</f>
        <v/>
      </c>
      <c r="AN96" s="2">
        <f>IFERROR(T96/E96,"")</f>
        <v/>
      </c>
      <c r="AO96" s="2">
        <f>IFERROR(U96/F96,"")</f>
        <v/>
      </c>
    </row>
    <row r="97">
      <c r="B97">
        <f>IF($A97="","",IFERROR(INDEX('[AQ_2020.xlsx]原始数据'!$B:$B,MATCH($A97,'[AQ_2020.xlsx]原始数据'!$A:$A,0)),""))</f>
        <v/>
      </c>
      <c r="C97">
        <f>IF($A97="","",IFERROR(INDEX('[AQ_2021.xlsx]原始数据'!$B:$B,MATCH($A97,'[AQ_2021.xlsx]原始数据'!$A:$A,0)),""))</f>
        <v/>
      </c>
      <c r="D97">
        <f>IF($A97="","",IFERROR(INDEX('[AQ_2022.xlsx]原始数据'!$B:$B,MATCH($A97,'[AQ_2022.xlsx]原始数据'!$A:$A,0)),""))</f>
        <v/>
      </c>
      <c r="E97">
        <f>IF($A97="","",IFERROR(INDEX('[AQ_2023.xlsx]原始数据'!$B:$B,MATCH($A97,'[AQ_2023.xlsx]原始数据'!$A:$A,0)),""))</f>
        <v/>
      </c>
      <c r="F97">
        <f>IF($A97="","",IFERROR(INDEX('[AQ_2024.xlsx]原始数据'!$B:$B,MATCH($A97,'[AQ_2024.xlsx]原始数据'!$A:$A,0)),""))</f>
        <v/>
      </c>
      <c r="G97">
        <f>IF($A97="","",IFERROR(INDEX('[AQ_2020.xlsx]原始数据'!$C:$C,MATCH($A97,'[AQ_2020.xlsx]原始数据'!$A:$A,0)),""))</f>
        <v/>
      </c>
      <c r="H97">
        <f>IF($A97="","",IFERROR(INDEX('[AQ_2021.xlsx]原始数据'!$C:$C,MATCH($A97,'[AQ_2021.xlsx]原始数据'!$A:$A,0)),""))</f>
        <v/>
      </c>
      <c r="I97">
        <f>IF($A97="","",IFERROR(INDEX('[AQ_2022.xlsx]原始数据'!$C:$C,MATCH($A97,'[AQ_2022.xlsx]原始数据'!$A:$A,0)),""))</f>
        <v/>
      </c>
      <c r="J97">
        <f>IF($A97="","",IFERROR(INDEX('[AQ_2023.xlsx]原始数据'!$C:$C,MATCH($A97,'[AQ_2023.xlsx]原始数据'!$A:$A,0)),""))</f>
        <v/>
      </c>
      <c r="K97">
        <f>IF($A97="","",IFERROR(INDEX('[AQ_2024.xlsx]原始数据'!$C:$C,MATCH($A97,'[AQ_2024.xlsx]原始数据'!$A:$A,0)),""))</f>
        <v/>
      </c>
      <c r="L97">
        <f>IF($A97="","",IFERROR(INDEX('[AQ_2020.xlsx]原始数据'!$D:$D,MATCH($A97,'[AQ_2020.xlsx]原始数据'!$A:$A,0)),""))</f>
        <v/>
      </c>
      <c r="M97">
        <f>IF($A97="","",IFERROR(INDEX('[AQ_2021.xlsx]原始数据'!$D:$D,MATCH($A97,'[AQ_2021.xlsx]原始数据'!$A:$A,0)),""))</f>
        <v/>
      </c>
      <c r="N97">
        <f>IF($A97="","",IFERROR(INDEX('[AQ_2022.xlsx]原始数据'!$D:$D,MATCH($A97,'[AQ_2022.xlsx]原始数据'!$A:$A,0)),""))</f>
        <v/>
      </c>
      <c r="O97">
        <f>IF($A97="","",IFERROR(INDEX('[AQ_2023.xlsx]原始数据'!$D:$D,MATCH($A97,'[AQ_2023.xlsx]原始数据'!$A:$A,0)),""))</f>
        <v/>
      </c>
      <c r="P97">
        <f>IF($A97="","",IFERROR(INDEX('[AQ_2024.xlsx]原始数据'!$D:$D,MATCH($A97,'[AQ_2024.xlsx]原始数据'!$A:$A,0)),""))</f>
        <v/>
      </c>
      <c r="Q97">
        <f>IF($A97="","",IFERROR(INDEX('[AQ_2020.xlsx]原始数据'!$E:$E,MATCH($A97,'[AQ_2020.xlsx]原始数据'!$A:$A,0)),""))</f>
        <v/>
      </c>
      <c r="R97">
        <f>IF($A97="","",IFERROR(INDEX('[AQ_2021.xlsx]原始数据'!$E:$E,MATCH($A97,'[AQ_2021.xlsx]原始数据'!$A:$A,0)),""))</f>
        <v/>
      </c>
      <c r="S97">
        <f>IF($A97="","",IFERROR(INDEX('[AQ_2022.xlsx]原始数据'!$E:$E,MATCH($A97,'[AQ_2022.xlsx]原始数据'!$A:$A,0)),""))</f>
        <v/>
      </c>
      <c r="T97">
        <f>IF($A97="","",IFERROR(INDEX('[AQ_2023.xlsx]原始数据'!$E:$E,MATCH($A97,'[AQ_2023.xlsx]原始数据'!$A:$A,0)),""))</f>
        <v/>
      </c>
      <c r="U97">
        <f>IF($A97="","",IFERROR(INDEX('[AQ_2024.xlsx]原始数据'!$E:$E,MATCH($A97,'[AQ_2024.xlsx]原始数据'!$A:$A,0)),""))</f>
        <v/>
      </c>
      <c r="V97">
        <f>IF($A97="","",IFERROR(INDEX('[AQ_2020.xlsx]原始数据'!$F:$F,MATCH($A97,'[AQ_2020.xlsx]原始数据'!$A:$A,0)),""))</f>
        <v/>
      </c>
      <c r="W97">
        <f>IF($A97="","",IFERROR(INDEX('[AQ_2021.xlsx]原始数据'!$F:$F,MATCH($A97,'[AQ_2021.xlsx]原始数据'!$A:$A,0)),""))</f>
        <v/>
      </c>
      <c r="X97">
        <f>IF($A97="","",IFERROR(INDEX('[AQ_2022.xlsx]原始数据'!$F:$F,MATCH($A97,'[AQ_2022.xlsx]原始数据'!$A:$A,0)),""))</f>
        <v/>
      </c>
      <c r="Y97">
        <f>IF($A97="","",IFERROR(INDEX('[AQ_2023.xlsx]原始数据'!$F:$F,MATCH($A97,'[AQ_2023.xlsx]原始数据'!$A:$A,0)),""))</f>
        <v/>
      </c>
      <c r="Z97">
        <f>IF($A97="","",IFERROR(INDEX('[AQ_2024.xlsx]原始数据'!$F:$F,MATCH($A97,'[AQ_2024.xlsx]原始数据'!$A:$A,0)),""))</f>
        <v/>
      </c>
      <c r="AA97" s="2">
        <f>IFERROR(G97/B97,"")</f>
        <v/>
      </c>
      <c r="AB97" s="2">
        <f>IFERROR(H97/C97,"")</f>
        <v/>
      </c>
      <c r="AC97" s="2">
        <f>IFERROR(I97/D97,"")</f>
        <v/>
      </c>
      <c r="AD97" s="2">
        <f>IFERROR(J97/E97,"")</f>
        <v/>
      </c>
      <c r="AE97" s="2">
        <f>IFERROR(K97/F97,"")</f>
        <v/>
      </c>
      <c r="AF97" s="2">
        <f>IFERROR(L97/B97,"")</f>
        <v/>
      </c>
      <c r="AG97" s="2">
        <f>IFERROR(M97/C97,"")</f>
        <v/>
      </c>
      <c r="AH97" s="2">
        <f>IFERROR(N97/D97,"")</f>
        <v/>
      </c>
      <c r="AI97" s="2">
        <f>IFERROR(O97/E97,"")</f>
        <v/>
      </c>
      <c r="AJ97" s="2">
        <f>IFERROR(P97/F97,"")</f>
        <v/>
      </c>
      <c r="AK97" s="2">
        <f>IFERROR(Q97/B97,"")</f>
        <v/>
      </c>
      <c r="AL97" s="2">
        <f>IFERROR(R97/C97,"")</f>
        <v/>
      </c>
      <c r="AM97" s="2">
        <f>IFERROR(S97/D97,"")</f>
        <v/>
      </c>
      <c r="AN97" s="2">
        <f>IFERROR(T97/E97,"")</f>
        <v/>
      </c>
      <c r="AO97" s="2">
        <f>IFERROR(U97/F97,"")</f>
        <v/>
      </c>
    </row>
    <row r="98">
      <c r="B98">
        <f>IF($A98="","",IFERROR(INDEX('[AQ_2020.xlsx]原始数据'!$B:$B,MATCH($A98,'[AQ_2020.xlsx]原始数据'!$A:$A,0)),""))</f>
        <v/>
      </c>
      <c r="C98">
        <f>IF($A98="","",IFERROR(INDEX('[AQ_2021.xlsx]原始数据'!$B:$B,MATCH($A98,'[AQ_2021.xlsx]原始数据'!$A:$A,0)),""))</f>
        <v/>
      </c>
      <c r="D98">
        <f>IF($A98="","",IFERROR(INDEX('[AQ_2022.xlsx]原始数据'!$B:$B,MATCH($A98,'[AQ_2022.xlsx]原始数据'!$A:$A,0)),""))</f>
        <v/>
      </c>
      <c r="E98">
        <f>IF($A98="","",IFERROR(INDEX('[AQ_2023.xlsx]原始数据'!$B:$B,MATCH($A98,'[AQ_2023.xlsx]原始数据'!$A:$A,0)),""))</f>
        <v/>
      </c>
      <c r="F98">
        <f>IF($A98="","",IFERROR(INDEX('[AQ_2024.xlsx]原始数据'!$B:$B,MATCH($A98,'[AQ_2024.xlsx]原始数据'!$A:$A,0)),""))</f>
        <v/>
      </c>
      <c r="G98">
        <f>IF($A98="","",IFERROR(INDEX('[AQ_2020.xlsx]原始数据'!$C:$C,MATCH($A98,'[AQ_2020.xlsx]原始数据'!$A:$A,0)),""))</f>
        <v/>
      </c>
      <c r="H98">
        <f>IF($A98="","",IFERROR(INDEX('[AQ_2021.xlsx]原始数据'!$C:$C,MATCH($A98,'[AQ_2021.xlsx]原始数据'!$A:$A,0)),""))</f>
        <v/>
      </c>
      <c r="I98">
        <f>IF($A98="","",IFERROR(INDEX('[AQ_2022.xlsx]原始数据'!$C:$C,MATCH($A98,'[AQ_2022.xlsx]原始数据'!$A:$A,0)),""))</f>
        <v/>
      </c>
      <c r="J98">
        <f>IF($A98="","",IFERROR(INDEX('[AQ_2023.xlsx]原始数据'!$C:$C,MATCH($A98,'[AQ_2023.xlsx]原始数据'!$A:$A,0)),""))</f>
        <v/>
      </c>
      <c r="K98">
        <f>IF($A98="","",IFERROR(INDEX('[AQ_2024.xlsx]原始数据'!$C:$C,MATCH($A98,'[AQ_2024.xlsx]原始数据'!$A:$A,0)),""))</f>
        <v/>
      </c>
      <c r="L98">
        <f>IF($A98="","",IFERROR(INDEX('[AQ_2020.xlsx]原始数据'!$D:$D,MATCH($A98,'[AQ_2020.xlsx]原始数据'!$A:$A,0)),""))</f>
        <v/>
      </c>
      <c r="M98">
        <f>IF($A98="","",IFERROR(INDEX('[AQ_2021.xlsx]原始数据'!$D:$D,MATCH($A98,'[AQ_2021.xlsx]原始数据'!$A:$A,0)),""))</f>
        <v/>
      </c>
      <c r="N98">
        <f>IF($A98="","",IFERROR(INDEX('[AQ_2022.xlsx]原始数据'!$D:$D,MATCH($A98,'[AQ_2022.xlsx]原始数据'!$A:$A,0)),""))</f>
        <v/>
      </c>
      <c r="O98">
        <f>IF($A98="","",IFERROR(INDEX('[AQ_2023.xlsx]原始数据'!$D:$D,MATCH($A98,'[AQ_2023.xlsx]原始数据'!$A:$A,0)),""))</f>
        <v/>
      </c>
      <c r="P98">
        <f>IF($A98="","",IFERROR(INDEX('[AQ_2024.xlsx]原始数据'!$D:$D,MATCH($A98,'[AQ_2024.xlsx]原始数据'!$A:$A,0)),""))</f>
        <v/>
      </c>
      <c r="Q98">
        <f>IF($A98="","",IFERROR(INDEX('[AQ_2020.xlsx]原始数据'!$E:$E,MATCH($A98,'[AQ_2020.xlsx]原始数据'!$A:$A,0)),""))</f>
        <v/>
      </c>
      <c r="R98">
        <f>IF($A98="","",IFERROR(INDEX('[AQ_2021.xlsx]原始数据'!$E:$E,MATCH($A98,'[AQ_2021.xlsx]原始数据'!$A:$A,0)),""))</f>
        <v/>
      </c>
      <c r="S98">
        <f>IF($A98="","",IFERROR(INDEX('[AQ_2022.xlsx]原始数据'!$E:$E,MATCH($A98,'[AQ_2022.xlsx]原始数据'!$A:$A,0)),""))</f>
        <v/>
      </c>
      <c r="T98">
        <f>IF($A98="","",IFERROR(INDEX('[AQ_2023.xlsx]原始数据'!$E:$E,MATCH($A98,'[AQ_2023.xlsx]原始数据'!$A:$A,0)),""))</f>
        <v/>
      </c>
      <c r="U98">
        <f>IF($A98="","",IFERROR(INDEX('[AQ_2024.xlsx]原始数据'!$E:$E,MATCH($A98,'[AQ_2024.xlsx]原始数据'!$A:$A,0)),""))</f>
        <v/>
      </c>
      <c r="V98">
        <f>IF($A98="","",IFERROR(INDEX('[AQ_2020.xlsx]原始数据'!$F:$F,MATCH($A98,'[AQ_2020.xlsx]原始数据'!$A:$A,0)),""))</f>
        <v/>
      </c>
      <c r="W98">
        <f>IF($A98="","",IFERROR(INDEX('[AQ_2021.xlsx]原始数据'!$F:$F,MATCH($A98,'[AQ_2021.xlsx]原始数据'!$A:$A,0)),""))</f>
        <v/>
      </c>
      <c r="X98">
        <f>IF($A98="","",IFERROR(INDEX('[AQ_2022.xlsx]原始数据'!$F:$F,MATCH($A98,'[AQ_2022.xlsx]原始数据'!$A:$A,0)),""))</f>
        <v/>
      </c>
      <c r="Y98">
        <f>IF($A98="","",IFERROR(INDEX('[AQ_2023.xlsx]原始数据'!$F:$F,MATCH($A98,'[AQ_2023.xlsx]原始数据'!$A:$A,0)),""))</f>
        <v/>
      </c>
      <c r="Z98">
        <f>IF($A98="","",IFERROR(INDEX('[AQ_2024.xlsx]原始数据'!$F:$F,MATCH($A98,'[AQ_2024.xlsx]原始数据'!$A:$A,0)),""))</f>
        <v/>
      </c>
      <c r="AA98" s="2">
        <f>IFERROR(G98/B98,"")</f>
        <v/>
      </c>
      <c r="AB98" s="2">
        <f>IFERROR(H98/C98,"")</f>
        <v/>
      </c>
      <c r="AC98" s="2">
        <f>IFERROR(I98/D98,"")</f>
        <v/>
      </c>
      <c r="AD98" s="2">
        <f>IFERROR(J98/E98,"")</f>
        <v/>
      </c>
      <c r="AE98" s="2">
        <f>IFERROR(K98/F98,"")</f>
        <v/>
      </c>
      <c r="AF98" s="2">
        <f>IFERROR(L98/B98,"")</f>
        <v/>
      </c>
      <c r="AG98" s="2">
        <f>IFERROR(M98/C98,"")</f>
        <v/>
      </c>
      <c r="AH98" s="2">
        <f>IFERROR(N98/D98,"")</f>
        <v/>
      </c>
      <c r="AI98" s="2">
        <f>IFERROR(O98/E98,"")</f>
        <v/>
      </c>
      <c r="AJ98" s="2">
        <f>IFERROR(P98/F98,"")</f>
        <v/>
      </c>
      <c r="AK98" s="2">
        <f>IFERROR(Q98/B98,"")</f>
        <v/>
      </c>
      <c r="AL98" s="2">
        <f>IFERROR(R98/C98,"")</f>
        <v/>
      </c>
      <c r="AM98" s="2">
        <f>IFERROR(S98/D98,"")</f>
        <v/>
      </c>
      <c r="AN98" s="2">
        <f>IFERROR(T98/E98,"")</f>
        <v/>
      </c>
      <c r="AO98" s="2">
        <f>IFERROR(U98/F98,"")</f>
        <v/>
      </c>
    </row>
    <row r="99">
      <c r="B99">
        <f>IF($A99="","",IFERROR(INDEX('[AQ_2020.xlsx]原始数据'!$B:$B,MATCH($A99,'[AQ_2020.xlsx]原始数据'!$A:$A,0)),""))</f>
        <v/>
      </c>
      <c r="C99">
        <f>IF($A99="","",IFERROR(INDEX('[AQ_2021.xlsx]原始数据'!$B:$B,MATCH($A99,'[AQ_2021.xlsx]原始数据'!$A:$A,0)),""))</f>
        <v/>
      </c>
      <c r="D99">
        <f>IF($A99="","",IFERROR(INDEX('[AQ_2022.xlsx]原始数据'!$B:$B,MATCH($A99,'[AQ_2022.xlsx]原始数据'!$A:$A,0)),""))</f>
        <v/>
      </c>
      <c r="E99">
        <f>IF($A99="","",IFERROR(INDEX('[AQ_2023.xlsx]原始数据'!$B:$B,MATCH($A99,'[AQ_2023.xlsx]原始数据'!$A:$A,0)),""))</f>
        <v/>
      </c>
      <c r="F99">
        <f>IF($A99="","",IFERROR(INDEX('[AQ_2024.xlsx]原始数据'!$B:$B,MATCH($A99,'[AQ_2024.xlsx]原始数据'!$A:$A,0)),""))</f>
        <v/>
      </c>
      <c r="G99">
        <f>IF($A99="","",IFERROR(INDEX('[AQ_2020.xlsx]原始数据'!$C:$C,MATCH($A99,'[AQ_2020.xlsx]原始数据'!$A:$A,0)),""))</f>
        <v/>
      </c>
      <c r="H99">
        <f>IF($A99="","",IFERROR(INDEX('[AQ_2021.xlsx]原始数据'!$C:$C,MATCH($A99,'[AQ_2021.xlsx]原始数据'!$A:$A,0)),""))</f>
        <v/>
      </c>
      <c r="I99">
        <f>IF($A99="","",IFERROR(INDEX('[AQ_2022.xlsx]原始数据'!$C:$C,MATCH($A99,'[AQ_2022.xlsx]原始数据'!$A:$A,0)),""))</f>
        <v/>
      </c>
      <c r="J99">
        <f>IF($A99="","",IFERROR(INDEX('[AQ_2023.xlsx]原始数据'!$C:$C,MATCH($A99,'[AQ_2023.xlsx]原始数据'!$A:$A,0)),""))</f>
        <v/>
      </c>
      <c r="K99">
        <f>IF($A99="","",IFERROR(INDEX('[AQ_2024.xlsx]原始数据'!$C:$C,MATCH($A99,'[AQ_2024.xlsx]原始数据'!$A:$A,0)),""))</f>
        <v/>
      </c>
      <c r="L99">
        <f>IF($A99="","",IFERROR(INDEX('[AQ_2020.xlsx]原始数据'!$D:$D,MATCH($A99,'[AQ_2020.xlsx]原始数据'!$A:$A,0)),""))</f>
        <v/>
      </c>
      <c r="M99">
        <f>IF($A99="","",IFERROR(INDEX('[AQ_2021.xlsx]原始数据'!$D:$D,MATCH($A99,'[AQ_2021.xlsx]原始数据'!$A:$A,0)),""))</f>
        <v/>
      </c>
      <c r="N99">
        <f>IF($A99="","",IFERROR(INDEX('[AQ_2022.xlsx]原始数据'!$D:$D,MATCH($A99,'[AQ_2022.xlsx]原始数据'!$A:$A,0)),""))</f>
        <v/>
      </c>
      <c r="O99">
        <f>IF($A99="","",IFERROR(INDEX('[AQ_2023.xlsx]原始数据'!$D:$D,MATCH($A99,'[AQ_2023.xlsx]原始数据'!$A:$A,0)),""))</f>
        <v/>
      </c>
      <c r="P99">
        <f>IF($A99="","",IFERROR(INDEX('[AQ_2024.xlsx]原始数据'!$D:$D,MATCH($A99,'[AQ_2024.xlsx]原始数据'!$A:$A,0)),""))</f>
        <v/>
      </c>
      <c r="Q99">
        <f>IF($A99="","",IFERROR(INDEX('[AQ_2020.xlsx]原始数据'!$E:$E,MATCH($A99,'[AQ_2020.xlsx]原始数据'!$A:$A,0)),""))</f>
        <v/>
      </c>
      <c r="R99">
        <f>IF($A99="","",IFERROR(INDEX('[AQ_2021.xlsx]原始数据'!$E:$E,MATCH($A99,'[AQ_2021.xlsx]原始数据'!$A:$A,0)),""))</f>
        <v/>
      </c>
      <c r="S99">
        <f>IF($A99="","",IFERROR(INDEX('[AQ_2022.xlsx]原始数据'!$E:$E,MATCH($A99,'[AQ_2022.xlsx]原始数据'!$A:$A,0)),""))</f>
        <v/>
      </c>
      <c r="T99">
        <f>IF($A99="","",IFERROR(INDEX('[AQ_2023.xlsx]原始数据'!$E:$E,MATCH($A99,'[AQ_2023.xlsx]原始数据'!$A:$A,0)),""))</f>
        <v/>
      </c>
      <c r="U99">
        <f>IF($A99="","",IFERROR(INDEX('[AQ_2024.xlsx]原始数据'!$E:$E,MATCH($A99,'[AQ_2024.xlsx]原始数据'!$A:$A,0)),""))</f>
        <v/>
      </c>
      <c r="V99">
        <f>IF($A99="","",IFERROR(INDEX('[AQ_2020.xlsx]原始数据'!$F:$F,MATCH($A99,'[AQ_2020.xlsx]原始数据'!$A:$A,0)),""))</f>
        <v/>
      </c>
      <c r="W99">
        <f>IF($A99="","",IFERROR(INDEX('[AQ_2021.xlsx]原始数据'!$F:$F,MATCH($A99,'[AQ_2021.xlsx]原始数据'!$A:$A,0)),""))</f>
        <v/>
      </c>
      <c r="X99">
        <f>IF($A99="","",IFERROR(INDEX('[AQ_2022.xlsx]原始数据'!$F:$F,MATCH($A99,'[AQ_2022.xlsx]原始数据'!$A:$A,0)),""))</f>
        <v/>
      </c>
      <c r="Y99">
        <f>IF($A99="","",IFERROR(INDEX('[AQ_2023.xlsx]原始数据'!$F:$F,MATCH($A99,'[AQ_2023.xlsx]原始数据'!$A:$A,0)),""))</f>
        <v/>
      </c>
      <c r="Z99">
        <f>IF($A99="","",IFERROR(INDEX('[AQ_2024.xlsx]原始数据'!$F:$F,MATCH($A99,'[AQ_2024.xlsx]原始数据'!$A:$A,0)),""))</f>
        <v/>
      </c>
      <c r="AA99" s="2">
        <f>IFERROR(G99/B99,"")</f>
        <v/>
      </c>
      <c r="AB99" s="2">
        <f>IFERROR(H99/C99,"")</f>
        <v/>
      </c>
      <c r="AC99" s="2">
        <f>IFERROR(I99/D99,"")</f>
        <v/>
      </c>
      <c r="AD99" s="2">
        <f>IFERROR(J99/E99,"")</f>
        <v/>
      </c>
      <c r="AE99" s="2">
        <f>IFERROR(K99/F99,"")</f>
        <v/>
      </c>
      <c r="AF99" s="2">
        <f>IFERROR(L99/B99,"")</f>
        <v/>
      </c>
      <c r="AG99" s="2">
        <f>IFERROR(M99/C99,"")</f>
        <v/>
      </c>
      <c r="AH99" s="2">
        <f>IFERROR(N99/D99,"")</f>
        <v/>
      </c>
      <c r="AI99" s="2">
        <f>IFERROR(O99/E99,"")</f>
        <v/>
      </c>
      <c r="AJ99" s="2">
        <f>IFERROR(P99/F99,"")</f>
        <v/>
      </c>
      <c r="AK99" s="2">
        <f>IFERROR(Q99/B99,"")</f>
        <v/>
      </c>
      <c r="AL99" s="2">
        <f>IFERROR(R99/C99,"")</f>
        <v/>
      </c>
      <c r="AM99" s="2">
        <f>IFERROR(S99/D99,"")</f>
        <v/>
      </c>
      <c r="AN99" s="2">
        <f>IFERROR(T99/E99,"")</f>
        <v/>
      </c>
      <c r="AO99" s="2">
        <f>IFERROR(U99/F99,"")</f>
        <v/>
      </c>
    </row>
    <row r="100">
      <c r="B100">
        <f>IF($A100="","",IFERROR(INDEX('[AQ_2020.xlsx]原始数据'!$B:$B,MATCH($A100,'[AQ_2020.xlsx]原始数据'!$A:$A,0)),""))</f>
        <v/>
      </c>
      <c r="C100">
        <f>IF($A100="","",IFERROR(INDEX('[AQ_2021.xlsx]原始数据'!$B:$B,MATCH($A100,'[AQ_2021.xlsx]原始数据'!$A:$A,0)),""))</f>
        <v/>
      </c>
      <c r="D100">
        <f>IF($A100="","",IFERROR(INDEX('[AQ_2022.xlsx]原始数据'!$B:$B,MATCH($A100,'[AQ_2022.xlsx]原始数据'!$A:$A,0)),""))</f>
        <v/>
      </c>
      <c r="E100">
        <f>IF($A100="","",IFERROR(INDEX('[AQ_2023.xlsx]原始数据'!$B:$B,MATCH($A100,'[AQ_2023.xlsx]原始数据'!$A:$A,0)),""))</f>
        <v/>
      </c>
      <c r="F100">
        <f>IF($A100="","",IFERROR(INDEX('[AQ_2024.xlsx]原始数据'!$B:$B,MATCH($A100,'[AQ_2024.xlsx]原始数据'!$A:$A,0)),""))</f>
        <v/>
      </c>
      <c r="G100">
        <f>IF($A100="","",IFERROR(INDEX('[AQ_2020.xlsx]原始数据'!$C:$C,MATCH($A100,'[AQ_2020.xlsx]原始数据'!$A:$A,0)),""))</f>
        <v/>
      </c>
      <c r="H100">
        <f>IF($A100="","",IFERROR(INDEX('[AQ_2021.xlsx]原始数据'!$C:$C,MATCH($A100,'[AQ_2021.xlsx]原始数据'!$A:$A,0)),""))</f>
        <v/>
      </c>
      <c r="I100">
        <f>IF($A100="","",IFERROR(INDEX('[AQ_2022.xlsx]原始数据'!$C:$C,MATCH($A100,'[AQ_2022.xlsx]原始数据'!$A:$A,0)),""))</f>
        <v/>
      </c>
      <c r="J100">
        <f>IF($A100="","",IFERROR(INDEX('[AQ_2023.xlsx]原始数据'!$C:$C,MATCH($A100,'[AQ_2023.xlsx]原始数据'!$A:$A,0)),""))</f>
        <v/>
      </c>
      <c r="K100">
        <f>IF($A100="","",IFERROR(INDEX('[AQ_2024.xlsx]原始数据'!$C:$C,MATCH($A100,'[AQ_2024.xlsx]原始数据'!$A:$A,0)),""))</f>
        <v/>
      </c>
      <c r="L100">
        <f>IF($A100="","",IFERROR(INDEX('[AQ_2020.xlsx]原始数据'!$D:$D,MATCH($A100,'[AQ_2020.xlsx]原始数据'!$A:$A,0)),""))</f>
        <v/>
      </c>
      <c r="M100">
        <f>IF($A100="","",IFERROR(INDEX('[AQ_2021.xlsx]原始数据'!$D:$D,MATCH($A100,'[AQ_2021.xlsx]原始数据'!$A:$A,0)),""))</f>
        <v/>
      </c>
      <c r="N100">
        <f>IF($A100="","",IFERROR(INDEX('[AQ_2022.xlsx]原始数据'!$D:$D,MATCH($A100,'[AQ_2022.xlsx]原始数据'!$A:$A,0)),""))</f>
        <v/>
      </c>
      <c r="O100">
        <f>IF($A100="","",IFERROR(INDEX('[AQ_2023.xlsx]原始数据'!$D:$D,MATCH($A100,'[AQ_2023.xlsx]原始数据'!$A:$A,0)),""))</f>
        <v/>
      </c>
      <c r="P100">
        <f>IF($A100="","",IFERROR(INDEX('[AQ_2024.xlsx]原始数据'!$D:$D,MATCH($A100,'[AQ_2024.xlsx]原始数据'!$A:$A,0)),""))</f>
        <v/>
      </c>
      <c r="Q100">
        <f>IF($A100="","",IFERROR(INDEX('[AQ_2020.xlsx]原始数据'!$E:$E,MATCH($A100,'[AQ_2020.xlsx]原始数据'!$A:$A,0)),""))</f>
        <v/>
      </c>
      <c r="R100">
        <f>IF($A100="","",IFERROR(INDEX('[AQ_2021.xlsx]原始数据'!$E:$E,MATCH($A100,'[AQ_2021.xlsx]原始数据'!$A:$A,0)),""))</f>
        <v/>
      </c>
      <c r="S100">
        <f>IF($A100="","",IFERROR(INDEX('[AQ_2022.xlsx]原始数据'!$E:$E,MATCH($A100,'[AQ_2022.xlsx]原始数据'!$A:$A,0)),""))</f>
        <v/>
      </c>
      <c r="T100">
        <f>IF($A100="","",IFERROR(INDEX('[AQ_2023.xlsx]原始数据'!$E:$E,MATCH($A100,'[AQ_2023.xlsx]原始数据'!$A:$A,0)),""))</f>
        <v/>
      </c>
      <c r="U100">
        <f>IF($A100="","",IFERROR(INDEX('[AQ_2024.xlsx]原始数据'!$E:$E,MATCH($A100,'[AQ_2024.xlsx]原始数据'!$A:$A,0)),""))</f>
        <v/>
      </c>
      <c r="V100">
        <f>IF($A100="","",IFERROR(INDEX('[AQ_2020.xlsx]原始数据'!$F:$F,MATCH($A100,'[AQ_2020.xlsx]原始数据'!$A:$A,0)),""))</f>
        <v/>
      </c>
      <c r="W100">
        <f>IF($A100="","",IFERROR(INDEX('[AQ_2021.xlsx]原始数据'!$F:$F,MATCH($A100,'[AQ_2021.xlsx]原始数据'!$A:$A,0)),""))</f>
        <v/>
      </c>
      <c r="X100">
        <f>IF($A100="","",IFERROR(INDEX('[AQ_2022.xlsx]原始数据'!$F:$F,MATCH($A100,'[AQ_2022.xlsx]原始数据'!$A:$A,0)),""))</f>
        <v/>
      </c>
      <c r="Y100">
        <f>IF($A100="","",IFERROR(INDEX('[AQ_2023.xlsx]原始数据'!$F:$F,MATCH($A100,'[AQ_2023.xlsx]原始数据'!$A:$A,0)),""))</f>
        <v/>
      </c>
      <c r="Z100">
        <f>IF($A100="","",IFERROR(INDEX('[AQ_2024.xlsx]原始数据'!$F:$F,MATCH($A100,'[AQ_2024.xlsx]原始数据'!$A:$A,0)),""))</f>
        <v/>
      </c>
      <c r="AA100" s="2">
        <f>IFERROR(G100/B100,"")</f>
        <v/>
      </c>
      <c r="AB100" s="2">
        <f>IFERROR(H100/C100,"")</f>
        <v/>
      </c>
      <c r="AC100" s="2">
        <f>IFERROR(I100/D100,"")</f>
        <v/>
      </c>
      <c r="AD100" s="2">
        <f>IFERROR(J100/E100,"")</f>
        <v/>
      </c>
      <c r="AE100" s="2">
        <f>IFERROR(K100/F100,"")</f>
        <v/>
      </c>
      <c r="AF100" s="2">
        <f>IFERROR(L100/B100,"")</f>
        <v/>
      </c>
      <c r="AG100" s="2">
        <f>IFERROR(M100/C100,"")</f>
        <v/>
      </c>
      <c r="AH100" s="2">
        <f>IFERROR(N100/D100,"")</f>
        <v/>
      </c>
      <c r="AI100" s="2">
        <f>IFERROR(O100/E100,"")</f>
        <v/>
      </c>
      <c r="AJ100" s="2">
        <f>IFERROR(P100/F100,"")</f>
        <v/>
      </c>
      <c r="AK100" s="2">
        <f>IFERROR(Q100/B100,"")</f>
        <v/>
      </c>
      <c r="AL100" s="2">
        <f>IFERROR(R100/C100,"")</f>
        <v/>
      </c>
      <c r="AM100" s="2">
        <f>IFERROR(S100/D100,"")</f>
        <v/>
      </c>
      <c r="AN100" s="2">
        <f>IFERROR(T100/E100,"")</f>
        <v/>
      </c>
      <c r="AO100" s="2">
        <f>IFERROR(U100/F100,"")</f>
        <v/>
      </c>
    </row>
    <row r="101">
      <c r="B101">
        <f>IF($A101="","",IFERROR(INDEX('[AQ_2020.xlsx]原始数据'!$B:$B,MATCH($A101,'[AQ_2020.xlsx]原始数据'!$A:$A,0)),""))</f>
        <v/>
      </c>
      <c r="C101">
        <f>IF($A101="","",IFERROR(INDEX('[AQ_2021.xlsx]原始数据'!$B:$B,MATCH($A101,'[AQ_2021.xlsx]原始数据'!$A:$A,0)),""))</f>
        <v/>
      </c>
      <c r="D101">
        <f>IF($A101="","",IFERROR(INDEX('[AQ_2022.xlsx]原始数据'!$B:$B,MATCH($A101,'[AQ_2022.xlsx]原始数据'!$A:$A,0)),""))</f>
        <v/>
      </c>
      <c r="E101">
        <f>IF($A101="","",IFERROR(INDEX('[AQ_2023.xlsx]原始数据'!$B:$B,MATCH($A101,'[AQ_2023.xlsx]原始数据'!$A:$A,0)),""))</f>
        <v/>
      </c>
      <c r="F101">
        <f>IF($A101="","",IFERROR(INDEX('[AQ_2024.xlsx]原始数据'!$B:$B,MATCH($A101,'[AQ_2024.xlsx]原始数据'!$A:$A,0)),""))</f>
        <v/>
      </c>
      <c r="G101">
        <f>IF($A101="","",IFERROR(INDEX('[AQ_2020.xlsx]原始数据'!$C:$C,MATCH($A101,'[AQ_2020.xlsx]原始数据'!$A:$A,0)),""))</f>
        <v/>
      </c>
      <c r="H101">
        <f>IF($A101="","",IFERROR(INDEX('[AQ_2021.xlsx]原始数据'!$C:$C,MATCH($A101,'[AQ_2021.xlsx]原始数据'!$A:$A,0)),""))</f>
        <v/>
      </c>
      <c r="I101">
        <f>IF($A101="","",IFERROR(INDEX('[AQ_2022.xlsx]原始数据'!$C:$C,MATCH($A101,'[AQ_2022.xlsx]原始数据'!$A:$A,0)),""))</f>
        <v/>
      </c>
      <c r="J101">
        <f>IF($A101="","",IFERROR(INDEX('[AQ_2023.xlsx]原始数据'!$C:$C,MATCH($A101,'[AQ_2023.xlsx]原始数据'!$A:$A,0)),""))</f>
        <v/>
      </c>
      <c r="K101">
        <f>IF($A101="","",IFERROR(INDEX('[AQ_2024.xlsx]原始数据'!$C:$C,MATCH($A101,'[AQ_2024.xlsx]原始数据'!$A:$A,0)),""))</f>
        <v/>
      </c>
      <c r="L101">
        <f>IF($A101="","",IFERROR(INDEX('[AQ_2020.xlsx]原始数据'!$D:$D,MATCH($A101,'[AQ_2020.xlsx]原始数据'!$A:$A,0)),""))</f>
        <v/>
      </c>
      <c r="M101">
        <f>IF($A101="","",IFERROR(INDEX('[AQ_2021.xlsx]原始数据'!$D:$D,MATCH($A101,'[AQ_2021.xlsx]原始数据'!$A:$A,0)),""))</f>
        <v/>
      </c>
      <c r="N101">
        <f>IF($A101="","",IFERROR(INDEX('[AQ_2022.xlsx]原始数据'!$D:$D,MATCH($A101,'[AQ_2022.xlsx]原始数据'!$A:$A,0)),""))</f>
        <v/>
      </c>
      <c r="O101">
        <f>IF($A101="","",IFERROR(INDEX('[AQ_2023.xlsx]原始数据'!$D:$D,MATCH($A101,'[AQ_2023.xlsx]原始数据'!$A:$A,0)),""))</f>
        <v/>
      </c>
      <c r="P101">
        <f>IF($A101="","",IFERROR(INDEX('[AQ_2024.xlsx]原始数据'!$D:$D,MATCH($A101,'[AQ_2024.xlsx]原始数据'!$A:$A,0)),""))</f>
        <v/>
      </c>
      <c r="Q101">
        <f>IF($A101="","",IFERROR(INDEX('[AQ_2020.xlsx]原始数据'!$E:$E,MATCH($A101,'[AQ_2020.xlsx]原始数据'!$A:$A,0)),""))</f>
        <v/>
      </c>
      <c r="R101">
        <f>IF($A101="","",IFERROR(INDEX('[AQ_2021.xlsx]原始数据'!$E:$E,MATCH($A101,'[AQ_2021.xlsx]原始数据'!$A:$A,0)),""))</f>
        <v/>
      </c>
      <c r="S101">
        <f>IF($A101="","",IFERROR(INDEX('[AQ_2022.xlsx]原始数据'!$E:$E,MATCH($A101,'[AQ_2022.xlsx]原始数据'!$A:$A,0)),""))</f>
        <v/>
      </c>
      <c r="T101">
        <f>IF($A101="","",IFERROR(INDEX('[AQ_2023.xlsx]原始数据'!$E:$E,MATCH($A101,'[AQ_2023.xlsx]原始数据'!$A:$A,0)),""))</f>
        <v/>
      </c>
      <c r="U101">
        <f>IF($A101="","",IFERROR(INDEX('[AQ_2024.xlsx]原始数据'!$E:$E,MATCH($A101,'[AQ_2024.xlsx]原始数据'!$A:$A,0)),""))</f>
        <v/>
      </c>
      <c r="V101">
        <f>IF($A101="","",IFERROR(INDEX('[AQ_2020.xlsx]原始数据'!$F:$F,MATCH($A101,'[AQ_2020.xlsx]原始数据'!$A:$A,0)),""))</f>
        <v/>
      </c>
      <c r="W101">
        <f>IF($A101="","",IFERROR(INDEX('[AQ_2021.xlsx]原始数据'!$F:$F,MATCH($A101,'[AQ_2021.xlsx]原始数据'!$A:$A,0)),""))</f>
        <v/>
      </c>
      <c r="X101">
        <f>IF($A101="","",IFERROR(INDEX('[AQ_2022.xlsx]原始数据'!$F:$F,MATCH($A101,'[AQ_2022.xlsx]原始数据'!$A:$A,0)),""))</f>
        <v/>
      </c>
      <c r="Y101">
        <f>IF($A101="","",IFERROR(INDEX('[AQ_2023.xlsx]原始数据'!$F:$F,MATCH($A101,'[AQ_2023.xlsx]原始数据'!$A:$A,0)),""))</f>
        <v/>
      </c>
      <c r="Z101">
        <f>IF($A101="","",IFERROR(INDEX('[AQ_2024.xlsx]原始数据'!$F:$F,MATCH($A101,'[AQ_2024.xlsx]原始数据'!$A:$A,0)),""))</f>
        <v/>
      </c>
      <c r="AA101" s="2">
        <f>IFERROR(G101/B101,"")</f>
        <v/>
      </c>
      <c r="AB101" s="2">
        <f>IFERROR(H101/C101,"")</f>
        <v/>
      </c>
      <c r="AC101" s="2">
        <f>IFERROR(I101/D101,"")</f>
        <v/>
      </c>
      <c r="AD101" s="2">
        <f>IFERROR(J101/E101,"")</f>
        <v/>
      </c>
      <c r="AE101" s="2">
        <f>IFERROR(K101/F101,"")</f>
        <v/>
      </c>
      <c r="AF101" s="2">
        <f>IFERROR(L101/B101,"")</f>
        <v/>
      </c>
      <c r="AG101" s="2">
        <f>IFERROR(M101/C101,"")</f>
        <v/>
      </c>
      <c r="AH101" s="2">
        <f>IFERROR(N101/D101,"")</f>
        <v/>
      </c>
      <c r="AI101" s="2">
        <f>IFERROR(O101/E101,"")</f>
        <v/>
      </c>
      <c r="AJ101" s="2">
        <f>IFERROR(P101/F101,"")</f>
        <v/>
      </c>
      <c r="AK101" s="2">
        <f>IFERROR(Q101/B101,"")</f>
        <v/>
      </c>
      <c r="AL101" s="2">
        <f>IFERROR(R101/C101,"")</f>
        <v/>
      </c>
      <c r="AM101" s="2">
        <f>IFERROR(S101/D101,"")</f>
        <v/>
      </c>
      <c r="AN101" s="2">
        <f>IFERROR(T101/E101,"")</f>
        <v/>
      </c>
      <c r="AO101" s="2">
        <f>IFERROR(U101/F101,"")</f>
        <v/>
      </c>
    </row>
    <row r="102">
      <c r="B102">
        <f>IF($A102="","",IFERROR(INDEX('[AQ_2020.xlsx]原始数据'!$B:$B,MATCH($A102,'[AQ_2020.xlsx]原始数据'!$A:$A,0)),""))</f>
        <v/>
      </c>
      <c r="C102">
        <f>IF($A102="","",IFERROR(INDEX('[AQ_2021.xlsx]原始数据'!$B:$B,MATCH($A102,'[AQ_2021.xlsx]原始数据'!$A:$A,0)),""))</f>
        <v/>
      </c>
      <c r="D102">
        <f>IF($A102="","",IFERROR(INDEX('[AQ_2022.xlsx]原始数据'!$B:$B,MATCH($A102,'[AQ_2022.xlsx]原始数据'!$A:$A,0)),""))</f>
        <v/>
      </c>
      <c r="E102">
        <f>IF($A102="","",IFERROR(INDEX('[AQ_2023.xlsx]原始数据'!$B:$B,MATCH($A102,'[AQ_2023.xlsx]原始数据'!$A:$A,0)),""))</f>
        <v/>
      </c>
      <c r="F102">
        <f>IF($A102="","",IFERROR(INDEX('[AQ_2024.xlsx]原始数据'!$B:$B,MATCH($A102,'[AQ_2024.xlsx]原始数据'!$A:$A,0)),""))</f>
        <v/>
      </c>
      <c r="G102">
        <f>IF($A102="","",IFERROR(INDEX('[AQ_2020.xlsx]原始数据'!$C:$C,MATCH($A102,'[AQ_2020.xlsx]原始数据'!$A:$A,0)),""))</f>
        <v/>
      </c>
      <c r="H102">
        <f>IF($A102="","",IFERROR(INDEX('[AQ_2021.xlsx]原始数据'!$C:$C,MATCH($A102,'[AQ_2021.xlsx]原始数据'!$A:$A,0)),""))</f>
        <v/>
      </c>
      <c r="I102">
        <f>IF($A102="","",IFERROR(INDEX('[AQ_2022.xlsx]原始数据'!$C:$C,MATCH($A102,'[AQ_2022.xlsx]原始数据'!$A:$A,0)),""))</f>
        <v/>
      </c>
      <c r="J102">
        <f>IF($A102="","",IFERROR(INDEX('[AQ_2023.xlsx]原始数据'!$C:$C,MATCH($A102,'[AQ_2023.xlsx]原始数据'!$A:$A,0)),""))</f>
        <v/>
      </c>
      <c r="K102">
        <f>IF($A102="","",IFERROR(INDEX('[AQ_2024.xlsx]原始数据'!$C:$C,MATCH($A102,'[AQ_2024.xlsx]原始数据'!$A:$A,0)),""))</f>
        <v/>
      </c>
      <c r="L102">
        <f>IF($A102="","",IFERROR(INDEX('[AQ_2020.xlsx]原始数据'!$D:$D,MATCH($A102,'[AQ_2020.xlsx]原始数据'!$A:$A,0)),""))</f>
        <v/>
      </c>
      <c r="M102">
        <f>IF($A102="","",IFERROR(INDEX('[AQ_2021.xlsx]原始数据'!$D:$D,MATCH($A102,'[AQ_2021.xlsx]原始数据'!$A:$A,0)),""))</f>
        <v/>
      </c>
      <c r="N102">
        <f>IF($A102="","",IFERROR(INDEX('[AQ_2022.xlsx]原始数据'!$D:$D,MATCH($A102,'[AQ_2022.xlsx]原始数据'!$A:$A,0)),""))</f>
        <v/>
      </c>
      <c r="O102">
        <f>IF($A102="","",IFERROR(INDEX('[AQ_2023.xlsx]原始数据'!$D:$D,MATCH($A102,'[AQ_2023.xlsx]原始数据'!$A:$A,0)),""))</f>
        <v/>
      </c>
      <c r="P102">
        <f>IF($A102="","",IFERROR(INDEX('[AQ_2024.xlsx]原始数据'!$D:$D,MATCH($A102,'[AQ_2024.xlsx]原始数据'!$A:$A,0)),""))</f>
        <v/>
      </c>
      <c r="Q102">
        <f>IF($A102="","",IFERROR(INDEX('[AQ_2020.xlsx]原始数据'!$E:$E,MATCH($A102,'[AQ_2020.xlsx]原始数据'!$A:$A,0)),""))</f>
        <v/>
      </c>
      <c r="R102">
        <f>IF($A102="","",IFERROR(INDEX('[AQ_2021.xlsx]原始数据'!$E:$E,MATCH($A102,'[AQ_2021.xlsx]原始数据'!$A:$A,0)),""))</f>
        <v/>
      </c>
      <c r="S102">
        <f>IF($A102="","",IFERROR(INDEX('[AQ_2022.xlsx]原始数据'!$E:$E,MATCH($A102,'[AQ_2022.xlsx]原始数据'!$A:$A,0)),""))</f>
        <v/>
      </c>
      <c r="T102">
        <f>IF($A102="","",IFERROR(INDEX('[AQ_2023.xlsx]原始数据'!$E:$E,MATCH($A102,'[AQ_2023.xlsx]原始数据'!$A:$A,0)),""))</f>
        <v/>
      </c>
      <c r="U102">
        <f>IF($A102="","",IFERROR(INDEX('[AQ_2024.xlsx]原始数据'!$E:$E,MATCH($A102,'[AQ_2024.xlsx]原始数据'!$A:$A,0)),""))</f>
        <v/>
      </c>
      <c r="V102">
        <f>IF($A102="","",IFERROR(INDEX('[AQ_2020.xlsx]原始数据'!$F:$F,MATCH($A102,'[AQ_2020.xlsx]原始数据'!$A:$A,0)),""))</f>
        <v/>
      </c>
      <c r="W102">
        <f>IF($A102="","",IFERROR(INDEX('[AQ_2021.xlsx]原始数据'!$F:$F,MATCH($A102,'[AQ_2021.xlsx]原始数据'!$A:$A,0)),""))</f>
        <v/>
      </c>
      <c r="X102">
        <f>IF($A102="","",IFERROR(INDEX('[AQ_2022.xlsx]原始数据'!$F:$F,MATCH($A102,'[AQ_2022.xlsx]原始数据'!$A:$A,0)),""))</f>
        <v/>
      </c>
      <c r="Y102">
        <f>IF($A102="","",IFERROR(INDEX('[AQ_2023.xlsx]原始数据'!$F:$F,MATCH($A102,'[AQ_2023.xlsx]原始数据'!$A:$A,0)),""))</f>
        <v/>
      </c>
      <c r="Z102">
        <f>IF($A102="","",IFERROR(INDEX('[AQ_2024.xlsx]原始数据'!$F:$F,MATCH($A102,'[AQ_2024.xlsx]原始数据'!$A:$A,0)),""))</f>
        <v/>
      </c>
      <c r="AA102" s="2">
        <f>IFERROR(G102/B102,"")</f>
        <v/>
      </c>
      <c r="AB102" s="2">
        <f>IFERROR(H102/C102,"")</f>
        <v/>
      </c>
      <c r="AC102" s="2">
        <f>IFERROR(I102/D102,"")</f>
        <v/>
      </c>
      <c r="AD102" s="2">
        <f>IFERROR(J102/E102,"")</f>
        <v/>
      </c>
      <c r="AE102" s="2">
        <f>IFERROR(K102/F102,"")</f>
        <v/>
      </c>
      <c r="AF102" s="2">
        <f>IFERROR(L102/B102,"")</f>
        <v/>
      </c>
      <c r="AG102" s="2">
        <f>IFERROR(M102/C102,"")</f>
        <v/>
      </c>
      <c r="AH102" s="2">
        <f>IFERROR(N102/D102,"")</f>
        <v/>
      </c>
      <c r="AI102" s="2">
        <f>IFERROR(O102/E102,"")</f>
        <v/>
      </c>
      <c r="AJ102" s="2">
        <f>IFERROR(P102/F102,"")</f>
        <v/>
      </c>
      <c r="AK102" s="2">
        <f>IFERROR(Q102/B102,"")</f>
        <v/>
      </c>
      <c r="AL102" s="2">
        <f>IFERROR(R102/C102,"")</f>
        <v/>
      </c>
      <c r="AM102" s="2">
        <f>IFERROR(S102/D102,"")</f>
        <v/>
      </c>
      <c r="AN102" s="2">
        <f>IFERROR(T102/E102,"")</f>
        <v/>
      </c>
      <c r="AO102" s="2">
        <f>IFERROR(U102/F102,"")</f>
        <v/>
      </c>
    </row>
    <row r="103">
      <c r="B103">
        <f>IF($A103="","",IFERROR(INDEX('[AQ_2020.xlsx]原始数据'!$B:$B,MATCH($A103,'[AQ_2020.xlsx]原始数据'!$A:$A,0)),""))</f>
        <v/>
      </c>
      <c r="C103">
        <f>IF($A103="","",IFERROR(INDEX('[AQ_2021.xlsx]原始数据'!$B:$B,MATCH($A103,'[AQ_2021.xlsx]原始数据'!$A:$A,0)),""))</f>
        <v/>
      </c>
      <c r="D103">
        <f>IF($A103="","",IFERROR(INDEX('[AQ_2022.xlsx]原始数据'!$B:$B,MATCH($A103,'[AQ_2022.xlsx]原始数据'!$A:$A,0)),""))</f>
        <v/>
      </c>
      <c r="E103">
        <f>IF($A103="","",IFERROR(INDEX('[AQ_2023.xlsx]原始数据'!$B:$B,MATCH($A103,'[AQ_2023.xlsx]原始数据'!$A:$A,0)),""))</f>
        <v/>
      </c>
      <c r="F103">
        <f>IF($A103="","",IFERROR(INDEX('[AQ_2024.xlsx]原始数据'!$B:$B,MATCH($A103,'[AQ_2024.xlsx]原始数据'!$A:$A,0)),""))</f>
        <v/>
      </c>
      <c r="G103">
        <f>IF($A103="","",IFERROR(INDEX('[AQ_2020.xlsx]原始数据'!$C:$C,MATCH($A103,'[AQ_2020.xlsx]原始数据'!$A:$A,0)),""))</f>
        <v/>
      </c>
      <c r="H103">
        <f>IF($A103="","",IFERROR(INDEX('[AQ_2021.xlsx]原始数据'!$C:$C,MATCH($A103,'[AQ_2021.xlsx]原始数据'!$A:$A,0)),""))</f>
        <v/>
      </c>
      <c r="I103">
        <f>IF($A103="","",IFERROR(INDEX('[AQ_2022.xlsx]原始数据'!$C:$C,MATCH($A103,'[AQ_2022.xlsx]原始数据'!$A:$A,0)),""))</f>
        <v/>
      </c>
      <c r="J103">
        <f>IF($A103="","",IFERROR(INDEX('[AQ_2023.xlsx]原始数据'!$C:$C,MATCH($A103,'[AQ_2023.xlsx]原始数据'!$A:$A,0)),""))</f>
        <v/>
      </c>
      <c r="K103">
        <f>IF($A103="","",IFERROR(INDEX('[AQ_2024.xlsx]原始数据'!$C:$C,MATCH($A103,'[AQ_2024.xlsx]原始数据'!$A:$A,0)),""))</f>
        <v/>
      </c>
      <c r="L103">
        <f>IF($A103="","",IFERROR(INDEX('[AQ_2020.xlsx]原始数据'!$D:$D,MATCH($A103,'[AQ_2020.xlsx]原始数据'!$A:$A,0)),""))</f>
        <v/>
      </c>
      <c r="M103">
        <f>IF($A103="","",IFERROR(INDEX('[AQ_2021.xlsx]原始数据'!$D:$D,MATCH($A103,'[AQ_2021.xlsx]原始数据'!$A:$A,0)),""))</f>
        <v/>
      </c>
      <c r="N103">
        <f>IF($A103="","",IFERROR(INDEX('[AQ_2022.xlsx]原始数据'!$D:$D,MATCH($A103,'[AQ_2022.xlsx]原始数据'!$A:$A,0)),""))</f>
        <v/>
      </c>
      <c r="O103">
        <f>IF($A103="","",IFERROR(INDEX('[AQ_2023.xlsx]原始数据'!$D:$D,MATCH($A103,'[AQ_2023.xlsx]原始数据'!$A:$A,0)),""))</f>
        <v/>
      </c>
      <c r="P103">
        <f>IF($A103="","",IFERROR(INDEX('[AQ_2024.xlsx]原始数据'!$D:$D,MATCH($A103,'[AQ_2024.xlsx]原始数据'!$A:$A,0)),""))</f>
        <v/>
      </c>
      <c r="Q103">
        <f>IF($A103="","",IFERROR(INDEX('[AQ_2020.xlsx]原始数据'!$E:$E,MATCH($A103,'[AQ_2020.xlsx]原始数据'!$A:$A,0)),""))</f>
        <v/>
      </c>
      <c r="R103">
        <f>IF($A103="","",IFERROR(INDEX('[AQ_2021.xlsx]原始数据'!$E:$E,MATCH($A103,'[AQ_2021.xlsx]原始数据'!$A:$A,0)),""))</f>
        <v/>
      </c>
      <c r="S103">
        <f>IF($A103="","",IFERROR(INDEX('[AQ_2022.xlsx]原始数据'!$E:$E,MATCH($A103,'[AQ_2022.xlsx]原始数据'!$A:$A,0)),""))</f>
        <v/>
      </c>
      <c r="T103">
        <f>IF($A103="","",IFERROR(INDEX('[AQ_2023.xlsx]原始数据'!$E:$E,MATCH($A103,'[AQ_2023.xlsx]原始数据'!$A:$A,0)),""))</f>
        <v/>
      </c>
      <c r="U103">
        <f>IF($A103="","",IFERROR(INDEX('[AQ_2024.xlsx]原始数据'!$E:$E,MATCH($A103,'[AQ_2024.xlsx]原始数据'!$A:$A,0)),""))</f>
        <v/>
      </c>
      <c r="V103">
        <f>IF($A103="","",IFERROR(INDEX('[AQ_2020.xlsx]原始数据'!$F:$F,MATCH($A103,'[AQ_2020.xlsx]原始数据'!$A:$A,0)),""))</f>
        <v/>
      </c>
      <c r="W103">
        <f>IF($A103="","",IFERROR(INDEX('[AQ_2021.xlsx]原始数据'!$F:$F,MATCH($A103,'[AQ_2021.xlsx]原始数据'!$A:$A,0)),""))</f>
        <v/>
      </c>
      <c r="X103">
        <f>IF($A103="","",IFERROR(INDEX('[AQ_2022.xlsx]原始数据'!$F:$F,MATCH($A103,'[AQ_2022.xlsx]原始数据'!$A:$A,0)),""))</f>
        <v/>
      </c>
      <c r="Y103">
        <f>IF($A103="","",IFERROR(INDEX('[AQ_2023.xlsx]原始数据'!$F:$F,MATCH($A103,'[AQ_2023.xlsx]原始数据'!$A:$A,0)),""))</f>
        <v/>
      </c>
      <c r="Z103">
        <f>IF($A103="","",IFERROR(INDEX('[AQ_2024.xlsx]原始数据'!$F:$F,MATCH($A103,'[AQ_2024.xlsx]原始数据'!$A:$A,0)),""))</f>
        <v/>
      </c>
      <c r="AA103" s="2">
        <f>IFERROR(G103/B103,"")</f>
        <v/>
      </c>
      <c r="AB103" s="2">
        <f>IFERROR(H103/C103,"")</f>
        <v/>
      </c>
      <c r="AC103" s="2">
        <f>IFERROR(I103/D103,"")</f>
        <v/>
      </c>
      <c r="AD103" s="2">
        <f>IFERROR(J103/E103,"")</f>
        <v/>
      </c>
      <c r="AE103" s="2">
        <f>IFERROR(K103/F103,"")</f>
        <v/>
      </c>
      <c r="AF103" s="2">
        <f>IFERROR(L103/B103,"")</f>
        <v/>
      </c>
      <c r="AG103" s="2">
        <f>IFERROR(M103/C103,"")</f>
        <v/>
      </c>
      <c r="AH103" s="2">
        <f>IFERROR(N103/D103,"")</f>
        <v/>
      </c>
      <c r="AI103" s="2">
        <f>IFERROR(O103/E103,"")</f>
        <v/>
      </c>
      <c r="AJ103" s="2">
        <f>IFERROR(P103/F103,"")</f>
        <v/>
      </c>
      <c r="AK103" s="2">
        <f>IFERROR(Q103/B103,"")</f>
        <v/>
      </c>
      <c r="AL103" s="2">
        <f>IFERROR(R103/C103,"")</f>
        <v/>
      </c>
      <c r="AM103" s="2">
        <f>IFERROR(S103/D103,"")</f>
        <v/>
      </c>
      <c r="AN103" s="2">
        <f>IFERROR(T103/E103,"")</f>
        <v/>
      </c>
      <c r="AO103" s="2">
        <f>IFERROR(U103/F103,"")</f>
        <v/>
      </c>
    </row>
    <row r="104">
      <c r="B104">
        <f>IF($A104="","",IFERROR(INDEX('[AQ_2020.xlsx]原始数据'!$B:$B,MATCH($A104,'[AQ_2020.xlsx]原始数据'!$A:$A,0)),""))</f>
        <v/>
      </c>
      <c r="C104">
        <f>IF($A104="","",IFERROR(INDEX('[AQ_2021.xlsx]原始数据'!$B:$B,MATCH($A104,'[AQ_2021.xlsx]原始数据'!$A:$A,0)),""))</f>
        <v/>
      </c>
      <c r="D104">
        <f>IF($A104="","",IFERROR(INDEX('[AQ_2022.xlsx]原始数据'!$B:$B,MATCH($A104,'[AQ_2022.xlsx]原始数据'!$A:$A,0)),""))</f>
        <v/>
      </c>
      <c r="E104">
        <f>IF($A104="","",IFERROR(INDEX('[AQ_2023.xlsx]原始数据'!$B:$B,MATCH($A104,'[AQ_2023.xlsx]原始数据'!$A:$A,0)),""))</f>
        <v/>
      </c>
      <c r="F104">
        <f>IF($A104="","",IFERROR(INDEX('[AQ_2024.xlsx]原始数据'!$B:$B,MATCH($A104,'[AQ_2024.xlsx]原始数据'!$A:$A,0)),""))</f>
        <v/>
      </c>
      <c r="G104">
        <f>IF($A104="","",IFERROR(INDEX('[AQ_2020.xlsx]原始数据'!$C:$C,MATCH($A104,'[AQ_2020.xlsx]原始数据'!$A:$A,0)),""))</f>
        <v/>
      </c>
      <c r="H104">
        <f>IF($A104="","",IFERROR(INDEX('[AQ_2021.xlsx]原始数据'!$C:$C,MATCH($A104,'[AQ_2021.xlsx]原始数据'!$A:$A,0)),""))</f>
        <v/>
      </c>
      <c r="I104">
        <f>IF($A104="","",IFERROR(INDEX('[AQ_2022.xlsx]原始数据'!$C:$C,MATCH($A104,'[AQ_2022.xlsx]原始数据'!$A:$A,0)),""))</f>
        <v/>
      </c>
      <c r="J104">
        <f>IF($A104="","",IFERROR(INDEX('[AQ_2023.xlsx]原始数据'!$C:$C,MATCH($A104,'[AQ_2023.xlsx]原始数据'!$A:$A,0)),""))</f>
        <v/>
      </c>
      <c r="K104">
        <f>IF($A104="","",IFERROR(INDEX('[AQ_2024.xlsx]原始数据'!$C:$C,MATCH($A104,'[AQ_2024.xlsx]原始数据'!$A:$A,0)),""))</f>
        <v/>
      </c>
      <c r="L104">
        <f>IF($A104="","",IFERROR(INDEX('[AQ_2020.xlsx]原始数据'!$D:$D,MATCH($A104,'[AQ_2020.xlsx]原始数据'!$A:$A,0)),""))</f>
        <v/>
      </c>
      <c r="M104">
        <f>IF($A104="","",IFERROR(INDEX('[AQ_2021.xlsx]原始数据'!$D:$D,MATCH($A104,'[AQ_2021.xlsx]原始数据'!$A:$A,0)),""))</f>
        <v/>
      </c>
      <c r="N104">
        <f>IF($A104="","",IFERROR(INDEX('[AQ_2022.xlsx]原始数据'!$D:$D,MATCH($A104,'[AQ_2022.xlsx]原始数据'!$A:$A,0)),""))</f>
        <v/>
      </c>
      <c r="O104">
        <f>IF($A104="","",IFERROR(INDEX('[AQ_2023.xlsx]原始数据'!$D:$D,MATCH($A104,'[AQ_2023.xlsx]原始数据'!$A:$A,0)),""))</f>
        <v/>
      </c>
      <c r="P104">
        <f>IF($A104="","",IFERROR(INDEX('[AQ_2024.xlsx]原始数据'!$D:$D,MATCH($A104,'[AQ_2024.xlsx]原始数据'!$A:$A,0)),""))</f>
        <v/>
      </c>
      <c r="Q104">
        <f>IF($A104="","",IFERROR(INDEX('[AQ_2020.xlsx]原始数据'!$E:$E,MATCH($A104,'[AQ_2020.xlsx]原始数据'!$A:$A,0)),""))</f>
        <v/>
      </c>
      <c r="R104">
        <f>IF($A104="","",IFERROR(INDEX('[AQ_2021.xlsx]原始数据'!$E:$E,MATCH($A104,'[AQ_2021.xlsx]原始数据'!$A:$A,0)),""))</f>
        <v/>
      </c>
      <c r="S104">
        <f>IF($A104="","",IFERROR(INDEX('[AQ_2022.xlsx]原始数据'!$E:$E,MATCH($A104,'[AQ_2022.xlsx]原始数据'!$A:$A,0)),""))</f>
        <v/>
      </c>
      <c r="T104">
        <f>IF($A104="","",IFERROR(INDEX('[AQ_2023.xlsx]原始数据'!$E:$E,MATCH($A104,'[AQ_2023.xlsx]原始数据'!$A:$A,0)),""))</f>
        <v/>
      </c>
      <c r="U104">
        <f>IF($A104="","",IFERROR(INDEX('[AQ_2024.xlsx]原始数据'!$E:$E,MATCH($A104,'[AQ_2024.xlsx]原始数据'!$A:$A,0)),""))</f>
        <v/>
      </c>
      <c r="V104">
        <f>IF($A104="","",IFERROR(INDEX('[AQ_2020.xlsx]原始数据'!$F:$F,MATCH($A104,'[AQ_2020.xlsx]原始数据'!$A:$A,0)),""))</f>
        <v/>
      </c>
      <c r="W104">
        <f>IF($A104="","",IFERROR(INDEX('[AQ_2021.xlsx]原始数据'!$F:$F,MATCH($A104,'[AQ_2021.xlsx]原始数据'!$A:$A,0)),""))</f>
        <v/>
      </c>
      <c r="X104">
        <f>IF($A104="","",IFERROR(INDEX('[AQ_2022.xlsx]原始数据'!$F:$F,MATCH($A104,'[AQ_2022.xlsx]原始数据'!$A:$A,0)),""))</f>
        <v/>
      </c>
      <c r="Y104">
        <f>IF($A104="","",IFERROR(INDEX('[AQ_2023.xlsx]原始数据'!$F:$F,MATCH($A104,'[AQ_2023.xlsx]原始数据'!$A:$A,0)),""))</f>
        <v/>
      </c>
      <c r="Z104">
        <f>IF($A104="","",IFERROR(INDEX('[AQ_2024.xlsx]原始数据'!$F:$F,MATCH($A104,'[AQ_2024.xlsx]原始数据'!$A:$A,0)),""))</f>
        <v/>
      </c>
      <c r="AA104" s="2">
        <f>IFERROR(G104/B104,"")</f>
        <v/>
      </c>
      <c r="AB104" s="2">
        <f>IFERROR(H104/C104,"")</f>
        <v/>
      </c>
      <c r="AC104" s="2">
        <f>IFERROR(I104/D104,"")</f>
        <v/>
      </c>
      <c r="AD104" s="2">
        <f>IFERROR(J104/E104,"")</f>
        <v/>
      </c>
      <c r="AE104" s="2">
        <f>IFERROR(K104/F104,"")</f>
        <v/>
      </c>
      <c r="AF104" s="2">
        <f>IFERROR(L104/B104,"")</f>
        <v/>
      </c>
      <c r="AG104" s="2">
        <f>IFERROR(M104/C104,"")</f>
        <v/>
      </c>
      <c r="AH104" s="2">
        <f>IFERROR(N104/D104,"")</f>
        <v/>
      </c>
      <c r="AI104" s="2">
        <f>IFERROR(O104/E104,"")</f>
        <v/>
      </c>
      <c r="AJ104" s="2">
        <f>IFERROR(P104/F104,"")</f>
        <v/>
      </c>
      <c r="AK104" s="2">
        <f>IFERROR(Q104/B104,"")</f>
        <v/>
      </c>
      <c r="AL104" s="2">
        <f>IFERROR(R104/C104,"")</f>
        <v/>
      </c>
      <c r="AM104" s="2">
        <f>IFERROR(S104/D104,"")</f>
        <v/>
      </c>
      <c r="AN104" s="2">
        <f>IFERROR(T104/E104,"")</f>
        <v/>
      </c>
      <c r="AO104" s="2">
        <f>IFERROR(U104/F104,"")</f>
        <v/>
      </c>
    </row>
    <row r="105">
      <c r="B105">
        <f>IF($A105="","",IFERROR(INDEX('[AQ_2020.xlsx]原始数据'!$B:$B,MATCH($A105,'[AQ_2020.xlsx]原始数据'!$A:$A,0)),""))</f>
        <v/>
      </c>
      <c r="C105">
        <f>IF($A105="","",IFERROR(INDEX('[AQ_2021.xlsx]原始数据'!$B:$B,MATCH($A105,'[AQ_2021.xlsx]原始数据'!$A:$A,0)),""))</f>
        <v/>
      </c>
      <c r="D105">
        <f>IF($A105="","",IFERROR(INDEX('[AQ_2022.xlsx]原始数据'!$B:$B,MATCH($A105,'[AQ_2022.xlsx]原始数据'!$A:$A,0)),""))</f>
        <v/>
      </c>
      <c r="E105">
        <f>IF($A105="","",IFERROR(INDEX('[AQ_2023.xlsx]原始数据'!$B:$B,MATCH($A105,'[AQ_2023.xlsx]原始数据'!$A:$A,0)),""))</f>
        <v/>
      </c>
      <c r="F105">
        <f>IF($A105="","",IFERROR(INDEX('[AQ_2024.xlsx]原始数据'!$B:$B,MATCH($A105,'[AQ_2024.xlsx]原始数据'!$A:$A,0)),""))</f>
        <v/>
      </c>
      <c r="G105">
        <f>IF($A105="","",IFERROR(INDEX('[AQ_2020.xlsx]原始数据'!$C:$C,MATCH($A105,'[AQ_2020.xlsx]原始数据'!$A:$A,0)),""))</f>
        <v/>
      </c>
      <c r="H105">
        <f>IF($A105="","",IFERROR(INDEX('[AQ_2021.xlsx]原始数据'!$C:$C,MATCH($A105,'[AQ_2021.xlsx]原始数据'!$A:$A,0)),""))</f>
        <v/>
      </c>
      <c r="I105">
        <f>IF($A105="","",IFERROR(INDEX('[AQ_2022.xlsx]原始数据'!$C:$C,MATCH($A105,'[AQ_2022.xlsx]原始数据'!$A:$A,0)),""))</f>
        <v/>
      </c>
      <c r="J105">
        <f>IF($A105="","",IFERROR(INDEX('[AQ_2023.xlsx]原始数据'!$C:$C,MATCH($A105,'[AQ_2023.xlsx]原始数据'!$A:$A,0)),""))</f>
        <v/>
      </c>
      <c r="K105">
        <f>IF($A105="","",IFERROR(INDEX('[AQ_2024.xlsx]原始数据'!$C:$C,MATCH($A105,'[AQ_2024.xlsx]原始数据'!$A:$A,0)),""))</f>
        <v/>
      </c>
      <c r="L105">
        <f>IF($A105="","",IFERROR(INDEX('[AQ_2020.xlsx]原始数据'!$D:$D,MATCH($A105,'[AQ_2020.xlsx]原始数据'!$A:$A,0)),""))</f>
        <v/>
      </c>
      <c r="M105">
        <f>IF($A105="","",IFERROR(INDEX('[AQ_2021.xlsx]原始数据'!$D:$D,MATCH($A105,'[AQ_2021.xlsx]原始数据'!$A:$A,0)),""))</f>
        <v/>
      </c>
      <c r="N105">
        <f>IF($A105="","",IFERROR(INDEX('[AQ_2022.xlsx]原始数据'!$D:$D,MATCH($A105,'[AQ_2022.xlsx]原始数据'!$A:$A,0)),""))</f>
        <v/>
      </c>
      <c r="O105">
        <f>IF($A105="","",IFERROR(INDEX('[AQ_2023.xlsx]原始数据'!$D:$D,MATCH($A105,'[AQ_2023.xlsx]原始数据'!$A:$A,0)),""))</f>
        <v/>
      </c>
      <c r="P105">
        <f>IF($A105="","",IFERROR(INDEX('[AQ_2024.xlsx]原始数据'!$D:$D,MATCH($A105,'[AQ_2024.xlsx]原始数据'!$A:$A,0)),""))</f>
        <v/>
      </c>
      <c r="Q105">
        <f>IF($A105="","",IFERROR(INDEX('[AQ_2020.xlsx]原始数据'!$E:$E,MATCH($A105,'[AQ_2020.xlsx]原始数据'!$A:$A,0)),""))</f>
        <v/>
      </c>
      <c r="R105">
        <f>IF($A105="","",IFERROR(INDEX('[AQ_2021.xlsx]原始数据'!$E:$E,MATCH($A105,'[AQ_2021.xlsx]原始数据'!$A:$A,0)),""))</f>
        <v/>
      </c>
      <c r="S105">
        <f>IF($A105="","",IFERROR(INDEX('[AQ_2022.xlsx]原始数据'!$E:$E,MATCH($A105,'[AQ_2022.xlsx]原始数据'!$A:$A,0)),""))</f>
        <v/>
      </c>
      <c r="T105">
        <f>IF($A105="","",IFERROR(INDEX('[AQ_2023.xlsx]原始数据'!$E:$E,MATCH($A105,'[AQ_2023.xlsx]原始数据'!$A:$A,0)),""))</f>
        <v/>
      </c>
      <c r="U105">
        <f>IF($A105="","",IFERROR(INDEX('[AQ_2024.xlsx]原始数据'!$E:$E,MATCH($A105,'[AQ_2024.xlsx]原始数据'!$A:$A,0)),""))</f>
        <v/>
      </c>
      <c r="V105">
        <f>IF($A105="","",IFERROR(INDEX('[AQ_2020.xlsx]原始数据'!$F:$F,MATCH($A105,'[AQ_2020.xlsx]原始数据'!$A:$A,0)),""))</f>
        <v/>
      </c>
      <c r="W105">
        <f>IF($A105="","",IFERROR(INDEX('[AQ_2021.xlsx]原始数据'!$F:$F,MATCH($A105,'[AQ_2021.xlsx]原始数据'!$A:$A,0)),""))</f>
        <v/>
      </c>
      <c r="X105">
        <f>IF($A105="","",IFERROR(INDEX('[AQ_2022.xlsx]原始数据'!$F:$F,MATCH($A105,'[AQ_2022.xlsx]原始数据'!$A:$A,0)),""))</f>
        <v/>
      </c>
      <c r="Y105">
        <f>IF($A105="","",IFERROR(INDEX('[AQ_2023.xlsx]原始数据'!$F:$F,MATCH($A105,'[AQ_2023.xlsx]原始数据'!$A:$A,0)),""))</f>
        <v/>
      </c>
      <c r="Z105">
        <f>IF($A105="","",IFERROR(INDEX('[AQ_2024.xlsx]原始数据'!$F:$F,MATCH($A105,'[AQ_2024.xlsx]原始数据'!$A:$A,0)),""))</f>
        <v/>
      </c>
      <c r="AA105" s="2">
        <f>IFERROR(G105/B105,"")</f>
        <v/>
      </c>
      <c r="AB105" s="2">
        <f>IFERROR(H105/C105,"")</f>
        <v/>
      </c>
      <c r="AC105" s="2">
        <f>IFERROR(I105/D105,"")</f>
        <v/>
      </c>
      <c r="AD105" s="2">
        <f>IFERROR(J105/E105,"")</f>
        <v/>
      </c>
      <c r="AE105" s="2">
        <f>IFERROR(K105/F105,"")</f>
        <v/>
      </c>
      <c r="AF105" s="2">
        <f>IFERROR(L105/B105,"")</f>
        <v/>
      </c>
      <c r="AG105" s="2">
        <f>IFERROR(M105/C105,"")</f>
        <v/>
      </c>
      <c r="AH105" s="2">
        <f>IFERROR(N105/D105,"")</f>
        <v/>
      </c>
      <c r="AI105" s="2">
        <f>IFERROR(O105/E105,"")</f>
        <v/>
      </c>
      <c r="AJ105" s="2">
        <f>IFERROR(P105/F105,"")</f>
        <v/>
      </c>
      <c r="AK105" s="2">
        <f>IFERROR(Q105/B105,"")</f>
        <v/>
      </c>
      <c r="AL105" s="2">
        <f>IFERROR(R105/C105,"")</f>
        <v/>
      </c>
      <c r="AM105" s="2">
        <f>IFERROR(S105/D105,"")</f>
        <v/>
      </c>
      <c r="AN105" s="2">
        <f>IFERROR(T105/E105,"")</f>
        <v/>
      </c>
      <c r="AO105" s="2">
        <f>IFERROR(U105/F105,"")</f>
        <v/>
      </c>
    </row>
    <row r="106">
      <c r="B106">
        <f>IF($A106="","",IFERROR(INDEX('[AQ_2020.xlsx]原始数据'!$B:$B,MATCH($A106,'[AQ_2020.xlsx]原始数据'!$A:$A,0)),""))</f>
        <v/>
      </c>
      <c r="C106">
        <f>IF($A106="","",IFERROR(INDEX('[AQ_2021.xlsx]原始数据'!$B:$B,MATCH($A106,'[AQ_2021.xlsx]原始数据'!$A:$A,0)),""))</f>
        <v/>
      </c>
      <c r="D106">
        <f>IF($A106="","",IFERROR(INDEX('[AQ_2022.xlsx]原始数据'!$B:$B,MATCH($A106,'[AQ_2022.xlsx]原始数据'!$A:$A,0)),""))</f>
        <v/>
      </c>
      <c r="E106">
        <f>IF($A106="","",IFERROR(INDEX('[AQ_2023.xlsx]原始数据'!$B:$B,MATCH($A106,'[AQ_2023.xlsx]原始数据'!$A:$A,0)),""))</f>
        <v/>
      </c>
      <c r="F106">
        <f>IF($A106="","",IFERROR(INDEX('[AQ_2024.xlsx]原始数据'!$B:$B,MATCH($A106,'[AQ_2024.xlsx]原始数据'!$A:$A,0)),""))</f>
        <v/>
      </c>
      <c r="G106">
        <f>IF($A106="","",IFERROR(INDEX('[AQ_2020.xlsx]原始数据'!$C:$C,MATCH($A106,'[AQ_2020.xlsx]原始数据'!$A:$A,0)),""))</f>
        <v/>
      </c>
      <c r="H106">
        <f>IF($A106="","",IFERROR(INDEX('[AQ_2021.xlsx]原始数据'!$C:$C,MATCH($A106,'[AQ_2021.xlsx]原始数据'!$A:$A,0)),""))</f>
        <v/>
      </c>
      <c r="I106">
        <f>IF($A106="","",IFERROR(INDEX('[AQ_2022.xlsx]原始数据'!$C:$C,MATCH($A106,'[AQ_2022.xlsx]原始数据'!$A:$A,0)),""))</f>
        <v/>
      </c>
      <c r="J106">
        <f>IF($A106="","",IFERROR(INDEX('[AQ_2023.xlsx]原始数据'!$C:$C,MATCH($A106,'[AQ_2023.xlsx]原始数据'!$A:$A,0)),""))</f>
        <v/>
      </c>
      <c r="K106">
        <f>IF($A106="","",IFERROR(INDEX('[AQ_2024.xlsx]原始数据'!$C:$C,MATCH($A106,'[AQ_2024.xlsx]原始数据'!$A:$A,0)),""))</f>
        <v/>
      </c>
      <c r="L106">
        <f>IF($A106="","",IFERROR(INDEX('[AQ_2020.xlsx]原始数据'!$D:$D,MATCH($A106,'[AQ_2020.xlsx]原始数据'!$A:$A,0)),""))</f>
        <v/>
      </c>
      <c r="M106">
        <f>IF($A106="","",IFERROR(INDEX('[AQ_2021.xlsx]原始数据'!$D:$D,MATCH($A106,'[AQ_2021.xlsx]原始数据'!$A:$A,0)),""))</f>
        <v/>
      </c>
      <c r="N106">
        <f>IF($A106="","",IFERROR(INDEX('[AQ_2022.xlsx]原始数据'!$D:$D,MATCH($A106,'[AQ_2022.xlsx]原始数据'!$A:$A,0)),""))</f>
        <v/>
      </c>
      <c r="O106">
        <f>IF($A106="","",IFERROR(INDEX('[AQ_2023.xlsx]原始数据'!$D:$D,MATCH($A106,'[AQ_2023.xlsx]原始数据'!$A:$A,0)),""))</f>
        <v/>
      </c>
      <c r="P106">
        <f>IF($A106="","",IFERROR(INDEX('[AQ_2024.xlsx]原始数据'!$D:$D,MATCH($A106,'[AQ_2024.xlsx]原始数据'!$A:$A,0)),""))</f>
        <v/>
      </c>
      <c r="Q106">
        <f>IF($A106="","",IFERROR(INDEX('[AQ_2020.xlsx]原始数据'!$E:$E,MATCH($A106,'[AQ_2020.xlsx]原始数据'!$A:$A,0)),""))</f>
        <v/>
      </c>
      <c r="R106">
        <f>IF($A106="","",IFERROR(INDEX('[AQ_2021.xlsx]原始数据'!$E:$E,MATCH($A106,'[AQ_2021.xlsx]原始数据'!$A:$A,0)),""))</f>
        <v/>
      </c>
      <c r="S106">
        <f>IF($A106="","",IFERROR(INDEX('[AQ_2022.xlsx]原始数据'!$E:$E,MATCH($A106,'[AQ_2022.xlsx]原始数据'!$A:$A,0)),""))</f>
        <v/>
      </c>
      <c r="T106">
        <f>IF($A106="","",IFERROR(INDEX('[AQ_2023.xlsx]原始数据'!$E:$E,MATCH($A106,'[AQ_2023.xlsx]原始数据'!$A:$A,0)),""))</f>
        <v/>
      </c>
      <c r="U106">
        <f>IF($A106="","",IFERROR(INDEX('[AQ_2024.xlsx]原始数据'!$E:$E,MATCH($A106,'[AQ_2024.xlsx]原始数据'!$A:$A,0)),""))</f>
        <v/>
      </c>
      <c r="V106">
        <f>IF($A106="","",IFERROR(INDEX('[AQ_2020.xlsx]原始数据'!$F:$F,MATCH($A106,'[AQ_2020.xlsx]原始数据'!$A:$A,0)),""))</f>
        <v/>
      </c>
      <c r="W106">
        <f>IF($A106="","",IFERROR(INDEX('[AQ_2021.xlsx]原始数据'!$F:$F,MATCH($A106,'[AQ_2021.xlsx]原始数据'!$A:$A,0)),""))</f>
        <v/>
      </c>
      <c r="X106">
        <f>IF($A106="","",IFERROR(INDEX('[AQ_2022.xlsx]原始数据'!$F:$F,MATCH($A106,'[AQ_2022.xlsx]原始数据'!$A:$A,0)),""))</f>
        <v/>
      </c>
      <c r="Y106">
        <f>IF($A106="","",IFERROR(INDEX('[AQ_2023.xlsx]原始数据'!$F:$F,MATCH($A106,'[AQ_2023.xlsx]原始数据'!$A:$A,0)),""))</f>
        <v/>
      </c>
      <c r="Z106">
        <f>IF($A106="","",IFERROR(INDEX('[AQ_2024.xlsx]原始数据'!$F:$F,MATCH($A106,'[AQ_2024.xlsx]原始数据'!$A:$A,0)),""))</f>
        <v/>
      </c>
      <c r="AA106" s="2">
        <f>IFERROR(G106/B106,"")</f>
        <v/>
      </c>
      <c r="AB106" s="2">
        <f>IFERROR(H106/C106,"")</f>
        <v/>
      </c>
      <c r="AC106" s="2">
        <f>IFERROR(I106/D106,"")</f>
        <v/>
      </c>
      <c r="AD106" s="2">
        <f>IFERROR(J106/E106,"")</f>
        <v/>
      </c>
      <c r="AE106" s="2">
        <f>IFERROR(K106/F106,"")</f>
        <v/>
      </c>
      <c r="AF106" s="2">
        <f>IFERROR(L106/B106,"")</f>
        <v/>
      </c>
      <c r="AG106" s="2">
        <f>IFERROR(M106/C106,"")</f>
        <v/>
      </c>
      <c r="AH106" s="2">
        <f>IFERROR(N106/D106,"")</f>
        <v/>
      </c>
      <c r="AI106" s="2">
        <f>IFERROR(O106/E106,"")</f>
        <v/>
      </c>
      <c r="AJ106" s="2">
        <f>IFERROR(P106/F106,"")</f>
        <v/>
      </c>
      <c r="AK106" s="2">
        <f>IFERROR(Q106/B106,"")</f>
        <v/>
      </c>
      <c r="AL106" s="2">
        <f>IFERROR(R106/C106,"")</f>
        <v/>
      </c>
      <c r="AM106" s="2">
        <f>IFERROR(S106/D106,"")</f>
        <v/>
      </c>
      <c r="AN106" s="2">
        <f>IFERROR(T106/E106,"")</f>
        <v/>
      </c>
      <c r="AO106" s="2">
        <f>IFERROR(U106/F106,"")</f>
        <v/>
      </c>
    </row>
    <row r="107">
      <c r="B107">
        <f>IF($A107="","",IFERROR(INDEX('[AQ_2020.xlsx]原始数据'!$B:$B,MATCH($A107,'[AQ_2020.xlsx]原始数据'!$A:$A,0)),""))</f>
        <v/>
      </c>
      <c r="C107">
        <f>IF($A107="","",IFERROR(INDEX('[AQ_2021.xlsx]原始数据'!$B:$B,MATCH($A107,'[AQ_2021.xlsx]原始数据'!$A:$A,0)),""))</f>
        <v/>
      </c>
      <c r="D107">
        <f>IF($A107="","",IFERROR(INDEX('[AQ_2022.xlsx]原始数据'!$B:$B,MATCH($A107,'[AQ_2022.xlsx]原始数据'!$A:$A,0)),""))</f>
        <v/>
      </c>
      <c r="E107">
        <f>IF($A107="","",IFERROR(INDEX('[AQ_2023.xlsx]原始数据'!$B:$B,MATCH($A107,'[AQ_2023.xlsx]原始数据'!$A:$A,0)),""))</f>
        <v/>
      </c>
      <c r="F107">
        <f>IF($A107="","",IFERROR(INDEX('[AQ_2024.xlsx]原始数据'!$B:$B,MATCH($A107,'[AQ_2024.xlsx]原始数据'!$A:$A,0)),""))</f>
        <v/>
      </c>
      <c r="G107">
        <f>IF($A107="","",IFERROR(INDEX('[AQ_2020.xlsx]原始数据'!$C:$C,MATCH($A107,'[AQ_2020.xlsx]原始数据'!$A:$A,0)),""))</f>
        <v/>
      </c>
      <c r="H107">
        <f>IF($A107="","",IFERROR(INDEX('[AQ_2021.xlsx]原始数据'!$C:$C,MATCH($A107,'[AQ_2021.xlsx]原始数据'!$A:$A,0)),""))</f>
        <v/>
      </c>
      <c r="I107">
        <f>IF($A107="","",IFERROR(INDEX('[AQ_2022.xlsx]原始数据'!$C:$C,MATCH($A107,'[AQ_2022.xlsx]原始数据'!$A:$A,0)),""))</f>
        <v/>
      </c>
      <c r="J107">
        <f>IF($A107="","",IFERROR(INDEX('[AQ_2023.xlsx]原始数据'!$C:$C,MATCH($A107,'[AQ_2023.xlsx]原始数据'!$A:$A,0)),""))</f>
        <v/>
      </c>
      <c r="K107">
        <f>IF($A107="","",IFERROR(INDEX('[AQ_2024.xlsx]原始数据'!$C:$C,MATCH($A107,'[AQ_2024.xlsx]原始数据'!$A:$A,0)),""))</f>
        <v/>
      </c>
      <c r="L107">
        <f>IF($A107="","",IFERROR(INDEX('[AQ_2020.xlsx]原始数据'!$D:$D,MATCH($A107,'[AQ_2020.xlsx]原始数据'!$A:$A,0)),""))</f>
        <v/>
      </c>
      <c r="M107">
        <f>IF($A107="","",IFERROR(INDEX('[AQ_2021.xlsx]原始数据'!$D:$D,MATCH($A107,'[AQ_2021.xlsx]原始数据'!$A:$A,0)),""))</f>
        <v/>
      </c>
      <c r="N107">
        <f>IF($A107="","",IFERROR(INDEX('[AQ_2022.xlsx]原始数据'!$D:$D,MATCH($A107,'[AQ_2022.xlsx]原始数据'!$A:$A,0)),""))</f>
        <v/>
      </c>
      <c r="O107">
        <f>IF($A107="","",IFERROR(INDEX('[AQ_2023.xlsx]原始数据'!$D:$D,MATCH($A107,'[AQ_2023.xlsx]原始数据'!$A:$A,0)),""))</f>
        <v/>
      </c>
      <c r="P107">
        <f>IF($A107="","",IFERROR(INDEX('[AQ_2024.xlsx]原始数据'!$D:$D,MATCH($A107,'[AQ_2024.xlsx]原始数据'!$A:$A,0)),""))</f>
        <v/>
      </c>
      <c r="Q107">
        <f>IF($A107="","",IFERROR(INDEX('[AQ_2020.xlsx]原始数据'!$E:$E,MATCH($A107,'[AQ_2020.xlsx]原始数据'!$A:$A,0)),""))</f>
        <v/>
      </c>
      <c r="R107">
        <f>IF($A107="","",IFERROR(INDEX('[AQ_2021.xlsx]原始数据'!$E:$E,MATCH($A107,'[AQ_2021.xlsx]原始数据'!$A:$A,0)),""))</f>
        <v/>
      </c>
      <c r="S107">
        <f>IF($A107="","",IFERROR(INDEX('[AQ_2022.xlsx]原始数据'!$E:$E,MATCH($A107,'[AQ_2022.xlsx]原始数据'!$A:$A,0)),""))</f>
        <v/>
      </c>
      <c r="T107">
        <f>IF($A107="","",IFERROR(INDEX('[AQ_2023.xlsx]原始数据'!$E:$E,MATCH($A107,'[AQ_2023.xlsx]原始数据'!$A:$A,0)),""))</f>
        <v/>
      </c>
      <c r="U107">
        <f>IF($A107="","",IFERROR(INDEX('[AQ_2024.xlsx]原始数据'!$E:$E,MATCH($A107,'[AQ_2024.xlsx]原始数据'!$A:$A,0)),""))</f>
        <v/>
      </c>
      <c r="V107">
        <f>IF($A107="","",IFERROR(INDEX('[AQ_2020.xlsx]原始数据'!$F:$F,MATCH($A107,'[AQ_2020.xlsx]原始数据'!$A:$A,0)),""))</f>
        <v/>
      </c>
      <c r="W107">
        <f>IF($A107="","",IFERROR(INDEX('[AQ_2021.xlsx]原始数据'!$F:$F,MATCH($A107,'[AQ_2021.xlsx]原始数据'!$A:$A,0)),""))</f>
        <v/>
      </c>
      <c r="X107">
        <f>IF($A107="","",IFERROR(INDEX('[AQ_2022.xlsx]原始数据'!$F:$F,MATCH($A107,'[AQ_2022.xlsx]原始数据'!$A:$A,0)),""))</f>
        <v/>
      </c>
      <c r="Y107">
        <f>IF($A107="","",IFERROR(INDEX('[AQ_2023.xlsx]原始数据'!$F:$F,MATCH($A107,'[AQ_2023.xlsx]原始数据'!$A:$A,0)),""))</f>
        <v/>
      </c>
      <c r="Z107">
        <f>IF($A107="","",IFERROR(INDEX('[AQ_2024.xlsx]原始数据'!$F:$F,MATCH($A107,'[AQ_2024.xlsx]原始数据'!$A:$A,0)),""))</f>
        <v/>
      </c>
      <c r="AA107" s="2">
        <f>IFERROR(G107/B107,"")</f>
        <v/>
      </c>
      <c r="AB107" s="2">
        <f>IFERROR(H107/C107,"")</f>
        <v/>
      </c>
      <c r="AC107" s="2">
        <f>IFERROR(I107/D107,"")</f>
        <v/>
      </c>
      <c r="AD107" s="2">
        <f>IFERROR(J107/E107,"")</f>
        <v/>
      </c>
      <c r="AE107" s="2">
        <f>IFERROR(K107/F107,"")</f>
        <v/>
      </c>
      <c r="AF107" s="2">
        <f>IFERROR(L107/B107,"")</f>
        <v/>
      </c>
      <c r="AG107" s="2">
        <f>IFERROR(M107/C107,"")</f>
        <v/>
      </c>
      <c r="AH107" s="2">
        <f>IFERROR(N107/D107,"")</f>
        <v/>
      </c>
      <c r="AI107" s="2">
        <f>IFERROR(O107/E107,"")</f>
        <v/>
      </c>
      <c r="AJ107" s="2">
        <f>IFERROR(P107/F107,"")</f>
        <v/>
      </c>
      <c r="AK107" s="2">
        <f>IFERROR(Q107/B107,"")</f>
        <v/>
      </c>
      <c r="AL107" s="2">
        <f>IFERROR(R107/C107,"")</f>
        <v/>
      </c>
      <c r="AM107" s="2">
        <f>IFERROR(S107/D107,"")</f>
        <v/>
      </c>
      <c r="AN107" s="2">
        <f>IFERROR(T107/E107,"")</f>
        <v/>
      </c>
      <c r="AO107" s="2">
        <f>IFERROR(U107/F107,"")</f>
        <v/>
      </c>
    </row>
    <row r="108">
      <c r="B108">
        <f>IF($A108="","",IFERROR(INDEX('[AQ_2020.xlsx]原始数据'!$B:$B,MATCH($A108,'[AQ_2020.xlsx]原始数据'!$A:$A,0)),""))</f>
        <v/>
      </c>
      <c r="C108">
        <f>IF($A108="","",IFERROR(INDEX('[AQ_2021.xlsx]原始数据'!$B:$B,MATCH($A108,'[AQ_2021.xlsx]原始数据'!$A:$A,0)),""))</f>
        <v/>
      </c>
      <c r="D108">
        <f>IF($A108="","",IFERROR(INDEX('[AQ_2022.xlsx]原始数据'!$B:$B,MATCH($A108,'[AQ_2022.xlsx]原始数据'!$A:$A,0)),""))</f>
        <v/>
      </c>
      <c r="E108">
        <f>IF($A108="","",IFERROR(INDEX('[AQ_2023.xlsx]原始数据'!$B:$B,MATCH($A108,'[AQ_2023.xlsx]原始数据'!$A:$A,0)),""))</f>
        <v/>
      </c>
      <c r="F108">
        <f>IF($A108="","",IFERROR(INDEX('[AQ_2024.xlsx]原始数据'!$B:$B,MATCH($A108,'[AQ_2024.xlsx]原始数据'!$A:$A,0)),""))</f>
        <v/>
      </c>
      <c r="G108">
        <f>IF($A108="","",IFERROR(INDEX('[AQ_2020.xlsx]原始数据'!$C:$C,MATCH($A108,'[AQ_2020.xlsx]原始数据'!$A:$A,0)),""))</f>
        <v/>
      </c>
      <c r="H108">
        <f>IF($A108="","",IFERROR(INDEX('[AQ_2021.xlsx]原始数据'!$C:$C,MATCH($A108,'[AQ_2021.xlsx]原始数据'!$A:$A,0)),""))</f>
        <v/>
      </c>
      <c r="I108">
        <f>IF($A108="","",IFERROR(INDEX('[AQ_2022.xlsx]原始数据'!$C:$C,MATCH($A108,'[AQ_2022.xlsx]原始数据'!$A:$A,0)),""))</f>
        <v/>
      </c>
      <c r="J108">
        <f>IF($A108="","",IFERROR(INDEX('[AQ_2023.xlsx]原始数据'!$C:$C,MATCH($A108,'[AQ_2023.xlsx]原始数据'!$A:$A,0)),""))</f>
        <v/>
      </c>
      <c r="K108">
        <f>IF($A108="","",IFERROR(INDEX('[AQ_2024.xlsx]原始数据'!$C:$C,MATCH($A108,'[AQ_2024.xlsx]原始数据'!$A:$A,0)),""))</f>
        <v/>
      </c>
      <c r="L108">
        <f>IF($A108="","",IFERROR(INDEX('[AQ_2020.xlsx]原始数据'!$D:$D,MATCH($A108,'[AQ_2020.xlsx]原始数据'!$A:$A,0)),""))</f>
        <v/>
      </c>
      <c r="M108">
        <f>IF($A108="","",IFERROR(INDEX('[AQ_2021.xlsx]原始数据'!$D:$D,MATCH($A108,'[AQ_2021.xlsx]原始数据'!$A:$A,0)),""))</f>
        <v/>
      </c>
      <c r="N108">
        <f>IF($A108="","",IFERROR(INDEX('[AQ_2022.xlsx]原始数据'!$D:$D,MATCH($A108,'[AQ_2022.xlsx]原始数据'!$A:$A,0)),""))</f>
        <v/>
      </c>
      <c r="O108">
        <f>IF($A108="","",IFERROR(INDEX('[AQ_2023.xlsx]原始数据'!$D:$D,MATCH($A108,'[AQ_2023.xlsx]原始数据'!$A:$A,0)),""))</f>
        <v/>
      </c>
      <c r="P108">
        <f>IF($A108="","",IFERROR(INDEX('[AQ_2024.xlsx]原始数据'!$D:$D,MATCH($A108,'[AQ_2024.xlsx]原始数据'!$A:$A,0)),""))</f>
        <v/>
      </c>
      <c r="Q108">
        <f>IF($A108="","",IFERROR(INDEX('[AQ_2020.xlsx]原始数据'!$E:$E,MATCH($A108,'[AQ_2020.xlsx]原始数据'!$A:$A,0)),""))</f>
        <v/>
      </c>
      <c r="R108">
        <f>IF($A108="","",IFERROR(INDEX('[AQ_2021.xlsx]原始数据'!$E:$E,MATCH($A108,'[AQ_2021.xlsx]原始数据'!$A:$A,0)),""))</f>
        <v/>
      </c>
      <c r="S108">
        <f>IF($A108="","",IFERROR(INDEX('[AQ_2022.xlsx]原始数据'!$E:$E,MATCH($A108,'[AQ_2022.xlsx]原始数据'!$A:$A,0)),""))</f>
        <v/>
      </c>
      <c r="T108">
        <f>IF($A108="","",IFERROR(INDEX('[AQ_2023.xlsx]原始数据'!$E:$E,MATCH($A108,'[AQ_2023.xlsx]原始数据'!$A:$A,0)),""))</f>
        <v/>
      </c>
      <c r="U108">
        <f>IF($A108="","",IFERROR(INDEX('[AQ_2024.xlsx]原始数据'!$E:$E,MATCH($A108,'[AQ_2024.xlsx]原始数据'!$A:$A,0)),""))</f>
        <v/>
      </c>
      <c r="V108">
        <f>IF($A108="","",IFERROR(INDEX('[AQ_2020.xlsx]原始数据'!$F:$F,MATCH($A108,'[AQ_2020.xlsx]原始数据'!$A:$A,0)),""))</f>
        <v/>
      </c>
      <c r="W108">
        <f>IF($A108="","",IFERROR(INDEX('[AQ_2021.xlsx]原始数据'!$F:$F,MATCH($A108,'[AQ_2021.xlsx]原始数据'!$A:$A,0)),""))</f>
        <v/>
      </c>
      <c r="X108">
        <f>IF($A108="","",IFERROR(INDEX('[AQ_2022.xlsx]原始数据'!$F:$F,MATCH($A108,'[AQ_2022.xlsx]原始数据'!$A:$A,0)),""))</f>
        <v/>
      </c>
      <c r="Y108">
        <f>IF($A108="","",IFERROR(INDEX('[AQ_2023.xlsx]原始数据'!$F:$F,MATCH($A108,'[AQ_2023.xlsx]原始数据'!$A:$A,0)),""))</f>
        <v/>
      </c>
      <c r="Z108">
        <f>IF($A108="","",IFERROR(INDEX('[AQ_2024.xlsx]原始数据'!$F:$F,MATCH($A108,'[AQ_2024.xlsx]原始数据'!$A:$A,0)),""))</f>
        <v/>
      </c>
      <c r="AA108" s="2">
        <f>IFERROR(G108/B108,"")</f>
        <v/>
      </c>
      <c r="AB108" s="2">
        <f>IFERROR(H108/C108,"")</f>
        <v/>
      </c>
      <c r="AC108" s="2">
        <f>IFERROR(I108/D108,"")</f>
        <v/>
      </c>
      <c r="AD108" s="2">
        <f>IFERROR(J108/E108,"")</f>
        <v/>
      </c>
      <c r="AE108" s="2">
        <f>IFERROR(K108/F108,"")</f>
        <v/>
      </c>
      <c r="AF108" s="2">
        <f>IFERROR(L108/B108,"")</f>
        <v/>
      </c>
      <c r="AG108" s="2">
        <f>IFERROR(M108/C108,"")</f>
        <v/>
      </c>
      <c r="AH108" s="2">
        <f>IFERROR(N108/D108,"")</f>
        <v/>
      </c>
      <c r="AI108" s="2">
        <f>IFERROR(O108/E108,"")</f>
        <v/>
      </c>
      <c r="AJ108" s="2">
        <f>IFERROR(P108/F108,"")</f>
        <v/>
      </c>
      <c r="AK108" s="2">
        <f>IFERROR(Q108/B108,"")</f>
        <v/>
      </c>
      <c r="AL108" s="2">
        <f>IFERROR(R108/C108,"")</f>
        <v/>
      </c>
      <c r="AM108" s="2">
        <f>IFERROR(S108/D108,"")</f>
        <v/>
      </c>
      <c r="AN108" s="2">
        <f>IFERROR(T108/E108,"")</f>
        <v/>
      </c>
      <c r="AO108" s="2">
        <f>IFERROR(U108/F108,"")</f>
        <v/>
      </c>
    </row>
    <row r="109">
      <c r="B109">
        <f>IF($A109="","",IFERROR(INDEX('[AQ_2020.xlsx]原始数据'!$B:$B,MATCH($A109,'[AQ_2020.xlsx]原始数据'!$A:$A,0)),""))</f>
        <v/>
      </c>
      <c r="C109">
        <f>IF($A109="","",IFERROR(INDEX('[AQ_2021.xlsx]原始数据'!$B:$B,MATCH($A109,'[AQ_2021.xlsx]原始数据'!$A:$A,0)),""))</f>
        <v/>
      </c>
      <c r="D109">
        <f>IF($A109="","",IFERROR(INDEX('[AQ_2022.xlsx]原始数据'!$B:$B,MATCH($A109,'[AQ_2022.xlsx]原始数据'!$A:$A,0)),""))</f>
        <v/>
      </c>
      <c r="E109">
        <f>IF($A109="","",IFERROR(INDEX('[AQ_2023.xlsx]原始数据'!$B:$B,MATCH($A109,'[AQ_2023.xlsx]原始数据'!$A:$A,0)),""))</f>
        <v/>
      </c>
      <c r="F109">
        <f>IF($A109="","",IFERROR(INDEX('[AQ_2024.xlsx]原始数据'!$B:$B,MATCH($A109,'[AQ_2024.xlsx]原始数据'!$A:$A,0)),""))</f>
        <v/>
      </c>
      <c r="G109">
        <f>IF($A109="","",IFERROR(INDEX('[AQ_2020.xlsx]原始数据'!$C:$C,MATCH($A109,'[AQ_2020.xlsx]原始数据'!$A:$A,0)),""))</f>
        <v/>
      </c>
      <c r="H109">
        <f>IF($A109="","",IFERROR(INDEX('[AQ_2021.xlsx]原始数据'!$C:$C,MATCH($A109,'[AQ_2021.xlsx]原始数据'!$A:$A,0)),""))</f>
        <v/>
      </c>
      <c r="I109">
        <f>IF($A109="","",IFERROR(INDEX('[AQ_2022.xlsx]原始数据'!$C:$C,MATCH($A109,'[AQ_2022.xlsx]原始数据'!$A:$A,0)),""))</f>
        <v/>
      </c>
      <c r="J109">
        <f>IF($A109="","",IFERROR(INDEX('[AQ_2023.xlsx]原始数据'!$C:$C,MATCH($A109,'[AQ_2023.xlsx]原始数据'!$A:$A,0)),""))</f>
        <v/>
      </c>
      <c r="K109">
        <f>IF($A109="","",IFERROR(INDEX('[AQ_2024.xlsx]原始数据'!$C:$C,MATCH($A109,'[AQ_2024.xlsx]原始数据'!$A:$A,0)),""))</f>
        <v/>
      </c>
      <c r="L109">
        <f>IF($A109="","",IFERROR(INDEX('[AQ_2020.xlsx]原始数据'!$D:$D,MATCH($A109,'[AQ_2020.xlsx]原始数据'!$A:$A,0)),""))</f>
        <v/>
      </c>
      <c r="M109">
        <f>IF($A109="","",IFERROR(INDEX('[AQ_2021.xlsx]原始数据'!$D:$D,MATCH($A109,'[AQ_2021.xlsx]原始数据'!$A:$A,0)),""))</f>
        <v/>
      </c>
      <c r="N109">
        <f>IF($A109="","",IFERROR(INDEX('[AQ_2022.xlsx]原始数据'!$D:$D,MATCH($A109,'[AQ_2022.xlsx]原始数据'!$A:$A,0)),""))</f>
        <v/>
      </c>
      <c r="O109">
        <f>IF($A109="","",IFERROR(INDEX('[AQ_2023.xlsx]原始数据'!$D:$D,MATCH($A109,'[AQ_2023.xlsx]原始数据'!$A:$A,0)),""))</f>
        <v/>
      </c>
      <c r="P109">
        <f>IF($A109="","",IFERROR(INDEX('[AQ_2024.xlsx]原始数据'!$D:$D,MATCH($A109,'[AQ_2024.xlsx]原始数据'!$A:$A,0)),""))</f>
        <v/>
      </c>
      <c r="Q109">
        <f>IF($A109="","",IFERROR(INDEX('[AQ_2020.xlsx]原始数据'!$E:$E,MATCH($A109,'[AQ_2020.xlsx]原始数据'!$A:$A,0)),""))</f>
        <v/>
      </c>
      <c r="R109">
        <f>IF($A109="","",IFERROR(INDEX('[AQ_2021.xlsx]原始数据'!$E:$E,MATCH($A109,'[AQ_2021.xlsx]原始数据'!$A:$A,0)),""))</f>
        <v/>
      </c>
      <c r="S109">
        <f>IF($A109="","",IFERROR(INDEX('[AQ_2022.xlsx]原始数据'!$E:$E,MATCH($A109,'[AQ_2022.xlsx]原始数据'!$A:$A,0)),""))</f>
        <v/>
      </c>
      <c r="T109">
        <f>IF($A109="","",IFERROR(INDEX('[AQ_2023.xlsx]原始数据'!$E:$E,MATCH($A109,'[AQ_2023.xlsx]原始数据'!$A:$A,0)),""))</f>
        <v/>
      </c>
      <c r="U109">
        <f>IF($A109="","",IFERROR(INDEX('[AQ_2024.xlsx]原始数据'!$E:$E,MATCH($A109,'[AQ_2024.xlsx]原始数据'!$A:$A,0)),""))</f>
        <v/>
      </c>
      <c r="V109">
        <f>IF($A109="","",IFERROR(INDEX('[AQ_2020.xlsx]原始数据'!$F:$F,MATCH($A109,'[AQ_2020.xlsx]原始数据'!$A:$A,0)),""))</f>
        <v/>
      </c>
      <c r="W109">
        <f>IF($A109="","",IFERROR(INDEX('[AQ_2021.xlsx]原始数据'!$F:$F,MATCH($A109,'[AQ_2021.xlsx]原始数据'!$A:$A,0)),""))</f>
        <v/>
      </c>
      <c r="X109">
        <f>IF($A109="","",IFERROR(INDEX('[AQ_2022.xlsx]原始数据'!$F:$F,MATCH($A109,'[AQ_2022.xlsx]原始数据'!$A:$A,0)),""))</f>
        <v/>
      </c>
      <c r="Y109">
        <f>IF($A109="","",IFERROR(INDEX('[AQ_2023.xlsx]原始数据'!$F:$F,MATCH($A109,'[AQ_2023.xlsx]原始数据'!$A:$A,0)),""))</f>
        <v/>
      </c>
      <c r="Z109">
        <f>IF($A109="","",IFERROR(INDEX('[AQ_2024.xlsx]原始数据'!$F:$F,MATCH($A109,'[AQ_2024.xlsx]原始数据'!$A:$A,0)),""))</f>
        <v/>
      </c>
      <c r="AA109" s="2">
        <f>IFERROR(G109/B109,"")</f>
        <v/>
      </c>
      <c r="AB109" s="2">
        <f>IFERROR(H109/C109,"")</f>
        <v/>
      </c>
      <c r="AC109" s="2">
        <f>IFERROR(I109/D109,"")</f>
        <v/>
      </c>
      <c r="AD109" s="2">
        <f>IFERROR(J109/E109,"")</f>
        <v/>
      </c>
      <c r="AE109" s="2">
        <f>IFERROR(K109/F109,"")</f>
        <v/>
      </c>
      <c r="AF109" s="2">
        <f>IFERROR(L109/B109,"")</f>
        <v/>
      </c>
      <c r="AG109" s="2">
        <f>IFERROR(M109/C109,"")</f>
        <v/>
      </c>
      <c r="AH109" s="2">
        <f>IFERROR(N109/D109,"")</f>
        <v/>
      </c>
      <c r="AI109" s="2">
        <f>IFERROR(O109/E109,"")</f>
        <v/>
      </c>
      <c r="AJ109" s="2">
        <f>IFERROR(P109/F109,"")</f>
        <v/>
      </c>
      <c r="AK109" s="2">
        <f>IFERROR(Q109/B109,"")</f>
        <v/>
      </c>
      <c r="AL109" s="2">
        <f>IFERROR(R109/C109,"")</f>
        <v/>
      </c>
      <c r="AM109" s="2">
        <f>IFERROR(S109/D109,"")</f>
        <v/>
      </c>
      <c r="AN109" s="2">
        <f>IFERROR(T109/E109,"")</f>
        <v/>
      </c>
      <c r="AO109" s="2">
        <f>IFERROR(U109/F109,"")</f>
        <v/>
      </c>
    </row>
    <row r="110">
      <c r="B110">
        <f>IF($A110="","",IFERROR(INDEX('[AQ_2020.xlsx]原始数据'!$B:$B,MATCH($A110,'[AQ_2020.xlsx]原始数据'!$A:$A,0)),""))</f>
        <v/>
      </c>
      <c r="C110">
        <f>IF($A110="","",IFERROR(INDEX('[AQ_2021.xlsx]原始数据'!$B:$B,MATCH($A110,'[AQ_2021.xlsx]原始数据'!$A:$A,0)),""))</f>
        <v/>
      </c>
      <c r="D110">
        <f>IF($A110="","",IFERROR(INDEX('[AQ_2022.xlsx]原始数据'!$B:$B,MATCH($A110,'[AQ_2022.xlsx]原始数据'!$A:$A,0)),""))</f>
        <v/>
      </c>
      <c r="E110">
        <f>IF($A110="","",IFERROR(INDEX('[AQ_2023.xlsx]原始数据'!$B:$B,MATCH($A110,'[AQ_2023.xlsx]原始数据'!$A:$A,0)),""))</f>
        <v/>
      </c>
      <c r="F110">
        <f>IF($A110="","",IFERROR(INDEX('[AQ_2024.xlsx]原始数据'!$B:$B,MATCH($A110,'[AQ_2024.xlsx]原始数据'!$A:$A,0)),""))</f>
        <v/>
      </c>
      <c r="G110">
        <f>IF($A110="","",IFERROR(INDEX('[AQ_2020.xlsx]原始数据'!$C:$C,MATCH($A110,'[AQ_2020.xlsx]原始数据'!$A:$A,0)),""))</f>
        <v/>
      </c>
      <c r="H110">
        <f>IF($A110="","",IFERROR(INDEX('[AQ_2021.xlsx]原始数据'!$C:$C,MATCH($A110,'[AQ_2021.xlsx]原始数据'!$A:$A,0)),""))</f>
        <v/>
      </c>
      <c r="I110">
        <f>IF($A110="","",IFERROR(INDEX('[AQ_2022.xlsx]原始数据'!$C:$C,MATCH($A110,'[AQ_2022.xlsx]原始数据'!$A:$A,0)),""))</f>
        <v/>
      </c>
      <c r="J110">
        <f>IF($A110="","",IFERROR(INDEX('[AQ_2023.xlsx]原始数据'!$C:$C,MATCH($A110,'[AQ_2023.xlsx]原始数据'!$A:$A,0)),""))</f>
        <v/>
      </c>
      <c r="K110">
        <f>IF($A110="","",IFERROR(INDEX('[AQ_2024.xlsx]原始数据'!$C:$C,MATCH($A110,'[AQ_2024.xlsx]原始数据'!$A:$A,0)),""))</f>
        <v/>
      </c>
      <c r="L110">
        <f>IF($A110="","",IFERROR(INDEX('[AQ_2020.xlsx]原始数据'!$D:$D,MATCH($A110,'[AQ_2020.xlsx]原始数据'!$A:$A,0)),""))</f>
        <v/>
      </c>
      <c r="M110">
        <f>IF($A110="","",IFERROR(INDEX('[AQ_2021.xlsx]原始数据'!$D:$D,MATCH($A110,'[AQ_2021.xlsx]原始数据'!$A:$A,0)),""))</f>
        <v/>
      </c>
      <c r="N110">
        <f>IF($A110="","",IFERROR(INDEX('[AQ_2022.xlsx]原始数据'!$D:$D,MATCH($A110,'[AQ_2022.xlsx]原始数据'!$A:$A,0)),""))</f>
        <v/>
      </c>
      <c r="O110">
        <f>IF($A110="","",IFERROR(INDEX('[AQ_2023.xlsx]原始数据'!$D:$D,MATCH($A110,'[AQ_2023.xlsx]原始数据'!$A:$A,0)),""))</f>
        <v/>
      </c>
      <c r="P110">
        <f>IF($A110="","",IFERROR(INDEX('[AQ_2024.xlsx]原始数据'!$D:$D,MATCH($A110,'[AQ_2024.xlsx]原始数据'!$A:$A,0)),""))</f>
        <v/>
      </c>
      <c r="Q110">
        <f>IF($A110="","",IFERROR(INDEX('[AQ_2020.xlsx]原始数据'!$E:$E,MATCH($A110,'[AQ_2020.xlsx]原始数据'!$A:$A,0)),""))</f>
        <v/>
      </c>
      <c r="R110">
        <f>IF($A110="","",IFERROR(INDEX('[AQ_2021.xlsx]原始数据'!$E:$E,MATCH($A110,'[AQ_2021.xlsx]原始数据'!$A:$A,0)),""))</f>
        <v/>
      </c>
      <c r="S110">
        <f>IF($A110="","",IFERROR(INDEX('[AQ_2022.xlsx]原始数据'!$E:$E,MATCH($A110,'[AQ_2022.xlsx]原始数据'!$A:$A,0)),""))</f>
        <v/>
      </c>
      <c r="T110">
        <f>IF($A110="","",IFERROR(INDEX('[AQ_2023.xlsx]原始数据'!$E:$E,MATCH($A110,'[AQ_2023.xlsx]原始数据'!$A:$A,0)),""))</f>
        <v/>
      </c>
      <c r="U110">
        <f>IF($A110="","",IFERROR(INDEX('[AQ_2024.xlsx]原始数据'!$E:$E,MATCH($A110,'[AQ_2024.xlsx]原始数据'!$A:$A,0)),""))</f>
        <v/>
      </c>
      <c r="V110">
        <f>IF($A110="","",IFERROR(INDEX('[AQ_2020.xlsx]原始数据'!$F:$F,MATCH($A110,'[AQ_2020.xlsx]原始数据'!$A:$A,0)),""))</f>
        <v/>
      </c>
      <c r="W110">
        <f>IF($A110="","",IFERROR(INDEX('[AQ_2021.xlsx]原始数据'!$F:$F,MATCH($A110,'[AQ_2021.xlsx]原始数据'!$A:$A,0)),""))</f>
        <v/>
      </c>
      <c r="X110">
        <f>IF($A110="","",IFERROR(INDEX('[AQ_2022.xlsx]原始数据'!$F:$F,MATCH($A110,'[AQ_2022.xlsx]原始数据'!$A:$A,0)),""))</f>
        <v/>
      </c>
      <c r="Y110">
        <f>IF($A110="","",IFERROR(INDEX('[AQ_2023.xlsx]原始数据'!$F:$F,MATCH($A110,'[AQ_2023.xlsx]原始数据'!$A:$A,0)),""))</f>
        <v/>
      </c>
      <c r="Z110">
        <f>IF($A110="","",IFERROR(INDEX('[AQ_2024.xlsx]原始数据'!$F:$F,MATCH($A110,'[AQ_2024.xlsx]原始数据'!$A:$A,0)),""))</f>
        <v/>
      </c>
      <c r="AA110" s="2">
        <f>IFERROR(G110/B110,"")</f>
        <v/>
      </c>
      <c r="AB110" s="2">
        <f>IFERROR(H110/C110,"")</f>
        <v/>
      </c>
      <c r="AC110" s="2">
        <f>IFERROR(I110/D110,"")</f>
        <v/>
      </c>
      <c r="AD110" s="2">
        <f>IFERROR(J110/E110,"")</f>
        <v/>
      </c>
      <c r="AE110" s="2">
        <f>IFERROR(K110/F110,"")</f>
        <v/>
      </c>
      <c r="AF110" s="2">
        <f>IFERROR(L110/B110,"")</f>
        <v/>
      </c>
      <c r="AG110" s="2">
        <f>IFERROR(M110/C110,"")</f>
        <v/>
      </c>
      <c r="AH110" s="2">
        <f>IFERROR(N110/D110,"")</f>
        <v/>
      </c>
      <c r="AI110" s="2">
        <f>IFERROR(O110/E110,"")</f>
        <v/>
      </c>
      <c r="AJ110" s="2">
        <f>IFERROR(P110/F110,"")</f>
        <v/>
      </c>
      <c r="AK110" s="2">
        <f>IFERROR(Q110/B110,"")</f>
        <v/>
      </c>
      <c r="AL110" s="2">
        <f>IFERROR(R110/C110,"")</f>
        <v/>
      </c>
      <c r="AM110" s="2">
        <f>IFERROR(S110/D110,"")</f>
        <v/>
      </c>
      <c r="AN110" s="2">
        <f>IFERROR(T110/E110,"")</f>
        <v/>
      </c>
      <c r="AO110" s="2">
        <f>IFERROR(U110/F110,"")</f>
        <v/>
      </c>
    </row>
    <row r="111">
      <c r="B111">
        <f>IF($A111="","",IFERROR(INDEX('[AQ_2020.xlsx]原始数据'!$B:$B,MATCH($A111,'[AQ_2020.xlsx]原始数据'!$A:$A,0)),""))</f>
        <v/>
      </c>
      <c r="C111">
        <f>IF($A111="","",IFERROR(INDEX('[AQ_2021.xlsx]原始数据'!$B:$B,MATCH($A111,'[AQ_2021.xlsx]原始数据'!$A:$A,0)),""))</f>
        <v/>
      </c>
      <c r="D111">
        <f>IF($A111="","",IFERROR(INDEX('[AQ_2022.xlsx]原始数据'!$B:$B,MATCH($A111,'[AQ_2022.xlsx]原始数据'!$A:$A,0)),""))</f>
        <v/>
      </c>
      <c r="E111">
        <f>IF($A111="","",IFERROR(INDEX('[AQ_2023.xlsx]原始数据'!$B:$B,MATCH($A111,'[AQ_2023.xlsx]原始数据'!$A:$A,0)),""))</f>
        <v/>
      </c>
      <c r="F111">
        <f>IF($A111="","",IFERROR(INDEX('[AQ_2024.xlsx]原始数据'!$B:$B,MATCH($A111,'[AQ_2024.xlsx]原始数据'!$A:$A,0)),""))</f>
        <v/>
      </c>
      <c r="G111">
        <f>IF($A111="","",IFERROR(INDEX('[AQ_2020.xlsx]原始数据'!$C:$C,MATCH($A111,'[AQ_2020.xlsx]原始数据'!$A:$A,0)),""))</f>
        <v/>
      </c>
      <c r="H111">
        <f>IF($A111="","",IFERROR(INDEX('[AQ_2021.xlsx]原始数据'!$C:$C,MATCH($A111,'[AQ_2021.xlsx]原始数据'!$A:$A,0)),""))</f>
        <v/>
      </c>
      <c r="I111">
        <f>IF($A111="","",IFERROR(INDEX('[AQ_2022.xlsx]原始数据'!$C:$C,MATCH($A111,'[AQ_2022.xlsx]原始数据'!$A:$A,0)),""))</f>
        <v/>
      </c>
      <c r="J111">
        <f>IF($A111="","",IFERROR(INDEX('[AQ_2023.xlsx]原始数据'!$C:$C,MATCH($A111,'[AQ_2023.xlsx]原始数据'!$A:$A,0)),""))</f>
        <v/>
      </c>
      <c r="K111">
        <f>IF($A111="","",IFERROR(INDEX('[AQ_2024.xlsx]原始数据'!$C:$C,MATCH($A111,'[AQ_2024.xlsx]原始数据'!$A:$A,0)),""))</f>
        <v/>
      </c>
      <c r="L111">
        <f>IF($A111="","",IFERROR(INDEX('[AQ_2020.xlsx]原始数据'!$D:$D,MATCH($A111,'[AQ_2020.xlsx]原始数据'!$A:$A,0)),""))</f>
        <v/>
      </c>
      <c r="M111">
        <f>IF($A111="","",IFERROR(INDEX('[AQ_2021.xlsx]原始数据'!$D:$D,MATCH($A111,'[AQ_2021.xlsx]原始数据'!$A:$A,0)),""))</f>
        <v/>
      </c>
      <c r="N111">
        <f>IF($A111="","",IFERROR(INDEX('[AQ_2022.xlsx]原始数据'!$D:$D,MATCH($A111,'[AQ_2022.xlsx]原始数据'!$A:$A,0)),""))</f>
        <v/>
      </c>
      <c r="O111">
        <f>IF($A111="","",IFERROR(INDEX('[AQ_2023.xlsx]原始数据'!$D:$D,MATCH($A111,'[AQ_2023.xlsx]原始数据'!$A:$A,0)),""))</f>
        <v/>
      </c>
      <c r="P111">
        <f>IF($A111="","",IFERROR(INDEX('[AQ_2024.xlsx]原始数据'!$D:$D,MATCH($A111,'[AQ_2024.xlsx]原始数据'!$A:$A,0)),""))</f>
        <v/>
      </c>
      <c r="Q111">
        <f>IF($A111="","",IFERROR(INDEX('[AQ_2020.xlsx]原始数据'!$E:$E,MATCH($A111,'[AQ_2020.xlsx]原始数据'!$A:$A,0)),""))</f>
        <v/>
      </c>
      <c r="R111">
        <f>IF($A111="","",IFERROR(INDEX('[AQ_2021.xlsx]原始数据'!$E:$E,MATCH($A111,'[AQ_2021.xlsx]原始数据'!$A:$A,0)),""))</f>
        <v/>
      </c>
      <c r="S111">
        <f>IF($A111="","",IFERROR(INDEX('[AQ_2022.xlsx]原始数据'!$E:$E,MATCH($A111,'[AQ_2022.xlsx]原始数据'!$A:$A,0)),""))</f>
        <v/>
      </c>
      <c r="T111">
        <f>IF($A111="","",IFERROR(INDEX('[AQ_2023.xlsx]原始数据'!$E:$E,MATCH($A111,'[AQ_2023.xlsx]原始数据'!$A:$A,0)),""))</f>
        <v/>
      </c>
      <c r="U111">
        <f>IF($A111="","",IFERROR(INDEX('[AQ_2024.xlsx]原始数据'!$E:$E,MATCH($A111,'[AQ_2024.xlsx]原始数据'!$A:$A,0)),""))</f>
        <v/>
      </c>
      <c r="V111">
        <f>IF($A111="","",IFERROR(INDEX('[AQ_2020.xlsx]原始数据'!$F:$F,MATCH($A111,'[AQ_2020.xlsx]原始数据'!$A:$A,0)),""))</f>
        <v/>
      </c>
      <c r="W111">
        <f>IF($A111="","",IFERROR(INDEX('[AQ_2021.xlsx]原始数据'!$F:$F,MATCH($A111,'[AQ_2021.xlsx]原始数据'!$A:$A,0)),""))</f>
        <v/>
      </c>
      <c r="X111">
        <f>IF($A111="","",IFERROR(INDEX('[AQ_2022.xlsx]原始数据'!$F:$F,MATCH($A111,'[AQ_2022.xlsx]原始数据'!$A:$A,0)),""))</f>
        <v/>
      </c>
      <c r="Y111">
        <f>IF($A111="","",IFERROR(INDEX('[AQ_2023.xlsx]原始数据'!$F:$F,MATCH($A111,'[AQ_2023.xlsx]原始数据'!$A:$A,0)),""))</f>
        <v/>
      </c>
      <c r="Z111">
        <f>IF($A111="","",IFERROR(INDEX('[AQ_2024.xlsx]原始数据'!$F:$F,MATCH($A111,'[AQ_2024.xlsx]原始数据'!$A:$A,0)),""))</f>
        <v/>
      </c>
      <c r="AA111" s="2">
        <f>IFERROR(G111/B111,"")</f>
        <v/>
      </c>
      <c r="AB111" s="2">
        <f>IFERROR(H111/C111,"")</f>
        <v/>
      </c>
      <c r="AC111" s="2">
        <f>IFERROR(I111/D111,"")</f>
        <v/>
      </c>
      <c r="AD111" s="2">
        <f>IFERROR(J111/E111,"")</f>
        <v/>
      </c>
      <c r="AE111" s="2">
        <f>IFERROR(K111/F111,"")</f>
        <v/>
      </c>
      <c r="AF111" s="2">
        <f>IFERROR(L111/B111,"")</f>
        <v/>
      </c>
      <c r="AG111" s="2">
        <f>IFERROR(M111/C111,"")</f>
        <v/>
      </c>
      <c r="AH111" s="2">
        <f>IFERROR(N111/D111,"")</f>
        <v/>
      </c>
      <c r="AI111" s="2">
        <f>IFERROR(O111/E111,"")</f>
        <v/>
      </c>
      <c r="AJ111" s="2">
        <f>IFERROR(P111/F111,"")</f>
        <v/>
      </c>
      <c r="AK111" s="2">
        <f>IFERROR(Q111/B111,"")</f>
        <v/>
      </c>
      <c r="AL111" s="2">
        <f>IFERROR(R111/C111,"")</f>
        <v/>
      </c>
      <c r="AM111" s="2">
        <f>IFERROR(S111/D111,"")</f>
        <v/>
      </c>
      <c r="AN111" s="2">
        <f>IFERROR(T111/E111,"")</f>
        <v/>
      </c>
      <c r="AO111" s="2">
        <f>IFERROR(U111/F111,"")</f>
        <v/>
      </c>
    </row>
    <row r="112">
      <c r="B112">
        <f>IF($A112="","",IFERROR(INDEX('[AQ_2020.xlsx]原始数据'!$B:$B,MATCH($A112,'[AQ_2020.xlsx]原始数据'!$A:$A,0)),""))</f>
        <v/>
      </c>
      <c r="C112">
        <f>IF($A112="","",IFERROR(INDEX('[AQ_2021.xlsx]原始数据'!$B:$B,MATCH($A112,'[AQ_2021.xlsx]原始数据'!$A:$A,0)),""))</f>
        <v/>
      </c>
      <c r="D112">
        <f>IF($A112="","",IFERROR(INDEX('[AQ_2022.xlsx]原始数据'!$B:$B,MATCH($A112,'[AQ_2022.xlsx]原始数据'!$A:$A,0)),""))</f>
        <v/>
      </c>
      <c r="E112">
        <f>IF($A112="","",IFERROR(INDEX('[AQ_2023.xlsx]原始数据'!$B:$B,MATCH($A112,'[AQ_2023.xlsx]原始数据'!$A:$A,0)),""))</f>
        <v/>
      </c>
      <c r="F112">
        <f>IF($A112="","",IFERROR(INDEX('[AQ_2024.xlsx]原始数据'!$B:$B,MATCH($A112,'[AQ_2024.xlsx]原始数据'!$A:$A,0)),""))</f>
        <v/>
      </c>
      <c r="G112">
        <f>IF($A112="","",IFERROR(INDEX('[AQ_2020.xlsx]原始数据'!$C:$C,MATCH($A112,'[AQ_2020.xlsx]原始数据'!$A:$A,0)),""))</f>
        <v/>
      </c>
      <c r="H112">
        <f>IF($A112="","",IFERROR(INDEX('[AQ_2021.xlsx]原始数据'!$C:$C,MATCH($A112,'[AQ_2021.xlsx]原始数据'!$A:$A,0)),""))</f>
        <v/>
      </c>
      <c r="I112">
        <f>IF($A112="","",IFERROR(INDEX('[AQ_2022.xlsx]原始数据'!$C:$C,MATCH($A112,'[AQ_2022.xlsx]原始数据'!$A:$A,0)),""))</f>
        <v/>
      </c>
      <c r="J112">
        <f>IF($A112="","",IFERROR(INDEX('[AQ_2023.xlsx]原始数据'!$C:$C,MATCH($A112,'[AQ_2023.xlsx]原始数据'!$A:$A,0)),""))</f>
        <v/>
      </c>
      <c r="K112">
        <f>IF($A112="","",IFERROR(INDEX('[AQ_2024.xlsx]原始数据'!$C:$C,MATCH($A112,'[AQ_2024.xlsx]原始数据'!$A:$A,0)),""))</f>
        <v/>
      </c>
      <c r="L112">
        <f>IF($A112="","",IFERROR(INDEX('[AQ_2020.xlsx]原始数据'!$D:$D,MATCH($A112,'[AQ_2020.xlsx]原始数据'!$A:$A,0)),""))</f>
        <v/>
      </c>
      <c r="M112">
        <f>IF($A112="","",IFERROR(INDEX('[AQ_2021.xlsx]原始数据'!$D:$D,MATCH($A112,'[AQ_2021.xlsx]原始数据'!$A:$A,0)),""))</f>
        <v/>
      </c>
      <c r="N112">
        <f>IF($A112="","",IFERROR(INDEX('[AQ_2022.xlsx]原始数据'!$D:$D,MATCH($A112,'[AQ_2022.xlsx]原始数据'!$A:$A,0)),""))</f>
        <v/>
      </c>
      <c r="O112">
        <f>IF($A112="","",IFERROR(INDEX('[AQ_2023.xlsx]原始数据'!$D:$D,MATCH($A112,'[AQ_2023.xlsx]原始数据'!$A:$A,0)),""))</f>
        <v/>
      </c>
      <c r="P112">
        <f>IF($A112="","",IFERROR(INDEX('[AQ_2024.xlsx]原始数据'!$D:$D,MATCH($A112,'[AQ_2024.xlsx]原始数据'!$A:$A,0)),""))</f>
        <v/>
      </c>
      <c r="Q112">
        <f>IF($A112="","",IFERROR(INDEX('[AQ_2020.xlsx]原始数据'!$E:$E,MATCH($A112,'[AQ_2020.xlsx]原始数据'!$A:$A,0)),""))</f>
        <v/>
      </c>
      <c r="R112">
        <f>IF($A112="","",IFERROR(INDEX('[AQ_2021.xlsx]原始数据'!$E:$E,MATCH($A112,'[AQ_2021.xlsx]原始数据'!$A:$A,0)),""))</f>
        <v/>
      </c>
      <c r="S112">
        <f>IF($A112="","",IFERROR(INDEX('[AQ_2022.xlsx]原始数据'!$E:$E,MATCH($A112,'[AQ_2022.xlsx]原始数据'!$A:$A,0)),""))</f>
        <v/>
      </c>
      <c r="T112">
        <f>IF($A112="","",IFERROR(INDEX('[AQ_2023.xlsx]原始数据'!$E:$E,MATCH($A112,'[AQ_2023.xlsx]原始数据'!$A:$A,0)),""))</f>
        <v/>
      </c>
      <c r="U112">
        <f>IF($A112="","",IFERROR(INDEX('[AQ_2024.xlsx]原始数据'!$E:$E,MATCH($A112,'[AQ_2024.xlsx]原始数据'!$A:$A,0)),""))</f>
        <v/>
      </c>
      <c r="V112">
        <f>IF($A112="","",IFERROR(INDEX('[AQ_2020.xlsx]原始数据'!$F:$F,MATCH($A112,'[AQ_2020.xlsx]原始数据'!$A:$A,0)),""))</f>
        <v/>
      </c>
      <c r="W112">
        <f>IF($A112="","",IFERROR(INDEX('[AQ_2021.xlsx]原始数据'!$F:$F,MATCH($A112,'[AQ_2021.xlsx]原始数据'!$A:$A,0)),""))</f>
        <v/>
      </c>
      <c r="X112">
        <f>IF($A112="","",IFERROR(INDEX('[AQ_2022.xlsx]原始数据'!$F:$F,MATCH($A112,'[AQ_2022.xlsx]原始数据'!$A:$A,0)),""))</f>
        <v/>
      </c>
      <c r="Y112">
        <f>IF($A112="","",IFERROR(INDEX('[AQ_2023.xlsx]原始数据'!$F:$F,MATCH($A112,'[AQ_2023.xlsx]原始数据'!$A:$A,0)),""))</f>
        <v/>
      </c>
      <c r="Z112">
        <f>IF($A112="","",IFERROR(INDEX('[AQ_2024.xlsx]原始数据'!$F:$F,MATCH($A112,'[AQ_2024.xlsx]原始数据'!$A:$A,0)),""))</f>
        <v/>
      </c>
      <c r="AA112" s="2">
        <f>IFERROR(G112/B112,"")</f>
        <v/>
      </c>
      <c r="AB112" s="2">
        <f>IFERROR(H112/C112,"")</f>
        <v/>
      </c>
      <c r="AC112" s="2">
        <f>IFERROR(I112/D112,"")</f>
        <v/>
      </c>
      <c r="AD112" s="2">
        <f>IFERROR(J112/E112,"")</f>
        <v/>
      </c>
      <c r="AE112" s="2">
        <f>IFERROR(K112/F112,"")</f>
        <v/>
      </c>
      <c r="AF112" s="2">
        <f>IFERROR(L112/B112,"")</f>
        <v/>
      </c>
      <c r="AG112" s="2">
        <f>IFERROR(M112/C112,"")</f>
        <v/>
      </c>
      <c r="AH112" s="2">
        <f>IFERROR(N112/D112,"")</f>
        <v/>
      </c>
      <c r="AI112" s="2">
        <f>IFERROR(O112/E112,"")</f>
        <v/>
      </c>
      <c r="AJ112" s="2">
        <f>IFERROR(P112/F112,"")</f>
        <v/>
      </c>
      <c r="AK112" s="2">
        <f>IFERROR(Q112/B112,"")</f>
        <v/>
      </c>
      <c r="AL112" s="2">
        <f>IFERROR(R112/C112,"")</f>
        <v/>
      </c>
      <c r="AM112" s="2">
        <f>IFERROR(S112/D112,"")</f>
        <v/>
      </c>
      <c r="AN112" s="2">
        <f>IFERROR(T112/E112,"")</f>
        <v/>
      </c>
      <c r="AO112" s="2">
        <f>IFERROR(U112/F112,"")</f>
        <v/>
      </c>
    </row>
    <row r="113">
      <c r="B113">
        <f>IF($A113="","",IFERROR(INDEX('[AQ_2020.xlsx]原始数据'!$B:$B,MATCH($A113,'[AQ_2020.xlsx]原始数据'!$A:$A,0)),""))</f>
        <v/>
      </c>
      <c r="C113">
        <f>IF($A113="","",IFERROR(INDEX('[AQ_2021.xlsx]原始数据'!$B:$B,MATCH($A113,'[AQ_2021.xlsx]原始数据'!$A:$A,0)),""))</f>
        <v/>
      </c>
      <c r="D113">
        <f>IF($A113="","",IFERROR(INDEX('[AQ_2022.xlsx]原始数据'!$B:$B,MATCH($A113,'[AQ_2022.xlsx]原始数据'!$A:$A,0)),""))</f>
        <v/>
      </c>
      <c r="E113">
        <f>IF($A113="","",IFERROR(INDEX('[AQ_2023.xlsx]原始数据'!$B:$B,MATCH($A113,'[AQ_2023.xlsx]原始数据'!$A:$A,0)),""))</f>
        <v/>
      </c>
      <c r="F113">
        <f>IF($A113="","",IFERROR(INDEX('[AQ_2024.xlsx]原始数据'!$B:$B,MATCH($A113,'[AQ_2024.xlsx]原始数据'!$A:$A,0)),""))</f>
        <v/>
      </c>
      <c r="G113">
        <f>IF($A113="","",IFERROR(INDEX('[AQ_2020.xlsx]原始数据'!$C:$C,MATCH($A113,'[AQ_2020.xlsx]原始数据'!$A:$A,0)),""))</f>
        <v/>
      </c>
      <c r="H113">
        <f>IF($A113="","",IFERROR(INDEX('[AQ_2021.xlsx]原始数据'!$C:$C,MATCH($A113,'[AQ_2021.xlsx]原始数据'!$A:$A,0)),""))</f>
        <v/>
      </c>
      <c r="I113">
        <f>IF($A113="","",IFERROR(INDEX('[AQ_2022.xlsx]原始数据'!$C:$C,MATCH($A113,'[AQ_2022.xlsx]原始数据'!$A:$A,0)),""))</f>
        <v/>
      </c>
      <c r="J113">
        <f>IF($A113="","",IFERROR(INDEX('[AQ_2023.xlsx]原始数据'!$C:$C,MATCH($A113,'[AQ_2023.xlsx]原始数据'!$A:$A,0)),""))</f>
        <v/>
      </c>
      <c r="K113">
        <f>IF($A113="","",IFERROR(INDEX('[AQ_2024.xlsx]原始数据'!$C:$C,MATCH($A113,'[AQ_2024.xlsx]原始数据'!$A:$A,0)),""))</f>
        <v/>
      </c>
      <c r="L113">
        <f>IF($A113="","",IFERROR(INDEX('[AQ_2020.xlsx]原始数据'!$D:$D,MATCH($A113,'[AQ_2020.xlsx]原始数据'!$A:$A,0)),""))</f>
        <v/>
      </c>
      <c r="M113">
        <f>IF($A113="","",IFERROR(INDEX('[AQ_2021.xlsx]原始数据'!$D:$D,MATCH($A113,'[AQ_2021.xlsx]原始数据'!$A:$A,0)),""))</f>
        <v/>
      </c>
      <c r="N113">
        <f>IF($A113="","",IFERROR(INDEX('[AQ_2022.xlsx]原始数据'!$D:$D,MATCH($A113,'[AQ_2022.xlsx]原始数据'!$A:$A,0)),""))</f>
        <v/>
      </c>
      <c r="O113">
        <f>IF($A113="","",IFERROR(INDEX('[AQ_2023.xlsx]原始数据'!$D:$D,MATCH($A113,'[AQ_2023.xlsx]原始数据'!$A:$A,0)),""))</f>
        <v/>
      </c>
      <c r="P113">
        <f>IF($A113="","",IFERROR(INDEX('[AQ_2024.xlsx]原始数据'!$D:$D,MATCH($A113,'[AQ_2024.xlsx]原始数据'!$A:$A,0)),""))</f>
        <v/>
      </c>
      <c r="Q113">
        <f>IF($A113="","",IFERROR(INDEX('[AQ_2020.xlsx]原始数据'!$E:$E,MATCH($A113,'[AQ_2020.xlsx]原始数据'!$A:$A,0)),""))</f>
        <v/>
      </c>
      <c r="R113">
        <f>IF($A113="","",IFERROR(INDEX('[AQ_2021.xlsx]原始数据'!$E:$E,MATCH($A113,'[AQ_2021.xlsx]原始数据'!$A:$A,0)),""))</f>
        <v/>
      </c>
      <c r="S113">
        <f>IF($A113="","",IFERROR(INDEX('[AQ_2022.xlsx]原始数据'!$E:$E,MATCH($A113,'[AQ_2022.xlsx]原始数据'!$A:$A,0)),""))</f>
        <v/>
      </c>
      <c r="T113">
        <f>IF($A113="","",IFERROR(INDEX('[AQ_2023.xlsx]原始数据'!$E:$E,MATCH($A113,'[AQ_2023.xlsx]原始数据'!$A:$A,0)),""))</f>
        <v/>
      </c>
      <c r="U113">
        <f>IF($A113="","",IFERROR(INDEX('[AQ_2024.xlsx]原始数据'!$E:$E,MATCH($A113,'[AQ_2024.xlsx]原始数据'!$A:$A,0)),""))</f>
        <v/>
      </c>
      <c r="V113">
        <f>IF($A113="","",IFERROR(INDEX('[AQ_2020.xlsx]原始数据'!$F:$F,MATCH($A113,'[AQ_2020.xlsx]原始数据'!$A:$A,0)),""))</f>
        <v/>
      </c>
      <c r="W113">
        <f>IF($A113="","",IFERROR(INDEX('[AQ_2021.xlsx]原始数据'!$F:$F,MATCH($A113,'[AQ_2021.xlsx]原始数据'!$A:$A,0)),""))</f>
        <v/>
      </c>
      <c r="X113">
        <f>IF($A113="","",IFERROR(INDEX('[AQ_2022.xlsx]原始数据'!$F:$F,MATCH($A113,'[AQ_2022.xlsx]原始数据'!$A:$A,0)),""))</f>
        <v/>
      </c>
      <c r="Y113">
        <f>IF($A113="","",IFERROR(INDEX('[AQ_2023.xlsx]原始数据'!$F:$F,MATCH($A113,'[AQ_2023.xlsx]原始数据'!$A:$A,0)),""))</f>
        <v/>
      </c>
      <c r="Z113">
        <f>IF($A113="","",IFERROR(INDEX('[AQ_2024.xlsx]原始数据'!$F:$F,MATCH($A113,'[AQ_2024.xlsx]原始数据'!$A:$A,0)),""))</f>
        <v/>
      </c>
      <c r="AA113" s="2">
        <f>IFERROR(G113/B113,"")</f>
        <v/>
      </c>
      <c r="AB113" s="2">
        <f>IFERROR(H113/C113,"")</f>
        <v/>
      </c>
      <c r="AC113" s="2">
        <f>IFERROR(I113/D113,"")</f>
        <v/>
      </c>
      <c r="AD113" s="2">
        <f>IFERROR(J113/E113,"")</f>
        <v/>
      </c>
      <c r="AE113" s="2">
        <f>IFERROR(K113/F113,"")</f>
        <v/>
      </c>
      <c r="AF113" s="2">
        <f>IFERROR(L113/B113,"")</f>
        <v/>
      </c>
      <c r="AG113" s="2">
        <f>IFERROR(M113/C113,"")</f>
        <v/>
      </c>
      <c r="AH113" s="2">
        <f>IFERROR(N113/D113,"")</f>
        <v/>
      </c>
      <c r="AI113" s="2">
        <f>IFERROR(O113/E113,"")</f>
        <v/>
      </c>
      <c r="AJ113" s="2">
        <f>IFERROR(P113/F113,"")</f>
        <v/>
      </c>
      <c r="AK113" s="2">
        <f>IFERROR(Q113/B113,"")</f>
        <v/>
      </c>
      <c r="AL113" s="2">
        <f>IFERROR(R113/C113,"")</f>
        <v/>
      </c>
      <c r="AM113" s="2">
        <f>IFERROR(S113/D113,"")</f>
        <v/>
      </c>
      <c r="AN113" s="2">
        <f>IFERROR(T113/E113,"")</f>
        <v/>
      </c>
      <c r="AO113" s="2">
        <f>IFERROR(U113/F113,"")</f>
        <v/>
      </c>
    </row>
    <row r="114">
      <c r="B114">
        <f>IF($A114="","",IFERROR(INDEX('[AQ_2020.xlsx]原始数据'!$B:$B,MATCH($A114,'[AQ_2020.xlsx]原始数据'!$A:$A,0)),""))</f>
        <v/>
      </c>
      <c r="C114">
        <f>IF($A114="","",IFERROR(INDEX('[AQ_2021.xlsx]原始数据'!$B:$B,MATCH($A114,'[AQ_2021.xlsx]原始数据'!$A:$A,0)),""))</f>
        <v/>
      </c>
      <c r="D114">
        <f>IF($A114="","",IFERROR(INDEX('[AQ_2022.xlsx]原始数据'!$B:$B,MATCH($A114,'[AQ_2022.xlsx]原始数据'!$A:$A,0)),""))</f>
        <v/>
      </c>
      <c r="E114">
        <f>IF($A114="","",IFERROR(INDEX('[AQ_2023.xlsx]原始数据'!$B:$B,MATCH($A114,'[AQ_2023.xlsx]原始数据'!$A:$A,0)),""))</f>
        <v/>
      </c>
      <c r="F114">
        <f>IF($A114="","",IFERROR(INDEX('[AQ_2024.xlsx]原始数据'!$B:$B,MATCH($A114,'[AQ_2024.xlsx]原始数据'!$A:$A,0)),""))</f>
        <v/>
      </c>
      <c r="G114">
        <f>IF($A114="","",IFERROR(INDEX('[AQ_2020.xlsx]原始数据'!$C:$C,MATCH($A114,'[AQ_2020.xlsx]原始数据'!$A:$A,0)),""))</f>
        <v/>
      </c>
      <c r="H114">
        <f>IF($A114="","",IFERROR(INDEX('[AQ_2021.xlsx]原始数据'!$C:$C,MATCH($A114,'[AQ_2021.xlsx]原始数据'!$A:$A,0)),""))</f>
        <v/>
      </c>
      <c r="I114">
        <f>IF($A114="","",IFERROR(INDEX('[AQ_2022.xlsx]原始数据'!$C:$C,MATCH($A114,'[AQ_2022.xlsx]原始数据'!$A:$A,0)),""))</f>
        <v/>
      </c>
      <c r="J114">
        <f>IF($A114="","",IFERROR(INDEX('[AQ_2023.xlsx]原始数据'!$C:$C,MATCH($A114,'[AQ_2023.xlsx]原始数据'!$A:$A,0)),""))</f>
        <v/>
      </c>
      <c r="K114">
        <f>IF($A114="","",IFERROR(INDEX('[AQ_2024.xlsx]原始数据'!$C:$C,MATCH($A114,'[AQ_2024.xlsx]原始数据'!$A:$A,0)),""))</f>
        <v/>
      </c>
      <c r="L114">
        <f>IF($A114="","",IFERROR(INDEX('[AQ_2020.xlsx]原始数据'!$D:$D,MATCH($A114,'[AQ_2020.xlsx]原始数据'!$A:$A,0)),""))</f>
        <v/>
      </c>
      <c r="M114">
        <f>IF($A114="","",IFERROR(INDEX('[AQ_2021.xlsx]原始数据'!$D:$D,MATCH($A114,'[AQ_2021.xlsx]原始数据'!$A:$A,0)),""))</f>
        <v/>
      </c>
      <c r="N114">
        <f>IF($A114="","",IFERROR(INDEX('[AQ_2022.xlsx]原始数据'!$D:$D,MATCH($A114,'[AQ_2022.xlsx]原始数据'!$A:$A,0)),""))</f>
        <v/>
      </c>
      <c r="O114">
        <f>IF($A114="","",IFERROR(INDEX('[AQ_2023.xlsx]原始数据'!$D:$D,MATCH($A114,'[AQ_2023.xlsx]原始数据'!$A:$A,0)),""))</f>
        <v/>
      </c>
      <c r="P114">
        <f>IF($A114="","",IFERROR(INDEX('[AQ_2024.xlsx]原始数据'!$D:$D,MATCH($A114,'[AQ_2024.xlsx]原始数据'!$A:$A,0)),""))</f>
        <v/>
      </c>
      <c r="Q114">
        <f>IF($A114="","",IFERROR(INDEX('[AQ_2020.xlsx]原始数据'!$E:$E,MATCH($A114,'[AQ_2020.xlsx]原始数据'!$A:$A,0)),""))</f>
        <v/>
      </c>
      <c r="R114">
        <f>IF($A114="","",IFERROR(INDEX('[AQ_2021.xlsx]原始数据'!$E:$E,MATCH($A114,'[AQ_2021.xlsx]原始数据'!$A:$A,0)),""))</f>
        <v/>
      </c>
      <c r="S114">
        <f>IF($A114="","",IFERROR(INDEX('[AQ_2022.xlsx]原始数据'!$E:$E,MATCH($A114,'[AQ_2022.xlsx]原始数据'!$A:$A,0)),""))</f>
        <v/>
      </c>
      <c r="T114">
        <f>IF($A114="","",IFERROR(INDEX('[AQ_2023.xlsx]原始数据'!$E:$E,MATCH($A114,'[AQ_2023.xlsx]原始数据'!$A:$A,0)),""))</f>
        <v/>
      </c>
      <c r="U114">
        <f>IF($A114="","",IFERROR(INDEX('[AQ_2024.xlsx]原始数据'!$E:$E,MATCH($A114,'[AQ_2024.xlsx]原始数据'!$A:$A,0)),""))</f>
        <v/>
      </c>
      <c r="V114">
        <f>IF($A114="","",IFERROR(INDEX('[AQ_2020.xlsx]原始数据'!$F:$F,MATCH($A114,'[AQ_2020.xlsx]原始数据'!$A:$A,0)),""))</f>
        <v/>
      </c>
      <c r="W114">
        <f>IF($A114="","",IFERROR(INDEX('[AQ_2021.xlsx]原始数据'!$F:$F,MATCH($A114,'[AQ_2021.xlsx]原始数据'!$A:$A,0)),""))</f>
        <v/>
      </c>
      <c r="X114">
        <f>IF($A114="","",IFERROR(INDEX('[AQ_2022.xlsx]原始数据'!$F:$F,MATCH($A114,'[AQ_2022.xlsx]原始数据'!$A:$A,0)),""))</f>
        <v/>
      </c>
      <c r="Y114">
        <f>IF($A114="","",IFERROR(INDEX('[AQ_2023.xlsx]原始数据'!$F:$F,MATCH($A114,'[AQ_2023.xlsx]原始数据'!$A:$A,0)),""))</f>
        <v/>
      </c>
      <c r="Z114">
        <f>IF($A114="","",IFERROR(INDEX('[AQ_2024.xlsx]原始数据'!$F:$F,MATCH($A114,'[AQ_2024.xlsx]原始数据'!$A:$A,0)),""))</f>
        <v/>
      </c>
      <c r="AA114" s="2">
        <f>IFERROR(G114/B114,"")</f>
        <v/>
      </c>
      <c r="AB114" s="2">
        <f>IFERROR(H114/C114,"")</f>
        <v/>
      </c>
      <c r="AC114" s="2">
        <f>IFERROR(I114/D114,"")</f>
        <v/>
      </c>
      <c r="AD114" s="2">
        <f>IFERROR(J114/E114,"")</f>
        <v/>
      </c>
      <c r="AE114" s="2">
        <f>IFERROR(K114/F114,"")</f>
        <v/>
      </c>
      <c r="AF114" s="2">
        <f>IFERROR(L114/B114,"")</f>
        <v/>
      </c>
      <c r="AG114" s="2">
        <f>IFERROR(M114/C114,"")</f>
        <v/>
      </c>
      <c r="AH114" s="2">
        <f>IFERROR(N114/D114,"")</f>
        <v/>
      </c>
      <c r="AI114" s="2">
        <f>IFERROR(O114/E114,"")</f>
        <v/>
      </c>
      <c r="AJ114" s="2">
        <f>IFERROR(P114/F114,"")</f>
        <v/>
      </c>
      <c r="AK114" s="2">
        <f>IFERROR(Q114/B114,"")</f>
        <v/>
      </c>
      <c r="AL114" s="2">
        <f>IFERROR(R114/C114,"")</f>
        <v/>
      </c>
      <c r="AM114" s="2">
        <f>IFERROR(S114/D114,"")</f>
        <v/>
      </c>
      <c r="AN114" s="2">
        <f>IFERROR(T114/E114,"")</f>
        <v/>
      </c>
      <c r="AO114" s="2">
        <f>IFERROR(U114/F114,"")</f>
        <v/>
      </c>
    </row>
    <row r="115">
      <c r="B115">
        <f>IF($A115="","",IFERROR(INDEX('[AQ_2020.xlsx]原始数据'!$B:$B,MATCH($A115,'[AQ_2020.xlsx]原始数据'!$A:$A,0)),""))</f>
        <v/>
      </c>
      <c r="C115">
        <f>IF($A115="","",IFERROR(INDEX('[AQ_2021.xlsx]原始数据'!$B:$B,MATCH($A115,'[AQ_2021.xlsx]原始数据'!$A:$A,0)),""))</f>
        <v/>
      </c>
      <c r="D115">
        <f>IF($A115="","",IFERROR(INDEX('[AQ_2022.xlsx]原始数据'!$B:$B,MATCH($A115,'[AQ_2022.xlsx]原始数据'!$A:$A,0)),""))</f>
        <v/>
      </c>
      <c r="E115">
        <f>IF($A115="","",IFERROR(INDEX('[AQ_2023.xlsx]原始数据'!$B:$B,MATCH($A115,'[AQ_2023.xlsx]原始数据'!$A:$A,0)),""))</f>
        <v/>
      </c>
      <c r="F115">
        <f>IF($A115="","",IFERROR(INDEX('[AQ_2024.xlsx]原始数据'!$B:$B,MATCH($A115,'[AQ_2024.xlsx]原始数据'!$A:$A,0)),""))</f>
        <v/>
      </c>
      <c r="G115">
        <f>IF($A115="","",IFERROR(INDEX('[AQ_2020.xlsx]原始数据'!$C:$C,MATCH($A115,'[AQ_2020.xlsx]原始数据'!$A:$A,0)),""))</f>
        <v/>
      </c>
      <c r="H115">
        <f>IF($A115="","",IFERROR(INDEX('[AQ_2021.xlsx]原始数据'!$C:$C,MATCH($A115,'[AQ_2021.xlsx]原始数据'!$A:$A,0)),""))</f>
        <v/>
      </c>
      <c r="I115">
        <f>IF($A115="","",IFERROR(INDEX('[AQ_2022.xlsx]原始数据'!$C:$C,MATCH($A115,'[AQ_2022.xlsx]原始数据'!$A:$A,0)),""))</f>
        <v/>
      </c>
      <c r="J115">
        <f>IF($A115="","",IFERROR(INDEX('[AQ_2023.xlsx]原始数据'!$C:$C,MATCH($A115,'[AQ_2023.xlsx]原始数据'!$A:$A,0)),""))</f>
        <v/>
      </c>
      <c r="K115">
        <f>IF($A115="","",IFERROR(INDEX('[AQ_2024.xlsx]原始数据'!$C:$C,MATCH($A115,'[AQ_2024.xlsx]原始数据'!$A:$A,0)),""))</f>
        <v/>
      </c>
      <c r="L115">
        <f>IF($A115="","",IFERROR(INDEX('[AQ_2020.xlsx]原始数据'!$D:$D,MATCH($A115,'[AQ_2020.xlsx]原始数据'!$A:$A,0)),""))</f>
        <v/>
      </c>
      <c r="M115">
        <f>IF($A115="","",IFERROR(INDEX('[AQ_2021.xlsx]原始数据'!$D:$D,MATCH($A115,'[AQ_2021.xlsx]原始数据'!$A:$A,0)),""))</f>
        <v/>
      </c>
      <c r="N115">
        <f>IF($A115="","",IFERROR(INDEX('[AQ_2022.xlsx]原始数据'!$D:$D,MATCH($A115,'[AQ_2022.xlsx]原始数据'!$A:$A,0)),""))</f>
        <v/>
      </c>
      <c r="O115">
        <f>IF($A115="","",IFERROR(INDEX('[AQ_2023.xlsx]原始数据'!$D:$D,MATCH($A115,'[AQ_2023.xlsx]原始数据'!$A:$A,0)),""))</f>
        <v/>
      </c>
      <c r="P115">
        <f>IF($A115="","",IFERROR(INDEX('[AQ_2024.xlsx]原始数据'!$D:$D,MATCH($A115,'[AQ_2024.xlsx]原始数据'!$A:$A,0)),""))</f>
        <v/>
      </c>
      <c r="Q115">
        <f>IF($A115="","",IFERROR(INDEX('[AQ_2020.xlsx]原始数据'!$E:$E,MATCH($A115,'[AQ_2020.xlsx]原始数据'!$A:$A,0)),""))</f>
        <v/>
      </c>
      <c r="R115">
        <f>IF($A115="","",IFERROR(INDEX('[AQ_2021.xlsx]原始数据'!$E:$E,MATCH($A115,'[AQ_2021.xlsx]原始数据'!$A:$A,0)),""))</f>
        <v/>
      </c>
      <c r="S115">
        <f>IF($A115="","",IFERROR(INDEX('[AQ_2022.xlsx]原始数据'!$E:$E,MATCH($A115,'[AQ_2022.xlsx]原始数据'!$A:$A,0)),""))</f>
        <v/>
      </c>
      <c r="T115">
        <f>IF($A115="","",IFERROR(INDEX('[AQ_2023.xlsx]原始数据'!$E:$E,MATCH($A115,'[AQ_2023.xlsx]原始数据'!$A:$A,0)),""))</f>
        <v/>
      </c>
      <c r="U115">
        <f>IF($A115="","",IFERROR(INDEX('[AQ_2024.xlsx]原始数据'!$E:$E,MATCH($A115,'[AQ_2024.xlsx]原始数据'!$A:$A,0)),""))</f>
        <v/>
      </c>
      <c r="V115">
        <f>IF($A115="","",IFERROR(INDEX('[AQ_2020.xlsx]原始数据'!$F:$F,MATCH($A115,'[AQ_2020.xlsx]原始数据'!$A:$A,0)),""))</f>
        <v/>
      </c>
      <c r="W115">
        <f>IF($A115="","",IFERROR(INDEX('[AQ_2021.xlsx]原始数据'!$F:$F,MATCH($A115,'[AQ_2021.xlsx]原始数据'!$A:$A,0)),""))</f>
        <v/>
      </c>
      <c r="X115">
        <f>IF($A115="","",IFERROR(INDEX('[AQ_2022.xlsx]原始数据'!$F:$F,MATCH($A115,'[AQ_2022.xlsx]原始数据'!$A:$A,0)),""))</f>
        <v/>
      </c>
      <c r="Y115">
        <f>IF($A115="","",IFERROR(INDEX('[AQ_2023.xlsx]原始数据'!$F:$F,MATCH($A115,'[AQ_2023.xlsx]原始数据'!$A:$A,0)),""))</f>
        <v/>
      </c>
      <c r="Z115">
        <f>IF($A115="","",IFERROR(INDEX('[AQ_2024.xlsx]原始数据'!$F:$F,MATCH($A115,'[AQ_2024.xlsx]原始数据'!$A:$A,0)),""))</f>
        <v/>
      </c>
      <c r="AA115" s="2">
        <f>IFERROR(G115/B115,"")</f>
        <v/>
      </c>
      <c r="AB115" s="2">
        <f>IFERROR(H115/C115,"")</f>
        <v/>
      </c>
      <c r="AC115" s="2">
        <f>IFERROR(I115/D115,"")</f>
        <v/>
      </c>
      <c r="AD115" s="2">
        <f>IFERROR(J115/E115,"")</f>
        <v/>
      </c>
      <c r="AE115" s="2">
        <f>IFERROR(K115/F115,"")</f>
        <v/>
      </c>
      <c r="AF115" s="2">
        <f>IFERROR(L115/B115,"")</f>
        <v/>
      </c>
      <c r="AG115" s="2">
        <f>IFERROR(M115/C115,"")</f>
        <v/>
      </c>
      <c r="AH115" s="2">
        <f>IFERROR(N115/D115,"")</f>
        <v/>
      </c>
      <c r="AI115" s="2">
        <f>IFERROR(O115/E115,"")</f>
        <v/>
      </c>
      <c r="AJ115" s="2">
        <f>IFERROR(P115/F115,"")</f>
        <v/>
      </c>
      <c r="AK115" s="2">
        <f>IFERROR(Q115/B115,"")</f>
        <v/>
      </c>
      <c r="AL115" s="2">
        <f>IFERROR(R115/C115,"")</f>
        <v/>
      </c>
      <c r="AM115" s="2">
        <f>IFERROR(S115/D115,"")</f>
        <v/>
      </c>
      <c r="AN115" s="2">
        <f>IFERROR(T115/E115,"")</f>
        <v/>
      </c>
      <c r="AO115" s="2">
        <f>IFERROR(U115/F115,"")</f>
        <v/>
      </c>
    </row>
    <row r="116">
      <c r="B116">
        <f>IF($A116="","",IFERROR(INDEX('[AQ_2020.xlsx]原始数据'!$B:$B,MATCH($A116,'[AQ_2020.xlsx]原始数据'!$A:$A,0)),""))</f>
        <v/>
      </c>
      <c r="C116">
        <f>IF($A116="","",IFERROR(INDEX('[AQ_2021.xlsx]原始数据'!$B:$B,MATCH($A116,'[AQ_2021.xlsx]原始数据'!$A:$A,0)),""))</f>
        <v/>
      </c>
      <c r="D116">
        <f>IF($A116="","",IFERROR(INDEX('[AQ_2022.xlsx]原始数据'!$B:$B,MATCH($A116,'[AQ_2022.xlsx]原始数据'!$A:$A,0)),""))</f>
        <v/>
      </c>
      <c r="E116">
        <f>IF($A116="","",IFERROR(INDEX('[AQ_2023.xlsx]原始数据'!$B:$B,MATCH($A116,'[AQ_2023.xlsx]原始数据'!$A:$A,0)),""))</f>
        <v/>
      </c>
      <c r="F116">
        <f>IF($A116="","",IFERROR(INDEX('[AQ_2024.xlsx]原始数据'!$B:$B,MATCH($A116,'[AQ_2024.xlsx]原始数据'!$A:$A,0)),""))</f>
        <v/>
      </c>
      <c r="G116">
        <f>IF($A116="","",IFERROR(INDEX('[AQ_2020.xlsx]原始数据'!$C:$C,MATCH($A116,'[AQ_2020.xlsx]原始数据'!$A:$A,0)),""))</f>
        <v/>
      </c>
      <c r="H116">
        <f>IF($A116="","",IFERROR(INDEX('[AQ_2021.xlsx]原始数据'!$C:$C,MATCH($A116,'[AQ_2021.xlsx]原始数据'!$A:$A,0)),""))</f>
        <v/>
      </c>
      <c r="I116">
        <f>IF($A116="","",IFERROR(INDEX('[AQ_2022.xlsx]原始数据'!$C:$C,MATCH($A116,'[AQ_2022.xlsx]原始数据'!$A:$A,0)),""))</f>
        <v/>
      </c>
      <c r="J116">
        <f>IF($A116="","",IFERROR(INDEX('[AQ_2023.xlsx]原始数据'!$C:$C,MATCH($A116,'[AQ_2023.xlsx]原始数据'!$A:$A,0)),""))</f>
        <v/>
      </c>
      <c r="K116">
        <f>IF($A116="","",IFERROR(INDEX('[AQ_2024.xlsx]原始数据'!$C:$C,MATCH($A116,'[AQ_2024.xlsx]原始数据'!$A:$A,0)),""))</f>
        <v/>
      </c>
      <c r="L116">
        <f>IF($A116="","",IFERROR(INDEX('[AQ_2020.xlsx]原始数据'!$D:$D,MATCH($A116,'[AQ_2020.xlsx]原始数据'!$A:$A,0)),""))</f>
        <v/>
      </c>
      <c r="M116">
        <f>IF($A116="","",IFERROR(INDEX('[AQ_2021.xlsx]原始数据'!$D:$D,MATCH($A116,'[AQ_2021.xlsx]原始数据'!$A:$A,0)),""))</f>
        <v/>
      </c>
      <c r="N116">
        <f>IF($A116="","",IFERROR(INDEX('[AQ_2022.xlsx]原始数据'!$D:$D,MATCH($A116,'[AQ_2022.xlsx]原始数据'!$A:$A,0)),""))</f>
        <v/>
      </c>
      <c r="O116">
        <f>IF($A116="","",IFERROR(INDEX('[AQ_2023.xlsx]原始数据'!$D:$D,MATCH($A116,'[AQ_2023.xlsx]原始数据'!$A:$A,0)),""))</f>
        <v/>
      </c>
      <c r="P116">
        <f>IF($A116="","",IFERROR(INDEX('[AQ_2024.xlsx]原始数据'!$D:$D,MATCH($A116,'[AQ_2024.xlsx]原始数据'!$A:$A,0)),""))</f>
        <v/>
      </c>
      <c r="Q116">
        <f>IF($A116="","",IFERROR(INDEX('[AQ_2020.xlsx]原始数据'!$E:$E,MATCH($A116,'[AQ_2020.xlsx]原始数据'!$A:$A,0)),""))</f>
        <v/>
      </c>
      <c r="R116">
        <f>IF($A116="","",IFERROR(INDEX('[AQ_2021.xlsx]原始数据'!$E:$E,MATCH($A116,'[AQ_2021.xlsx]原始数据'!$A:$A,0)),""))</f>
        <v/>
      </c>
      <c r="S116">
        <f>IF($A116="","",IFERROR(INDEX('[AQ_2022.xlsx]原始数据'!$E:$E,MATCH($A116,'[AQ_2022.xlsx]原始数据'!$A:$A,0)),""))</f>
        <v/>
      </c>
      <c r="T116">
        <f>IF($A116="","",IFERROR(INDEX('[AQ_2023.xlsx]原始数据'!$E:$E,MATCH($A116,'[AQ_2023.xlsx]原始数据'!$A:$A,0)),""))</f>
        <v/>
      </c>
      <c r="U116">
        <f>IF($A116="","",IFERROR(INDEX('[AQ_2024.xlsx]原始数据'!$E:$E,MATCH($A116,'[AQ_2024.xlsx]原始数据'!$A:$A,0)),""))</f>
        <v/>
      </c>
      <c r="V116">
        <f>IF($A116="","",IFERROR(INDEX('[AQ_2020.xlsx]原始数据'!$F:$F,MATCH($A116,'[AQ_2020.xlsx]原始数据'!$A:$A,0)),""))</f>
        <v/>
      </c>
      <c r="W116">
        <f>IF($A116="","",IFERROR(INDEX('[AQ_2021.xlsx]原始数据'!$F:$F,MATCH($A116,'[AQ_2021.xlsx]原始数据'!$A:$A,0)),""))</f>
        <v/>
      </c>
      <c r="X116">
        <f>IF($A116="","",IFERROR(INDEX('[AQ_2022.xlsx]原始数据'!$F:$F,MATCH($A116,'[AQ_2022.xlsx]原始数据'!$A:$A,0)),""))</f>
        <v/>
      </c>
      <c r="Y116">
        <f>IF($A116="","",IFERROR(INDEX('[AQ_2023.xlsx]原始数据'!$F:$F,MATCH($A116,'[AQ_2023.xlsx]原始数据'!$A:$A,0)),""))</f>
        <v/>
      </c>
      <c r="Z116">
        <f>IF($A116="","",IFERROR(INDEX('[AQ_2024.xlsx]原始数据'!$F:$F,MATCH($A116,'[AQ_2024.xlsx]原始数据'!$A:$A,0)),""))</f>
        <v/>
      </c>
      <c r="AA116" s="2">
        <f>IFERROR(G116/B116,"")</f>
        <v/>
      </c>
      <c r="AB116" s="2">
        <f>IFERROR(H116/C116,"")</f>
        <v/>
      </c>
      <c r="AC116" s="2">
        <f>IFERROR(I116/D116,"")</f>
        <v/>
      </c>
      <c r="AD116" s="2">
        <f>IFERROR(J116/E116,"")</f>
        <v/>
      </c>
      <c r="AE116" s="2">
        <f>IFERROR(K116/F116,"")</f>
        <v/>
      </c>
      <c r="AF116" s="2">
        <f>IFERROR(L116/B116,"")</f>
        <v/>
      </c>
      <c r="AG116" s="2">
        <f>IFERROR(M116/C116,"")</f>
        <v/>
      </c>
      <c r="AH116" s="2">
        <f>IFERROR(N116/D116,"")</f>
        <v/>
      </c>
      <c r="AI116" s="2">
        <f>IFERROR(O116/E116,"")</f>
        <v/>
      </c>
      <c r="AJ116" s="2">
        <f>IFERROR(P116/F116,"")</f>
        <v/>
      </c>
      <c r="AK116" s="2">
        <f>IFERROR(Q116/B116,"")</f>
        <v/>
      </c>
      <c r="AL116" s="2">
        <f>IFERROR(R116/C116,"")</f>
        <v/>
      </c>
      <c r="AM116" s="2">
        <f>IFERROR(S116/D116,"")</f>
        <v/>
      </c>
      <c r="AN116" s="2">
        <f>IFERROR(T116/E116,"")</f>
        <v/>
      </c>
      <c r="AO116" s="2">
        <f>IFERROR(U116/F116,"")</f>
        <v/>
      </c>
    </row>
    <row r="117">
      <c r="B117">
        <f>IF($A117="","",IFERROR(INDEX('[AQ_2020.xlsx]原始数据'!$B:$B,MATCH($A117,'[AQ_2020.xlsx]原始数据'!$A:$A,0)),""))</f>
        <v/>
      </c>
      <c r="C117">
        <f>IF($A117="","",IFERROR(INDEX('[AQ_2021.xlsx]原始数据'!$B:$B,MATCH($A117,'[AQ_2021.xlsx]原始数据'!$A:$A,0)),""))</f>
        <v/>
      </c>
      <c r="D117">
        <f>IF($A117="","",IFERROR(INDEX('[AQ_2022.xlsx]原始数据'!$B:$B,MATCH($A117,'[AQ_2022.xlsx]原始数据'!$A:$A,0)),""))</f>
        <v/>
      </c>
      <c r="E117">
        <f>IF($A117="","",IFERROR(INDEX('[AQ_2023.xlsx]原始数据'!$B:$B,MATCH($A117,'[AQ_2023.xlsx]原始数据'!$A:$A,0)),""))</f>
        <v/>
      </c>
      <c r="F117">
        <f>IF($A117="","",IFERROR(INDEX('[AQ_2024.xlsx]原始数据'!$B:$B,MATCH($A117,'[AQ_2024.xlsx]原始数据'!$A:$A,0)),""))</f>
        <v/>
      </c>
      <c r="G117">
        <f>IF($A117="","",IFERROR(INDEX('[AQ_2020.xlsx]原始数据'!$C:$C,MATCH($A117,'[AQ_2020.xlsx]原始数据'!$A:$A,0)),""))</f>
        <v/>
      </c>
      <c r="H117">
        <f>IF($A117="","",IFERROR(INDEX('[AQ_2021.xlsx]原始数据'!$C:$C,MATCH($A117,'[AQ_2021.xlsx]原始数据'!$A:$A,0)),""))</f>
        <v/>
      </c>
      <c r="I117">
        <f>IF($A117="","",IFERROR(INDEX('[AQ_2022.xlsx]原始数据'!$C:$C,MATCH($A117,'[AQ_2022.xlsx]原始数据'!$A:$A,0)),""))</f>
        <v/>
      </c>
      <c r="J117">
        <f>IF($A117="","",IFERROR(INDEX('[AQ_2023.xlsx]原始数据'!$C:$C,MATCH($A117,'[AQ_2023.xlsx]原始数据'!$A:$A,0)),""))</f>
        <v/>
      </c>
      <c r="K117">
        <f>IF($A117="","",IFERROR(INDEX('[AQ_2024.xlsx]原始数据'!$C:$C,MATCH($A117,'[AQ_2024.xlsx]原始数据'!$A:$A,0)),""))</f>
        <v/>
      </c>
      <c r="L117">
        <f>IF($A117="","",IFERROR(INDEX('[AQ_2020.xlsx]原始数据'!$D:$D,MATCH($A117,'[AQ_2020.xlsx]原始数据'!$A:$A,0)),""))</f>
        <v/>
      </c>
      <c r="M117">
        <f>IF($A117="","",IFERROR(INDEX('[AQ_2021.xlsx]原始数据'!$D:$D,MATCH($A117,'[AQ_2021.xlsx]原始数据'!$A:$A,0)),""))</f>
        <v/>
      </c>
      <c r="N117">
        <f>IF($A117="","",IFERROR(INDEX('[AQ_2022.xlsx]原始数据'!$D:$D,MATCH($A117,'[AQ_2022.xlsx]原始数据'!$A:$A,0)),""))</f>
        <v/>
      </c>
      <c r="O117">
        <f>IF($A117="","",IFERROR(INDEX('[AQ_2023.xlsx]原始数据'!$D:$D,MATCH($A117,'[AQ_2023.xlsx]原始数据'!$A:$A,0)),""))</f>
        <v/>
      </c>
      <c r="P117">
        <f>IF($A117="","",IFERROR(INDEX('[AQ_2024.xlsx]原始数据'!$D:$D,MATCH($A117,'[AQ_2024.xlsx]原始数据'!$A:$A,0)),""))</f>
        <v/>
      </c>
      <c r="Q117">
        <f>IF($A117="","",IFERROR(INDEX('[AQ_2020.xlsx]原始数据'!$E:$E,MATCH($A117,'[AQ_2020.xlsx]原始数据'!$A:$A,0)),""))</f>
        <v/>
      </c>
      <c r="R117">
        <f>IF($A117="","",IFERROR(INDEX('[AQ_2021.xlsx]原始数据'!$E:$E,MATCH($A117,'[AQ_2021.xlsx]原始数据'!$A:$A,0)),""))</f>
        <v/>
      </c>
      <c r="S117">
        <f>IF($A117="","",IFERROR(INDEX('[AQ_2022.xlsx]原始数据'!$E:$E,MATCH($A117,'[AQ_2022.xlsx]原始数据'!$A:$A,0)),""))</f>
        <v/>
      </c>
      <c r="T117">
        <f>IF($A117="","",IFERROR(INDEX('[AQ_2023.xlsx]原始数据'!$E:$E,MATCH($A117,'[AQ_2023.xlsx]原始数据'!$A:$A,0)),""))</f>
        <v/>
      </c>
      <c r="U117">
        <f>IF($A117="","",IFERROR(INDEX('[AQ_2024.xlsx]原始数据'!$E:$E,MATCH($A117,'[AQ_2024.xlsx]原始数据'!$A:$A,0)),""))</f>
        <v/>
      </c>
      <c r="V117">
        <f>IF($A117="","",IFERROR(INDEX('[AQ_2020.xlsx]原始数据'!$F:$F,MATCH($A117,'[AQ_2020.xlsx]原始数据'!$A:$A,0)),""))</f>
        <v/>
      </c>
      <c r="W117">
        <f>IF($A117="","",IFERROR(INDEX('[AQ_2021.xlsx]原始数据'!$F:$F,MATCH($A117,'[AQ_2021.xlsx]原始数据'!$A:$A,0)),""))</f>
        <v/>
      </c>
      <c r="X117">
        <f>IF($A117="","",IFERROR(INDEX('[AQ_2022.xlsx]原始数据'!$F:$F,MATCH($A117,'[AQ_2022.xlsx]原始数据'!$A:$A,0)),""))</f>
        <v/>
      </c>
      <c r="Y117">
        <f>IF($A117="","",IFERROR(INDEX('[AQ_2023.xlsx]原始数据'!$F:$F,MATCH($A117,'[AQ_2023.xlsx]原始数据'!$A:$A,0)),""))</f>
        <v/>
      </c>
      <c r="Z117">
        <f>IF($A117="","",IFERROR(INDEX('[AQ_2024.xlsx]原始数据'!$F:$F,MATCH($A117,'[AQ_2024.xlsx]原始数据'!$A:$A,0)),""))</f>
        <v/>
      </c>
      <c r="AA117" s="2">
        <f>IFERROR(G117/B117,"")</f>
        <v/>
      </c>
      <c r="AB117" s="2">
        <f>IFERROR(H117/C117,"")</f>
        <v/>
      </c>
      <c r="AC117" s="2">
        <f>IFERROR(I117/D117,"")</f>
        <v/>
      </c>
      <c r="AD117" s="2">
        <f>IFERROR(J117/E117,"")</f>
        <v/>
      </c>
      <c r="AE117" s="2">
        <f>IFERROR(K117/F117,"")</f>
        <v/>
      </c>
      <c r="AF117" s="2">
        <f>IFERROR(L117/B117,"")</f>
        <v/>
      </c>
      <c r="AG117" s="2">
        <f>IFERROR(M117/C117,"")</f>
        <v/>
      </c>
      <c r="AH117" s="2">
        <f>IFERROR(N117/D117,"")</f>
        <v/>
      </c>
      <c r="AI117" s="2">
        <f>IFERROR(O117/E117,"")</f>
        <v/>
      </c>
      <c r="AJ117" s="2">
        <f>IFERROR(P117/F117,"")</f>
        <v/>
      </c>
      <c r="AK117" s="2">
        <f>IFERROR(Q117/B117,"")</f>
        <v/>
      </c>
      <c r="AL117" s="2">
        <f>IFERROR(R117/C117,"")</f>
        <v/>
      </c>
      <c r="AM117" s="2">
        <f>IFERROR(S117/D117,"")</f>
        <v/>
      </c>
      <c r="AN117" s="2">
        <f>IFERROR(T117/E117,"")</f>
        <v/>
      </c>
      <c r="AO117" s="2">
        <f>IFERROR(U117/F117,"")</f>
        <v/>
      </c>
    </row>
    <row r="118">
      <c r="B118">
        <f>IF($A118="","",IFERROR(INDEX('[AQ_2020.xlsx]原始数据'!$B:$B,MATCH($A118,'[AQ_2020.xlsx]原始数据'!$A:$A,0)),""))</f>
        <v/>
      </c>
      <c r="C118">
        <f>IF($A118="","",IFERROR(INDEX('[AQ_2021.xlsx]原始数据'!$B:$B,MATCH($A118,'[AQ_2021.xlsx]原始数据'!$A:$A,0)),""))</f>
        <v/>
      </c>
      <c r="D118">
        <f>IF($A118="","",IFERROR(INDEX('[AQ_2022.xlsx]原始数据'!$B:$B,MATCH($A118,'[AQ_2022.xlsx]原始数据'!$A:$A,0)),""))</f>
        <v/>
      </c>
      <c r="E118">
        <f>IF($A118="","",IFERROR(INDEX('[AQ_2023.xlsx]原始数据'!$B:$B,MATCH($A118,'[AQ_2023.xlsx]原始数据'!$A:$A,0)),""))</f>
        <v/>
      </c>
      <c r="F118">
        <f>IF($A118="","",IFERROR(INDEX('[AQ_2024.xlsx]原始数据'!$B:$B,MATCH($A118,'[AQ_2024.xlsx]原始数据'!$A:$A,0)),""))</f>
        <v/>
      </c>
      <c r="G118">
        <f>IF($A118="","",IFERROR(INDEX('[AQ_2020.xlsx]原始数据'!$C:$C,MATCH($A118,'[AQ_2020.xlsx]原始数据'!$A:$A,0)),""))</f>
        <v/>
      </c>
      <c r="H118">
        <f>IF($A118="","",IFERROR(INDEX('[AQ_2021.xlsx]原始数据'!$C:$C,MATCH($A118,'[AQ_2021.xlsx]原始数据'!$A:$A,0)),""))</f>
        <v/>
      </c>
      <c r="I118">
        <f>IF($A118="","",IFERROR(INDEX('[AQ_2022.xlsx]原始数据'!$C:$C,MATCH($A118,'[AQ_2022.xlsx]原始数据'!$A:$A,0)),""))</f>
        <v/>
      </c>
      <c r="J118">
        <f>IF($A118="","",IFERROR(INDEX('[AQ_2023.xlsx]原始数据'!$C:$C,MATCH($A118,'[AQ_2023.xlsx]原始数据'!$A:$A,0)),""))</f>
        <v/>
      </c>
      <c r="K118">
        <f>IF($A118="","",IFERROR(INDEX('[AQ_2024.xlsx]原始数据'!$C:$C,MATCH($A118,'[AQ_2024.xlsx]原始数据'!$A:$A,0)),""))</f>
        <v/>
      </c>
      <c r="L118">
        <f>IF($A118="","",IFERROR(INDEX('[AQ_2020.xlsx]原始数据'!$D:$D,MATCH($A118,'[AQ_2020.xlsx]原始数据'!$A:$A,0)),""))</f>
        <v/>
      </c>
      <c r="M118">
        <f>IF($A118="","",IFERROR(INDEX('[AQ_2021.xlsx]原始数据'!$D:$D,MATCH($A118,'[AQ_2021.xlsx]原始数据'!$A:$A,0)),""))</f>
        <v/>
      </c>
      <c r="N118">
        <f>IF($A118="","",IFERROR(INDEX('[AQ_2022.xlsx]原始数据'!$D:$D,MATCH($A118,'[AQ_2022.xlsx]原始数据'!$A:$A,0)),""))</f>
        <v/>
      </c>
      <c r="O118">
        <f>IF($A118="","",IFERROR(INDEX('[AQ_2023.xlsx]原始数据'!$D:$D,MATCH($A118,'[AQ_2023.xlsx]原始数据'!$A:$A,0)),""))</f>
        <v/>
      </c>
      <c r="P118">
        <f>IF($A118="","",IFERROR(INDEX('[AQ_2024.xlsx]原始数据'!$D:$D,MATCH($A118,'[AQ_2024.xlsx]原始数据'!$A:$A,0)),""))</f>
        <v/>
      </c>
      <c r="Q118">
        <f>IF($A118="","",IFERROR(INDEX('[AQ_2020.xlsx]原始数据'!$E:$E,MATCH($A118,'[AQ_2020.xlsx]原始数据'!$A:$A,0)),""))</f>
        <v/>
      </c>
      <c r="R118">
        <f>IF($A118="","",IFERROR(INDEX('[AQ_2021.xlsx]原始数据'!$E:$E,MATCH($A118,'[AQ_2021.xlsx]原始数据'!$A:$A,0)),""))</f>
        <v/>
      </c>
      <c r="S118">
        <f>IF($A118="","",IFERROR(INDEX('[AQ_2022.xlsx]原始数据'!$E:$E,MATCH($A118,'[AQ_2022.xlsx]原始数据'!$A:$A,0)),""))</f>
        <v/>
      </c>
      <c r="T118">
        <f>IF($A118="","",IFERROR(INDEX('[AQ_2023.xlsx]原始数据'!$E:$E,MATCH($A118,'[AQ_2023.xlsx]原始数据'!$A:$A,0)),""))</f>
        <v/>
      </c>
      <c r="U118">
        <f>IF($A118="","",IFERROR(INDEX('[AQ_2024.xlsx]原始数据'!$E:$E,MATCH($A118,'[AQ_2024.xlsx]原始数据'!$A:$A,0)),""))</f>
        <v/>
      </c>
      <c r="V118">
        <f>IF($A118="","",IFERROR(INDEX('[AQ_2020.xlsx]原始数据'!$F:$F,MATCH($A118,'[AQ_2020.xlsx]原始数据'!$A:$A,0)),""))</f>
        <v/>
      </c>
      <c r="W118">
        <f>IF($A118="","",IFERROR(INDEX('[AQ_2021.xlsx]原始数据'!$F:$F,MATCH($A118,'[AQ_2021.xlsx]原始数据'!$A:$A,0)),""))</f>
        <v/>
      </c>
      <c r="X118">
        <f>IF($A118="","",IFERROR(INDEX('[AQ_2022.xlsx]原始数据'!$F:$F,MATCH($A118,'[AQ_2022.xlsx]原始数据'!$A:$A,0)),""))</f>
        <v/>
      </c>
      <c r="Y118">
        <f>IF($A118="","",IFERROR(INDEX('[AQ_2023.xlsx]原始数据'!$F:$F,MATCH($A118,'[AQ_2023.xlsx]原始数据'!$A:$A,0)),""))</f>
        <v/>
      </c>
      <c r="Z118">
        <f>IF($A118="","",IFERROR(INDEX('[AQ_2024.xlsx]原始数据'!$F:$F,MATCH($A118,'[AQ_2024.xlsx]原始数据'!$A:$A,0)),""))</f>
        <v/>
      </c>
      <c r="AA118" s="2">
        <f>IFERROR(G118/B118,"")</f>
        <v/>
      </c>
      <c r="AB118" s="2">
        <f>IFERROR(H118/C118,"")</f>
        <v/>
      </c>
      <c r="AC118" s="2">
        <f>IFERROR(I118/D118,"")</f>
        <v/>
      </c>
      <c r="AD118" s="2">
        <f>IFERROR(J118/E118,"")</f>
        <v/>
      </c>
      <c r="AE118" s="2">
        <f>IFERROR(K118/F118,"")</f>
        <v/>
      </c>
      <c r="AF118" s="2">
        <f>IFERROR(L118/B118,"")</f>
        <v/>
      </c>
      <c r="AG118" s="2">
        <f>IFERROR(M118/C118,"")</f>
        <v/>
      </c>
      <c r="AH118" s="2">
        <f>IFERROR(N118/D118,"")</f>
        <v/>
      </c>
      <c r="AI118" s="2">
        <f>IFERROR(O118/E118,"")</f>
        <v/>
      </c>
      <c r="AJ118" s="2">
        <f>IFERROR(P118/F118,"")</f>
        <v/>
      </c>
      <c r="AK118" s="2">
        <f>IFERROR(Q118/B118,"")</f>
        <v/>
      </c>
      <c r="AL118" s="2">
        <f>IFERROR(R118/C118,"")</f>
        <v/>
      </c>
      <c r="AM118" s="2">
        <f>IFERROR(S118/D118,"")</f>
        <v/>
      </c>
      <c r="AN118" s="2">
        <f>IFERROR(T118/E118,"")</f>
        <v/>
      </c>
      <c r="AO118" s="2">
        <f>IFERROR(U118/F118,"")</f>
        <v/>
      </c>
    </row>
    <row r="119">
      <c r="B119">
        <f>IF($A119="","",IFERROR(INDEX('[AQ_2020.xlsx]原始数据'!$B:$B,MATCH($A119,'[AQ_2020.xlsx]原始数据'!$A:$A,0)),""))</f>
        <v/>
      </c>
      <c r="C119">
        <f>IF($A119="","",IFERROR(INDEX('[AQ_2021.xlsx]原始数据'!$B:$B,MATCH($A119,'[AQ_2021.xlsx]原始数据'!$A:$A,0)),""))</f>
        <v/>
      </c>
      <c r="D119">
        <f>IF($A119="","",IFERROR(INDEX('[AQ_2022.xlsx]原始数据'!$B:$B,MATCH($A119,'[AQ_2022.xlsx]原始数据'!$A:$A,0)),""))</f>
        <v/>
      </c>
      <c r="E119">
        <f>IF($A119="","",IFERROR(INDEX('[AQ_2023.xlsx]原始数据'!$B:$B,MATCH($A119,'[AQ_2023.xlsx]原始数据'!$A:$A,0)),""))</f>
        <v/>
      </c>
      <c r="F119">
        <f>IF($A119="","",IFERROR(INDEX('[AQ_2024.xlsx]原始数据'!$B:$B,MATCH($A119,'[AQ_2024.xlsx]原始数据'!$A:$A,0)),""))</f>
        <v/>
      </c>
      <c r="G119">
        <f>IF($A119="","",IFERROR(INDEX('[AQ_2020.xlsx]原始数据'!$C:$C,MATCH($A119,'[AQ_2020.xlsx]原始数据'!$A:$A,0)),""))</f>
        <v/>
      </c>
      <c r="H119">
        <f>IF($A119="","",IFERROR(INDEX('[AQ_2021.xlsx]原始数据'!$C:$C,MATCH($A119,'[AQ_2021.xlsx]原始数据'!$A:$A,0)),""))</f>
        <v/>
      </c>
      <c r="I119">
        <f>IF($A119="","",IFERROR(INDEX('[AQ_2022.xlsx]原始数据'!$C:$C,MATCH($A119,'[AQ_2022.xlsx]原始数据'!$A:$A,0)),""))</f>
        <v/>
      </c>
      <c r="J119">
        <f>IF($A119="","",IFERROR(INDEX('[AQ_2023.xlsx]原始数据'!$C:$C,MATCH($A119,'[AQ_2023.xlsx]原始数据'!$A:$A,0)),""))</f>
        <v/>
      </c>
      <c r="K119">
        <f>IF($A119="","",IFERROR(INDEX('[AQ_2024.xlsx]原始数据'!$C:$C,MATCH($A119,'[AQ_2024.xlsx]原始数据'!$A:$A,0)),""))</f>
        <v/>
      </c>
      <c r="L119">
        <f>IF($A119="","",IFERROR(INDEX('[AQ_2020.xlsx]原始数据'!$D:$D,MATCH($A119,'[AQ_2020.xlsx]原始数据'!$A:$A,0)),""))</f>
        <v/>
      </c>
      <c r="M119">
        <f>IF($A119="","",IFERROR(INDEX('[AQ_2021.xlsx]原始数据'!$D:$D,MATCH($A119,'[AQ_2021.xlsx]原始数据'!$A:$A,0)),""))</f>
        <v/>
      </c>
      <c r="N119">
        <f>IF($A119="","",IFERROR(INDEX('[AQ_2022.xlsx]原始数据'!$D:$D,MATCH($A119,'[AQ_2022.xlsx]原始数据'!$A:$A,0)),""))</f>
        <v/>
      </c>
      <c r="O119">
        <f>IF($A119="","",IFERROR(INDEX('[AQ_2023.xlsx]原始数据'!$D:$D,MATCH($A119,'[AQ_2023.xlsx]原始数据'!$A:$A,0)),""))</f>
        <v/>
      </c>
      <c r="P119">
        <f>IF($A119="","",IFERROR(INDEX('[AQ_2024.xlsx]原始数据'!$D:$D,MATCH($A119,'[AQ_2024.xlsx]原始数据'!$A:$A,0)),""))</f>
        <v/>
      </c>
      <c r="Q119">
        <f>IF($A119="","",IFERROR(INDEX('[AQ_2020.xlsx]原始数据'!$E:$E,MATCH($A119,'[AQ_2020.xlsx]原始数据'!$A:$A,0)),""))</f>
        <v/>
      </c>
      <c r="R119">
        <f>IF($A119="","",IFERROR(INDEX('[AQ_2021.xlsx]原始数据'!$E:$E,MATCH($A119,'[AQ_2021.xlsx]原始数据'!$A:$A,0)),""))</f>
        <v/>
      </c>
      <c r="S119">
        <f>IF($A119="","",IFERROR(INDEX('[AQ_2022.xlsx]原始数据'!$E:$E,MATCH($A119,'[AQ_2022.xlsx]原始数据'!$A:$A,0)),""))</f>
        <v/>
      </c>
      <c r="T119">
        <f>IF($A119="","",IFERROR(INDEX('[AQ_2023.xlsx]原始数据'!$E:$E,MATCH($A119,'[AQ_2023.xlsx]原始数据'!$A:$A,0)),""))</f>
        <v/>
      </c>
      <c r="U119">
        <f>IF($A119="","",IFERROR(INDEX('[AQ_2024.xlsx]原始数据'!$E:$E,MATCH($A119,'[AQ_2024.xlsx]原始数据'!$A:$A,0)),""))</f>
        <v/>
      </c>
      <c r="V119">
        <f>IF($A119="","",IFERROR(INDEX('[AQ_2020.xlsx]原始数据'!$F:$F,MATCH($A119,'[AQ_2020.xlsx]原始数据'!$A:$A,0)),""))</f>
        <v/>
      </c>
      <c r="W119">
        <f>IF($A119="","",IFERROR(INDEX('[AQ_2021.xlsx]原始数据'!$F:$F,MATCH($A119,'[AQ_2021.xlsx]原始数据'!$A:$A,0)),""))</f>
        <v/>
      </c>
      <c r="X119">
        <f>IF($A119="","",IFERROR(INDEX('[AQ_2022.xlsx]原始数据'!$F:$F,MATCH($A119,'[AQ_2022.xlsx]原始数据'!$A:$A,0)),""))</f>
        <v/>
      </c>
      <c r="Y119">
        <f>IF($A119="","",IFERROR(INDEX('[AQ_2023.xlsx]原始数据'!$F:$F,MATCH($A119,'[AQ_2023.xlsx]原始数据'!$A:$A,0)),""))</f>
        <v/>
      </c>
      <c r="Z119">
        <f>IF($A119="","",IFERROR(INDEX('[AQ_2024.xlsx]原始数据'!$F:$F,MATCH($A119,'[AQ_2024.xlsx]原始数据'!$A:$A,0)),""))</f>
        <v/>
      </c>
      <c r="AA119" s="2">
        <f>IFERROR(G119/B119,"")</f>
        <v/>
      </c>
      <c r="AB119" s="2">
        <f>IFERROR(H119/C119,"")</f>
        <v/>
      </c>
      <c r="AC119" s="2">
        <f>IFERROR(I119/D119,"")</f>
        <v/>
      </c>
      <c r="AD119" s="2">
        <f>IFERROR(J119/E119,"")</f>
        <v/>
      </c>
      <c r="AE119" s="2">
        <f>IFERROR(K119/F119,"")</f>
        <v/>
      </c>
      <c r="AF119" s="2">
        <f>IFERROR(L119/B119,"")</f>
        <v/>
      </c>
      <c r="AG119" s="2">
        <f>IFERROR(M119/C119,"")</f>
        <v/>
      </c>
      <c r="AH119" s="2">
        <f>IFERROR(N119/D119,"")</f>
        <v/>
      </c>
      <c r="AI119" s="2">
        <f>IFERROR(O119/E119,"")</f>
        <v/>
      </c>
      <c r="AJ119" s="2">
        <f>IFERROR(P119/F119,"")</f>
        <v/>
      </c>
      <c r="AK119" s="2">
        <f>IFERROR(Q119/B119,"")</f>
        <v/>
      </c>
      <c r="AL119" s="2">
        <f>IFERROR(R119/C119,"")</f>
        <v/>
      </c>
      <c r="AM119" s="2">
        <f>IFERROR(S119/D119,"")</f>
        <v/>
      </c>
      <c r="AN119" s="2">
        <f>IFERROR(T119/E119,"")</f>
        <v/>
      </c>
      <c r="AO119" s="2">
        <f>IFERROR(U119/F119,"")</f>
        <v/>
      </c>
    </row>
    <row r="120">
      <c r="B120">
        <f>IF($A120="","",IFERROR(INDEX('[AQ_2020.xlsx]原始数据'!$B:$B,MATCH($A120,'[AQ_2020.xlsx]原始数据'!$A:$A,0)),""))</f>
        <v/>
      </c>
      <c r="C120">
        <f>IF($A120="","",IFERROR(INDEX('[AQ_2021.xlsx]原始数据'!$B:$B,MATCH($A120,'[AQ_2021.xlsx]原始数据'!$A:$A,0)),""))</f>
        <v/>
      </c>
      <c r="D120">
        <f>IF($A120="","",IFERROR(INDEX('[AQ_2022.xlsx]原始数据'!$B:$B,MATCH($A120,'[AQ_2022.xlsx]原始数据'!$A:$A,0)),""))</f>
        <v/>
      </c>
      <c r="E120">
        <f>IF($A120="","",IFERROR(INDEX('[AQ_2023.xlsx]原始数据'!$B:$B,MATCH($A120,'[AQ_2023.xlsx]原始数据'!$A:$A,0)),""))</f>
        <v/>
      </c>
      <c r="F120">
        <f>IF($A120="","",IFERROR(INDEX('[AQ_2024.xlsx]原始数据'!$B:$B,MATCH($A120,'[AQ_2024.xlsx]原始数据'!$A:$A,0)),""))</f>
        <v/>
      </c>
      <c r="G120">
        <f>IF($A120="","",IFERROR(INDEX('[AQ_2020.xlsx]原始数据'!$C:$C,MATCH($A120,'[AQ_2020.xlsx]原始数据'!$A:$A,0)),""))</f>
        <v/>
      </c>
      <c r="H120">
        <f>IF($A120="","",IFERROR(INDEX('[AQ_2021.xlsx]原始数据'!$C:$C,MATCH($A120,'[AQ_2021.xlsx]原始数据'!$A:$A,0)),""))</f>
        <v/>
      </c>
      <c r="I120">
        <f>IF($A120="","",IFERROR(INDEX('[AQ_2022.xlsx]原始数据'!$C:$C,MATCH($A120,'[AQ_2022.xlsx]原始数据'!$A:$A,0)),""))</f>
        <v/>
      </c>
      <c r="J120">
        <f>IF($A120="","",IFERROR(INDEX('[AQ_2023.xlsx]原始数据'!$C:$C,MATCH($A120,'[AQ_2023.xlsx]原始数据'!$A:$A,0)),""))</f>
        <v/>
      </c>
      <c r="K120">
        <f>IF($A120="","",IFERROR(INDEX('[AQ_2024.xlsx]原始数据'!$C:$C,MATCH($A120,'[AQ_2024.xlsx]原始数据'!$A:$A,0)),""))</f>
        <v/>
      </c>
      <c r="L120">
        <f>IF($A120="","",IFERROR(INDEX('[AQ_2020.xlsx]原始数据'!$D:$D,MATCH($A120,'[AQ_2020.xlsx]原始数据'!$A:$A,0)),""))</f>
        <v/>
      </c>
      <c r="M120">
        <f>IF($A120="","",IFERROR(INDEX('[AQ_2021.xlsx]原始数据'!$D:$D,MATCH($A120,'[AQ_2021.xlsx]原始数据'!$A:$A,0)),""))</f>
        <v/>
      </c>
      <c r="N120">
        <f>IF($A120="","",IFERROR(INDEX('[AQ_2022.xlsx]原始数据'!$D:$D,MATCH($A120,'[AQ_2022.xlsx]原始数据'!$A:$A,0)),""))</f>
        <v/>
      </c>
      <c r="O120">
        <f>IF($A120="","",IFERROR(INDEX('[AQ_2023.xlsx]原始数据'!$D:$D,MATCH($A120,'[AQ_2023.xlsx]原始数据'!$A:$A,0)),""))</f>
        <v/>
      </c>
      <c r="P120">
        <f>IF($A120="","",IFERROR(INDEX('[AQ_2024.xlsx]原始数据'!$D:$D,MATCH($A120,'[AQ_2024.xlsx]原始数据'!$A:$A,0)),""))</f>
        <v/>
      </c>
      <c r="Q120">
        <f>IF($A120="","",IFERROR(INDEX('[AQ_2020.xlsx]原始数据'!$E:$E,MATCH($A120,'[AQ_2020.xlsx]原始数据'!$A:$A,0)),""))</f>
        <v/>
      </c>
      <c r="R120">
        <f>IF($A120="","",IFERROR(INDEX('[AQ_2021.xlsx]原始数据'!$E:$E,MATCH($A120,'[AQ_2021.xlsx]原始数据'!$A:$A,0)),""))</f>
        <v/>
      </c>
      <c r="S120">
        <f>IF($A120="","",IFERROR(INDEX('[AQ_2022.xlsx]原始数据'!$E:$E,MATCH($A120,'[AQ_2022.xlsx]原始数据'!$A:$A,0)),""))</f>
        <v/>
      </c>
      <c r="T120">
        <f>IF($A120="","",IFERROR(INDEX('[AQ_2023.xlsx]原始数据'!$E:$E,MATCH($A120,'[AQ_2023.xlsx]原始数据'!$A:$A,0)),""))</f>
        <v/>
      </c>
      <c r="U120">
        <f>IF($A120="","",IFERROR(INDEX('[AQ_2024.xlsx]原始数据'!$E:$E,MATCH($A120,'[AQ_2024.xlsx]原始数据'!$A:$A,0)),""))</f>
        <v/>
      </c>
      <c r="V120">
        <f>IF($A120="","",IFERROR(INDEX('[AQ_2020.xlsx]原始数据'!$F:$F,MATCH($A120,'[AQ_2020.xlsx]原始数据'!$A:$A,0)),""))</f>
        <v/>
      </c>
      <c r="W120">
        <f>IF($A120="","",IFERROR(INDEX('[AQ_2021.xlsx]原始数据'!$F:$F,MATCH($A120,'[AQ_2021.xlsx]原始数据'!$A:$A,0)),""))</f>
        <v/>
      </c>
      <c r="X120">
        <f>IF($A120="","",IFERROR(INDEX('[AQ_2022.xlsx]原始数据'!$F:$F,MATCH($A120,'[AQ_2022.xlsx]原始数据'!$A:$A,0)),""))</f>
        <v/>
      </c>
      <c r="Y120">
        <f>IF($A120="","",IFERROR(INDEX('[AQ_2023.xlsx]原始数据'!$F:$F,MATCH($A120,'[AQ_2023.xlsx]原始数据'!$A:$A,0)),""))</f>
        <v/>
      </c>
      <c r="Z120">
        <f>IF($A120="","",IFERROR(INDEX('[AQ_2024.xlsx]原始数据'!$F:$F,MATCH($A120,'[AQ_2024.xlsx]原始数据'!$A:$A,0)),""))</f>
        <v/>
      </c>
      <c r="AA120" s="2">
        <f>IFERROR(G120/B120,"")</f>
        <v/>
      </c>
      <c r="AB120" s="2">
        <f>IFERROR(H120/C120,"")</f>
        <v/>
      </c>
      <c r="AC120" s="2">
        <f>IFERROR(I120/D120,"")</f>
        <v/>
      </c>
      <c r="AD120" s="2">
        <f>IFERROR(J120/E120,"")</f>
        <v/>
      </c>
      <c r="AE120" s="2">
        <f>IFERROR(K120/F120,"")</f>
        <v/>
      </c>
      <c r="AF120" s="2">
        <f>IFERROR(L120/B120,"")</f>
        <v/>
      </c>
      <c r="AG120" s="2">
        <f>IFERROR(M120/C120,"")</f>
        <v/>
      </c>
      <c r="AH120" s="2">
        <f>IFERROR(N120/D120,"")</f>
        <v/>
      </c>
      <c r="AI120" s="2">
        <f>IFERROR(O120/E120,"")</f>
        <v/>
      </c>
      <c r="AJ120" s="2">
        <f>IFERROR(P120/F120,"")</f>
        <v/>
      </c>
      <c r="AK120" s="2">
        <f>IFERROR(Q120/B120,"")</f>
        <v/>
      </c>
      <c r="AL120" s="2">
        <f>IFERROR(R120/C120,"")</f>
        <v/>
      </c>
      <c r="AM120" s="2">
        <f>IFERROR(S120/D120,"")</f>
        <v/>
      </c>
      <c r="AN120" s="2">
        <f>IFERROR(T120/E120,"")</f>
        <v/>
      </c>
      <c r="AO120" s="2">
        <f>IFERROR(U120/F120,"")</f>
        <v/>
      </c>
    </row>
    <row r="121">
      <c r="B121">
        <f>IF($A121="","",IFERROR(INDEX('[AQ_2020.xlsx]原始数据'!$B:$B,MATCH($A121,'[AQ_2020.xlsx]原始数据'!$A:$A,0)),""))</f>
        <v/>
      </c>
      <c r="C121">
        <f>IF($A121="","",IFERROR(INDEX('[AQ_2021.xlsx]原始数据'!$B:$B,MATCH($A121,'[AQ_2021.xlsx]原始数据'!$A:$A,0)),""))</f>
        <v/>
      </c>
      <c r="D121">
        <f>IF($A121="","",IFERROR(INDEX('[AQ_2022.xlsx]原始数据'!$B:$B,MATCH($A121,'[AQ_2022.xlsx]原始数据'!$A:$A,0)),""))</f>
        <v/>
      </c>
      <c r="E121">
        <f>IF($A121="","",IFERROR(INDEX('[AQ_2023.xlsx]原始数据'!$B:$B,MATCH($A121,'[AQ_2023.xlsx]原始数据'!$A:$A,0)),""))</f>
        <v/>
      </c>
      <c r="F121">
        <f>IF($A121="","",IFERROR(INDEX('[AQ_2024.xlsx]原始数据'!$B:$B,MATCH($A121,'[AQ_2024.xlsx]原始数据'!$A:$A,0)),""))</f>
        <v/>
      </c>
      <c r="G121">
        <f>IF($A121="","",IFERROR(INDEX('[AQ_2020.xlsx]原始数据'!$C:$C,MATCH($A121,'[AQ_2020.xlsx]原始数据'!$A:$A,0)),""))</f>
        <v/>
      </c>
      <c r="H121">
        <f>IF($A121="","",IFERROR(INDEX('[AQ_2021.xlsx]原始数据'!$C:$C,MATCH($A121,'[AQ_2021.xlsx]原始数据'!$A:$A,0)),""))</f>
        <v/>
      </c>
      <c r="I121">
        <f>IF($A121="","",IFERROR(INDEX('[AQ_2022.xlsx]原始数据'!$C:$C,MATCH($A121,'[AQ_2022.xlsx]原始数据'!$A:$A,0)),""))</f>
        <v/>
      </c>
      <c r="J121">
        <f>IF($A121="","",IFERROR(INDEX('[AQ_2023.xlsx]原始数据'!$C:$C,MATCH($A121,'[AQ_2023.xlsx]原始数据'!$A:$A,0)),""))</f>
        <v/>
      </c>
      <c r="K121">
        <f>IF($A121="","",IFERROR(INDEX('[AQ_2024.xlsx]原始数据'!$C:$C,MATCH($A121,'[AQ_2024.xlsx]原始数据'!$A:$A,0)),""))</f>
        <v/>
      </c>
      <c r="L121">
        <f>IF($A121="","",IFERROR(INDEX('[AQ_2020.xlsx]原始数据'!$D:$D,MATCH($A121,'[AQ_2020.xlsx]原始数据'!$A:$A,0)),""))</f>
        <v/>
      </c>
      <c r="M121">
        <f>IF($A121="","",IFERROR(INDEX('[AQ_2021.xlsx]原始数据'!$D:$D,MATCH($A121,'[AQ_2021.xlsx]原始数据'!$A:$A,0)),""))</f>
        <v/>
      </c>
      <c r="N121">
        <f>IF($A121="","",IFERROR(INDEX('[AQ_2022.xlsx]原始数据'!$D:$D,MATCH($A121,'[AQ_2022.xlsx]原始数据'!$A:$A,0)),""))</f>
        <v/>
      </c>
      <c r="O121">
        <f>IF($A121="","",IFERROR(INDEX('[AQ_2023.xlsx]原始数据'!$D:$D,MATCH($A121,'[AQ_2023.xlsx]原始数据'!$A:$A,0)),""))</f>
        <v/>
      </c>
      <c r="P121">
        <f>IF($A121="","",IFERROR(INDEX('[AQ_2024.xlsx]原始数据'!$D:$D,MATCH($A121,'[AQ_2024.xlsx]原始数据'!$A:$A,0)),""))</f>
        <v/>
      </c>
      <c r="Q121">
        <f>IF($A121="","",IFERROR(INDEX('[AQ_2020.xlsx]原始数据'!$E:$E,MATCH($A121,'[AQ_2020.xlsx]原始数据'!$A:$A,0)),""))</f>
        <v/>
      </c>
      <c r="R121">
        <f>IF($A121="","",IFERROR(INDEX('[AQ_2021.xlsx]原始数据'!$E:$E,MATCH($A121,'[AQ_2021.xlsx]原始数据'!$A:$A,0)),""))</f>
        <v/>
      </c>
      <c r="S121">
        <f>IF($A121="","",IFERROR(INDEX('[AQ_2022.xlsx]原始数据'!$E:$E,MATCH($A121,'[AQ_2022.xlsx]原始数据'!$A:$A,0)),""))</f>
        <v/>
      </c>
      <c r="T121">
        <f>IF($A121="","",IFERROR(INDEX('[AQ_2023.xlsx]原始数据'!$E:$E,MATCH($A121,'[AQ_2023.xlsx]原始数据'!$A:$A,0)),""))</f>
        <v/>
      </c>
      <c r="U121">
        <f>IF($A121="","",IFERROR(INDEX('[AQ_2024.xlsx]原始数据'!$E:$E,MATCH($A121,'[AQ_2024.xlsx]原始数据'!$A:$A,0)),""))</f>
        <v/>
      </c>
      <c r="V121">
        <f>IF($A121="","",IFERROR(INDEX('[AQ_2020.xlsx]原始数据'!$F:$F,MATCH($A121,'[AQ_2020.xlsx]原始数据'!$A:$A,0)),""))</f>
        <v/>
      </c>
      <c r="W121">
        <f>IF($A121="","",IFERROR(INDEX('[AQ_2021.xlsx]原始数据'!$F:$F,MATCH($A121,'[AQ_2021.xlsx]原始数据'!$A:$A,0)),""))</f>
        <v/>
      </c>
      <c r="X121">
        <f>IF($A121="","",IFERROR(INDEX('[AQ_2022.xlsx]原始数据'!$F:$F,MATCH($A121,'[AQ_2022.xlsx]原始数据'!$A:$A,0)),""))</f>
        <v/>
      </c>
      <c r="Y121">
        <f>IF($A121="","",IFERROR(INDEX('[AQ_2023.xlsx]原始数据'!$F:$F,MATCH($A121,'[AQ_2023.xlsx]原始数据'!$A:$A,0)),""))</f>
        <v/>
      </c>
      <c r="Z121">
        <f>IF($A121="","",IFERROR(INDEX('[AQ_2024.xlsx]原始数据'!$F:$F,MATCH($A121,'[AQ_2024.xlsx]原始数据'!$A:$A,0)),""))</f>
        <v/>
      </c>
      <c r="AA121" s="2">
        <f>IFERROR(G121/B121,"")</f>
        <v/>
      </c>
      <c r="AB121" s="2">
        <f>IFERROR(H121/C121,"")</f>
        <v/>
      </c>
      <c r="AC121" s="2">
        <f>IFERROR(I121/D121,"")</f>
        <v/>
      </c>
      <c r="AD121" s="2">
        <f>IFERROR(J121/E121,"")</f>
        <v/>
      </c>
      <c r="AE121" s="2">
        <f>IFERROR(K121/F121,"")</f>
        <v/>
      </c>
      <c r="AF121" s="2">
        <f>IFERROR(L121/B121,"")</f>
        <v/>
      </c>
      <c r="AG121" s="2">
        <f>IFERROR(M121/C121,"")</f>
        <v/>
      </c>
      <c r="AH121" s="2">
        <f>IFERROR(N121/D121,"")</f>
        <v/>
      </c>
      <c r="AI121" s="2">
        <f>IFERROR(O121/E121,"")</f>
        <v/>
      </c>
      <c r="AJ121" s="2">
        <f>IFERROR(P121/F121,"")</f>
        <v/>
      </c>
      <c r="AK121" s="2">
        <f>IFERROR(Q121/B121,"")</f>
        <v/>
      </c>
      <c r="AL121" s="2">
        <f>IFERROR(R121/C121,"")</f>
        <v/>
      </c>
      <c r="AM121" s="2">
        <f>IFERROR(S121/D121,"")</f>
        <v/>
      </c>
      <c r="AN121" s="2">
        <f>IFERROR(T121/E121,"")</f>
        <v/>
      </c>
      <c r="AO121" s="2">
        <f>IFERROR(U121/F121,"")</f>
        <v/>
      </c>
    </row>
    <row r="122">
      <c r="B122">
        <f>IF($A122="","",IFERROR(INDEX('[AQ_2020.xlsx]原始数据'!$B:$B,MATCH($A122,'[AQ_2020.xlsx]原始数据'!$A:$A,0)),""))</f>
        <v/>
      </c>
      <c r="C122">
        <f>IF($A122="","",IFERROR(INDEX('[AQ_2021.xlsx]原始数据'!$B:$B,MATCH($A122,'[AQ_2021.xlsx]原始数据'!$A:$A,0)),""))</f>
        <v/>
      </c>
      <c r="D122">
        <f>IF($A122="","",IFERROR(INDEX('[AQ_2022.xlsx]原始数据'!$B:$B,MATCH($A122,'[AQ_2022.xlsx]原始数据'!$A:$A,0)),""))</f>
        <v/>
      </c>
      <c r="E122">
        <f>IF($A122="","",IFERROR(INDEX('[AQ_2023.xlsx]原始数据'!$B:$B,MATCH($A122,'[AQ_2023.xlsx]原始数据'!$A:$A,0)),""))</f>
        <v/>
      </c>
      <c r="F122">
        <f>IF($A122="","",IFERROR(INDEX('[AQ_2024.xlsx]原始数据'!$B:$B,MATCH($A122,'[AQ_2024.xlsx]原始数据'!$A:$A,0)),""))</f>
        <v/>
      </c>
      <c r="G122">
        <f>IF($A122="","",IFERROR(INDEX('[AQ_2020.xlsx]原始数据'!$C:$C,MATCH($A122,'[AQ_2020.xlsx]原始数据'!$A:$A,0)),""))</f>
        <v/>
      </c>
      <c r="H122">
        <f>IF($A122="","",IFERROR(INDEX('[AQ_2021.xlsx]原始数据'!$C:$C,MATCH($A122,'[AQ_2021.xlsx]原始数据'!$A:$A,0)),""))</f>
        <v/>
      </c>
      <c r="I122">
        <f>IF($A122="","",IFERROR(INDEX('[AQ_2022.xlsx]原始数据'!$C:$C,MATCH($A122,'[AQ_2022.xlsx]原始数据'!$A:$A,0)),""))</f>
        <v/>
      </c>
      <c r="J122">
        <f>IF($A122="","",IFERROR(INDEX('[AQ_2023.xlsx]原始数据'!$C:$C,MATCH($A122,'[AQ_2023.xlsx]原始数据'!$A:$A,0)),""))</f>
        <v/>
      </c>
      <c r="K122">
        <f>IF($A122="","",IFERROR(INDEX('[AQ_2024.xlsx]原始数据'!$C:$C,MATCH($A122,'[AQ_2024.xlsx]原始数据'!$A:$A,0)),""))</f>
        <v/>
      </c>
      <c r="L122">
        <f>IF($A122="","",IFERROR(INDEX('[AQ_2020.xlsx]原始数据'!$D:$D,MATCH($A122,'[AQ_2020.xlsx]原始数据'!$A:$A,0)),""))</f>
        <v/>
      </c>
      <c r="M122">
        <f>IF($A122="","",IFERROR(INDEX('[AQ_2021.xlsx]原始数据'!$D:$D,MATCH($A122,'[AQ_2021.xlsx]原始数据'!$A:$A,0)),""))</f>
        <v/>
      </c>
      <c r="N122">
        <f>IF($A122="","",IFERROR(INDEX('[AQ_2022.xlsx]原始数据'!$D:$D,MATCH($A122,'[AQ_2022.xlsx]原始数据'!$A:$A,0)),""))</f>
        <v/>
      </c>
      <c r="O122">
        <f>IF($A122="","",IFERROR(INDEX('[AQ_2023.xlsx]原始数据'!$D:$D,MATCH($A122,'[AQ_2023.xlsx]原始数据'!$A:$A,0)),""))</f>
        <v/>
      </c>
      <c r="P122">
        <f>IF($A122="","",IFERROR(INDEX('[AQ_2024.xlsx]原始数据'!$D:$D,MATCH($A122,'[AQ_2024.xlsx]原始数据'!$A:$A,0)),""))</f>
        <v/>
      </c>
      <c r="Q122">
        <f>IF($A122="","",IFERROR(INDEX('[AQ_2020.xlsx]原始数据'!$E:$E,MATCH($A122,'[AQ_2020.xlsx]原始数据'!$A:$A,0)),""))</f>
        <v/>
      </c>
      <c r="R122">
        <f>IF($A122="","",IFERROR(INDEX('[AQ_2021.xlsx]原始数据'!$E:$E,MATCH($A122,'[AQ_2021.xlsx]原始数据'!$A:$A,0)),""))</f>
        <v/>
      </c>
      <c r="S122">
        <f>IF($A122="","",IFERROR(INDEX('[AQ_2022.xlsx]原始数据'!$E:$E,MATCH($A122,'[AQ_2022.xlsx]原始数据'!$A:$A,0)),""))</f>
        <v/>
      </c>
      <c r="T122">
        <f>IF($A122="","",IFERROR(INDEX('[AQ_2023.xlsx]原始数据'!$E:$E,MATCH($A122,'[AQ_2023.xlsx]原始数据'!$A:$A,0)),""))</f>
        <v/>
      </c>
      <c r="U122">
        <f>IF($A122="","",IFERROR(INDEX('[AQ_2024.xlsx]原始数据'!$E:$E,MATCH($A122,'[AQ_2024.xlsx]原始数据'!$A:$A,0)),""))</f>
        <v/>
      </c>
      <c r="V122">
        <f>IF($A122="","",IFERROR(INDEX('[AQ_2020.xlsx]原始数据'!$F:$F,MATCH($A122,'[AQ_2020.xlsx]原始数据'!$A:$A,0)),""))</f>
        <v/>
      </c>
      <c r="W122">
        <f>IF($A122="","",IFERROR(INDEX('[AQ_2021.xlsx]原始数据'!$F:$F,MATCH($A122,'[AQ_2021.xlsx]原始数据'!$A:$A,0)),""))</f>
        <v/>
      </c>
      <c r="X122">
        <f>IF($A122="","",IFERROR(INDEX('[AQ_2022.xlsx]原始数据'!$F:$F,MATCH($A122,'[AQ_2022.xlsx]原始数据'!$A:$A,0)),""))</f>
        <v/>
      </c>
      <c r="Y122">
        <f>IF($A122="","",IFERROR(INDEX('[AQ_2023.xlsx]原始数据'!$F:$F,MATCH($A122,'[AQ_2023.xlsx]原始数据'!$A:$A,0)),""))</f>
        <v/>
      </c>
      <c r="Z122">
        <f>IF($A122="","",IFERROR(INDEX('[AQ_2024.xlsx]原始数据'!$F:$F,MATCH($A122,'[AQ_2024.xlsx]原始数据'!$A:$A,0)),""))</f>
        <v/>
      </c>
      <c r="AA122" s="2">
        <f>IFERROR(G122/B122,"")</f>
        <v/>
      </c>
      <c r="AB122" s="2">
        <f>IFERROR(H122/C122,"")</f>
        <v/>
      </c>
      <c r="AC122" s="2">
        <f>IFERROR(I122/D122,"")</f>
        <v/>
      </c>
      <c r="AD122" s="2">
        <f>IFERROR(J122/E122,"")</f>
        <v/>
      </c>
      <c r="AE122" s="2">
        <f>IFERROR(K122/F122,"")</f>
        <v/>
      </c>
      <c r="AF122" s="2">
        <f>IFERROR(L122/B122,"")</f>
        <v/>
      </c>
      <c r="AG122" s="2">
        <f>IFERROR(M122/C122,"")</f>
        <v/>
      </c>
      <c r="AH122" s="2">
        <f>IFERROR(N122/D122,"")</f>
        <v/>
      </c>
      <c r="AI122" s="2">
        <f>IFERROR(O122/E122,"")</f>
        <v/>
      </c>
      <c r="AJ122" s="2">
        <f>IFERROR(P122/F122,"")</f>
        <v/>
      </c>
      <c r="AK122" s="2">
        <f>IFERROR(Q122/B122,"")</f>
        <v/>
      </c>
      <c r="AL122" s="2">
        <f>IFERROR(R122/C122,"")</f>
        <v/>
      </c>
      <c r="AM122" s="2">
        <f>IFERROR(S122/D122,"")</f>
        <v/>
      </c>
      <c r="AN122" s="2">
        <f>IFERROR(T122/E122,"")</f>
        <v/>
      </c>
      <c r="AO122" s="2">
        <f>IFERROR(U122/F122,"")</f>
        <v/>
      </c>
    </row>
    <row r="123">
      <c r="B123">
        <f>IF($A123="","",IFERROR(INDEX('[AQ_2020.xlsx]原始数据'!$B:$B,MATCH($A123,'[AQ_2020.xlsx]原始数据'!$A:$A,0)),""))</f>
        <v/>
      </c>
      <c r="C123">
        <f>IF($A123="","",IFERROR(INDEX('[AQ_2021.xlsx]原始数据'!$B:$B,MATCH($A123,'[AQ_2021.xlsx]原始数据'!$A:$A,0)),""))</f>
        <v/>
      </c>
      <c r="D123">
        <f>IF($A123="","",IFERROR(INDEX('[AQ_2022.xlsx]原始数据'!$B:$B,MATCH($A123,'[AQ_2022.xlsx]原始数据'!$A:$A,0)),""))</f>
        <v/>
      </c>
      <c r="E123">
        <f>IF($A123="","",IFERROR(INDEX('[AQ_2023.xlsx]原始数据'!$B:$B,MATCH($A123,'[AQ_2023.xlsx]原始数据'!$A:$A,0)),""))</f>
        <v/>
      </c>
      <c r="F123">
        <f>IF($A123="","",IFERROR(INDEX('[AQ_2024.xlsx]原始数据'!$B:$B,MATCH($A123,'[AQ_2024.xlsx]原始数据'!$A:$A,0)),""))</f>
        <v/>
      </c>
      <c r="G123">
        <f>IF($A123="","",IFERROR(INDEX('[AQ_2020.xlsx]原始数据'!$C:$C,MATCH($A123,'[AQ_2020.xlsx]原始数据'!$A:$A,0)),""))</f>
        <v/>
      </c>
      <c r="H123">
        <f>IF($A123="","",IFERROR(INDEX('[AQ_2021.xlsx]原始数据'!$C:$C,MATCH($A123,'[AQ_2021.xlsx]原始数据'!$A:$A,0)),""))</f>
        <v/>
      </c>
      <c r="I123">
        <f>IF($A123="","",IFERROR(INDEX('[AQ_2022.xlsx]原始数据'!$C:$C,MATCH($A123,'[AQ_2022.xlsx]原始数据'!$A:$A,0)),""))</f>
        <v/>
      </c>
      <c r="J123">
        <f>IF($A123="","",IFERROR(INDEX('[AQ_2023.xlsx]原始数据'!$C:$C,MATCH($A123,'[AQ_2023.xlsx]原始数据'!$A:$A,0)),""))</f>
        <v/>
      </c>
      <c r="K123">
        <f>IF($A123="","",IFERROR(INDEX('[AQ_2024.xlsx]原始数据'!$C:$C,MATCH($A123,'[AQ_2024.xlsx]原始数据'!$A:$A,0)),""))</f>
        <v/>
      </c>
      <c r="L123">
        <f>IF($A123="","",IFERROR(INDEX('[AQ_2020.xlsx]原始数据'!$D:$D,MATCH($A123,'[AQ_2020.xlsx]原始数据'!$A:$A,0)),""))</f>
        <v/>
      </c>
      <c r="M123">
        <f>IF($A123="","",IFERROR(INDEX('[AQ_2021.xlsx]原始数据'!$D:$D,MATCH($A123,'[AQ_2021.xlsx]原始数据'!$A:$A,0)),""))</f>
        <v/>
      </c>
      <c r="N123">
        <f>IF($A123="","",IFERROR(INDEX('[AQ_2022.xlsx]原始数据'!$D:$D,MATCH($A123,'[AQ_2022.xlsx]原始数据'!$A:$A,0)),""))</f>
        <v/>
      </c>
      <c r="O123">
        <f>IF($A123="","",IFERROR(INDEX('[AQ_2023.xlsx]原始数据'!$D:$D,MATCH($A123,'[AQ_2023.xlsx]原始数据'!$A:$A,0)),""))</f>
        <v/>
      </c>
      <c r="P123">
        <f>IF($A123="","",IFERROR(INDEX('[AQ_2024.xlsx]原始数据'!$D:$D,MATCH($A123,'[AQ_2024.xlsx]原始数据'!$A:$A,0)),""))</f>
        <v/>
      </c>
      <c r="Q123">
        <f>IF($A123="","",IFERROR(INDEX('[AQ_2020.xlsx]原始数据'!$E:$E,MATCH($A123,'[AQ_2020.xlsx]原始数据'!$A:$A,0)),""))</f>
        <v/>
      </c>
      <c r="R123">
        <f>IF($A123="","",IFERROR(INDEX('[AQ_2021.xlsx]原始数据'!$E:$E,MATCH($A123,'[AQ_2021.xlsx]原始数据'!$A:$A,0)),""))</f>
        <v/>
      </c>
      <c r="S123">
        <f>IF($A123="","",IFERROR(INDEX('[AQ_2022.xlsx]原始数据'!$E:$E,MATCH($A123,'[AQ_2022.xlsx]原始数据'!$A:$A,0)),""))</f>
        <v/>
      </c>
      <c r="T123">
        <f>IF($A123="","",IFERROR(INDEX('[AQ_2023.xlsx]原始数据'!$E:$E,MATCH($A123,'[AQ_2023.xlsx]原始数据'!$A:$A,0)),""))</f>
        <v/>
      </c>
      <c r="U123">
        <f>IF($A123="","",IFERROR(INDEX('[AQ_2024.xlsx]原始数据'!$E:$E,MATCH($A123,'[AQ_2024.xlsx]原始数据'!$A:$A,0)),""))</f>
        <v/>
      </c>
      <c r="V123">
        <f>IF($A123="","",IFERROR(INDEX('[AQ_2020.xlsx]原始数据'!$F:$F,MATCH($A123,'[AQ_2020.xlsx]原始数据'!$A:$A,0)),""))</f>
        <v/>
      </c>
      <c r="W123">
        <f>IF($A123="","",IFERROR(INDEX('[AQ_2021.xlsx]原始数据'!$F:$F,MATCH($A123,'[AQ_2021.xlsx]原始数据'!$A:$A,0)),""))</f>
        <v/>
      </c>
      <c r="X123">
        <f>IF($A123="","",IFERROR(INDEX('[AQ_2022.xlsx]原始数据'!$F:$F,MATCH($A123,'[AQ_2022.xlsx]原始数据'!$A:$A,0)),""))</f>
        <v/>
      </c>
      <c r="Y123">
        <f>IF($A123="","",IFERROR(INDEX('[AQ_2023.xlsx]原始数据'!$F:$F,MATCH($A123,'[AQ_2023.xlsx]原始数据'!$A:$A,0)),""))</f>
        <v/>
      </c>
      <c r="Z123">
        <f>IF($A123="","",IFERROR(INDEX('[AQ_2024.xlsx]原始数据'!$F:$F,MATCH($A123,'[AQ_2024.xlsx]原始数据'!$A:$A,0)),""))</f>
        <v/>
      </c>
      <c r="AA123" s="2">
        <f>IFERROR(G123/B123,"")</f>
        <v/>
      </c>
      <c r="AB123" s="2">
        <f>IFERROR(H123/C123,"")</f>
        <v/>
      </c>
      <c r="AC123" s="2">
        <f>IFERROR(I123/D123,"")</f>
        <v/>
      </c>
      <c r="AD123" s="2">
        <f>IFERROR(J123/E123,"")</f>
        <v/>
      </c>
      <c r="AE123" s="2">
        <f>IFERROR(K123/F123,"")</f>
        <v/>
      </c>
      <c r="AF123" s="2">
        <f>IFERROR(L123/B123,"")</f>
        <v/>
      </c>
      <c r="AG123" s="2">
        <f>IFERROR(M123/C123,"")</f>
        <v/>
      </c>
      <c r="AH123" s="2">
        <f>IFERROR(N123/D123,"")</f>
        <v/>
      </c>
      <c r="AI123" s="2">
        <f>IFERROR(O123/E123,"")</f>
        <v/>
      </c>
      <c r="AJ123" s="2">
        <f>IFERROR(P123/F123,"")</f>
        <v/>
      </c>
      <c r="AK123" s="2">
        <f>IFERROR(Q123/B123,"")</f>
        <v/>
      </c>
      <c r="AL123" s="2">
        <f>IFERROR(R123/C123,"")</f>
        <v/>
      </c>
      <c r="AM123" s="2">
        <f>IFERROR(S123/D123,"")</f>
        <v/>
      </c>
      <c r="AN123" s="2">
        <f>IFERROR(T123/E123,"")</f>
        <v/>
      </c>
      <c r="AO123" s="2">
        <f>IFERROR(U123/F123,"")</f>
        <v/>
      </c>
    </row>
    <row r="124">
      <c r="B124">
        <f>IF($A124="","",IFERROR(INDEX('[AQ_2020.xlsx]原始数据'!$B:$B,MATCH($A124,'[AQ_2020.xlsx]原始数据'!$A:$A,0)),""))</f>
        <v/>
      </c>
      <c r="C124">
        <f>IF($A124="","",IFERROR(INDEX('[AQ_2021.xlsx]原始数据'!$B:$B,MATCH($A124,'[AQ_2021.xlsx]原始数据'!$A:$A,0)),""))</f>
        <v/>
      </c>
      <c r="D124">
        <f>IF($A124="","",IFERROR(INDEX('[AQ_2022.xlsx]原始数据'!$B:$B,MATCH($A124,'[AQ_2022.xlsx]原始数据'!$A:$A,0)),""))</f>
        <v/>
      </c>
      <c r="E124">
        <f>IF($A124="","",IFERROR(INDEX('[AQ_2023.xlsx]原始数据'!$B:$B,MATCH($A124,'[AQ_2023.xlsx]原始数据'!$A:$A,0)),""))</f>
        <v/>
      </c>
      <c r="F124">
        <f>IF($A124="","",IFERROR(INDEX('[AQ_2024.xlsx]原始数据'!$B:$B,MATCH($A124,'[AQ_2024.xlsx]原始数据'!$A:$A,0)),""))</f>
        <v/>
      </c>
      <c r="G124">
        <f>IF($A124="","",IFERROR(INDEX('[AQ_2020.xlsx]原始数据'!$C:$C,MATCH($A124,'[AQ_2020.xlsx]原始数据'!$A:$A,0)),""))</f>
        <v/>
      </c>
      <c r="H124">
        <f>IF($A124="","",IFERROR(INDEX('[AQ_2021.xlsx]原始数据'!$C:$C,MATCH($A124,'[AQ_2021.xlsx]原始数据'!$A:$A,0)),""))</f>
        <v/>
      </c>
      <c r="I124">
        <f>IF($A124="","",IFERROR(INDEX('[AQ_2022.xlsx]原始数据'!$C:$C,MATCH($A124,'[AQ_2022.xlsx]原始数据'!$A:$A,0)),""))</f>
        <v/>
      </c>
      <c r="J124">
        <f>IF($A124="","",IFERROR(INDEX('[AQ_2023.xlsx]原始数据'!$C:$C,MATCH($A124,'[AQ_2023.xlsx]原始数据'!$A:$A,0)),""))</f>
        <v/>
      </c>
      <c r="K124">
        <f>IF($A124="","",IFERROR(INDEX('[AQ_2024.xlsx]原始数据'!$C:$C,MATCH($A124,'[AQ_2024.xlsx]原始数据'!$A:$A,0)),""))</f>
        <v/>
      </c>
      <c r="L124">
        <f>IF($A124="","",IFERROR(INDEX('[AQ_2020.xlsx]原始数据'!$D:$D,MATCH($A124,'[AQ_2020.xlsx]原始数据'!$A:$A,0)),""))</f>
        <v/>
      </c>
      <c r="M124">
        <f>IF($A124="","",IFERROR(INDEX('[AQ_2021.xlsx]原始数据'!$D:$D,MATCH($A124,'[AQ_2021.xlsx]原始数据'!$A:$A,0)),""))</f>
        <v/>
      </c>
      <c r="N124">
        <f>IF($A124="","",IFERROR(INDEX('[AQ_2022.xlsx]原始数据'!$D:$D,MATCH($A124,'[AQ_2022.xlsx]原始数据'!$A:$A,0)),""))</f>
        <v/>
      </c>
      <c r="O124">
        <f>IF($A124="","",IFERROR(INDEX('[AQ_2023.xlsx]原始数据'!$D:$D,MATCH($A124,'[AQ_2023.xlsx]原始数据'!$A:$A,0)),""))</f>
        <v/>
      </c>
      <c r="P124">
        <f>IF($A124="","",IFERROR(INDEX('[AQ_2024.xlsx]原始数据'!$D:$D,MATCH($A124,'[AQ_2024.xlsx]原始数据'!$A:$A,0)),""))</f>
        <v/>
      </c>
      <c r="Q124">
        <f>IF($A124="","",IFERROR(INDEX('[AQ_2020.xlsx]原始数据'!$E:$E,MATCH($A124,'[AQ_2020.xlsx]原始数据'!$A:$A,0)),""))</f>
        <v/>
      </c>
      <c r="R124">
        <f>IF($A124="","",IFERROR(INDEX('[AQ_2021.xlsx]原始数据'!$E:$E,MATCH($A124,'[AQ_2021.xlsx]原始数据'!$A:$A,0)),""))</f>
        <v/>
      </c>
      <c r="S124">
        <f>IF($A124="","",IFERROR(INDEX('[AQ_2022.xlsx]原始数据'!$E:$E,MATCH($A124,'[AQ_2022.xlsx]原始数据'!$A:$A,0)),""))</f>
        <v/>
      </c>
      <c r="T124">
        <f>IF($A124="","",IFERROR(INDEX('[AQ_2023.xlsx]原始数据'!$E:$E,MATCH($A124,'[AQ_2023.xlsx]原始数据'!$A:$A,0)),""))</f>
        <v/>
      </c>
      <c r="U124">
        <f>IF($A124="","",IFERROR(INDEX('[AQ_2024.xlsx]原始数据'!$E:$E,MATCH($A124,'[AQ_2024.xlsx]原始数据'!$A:$A,0)),""))</f>
        <v/>
      </c>
      <c r="V124">
        <f>IF($A124="","",IFERROR(INDEX('[AQ_2020.xlsx]原始数据'!$F:$F,MATCH($A124,'[AQ_2020.xlsx]原始数据'!$A:$A,0)),""))</f>
        <v/>
      </c>
      <c r="W124">
        <f>IF($A124="","",IFERROR(INDEX('[AQ_2021.xlsx]原始数据'!$F:$F,MATCH($A124,'[AQ_2021.xlsx]原始数据'!$A:$A,0)),""))</f>
        <v/>
      </c>
      <c r="X124">
        <f>IF($A124="","",IFERROR(INDEX('[AQ_2022.xlsx]原始数据'!$F:$F,MATCH($A124,'[AQ_2022.xlsx]原始数据'!$A:$A,0)),""))</f>
        <v/>
      </c>
      <c r="Y124">
        <f>IF($A124="","",IFERROR(INDEX('[AQ_2023.xlsx]原始数据'!$F:$F,MATCH($A124,'[AQ_2023.xlsx]原始数据'!$A:$A,0)),""))</f>
        <v/>
      </c>
      <c r="Z124">
        <f>IF($A124="","",IFERROR(INDEX('[AQ_2024.xlsx]原始数据'!$F:$F,MATCH($A124,'[AQ_2024.xlsx]原始数据'!$A:$A,0)),""))</f>
        <v/>
      </c>
      <c r="AA124" s="2">
        <f>IFERROR(G124/B124,"")</f>
        <v/>
      </c>
      <c r="AB124" s="2">
        <f>IFERROR(H124/C124,"")</f>
        <v/>
      </c>
      <c r="AC124" s="2">
        <f>IFERROR(I124/D124,"")</f>
        <v/>
      </c>
      <c r="AD124" s="2">
        <f>IFERROR(J124/E124,"")</f>
        <v/>
      </c>
      <c r="AE124" s="2">
        <f>IFERROR(K124/F124,"")</f>
        <v/>
      </c>
      <c r="AF124" s="2">
        <f>IFERROR(L124/B124,"")</f>
        <v/>
      </c>
      <c r="AG124" s="2">
        <f>IFERROR(M124/C124,"")</f>
        <v/>
      </c>
      <c r="AH124" s="2">
        <f>IFERROR(N124/D124,"")</f>
        <v/>
      </c>
      <c r="AI124" s="2">
        <f>IFERROR(O124/E124,"")</f>
        <v/>
      </c>
      <c r="AJ124" s="2">
        <f>IFERROR(P124/F124,"")</f>
        <v/>
      </c>
      <c r="AK124" s="2">
        <f>IFERROR(Q124/B124,"")</f>
        <v/>
      </c>
      <c r="AL124" s="2">
        <f>IFERROR(R124/C124,"")</f>
        <v/>
      </c>
      <c r="AM124" s="2">
        <f>IFERROR(S124/D124,"")</f>
        <v/>
      </c>
      <c r="AN124" s="2">
        <f>IFERROR(T124/E124,"")</f>
        <v/>
      </c>
      <c r="AO124" s="2">
        <f>IFERROR(U124/F124,"")</f>
        <v/>
      </c>
    </row>
    <row r="125">
      <c r="B125">
        <f>IF($A125="","",IFERROR(INDEX('[AQ_2020.xlsx]原始数据'!$B:$B,MATCH($A125,'[AQ_2020.xlsx]原始数据'!$A:$A,0)),""))</f>
        <v/>
      </c>
      <c r="C125">
        <f>IF($A125="","",IFERROR(INDEX('[AQ_2021.xlsx]原始数据'!$B:$B,MATCH($A125,'[AQ_2021.xlsx]原始数据'!$A:$A,0)),""))</f>
        <v/>
      </c>
      <c r="D125">
        <f>IF($A125="","",IFERROR(INDEX('[AQ_2022.xlsx]原始数据'!$B:$B,MATCH($A125,'[AQ_2022.xlsx]原始数据'!$A:$A,0)),""))</f>
        <v/>
      </c>
      <c r="E125">
        <f>IF($A125="","",IFERROR(INDEX('[AQ_2023.xlsx]原始数据'!$B:$B,MATCH($A125,'[AQ_2023.xlsx]原始数据'!$A:$A,0)),""))</f>
        <v/>
      </c>
      <c r="F125">
        <f>IF($A125="","",IFERROR(INDEX('[AQ_2024.xlsx]原始数据'!$B:$B,MATCH($A125,'[AQ_2024.xlsx]原始数据'!$A:$A,0)),""))</f>
        <v/>
      </c>
      <c r="G125">
        <f>IF($A125="","",IFERROR(INDEX('[AQ_2020.xlsx]原始数据'!$C:$C,MATCH($A125,'[AQ_2020.xlsx]原始数据'!$A:$A,0)),""))</f>
        <v/>
      </c>
      <c r="H125">
        <f>IF($A125="","",IFERROR(INDEX('[AQ_2021.xlsx]原始数据'!$C:$C,MATCH($A125,'[AQ_2021.xlsx]原始数据'!$A:$A,0)),""))</f>
        <v/>
      </c>
      <c r="I125">
        <f>IF($A125="","",IFERROR(INDEX('[AQ_2022.xlsx]原始数据'!$C:$C,MATCH($A125,'[AQ_2022.xlsx]原始数据'!$A:$A,0)),""))</f>
        <v/>
      </c>
      <c r="J125">
        <f>IF($A125="","",IFERROR(INDEX('[AQ_2023.xlsx]原始数据'!$C:$C,MATCH($A125,'[AQ_2023.xlsx]原始数据'!$A:$A,0)),""))</f>
        <v/>
      </c>
      <c r="K125">
        <f>IF($A125="","",IFERROR(INDEX('[AQ_2024.xlsx]原始数据'!$C:$C,MATCH($A125,'[AQ_2024.xlsx]原始数据'!$A:$A,0)),""))</f>
        <v/>
      </c>
      <c r="L125">
        <f>IF($A125="","",IFERROR(INDEX('[AQ_2020.xlsx]原始数据'!$D:$D,MATCH($A125,'[AQ_2020.xlsx]原始数据'!$A:$A,0)),""))</f>
        <v/>
      </c>
      <c r="M125">
        <f>IF($A125="","",IFERROR(INDEX('[AQ_2021.xlsx]原始数据'!$D:$D,MATCH($A125,'[AQ_2021.xlsx]原始数据'!$A:$A,0)),""))</f>
        <v/>
      </c>
      <c r="N125">
        <f>IF($A125="","",IFERROR(INDEX('[AQ_2022.xlsx]原始数据'!$D:$D,MATCH($A125,'[AQ_2022.xlsx]原始数据'!$A:$A,0)),""))</f>
        <v/>
      </c>
      <c r="O125">
        <f>IF($A125="","",IFERROR(INDEX('[AQ_2023.xlsx]原始数据'!$D:$D,MATCH($A125,'[AQ_2023.xlsx]原始数据'!$A:$A,0)),""))</f>
        <v/>
      </c>
      <c r="P125">
        <f>IF($A125="","",IFERROR(INDEX('[AQ_2024.xlsx]原始数据'!$D:$D,MATCH($A125,'[AQ_2024.xlsx]原始数据'!$A:$A,0)),""))</f>
        <v/>
      </c>
      <c r="Q125">
        <f>IF($A125="","",IFERROR(INDEX('[AQ_2020.xlsx]原始数据'!$E:$E,MATCH($A125,'[AQ_2020.xlsx]原始数据'!$A:$A,0)),""))</f>
        <v/>
      </c>
      <c r="R125">
        <f>IF($A125="","",IFERROR(INDEX('[AQ_2021.xlsx]原始数据'!$E:$E,MATCH($A125,'[AQ_2021.xlsx]原始数据'!$A:$A,0)),""))</f>
        <v/>
      </c>
      <c r="S125">
        <f>IF($A125="","",IFERROR(INDEX('[AQ_2022.xlsx]原始数据'!$E:$E,MATCH($A125,'[AQ_2022.xlsx]原始数据'!$A:$A,0)),""))</f>
        <v/>
      </c>
      <c r="T125">
        <f>IF($A125="","",IFERROR(INDEX('[AQ_2023.xlsx]原始数据'!$E:$E,MATCH($A125,'[AQ_2023.xlsx]原始数据'!$A:$A,0)),""))</f>
        <v/>
      </c>
      <c r="U125">
        <f>IF($A125="","",IFERROR(INDEX('[AQ_2024.xlsx]原始数据'!$E:$E,MATCH($A125,'[AQ_2024.xlsx]原始数据'!$A:$A,0)),""))</f>
        <v/>
      </c>
      <c r="V125">
        <f>IF($A125="","",IFERROR(INDEX('[AQ_2020.xlsx]原始数据'!$F:$F,MATCH($A125,'[AQ_2020.xlsx]原始数据'!$A:$A,0)),""))</f>
        <v/>
      </c>
      <c r="W125">
        <f>IF($A125="","",IFERROR(INDEX('[AQ_2021.xlsx]原始数据'!$F:$F,MATCH($A125,'[AQ_2021.xlsx]原始数据'!$A:$A,0)),""))</f>
        <v/>
      </c>
      <c r="X125">
        <f>IF($A125="","",IFERROR(INDEX('[AQ_2022.xlsx]原始数据'!$F:$F,MATCH($A125,'[AQ_2022.xlsx]原始数据'!$A:$A,0)),""))</f>
        <v/>
      </c>
      <c r="Y125">
        <f>IF($A125="","",IFERROR(INDEX('[AQ_2023.xlsx]原始数据'!$F:$F,MATCH($A125,'[AQ_2023.xlsx]原始数据'!$A:$A,0)),""))</f>
        <v/>
      </c>
      <c r="Z125">
        <f>IF($A125="","",IFERROR(INDEX('[AQ_2024.xlsx]原始数据'!$F:$F,MATCH($A125,'[AQ_2024.xlsx]原始数据'!$A:$A,0)),""))</f>
        <v/>
      </c>
      <c r="AA125" s="2">
        <f>IFERROR(G125/B125,"")</f>
        <v/>
      </c>
      <c r="AB125" s="2">
        <f>IFERROR(H125/C125,"")</f>
        <v/>
      </c>
      <c r="AC125" s="2">
        <f>IFERROR(I125/D125,"")</f>
        <v/>
      </c>
      <c r="AD125" s="2">
        <f>IFERROR(J125/E125,"")</f>
        <v/>
      </c>
      <c r="AE125" s="2">
        <f>IFERROR(K125/F125,"")</f>
        <v/>
      </c>
      <c r="AF125" s="2">
        <f>IFERROR(L125/B125,"")</f>
        <v/>
      </c>
      <c r="AG125" s="2">
        <f>IFERROR(M125/C125,"")</f>
        <v/>
      </c>
      <c r="AH125" s="2">
        <f>IFERROR(N125/D125,"")</f>
        <v/>
      </c>
      <c r="AI125" s="2">
        <f>IFERROR(O125/E125,"")</f>
        <v/>
      </c>
      <c r="AJ125" s="2">
        <f>IFERROR(P125/F125,"")</f>
        <v/>
      </c>
      <c r="AK125" s="2">
        <f>IFERROR(Q125/B125,"")</f>
        <v/>
      </c>
      <c r="AL125" s="2">
        <f>IFERROR(R125/C125,"")</f>
        <v/>
      </c>
      <c r="AM125" s="2">
        <f>IFERROR(S125/D125,"")</f>
        <v/>
      </c>
      <c r="AN125" s="2">
        <f>IFERROR(T125/E125,"")</f>
        <v/>
      </c>
      <c r="AO125" s="2">
        <f>IFERROR(U125/F125,"")</f>
        <v/>
      </c>
    </row>
    <row r="126">
      <c r="B126">
        <f>IF($A126="","",IFERROR(INDEX('[AQ_2020.xlsx]原始数据'!$B:$B,MATCH($A126,'[AQ_2020.xlsx]原始数据'!$A:$A,0)),""))</f>
        <v/>
      </c>
      <c r="C126">
        <f>IF($A126="","",IFERROR(INDEX('[AQ_2021.xlsx]原始数据'!$B:$B,MATCH($A126,'[AQ_2021.xlsx]原始数据'!$A:$A,0)),""))</f>
        <v/>
      </c>
      <c r="D126">
        <f>IF($A126="","",IFERROR(INDEX('[AQ_2022.xlsx]原始数据'!$B:$B,MATCH($A126,'[AQ_2022.xlsx]原始数据'!$A:$A,0)),""))</f>
        <v/>
      </c>
      <c r="E126">
        <f>IF($A126="","",IFERROR(INDEX('[AQ_2023.xlsx]原始数据'!$B:$B,MATCH($A126,'[AQ_2023.xlsx]原始数据'!$A:$A,0)),""))</f>
        <v/>
      </c>
      <c r="F126">
        <f>IF($A126="","",IFERROR(INDEX('[AQ_2024.xlsx]原始数据'!$B:$B,MATCH($A126,'[AQ_2024.xlsx]原始数据'!$A:$A,0)),""))</f>
        <v/>
      </c>
      <c r="G126">
        <f>IF($A126="","",IFERROR(INDEX('[AQ_2020.xlsx]原始数据'!$C:$C,MATCH($A126,'[AQ_2020.xlsx]原始数据'!$A:$A,0)),""))</f>
        <v/>
      </c>
      <c r="H126">
        <f>IF($A126="","",IFERROR(INDEX('[AQ_2021.xlsx]原始数据'!$C:$C,MATCH($A126,'[AQ_2021.xlsx]原始数据'!$A:$A,0)),""))</f>
        <v/>
      </c>
      <c r="I126">
        <f>IF($A126="","",IFERROR(INDEX('[AQ_2022.xlsx]原始数据'!$C:$C,MATCH($A126,'[AQ_2022.xlsx]原始数据'!$A:$A,0)),""))</f>
        <v/>
      </c>
      <c r="J126">
        <f>IF($A126="","",IFERROR(INDEX('[AQ_2023.xlsx]原始数据'!$C:$C,MATCH($A126,'[AQ_2023.xlsx]原始数据'!$A:$A,0)),""))</f>
        <v/>
      </c>
      <c r="K126">
        <f>IF($A126="","",IFERROR(INDEX('[AQ_2024.xlsx]原始数据'!$C:$C,MATCH($A126,'[AQ_2024.xlsx]原始数据'!$A:$A,0)),""))</f>
        <v/>
      </c>
      <c r="L126">
        <f>IF($A126="","",IFERROR(INDEX('[AQ_2020.xlsx]原始数据'!$D:$D,MATCH($A126,'[AQ_2020.xlsx]原始数据'!$A:$A,0)),""))</f>
        <v/>
      </c>
      <c r="M126">
        <f>IF($A126="","",IFERROR(INDEX('[AQ_2021.xlsx]原始数据'!$D:$D,MATCH($A126,'[AQ_2021.xlsx]原始数据'!$A:$A,0)),""))</f>
        <v/>
      </c>
      <c r="N126">
        <f>IF($A126="","",IFERROR(INDEX('[AQ_2022.xlsx]原始数据'!$D:$D,MATCH($A126,'[AQ_2022.xlsx]原始数据'!$A:$A,0)),""))</f>
        <v/>
      </c>
      <c r="O126">
        <f>IF($A126="","",IFERROR(INDEX('[AQ_2023.xlsx]原始数据'!$D:$D,MATCH($A126,'[AQ_2023.xlsx]原始数据'!$A:$A,0)),""))</f>
        <v/>
      </c>
      <c r="P126">
        <f>IF($A126="","",IFERROR(INDEX('[AQ_2024.xlsx]原始数据'!$D:$D,MATCH($A126,'[AQ_2024.xlsx]原始数据'!$A:$A,0)),""))</f>
        <v/>
      </c>
      <c r="Q126">
        <f>IF($A126="","",IFERROR(INDEX('[AQ_2020.xlsx]原始数据'!$E:$E,MATCH($A126,'[AQ_2020.xlsx]原始数据'!$A:$A,0)),""))</f>
        <v/>
      </c>
      <c r="R126">
        <f>IF($A126="","",IFERROR(INDEX('[AQ_2021.xlsx]原始数据'!$E:$E,MATCH($A126,'[AQ_2021.xlsx]原始数据'!$A:$A,0)),""))</f>
        <v/>
      </c>
      <c r="S126">
        <f>IF($A126="","",IFERROR(INDEX('[AQ_2022.xlsx]原始数据'!$E:$E,MATCH($A126,'[AQ_2022.xlsx]原始数据'!$A:$A,0)),""))</f>
        <v/>
      </c>
      <c r="T126">
        <f>IF($A126="","",IFERROR(INDEX('[AQ_2023.xlsx]原始数据'!$E:$E,MATCH($A126,'[AQ_2023.xlsx]原始数据'!$A:$A,0)),""))</f>
        <v/>
      </c>
      <c r="U126">
        <f>IF($A126="","",IFERROR(INDEX('[AQ_2024.xlsx]原始数据'!$E:$E,MATCH($A126,'[AQ_2024.xlsx]原始数据'!$A:$A,0)),""))</f>
        <v/>
      </c>
      <c r="V126">
        <f>IF($A126="","",IFERROR(INDEX('[AQ_2020.xlsx]原始数据'!$F:$F,MATCH($A126,'[AQ_2020.xlsx]原始数据'!$A:$A,0)),""))</f>
        <v/>
      </c>
      <c r="W126">
        <f>IF($A126="","",IFERROR(INDEX('[AQ_2021.xlsx]原始数据'!$F:$F,MATCH($A126,'[AQ_2021.xlsx]原始数据'!$A:$A,0)),""))</f>
        <v/>
      </c>
      <c r="X126">
        <f>IF($A126="","",IFERROR(INDEX('[AQ_2022.xlsx]原始数据'!$F:$F,MATCH($A126,'[AQ_2022.xlsx]原始数据'!$A:$A,0)),""))</f>
        <v/>
      </c>
      <c r="Y126">
        <f>IF($A126="","",IFERROR(INDEX('[AQ_2023.xlsx]原始数据'!$F:$F,MATCH($A126,'[AQ_2023.xlsx]原始数据'!$A:$A,0)),""))</f>
        <v/>
      </c>
      <c r="Z126">
        <f>IF($A126="","",IFERROR(INDEX('[AQ_2024.xlsx]原始数据'!$F:$F,MATCH($A126,'[AQ_2024.xlsx]原始数据'!$A:$A,0)),""))</f>
        <v/>
      </c>
      <c r="AA126" s="2">
        <f>IFERROR(G126/B126,"")</f>
        <v/>
      </c>
      <c r="AB126" s="2">
        <f>IFERROR(H126/C126,"")</f>
        <v/>
      </c>
      <c r="AC126" s="2">
        <f>IFERROR(I126/D126,"")</f>
        <v/>
      </c>
      <c r="AD126" s="2">
        <f>IFERROR(J126/E126,"")</f>
        <v/>
      </c>
      <c r="AE126" s="2">
        <f>IFERROR(K126/F126,"")</f>
        <v/>
      </c>
      <c r="AF126" s="2">
        <f>IFERROR(L126/B126,"")</f>
        <v/>
      </c>
      <c r="AG126" s="2">
        <f>IFERROR(M126/C126,"")</f>
        <v/>
      </c>
      <c r="AH126" s="2">
        <f>IFERROR(N126/D126,"")</f>
        <v/>
      </c>
      <c r="AI126" s="2">
        <f>IFERROR(O126/E126,"")</f>
        <v/>
      </c>
      <c r="AJ126" s="2">
        <f>IFERROR(P126/F126,"")</f>
        <v/>
      </c>
      <c r="AK126" s="2">
        <f>IFERROR(Q126/B126,"")</f>
        <v/>
      </c>
      <c r="AL126" s="2">
        <f>IFERROR(R126/C126,"")</f>
        <v/>
      </c>
      <c r="AM126" s="2">
        <f>IFERROR(S126/D126,"")</f>
        <v/>
      </c>
      <c r="AN126" s="2">
        <f>IFERROR(T126/E126,"")</f>
        <v/>
      </c>
      <c r="AO126" s="2">
        <f>IFERROR(U126/F126,"")</f>
        <v/>
      </c>
    </row>
    <row r="127">
      <c r="B127">
        <f>IF($A127="","",IFERROR(INDEX('[AQ_2020.xlsx]原始数据'!$B:$B,MATCH($A127,'[AQ_2020.xlsx]原始数据'!$A:$A,0)),""))</f>
        <v/>
      </c>
      <c r="C127">
        <f>IF($A127="","",IFERROR(INDEX('[AQ_2021.xlsx]原始数据'!$B:$B,MATCH($A127,'[AQ_2021.xlsx]原始数据'!$A:$A,0)),""))</f>
        <v/>
      </c>
      <c r="D127">
        <f>IF($A127="","",IFERROR(INDEX('[AQ_2022.xlsx]原始数据'!$B:$B,MATCH($A127,'[AQ_2022.xlsx]原始数据'!$A:$A,0)),""))</f>
        <v/>
      </c>
      <c r="E127">
        <f>IF($A127="","",IFERROR(INDEX('[AQ_2023.xlsx]原始数据'!$B:$B,MATCH($A127,'[AQ_2023.xlsx]原始数据'!$A:$A,0)),""))</f>
        <v/>
      </c>
      <c r="F127">
        <f>IF($A127="","",IFERROR(INDEX('[AQ_2024.xlsx]原始数据'!$B:$B,MATCH($A127,'[AQ_2024.xlsx]原始数据'!$A:$A,0)),""))</f>
        <v/>
      </c>
      <c r="G127">
        <f>IF($A127="","",IFERROR(INDEX('[AQ_2020.xlsx]原始数据'!$C:$C,MATCH($A127,'[AQ_2020.xlsx]原始数据'!$A:$A,0)),""))</f>
        <v/>
      </c>
      <c r="H127">
        <f>IF($A127="","",IFERROR(INDEX('[AQ_2021.xlsx]原始数据'!$C:$C,MATCH($A127,'[AQ_2021.xlsx]原始数据'!$A:$A,0)),""))</f>
        <v/>
      </c>
      <c r="I127">
        <f>IF($A127="","",IFERROR(INDEX('[AQ_2022.xlsx]原始数据'!$C:$C,MATCH($A127,'[AQ_2022.xlsx]原始数据'!$A:$A,0)),""))</f>
        <v/>
      </c>
      <c r="J127">
        <f>IF($A127="","",IFERROR(INDEX('[AQ_2023.xlsx]原始数据'!$C:$C,MATCH($A127,'[AQ_2023.xlsx]原始数据'!$A:$A,0)),""))</f>
        <v/>
      </c>
      <c r="K127">
        <f>IF($A127="","",IFERROR(INDEX('[AQ_2024.xlsx]原始数据'!$C:$C,MATCH($A127,'[AQ_2024.xlsx]原始数据'!$A:$A,0)),""))</f>
        <v/>
      </c>
      <c r="L127">
        <f>IF($A127="","",IFERROR(INDEX('[AQ_2020.xlsx]原始数据'!$D:$D,MATCH($A127,'[AQ_2020.xlsx]原始数据'!$A:$A,0)),""))</f>
        <v/>
      </c>
      <c r="M127">
        <f>IF($A127="","",IFERROR(INDEX('[AQ_2021.xlsx]原始数据'!$D:$D,MATCH($A127,'[AQ_2021.xlsx]原始数据'!$A:$A,0)),""))</f>
        <v/>
      </c>
      <c r="N127">
        <f>IF($A127="","",IFERROR(INDEX('[AQ_2022.xlsx]原始数据'!$D:$D,MATCH($A127,'[AQ_2022.xlsx]原始数据'!$A:$A,0)),""))</f>
        <v/>
      </c>
      <c r="O127">
        <f>IF($A127="","",IFERROR(INDEX('[AQ_2023.xlsx]原始数据'!$D:$D,MATCH($A127,'[AQ_2023.xlsx]原始数据'!$A:$A,0)),""))</f>
        <v/>
      </c>
      <c r="P127">
        <f>IF($A127="","",IFERROR(INDEX('[AQ_2024.xlsx]原始数据'!$D:$D,MATCH($A127,'[AQ_2024.xlsx]原始数据'!$A:$A,0)),""))</f>
        <v/>
      </c>
      <c r="Q127">
        <f>IF($A127="","",IFERROR(INDEX('[AQ_2020.xlsx]原始数据'!$E:$E,MATCH($A127,'[AQ_2020.xlsx]原始数据'!$A:$A,0)),""))</f>
        <v/>
      </c>
      <c r="R127">
        <f>IF($A127="","",IFERROR(INDEX('[AQ_2021.xlsx]原始数据'!$E:$E,MATCH($A127,'[AQ_2021.xlsx]原始数据'!$A:$A,0)),""))</f>
        <v/>
      </c>
      <c r="S127">
        <f>IF($A127="","",IFERROR(INDEX('[AQ_2022.xlsx]原始数据'!$E:$E,MATCH($A127,'[AQ_2022.xlsx]原始数据'!$A:$A,0)),""))</f>
        <v/>
      </c>
      <c r="T127">
        <f>IF($A127="","",IFERROR(INDEX('[AQ_2023.xlsx]原始数据'!$E:$E,MATCH($A127,'[AQ_2023.xlsx]原始数据'!$A:$A,0)),""))</f>
        <v/>
      </c>
      <c r="U127">
        <f>IF($A127="","",IFERROR(INDEX('[AQ_2024.xlsx]原始数据'!$E:$E,MATCH($A127,'[AQ_2024.xlsx]原始数据'!$A:$A,0)),""))</f>
        <v/>
      </c>
      <c r="V127">
        <f>IF($A127="","",IFERROR(INDEX('[AQ_2020.xlsx]原始数据'!$F:$F,MATCH($A127,'[AQ_2020.xlsx]原始数据'!$A:$A,0)),""))</f>
        <v/>
      </c>
      <c r="W127">
        <f>IF($A127="","",IFERROR(INDEX('[AQ_2021.xlsx]原始数据'!$F:$F,MATCH($A127,'[AQ_2021.xlsx]原始数据'!$A:$A,0)),""))</f>
        <v/>
      </c>
      <c r="X127">
        <f>IF($A127="","",IFERROR(INDEX('[AQ_2022.xlsx]原始数据'!$F:$F,MATCH($A127,'[AQ_2022.xlsx]原始数据'!$A:$A,0)),""))</f>
        <v/>
      </c>
      <c r="Y127">
        <f>IF($A127="","",IFERROR(INDEX('[AQ_2023.xlsx]原始数据'!$F:$F,MATCH($A127,'[AQ_2023.xlsx]原始数据'!$A:$A,0)),""))</f>
        <v/>
      </c>
      <c r="Z127">
        <f>IF($A127="","",IFERROR(INDEX('[AQ_2024.xlsx]原始数据'!$F:$F,MATCH($A127,'[AQ_2024.xlsx]原始数据'!$A:$A,0)),""))</f>
        <v/>
      </c>
      <c r="AA127" s="2">
        <f>IFERROR(G127/B127,"")</f>
        <v/>
      </c>
      <c r="AB127" s="2">
        <f>IFERROR(H127/C127,"")</f>
        <v/>
      </c>
      <c r="AC127" s="2">
        <f>IFERROR(I127/D127,"")</f>
        <v/>
      </c>
      <c r="AD127" s="2">
        <f>IFERROR(J127/E127,"")</f>
        <v/>
      </c>
      <c r="AE127" s="2">
        <f>IFERROR(K127/F127,"")</f>
        <v/>
      </c>
      <c r="AF127" s="2">
        <f>IFERROR(L127/B127,"")</f>
        <v/>
      </c>
      <c r="AG127" s="2">
        <f>IFERROR(M127/C127,"")</f>
        <v/>
      </c>
      <c r="AH127" s="2">
        <f>IFERROR(N127/D127,"")</f>
        <v/>
      </c>
      <c r="AI127" s="2">
        <f>IFERROR(O127/E127,"")</f>
        <v/>
      </c>
      <c r="AJ127" s="2">
        <f>IFERROR(P127/F127,"")</f>
        <v/>
      </c>
      <c r="AK127" s="2">
        <f>IFERROR(Q127/B127,"")</f>
        <v/>
      </c>
      <c r="AL127" s="2">
        <f>IFERROR(R127/C127,"")</f>
        <v/>
      </c>
      <c r="AM127" s="2">
        <f>IFERROR(S127/D127,"")</f>
        <v/>
      </c>
      <c r="AN127" s="2">
        <f>IFERROR(T127/E127,"")</f>
        <v/>
      </c>
      <c r="AO127" s="2">
        <f>IFERROR(U127/F127,"")</f>
        <v/>
      </c>
    </row>
    <row r="128">
      <c r="B128">
        <f>IF($A128="","",IFERROR(INDEX('[AQ_2020.xlsx]原始数据'!$B:$B,MATCH($A128,'[AQ_2020.xlsx]原始数据'!$A:$A,0)),""))</f>
        <v/>
      </c>
      <c r="C128">
        <f>IF($A128="","",IFERROR(INDEX('[AQ_2021.xlsx]原始数据'!$B:$B,MATCH($A128,'[AQ_2021.xlsx]原始数据'!$A:$A,0)),""))</f>
        <v/>
      </c>
      <c r="D128">
        <f>IF($A128="","",IFERROR(INDEX('[AQ_2022.xlsx]原始数据'!$B:$B,MATCH($A128,'[AQ_2022.xlsx]原始数据'!$A:$A,0)),""))</f>
        <v/>
      </c>
      <c r="E128">
        <f>IF($A128="","",IFERROR(INDEX('[AQ_2023.xlsx]原始数据'!$B:$B,MATCH($A128,'[AQ_2023.xlsx]原始数据'!$A:$A,0)),""))</f>
        <v/>
      </c>
      <c r="F128">
        <f>IF($A128="","",IFERROR(INDEX('[AQ_2024.xlsx]原始数据'!$B:$B,MATCH($A128,'[AQ_2024.xlsx]原始数据'!$A:$A,0)),""))</f>
        <v/>
      </c>
      <c r="G128">
        <f>IF($A128="","",IFERROR(INDEX('[AQ_2020.xlsx]原始数据'!$C:$C,MATCH($A128,'[AQ_2020.xlsx]原始数据'!$A:$A,0)),""))</f>
        <v/>
      </c>
      <c r="H128">
        <f>IF($A128="","",IFERROR(INDEX('[AQ_2021.xlsx]原始数据'!$C:$C,MATCH($A128,'[AQ_2021.xlsx]原始数据'!$A:$A,0)),""))</f>
        <v/>
      </c>
      <c r="I128">
        <f>IF($A128="","",IFERROR(INDEX('[AQ_2022.xlsx]原始数据'!$C:$C,MATCH($A128,'[AQ_2022.xlsx]原始数据'!$A:$A,0)),""))</f>
        <v/>
      </c>
      <c r="J128">
        <f>IF($A128="","",IFERROR(INDEX('[AQ_2023.xlsx]原始数据'!$C:$C,MATCH($A128,'[AQ_2023.xlsx]原始数据'!$A:$A,0)),""))</f>
        <v/>
      </c>
      <c r="K128">
        <f>IF($A128="","",IFERROR(INDEX('[AQ_2024.xlsx]原始数据'!$C:$C,MATCH($A128,'[AQ_2024.xlsx]原始数据'!$A:$A,0)),""))</f>
        <v/>
      </c>
      <c r="L128">
        <f>IF($A128="","",IFERROR(INDEX('[AQ_2020.xlsx]原始数据'!$D:$D,MATCH($A128,'[AQ_2020.xlsx]原始数据'!$A:$A,0)),""))</f>
        <v/>
      </c>
      <c r="M128">
        <f>IF($A128="","",IFERROR(INDEX('[AQ_2021.xlsx]原始数据'!$D:$D,MATCH($A128,'[AQ_2021.xlsx]原始数据'!$A:$A,0)),""))</f>
        <v/>
      </c>
      <c r="N128">
        <f>IF($A128="","",IFERROR(INDEX('[AQ_2022.xlsx]原始数据'!$D:$D,MATCH($A128,'[AQ_2022.xlsx]原始数据'!$A:$A,0)),""))</f>
        <v/>
      </c>
      <c r="O128">
        <f>IF($A128="","",IFERROR(INDEX('[AQ_2023.xlsx]原始数据'!$D:$D,MATCH($A128,'[AQ_2023.xlsx]原始数据'!$A:$A,0)),""))</f>
        <v/>
      </c>
      <c r="P128">
        <f>IF($A128="","",IFERROR(INDEX('[AQ_2024.xlsx]原始数据'!$D:$D,MATCH($A128,'[AQ_2024.xlsx]原始数据'!$A:$A,0)),""))</f>
        <v/>
      </c>
      <c r="Q128">
        <f>IF($A128="","",IFERROR(INDEX('[AQ_2020.xlsx]原始数据'!$E:$E,MATCH($A128,'[AQ_2020.xlsx]原始数据'!$A:$A,0)),""))</f>
        <v/>
      </c>
      <c r="R128">
        <f>IF($A128="","",IFERROR(INDEX('[AQ_2021.xlsx]原始数据'!$E:$E,MATCH($A128,'[AQ_2021.xlsx]原始数据'!$A:$A,0)),""))</f>
        <v/>
      </c>
      <c r="S128">
        <f>IF($A128="","",IFERROR(INDEX('[AQ_2022.xlsx]原始数据'!$E:$E,MATCH($A128,'[AQ_2022.xlsx]原始数据'!$A:$A,0)),""))</f>
        <v/>
      </c>
      <c r="T128">
        <f>IF($A128="","",IFERROR(INDEX('[AQ_2023.xlsx]原始数据'!$E:$E,MATCH($A128,'[AQ_2023.xlsx]原始数据'!$A:$A,0)),""))</f>
        <v/>
      </c>
      <c r="U128">
        <f>IF($A128="","",IFERROR(INDEX('[AQ_2024.xlsx]原始数据'!$E:$E,MATCH($A128,'[AQ_2024.xlsx]原始数据'!$A:$A,0)),""))</f>
        <v/>
      </c>
      <c r="V128">
        <f>IF($A128="","",IFERROR(INDEX('[AQ_2020.xlsx]原始数据'!$F:$F,MATCH($A128,'[AQ_2020.xlsx]原始数据'!$A:$A,0)),""))</f>
        <v/>
      </c>
      <c r="W128">
        <f>IF($A128="","",IFERROR(INDEX('[AQ_2021.xlsx]原始数据'!$F:$F,MATCH($A128,'[AQ_2021.xlsx]原始数据'!$A:$A,0)),""))</f>
        <v/>
      </c>
      <c r="X128">
        <f>IF($A128="","",IFERROR(INDEX('[AQ_2022.xlsx]原始数据'!$F:$F,MATCH($A128,'[AQ_2022.xlsx]原始数据'!$A:$A,0)),""))</f>
        <v/>
      </c>
      <c r="Y128">
        <f>IF($A128="","",IFERROR(INDEX('[AQ_2023.xlsx]原始数据'!$F:$F,MATCH($A128,'[AQ_2023.xlsx]原始数据'!$A:$A,0)),""))</f>
        <v/>
      </c>
      <c r="Z128">
        <f>IF($A128="","",IFERROR(INDEX('[AQ_2024.xlsx]原始数据'!$F:$F,MATCH($A128,'[AQ_2024.xlsx]原始数据'!$A:$A,0)),""))</f>
        <v/>
      </c>
      <c r="AA128" s="2">
        <f>IFERROR(G128/B128,"")</f>
        <v/>
      </c>
      <c r="AB128" s="2">
        <f>IFERROR(H128/C128,"")</f>
        <v/>
      </c>
      <c r="AC128" s="2">
        <f>IFERROR(I128/D128,"")</f>
        <v/>
      </c>
      <c r="AD128" s="2">
        <f>IFERROR(J128/E128,"")</f>
        <v/>
      </c>
      <c r="AE128" s="2">
        <f>IFERROR(K128/F128,"")</f>
        <v/>
      </c>
      <c r="AF128" s="2">
        <f>IFERROR(L128/B128,"")</f>
        <v/>
      </c>
      <c r="AG128" s="2">
        <f>IFERROR(M128/C128,"")</f>
        <v/>
      </c>
      <c r="AH128" s="2">
        <f>IFERROR(N128/D128,"")</f>
        <v/>
      </c>
      <c r="AI128" s="2">
        <f>IFERROR(O128/E128,"")</f>
        <v/>
      </c>
      <c r="AJ128" s="2">
        <f>IFERROR(P128/F128,"")</f>
        <v/>
      </c>
      <c r="AK128" s="2">
        <f>IFERROR(Q128/B128,"")</f>
        <v/>
      </c>
      <c r="AL128" s="2">
        <f>IFERROR(R128/C128,"")</f>
        <v/>
      </c>
      <c r="AM128" s="2">
        <f>IFERROR(S128/D128,"")</f>
        <v/>
      </c>
      <c r="AN128" s="2">
        <f>IFERROR(T128/E128,"")</f>
        <v/>
      </c>
      <c r="AO128" s="2">
        <f>IFERROR(U128/F128,"")</f>
        <v/>
      </c>
    </row>
    <row r="129">
      <c r="B129">
        <f>IF($A129="","",IFERROR(INDEX('[AQ_2020.xlsx]原始数据'!$B:$B,MATCH($A129,'[AQ_2020.xlsx]原始数据'!$A:$A,0)),""))</f>
        <v/>
      </c>
      <c r="C129">
        <f>IF($A129="","",IFERROR(INDEX('[AQ_2021.xlsx]原始数据'!$B:$B,MATCH($A129,'[AQ_2021.xlsx]原始数据'!$A:$A,0)),""))</f>
        <v/>
      </c>
      <c r="D129">
        <f>IF($A129="","",IFERROR(INDEX('[AQ_2022.xlsx]原始数据'!$B:$B,MATCH($A129,'[AQ_2022.xlsx]原始数据'!$A:$A,0)),""))</f>
        <v/>
      </c>
      <c r="E129">
        <f>IF($A129="","",IFERROR(INDEX('[AQ_2023.xlsx]原始数据'!$B:$B,MATCH($A129,'[AQ_2023.xlsx]原始数据'!$A:$A,0)),""))</f>
        <v/>
      </c>
      <c r="F129">
        <f>IF($A129="","",IFERROR(INDEX('[AQ_2024.xlsx]原始数据'!$B:$B,MATCH($A129,'[AQ_2024.xlsx]原始数据'!$A:$A,0)),""))</f>
        <v/>
      </c>
      <c r="G129">
        <f>IF($A129="","",IFERROR(INDEX('[AQ_2020.xlsx]原始数据'!$C:$C,MATCH($A129,'[AQ_2020.xlsx]原始数据'!$A:$A,0)),""))</f>
        <v/>
      </c>
      <c r="H129">
        <f>IF($A129="","",IFERROR(INDEX('[AQ_2021.xlsx]原始数据'!$C:$C,MATCH($A129,'[AQ_2021.xlsx]原始数据'!$A:$A,0)),""))</f>
        <v/>
      </c>
      <c r="I129">
        <f>IF($A129="","",IFERROR(INDEX('[AQ_2022.xlsx]原始数据'!$C:$C,MATCH($A129,'[AQ_2022.xlsx]原始数据'!$A:$A,0)),""))</f>
        <v/>
      </c>
      <c r="J129">
        <f>IF($A129="","",IFERROR(INDEX('[AQ_2023.xlsx]原始数据'!$C:$C,MATCH($A129,'[AQ_2023.xlsx]原始数据'!$A:$A,0)),""))</f>
        <v/>
      </c>
      <c r="K129">
        <f>IF($A129="","",IFERROR(INDEX('[AQ_2024.xlsx]原始数据'!$C:$C,MATCH($A129,'[AQ_2024.xlsx]原始数据'!$A:$A,0)),""))</f>
        <v/>
      </c>
      <c r="L129">
        <f>IF($A129="","",IFERROR(INDEX('[AQ_2020.xlsx]原始数据'!$D:$D,MATCH($A129,'[AQ_2020.xlsx]原始数据'!$A:$A,0)),""))</f>
        <v/>
      </c>
      <c r="M129">
        <f>IF($A129="","",IFERROR(INDEX('[AQ_2021.xlsx]原始数据'!$D:$D,MATCH($A129,'[AQ_2021.xlsx]原始数据'!$A:$A,0)),""))</f>
        <v/>
      </c>
      <c r="N129">
        <f>IF($A129="","",IFERROR(INDEX('[AQ_2022.xlsx]原始数据'!$D:$D,MATCH($A129,'[AQ_2022.xlsx]原始数据'!$A:$A,0)),""))</f>
        <v/>
      </c>
      <c r="O129">
        <f>IF($A129="","",IFERROR(INDEX('[AQ_2023.xlsx]原始数据'!$D:$D,MATCH($A129,'[AQ_2023.xlsx]原始数据'!$A:$A,0)),""))</f>
        <v/>
      </c>
      <c r="P129">
        <f>IF($A129="","",IFERROR(INDEX('[AQ_2024.xlsx]原始数据'!$D:$D,MATCH($A129,'[AQ_2024.xlsx]原始数据'!$A:$A,0)),""))</f>
        <v/>
      </c>
      <c r="Q129">
        <f>IF($A129="","",IFERROR(INDEX('[AQ_2020.xlsx]原始数据'!$E:$E,MATCH($A129,'[AQ_2020.xlsx]原始数据'!$A:$A,0)),""))</f>
        <v/>
      </c>
      <c r="R129">
        <f>IF($A129="","",IFERROR(INDEX('[AQ_2021.xlsx]原始数据'!$E:$E,MATCH($A129,'[AQ_2021.xlsx]原始数据'!$A:$A,0)),""))</f>
        <v/>
      </c>
      <c r="S129">
        <f>IF($A129="","",IFERROR(INDEX('[AQ_2022.xlsx]原始数据'!$E:$E,MATCH($A129,'[AQ_2022.xlsx]原始数据'!$A:$A,0)),""))</f>
        <v/>
      </c>
      <c r="T129">
        <f>IF($A129="","",IFERROR(INDEX('[AQ_2023.xlsx]原始数据'!$E:$E,MATCH($A129,'[AQ_2023.xlsx]原始数据'!$A:$A,0)),""))</f>
        <v/>
      </c>
      <c r="U129">
        <f>IF($A129="","",IFERROR(INDEX('[AQ_2024.xlsx]原始数据'!$E:$E,MATCH($A129,'[AQ_2024.xlsx]原始数据'!$A:$A,0)),""))</f>
        <v/>
      </c>
      <c r="V129">
        <f>IF($A129="","",IFERROR(INDEX('[AQ_2020.xlsx]原始数据'!$F:$F,MATCH($A129,'[AQ_2020.xlsx]原始数据'!$A:$A,0)),""))</f>
        <v/>
      </c>
      <c r="W129">
        <f>IF($A129="","",IFERROR(INDEX('[AQ_2021.xlsx]原始数据'!$F:$F,MATCH($A129,'[AQ_2021.xlsx]原始数据'!$A:$A,0)),""))</f>
        <v/>
      </c>
      <c r="X129">
        <f>IF($A129="","",IFERROR(INDEX('[AQ_2022.xlsx]原始数据'!$F:$F,MATCH($A129,'[AQ_2022.xlsx]原始数据'!$A:$A,0)),""))</f>
        <v/>
      </c>
      <c r="Y129">
        <f>IF($A129="","",IFERROR(INDEX('[AQ_2023.xlsx]原始数据'!$F:$F,MATCH($A129,'[AQ_2023.xlsx]原始数据'!$A:$A,0)),""))</f>
        <v/>
      </c>
      <c r="Z129">
        <f>IF($A129="","",IFERROR(INDEX('[AQ_2024.xlsx]原始数据'!$F:$F,MATCH($A129,'[AQ_2024.xlsx]原始数据'!$A:$A,0)),""))</f>
        <v/>
      </c>
      <c r="AA129" s="2">
        <f>IFERROR(G129/B129,"")</f>
        <v/>
      </c>
      <c r="AB129" s="2">
        <f>IFERROR(H129/C129,"")</f>
        <v/>
      </c>
      <c r="AC129" s="2">
        <f>IFERROR(I129/D129,"")</f>
        <v/>
      </c>
      <c r="AD129" s="2">
        <f>IFERROR(J129/E129,"")</f>
        <v/>
      </c>
      <c r="AE129" s="2">
        <f>IFERROR(K129/F129,"")</f>
        <v/>
      </c>
      <c r="AF129" s="2">
        <f>IFERROR(L129/B129,"")</f>
        <v/>
      </c>
      <c r="AG129" s="2">
        <f>IFERROR(M129/C129,"")</f>
        <v/>
      </c>
      <c r="AH129" s="2">
        <f>IFERROR(N129/D129,"")</f>
        <v/>
      </c>
      <c r="AI129" s="2">
        <f>IFERROR(O129/E129,"")</f>
        <v/>
      </c>
      <c r="AJ129" s="2">
        <f>IFERROR(P129/F129,"")</f>
        <v/>
      </c>
      <c r="AK129" s="2">
        <f>IFERROR(Q129/B129,"")</f>
        <v/>
      </c>
      <c r="AL129" s="2">
        <f>IFERROR(R129/C129,"")</f>
        <v/>
      </c>
      <c r="AM129" s="2">
        <f>IFERROR(S129/D129,"")</f>
        <v/>
      </c>
      <c r="AN129" s="2">
        <f>IFERROR(T129/E129,"")</f>
        <v/>
      </c>
      <c r="AO129" s="2">
        <f>IFERROR(U129/F129,"")</f>
        <v/>
      </c>
    </row>
    <row r="130">
      <c r="B130">
        <f>IF($A130="","",IFERROR(INDEX('[AQ_2020.xlsx]原始数据'!$B:$B,MATCH($A130,'[AQ_2020.xlsx]原始数据'!$A:$A,0)),""))</f>
        <v/>
      </c>
      <c r="C130">
        <f>IF($A130="","",IFERROR(INDEX('[AQ_2021.xlsx]原始数据'!$B:$B,MATCH($A130,'[AQ_2021.xlsx]原始数据'!$A:$A,0)),""))</f>
        <v/>
      </c>
      <c r="D130">
        <f>IF($A130="","",IFERROR(INDEX('[AQ_2022.xlsx]原始数据'!$B:$B,MATCH($A130,'[AQ_2022.xlsx]原始数据'!$A:$A,0)),""))</f>
        <v/>
      </c>
      <c r="E130">
        <f>IF($A130="","",IFERROR(INDEX('[AQ_2023.xlsx]原始数据'!$B:$B,MATCH($A130,'[AQ_2023.xlsx]原始数据'!$A:$A,0)),""))</f>
        <v/>
      </c>
      <c r="F130">
        <f>IF($A130="","",IFERROR(INDEX('[AQ_2024.xlsx]原始数据'!$B:$B,MATCH($A130,'[AQ_2024.xlsx]原始数据'!$A:$A,0)),""))</f>
        <v/>
      </c>
      <c r="G130">
        <f>IF($A130="","",IFERROR(INDEX('[AQ_2020.xlsx]原始数据'!$C:$C,MATCH($A130,'[AQ_2020.xlsx]原始数据'!$A:$A,0)),""))</f>
        <v/>
      </c>
      <c r="H130">
        <f>IF($A130="","",IFERROR(INDEX('[AQ_2021.xlsx]原始数据'!$C:$C,MATCH($A130,'[AQ_2021.xlsx]原始数据'!$A:$A,0)),""))</f>
        <v/>
      </c>
      <c r="I130">
        <f>IF($A130="","",IFERROR(INDEX('[AQ_2022.xlsx]原始数据'!$C:$C,MATCH($A130,'[AQ_2022.xlsx]原始数据'!$A:$A,0)),""))</f>
        <v/>
      </c>
      <c r="J130">
        <f>IF($A130="","",IFERROR(INDEX('[AQ_2023.xlsx]原始数据'!$C:$C,MATCH($A130,'[AQ_2023.xlsx]原始数据'!$A:$A,0)),""))</f>
        <v/>
      </c>
      <c r="K130">
        <f>IF($A130="","",IFERROR(INDEX('[AQ_2024.xlsx]原始数据'!$C:$C,MATCH($A130,'[AQ_2024.xlsx]原始数据'!$A:$A,0)),""))</f>
        <v/>
      </c>
      <c r="L130">
        <f>IF($A130="","",IFERROR(INDEX('[AQ_2020.xlsx]原始数据'!$D:$D,MATCH($A130,'[AQ_2020.xlsx]原始数据'!$A:$A,0)),""))</f>
        <v/>
      </c>
      <c r="M130">
        <f>IF($A130="","",IFERROR(INDEX('[AQ_2021.xlsx]原始数据'!$D:$D,MATCH($A130,'[AQ_2021.xlsx]原始数据'!$A:$A,0)),""))</f>
        <v/>
      </c>
      <c r="N130">
        <f>IF($A130="","",IFERROR(INDEX('[AQ_2022.xlsx]原始数据'!$D:$D,MATCH($A130,'[AQ_2022.xlsx]原始数据'!$A:$A,0)),""))</f>
        <v/>
      </c>
      <c r="O130">
        <f>IF($A130="","",IFERROR(INDEX('[AQ_2023.xlsx]原始数据'!$D:$D,MATCH($A130,'[AQ_2023.xlsx]原始数据'!$A:$A,0)),""))</f>
        <v/>
      </c>
      <c r="P130">
        <f>IF($A130="","",IFERROR(INDEX('[AQ_2024.xlsx]原始数据'!$D:$D,MATCH($A130,'[AQ_2024.xlsx]原始数据'!$A:$A,0)),""))</f>
        <v/>
      </c>
      <c r="Q130">
        <f>IF($A130="","",IFERROR(INDEX('[AQ_2020.xlsx]原始数据'!$E:$E,MATCH($A130,'[AQ_2020.xlsx]原始数据'!$A:$A,0)),""))</f>
        <v/>
      </c>
      <c r="R130">
        <f>IF($A130="","",IFERROR(INDEX('[AQ_2021.xlsx]原始数据'!$E:$E,MATCH($A130,'[AQ_2021.xlsx]原始数据'!$A:$A,0)),""))</f>
        <v/>
      </c>
      <c r="S130">
        <f>IF($A130="","",IFERROR(INDEX('[AQ_2022.xlsx]原始数据'!$E:$E,MATCH($A130,'[AQ_2022.xlsx]原始数据'!$A:$A,0)),""))</f>
        <v/>
      </c>
      <c r="T130">
        <f>IF($A130="","",IFERROR(INDEX('[AQ_2023.xlsx]原始数据'!$E:$E,MATCH($A130,'[AQ_2023.xlsx]原始数据'!$A:$A,0)),""))</f>
        <v/>
      </c>
      <c r="U130">
        <f>IF($A130="","",IFERROR(INDEX('[AQ_2024.xlsx]原始数据'!$E:$E,MATCH($A130,'[AQ_2024.xlsx]原始数据'!$A:$A,0)),""))</f>
        <v/>
      </c>
      <c r="V130">
        <f>IF($A130="","",IFERROR(INDEX('[AQ_2020.xlsx]原始数据'!$F:$F,MATCH($A130,'[AQ_2020.xlsx]原始数据'!$A:$A,0)),""))</f>
        <v/>
      </c>
      <c r="W130">
        <f>IF($A130="","",IFERROR(INDEX('[AQ_2021.xlsx]原始数据'!$F:$F,MATCH($A130,'[AQ_2021.xlsx]原始数据'!$A:$A,0)),""))</f>
        <v/>
      </c>
      <c r="X130">
        <f>IF($A130="","",IFERROR(INDEX('[AQ_2022.xlsx]原始数据'!$F:$F,MATCH($A130,'[AQ_2022.xlsx]原始数据'!$A:$A,0)),""))</f>
        <v/>
      </c>
      <c r="Y130">
        <f>IF($A130="","",IFERROR(INDEX('[AQ_2023.xlsx]原始数据'!$F:$F,MATCH($A130,'[AQ_2023.xlsx]原始数据'!$A:$A,0)),""))</f>
        <v/>
      </c>
      <c r="Z130">
        <f>IF($A130="","",IFERROR(INDEX('[AQ_2024.xlsx]原始数据'!$F:$F,MATCH($A130,'[AQ_2024.xlsx]原始数据'!$A:$A,0)),""))</f>
        <v/>
      </c>
      <c r="AA130" s="2">
        <f>IFERROR(G130/B130,"")</f>
        <v/>
      </c>
      <c r="AB130" s="2">
        <f>IFERROR(H130/C130,"")</f>
        <v/>
      </c>
      <c r="AC130" s="2">
        <f>IFERROR(I130/D130,"")</f>
        <v/>
      </c>
      <c r="AD130" s="2">
        <f>IFERROR(J130/E130,"")</f>
        <v/>
      </c>
      <c r="AE130" s="2">
        <f>IFERROR(K130/F130,"")</f>
        <v/>
      </c>
      <c r="AF130" s="2">
        <f>IFERROR(L130/B130,"")</f>
        <v/>
      </c>
      <c r="AG130" s="2">
        <f>IFERROR(M130/C130,"")</f>
        <v/>
      </c>
      <c r="AH130" s="2">
        <f>IFERROR(N130/D130,"")</f>
        <v/>
      </c>
      <c r="AI130" s="2">
        <f>IFERROR(O130/E130,"")</f>
        <v/>
      </c>
      <c r="AJ130" s="2">
        <f>IFERROR(P130/F130,"")</f>
        <v/>
      </c>
      <c r="AK130" s="2">
        <f>IFERROR(Q130/B130,"")</f>
        <v/>
      </c>
      <c r="AL130" s="2">
        <f>IFERROR(R130/C130,"")</f>
        <v/>
      </c>
      <c r="AM130" s="2">
        <f>IFERROR(S130/D130,"")</f>
        <v/>
      </c>
      <c r="AN130" s="2">
        <f>IFERROR(T130/E130,"")</f>
        <v/>
      </c>
      <c r="AO130" s="2">
        <f>IFERROR(U130/F130,"")</f>
        <v/>
      </c>
    </row>
    <row r="131">
      <c r="B131">
        <f>IF($A131="","",IFERROR(INDEX('[AQ_2020.xlsx]原始数据'!$B:$B,MATCH($A131,'[AQ_2020.xlsx]原始数据'!$A:$A,0)),""))</f>
        <v/>
      </c>
      <c r="C131">
        <f>IF($A131="","",IFERROR(INDEX('[AQ_2021.xlsx]原始数据'!$B:$B,MATCH($A131,'[AQ_2021.xlsx]原始数据'!$A:$A,0)),""))</f>
        <v/>
      </c>
      <c r="D131">
        <f>IF($A131="","",IFERROR(INDEX('[AQ_2022.xlsx]原始数据'!$B:$B,MATCH($A131,'[AQ_2022.xlsx]原始数据'!$A:$A,0)),""))</f>
        <v/>
      </c>
      <c r="E131">
        <f>IF($A131="","",IFERROR(INDEX('[AQ_2023.xlsx]原始数据'!$B:$B,MATCH($A131,'[AQ_2023.xlsx]原始数据'!$A:$A,0)),""))</f>
        <v/>
      </c>
      <c r="F131">
        <f>IF($A131="","",IFERROR(INDEX('[AQ_2024.xlsx]原始数据'!$B:$B,MATCH($A131,'[AQ_2024.xlsx]原始数据'!$A:$A,0)),""))</f>
        <v/>
      </c>
      <c r="G131">
        <f>IF($A131="","",IFERROR(INDEX('[AQ_2020.xlsx]原始数据'!$C:$C,MATCH($A131,'[AQ_2020.xlsx]原始数据'!$A:$A,0)),""))</f>
        <v/>
      </c>
      <c r="H131">
        <f>IF($A131="","",IFERROR(INDEX('[AQ_2021.xlsx]原始数据'!$C:$C,MATCH($A131,'[AQ_2021.xlsx]原始数据'!$A:$A,0)),""))</f>
        <v/>
      </c>
      <c r="I131">
        <f>IF($A131="","",IFERROR(INDEX('[AQ_2022.xlsx]原始数据'!$C:$C,MATCH($A131,'[AQ_2022.xlsx]原始数据'!$A:$A,0)),""))</f>
        <v/>
      </c>
      <c r="J131">
        <f>IF($A131="","",IFERROR(INDEX('[AQ_2023.xlsx]原始数据'!$C:$C,MATCH($A131,'[AQ_2023.xlsx]原始数据'!$A:$A,0)),""))</f>
        <v/>
      </c>
      <c r="K131">
        <f>IF($A131="","",IFERROR(INDEX('[AQ_2024.xlsx]原始数据'!$C:$C,MATCH($A131,'[AQ_2024.xlsx]原始数据'!$A:$A,0)),""))</f>
        <v/>
      </c>
      <c r="L131">
        <f>IF($A131="","",IFERROR(INDEX('[AQ_2020.xlsx]原始数据'!$D:$D,MATCH($A131,'[AQ_2020.xlsx]原始数据'!$A:$A,0)),""))</f>
        <v/>
      </c>
      <c r="M131">
        <f>IF($A131="","",IFERROR(INDEX('[AQ_2021.xlsx]原始数据'!$D:$D,MATCH($A131,'[AQ_2021.xlsx]原始数据'!$A:$A,0)),""))</f>
        <v/>
      </c>
      <c r="N131">
        <f>IF($A131="","",IFERROR(INDEX('[AQ_2022.xlsx]原始数据'!$D:$D,MATCH($A131,'[AQ_2022.xlsx]原始数据'!$A:$A,0)),""))</f>
        <v/>
      </c>
      <c r="O131">
        <f>IF($A131="","",IFERROR(INDEX('[AQ_2023.xlsx]原始数据'!$D:$D,MATCH($A131,'[AQ_2023.xlsx]原始数据'!$A:$A,0)),""))</f>
        <v/>
      </c>
      <c r="P131">
        <f>IF($A131="","",IFERROR(INDEX('[AQ_2024.xlsx]原始数据'!$D:$D,MATCH($A131,'[AQ_2024.xlsx]原始数据'!$A:$A,0)),""))</f>
        <v/>
      </c>
      <c r="Q131">
        <f>IF($A131="","",IFERROR(INDEX('[AQ_2020.xlsx]原始数据'!$E:$E,MATCH($A131,'[AQ_2020.xlsx]原始数据'!$A:$A,0)),""))</f>
        <v/>
      </c>
      <c r="R131">
        <f>IF($A131="","",IFERROR(INDEX('[AQ_2021.xlsx]原始数据'!$E:$E,MATCH($A131,'[AQ_2021.xlsx]原始数据'!$A:$A,0)),""))</f>
        <v/>
      </c>
      <c r="S131">
        <f>IF($A131="","",IFERROR(INDEX('[AQ_2022.xlsx]原始数据'!$E:$E,MATCH($A131,'[AQ_2022.xlsx]原始数据'!$A:$A,0)),""))</f>
        <v/>
      </c>
      <c r="T131">
        <f>IF($A131="","",IFERROR(INDEX('[AQ_2023.xlsx]原始数据'!$E:$E,MATCH($A131,'[AQ_2023.xlsx]原始数据'!$A:$A,0)),""))</f>
        <v/>
      </c>
      <c r="U131">
        <f>IF($A131="","",IFERROR(INDEX('[AQ_2024.xlsx]原始数据'!$E:$E,MATCH($A131,'[AQ_2024.xlsx]原始数据'!$A:$A,0)),""))</f>
        <v/>
      </c>
      <c r="V131">
        <f>IF($A131="","",IFERROR(INDEX('[AQ_2020.xlsx]原始数据'!$F:$F,MATCH($A131,'[AQ_2020.xlsx]原始数据'!$A:$A,0)),""))</f>
        <v/>
      </c>
      <c r="W131">
        <f>IF($A131="","",IFERROR(INDEX('[AQ_2021.xlsx]原始数据'!$F:$F,MATCH($A131,'[AQ_2021.xlsx]原始数据'!$A:$A,0)),""))</f>
        <v/>
      </c>
      <c r="X131">
        <f>IF($A131="","",IFERROR(INDEX('[AQ_2022.xlsx]原始数据'!$F:$F,MATCH($A131,'[AQ_2022.xlsx]原始数据'!$A:$A,0)),""))</f>
        <v/>
      </c>
      <c r="Y131">
        <f>IF($A131="","",IFERROR(INDEX('[AQ_2023.xlsx]原始数据'!$F:$F,MATCH($A131,'[AQ_2023.xlsx]原始数据'!$A:$A,0)),""))</f>
        <v/>
      </c>
      <c r="Z131">
        <f>IF($A131="","",IFERROR(INDEX('[AQ_2024.xlsx]原始数据'!$F:$F,MATCH($A131,'[AQ_2024.xlsx]原始数据'!$A:$A,0)),""))</f>
        <v/>
      </c>
      <c r="AA131" s="2">
        <f>IFERROR(G131/B131,"")</f>
        <v/>
      </c>
      <c r="AB131" s="2">
        <f>IFERROR(H131/C131,"")</f>
        <v/>
      </c>
      <c r="AC131" s="2">
        <f>IFERROR(I131/D131,"")</f>
        <v/>
      </c>
      <c r="AD131" s="2">
        <f>IFERROR(J131/E131,"")</f>
        <v/>
      </c>
      <c r="AE131" s="2">
        <f>IFERROR(K131/F131,"")</f>
        <v/>
      </c>
      <c r="AF131" s="2">
        <f>IFERROR(L131/B131,"")</f>
        <v/>
      </c>
      <c r="AG131" s="2">
        <f>IFERROR(M131/C131,"")</f>
        <v/>
      </c>
      <c r="AH131" s="2">
        <f>IFERROR(N131/D131,"")</f>
        <v/>
      </c>
      <c r="AI131" s="2">
        <f>IFERROR(O131/E131,"")</f>
        <v/>
      </c>
      <c r="AJ131" s="2">
        <f>IFERROR(P131/F131,"")</f>
        <v/>
      </c>
      <c r="AK131" s="2">
        <f>IFERROR(Q131/B131,"")</f>
        <v/>
      </c>
      <c r="AL131" s="2">
        <f>IFERROR(R131/C131,"")</f>
        <v/>
      </c>
      <c r="AM131" s="2">
        <f>IFERROR(S131/D131,"")</f>
        <v/>
      </c>
      <c r="AN131" s="2">
        <f>IFERROR(T131/E131,"")</f>
        <v/>
      </c>
      <c r="AO131" s="2">
        <f>IFERROR(U131/F131,"")</f>
        <v/>
      </c>
    </row>
    <row r="132">
      <c r="B132">
        <f>IF($A132="","",IFERROR(INDEX('[AQ_2020.xlsx]原始数据'!$B:$B,MATCH($A132,'[AQ_2020.xlsx]原始数据'!$A:$A,0)),""))</f>
        <v/>
      </c>
      <c r="C132">
        <f>IF($A132="","",IFERROR(INDEX('[AQ_2021.xlsx]原始数据'!$B:$B,MATCH($A132,'[AQ_2021.xlsx]原始数据'!$A:$A,0)),""))</f>
        <v/>
      </c>
      <c r="D132">
        <f>IF($A132="","",IFERROR(INDEX('[AQ_2022.xlsx]原始数据'!$B:$B,MATCH($A132,'[AQ_2022.xlsx]原始数据'!$A:$A,0)),""))</f>
        <v/>
      </c>
      <c r="E132">
        <f>IF($A132="","",IFERROR(INDEX('[AQ_2023.xlsx]原始数据'!$B:$B,MATCH($A132,'[AQ_2023.xlsx]原始数据'!$A:$A,0)),""))</f>
        <v/>
      </c>
      <c r="F132">
        <f>IF($A132="","",IFERROR(INDEX('[AQ_2024.xlsx]原始数据'!$B:$B,MATCH($A132,'[AQ_2024.xlsx]原始数据'!$A:$A,0)),""))</f>
        <v/>
      </c>
      <c r="G132">
        <f>IF($A132="","",IFERROR(INDEX('[AQ_2020.xlsx]原始数据'!$C:$C,MATCH($A132,'[AQ_2020.xlsx]原始数据'!$A:$A,0)),""))</f>
        <v/>
      </c>
      <c r="H132">
        <f>IF($A132="","",IFERROR(INDEX('[AQ_2021.xlsx]原始数据'!$C:$C,MATCH($A132,'[AQ_2021.xlsx]原始数据'!$A:$A,0)),""))</f>
        <v/>
      </c>
      <c r="I132">
        <f>IF($A132="","",IFERROR(INDEX('[AQ_2022.xlsx]原始数据'!$C:$C,MATCH($A132,'[AQ_2022.xlsx]原始数据'!$A:$A,0)),""))</f>
        <v/>
      </c>
      <c r="J132">
        <f>IF($A132="","",IFERROR(INDEX('[AQ_2023.xlsx]原始数据'!$C:$C,MATCH($A132,'[AQ_2023.xlsx]原始数据'!$A:$A,0)),""))</f>
        <v/>
      </c>
      <c r="K132">
        <f>IF($A132="","",IFERROR(INDEX('[AQ_2024.xlsx]原始数据'!$C:$C,MATCH($A132,'[AQ_2024.xlsx]原始数据'!$A:$A,0)),""))</f>
        <v/>
      </c>
      <c r="L132">
        <f>IF($A132="","",IFERROR(INDEX('[AQ_2020.xlsx]原始数据'!$D:$D,MATCH($A132,'[AQ_2020.xlsx]原始数据'!$A:$A,0)),""))</f>
        <v/>
      </c>
      <c r="M132">
        <f>IF($A132="","",IFERROR(INDEX('[AQ_2021.xlsx]原始数据'!$D:$D,MATCH($A132,'[AQ_2021.xlsx]原始数据'!$A:$A,0)),""))</f>
        <v/>
      </c>
      <c r="N132">
        <f>IF($A132="","",IFERROR(INDEX('[AQ_2022.xlsx]原始数据'!$D:$D,MATCH($A132,'[AQ_2022.xlsx]原始数据'!$A:$A,0)),""))</f>
        <v/>
      </c>
      <c r="O132">
        <f>IF($A132="","",IFERROR(INDEX('[AQ_2023.xlsx]原始数据'!$D:$D,MATCH($A132,'[AQ_2023.xlsx]原始数据'!$A:$A,0)),""))</f>
        <v/>
      </c>
      <c r="P132">
        <f>IF($A132="","",IFERROR(INDEX('[AQ_2024.xlsx]原始数据'!$D:$D,MATCH($A132,'[AQ_2024.xlsx]原始数据'!$A:$A,0)),""))</f>
        <v/>
      </c>
      <c r="Q132">
        <f>IF($A132="","",IFERROR(INDEX('[AQ_2020.xlsx]原始数据'!$E:$E,MATCH($A132,'[AQ_2020.xlsx]原始数据'!$A:$A,0)),""))</f>
        <v/>
      </c>
      <c r="R132">
        <f>IF($A132="","",IFERROR(INDEX('[AQ_2021.xlsx]原始数据'!$E:$E,MATCH($A132,'[AQ_2021.xlsx]原始数据'!$A:$A,0)),""))</f>
        <v/>
      </c>
      <c r="S132">
        <f>IF($A132="","",IFERROR(INDEX('[AQ_2022.xlsx]原始数据'!$E:$E,MATCH($A132,'[AQ_2022.xlsx]原始数据'!$A:$A,0)),""))</f>
        <v/>
      </c>
      <c r="T132">
        <f>IF($A132="","",IFERROR(INDEX('[AQ_2023.xlsx]原始数据'!$E:$E,MATCH($A132,'[AQ_2023.xlsx]原始数据'!$A:$A,0)),""))</f>
        <v/>
      </c>
      <c r="U132">
        <f>IF($A132="","",IFERROR(INDEX('[AQ_2024.xlsx]原始数据'!$E:$E,MATCH($A132,'[AQ_2024.xlsx]原始数据'!$A:$A,0)),""))</f>
        <v/>
      </c>
      <c r="V132">
        <f>IF($A132="","",IFERROR(INDEX('[AQ_2020.xlsx]原始数据'!$F:$F,MATCH($A132,'[AQ_2020.xlsx]原始数据'!$A:$A,0)),""))</f>
        <v/>
      </c>
      <c r="W132">
        <f>IF($A132="","",IFERROR(INDEX('[AQ_2021.xlsx]原始数据'!$F:$F,MATCH($A132,'[AQ_2021.xlsx]原始数据'!$A:$A,0)),""))</f>
        <v/>
      </c>
      <c r="X132">
        <f>IF($A132="","",IFERROR(INDEX('[AQ_2022.xlsx]原始数据'!$F:$F,MATCH($A132,'[AQ_2022.xlsx]原始数据'!$A:$A,0)),""))</f>
        <v/>
      </c>
      <c r="Y132">
        <f>IF($A132="","",IFERROR(INDEX('[AQ_2023.xlsx]原始数据'!$F:$F,MATCH($A132,'[AQ_2023.xlsx]原始数据'!$A:$A,0)),""))</f>
        <v/>
      </c>
      <c r="Z132">
        <f>IF($A132="","",IFERROR(INDEX('[AQ_2024.xlsx]原始数据'!$F:$F,MATCH($A132,'[AQ_2024.xlsx]原始数据'!$A:$A,0)),""))</f>
        <v/>
      </c>
      <c r="AA132" s="2">
        <f>IFERROR(G132/B132,"")</f>
        <v/>
      </c>
      <c r="AB132" s="2">
        <f>IFERROR(H132/C132,"")</f>
        <v/>
      </c>
      <c r="AC132" s="2">
        <f>IFERROR(I132/D132,"")</f>
        <v/>
      </c>
      <c r="AD132" s="2">
        <f>IFERROR(J132/E132,"")</f>
        <v/>
      </c>
      <c r="AE132" s="2">
        <f>IFERROR(K132/F132,"")</f>
        <v/>
      </c>
      <c r="AF132" s="2">
        <f>IFERROR(L132/B132,"")</f>
        <v/>
      </c>
      <c r="AG132" s="2">
        <f>IFERROR(M132/C132,"")</f>
        <v/>
      </c>
      <c r="AH132" s="2">
        <f>IFERROR(N132/D132,"")</f>
        <v/>
      </c>
      <c r="AI132" s="2">
        <f>IFERROR(O132/E132,"")</f>
        <v/>
      </c>
      <c r="AJ132" s="2">
        <f>IFERROR(P132/F132,"")</f>
        <v/>
      </c>
      <c r="AK132" s="2">
        <f>IFERROR(Q132/B132,"")</f>
        <v/>
      </c>
      <c r="AL132" s="2">
        <f>IFERROR(R132/C132,"")</f>
        <v/>
      </c>
      <c r="AM132" s="2">
        <f>IFERROR(S132/D132,"")</f>
        <v/>
      </c>
      <c r="AN132" s="2">
        <f>IFERROR(T132/E132,"")</f>
        <v/>
      </c>
      <c r="AO132" s="2">
        <f>IFERROR(U132/F132,"")</f>
        <v/>
      </c>
    </row>
    <row r="133">
      <c r="B133">
        <f>IF($A133="","",IFERROR(INDEX('[AQ_2020.xlsx]原始数据'!$B:$B,MATCH($A133,'[AQ_2020.xlsx]原始数据'!$A:$A,0)),""))</f>
        <v/>
      </c>
      <c r="C133">
        <f>IF($A133="","",IFERROR(INDEX('[AQ_2021.xlsx]原始数据'!$B:$B,MATCH($A133,'[AQ_2021.xlsx]原始数据'!$A:$A,0)),""))</f>
        <v/>
      </c>
      <c r="D133">
        <f>IF($A133="","",IFERROR(INDEX('[AQ_2022.xlsx]原始数据'!$B:$B,MATCH($A133,'[AQ_2022.xlsx]原始数据'!$A:$A,0)),""))</f>
        <v/>
      </c>
      <c r="E133">
        <f>IF($A133="","",IFERROR(INDEX('[AQ_2023.xlsx]原始数据'!$B:$B,MATCH($A133,'[AQ_2023.xlsx]原始数据'!$A:$A,0)),""))</f>
        <v/>
      </c>
      <c r="F133">
        <f>IF($A133="","",IFERROR(INDEX('[AQ_2024.xlsx]原始数据'!$B:$B,MATCH($A133,'[AQ_2024.xlsx]原始数据'!$A:$A,0)),""))</f>
        <v/>
      </c>
      <c r="G133">
        <f>IF($A133="","",IFERROR(INDEX('[AQ_2020.xlsx]原始数据'!$C:$C,MATCH($A133,'[AQ_2020.xlsx]原始数据'!$A:$A,0)),""))</f>
        <v/>
      </c>
      <c r="H133">
        <f>IF($A133="","",IFERROR(INDEX('[AQ_2021.xlsx]原始数据'!$C:$C,MATCH($A133,'[AQ_2021.xlsx]原始数据'!$A:$A,0)),""))</f>
        <v/>
      </c>
      <c r="I133">
        <f>IF($A133="","",IFERROR(INDEX('[AQ_2022.xlsx]原始数据'!$C:$C,MATCH($A133,'[AQ_2022.xlsx]原始数据'!$A:$A,0)),""))</f>
        <v/>
      </c>
      <c r="J133">
        <f>IF($A133="","",IFERROR(INDEX('[AQ_2023.xlsx]原始数据'!$C:$C,MATCH($A133,'[AQ_2023.xlsx]原始数据'!$A:$A,0)),""))</f>
        <v/>
      </c>
      <c r="K133">
        <f>IF($A133="","",IFERROR(INDEX('[AQ_2024.xlsx]原始数据'!$C:$C,MATCH($A133,'[AQ_2024.xlsx]原始数据'!$A:$A,0)),""))</f>
        <v/>
      </c>
      <c r="L133">
        <f>IF($A133="","",IFERROR(INDEX('[AQ_2020.xlsx]原始数据'!$D:$D,MATCH($A133,'[AQ_2020.xlsx]原始数据'!$A:$A,0)),""))</f>
        <v/>
      </c>
      <c r="M133">
        <f>IF($A133="","",IFERROR(INDEX('[AQ_2021.xlsx]原始数据'!$D:$D,MATCH($A133,'[AQ_2021.xlsx]原始数据'!$A:$A,0)),""))</f>
        <v/>
      </c>
      <c r="N133">
        <f>IF($A133="","",IFERROR(INDEX('[AQ_2022.xlsx]原始数据'!$D:$D,MATCH($A133,'[AQ_2022.xlsx]原始数据'!$A:$A,0)),""))</f>
        <v/>
      </c>
      <c r="O133">
        <f>IF($A133="","",IFERROR(INDEX('[AQ_2023.xlsx]原始数据'!$D:$D,MATCH($A133,'[AQ_2023.xlsx]原始数据'!$A:$A,0)),""))</f>
        <v/>
      </c>
      <c r="P133">
        <f>IF($A133="","",IFERROR(INDEX('[AQ_2024.xlsx]原始数据'!$D:$D,MATCH($A133,'[AQ_2024.xlsx]原始数据'!$A:$A,0)),""))</f>
        <v/>
      </c>
      <c r="Q133">
        <f>IF($A133="","",IFERROR(INDEX('[AQ_2020.xlsx]原始数据'!$E:$E,MATCH($A133,'[AQ_2020.xlsx]原始数据'!$A:$A,0)),""))</f>
        <v/>
      </c>
      <c r="R133">
        <f>IF($A133="","",IFERROR(INDEX('[AQ_2021.xlsx]原始数据'!$E:$E,MATCH($A133,'[AQ_2021.xlsx]原始数据'!$A:$A,0)),""))</f>
        <v/>
      </c>
      <c r="S133">
        <f>IF($A133="","",IFERROR(INDEX('[AQ_2022.xlsx]原始数据'!$E:$E,MATCH($A133,'[AQ_2022.xlsx]原始数据'!$A:$A,0)),""))</f>
        <v/>
      </c>
      <c r="T133">
        <f>IF($A133="","",IFERROR(INDEX('[AQ_2023.xlsx]原始数据'!$E:$E,MATCH($A133,'[AQ_2023.xlsx]原始数据'!$A:$A,0)),""))</f>
        <v/>
      </c>
      <c r="U133">
        <f>IF($A133="","",IFERROR(INDEX('[AQ_2024.xlsx]原始数据'!$E:$E,MATCH($A133,'[AQ_2024.xlsx]原始数据'!$A:$A,0)),""))</f>
        <v/>
      </c>
      <c r="V133">
        <f>IF($A133="","",IFERROR(INDEX('[AQ_2020.xlsx]原始数据'!$F:$F,MATCH($A133,'[AQ_2020.xlsx]原始数据'!$A:$A,0)),""))</f>
        <v/>
      </c>
      <c r="W133">
        <f>IF($A133="","",IFERROR(INDEX('[AQ_2021.xlsx]原始数据'!$F:$F,MATCH($A133,'[AQ_2021.xlsx]原始数据'!$A:$A,0)),""))</f>
        <v/>
      </c>
      <c r="X133">
        <f>IF($A133="","",IFERROR(INDEX('[AQ_2022.xlsx]原始数据'!$F:$F,MATCH($A133,'[AQ_2022.xlsx]原始数据'!$A:$A,0)),""))</f>
        <v/>
      </c>
      <c r="Y133">
        <f>IF($A133="","",IFERROR(INDEX('[AQ_2023.xlsx]原始数据'!$F:$F,MATCH($A133,'[AQ_2023.xlsx]原始数据'!$A:$A,0)),""))</f>
        <v/>
      </c>
      <c r="Z133">
        <f>IF($A133="","",IFERROR(INDEX('[AQ_2024.xlsx]原始数据'!$F:$F,MATCH($A133,'[AQ_2024.xlsx]原始数据'!$A:$A,0)),""))</f>
        <v/>
      </c>
      <c r="AA133" s="2">
        <f>IFERROR(G133/B133,"")</f>
        <v/>
      </c>
      <c r="AB133" s="2">
        <f>IFERROR(H133/C133,"")</f>
        <v/>
      </c>
      <c r="AC133" s="2">
        <f>IFERROR(I133/D133,"")</f>
        <v/>
      </c>
      <c r="AD133" s="2">
        <f>IFERROR(J133/E133,"")</f>
        <v/>
      </c>
      <c r="AE133" s="2">
        <f>IFERROR(K133/F133,"")</f>
        <v/>
      </c>
      <c r="AF133" s="2">
        <f>IFERROR(L133/B133,"")</f>
        <v/>
      </c>
      <c r="AG133" s="2">
        <f>IFERROR(M133/C133,"")</f>
        <v/>
      </c>
      <c r="AH133" s="2">
        <f>IFERROR(N133/D133,"")</f>
        <v/>
      </c>
      <c r="AI133" s="2">
        <f>IFERROR(O133/E133,"")</f>
        <v/>
      </c>
      <c r="AJ133" s="2">
        <f>IFERROR(P133/F133,"")</f>
        <v/>
      </c>
      <c r="AK133" s="2">
        <f>IFERROR(Q133/B133,"")</f>
        <v/>
      </c>
      <c r="AL133" s="2">
        <f>IFERROR(R133/C133,"")</f>
        <v/>
      </c>
      <c r="AM133" s="2">
        <f>IFERROR(S133/D133,"")</f>
        <v/>
      </c>
      <c r="AN133" s="2">
        <f>IFERROR(T133/E133,"")</f>
        <v/>
      </c>
      <c r="AO133" s="2">
        <f>IFERROR(U133/F133,"")</f>
        <v/>
      </c>
    </row>
    <row r="134">
      <c r="B134">
        <f>IF($A134="","",IFERROR(INDEX('[AQ_2020.xlsx]原始数据'!$B:$B,MATCH($A134,'[AQ_2020.xlsx]原始数据'!$A:$A,0)),""))</f>
        <v/>
      </c>
      <c r="C134">
        <f>IF($A134="","",IFERROR(INDEX('[AQ_2021.xlsx]原始数据'!$B:$B,MATCH($A134,'[AQ_2021.xlsx]原始数据'!$A:$A,0)),""))</f>
        <v/>
      </c>
      <c r="D134">
        <f>IF($A134="","",IFERROR(INDEX('[AQ_2022.xlsx]原始数据'!$B:$B,MATCH($A134,'[AQ_2022.xlsx]原始数据'!$A:$A,0)),""))</f>
        <v/>
      </c>
      <c r="E134">
        <f>IF($A134="","",IFERROR(INDEX('[AQ_2023.xlsx]原始数据'!$B:$B,MATCH($A134,'[AQ_2023.xlsx]原始数据'!$A:$A,0)),""))</f>
        <v/>
      </c>
      <c r="F134">
        <f>IF($A134="","",IFERROR(INDEX('[AQ_2024.xlsx]原始数据'!$B:$B,MATCH($A134,'[AQ_2024.xlsx]原始数据'!$A:$A,0)),""))</f>
        <v/>
      </c>
      <c r="G134">
        <f>IF($A134="","",IFERROR(INDEX('[AQ_2020.xlsx]原始数据'!$C:$C,MATCH($A134,'[AQ_2020.xlsx]原始数据'!$A:$A,0)),""))</f>
        <v/>
      </c>
      <c r="H134">
        <f>IF($A134="","",IFERROR(INDEX('[AQ_2021.xlsx]原始数据'!$C:$C,MATCH($A134,'[AQ_2021.xlsx]原始数据'!$A:$A,0)),""))</f>
        <v/>
      </c>
      <c r="I134">
        <f>IF($A134="","",IFERROR(INDEX('[AQ_2022.xlsx]原始数据'!$C:$C,MATCH($A134,'[AQ_2022.xlsx]原始数据'!$A:$A,0)),""))</f>
        <v/>
      </c>
      <c r="J134">
        <f>IF($A134="","",IFERROR(INDEX('[AQ_2023.xlsx]原始数据'!$C:$C,MATCH($A134,'[AQ_2023.xlsx]原始数据'!$A:$A,0)),""))</f>
        <v/>
      </c>
      <c r="K134">
        <f>IF($A134="","",IFERROR(INDEX('[AQ_2024.xlsx]原始数据'!$C:$C,MATCH($A134,'[AQ_2024.xlsx]原始数据'!$A:$A,0)),""))</f>
        <v/>
      </c>
      <c r="L134">
        <f>IF($A134="","",IFERROR(INDEX('[AQ_2020.xlsx]原始数据'!$D:$D,MATCH($A134,'[AQ_2020.xlsx]原始数据'!$A:$A,0)),""))</f>
        <v/>
      </c>
      <c r="M134">
        <f>IF($A134="","",IFERROR(INDEX('[AQ_2021.xlsx]原始数据'!$D:$D,MATCH($A134,'[AQ_2021.xlsx]原始数据'!$A:$A,0)),""))</f>
        <v/>
      </c>
      <c r="N134">
        <f>IF($A134="","",IFERROR(INDEX('[AQ_2022.xlsx]原始数据'!$D:$D,MATCH($A134,'[AQ_2022.xlsx]原始数据'!$A:$A,0)),""))</f>
        <v/>
      </c>
      <c r="O134">
        <f>IF($A134="","",IFERROR(INDEX('[AQ_2023.xlsx]原始数据'!$D:$D,MATCH($A134,'[AQ_2023.xlsx]原始数据'!$A:$A,0)),""))</f>
        <v/>
      </c>
      <c r="P134">
        <f>IF($A134="","",IFERROR(INDEX('[AQ_2024.xlsx]原始数据'!$D:$D,MATCH($A134,'[AQ_2024.xlsx]原始数据'!$A:$A,0)),""))</f>
        <v/>
      </c>
      <c r="Q134">
        <f>IF($A134="","",IFERROR(INDEX('[AQ_2020.xlsx]原始数据'!$E:$E,MATCH($A134,'[AQ_2020.xlsx]原始数据'!$A:$A,0)),""))</f>
        <v/>
      </c>
      <c r="R134">
        <f>IF($A134="","",IFERROR(INDEX('[AQ_2021.xlsx]原始数据'!$E:$E,MATCH($A134,'[AQ_2021.xlsx]原始数据'!$A:$A,0)),""))</f>
        <v/>
      </c>
      <c r="S134">
        <f>IF($A134="","",IFERROR(INDEX('[AQ_2022.xlsx]原始数据'!$E:$E,MATCH($A134,'[AQ_2022.xlsx]原始数据'!$A:$A,0)),""))</f>
        <v/>
      </c>
      <c r="T134">
        <f>IF($A134="","",IFERROR(INDEX('[AQ_2023.xlsx]原始数据'!$E:$E,MATCH($A134,'[AQ_2023.xlsx]原始数据'!$A:$A,0)),""))</f>
        <v/>
      </c>
      <c r="U134">
        <f>IF($A134="","",IFERROR(INDEX('[AQ_2024.xlsx]原始数据'!$E:$E,MATCH($A134,'[AQ_2024.xlsx]原始数据'!$A:$A,0)),""))</f>
        <v/>
      </c>
      <c r="V134">
        <f>IF($A134="","",IFERROR(INDEX('[AQ_2020.xlsx]原始数据'!$F:$F,MATCH($A134,'[AQ_2020.xlsx]原始数据'!$A:$A,0)),""))</f>
        <v/>
      </c>
      <c r="W134">
        <f>IF($A134="","",IFERROR(INDEX('[AQ_2021.xlsx]原始数据'!$F:$F,MATCH($A134,'[AQ_2021.xlsx]原始数据'!$A:$A,0)),""))</f>
        <v/>
      </c>
      <c r="X134">
        <f>IF($A134="","",IFERROR(INDEX('[AQ_2022.xlsx]原始数据'!$F:$F,MATCH($A134,'[AQ_2022.xlsx]原始数据'!$A:$A,0)),""))</f>
        <v/>
      </c>
      <c r="Y134">
        <f>IF($A134="","",IFERROR(INDEX('[AQ_2023.xlsx]原始数据'!$F:$F,MATCH($A134,'[AQ_2023.xlsx]原始数据'!$A:$A,0)),""))</f>
        <v/>
      </c>
      <c r="Z134">
        <f>IF($A134="","",IFERROR(INDEX('[AQ_2024.xlsx]原始数据'!$F:$F,MATCH($A134,'[AQ_2024.xlsx]原始数据'!$A:$A,0)),""))</f>
        <v/>
      </c>
      <c r="AA134" s="2">
        <f>IFERROR(G134/B134,"")</f>
        <v/>
      </c>
      <c r="AB134" s="2">
        <f>IFERROR(H134/C134,"")</f>
        <v/>
      </c>
      <c r="AC134" s="2">
        <f>IFERROR(I134/D134,"")</f>
        <v/>
      </c>
      <c r="AD134" s="2">
        <f>IFERROR(J134/E134,"")</f>
        <v/>
      </c>
      <c r="AE134" s="2">
        <f>IFERROR(K134/F134,"")</f>
        <v/>
      </c>
      <c r="AF134" s="2">
        <f>IFERROR(L134/B134,"")</f>
        <v/>
      </c>
      <c r="AG134" s="2">
        <f>IFERROR(M134/C134,"")</f>
        <v/>
      </c>
      <c r="AH134" s="2">
        <f>IFERROR(N134/D134,"")</f>
        <v/>
      </c>
      <c r="AI134" s="2">
        <f>IFERROR(O134/E134,"")</f>
        <v/>
      </c>
      <c r="AJ134" s="2">
        <f>IFERROR(P134/F134,"")</f>
        <v/>
      </c>
      <c r="AK134" s="2">
        <f>IFERROR(Q134/B134,"")</f>
        <v/>
      </c>
      <c r="AL134" s="2">
        <f>IFERROR(R134/C134,"")</f>
        <v/>
      </c>
      <c r="AM134" s="2">
        <f>IFERROR(S134/D134,"")</f>
        <v/>
      </c>
      <c r="AN134" s="2">
        <f>IFERROR(T134/E134,"")</f>
        <v/>
      </c>
      <c r="AO134" s="2">
        <f>IFERROR(U134/F134,"")</f>
        <v/>
      </c>
    </row>
    <row r="135">
      <c r="B135">
        <f>IF($A135="","",IFERROR(INDEX('[AQ_2020.xlsx]原始数据'!$B:$B,MATCH($A135,'[AQ_2020.xlsx]原始数据'!$A:$A,0)),""))</f>
        <v/>
      </c>
      <c r="C135">
        <f>IF($A135="","",IFERROR(INDEX('[AQ_2021.xlsx]原始数据'!$B:$B,MATCH($A135,'[AQ_2021.xlsx]原始数据'!$A:$A,0)),""))</f>
        <v/>
      </c>
      <c r="D135">
        <f>IF($A135="","",IFERROR(INDEX('[AQ_2022.xlsx]原始数据'!$B:$B,MATCH($A135,'[AQ_2022.xlsx]原始数据'!$A:$A,0)),""))</f>
        <v/>
      </c>
      <c r="E135">
        <f>IF($A135="","",IFERROR(INDEX('[AQ_2023.xlsx]原始数据'!$B:$B,MATCH($A135,'[AQ_2023.xlsx]原始数据'!$A:$A,0)),""))</f>
        <v/>
      </c>
      <c r="F135">
        <f>IF($A135="","",IFERROR(INDEX('[AQ_2024.xlsx]原始数据'!$B:$B,MATCH($A135,'[AQ_2024.xlsx]原始数据'!$A:$A,0)),""))</f>
        <v/>
      </c>
      <c r="G135">
        <f>IF($A135="","",IFERROR(INDEX('[AQ_2020.xlsx]原始数据'!$C:$C,MATCH($A135,'[AQ_2020.xlsx]原始数据'!$A:$A,0)),""))</f>
        <v/>
      </c>
      <c r="H135">
        <f>IF($A135="","",IFERROR(INDEX('[AQ_2021.xlsx]原始数据'!$C:$C,MATCH($A135,'[AQ_2021.xlsx]原始数据'!$A:$A,0)),""))</f>
        <v/>
      </c>
      <c r="I135">
        <f>IF($A135="","",IFERROR(INDEX('[AQ_2022.xlsx]原始数据'!$C:$C,MATCH($A135,'[AQ_2022.xlsx]原始数据'!$A:$A,0)),""))</f>
        <v/>
      </c>
      <c r="J135">
        <f>IF($A135="","",IFERROR(INDEX('[AQ_2023.xlsx]原始数据'!$C:$C,MATCH($A135,'[AQ_2023.xlsx]原始数据'!$A:$A,0)),""))</f>
        <v/>
      </c>
      <c r="K135">
        <f>IF($A135="","",IFERROR(INDEX('[AQ_2024.xlsx]原始数据'!$C:$C,MATCH($A135,'[AQ_2024.xlsx]原始数据'!$A:$A,0)),""))</f>
        <v/>
      </c>
      <c r="L135">
        <f>IF($A135="","",IFERROR(INDEX('[AQ_2020.xlsx]原始数据'!$D:$D,MATCH($A135,'[AQ_2020.xlsx]原始数据'!$A:$A,0)),""))</f>
        <v/>
      </c>
      <c r="M135">
        <f>IF($A135="","",IFERROR(INDEX('[AQ_2021.xlsx]原始数据'!$D:$D,MATCH($A135,'[AQ_2021.xlsx]原始数据'!$A:$A,0)),""))</f>
        <v/>
      </c>
      <c r="N135">
        <f>IF($A135="","",IFERROR(INDEX('[AQ_2022.xlsx]原始数据'!$D:$D,MATCH($A135,'[AQ_2022.xlsx]原始数据'!$A:$A,0)),""))</f>
        <v/>
      </c>
      <c r="O135">
        <f>IF($A135="","",IFERROR(INDEX('[AQ_2023.xlsx]原始数据'!$D:$D,MATCH($A135,'[AQ_2023.xlsx]原始数据'!$A:$A,0)),""))</f>
        <v/>
      </c>
      <c r="P135">
        <f>IF($A135="","",IFERROR(INDEX('[AQ_2024.xlsx]原始数据'!$D:$D,MATCH($A135,'[AQ_2024.xlsx]原始数据'!$A:$A,0)),""))</f>
        <v/>
      </c>
      <c r="Q135">
        <f>IF($A135="","",IFERROR(INDEX('[AQ_2020.xlsx]原始数据'!$E:$E,MATCH($A135,'[AQ_2020.xlsx]原始数据'!$A:$A,0)),""))</f>
        <v/>
      </c>
      <c r="R135">
        <f>IF($A135="","",IFERROR(INDEX('[AQ_2021.xlsx]原始数据'!$E:$E,MATCH($A135,'[AQ_2021.xlsx]原始数据'!$A:$A,0)),""))</f>
        <v/>
      </c>
      <c r="S135">
        <f>IF($A135="","",IFERROR(INDEX('[AQ_2022.xlsx]原始数据'!$E:$E,MATCH($A135,'[AQ_2022.xlsx]原始数据'!$A:$A,0)),""))</f>
        <v/>
      </c>
      <c r="T135">
        <f>IF($A135="","",IFERROR(INDEX('[AQ_2023.xlsx]原始数据'!$E:$E,MATCH($A135,'[AQ_2023.xlsx]原始数据'!$A:$A,0)),""))</f>
        <v/>
      </c>
      <c r="U135">
        <f>IF($A135="","",IFERROR(INDEX('[AQ_2024.xlsx]原始数据'!$E:$E,MATCH($A135,'[AQ_2024.xlsx]原始数据'!$A:$A,0)),""))</f>
        <v/>
      </c>
      <c r="V135">
        <f>IF($A135="","",IFERROR(INDEX('[AQ_2020.xlsx]原始数据'!$F:$F,MATCH($A135,'[AQ_2020.xlsx]原始数据'!$A:$A,0)),""))</f>
        <v/>
      </c>
      <c r="W135">
        <f>IF($A135="","",IFERROR(INDEX('[AQ_2021.xlsx]原始数据'!$F:$F,MATCH($A135,'[AQ_2021.xlsx]原始数据'!$A:$A,0)),""))</f>
        <v/>
      </c>
      <c r="X135">
        <f>IF($A135="","",IFERROR(INDEX('[AQ_2022.xlsx]原始数据'!$F:$F,MATCH($A135,'[AQ_2022.xlsx]原始数据'!$A:$A,0)),""))</f>
        <v/>
      </c>
      <c r="Y135">
        <f>IF($A135="","",IFERROR(INDEX('[AQ_2023.xlsx]原始数据'!$F:$F,MATCH($A135,'[AQ_2023.xlsx]原始数据'!$A:$A,0)),""))</f>
        <v/>
      </c>
      <c r="Z135">
        <f>IF($A135="","",IFERROR(INDEX('[AQ_2024.xlsx]原始数据'!$F:$F,MATCH($A135,'[AQ_2024.xlsx]原始数据'!$A:$A,0)),""))</f>
        <v/>
      </c>
      <c r="AA135" s="2">
        <f>IFERROR(G135/B135,"")</f>
        <v/>
      </c>
      <c r="AB135" s="2">
        <f>IFERROR(H135/C135,"")</f>
        <v/>
      </c>
      <c r="AC135" s="2">
        <f>IFERROR(I135/D135,"")</f>
        <v/>
      </c>
      <c r="AD135" s="2">
        <f>IFERROR(J135/E135,"")</f>
        <v/>
      </c>
      <c r="AE135" s="2">
        <f>IFERROR(K135/F135,"")</f>
        <v/>
      </c>
      <c r="AF135" s="2">
        <f>IFERROR(L135/B135,"")</f>
        <v/>
      </c>
      <c r="AG135" s="2">
        <f>IFERROR(M135/C135,"")</f>
        <v/>
      </c>
      <c r="AH135" s="2">
        <f>IFERROR(N135/D135,"")</f>
        <v/>
      </c>
      <c r="AI135" s="2">
        <f>IFERROR(O135/E135,"")</f>
        <v/>
      </c>
      <c r="AJ135" s="2">
        <f>IFERROR(P135/F135,"")</f>
        <v/>
      </c>
      <c r="AK135" s="2">
        <f>IFERROR(Q135/B135,"")</f>
        <v/>
      </c>
      <c r="AL135" s="2">
        <f>IFERROR(R135/C135,"")</f>
        <v/>
      </c>
      <c r="AM135" s="2">
        <f>IFERROR(S135/D135,"")</f>
        <v/>
      </c>
      <c r="AN135" s="2">
        <f>IFERROR(T135/E135,"")</f>
        <v/>
      </c>
      <c r="AO135" s="2">
        <f>IFERROR(U135/F135,"")</f>
        <v/>
      </c>
    </row>
    <row r="136">
      <c r="B136">
        <f>IF($A136="","",IFERROR(INDEX('[AQ_2020.xlsx]原始数据'!$B:$B,MATCH($A136,'[AQ_2020.xlsx]原始数据'!$A:$A,0)),""))</f>
        <v/>
      </c>
      <c r="C136">
        <f>IF($A136="","",IFERROR(INDEX('[AQ_2021.xlsx]原始数据'!$B:$B,MATCH($A136,'[AQ_2021.xlsx]原始数据'!$A:$A,0)),""))</f>
        <v/>
      </c>
      <c r="D136">
        <f>IF($A136="","",IFERROR(INDEX('[AQ_2022.xlsx]原始数据'!$B:$B,MATCH($A136,'[AQ_2022.xlsx]原始数据'!$A:$A,0)),""))</f>
        <v/>
      </c>
      <c r="E136">
        <f>IF($A136="","",IFERROR(INDEX('[AQ_2023.xlsx]原始数据'!$B:$B,MATCH($A136,'[AQ_2023.xlsx]原始数据'!$A:$A,0)),""))</f>
        <v/>
      </c>
      <c r="F136">
        <f>IF($A136="","",IFERROR(INDEX('[AQ_2024.xlsx]原始数据'!$B:$B,MATCH($A136,'[AQ_2024.xlsx]原始数据'!$A:$A,0)),""))</f>
        <v/>
      </c>
      <c r="G136">
        <f>IF($A136="","",IFERROR(INDEX('[AQ_2020.xlsx]原始数据'!$C:$C,MATCH($A136,'[AQ_2020.xlsx]原始数据'!$A:$A,0)),""))</f>
        <v/>
      </c>
      <c r="H136">
        <f>IF($A136="","",IFERROR(INDEX('[AQ_2021.xlsx]原始数据'!$C:$C,MATCH($A136,'[AQ_2021.xlsx]原始数据'!$A:$A,0)),""))</f>
        <v/>
      </c>
      <c r="I136">
        <f>IF($A136="","",IFERROR(INDEX('[AQ_2022.xlsx]原始数据'!$C:$C,MATCH($A136,'[AQ_2022.xlsx]原始数据'!$A:$A,0)),""))</f>
        <v/>
      </c>
      <c r="J136">
        <f>IF($A136="","",IFERROR(INDEX('[AQ_2023.xlsx]原始数据'!$C:$C,MATCH($A136,'[AQ_2023.xlsx]原始数据'!$A:$A,0)),""))</f>
        <v/>
      </c>
      <c r="K136">
        <f>IF($A136="","",IFERROR(INDEX('[AQ_2024.xlsx]原始数据'!$C:$C,MATCH($A136,'[AQ_2024.xlsx]原始数据'!$A:$A,0)),""))</f>
        <v/>
      </c>
      <c r="L136">
        <f>IF($A136="","",IFERROR(INDEX('[AQ_2020.xlsx]原始数据'!$D:$D,MATCH($A136,'[AQ_2020.xlsx]原始数据'!$A:$A,0)),""))</f>
        <v/>
      </c>
      <c r="M136">
        <f>IF($A136="","",IFERROR(INDEX('[AQ_2021.xlsx]原始数据'!$D:$D,MATCH($A136,'[AQ_2021.xlsx]原始数据'!$A:$A,0)),""))</f>
        <v/>
      </c>
      <c r="N136">
        <f>IF($A136="","",IFERROR(INDEX('[AQ_2022.xlsx]原始数据'!$D:$D,MATCH($A136,'[AQ_2022.xlsx]原始数据'!$A:$A,0)),""))</f>
        <v/>
      </c>
      <c r="O136">
        <f>IF($A136="","",IFERROR(INDEX('[AQ_2023.xlsx]原始数据'!$D:$D,MATCH($A136,'[AQ_2023.xlsx]原始数据'!$A:$A,0)),""))</f>
        <v/>
      </c>
      <c r="P136">
        <f>IF($A136="","",IFERROR(INDEX('[AQ_2024.xlsx]原始数据'!$D:$D,MATCH($A136,'[AQ_2024.xlsx]原始数据'!$A:$A,0)),""))</f>
        <v/>
      </c>
      <c r="Q136">
        <f>IF($A136="","",IFERROR(INDEX('[AQ_2020.xlsx]原始数据'!$E:$E,MATCH($A136,'[AQ_2020.xlsx]原始数据'!$A:$A,0)),""))</f>
        <v/>
      </c>
      <c r="R136">
        <f>IF($A136="","",IFERROR(INDEX('[AQ_2021.xlsx]原始数据'!$E:$E,MATCH($A136,'[AQ_2021.xlsx]原始数据'!$A:$A,0)),""))</f>
        <v/>
      </c>
      <c r="S136">
        <f>IF($A136="","",IFERROR(INDEX('[AQ_2022.xlsx]原始数据'!$E:$E,MATCH($A136,'[AQ_2022.xlsx]原始数据'!$A:$A,0)),""))</f>
        <v/>
      </c>
      <c r="T136">
        <f>IF($A136="","",IFERROR(INDEX('[AQ_2023.xlsx]原始数据'!$E:$E,MATCH($A136,'[AQ_2023.xlsx]原始数据'!$A:$A,0)),""))</f>
        <v/>
      </c>
      <c r="U136">
        <f>IF($A136="","",IFERROR(INDEX('[AQ_2024.xlsx]原始数据'!$E:$E,MATCH($A136,'[AQ_2024.xlsx]原始数据'!$A:$A,0)),""))</f>
        <v/>
      </c>
      <c r="V136">
        <f>IF($A136="","",IFERROR(INDEX('[AQ_2020.xlsx]原始数据'!$F:$F,MATCH($A136,'[AQ_2020.xlsx]原始数据'!$A:$A,0)),""))</f>
        <v/>
      </c>
      <c r="W136">
        <f>IF($A136="","",IFERROR(INDEX('[AQ_2021.xlsx]原始数据'!$F:$F,MATCH($A136,'[AQ_2021.xlsx]原始数据'!$A:$A,0)),""))</f>
        <v/>
      </c>
      <c r="X136">
        <f>IF($A136="","",IFERROR(INDEX('[AQ_2022.xlsx]原始数据'!$F:$F,MATCH($A136,'[AQ_2022.xlsx]原始数据'!$A:$A,0)),""))</f>
        <v/>
      </c>
      <c r="Y136">
        <f>IF($A136="","",IFERROR(INDEX('[AQ_2023.xlsx]原始数据'!$F:$F,MATCH($A136,'[AQ_2023.xlsx]原始数据'!$A:$A,0)),""))</f>
        <v/>
      </c>
      <c r="Z136">
        <f>IF($A136="","",IFERROR(INDEX('[AQ_2024.xlsx]原始数据'!$F:$F,MATCH($A136,'[AQ_2024.xlsx]原始数据'!$A:$A,0)),""))</f>
        <v/>
      </c>
      <c r="AA136" s="2">
        <f>IFERROR(G136/B136,"")</f>
        <v/>
      </c>
      <c r="AB136" s="2">
        <f>IFERROR(H136/C136,"")</f>
        <v/>
      </c>
      <c r="AC136" s="2">
        <f>IFERROR(I136/D136,"")</f>
        <v/>
      </c>
      <c r="AD136" s="2">
        <f>IFERROR(J136/E136,"")</f>
        <v/>
      </c>
      <c r="AE136" s="2">
        <f>IFERROR(K136/F136,"")</f>
        <v/>
      </c>
      <c r="AF136" s="2">
        <f>IFERROR(L136/B136,"")</f>
        <v/>
      </c>
      <c r="AG136" s="2">
        <f>IFERROR(M136/C136,"")</f>
        <v/>
      </c>
      <c r="AH136" s="2">
        <f>IFERROR(N136/D136,"")</f>
        <v/>
      </c>
      <c r="AI136" s="2">
        <f>IFERROR(O136/E136,"")</f>
        <v/>
      </c>
      <c r="AJ136" s="2">
        <f>IFERROR(P136/F136,"")</f>
        <v/>
      </c>
      <c r="AK136" s="2">
        <f>IFERROR(Q136/B136,"")</f>
        <v/>
      </c>
      <c r="AL136" s="2">
        <f>IFERROR(R136/C136,"")</f>
        <v/>
      </c>
      <c r="AM136" s="2">
        <f>IFERROR(S136/D136,"")</f>
        <v/>
      </c>
      <c r="AN136" s="2">
        <f>IFERROR(T136/E136,"")</f>
        <v/>
      </c>
      <c r="AO136" s="2">
        <f>IFERROR(U136/F136,"")</f>
        <v/>
      </c>
    </row>
    <row r="137">
      <c r="B137">
        <f>IF($A137="","",IFERROR(INDEX('[AQ_2020.xlsx]原始数据'!$B:$B,MATCH($A137,'[AQ_2020.xlsx]原始数据'!$A:$A,0)),""))</f>
        <v/>
      </c>
      <c r="C137">
        <f>IF($A137="","",IFERROR(INDEX('[AQ_2021.xlsx]原始数据'!$B:$B,MATCH($A137,'[AQ_2021.xlsx]原始数据'!$A:$A,0)),""))</f>
        <v/>
      </c>
      <c r="D137">
        <f>IF($A137="","",IFERROR(INDEX('[AQ_2022.xlsx]原始数据'!$B:$B,MATCH($A137,'[AQ_2022.xlsx]原始数据'!$A:$A,0)),""))</f>
        <v/>
      </c>
      <c r="E137">
        <f>IF($A137="","",IFERROR(INDEX('[AQ_2023.xlsx]原始数据'!$B:$B,MATCH($A137,'[AQ_2023.xlsx]原始数据'!$A:$A,0)),""))</f>
        <v/>
      </c>
      <c r="F137">
        <f>IF($A137="","",IFERROR(INDEX('[AQ_2024.xlsx]原始数据'!$B:$B,MATCH($A137,'[AQ_2024.xlsx]原始数据'!$A:$A,0)),""))</f>
        <v/>
      </c>
      <c r="G137">
        <f>IF($A137="","",IFERROR(INDEX('[AQ_2020.xlsx]原始数据'!$C:$C,MATCH($A137,'[AQ_2020.xlsx]原始数据'!$A:$A,0)),""))</f>
        <v/>
      </c>
      <c r="H137">
        <f>IF($A137="","",IFERROR(INDEX('[AQ_2021.xlsx]原始数据'!$C:$C,MATCH($A137,'[AQ_2021.xlsx]原始数据'!$A:$A,0)),""))</f>
        <v/>
      </c>
      <c r="I137">
        <f>IF($A137="","",IFERROR(INDEX('[AQ_2022.xlsx]原始数据'!$C:$C,MATCH($A137,'[AQ_2022.xlsx]原始数据'!$A:$A,0)),""))</f>
        <v/>
      </c>
      <c r="J137">
        <f>IF($A137="","",IFERROR(INDEX('[AQ_2023.xlsx]原始数据'!$C:$C,MATCH($A137,'[AQ_2023.xlsx]原始数据'!$A:$A,0)),""))</f>
        <v/>
      </c>
      <c r="K137">
        <f>IF($A137="","",IFERROR(INDEX('[AQ_2024.xlsx]原始数据'!$C:$C,MATCH($A137,'[AQ_2024.xlsx]原始数据'!$A:$A,0)),""))</f>
        <v/>
      </c>
      <c r="L137">
        <f>IF($A137="","",IFERROR(INDEX('[AQ_2020.xlsx]原始数据'!$D:$D,MATCH($A137,'[AQ_2020.xlsx]原始数据'!$A:$A,0)),""))</f>
        <v/>
      </c>
      <c r="M137">
        <f>IF($A137="","",IFERROR(INDEX('[AQ_2021.xlsx]原始数据'!$D:$D,MATCH($A137,'[AQ_2021.xlsx]原始数据'!$A:$A,0)),""))</f>
        <v/>
      </c>
      <c r="N137">
        <f>IF($A137="","",IFERROR(INDEX('[AQ_2022.xlsx]原始数据'!$D:$D,MATCH($A137,'[AQ_2022.xlsx]原始数据'!$A:$A,0)),""))</f>
        <v/>
      </c>
      <c r="O137">
        <f>IF($A137="","",IFERROR(INDEX('[AQ_2023.xlsx]原始数据'!$D:$D,MATCH($A137,'[AQ_2023.xlsx]原始数据'!$A:$A,0)),""))</f>
        <v/>
      </c>
      <c r="P137">
        <f>IF($A137="","",IFERROR(INDEX('[AQ_2024.xlsx]原始数据'!$D:$D,MATCH($A137,'[AQ_2024.xlsx]原始数据'!$A:$A,0)),""))</f>
        <v/>
      </c>
      <c r="Q137">
        <f>IF($A137="","",IFERROR(INDEX('[AQ_2020.xlsx]原始数据'!$E:$E,MATCH($A137,'[AQ_2020.xlsx]原始数据'!$A:$A,0)),""))</f>
        <v/>
      </c>
      <c r="R137">
        <f>IF($A137="","",IFERROR(INDEX('[AQ_2021.xlsx]原始数据'!$E:$E,MATCH($A137,'[AQ_2021.xlsx]原始数据'!$A:$A,0)),""))</f>
        <v/>
      </c>
      <c r="S137">
        <f>IF($A137="","",IFERROR(INDEX('[AQ_2022.xlsx]原始数据'!$E:$E,MATCH($A137,'[AQ_2022.xlsx]原始数据'!$A:$A,0)),""))</f>
        <v/>
      </c>
      <c r="T137">
        <f>IF($A137="","",IFERROR(INDEX('[AQ_2023.xlsx]原始数据'!$E:$E,MATCH($A137,'[AQ_2023.xlsx]原始数据'!$A:$A,0)),""))</f>
        <v/>
      </c>
      <c r="U137">
        <f>IF($A137="","",IFERROR(INDEX('[AQ_2024.xlsx]原始数据'!$E:$E,MATCH($A137,'[AQ_2024.xlsx]原始数据'!$A:$A,0)),""))</f>
        <v/>
      </c>
      <c r="V137">
        <f>IF($A137="","",IFERROR(INDEX('[AQ_2020.xlsx]原始数据'!$F:$F,MATCH($A137,'[AQ_2020.xlsx]原始数据'!$A:$A,0)),""))</f>
        <v/>
      </c>
      <c r="W137">
        <f>IF($A137="","",IFERROR(INDEX('[AQ_2021.xlsx]原始数据'!$F:$F,MATCH($A137,'[AQ_2021.xlsx]原始数据'!$A:$A,0)),""))</f>
        <v/>
      </c>
      <c r="X137">
        <f>IF($A137="","",IFERROR(INDEX('[AQ_2022.xlsx]原始数据'!$F:$F,MATCH($A137,'[AQ_2022.xlsx]原始数据'!$A:$A,0)),""))</f>
        <v/>
      </c>
      <c r="Y137">
        <f>IF($A137="","",IFERROR(INDEX('[AQ_2023.xlsx]原始数据'!$F:$F,MATCH($A137,'[AQ_2023.xlsx]原始数据'!$A:$A,0)),""))</f>
        <v/>
      </c>
      <c r="Z137">
        <f>IF($A137="","",IFERROR(INDEX('[AQ_2024.xlsx]原始数据'!$F:$F,MATCH($A137,'[AQ_2024.xlsx]原始数据'!$A:$A,0)),""))</f>
        <v/>
      </c>
      <c r="AA137" s="2">
        <f>IFERROR(G137/B137,"")</f>
        <v/>
      </c>
      <c r="AB137" s="2">
        <f>IFERROR(H137/C137,"")</f>
        <v/>
      </c>
      <c r="AC137" s="2">
        <f>IFERROR(I137/D137,"")</f>
        <v/>
      </c>
      <c r="AD137" s="2">
        <f>IFERROR(J137/E137,"")</f>
        <v/>
      </c>
      <c r="AE137" s="2">
        <f>IFERROR(K137/F137,"")</f>
        <v/>
      </c>
      <c r="AF137" s="2">
        <f>IFERROR(L137/B137,"")</f>
        <v/>
      </c>
      <c r="AG137" s="2">
        <f>IFERROR(M137/C137,"")</f>
        <v/>
      </c>
      <c r="AH137" s="2">
        <f>IFERROR(N137/D137,"")</f>
        <v/>
      </c>
      <c r="AI137" s="2">
        <f>IFERROR(O137/E137,"")</f>
        <v/>
      </c>
      <c r="AJ137" s="2">
        <f>IFERROR(P137/F137,"")</f>
        <v/>
      </c>
      <c r="AK137" s="2">
        <f>IFERROR(Q137/B137,"")</f>
        <v/>
      </c>
      <c r="AL137" s="2">
        <f>IFERROR(R137/C137,"")</f>
        <v/>
      </c>
      <c r="AM137" s="2">
        <f>IFERROR(S137/D137,"")</f>
        <v/>
      </c>
      <c r="AN137" s="2">
        <f>IFERROR(T137/E137,"")</f>
        <v/>
      </c>
      <c r="AO137" s="2">
        <f>IFERROR(U137/F137,"")</f>
        <v/>
      </c>
    </row>
    <row r="138">
      <c r="B138">
        <f>IF($A138="","",IFERROR(INDEX('[AQ_2020.xlsx]原始数据'!$B:$B,MATCH($A138,'[AQ_2020.xlsx]原始数据'!$A:$A,0)),""))</f>
        <v/>
      </c>
      <c r="C138">
        <f>IF($A138="","",IFERROR(INDEX('[AQ_2021.xlsx]原始数据'!$B:$B,MATCH($A138,'[AQ_2021.xlsx]原始数据'!$A:$A,0)),""))</f>
        <v/>
      </c>
      <c r="D138">
        <f>IF($A138="","",IFERROR(INDEX('[AQ_2022.xlsx]原始数据'!$B:$B,MATCH($A138,'[AQ_2022.xlsx]原始数据'!$A:$A,0)),""))</f>
        <v/>
      </c>
      <c r="E138">
        <f>IF($A138="","",IFERROR(INDEX('[AQ_2023.xlsx]原始数据'!$B:$B,MATCH($A138,'[AQ_2023.xlsx]原始数据'!$A:$A,0)),""))</f>
        <v/>
      </c>
      <c r="F138">
        <f>IF($A138="","",IFERROR(INDEX('[AQ_2024.xlsx]原始数据'!$B:$B,MATCH($A138,'[AQ_2024.xlsx]原始数据'!$A:$A,0)),""))</f>
        <v/>
      </c>
      <c r="G138">
        <f>IF($A138="","",IFERROR(INDEX('[AQ_2020.xlsx]原始数据'!$C:$C,MATCH($A138,'[AQ_2020.xlsx]原始数据'!$A:$A,0)),""))</f>
        <v/>
      </c>
      <c r="H138">
        <f>IF($A138="","",IFERROR(INDEX('[AQ_2021.xlsx]原始数据'!$C:$C,MATCH($A138,'[AQ_2021.xlsx]原始数据'!$A:$A,0)),""))</f>
        <v/>
      </c>
      <c r="I138">
        <f>IF($A138="","",IFERROR(INDEX('[AQ_2022.xlsx]原始数据'!$C:$C,MATCH($A138,'[AQ_2022.xlsx]原始数据'!$A:$A,0)),""))</f>
        <v/>
      </c>
      <c r="J138">
        <f>IF($A138="","",IFERROR(INDEX('[AQ_2023.xlsx]原始数据'!$C:$C,MATCH($A138,'[AQ_2023.xlsx]原始数据'!$A:$A,0)),""))</f>
        <v/>
      </c>
      <c r="K138">
        <f>IF($A138="","",IFERROR(INDEX('[AQ_2024.xlsx]原始数据'!$C:$C,MATCH($A138,'[AQ_2024.xlsx]原始数据'!$A:$A,0)),""))</f>
        <v/>
      </c>
      <c r="L138">
        <f>IF($A138="","",IFERROR(INDEX('[AQ_2020.xlsx]原始数据'!$D:$D,MATCH($A138,'[AQ_2020.xlsx]原始数据'!$A:$A,0)),""))</f>
        <v/>
      </c>
      <c r="M138">
        <f>IF($A138="","",IFERROR(INDEX('[AQ_2021.xlsx]原始数据'!$D:$D,MATCH($A138,'[AQ_2021.xlsx]原始数据'!$A:$A,0)),""))</f>
        <v/>
      </c>
      <c r="N138">
        <f>IF($A138="","",IFERROR(INDEX('[AQ_2022.xlsx]原始数据'!$D:$D,MATCH($A138,'[AQ_2022.xlsx]原始数据'!$A:$A,0)),""))</f>
        <v/>
      </c>
      <c r="O138">
        <f>IF($A138="","",IFERROR(INDEX('[AQ_2023.xlsx]原始数据'!$D:$D,MATCH($A138,'[AQ_2023.xlsx]原始数据'!$A:$A,0)),""))</f>
        <v/>
      </c>
      <c r="P138">
        <f>IF($A138="","",IFERROR(INDEX('[AQ_2024.xlsx]原始数据'!$D:$D,MATCH($A138,'[AQ_2024.xlsx]原始数据'!$A:$A,0)),""))</f>
        <v/>
      </c>
      <c r="Q138">
        <f>IF($A138="","",IFERROR(INDEX('[AQ_2020.xlsx]原始数据'!$E:$E,MATCH($A138,'[AQ_2020.xlsx]原始数据'!$A:$A,0)),""))</f>
        <v/>
      </c>
      <c r="R138">
        <f>IF($A138="","",IFERROR(INDEX('[AQ_2021.xlsx]原始数据'!$E:$E,MATCH($A138,'[AQ_2021.xlsx]原始数据'!$A:$A,0)),""))</f>
        <v/>
      </c>
      <c r="S138">
        <f>IF($A138="","",IFERROR(INDEX('[AQ_2022.xlsx]原始数据'!$E:$E,MATCH($A138,'[AQ_2022.xlsx]原始数据'!$A:$A,0)),""))</f>
        <v/>
      </c>
      <c r="T138">
        <f>IF($A138="","",IFERROR(INDEX('[AQ_2023.xlsx]原始数据'!$E:$E,MATCH($A138,'[AQ_2023.xlsx]原始数据'!$A:$A,0)),""))</f>
        <v/>
      </c>
      <c r="U138">
        <f>IF($A138="","",IFERROR(INDEX('[AQ_2024.xlsx]原始数据'!$E:$E,MATCH($A138,'[AQ_2024.xlsx]原始数据'!$A:$A,0)),""))</f>
        <v/>
      </c>
      <c r="V138">
        <f>IF($A138="","",IFERROR(INDEX('[AQ_2020.xlsx]原始数据'!$F:$F,MATCH($A138,'[AQ_2020.xlsx]原始数据'!$A:$A,0)),""))</f>
        <v/>
      </c>
      <c r="W138">
        <f>IF($A138="","",IFERROR(INDEX('[AQ_2021.xlsx]原始数据'!$F:$F,MATCH($A138,'[AQ_2021.xlsx]原始数据'!$A:$A,0)),""))</f>
        <v/>
      </c>
      <c r="X138">
        <f>IF($A138="","",IFERROR(INDEX('[AQ_2022.xlsx]原始数据'!$F:$F,MATCH($A138,'[AQ_2022.xlsx]原始数据'!$A:$A,0)),""))</f>
        <v/>
      </c>
      <c r="Y138">
        <f>IF($A138="","",IFERROR(INDEX('[AQ_2023.xlsx]原始数据'!$F:$F,MATCH($A138,'[AQ_2023.xlsx]原始数据'!$A:$A,0)),""))</f>
        <v/>
      </c>
      <c r="Z138">
        <f>IF($A138="","",IFERROR(INDEX('[AQ_2024.xlsx]原始数据'!$F:$F,MATCH($A138,'[AQ_2024.xlsx]原始数据'!$A:$A,0)),""))</f>
        <v/>
      </c>
      <c r="AA138" s="2">
        <f>IFERROR(G138/B138,"")</f>
        <v/>
      </c>
      <c r="AB138" s="2">
        <f>IFERROR(H138/C138,"")</f>
        <v/>
      </c>
      <c r="AC138" s="2">
        <f>IFERROR(I138/D138,"")</f>
        <v/>
      </c>
      <c r="AD138" s="2">
        <f>IFERROR(J138/E138,"")</f>
        <v/>
      </c>
      <c r="AE138" s="2">
        <f>IFERROR(K138/F138,"")</f>
        <v/>
      </c>
      <c r="AF138" s="2">
        <f>IFERROR(L138/B138,"")</f>
        <v/>
      </c>
      <c r="AG138" s="2">
        <f>IFERROR(M138/C138,"")</f>
        <v/>
      </c>
      <c r="AH138" s="2">
        <f>IFERROR(N138/D138,"")</f>
        <v/>
      </c>
      <c r="AI138" s="2">
        <f>IFERROR(O138/E138,"")</f>
        <v/>
      </c>
      <c r="AJ138" s="2">
        <f>IFERROR(P138/F138,"")</f>
        <v/>
      </c>
      <c r="AK138" s="2">
        <f>IFERROR(Q138/B138,"")</f>
        <v/>
      </c>
      <c r="AL138" s="2">
        <f>IFERROR(R138/C138,"")</f>
        <v/>
      </c>
      <c r="AM138" s="2">
        <f>IFERROR(S138/D138,"")</f>
        <v/>
      </c>
      <c r="AN138" s="2">
        <f>IFERROR(T138/E138,"")</f>
        <v/>
      </c>
      <c r="AO138" s="2">
        <f>IFERROR(U138/F138,"")</f>
        <v/>
      </c>
    </row>
    <row r="139">
      <c r="B139">
        <f>IF($A139="","",IFERROR(INDEX('[AQ_2020.xlsx]原始数据'!$B:$B,MATCH($A139,'[AQ_2020.xlsx]原始数据'!$A:$A,0)),""))</f>
        <v/>
      </c>
      <c r="C139">
        <f>IF($A139="","",IFERROR(INDEX('[AQ_2021.xlsx]原始数据'!$B:$B,MATCH($A139,'[AQ_2021.xlsx]原始数据'!$A:$A,0)),""))</f>
        <v/>
      </c>
      <c r="D139">
        <f>IF($A139="","",IFERROR(INDEX('[AQ_2022.xlsx]原始数据'!$B:$B,MATCH($A139,'[AQ_2022.xlsx]原始数据'!$A:$A,0)),""))</f>
        <v/>
      </c>
      <c r="E139">
        <f>IF($A139="","",IFERROR(INDEX('[AQ_2023.xlsx]原始数据'!$B:$B,MATCH($A139,'[AQ_2023.xlsx]原始数据'!$A:$A,0)),""))</f>
        <v/>
      </c>
      <c r="F139">
        <f>IF($A139="","",IFERROR(INDEX('[AQ_2024.xlsx]原始数据'!$B:$B,MATCH($A139,'[AQ_2024.xlsx]原始数据'!$A:$A,0)),""))</f>
        <v/>
      </c>
      <c r="G139">
        <f>IF($A139="","",IFERROR(INDEX('[AQ_2020.xlsx]原始数据'!$C:$C,MATCH($A139,'[AQ_2020.xlsx]原始数据'!$A:$A,0)),""))</f>
        <v/>
      </c>
      <c r="H139">
        <f>IF($A139="","",IFERROR(INDEX('[AQ_2021.xlsx]原始数据'!$C:$C,MATCH($A139,'[AQ_2021.xlsx]原始数据'!$A:$A,0)),""))</f>
        <v/>
      </c>
      <c r="I139">
        <f>IF($A139="","",IFERROR(INDEX('[AQ_2022.xlsx]原始数据'!$C:$C,MATCH($A139,'[AQ_2022.xlsx]原始数据'!$A:$A,0)),""))</f>
        <v/>
      </c>
      <c r="J139">
        <f>IF($A139="","",IFERROR(INDEX('[AQ_2023.xlsx]原始数据'!$C:$C,MATCH($A139,'[AQ_2023.xlsx]原始数据'!$A:$A,0)),""))</f>
        <v/>
      </c>
      <c r="K139">
        <f>IF($A139="","",IFERROR(INDEX('[AQ_2024.xlsx]原始数据'!$C:$C,MATCH($A139,'[AQ_2024.xlsx]原始数据'!$A:$A,0)),""))</f>
        <v/>
      </c>
      <c r="L139">
        <f>IF($A139="","",IFERROR(INDEX('[AQ_2020.xlsx]原始数据'!$D:$D,MATCH($A139,'[AQ_2020.xlsx]原始数据'!$A:$A,0)),""))</f>
        <v/>
      </c>
      <c r="M139">
        <f>IF($A139="","",IFERROR(INDEX('[AQ_2021.xlsx]原始数据'!$D:$D,MATCH($A139,'[AQ_2021.xlsx]原始数据'!$A:$A,0)),""))</f>
        <v/>
      </c>
      <c r="N139">
        <f>IF($A139="","",IFERROR(INDEX('[AQ_2022.xlsx]原始数据'!$D:$D,MATCH($A139,'[AQ_2022.xlsx]原始数据'!$A:$A,0)),""))</f>
        <v/>
      </c>
      <c r="O139">
        <f>IF($A139="","",IFERROR(INDEX('[AQ_2023.xlsx]原始数据'!$D:$D,MATCH($A139,'[AQ_2023.xlsx]原始数据'!$A:$A,0)),""))</f>
        <v/>
      </c>
      <c r="P139">
        <f>IF($A139="","",IFERROR(INDEX('[AQ_2024.xlsx]原始数据'!$D:$D,MATCH($A139,'[AQ_2024.xlsx]原始数据'!$A:$A,0)),""))</f>
        <v/>
      </c>
      <c r="Q139">
        <f>IF($A139="","",IFERROR(INDEX('[AQ_2020.xlsx]原始数据'!$E:$E,MATCH($A139,'[AQ_2020.xlsx]原始数据'!$A:$A,0)),""))</f>
        <v/>
      </c>
      <c r="R139">
        <f>IF($A139="","",IFERROR(INDEX('[AQ_2021.xlsx]原始数据'!$E:$E,MATCH($A139,'[AQ_2021.xlsx]原始数据'!$A:$A,0)),""))</f>
        <v/>
      </c>
      <c r="S139">
        <f>IF($A139="","",IFERROR(INDEX('[AQ_2022.xlsx]原始数据'!$E:$E,MATCH($A139,'[AQ_2022.xlsx]原始数据'!$A:$A,0)),""))</f>
        <v/>
      </c>
      <c r="T139">
        <f>IF($A139="","",IFERROR(INDEX('[AQ_2023.xlsx]原始数据'!$E:$E,MATCH($A139,'[AQ_2023.xlsx]原始数据'!$A:$A,0)),""))</f>
        <v/>
      </c>
      <c r="U139">
        <f>IF($A139="","",IFERROR(INDEX('[AQ_2024.xlsx]原始数据'!$E:$E,MATCH($A139,'[AQ_2024.xlsx]原始数据'!$A:$A,0)),""))</f>
        <v/>
      </c>
      <c r="V139">
        <f>IF($A139="","",IFERROR(INDEX('[AQ_2020.xlsx]原始数据'!$F:$F,MATCH($A139,'[AQ_2020.xlsx]原始数据'!$A:$A,0)),""))</f>
        <v/>
      </c>
      <c r="W139">
        <f>IF($A139="","",IFERROR(INDEX('[AQ_2021.xlsx]原始数据'!$F:$F,MATCH($A139,'[AQ_2021.xlsx]原始数据'!$A:$A,0)),""))</f>
        <v/>
      </c>
      <c r="X139">
        <f>IF($A139="","",IFERROR(INDEX('[AQ_2022.xlsx]原始数据'!$F:$F,MATCH($A139,'[AQ_2022.xlsx]原始数据'!$A:$A,0)),""))</f>
        <v/>
      </c>
      <c r="Y139">
        <f>IF($A139="","",IFERROR(INDEX('[AQ_2023.xlsx]原始数据'!$F:$F,MATCH($A139,'[AQ_2023.xlsx]原始数据'!$A:$A,0)),""))</f>
        <v/>
      </c>
      <c r="Z139">
        <f>IF($A139="","",IFERROR(INDEX('[AQ_2024.xlsx]原始数据'!$F:$F,MATCH($A139,'[AQ_2024.xlsx]原始数据'!$A:$A,0)),""))</f>
        <v/>
      </c>
      <c r="AA139" s="2">
        <f>IFERROR(G139/B139,"")</f>
        <v/>
      </c>
      <c r="AB139" s="2">
        <f>IFERROR(H139/C139,"")</f>
        <v/>
      </c>
      <c r="AC139" s="2">
        <f>IFERROR(I139/D139,"")</f>
        <v/>
      </c>
      <c r="AD139" s="2">
        <f>IFERROR(J139/E139,"")</f>
        <v/>
      </c>
      <c r="AE139" s="2">
        <f>IFERROR(K139/F139,"")</f>
        <v/>
      </c>
      <c r="AF139" s="2">
        <f>IFERROR(L139/B139,"")</f>
        <v/>
      </c>
      <c r="AG139" s="2">
        <f>IFERROR(M139/C139,"")</f>
        <v/>
      </c>
      <c r="AH139" s="2">
        <f>IFERROR(N139/D139,"")</f>
        <v/>
      </c>
      <c r="AI139" s="2">
        <f>IFERROR(O139/E139,"")</f>
        <v/>
      </c>
      <c r="AJ139" s="2">
        <f>IFERROR(P139/F139,"")</f>
        <v/>
      </c>
      <c r="AK139" s="2">
        <f>IFERROR(Q139/B139,"")</f>
        <v/>
      </c>
      <c r="AL139" s="2">
        <f>IFERROR(R139/C139,"")</f>
        <v/>
      </c>
      <c r="AM139" s="2">
        <f>IFERROR(S139/D139,"")</f>
        <v/>
      </c>
      <c r="AN139" s="2">
        <f>IFERROR(T139/E139,"")</f>
        <v/>
      </c>
      <c r="AO139" s="2">
        <f>IFERROR(U139/F139,"")</f>
        <v/>
      </c>
    </row>
    <row r="140">
      <c r="B140">
        <f>IF($A140="","",IFERROR(INDEX('[AQ_2020.xlsx]原始数据'!$B:$B,MATCH($A140,'[AQ_2020.xlsx]原始数据'!$A:$A,0)),""))</f>
        <v/>
      </c>
      <c r="C140">
        <f>IF($A140="","",IFERROR(INDEX('[AQ_2021.xlsx]原始数据'!$B:$B,MATCH($A140,'[AQ_2021.xlsx]原始数据'!$A:$A,0)),""))</f>
        <v/>
      </c>
      <c r="D140">
        <f>IF($A140="","",IFERROR(INDEX('[AQ_2022.xlsx]原始数据'!$B:$B,MATCH($A140,'[AQ_2022.xlsx]原始数据'!$A:$A,0)),""))</f>
        <v/>
      </c>
      <c r="E140">
        <f>IF($A140="","",IFERROR(INDEX('[AQ_2023.xlsx]原始数据'!$B:$B,MATCH($A140,'[AQ_2023.xlsx]原始数据'!$A:$A,0)),""))</f>
        <v/>
      </c>
      <c r="F140">
        <f>IF($A140="","",IFERROR(INDEX('[AQ_2024.xlsx]原始数据'!$B:$B,MATCH($A140,'[AQ_2024.xlsx]原始数据'!$A:$A,0)),""))</f>
        <v/>
      </c>
      <c r="G140">
        <f>IF($A140="","",IFERROR(INDEX('[AQ_2020.xlsx]原始数据'!$C:$C,MATCH($A140,'[AQ_2020.xlsx]原始数据'!$A:$A,0)),""))</f>
        <v/>
      </c>
      <c r="H140">
        <f>IF($A140="","",IFERROR(INDEX('[AQ_2021.xlsx]原始数据'!$C:$C,MATCH($A140,'[AQ_2021.xlsx]原始数据'!$A:$A,0)),""))</f>
        <v/>
      </c>
      <c r="I140">
        <f>IF($A140="","",IFERROR(INDEX('[AQ_2022.xlsx]原始数据'!$C:$C,MATCH($A140,'[AQ_2022.xlsx]原始数据'!$A:$A,0)),""))</f>
        <v/>
      </c>
      <c r="J140">
        <f>IF($A140="","",IFERROR(INDEX('[AQ_2023.xlsx]原始数据'!$C:$C,MATCH($A140,'[AQ_2023.xlsx]原始数据'!$A:$A,0)),""))</f>
        <v/>
      </c>
      <c r="K140">
        <f>IF($A140="","",IFERROR(INDEX('[AQ_2024.xlsx]原始数据'!$C:$C,MATCH($A140,'[AQ_2024.xlsx]原始数据'!$A:$A,0)),""))</f>
        <v/>
      </c>
      <c r="L140">
        <f>IF($A140="","",IFERROR(INDEX('[AQ_2020.xlsx]原始数据'!$D:$D,MATCH($A140,'[AQ_2020.xlsx]原始数据'!$A:$A,0)),""))</f>
        <v/>
      </c>
      <c r="M140">
        <f>IF($A140="","",IFERROR(INDEX('[AQ_2021.xlsx]原始数据'!$D:$D,MATCH($A140,'[AQ_2021.xlsx]原始数据'!$A:$A,0)),""))</f>
        <v/>
      </c>
      <c r="N140">
        <f>IF($A140="","",IFERROR(INDEX('[AQ_2022.xlsx]原始数据'!$D:$D,MATCH($A140,'[AQ_2022.xlsx]原始数据'!$A:$A,0)),""))</f>
        <v/>
      </c>
      <c r="O140">
        <f>IF($A140="","",IFERROR(INDEX('[AQ_2023.xlsx]原始数据'!$D:$D,MATCH($A140,'[AQ_2023.xlsx]原始数据'!$A:$A,0)),""))</f>
        <v/>
      </c>
      <c r="P140">
        <f>IF($A140="","",IFERROR(INDEX('[AQ_2024.xlsx]原始数据'!$D:$D,MATCH($A140,'[AQ_2024.xlsx]原始数据'!$A:$A,0)),""))</f>
        <v/>
      </c>
      <c r="Q140">
        <f>IF($A140="","",IFERROR(INDEX('[AQ_2020.xlsx]原始数据'!$E:$E,MATCH($A140,'[AQ_2020.xlsx]原始数据'!$A:$A,0)),""))</f>
        <v/>
      </c>
      <c r="R140">
        <f>IF($A140="","",IFERROR(INDEX('[AQ_2021.xlsx]原始数据'!$E:$E,MATCH($A140,'[AQ_2021.xlsx]原始数据'!$A:$A,0)),""))</f>
        <v/>
      </c>
      <c r="S140">
        <f>IF($A140="","",IFERROR(INDEX('[AQ_2022.xlsx]原始数据'!$E:$E,MATCH($A140,'[AQ_2022.xlsx]原始数据'!$A:$A,0)),""))</f>
        <v/>
      </c>
      <c r="T140">
        <f>IF($A140="","",IFERROR(INDEX('[AQ_2023.xlsx]原始数据'!$E:$E,MATCH($A140,'[AQ_2023.xlsx]原始数据'!$A:$A,0)),""))</f>
        <v/>
      </c>
      <c r="U140">
        <f>IF($A140="","",IFERROR(INDEX('[AQ_2024.xlsx]原始数据'!$E:$E,MATCH($A140,'[AQ_2024.xlsx]原始数据'!$A:$A,0)),""))</f>
        <v/>
      </c>
      <c r="V140">
        <f>IF($A140="","",IFERROR(INDEX('[AQ_2020.xlsx]原始数据'!$F:$F,MATCH($A140,'[AQ_2020.xlsx]原始数据'!$A:$A,0)),""))</f>
        <v/>
      </c>
      <c r="W140">
        <f>IF($A140="","",IFERROR(INDEX('[AQ_2021.xlsx]原始数据'!$F:$F,MATCH($A140,'[AQ_2021.xlsx]原始数据'!$A:$A,0)),""))</f>
        <v/>
      </c>
      <c r="X140">
        <f>IF($A140="","",IFERROR(INDEX('[AQ_2022.xlsx]原始数据'!$F:$F,MATCH($A140,'[AQ_2022.xlsx]原始数据'!$A:$A,0)),""))</f>
        <v/>
      </c>
      <c r="Y140">
        <f>IF($A140="","",IFERROR(INDEX('[AQ_2023.xlsx]原始数据'!$F:$F,MATCH($A140,'[AQ_2023.xlsx]原始数据'!$A:$A,0)),""))</f>
        <v/>
      </c>
      <c r="Z140">
        <f>IF($A140="","",IFERROR(INDEX('[AQ_2024.xlsx]原始数据'!$F:$F,MATCH($A140,'[AQ_2024.xlsx]原始数据'!$A:$A,0)),""))</f>
        <v/>
      </c>
      <c r="AA140" s="2">
        <f>IFERROR(G140/B140,"")</f>
        <v/>
      </c>
      <c r="AB140" s="2">
        <f>IFERROR(H140/C140,"")</f>
        <v/>
      </c>
      <c r="AC140" s="2">
        <f>IFERROR(I140/D140,"")</f>
        <v/>
      </c>
      <c r="AD140" s="2">
        <f>IFERROR(J140/E140,"")</f>
        <v/>
      </c>
      <c r="AE140" s="2">
        <f>IFERROR(K140/F140,"")</f>
        <v/>
      </c>
      <c r="AF140" s="2">
        <f>IFERROR(L140/B140,"")</f>
        <v/>
      </c>
      <c r="AG140" s="2">
        <f>IFERROR(M140/C140,"")</f>
        <v/>
      </c>
      <c r="AH140" s="2">
        <f>IFERROR(N140/D140,"")</f>
        <v/>
      </c>
      <c r="AI140" s="2">
        <f>IFERROR(O140/E140,"")</f>
        <v/>
      </c>
      <c r="AJ140" s="2">
        <f>IFERROR(P140/F140,"")</f>
        <v/>
      </c>
      <c r="AK140" s="2">
        <f>IFERROR(Q140/B140,"")</f>
        <v/>
      </c>
      <c r="AL140" s="2">
        <f>IFERROR(R140/C140,"")</f>
        <v/>
      </c>
      <c r="AM140" s="2">
        <f>IFERROR(S140/D140,"")</f>
        <v/>
      </c>
      <c r="AN140" s="2">
        <f>IFERROR(T140/E140,"")</f>
        <v/>
      </c>
      <c r="AO140" s="2">
        <f>IFERROR(U140/F140,"")</f>
        <v/>
      </c>
    </row>
    <row r="141">
      <c r="B141">
        <f>IF($A141="","",IFERROR(INDEX('[AQ_2020.xlsx]原始数据'!$B:$B,MATCH($A141,'[AQ_2020.xlsx]原始数据'!$A:$A,0)),""))</f>
        <v/>
      </c>
      <c r="C141">
        <f>IF($A141="","",IFERROR(INDEX('[AQ_2021.xlsx]原始数据'!$B:$B,MATCH($A141,'[AQ_2021.xlsx]原始数据'!$A:$A,0)),""))</f>
        <v/>
      </c>
      <c r="D141">
        <f>IF($A141="","",IFERROR(INDEX('[AQ_2022.xlsx]原始数据'!$B:$B,MATCH($A141,'[AQ_2022.xlsx]原始数据'!$A:$A,0)),""))</f>
        <v/>
      </c>
      <c r="E141">
        <f>IF($A141="","",IFERROR(INDEX('[AQ_2023.xlsx]原始数据'!$B:$B,MATCH($A141,'[AQ_2023.xlsx]原始数据'!$A:$A,0)),""))</f>
        <v/>
      </c>
      <c r="F141">
        <f>IF($A141="","",IFERROR(INDEX('[AQ_2024.xlsx]原始数据'!$B:$B,MATCH($A141,'[AQ_2024.xlsx]原始数据'!$A:$A,0)),""))</f>
        <v/>
      </c>
      <c r="G141">
        <f>IF($A141="","",IFERROR(INDEX('[AQ_2020.xlsx]原始数据'!$C:$C,MATCH($A141,'[AQ_2020.xlsx]原始数据'!$A:$A,0)),""))</f>
        <v/>
      </c>
      <c r="H141">
        <f>IF($A141="","",IFERROR(INDEX('[AQ_2021.xlsx]原始数据'!$C:$C,MATCH($A141,'[AQ_2021.xlsx]原始数据'!$A:$A,0)),""))</f>
        <v/>
      </c>
      <c r="I141">
        <f>IF($A141="","",IFERROR(INDEX('[AQ_2022.xlsx]原始数据'!$C:$C,MATCH($A141,'[AQ_2022.xlsx]原始数据'!$A:$A,0)),""))</f>
        <v/>
      </c>
      <c r="J141">
        <f>IF($A141="","",IFERROR(INDEX('[AQ_2023.xlsx]原始数据'!$C:$C,MATCH($A141,'[AQ_2023.xlsx]原始数据'!$A:$A,0)),""))</f>
        <v/>
      </c>
      <c r="K141">
        <f>IF($A141="","",IFERROR(INDEX('[AQ_2024.xlsx]原始数据'!$C:$C,MATCH($A141,'[AQ_2024.xlsx]原始数据'!$A:$A,0)),""))</f>
        <v/>
      </c>
      <c r="L141">
        <f>IF($A141="","",IFERROR(INDEX('[AQ_2020.xlsx]原始数据'!$D:$D,MATCH($A141,'[AQ_2020.xlsx]原始数据'!$A:$A,0)),""))</f>
        <v/>
      </c>
      <c r="M141">
        <f>IF($A141="","",IFERROR(INDEX('[AQ_2021.xlsx]原始数据'!$D:$D,MATCH($A141,'[AQ_2021.xlsx]原始数据'!$A:$A,0)),""))</f>
        <v/>
      </c>
      <c r="N141">
        <f>IF($A141="","",IFERROR(INDEX('[AQ_2022.xlsx]原始数据'!$D:$D,MATCH($A141,'[AQ_2022.xlsx]原始数据'!$A:$A,0)),""))</f>
        <v/>
      </c>
      <c r="O141">
        <f>IF($A141="","",IFERROR(INDEX('[AQ_2023.xlsx]原始数据'!$D:$D,MATCH($A141,'[AQ_2023.xlsx]原始数据'!$A:$A,0)),""))</f>
        <v/>
      </c>
      <c r="P141">
        <f>IF($A141="","",IFERROR(INDEX('[AQ_2024.xlsx]原始数据'!$D:$D,MATCH($A141,'[AQ_2024.xlsx]原始数据'!$A:$A,0)),""))</f>
        <v/>
      </c>
      <c r="Q141">
        <f>IF($A141="","",IFERROR(INDEX('[AQ_2020.xlsx]原始数据'!$E:$E,MATCH($A141,'[AQ_2020.xlsx]原始数据'!$A:$A,0)),""))</f>
        <v/>
      </c>
      <c r="R141">
        <f>IF($A141="","",IFERROR(INDEX('[AQ_2021.xlsx]原始数据'!$E:$E,MATCH($A141,'[AQ_2021.xlsx]原始数据'!$A:$A,0)),""))</f>
        <v/>
      </c>
      <c r="S141">
        <f>IF($A141="","",IFERROR(INDEX('[AQ_2022.xlsx]原始数据'!$E:$E,MATCH($A141,'[AQ_2022.xlsx]原始数据'!$A:$A,0)),""))</f>
        <v/>
      </c>
      <c r="T141">
        <f>IF($A141="","",IFERROR(INDEX('[AQ_2023.xlsx]原始数据'!$E:$E,MATCH($A141,'[AQ_2023.xlsx]原始数据'!$A:$A,0)),""))</f>
        <v/>
      </c>
      <c r="U141">
        <f>IF($A141="","",IFERROR(INDEX('[AQ_2024.xlsx]原始数据'!$E:$E,MATCH($A141,'[AQ_2024.xlsx]原始数据'!$A:$A,0)),""))</f>
        <v/>
      </c>
      <c r="V141">
        <f>IF($A141="","",IFERROR(INDEX('[AQ_2020.xlsx]原始数据'!$F:$F,MATCH($A141,'[AQ_2020.xlsx]原始数据'!$A:$A,0)),""))</f>
        <v/>
      </c>
      <c r="W141">
        <f>IF($A141="","",IFERROR(INDEX('[AQ_2021.xlsx]原始数据'!$F:$F,MATCH($A141,'[AQ_2021.xlsx]原始数据'!$A:$A,0)),""))</f>
        <v/>
      </c>
      <c r="X141">
        <f>IF($A141="","",IFERROR(INDEX('[AQ_2022.xlsx]原始数据'!$F:$F,MATCH($A141,'[AQ_2022.xlsx]原始数据'!$A:$A,0)),""))</f>
        <v/>
      </c>
      <c r="Y141">
        <f>IF($A141="","",IFERROR(INDEX('[AQ_2023.xlsx]原始数据'!$F:$F,MATCH($A141,'[AQ_2023.xlsx]原始数据'!$A:$A,0)),""))</f>
        <v/>
      </c>
      <c r="Z141">
        <f>IF($A141="","",IFERROR(INDEX('[AQ_2024.xlsx]原始数据'!$F:$F,MATCH($A141,'[AQ_2024.xlsx]原始数据'!$A:$A,0)),""))</f>
        <v/>
      </c>
      <c r="AA141" s="2">
        <f>IFERROR(G141/B141,"")</f>
        <v/>
      </c>
      <c r="AB141" s="2">
        <f>IFERROR(H141/C141,"")</f>
        <v/>
      </c>
      <c r="AC141" s="2">
        <f>IFERROR(I141/D141,"")</f>
        <v/>
      </c>
      <c r="AD141" s="2">
        <f>IFERROR(J141/E141,"")</f>
        <v/>
      </c>
      <c r="AE141" s="2">
        <f>IFERROR(K141/F141,"")</f>
        <v/>
      </c>
      <c r="AF141" s="2">
        <f>IFERROR(L141/B141,"")</f>
        <v/>
      </c>
      <c r="AG141" s="2">
        <f>IFERROR(M141/C141,"")</f>
        <v/>
      </c>
      <c r="AH141" s="2">
        <f>IFERROR(N141/D141,"")</f>
        <v/>
      </c>
      <c r="AI141" s="2">
        <f>IFERROR(O141/E141,"")</f>
        <v/>
      </c>
      <c r="AJ141" s="2">
        <f>IFERROR(P141/F141,"")</f>
        <v/>
      </c>
      <c r="AK141" s="2">
        <f>IFERROR(Q141/B141,"")</f>
        <v/>
      </c>
      <c r="AL141" s="2">
        <f>IFERROR(R141/C141,"")</f>
        <v/>
      </c>
      <c r="AM141" s="2">
        <f>IFERROR(S141/D141,"")</f>
        <v/>
      </c>
      <c r="AN141" s="2">
        <f>IFERROR(T141/E141,"")</f>
        <v/>
      </c>
      <c r="AO141" s="2">
        <f>IFERROR(U141/F141,"")</f>
        <v/>
      </c>
    </row>
    <row r="142">
      <c r="B142">
        <f>IF($A142="","",IFERROR(INDEX('[AQ_2020.xlsx]原始数据'!$B:$B,MATCH($A142,'[AQ_2020.xlsx]原始数据'!$A:$A,0)),""))</f>
        <v/>
      </c>
      <c r="C142">
        <f>IF($A142="","",IFERROR(INDEX('[AQ_2021.xlsx]原始数据'!$B:$B,MATCH($A142,'[AQ_2021.xlsx]原始数据'!$A:$A,0)),""))</f>
        <v/>
      </c>
      <c r="D142">
        <f>IF($A142="","",IFERROR(INDEX('[AQ_2022.xlsx]原始数据'!$B:$B,MATCH($A142,'[AQ_2022.xlsx]原始数据'!$A:$A,0)),""))</f>
        <v/>
      </c>
      <c r="E142">
        <f>IF($A142="","",IFERROR(INDEX('[AQ_2023.xlsx]原始数据'!$B:$B,MATCH($A142,'[AQ_2023.xlsx]原始数据'!$A:$A,0)),""))</f>
        <v/>
      </c>
      <c r="F142">
        <f>IF($A142="","",IFERROR(INDEX('[AQ_2024.xlsx]原始数据'!$B:$B,MATCH($A142,'[AQ_2024.xlsx]原始数据'!$A:$A,0)),""))</f>
        <v/>
      </c>
      <c r="G142">
        <f>IF($A142="","",IFERROR(INDEX('[AQ_2020.xlsx]原始数据'!$C:$C,MATCH($A142,'[AQ_2020.xlsx]原始数据'!$A:$A,0)),""))</f>
        <v/>
      </c>
      <c r="H142">
        <f>IF($A142="","",IFERROR(INDEX('[AQ_2021.xlsx]原始数据'!$C:$C,MATCH($A142,'[AQ_2021.xlsx]原始数据'!$A:$A,0)),""))</f>
        <v/>
      </c>
      <c r="I142">
        <f>IF($A142="","",IFERROR(INDEX('[AQ_2022.xlsx]原始数据'!$C:$C,MATCH($A142,'[AQ_2022.xlsx]原始数据'!$A:$A,0)),""))</f>
        <v/>
      </c>
      <c r="J142">
        <f>IF($A142="","",IFERROR(INDEX('[AQ_2023.xlsx]原始数据'!$C:$C,MATCH($A142,'[AQ_2023.xlsx]原始数据'!$A:$A,0)),""))</f>
        <v/>
      </c>
      <c r="K142">
        <f>IF($A142="","",IFERROR(INDEX('[AQ_2024.xlsx]原始数据'!$C:$C,MATCH($A142,'[AQ_2024.xlsx]原始数据'!$A:$A,0)),""))</f>
        <v/>
      </c>
      <c r="L142">
        <f>IF($A142="","",IFERROR(INDEX('[AQ_2020.xlsx]原始数据'!$D:$D,MATCH($A142,'[AQ_2020.xlsx]原始数据'!$A:$A,0)),""))</f>
        <v/>
      </c>
      <c r="M142">
        <f>IF($A142="","",IFERROR(INDEX('[AQ_2021.xlsx]原始数据'!$D:$D,MATCH($A142,'[AQ_2021.xlsx]原始数据'!$A:$A,0)),""))</f>
        <v/>
      </c>
      <c r="N142">
        <f>IF($A142="","",IFERROR(INDEX('[AQ_2022.xlsx]原始数据'!$D:$D,MATCH($A142,'[AQ_2022.xlsx]原始数据'!$A:$A,0)),""))</f>
        <v/>
      </c>
      <c r="O142">
        <f>IF($A142="","",IFERROR(INDEX('[AQ_2023.xlsx]原始数据'!$D:$D,MATCH($A142,'[AQ_2023.xlsx]原始数据'!$A:$A,0)),""))</f>
        <v/>
      </c>
      <c r="P142">
        <f>IF($A142="","",IFERROR(INDEX('[AQ_2024.xlsx]原始数据'!$D:$D,MATCH($A142,'[AQ_2024.xlsx]原始数据'!$A:$A,0)),""))</f>
        <v/>
      </c>
      <c r="Q142">
        <f>IF($A142="","",IFERROR(INDEX('[AQ_2020.xlsx]原始数据'!$E:$E,MATCH($A142,'[AQ_2020.xlsx]原始数据'!$A:$A,0)),""))</f>
        <v/>
      </c>
      <c r="R142">
        <f>IF($A142="","",IFERROR(INDEX('[AQ_2021.xlsx]原始数据'!$E:$E,MATCH($A142,'[AQ_2021.xlsx]原始数据'!$A:$A,0)),""))</f>
        <v/>
      </c>
      <c r="S142">
        <f>IF($A142="","",IFERROR(INDEX('[AQ_2022.xlsx]原始数据'!$E:$E,MATCH($A142,'[AQ_2022.xlsx]原始数据'!$A:$A,0)),""))</f>
        <v/>
      </c>
      <c r="T142">
        <f>IF($A142="","",IFERROR(INDEX('[AQ_2023.xlsx]原始数据'!$E:$E,MATCH($A142,'[AQ_2023.xlsx]原始数据'!$A:$A,0)),""))</f>
        <v/>
      </c>
      <c r="U142">
        <f>IF($A142="","",IFERROR(INDEX('[AQ_2024.xlsx]原始数据'!$E:$E,MATCH($A142,'[AQ_2024.xlsx]原始数据'!$A:$A,0)),""))</f>
        <v/>
      </c>
      <c r="V142">
        <f>IF($A142="","",IFERROR(INDEX('[AQ_2020.xlsx]原始数据'!$F:$F,MATCH($A142,'[AQ_2020.xlsx]原始数据'!$A:$A,0)),""))</f>
        <v/>
      </c>
      <c r="W142">
        <f>IF($A142="","",IFERROR(INDEX('[AQ_2021.xlsx]原始数据'!$F:$F,MATCH($A142,'[AQ_2021.xlsx]原始数据'!$A:$A,0)),""))</f>
        <v/>
      </c>
      <c r="X142">
        <f>IF($A142="","",IFERROR(INDEX('[AQ_2022.xlsx]原始数据'!$F:$F,MATCH($A142,'[AQ_2022.xlsx]原始数据'!$A:$A,0)),""))</f>
        <v/>
      </c>
      <c r="Y142">
        <f>IF($A142="","",IFERROR(INDEX('[AQ_2023.xlsx]原始数据'!$F:$F,MATCH($A142,'[AQ_2023.xlsx]原始数据'!$A:$A,0)),""))</f>
        <v/>
      </c>
      <c r="Z142">
        <f>IF($A142="","",IFERROR(INDEX('[AQ_2024.xlsx]原始数据'!$F:$F,MATCH($A142,'[AQ_2024.xlsx]原始数据'!$A:$A,0)),""))</f>
        <v/>
      </c>
      <c r="AA142" s="2">
        <f>IFERROR(G142/B142,"")</f>
        <v/>
      </c>
      <c r="AB142" s="2">
        <f>IFERROR(H142/C142,"")</f>
        <v/>
      </c>
      <c r="AC142" s="2">
        <f>IFERROR(I142/D142,"")</f>
        <v/>
      </c>
      <c r="AD142" s="2">
        <f>IFERROR(J142/E142,"")</f>
        <v/>
      </c>
      <c r="AE142" s="2">
        <f>IFERROR(K142/F142,"")</f>
        <v/>
      </c>
      <c r="AF142" s="2">
        <f>IFERROR(L142/B142,"")</f>
        <v/>
      </c>
      <c r="AG142" s="2">
        <f>IFERROR(M142/C142,"")</f>
        <v/>
      </c>
      <c r="AH142" s="2">
        <f>IFERROR(N142/D142,"")</f>
        <v/>
      </c>
      <c r="AI142" s="2">
        <f>IFERROR(O142/E142,"")</f>
        <v/>
      </c>
      <c r="AJ142" s="2">
        <f>IFERROR(P142/F142,"")</f>
        <v/>
      </c>
      <c r="AK142" s="2">
        <f>IFERROR(Q142/B142,"")</f>
        <v/>
      </c>
      <c r="AL142" s="2">
        <f>IFERROR(R142/C142,"")</f>
        <v/>
      </c>
      <c r="AM142" s="2">
        <f>IFERROR(S142/D142,"")</f>
        <v/>
      </c>
      <c r="AN142" s="2">
        <f>IFERROR(T142/E142,"")</f>
        <v/>
      </c>
      <c r="AO142" s="2">
        <f>IFERROR(U142/F142,"")</f>
        <v/>
      </c>
    </row>
    <row r="143">
      <c r="B143">
        <f>IF($A143="","",IFERROR(INDEX('[AQ_2020.xlsx]原始数据'!$B:$B,MATCH($A143,'[AQ_2020.xlsx]原始数据'!$A:$A,0)),""))</f>
        <v/>
      </c>
      <c r="C143">
        <f>IF($A143="","",IFERROR(INDEX('[AQ_2021.xlsx]原始数据'!$B:$B,MATCH($A143,'[AQ_2021.xlsx]原始数据'!$A:$A,0)),""))</f>
        <v/>
      </c>
      <c r="D143">
        <f>IF($A143="","",IFERROR(INDEX('[AQ_2022.xlsx]原始数据'!$B:$B,MATCH($A143,'[AQ_2022.xlsx]原始数据'!$A:$A,0)),""))</f>
        <v/>
      </c>
      <c r="E143">
        <f>IF($A143="","",IFERROR(INDEX('[AQ_2023.xlsx]原始数据'!$B:$B,MATCH($A143,'[AQ_2023.xlsx]原始数据'!$A:$A,0)),""))</f>
        <v/>
      </c>
      <c r="F143">
        <f>IF($A143="","",IFERROR(INDEX('[AQ_2024.xlsx]原始数据'!$B:$B,MATCH($A143,'[AQ_2024.xlsx]原始数据'!$A:$A,0)),""))</f>
        <v/>
      </c>
      <c r="G143">
        <f>IF($A143="","",IFERROR(INDEX('[AQ_2020.xlsx]原始数据'!$C:$C,MATCH($A143,'[AQ_2020.xlsx]原始数据'!$A:$A,0)),""))</f>
        <v/>
      </c>
      <c r="H143">
        <f>IF($A143="","",IFERROR(INDEX('[AQ_2021.xlsx]原始数据'!$C:$C,MATCH($A143,'[AQ_2021.xlsx]原始数据'!$A:$A,0)),""))</f>
        <v/>
      </c>
      <c r="I143">
        <f>IF($A143="","",IFERROR(INDEX('[AQ_2022.xlsx]原始数据'!$C:$C,MATCH($A143,'[AQ_2022.xlsx]原始数据'!$A:$A,0)),""))</f>
        <v/>
      </c>
      <c r="J143">
        <f>IF($A143="","",IFERROR(INDEX('[AQ_2023.xlsx]原始数据'!$C:$C,MATCH($A143,'[AQ_2023.xlsx]原始数据'!$A:$A,0)),""))</f>
        <v/>
      </c>
      <c r="K143">
        <f>IF($A143="","",IFERROR(INDEX('[AQ_2024.xlsx]原始数据'!$C:$C,MATCH($A143,'[AQ_2024.xlsx]原始数据'!$A:$A,0)),""))</f>
        <v/>
      </c>
      <c r="L143">
        <f>IF($A143="","",IFERROR(INDEX('[AQ_2020.xlsx]原始数据'!$D:$D,MATCH($A143,'[AQ_2020.xlsx]原始数据'!$A:$A,0)),""))</f>
        <v/>
      </c>
      <c r="M143">
        <f>IF($A143="","",IFERROR(INDEX('[AQ_2021.xlsx]原始数据'!$D:$D,MATCH($A143,'[AQ_2021.xlsx]原始数据'!$A:$A,0)),""))</f>
        <v/>
      </c>
      <c r="N143">
        <f>IF($A143="","",IFERROR(INDEX('[AQ_2022.xlsx]原始数据'!$D:$D,MATCH($A143,'[AQ_2022.xlsx]原始数据'!$A:$A,0)),""))</f>
        <v/>
      </c>
      <c r="O143">
        <f>IF($A143="","",IFERROR(INDEX('[AQ_2023.xlsx]原始数据'!$D:$D,MATCH($A143,'[AQ_2023.xlsx]原始数据'!$A:$A,0)),""))</f>
        <v/>
      </c>
      <c r="P143">
        <f>IF($A143="","",IFERROR(INDEX('[AQ_2024.xlsx]原始数据'!$D:$D,MATCH($A143,'[AQ_2024.xlsx]原始数据'!$A:$A,0)),""))</f>
        <v/>
      </c>
      <c r="Q143">
        <f>IF($A143="","",IFERROR(INDEX('[AQ_2020.xlsx]原始数据'!$E:$E,MATCH($A143,'[AQ_2020.xlsx]原始数据'!$A:$A,0)),""))</f>
        <v/>
      </c>
      <c r="R143">
        <f>IF($A143="","",IFERROR(INDEX('[AQ_2021.xlsx]原始数据'!$E:$E,MATCH($A143,'[AQ_2021.xlsx]原始数据'!$A:$A,0)),""))</f>
        <v/>
      </c>
      <c r="S143">
        <f>IF($A143="","",IFERROR(INDEX('[AQ_2022.xlsx]原始数据'!$E:$E,MATCH($A143,'[AQ_2022.xlsx]原始数据'!$A:$A,0)),""))</f>
        <v/>
      </c>
      <c r="T143">
        <f>IF($A143="","",IFERROR(INDEX('[AQ_2023.xlsx]原始数据'!$E:$E,MATCH($A143,'[AQ_2023.xlsx]原始数据'!$A:$A,0)),""))</f>
        <v/>
      </c>
      <c r="U143">
        <f>IF($A143="","",IFERROR(INDEX('[AQ_2024.xlsx]原始数据'!$E:$E,MATCH($A143,'[AQ_2024.xlsx]原始数据'!$A:$A,0)),""))</f>
        <v/>
      </c>
      <c r="V143">
        <f>IF($A143="","",IFERROR(INDEX('[AQ_2020.xlsx]原始数据'!$F:$F,MATCH($A143,'[AQ_2020.xlsx]原始数据'!$A:$A,0)),""))</f>
        <v/>
      </c>
      <c r="W143">
        <f>IF($A143="","",IFERROR(INDEX('[AQ_2021.xlsx]原始数据'!$F:$F,MATCH($A143,'[AQ_2021.xlsx]原始数据'!$A:$A,0)),""))</f>
        <v/>
      </c>
      <c r="X143">
        <f>IF($A143="","",IFERROR(INDEX('[AQ_2022.xlsx]原始数据'!$F:$F,MATCH($A143,'[AQ_2022.xlsx]原始数据'!$A:$A,0)),""))</f>
        <v/>
      </c>
      <c r="Y143">
        <f>IF($A143="","",IFERROR(INDEX('[AQ_2023.xlsx]原始数据'!$F:$F,MATCH($A143,'[AQ_2023.xlsx]原始数据'!$A:$A,0)),""))</f>
        <v/>
      </c>
      <c r="Z143">
        <f>IF($A143="","",IFERROR(INDEX('[AQ_2024.xlsx]原始数据'!$F:$F,MATCH($A143,'[AQ_2024.xlsx]原始数据'!$A:$A,0)),""))</f>
        <v/>
      </c>
      <c r="AA143" s="2">
        <f>IFERROR(G143/B143,"")</f>
        <v/>
      </c>
      <c r="AB143" s="2">
        <f>IFERROR(H143/C143,"")</f>
        <v/>
      </c>
      <c r="AC143" s="2">
        <f>IFERROR(I143/D143,"")</f>
        <v/>
      </c>
      <c r="AD143" s="2">
        <f>IFERROR(J143/E143,"")</f>
        <v/>
      </c>
      <c r="AE143" s="2">
        <f>IFERROR(K143/F143,"")</f>
        <v/>
      </c>
      <c r="AF143" s="2">
        <f>IFERROR(L143/B143,"")</f>
        <v/>
      </c>
      <c r="AG143" s="2">
        <f>IFERROR(M143/C143,"")</f>
        <v/>
      </c>
      <c r="AH143" s="2">
        <f>IFERROR(N143/D143,"")</f>
        <v/>
      </c>
      <c r="AI143" s="2">
        <f>IFERROR(O143/E143,"")</f>
        <v/>
      </c>
      <c r="AJ143" s="2">
        <f>IFERROR(P143/F143,"")</f>
        <v/>
      </c>
      <c r="AK143" s="2">
        <f>IFERROR(Q143/B143,"")</f>
        <v/>
      </c>
      <c r="AL143" s="2">
        <f>IFERROR(R143/C143,"")</f>
        <v/>
      </c>
      <c r="AM143" s="2">
        <f>IFERROR(S143/D143,"")</f>
        <v/>
      </c>
      <c r="AN143" s="2">
        <f>IFERROR(T143/E143,"")</f>
        <v/>
      </c>
      <c r="AO143" s="2">
        <f>IFERROR(U143/F143,"")</f>
        <v/>
      </c>
    </row>
    <row r="144">
      <c r="B144">
        <f>IF($A144="","",IFERROR(INDEX('[AQ_2020.xlsx]原始数据'!$B:$B,MATCH($A144,'[AQ_2020.xlsx]原始数据'!$A:$A,0)),""))</f>
        <v/>
      </c>
      <c r="C144">
        <f>IF($A144="","",IFERROR(INDEX('[AQ_2021.xlsx]原始数据'!$B:$B,MATCH($A144,'[AQ_2021.xlsx]原始数据'!$A:$A,0)),""))</f>
        <v/>
      </c>
      <c r="D144">
        <f>IF($A144="","",IFERROR(INDEX('[AQ_2022.xlsx]原始数据'!$B:$B,MATCH($A144,'[AQ_2022.xlsx]原始数据'!$A:$A,0)),""))</f>
        <v/>
      </c>
      <c r="E144">
        <f>IF($A144="","",IFERROR(INDEX('[AQ_2023.xlsx]原始数据'!$B:$B,MATCH($A144,'[AQ_2023.xlsx]原始数据'!$A:$A,0)),""))</f>
        <v/>
      </c>
      <c r="F144">
        <f>IF($A144="","",IFERROR(INDEX('[AQ_2024.xlsx]原始数据'!$B:$B,MATCH($A144,'[AQ_2024.xlsx]原始数据'!$A:$A,0)),""))</f>
        <v/>
      </c>
      <c r="G144">
        <f>IF($A144="","",IFERROR(INDEX('[AQ_2020.xlsx]原始数据'!$C:$C,MATCH($A144,'[AQ_2020.xlsx]原始数据'!$A:$A,0)),""))</f>
        <v/>
      </c>
      <c r="H144">
        <f>IF($A144="","",IFERROR(INDEX('[AQ_2021.xlsx]原始数据'!$C:$C,MATCH($A144,'[AQ_2021.xlsx]原始数据'!$A:$A,0)),""))</f>
        <v/>
      </c>
      <c r="I144">
        <f>IF($A144="","",IFERROR(INDEX('[AQ_2022.xlsx]原始数据'!$C:$C,MATCH($A144,'[AQ_2022.xlsx]原始数据'!$A:$A,0)),""))</f>
        <v/>
      </c>
      <c r="J144">
        <f>IF($A144="","",IFERROR(INDEX('[AQ_2023.xlsx]原始数据'!$C:$C,MATCH($A144,'[AQ_2023.xlsx]原始数据'!$A:$A,0)),""))</f>
        <v/>
      </c>
      <c r="K144">
        <f>IF($A144="","",IFERROR(INDEX('[AQ_2024.xlsx]原始数据'!$C:$C,MATCH($A144,'[AQ_2024.xlsx]原始数据'!$A:$A,0)),""))</f>
        <v/>
      </c>
      <c r="L144">
        <f>IF($A144="","",IFERROR(INDEX('[AQ_2020.xlsx]原始数据'!$D:$D,MATCH($A144,'[AQ_2020.xlsx]原始数据'!$A:$A,0)),""))</f>
        <v/>
      </c>
      <c r="M144">
        <f>IF($A144="","",IFERROR(INDEX('[AQ_2021.xlsx]原始数据'!$D:$D,MATCH($A144,'[AQ_2021.xlsx]原始数据'!$A:$A,0)),""))</f>
        <v/>
      </c>
      <c r="N144">
        <f>IF($A144="","",IFERROR(INDEX('[AQ_2022.xlsx]原始数据'!$D:$D,MATCH($A144,'[AQ_2022.xlsx]原始数据'!$A:$A,0)),""))</f>
        <v/>
      </c>
      <c r="O144">
        <f>IF($A144="","",IFERROR(INDEX('[AQ_2023.xlsx]原始数据'!$D:$D,MATCH($A144,'[AQ_2023.xlsx]原始数据'!$A:$A,0)),""))</f>
        <v/>
      </c>
      <c r="P144">
        <f>IF($A144="","",IFERROR(INDEX('[AQ_2024.xlsx]原始数据'!$D:$D,MATCH($A144,'[AQ_2024.xlsx]原始数据'!$A:$A,0)),""))</f>
        <v/>
      </c>
      <c r="Q144">
        <f>IF($A144="","",IFERROR(INDEX('[AQ_2020.xlsx]原始数据'!$E:$E,MATCH($A144,'[AQ_2020.xlsx]原始数据'!$A:$A,0)),""))</f>
        <v/>
      </c>
      <c r="R144">
        <f>IF($A144="","",IFERROR(INDEX('[AQ_2021.xlsx]原始数据'!$E:$E,MATCH($A144,'[AQ_2021.xlsx]原始数据'!$A:$A,0)),""))</f>
        <v/>
      </c>
      <c r="S144">
        <f>IF($A144="","",IFERROR(INDEX('[AQ_2022.xlsx]原始数据'!$E:$E,MATCH($A144,'[AQ_2022.xlsx]原始数据'!$A:$A,0)),""))</f>
        <v/>
      </c>
      <c r="T144">
        <f>IF($A144="","",IFERROR(INDEX('[AQ_2023.xlsx]原始数据'!$E:$E,MATCH($A144,'[AQ_2023.xlsx]原始数据'!$A:$A,0)),""))</f>
        <v/>
      </c>
      <c r="U144">
        <f>IF($A144="","",IFERROR(INDEX('[AQ_2024.xlsx]原始数据'!$E:$E,MATCH($A144,'[AQ_2024.xlsx]原始数据'!$A:$A,0)),""))</f>
        <v/>
      </c>
      <c r="V144">
        <f>IF($A144="","",IFERROR(INDEX('[AQ_2020.xlsx]原始数据'!$F:$F,MATCH($A144,'[AQ_2020.xlsx]原始数据'!$A:$A,0)),""))</f>
        <v/>
      </c>
      <c r="W144">
        <f>IF($A144="","",IFERROR(INDEX('[AQ_2021.xlsx]原始数据'!$F:$F,MATCH($A144,'[AQ_2021.xlsx]原始数据'!$A:$A,0)),""))</f>
        <v/>
      </c>
      <c r="X144">
        <f>IF($A144="","",IFERROR(INDEX('[AQ_2022.xlsx]原始数据'!$F:$F,MATCH($A144,'[AQ_2022.xlsx]原始数据'!$A:$A,0)),""))</f>
        <v/>
      </c>
      <c r="Y144">
        <f>IF($A144="","",IFERROR(INDEX('[AQ_2023.xlsx]原始数据'!$F:$F,MATCH($A144,'[AQ_2023.xlsx]原始数据'!$A:$A,0)),""))</f>
        <v/>
      </c>
      <c r="Z144">
        <f>IF($A144="","",IFERROR(INDEX('[AQ_2024.xlsx]原始数据'!$F:$F,MATCH($A144,'[AQ_2024.xlsx]原始数据'!$A:$A,0)),""))</f>
        <v/>
      </c>
      <c r="AA144" s="2">
        <f>IFERROR(G144/B144,"")</f>
        <v/>
      </c>
      <c r="AB144" s="2">
        <f>IFERROR(H144/C144,"")</f>
        <v/>
      </c>
      <c r="AC144" s="2">
        <f>IFERROR(I144/D144,"")</f>
        <v/>
      </c>
      <c r="AD144" s="2">
        <f>IFERROR(J144/E144,"")</f>
        <v/>
      </c>
      <c r="AE144" s="2">
        <f>IFERROR(K144/F144,"")</f>
        <v/>
      </c>
      <c r="AF144" s="2">
        <f>IFERROR(L144/B144,"")</f>
        <v/>
      </c>
      <c r="AG144" s="2">
        <f>IFERROR(M144/C144,"")</f>
        <v/>
      </c>
      <c r="AH144" s="2">
        <f>IFERROR(N144/D144,"")</f>
        <v/>
      </c>
      <c r="AI144" s="2">
        <f>IFERROR(O144/E144,"")</f>
        <v/>
      </c>
      <c r="AJ144" s="2">
        <f>IFERROR(P144/F144,"")</f>
        <v/>
      </c>
      <c r="AK144" s="2">
        <f>IFERROR(Q144/B144,"")</f>
        <v/>
      </c>
      <c r="AL144" s="2">
        <f>IFERROR(R144/C144,"")</f>
        <v/>
      </c>
      <c r="AM144" s="2">
        <f>IFERROR(S144/D144,"")</f>
        <v/>
      </c>
      <c r="AN144" s="2">
        <f>IFERROR(T144/E144,"")</f>
        <v/>
      </c>
      <c r="AO144" s="2">
        <f>IFERROR(U144/F144,"")</f>
        <v/>
      </c>
    </row>
    <row r="145">
      <c r="B145">
        <f>IF($A145="","",IFERROR(INDEX('[AQ_2020.xlsx]原始数据'!$B:$B,MATCH($A145,'[AQ_2020.xlsx]原始数据'!$A:$A,0)),""))</f>
        <v/>
      </c>
      <c r="C145">
        <f>IF($A145="","",IFERROR(INDEX('[AQ_2021.xlsx]原始数据'!$B:$B,MATCH($A145,'[AQ_2021.xlsx]原始数据'!$A:$A,0)),""))</f>
        <v/>
      </c>
      <c r="D145">
        <f>IF($A145="","",IFERROR(INDEX('[AQ_2022.xlsx]原始数据'!$B:$B,MATCH($A145,'[AQ_2022.xlsx]原始数据'!$A:$A,0)),""))</f>
        <v/>
      </c>
      <c r="E145">
        <f>IF($A145="","",IFERROR(INDEX('[AQ_2023.xlsx]原始数据'!$B:$B,MATCH($A145,'[AQ_2023.xlsx]原始数据'!$A:$A,0)),""))</f>
        <v/>
      </c>
      <c r="F145">
        <f>IF($A145="","",IFERROR(INDEX('[AQ_2024.xlsx]原始数据'!$B:$B,MATCH($A145,'[AQ_2024.xlsx]原始数据'!$A:$A,0)),""))</f>
        <v/>
      </c>
      <c r="G145">
        <f>IF($A145="","",IFERROR(INDEX('[AQ_2020.xlsx]原始数据'!$C:$C,MATCH($A145,'[AQ_2020.xlsx]原始数据'!$A:$A,0)),""))</f>
        <v/>
      </c>
      <c r="H145">
        <f>IF($A145="","",IFERROR(INDEX('[AQ_2021.xlsx]原始数据'!$C:$C,MATCH($A145,'[AQ_2021.xlsx]原始数据'!$A:$A,0)),""))</f>
        <v/>
      </c>
      <c r="I145">
        <f>IF($A145="","",IFERROR(INDEX('[AQ_2022.xlsx]原始数据'!$C:$C,MATCH($A145,'[AQ_2022.xlsx]原始数据'!$A:$A,0)),""))</f>
        <v/>
      </c>
      <c r="J145">
        <f>IF($A145="","",IFERROR(INDEX('[AQ_2023.xlsx]原始数据'!$C:$C,MATCH($A145,'[AQ_2023.xlsx]原始数据'!$A:$A,0)),""))</f>
        <v/>
      </c>
      <c r="K145">
        <f>IF($A145="","",IFERROR(INDEX('[AQ_2024.xlsx]原始数据'!$C:$C,MATCH($A145,'[AQ_2024.xlsx]原始数据'!$A:$A,0)),""))</f>
        <v/>
      </c>
      <c r="L145">
        <f>IF($A145="","",IFERROR(INDEX('[AQ_2020.xlsx]原始数据'!$D:$D,MATCH($A145,'[AQ_2020.xlsx]原始数据'!$A:$A,0)),""))</f>
        <v/>
      </c>
      <c r="M145">
        <f>IF($A145="","",IFERROR(INDEX('[AQ_2021.xlsx]原始数据'!$D:$D,MATCH($A145,'[AQ_2021.xlsx]原始数据'!$A:$A,0)),""))</f>
        <v/>
      </c>
      <c r="N145">
        <f>IF($A145="","",IFERROR(INDEX('[AQ_2022.xlsx]原始数据'!$D:$D,MATCH($A145,'[AQ_2022.xlsx]原始数据'!$A:$A,0)),""))</f>
        <v/>
      </c>
      <c r="O145">
        <f>IF($A145="","",IFERROR(INDEX('[AQ_2023.xlsx]原始数据'!$D:$D,MATCH($A145,'[AQ_2023.xlsx]原始数据'!$A:$A,0)),""))</f>
        <v/>
      </c>
      <c r="P145">
        <f>IF($A145="","",IFERROR(INDEX('[AQ_2024.xlsx]原始数据'!$D:$D,MATCH($A145,'[AQ_2024.xlsx]原始数据'!$A:$A,0)),""))</f>
        <v/>
      </c>
      <c r="Q145">
        <f>IF($A145="","",IFERROR(INDEX('[AQ_2020.xlsx]原始数据'!$E:$E,MATCH($A145,'[AQ_2020.xlsx]原始数据'!$A:$A,0)),""))</f>
        <v/>
      </c>
      <c r="R145">
        <f>IF($A145="","",IFERROR(INDEX('[AQ_2021.xlsx]原始数据'!$E:$E,MATCH($A145,'[AQ_2021.xlsx]原始数据'!$A:$A,0)),""))</f>
        <v/>
      </c>
      <c r="S145">
        <f>IF($A145="","",IFERROR(INDEX('[AQ_2022.xlsx]原始数据'!$E:$E,MATCH($A145,'[AQ_2022.xlsx]原始数据'!$A:$A,0)),""))</f>
        <v/>
      </c>
      <c r="T145">
        <f>IF($A145="","",IFERROR(INDEX('[AQ_2023.xlsx]原始数据'!$E:$E,MATCH($A145,'[AQ_2023.xlsx]原始数据'!$A:$A,0)),""))</f>
        <v/>
      </c>
      <c r="U145">
        <f>IF($A145="","",IFERROR(INDEX('[AQ_2024.xlsx]原始数据'!$E:$E,MATCH($A145,'[AQ_2024.xlsx]原始数据'!$A:$A,0)),""))</f>
        <v/>
      </c>
      <c r="V145">
        <f>IF($A145="","",IFERROR(INDEX('[AQ_2020.xlsx]原始数据'!$F:$F,MATCH($A145,'[AQ_2020.xlsx]原始数据'!$A:$A,0)),""))</f>
        <v/>
      </c>
      <c r="W145">
        <f>IF($A145="","",IFERROR(INDEX('[AQ_2021.xlsx]原始数据'!$F:$F,MATCH($A145,'[AQ_2021.xlsx]原始数据'!$A:$A,0)),""))</f>
        <v/>
      </c>
      <c r="X145">
        <f>IF($A145="","",IFERROR(INDEX('[AQ_2022.xlsx]原始数据'!$F:$F,MATCH($A145,'[AQ_2022.xlsx]原始数据'!$A:$A,0)),""))</f>
        <v/>
      </c>
      <c r="Y145">
        <f>IF($A145="","",IFERROR(INDEX('[AQ_2023.xlsx]原始数据'!$F:$F,MATCH($A145,'[AQ_2023.xlsx]原始数据'!$A:$A,0)),""))</f>
        <v/>
      </c>
      <c r="Z145">
        <f>IF($A145="","",IFERROR(INDEX('[AQ_2024.xlsx]原始数据'!$F:$F,MATCH($A145,'[AQ_2024.xlsx]原始数据'!$A:$A,0)),""))</f>
        <v/>
      </c>
      <c r="AA145" s="2">
        <f>IFERROR(G145/B145,"")</f>
        <v/>
      </c>
      <c r="AB145" s="2">
        <f>IFERROR(H145/C145,"")</f>
        <v/>
      </c>
      <c r="AC145" s="2">
        <f>IFERROR(I145/D145,"")</f>
        <v/>
      </c>
      <c r="AD145" s="2">
        <f>IFERROR(J145/E145,"")</f>
        <v/>
      </c>
      <c r="AE145" s="2">
        <f>IFERROR(K145/F145,"")</f>
        <v/>
      </c>
      <c r="AF145" s="2">
        <f>IFERROR(L145/B145,"")</f>
        <v/>
      </c>
      <c r="AG145" s="2">
        <f>IFERROR(M145/C145,"")</f>
        <v/>
      </c>
      <c r="AH145" s="2">
        <f>IFERROR(N145/D145,"")</f>
        <v/>
      </c>
      <c r="AI145" s="2">
        <f>IFERROR(O145/E145,"")</f>
        <v/>
      </c>
      <c r="AJ145" s="2">
        <f>IFERROR(P145/F145,"")</f>
        <v/>
      </c>
      <c r="AK145" s="2">
        <f>IFERROR(Q145/B145,"")</f>
        <v/>
      </c>
      <c r="AL145" s="2">
        <f>IFERROR(R145/C145,"")</f>
        <v/>
      </c>
      <c r="AM145" s="2">
        <f>IFERROR(S145/D145,"")</f>
        <v/>
      </c>
      <c r="AN145" s="2">
        <f>IFERROR(T145/E145,"")</f>
        <v/>
      </c>
      <c r="AO145" s="2">
        <f>IFERROR(U145/F145,"")</f>
        <v/>
      </c>
    </row>
    <row r="146">
      <c r="B146">
        <f>IF($A146="","",IFERROR(INDEX('[AQ_2020.xlsx]原始数据'!$B:$B,MATCH($A146,'[AQ_2020.xlsx]原始数据'!$A:$A,0)),""))</f>
        <v/>
      </c>
      <c r="C146">
        <f>IF($A146="","",IFERROR(INDEX('[AQ_2021.xlsx]原始数据'!$B:$B,MATCH($A146,'[AQ_2021.xlsx]原始数据'!$A:$A,0)),""))</f>
        <v/>
      </c>
      <c r="D146">
        <f>IF($A146="","",IFERROR(INDEX('[AQ_2022.xlsx]原始数据'!$B:$B,MATCH($A146,'[AQ_2022.xlsx]原始数据'!$A:$A,0)),""))</f>
        <v/>
      </c>
      <c r="E146">
        <f>IF($A146="","",IFERROR(INDEX('[AQ_2023.xlsx]原始数据'!$B:$B,MATCH($A146,'[AQ_2023.xlsx]原始数据'!$A:$A,0)),""))</f>
        <v/>
      </c>
      <c r="F146">
        <f>IF($A146="","",IFERROR(INDEX('[AQ_2024.xlsx]原始数据'!$B:$B,MATCH($A146,'[AQ_2024.xlsx]原始数据'!$A:$A,0)),""))</f>
        <v/>
      </c>
      <c r="G146">
        <f>IF($A146="","",IFERROR(INDEX('[AQ_2020.xlsx]原始数据'!$C:$C,MATCH($A146,'[AQ_2020.xlsx]原始数据'!$A:$A,0)),""))</f>
        <v/>
      </c>
      <c r="H146">
        <f>IF($A146="","",IFERROR(INDEX('[AQ_2021.xlsx]原始数据'!$C:$C,MATCH($A146,'[AQ_2021.xlsx]原始数据'!$A:$A,0)),""))</f>
        <v/>
      </c>
      <c r="I146">
        <f>IF($A146="","",IFERROR(INDEX('[AQ_2022.xlsx]原始数据'!$C:$C,MATCH($A146,'[AQ_2022.xlsx]原始数据'!$A:$A,0)),""))</f>
        <v/>
      </c>
      <c r="J146">
        <f>IF($A146="","",IFERROR(INDEX('[AQ_2023.xlsx]原始数据'!$C:$C,MATCH($A146,'[AQ_2023.xlsx]原始数据'!$A:$A,0)),""))</f>
        <v/>
      </c>
      <c r="K146">
        <f>IF($A146="","",IFERROR(INDEX('[AQ_2024.xlsx]原始数据'!$C:$C,MATCH($A146,'[AQ_2024.xlsx]原始数据'!$A:$A,0)),""))</f>
        <v/>
      </c>
      <c r="L146">
        <f>IF($A146="","",IFERROR(INDEX('[AQ_2020.xlsx]原始数据'!$D:$D,MATCH($A146,'[AQ_2020.xlsx]原始数据'!$A:$A,0)),""))</f>
        <v/>
      </c>
      <c r="M146">
        <f>IF($A146="","",IFERROR(INDEX('[AQ_2021.xlsx]原始数据'!$D:$D,MATCH($A146,'[AQ_2021.xlsx]原始数据'!$A:$A,0)),""))</f>
        <v/>
      </c>
      <c r="N146">
        <f>IF($A146="","",IFERROR(INDEX('[AQ_2022.xlsx]原始数据'!$D:$D,MATCH($A146,'[AQ_2022.xlsx]原始数据'!$A:$A,0)),""))</f>
        <v/>
      </c>
      <c r="O146">
        <f>IF($A146="","",IFERROR(INDEX('[AQ_2023.xlsx]原始数据'!$D:$D,MATCH($A146,'[AQ_2023.xlsx]原始数据'!$A:$A,0)),""))</f>
        <v/>
      </c>
      <c r="P146">
        <f>IF($A146="","",IFERROR(INDEX('[AQ_2024.xlsx]原始数据'!$D:$D,MATCH($A146,'[AQ_2024.xlsx]原始数据'!$A:$A,0)),""))</f>
        <v/>
      </c>
      <c r="Q146">
        <f>IF($A146="","",IFERROR(INDEX('[AQ_2020.xlsx]原始数据'!$E:$E,MATCH($A146,'[AQ_2020.xlsx]原始数据'!$A:$A,0)),""))</f>
        <v/>
      </c>
      <c r="R146">
        <f>IF($A146="","",IFERROR(INDEX('[AQ_2021.xlsx]原始数据'!$E:$E,MATCH($A146,'[AQ_2021.xlsx]原始数据'!$A:$A,0)),""))</f>
        <v/>
      </c>
      <c r="S146">
        <f>IF($A146="","",IFERROR(INDEX('[AQ_2022.xlsx]原始数据'!$E:$E,MATCH($A146,'[AQ_2022.xlsx]原始数据'!$A:$A,0)),""))</f>
        <v/>
      </c>
      <c r="T146">
        <f>IF($A146="","",IFERROR(INDEX('[AQ_2023.xlsx]原始数据'!$E:$E,MATCH($A146,'[AQ_2023.xlsx]原始数据'!$A:$A,0)),""))</f>
        <v/>
      </c>
      <c r="U146">
        <f>IF($A146="","",IFERROR(INDEX('[AQ_2024.xlsx]原始数据'!$E:$E,MATCH($A146,'[AQ_2024.xlsx]原始数据'!$A:$A,0)),""))</f>
        <v/>
      </c>
      <c r="V146">
        <f>IF($A146="","",IFERROR(INDEX('[AQ_2020.xlsx]原始数据'!$F:$F,MATCH($A146,'[AQ_2020.xlsx]原始数据'!$A:$A,0)),""))</f>
        <v/>
      </c>
      <c r="W146">
        <f>IF($A146="","",IFERROR(INDEX('[AQ_2021.xlsx]原始数据'!$F:$F,MATCH($A146,'[AQ_2021.xlsx]原始数据'!$A:$A,0)),""))</f>
        <v/>
      </c>
      <c r="X146">
        <f>IF($A146="","",IFERROR(INDEX('[AQ_2022.xlsx]原始数据'!$F:$F,MATCH($A146,'[AQ_2022.xlsx]原始数据'!$A:$A,0)),""))</f>
        <v/>
      </c>
      <c r="Y146">
        <f>IF($A146="","",IFERROR(INDEX('[AQ_2023.xlsx]原始数据'!$F:$F,MATCH($A146,'[AQ_2023.xlsx]原始数据'!$A:$A,0)),""))</f>
        <v/>
      </c>
      <c r="Z146">
        <f>IF($A146="","",IFERROR(INDEX('[AQ_2024.xlsx]原始数据'!$F:$F,MATCH($A146,'[AQ_2024.xlsx]原始数据'!$A:$A,0)),""))</f>
        <v/>
      </c>
      <c r="AA146" s="2">
        <f>IFERROR(G146/B146,"")</f>
        <v/>
      </c>
      <c r="AB146" s="2">
        <f>IFERROR(H146/C146,"")</f>
        <v/>
      </c>
      <c r="AC146" s="2">
        <f>IFERROR(I146/D146,"")</f>
        <v/>
      </c>
      <c r="AD146" s="2">
        <f>IFERROR(J146/E146,"")</f>
        <v/>
      </c>
      <c r="AE146" s="2">
        <f>IFERROR(K146/F146,"")</f>
        <v/>
      </c>
      <c r="AF146" s="2">
        <f>IFERROR(L146/B146,"")</f>
        <v/>
      </c>
      <c r="AG146" s="2">
        <f>IFERROR(M146/C146,"")</f>
        <v/>
      </c>
      <c r="AH146" s="2">
        <f>IFERROR(N146/D146,"")</f>
        <v/>
      </c>
      <c r="AI146" s="2">
        <f>IFERROR(O146/E146,"")</f>
        <v/>
      </c>
      <c r="AJ146" s="2">
        <f>IFERROR(P146/F146,"")</f>
        <v/>
      </c>
      <c r="AK146" s="2">
        <f>IFERROR(Q146/B146,"")</f>
        <v/>
      </c>
      <c r="AL146" s="2">
        <f>IFERROR(R146/C146,"")</f>
        <v/>
      </c>
      <c r="AM146" s="2">
        <f>IFERROR(S146/D146,"")</f>
        <v/>
      </c>
      <c r="AN146" s="2">
        <f>IFERROR(T146/E146,"")</f>
        <v/>
      </c>
      <c r="AO146" s="2">
        <f>IFERROR(U146/F146,"")</f>
        <v/>
      </c>
    </row>
    <row r="147">
      <c r="B147">
        <f>IF($A147="","",IFERROR(INDEX('[AQ_2020.xlsx]原始数据'!$B:$B,MATCH($A147,'[AQ_2020.xlsx]原始数据'!$A:$A,0)),""))</f>
        <v/>
      </c>
      <c r="C147">
        <f>IF($A147="","",IFERROR(INDEX('[AQ_2021.xlsx]原始数据'!$B:$B,MATCH($A147,'[AQ_2021.xlsx]原始数据'!$A:$A,0)),""))</f>
        <v/>
      </c>
      <c r="D147">
        <f>IF($A147="","",IFERROR(INDEX('[AQ_2022.xlsx]原始数据'!$B:$B,MATCH($A147,'[AQ_2022.xlsx]原始数据'!$A:$A,0)),""))</f>
        <v/>
      </c>
      <c r="E147">
        <f>IF($A147="","",IFERROR(INDEX('[AQ_2023.xlsx]原始数据'!$B:$B,MATCH($A147,'[AQ_2023.xlsx]原始数据'!$A:$A,0)),""))</f>
        <v/>
      </c>
      <c r="F147">
        <f>IF($A147="","",IFERROR(INDEX('[AQ_2024.xlsx]原始数据'!$B:$B,MATCH($A147,'[AQ_2024.xlsx]原始数据'!$A:$A,0)),""))</f>
        <v/>
      </c>
      <c r="G147">
        <f>IF($A147="","",IFERROR(INDEX('[AQ_2020.xlsx]原始数据'!$C:$C,MATCH($A147,'[AQ_2020.xlsx]原始数据'!$A:$A,0)),""))</f>
        <v/>
      </c>
      <c r="H147">
        <f>IF($A147="","",IFERROR(INDEX('[AQ_2021.xlsx]原始数据'!$C:$C,MATCH($A147,'[AQ_2021.xlsx]原始数据'!$A:$A,0)),""))</f>
        <v/>
      </c>
      <c r="I147">
        <f>IF($A147="","",IFERROR(INDEX('[AQ_2022.xlsx]原始数据'!$C:$C,MATCH($A147,'[AQ_2022.xlsx]原始数据'!$A:$A,0)),""))</f>
        <v/>
      </c>
      <c r="J147">
        <f>IF($A147="","",IFERROR(INDEX('[AQ_2023.xlsx]原始数据'!$C:$C,MATCH($A147,'[AQ_2023.xlsx]原始数据'!$A:$A,0)),""))</f>
        <v/>
      </c>
      <c r="K147">
        <f>IF($A147="","",IFERROR(INDEX('[AQ_2024.xlsx]原始数据'!$C:$C,MATCH($A147,'[AQ_2024.xlsx]原始数据'!$A:$A,0)),""))</f>
        <v/>
      </c>
      <c r="L147">
        <f>IF($A147="","",IFERROR(INDEX('[AQ_2020.xlsx]原始数据'!$D:$D,MATCH($A147,'[AQ_2020.xlsx]原始数据'!$A:$A,0)),""))</f>
        <v/>
      </c>
      <c r="M147">
        <f>IF($A147="","",IFERROR(INDEX('[AQ_2021.xlsx]原始数据'!$D:$D,MATCH($A147,'[AQ_2021.xlsx]原始数据'!$A:$A,0)),""))</f>
        <v/>
      </c>
      <c r="N147">
        <f>IF($A147="","",IFERROR(INDEX('[AQ_2022.xlsx]原始数据'!$D:$D,MATCH($A147,'[AQ_2022.xlsx]原始数据'!$A:$A,0)),""))</f>
        <v/>
      </c>
      <c r="O147">
        <f>IF($A147="","",IFERROR(INDEX('[AQ_2023.xlsx]原始数据'!$D:$D,MATCH($A147,'[AQ_2023.xlsx]原始数据'!$A:$A,0)),""))</f>
        <v/>
      </c>
      <c r="P147">
        <f>IF($A147="","",IFERROR(INDEX('[AQ_2024.xlsx]原始数据'!$D:$D,MATCH($A147,'[AQ_2024.xlsx]原始数据'!$A:$A,0)),""))</f>
        <v/>
      </c>
      <c r="Q147">
        <f>IF($A147="","",IFERROR(INDEX('[AQ_2020.xlsx]原始数据'!$E:$E,MATCH($A147,'[AQ_2020.xlsx]原始数据'!$A:$A,0)),""))</f>
        <v/>
      </c>
      <c r="R147">
        <f>IF($A147="","",IFERROR(INDEX('[AQ_2021.xlsx]原始数据'!$E:$E,MATCH($A147,'[AQ_2021.xlsx]原始数据'!$A:$A,0)),""))</f>
        <v/>
      </c>
      <c r="S147">
        <f>IF($A147="","",IFERROR(INDEX('[AQ_2022.xlsx]原始数据'!$E:$E,MATCH($A147,'[AQ_2022.xlsx]原始数据'!$A:$A,0)),""))</f>
        <v/>
      </c>
      <c r="T147">
        <f>IF($A147="","",IFERROR(INDEX('[AQ_2023.xlsx]原始数据'!$E:$E,MATCH($A147,'[AQ_2023.xlsx]原始数据'!$A:$A,0)),""))</f>
        <v/>
      </c>
      <c r="U147">
        <f>IF($A147="","",IFERROR(INDEX('[AQ_2024.xlsx]原始数据'!$E:$E,MATCH($A147,'[AQ_2024.xlsx]原始数据'!$A:$A,0)),""))</f>
        <v/>
      </c>
      <c r="V147">
        <f>IF($A147="","",IFERROR(INDEX('[AQ_2020.xlsx]原始数据'!$F:$F,MATCH($A147,'[AQ_2020.xlsx]原始数据'!$A:$A,0)),""))</f>
        <v/>
      </c>
      <c r="W147">
        <f>IF($A147="","",IFERROR(INDEX('[AQ_2021.xlsx]原始数据'!$F:$F,MATCH($A147,'[AQ_2021.xlsx]原始数据'!$A:$A,0)),""))</f>
        <v/>
      </c>
      <c r="X147">
        <f>IF($A147="","",IFERROR(INDEX('[AQ_2022.xlsx]原始数据'!$F:$F,MATCH($A147,'[AQ_2022.xlsx]原始数据'!$A:$A,0)),""))</f>
        <v/>
      </c>
      <c r="Y147">
        <f>IF($A147="","",IFERROR(INDEX('[AQ_2023.xlsx]原始数据'!$F:$F,MATCH($A147,'[AQ_2023.xlsx]原始数据'!$A:$A,0)),""))</f>
        <v/>
      </c>
      <c r="Z147">
        <f>IF($A147="","",IFERROR(INDEX('[AQ_2024.xlsx]原始数据'!$F:$F,MATCH($A147,'[AQ_2024.xlsx]原始数据'!$A:$A,0)),""))</f>
        <v/>
      </c>
      <c r="AA147" s="2">
        <f>IFERROR(G147/B147,"")</f>
        <v/>
      </c>
      <c r="AB147" s="2">
        <f>IFERROR(H147/C147,"")</f>
        <v/>
      </c>
      <c r="AC147" s="2">
        <f>IFERROR(I147/D147,"")</f>
        <v/>
      </c>
      <c r="AD147" s="2">
        <f>IFERROR(J147/E147,"")</f>
        <v/>
      </c>
      <c r="AE147" s="2">
        <f>IFERROR(K147/F147,"")</f>
        <v/>
      </c>
      <c r="AF147" s="2">
        <f>IFERROR(L147/B147,"")</f>
        <v/>
      </c>
      <c r="AG147" s="2">
        <f>IFERROR(M147/C147,"")</f>
        <v/>
      </c>
      <c r="AH147" s="2">
        <f>IFERROR(N147/D147,"")</f>
        <v/>
      </c>
      <c r="AI147" s="2">
        <f>IFERROR(O147/E147,"")</f>
        <v/>
      </c>
      <c r="AJ147" s="2">
        <f>IFERROR(P147/F147,"")</f>
        <v/>
      </c>
      <c r="AK147" s="2">
        <f>IFERROR(Q147/B147,"")</f>
        <v/>
      </c>
      <c r="AL147" s="2">
        <f>IFERROR(R147/C147,"")</f>
        <v/>
      </c>
      <c r="AM147" s="2">
        <f>IFERROR(S147/D147,"")</f>
        <v/>
      </c>
      <c r="AN147" s="2">
        <f>IFERROR(T147/E147,"")</f>
        <v/>
      </c>
      <c r="AO147" s="2">
        <f>IFERROR(U147/F147,"")</f>
        <v/>
      </c>
    </row>
    <row r="148">
      <c r="B148">
        <f>IF($A148="","",IFERROR(INDEX('[AQ_2020.xlsx]原始数据'!$B:$B,MATCH($A148,'[AQ_2020.xlsx]原始数据'!$A:$A,0)),""))</f>
        <v/>
      </c>
      <c r="C148">
        <f>IF($A148="","",IFERROR(INDEX('[AQ_2021.xlsx]原始数据'!$B:$B,MATCH($A148,'[AQ_2021.xlsx]原始数据'!$A:$A,0)),""))</f>
        <v/>
      </c>
      <c r="D148">
        <f>IF($A148="","",IFERROR(INDEX('[AQ_2022.xlsx]原始数据'!$B:$B,MATCH($A148,'[AQ_2022.xlsx]原始数据'!$A:$A,0)),""))</f>
        <v/>
      </c>
      <c r="E148">
        <f>IF($A148="","",IFERROR(INDEX('[AQ_2023.xlsx]原始数据'!$B:$B,MATCH($A148,'[AQ_2023.xlsx]原始数据'!$A:$A,0)),""))</f>
        <v/>
      </c>
      <c r="F148">
        <f>IF($A148="","",IFERROR(INDEX('[AQ_2024.xlsx]原始数据'!$B:$B,MATCH($A148,'[AQ_2024.xlsx]原始数据'!$A:$A,0)),""))</f>
        <v/>
      </c>
      <c r="G148">
        <f>IF($A148="","",IFERROR(INDEX('[AQ_2020.xlsx]原始数据'!$C:$C,MATCH($A148,'[AQ_2020.xlsx]原始数据'!$A:$A,0)),""))</f>
        <v/>
      </c>
      <c r="H148">
        <f>IF($A148="","",IFERROR(INDEX('[AQ_2021.xlsx]原始数据'!$C:$C,MATCH($A148,'[AQ_2021.xlsx]原始数据'!$A:$A,0)),""))</f>
        <v/>
      </c>
      <c r="I148">
        <f>IF($A148="","",IFERROR(INDEX('[AQ_2022.xlsx]原始数据'!$C:$C,MATCH($A148,'[AQ_2022.xlsx]原始数据'!$A:$A,0)),""))</f>
        <v/>
      </c>
      <c r="J148">
        <f>IF($A148="","",IFERROR(INDEX('[AQ_2023.xlsx]原始数据'!$C:$C,MATCH($A148,'[AQ_2023.xlsx]原始数据'!$A:$A,0)),""))</f>
        <v/>
      </c>
      <c r="K148">
        <f>IF($A148="","",IFERROR(INDEX('[AQ_2024.xlsx]原始数据'!$C:$C,MATCH($A148,'[AQ_2024.xlsx]原始数据'!$A:$A,0)),""))</f>
        <v/>
      </c>
      <c r="L148">
        <f>IF($A148="","",IFERROR(INDEX('[AQ_2020.xlsx]原始数据'!$D:$D,MATCH($A148,'[AQ_2020.xlsx]原始数据'!$A:$A,0)),""))</f>
        <v/>
      </c>
      <c r="M148">
        <f>IF($A148="","",IFERROR(INDEX('[AQ_2021.xlsx]原始数据'!$D:$D,MATCH($A148,'[AQ_2021.xlsx]原始数据'!$A:$A,0)),""))</f>
        <v/>
      </c>
      <c r="N148">
        <f>IF($A148="","",IFERROR(INDEX('[AQ_2022.xlsx]原始数据'!$D:$D,MATCH($A148,'[AQ_2022.xlsx]原始数据'!$A:$A,0)),""))</f>
        <v/>
      </c>
      <c r="O148">
        <f>IF($A148="","",IFERROR(INDEX('[AQ_2023.xlsx]原始数据'!$D:$D,MATCH($A148,'[AQ_2023.xlsx]原始数据'!$A:$A,0)),""))</f>
        <v/>
      </c>
      <c r="P148">
        <f>IF($A148="","",IFERROR(INDEX('[AQ_2024.xlsx]原始数据'!$D:$D,MATCH($A148,'[AQ_2024.xlsx]原始数据'!$A:$A,0)),""))</f>
        <v/>
      </c>
      <c r="Q148">
        <f>IF($A148="","",IFERROR(INDEX('[AQ_2020.xlsx]原始数据'!$E:$E,MATCH($A148,'[AQ_2020.xlsx]原始数据'!$A:$A,0)),""))</f>
        <v/>
      </c>
      <c r="R148">
        <f>IF($A148="","",IFERROR(INDEX('[AQ_2021.xlsx]原始数据'!$E:$E,MATCH($A148,'[AQ_2021.xlsx]原始数据'!$A:$A,0)),""))</f>
        <v/>
      </c>
      <c r="S148">
        <f>IF($A148="","",IFERROR(INDEX('[AQ_2022.xlsx]原始数据'!$E:$E,MATCH($A148,'[AQ_2022.xlsx]原始数据'!$A:$A,0)),""))</f>
        <v/>
      </c>
      <c r="T148">
        <f>IF($A148="","",IFERROR(INDEX('[AQ_2023.xlsx]原始数据'!$E:$E,MATCH($A148,'[AQ_2023.xlsx]原始数据'!$A:$A,0)),""))</f>
        <v/>
      </c>
      <c r="U148">
        <f>IF($A148="","",IFERROR(INDEX('[AQ_2024.xlsx]原始数据'!$E:$E,MATCH($A148,'[AQ_2024.xlsx]原始数据'!$A:$A,0)),""))</f>
        <v/>
      </c>
      <c r="V148">
        <f>IF($A148="","",IFERROR(INDEX('[AQ_2020.xlsx]原始数据'!$F:$F,MATCH($A148,'[AQ_2020.xlsx]原始数据'!$A:$A,0)),""))</f>
        <v/>
      </c>
      <c r="W148">
        <f>IF($A148="","",IFERROR(INDEX('[AQ_2021.xlsx]原始数据'!$F:$F,MATCH($A148,'[AQ_2021.xlsx]原始数据'!$A:$A,0)),""))</f>
        <v/>
      </c>
      <c r="X148">
        <f>IF($A148="","",IFERROR(INDEX('[AQ_2022.xlsx]原始数据'!$F:$F,MATCH($A148,'[AQ_2022.xlsx]原始数据'!$A:$A,0)),""))</f>
        <v/>
      </c>
      <c r="Y148">
        <f>IF($A148="","",IFERROR(INDEX('[AQ_2023.xlsx]原始数据'!$F:$F,MATCH($A148,'[AQ_2023.xlsx]原始数据'!$A:$A,0)),""))</f>
        <v/>
      </c>
      <c r="Z148">
        <f>IF($A148="","",IFERROR(INDEX('[AQ_2024.xlsx]原始数据'!$F:$F,MATCH($A148,'[AQ_2024.xlsx]原始数据'!$A:$A,0)),""))</f>
        <v/>
      </c>
      <c r="AA148" s="2">
        <f>IFERROR(G148/B148,"")</f>
        <v/>
      </c>
      <c r="AB148" s="2">
        <f>IFERROR(H148/C148,"")</f>
        <v/>
      </c>
      <c r="AC148" s="2">
        <f>IFERROR(I148/D148,"")</f>
        <v/>
      </c>
      <c r="AD148" s="2">
        <f>IFERROR(J148/E148,"")</f>
        <v/>
      </c>
      <c r="AE148" s="2">
        <f>IFERROR(K148/F148,"")</f>
        <v/>
      </c>
      <c r="AF148" s="2">
        <f>IFERROR(L148/B148,"")</f>
        <v/>
      </c>
      <c r="AG148" s="2">
        <f>IFERROR(M148/C148,"")</f>
        <v/>
      </c>
      <c r="AH148" s="2">
        <f>IFERROR(N148/D148,"")</f>
        <v/>
      </c>
      <c r="AI148" s="2">
        <f>IFERROR(O148/E148,"")</f>
        <v/>
      </c>
      <c r="AJ148" s="2">
        <f>IFERROR(P148/F148,"")</f>
        <v/>
      </c>
      <c r="AK148" s="2">
        <f>IFERROR(Q148/B148,"")</f>
        <v/>
      </c>
      <c r="AL148" s="2">
        <f>IFERROR(R148/C148,"")</f>
        <v/>
      </c>
      <c r="AM148" s="2">
        <f>IFERROR(S148/D148,"")</f>
        <v/>
      </c>
      <c r="AN148" s="2">
        <f>IFERROR(T148/E148,"")</f>
        <v/>
      </c>
      <c r="AO148" s="2">
        <f>IFERROR(U148/F148,"")</f>
        <v/>
      </c>
    </row>
    <row r="149">
      <c r="B149">
        <f>IF($A149="","",IFERROR(INDEX('[AQ_2020.xlsx]原始数据'!$B:$B,MATCH($A149,'[AQ_2020.xlsx]原始数据'!$A:$A,0)),""))</f>
        <v/>
      </c>
      <c r="C149">
        <f>IF($A149="","",IFERROR(INDEX('[AQ_2021.xlsx]原始数据'!$B:$B,MATCH($A149,'[AQ_2021.xlsx]原始数据'!$A:$A,0)),""))</f>
        <v/>
      </c>
      <c r="D149">
        <f>IF($A149="","",IFERROR(INDEX('[AQ_2022.xlsx]原始数据'!$B:$B,MATCH($A149,'[AQ_2022.xlsx]原始数据'!$A:$A,0)),""))</f>
        <v/>
      </c>
      <c r="E149">
        <f>IF($A149="","",IFERROR(INDEX('[AQ_2023.xlsx]原始数据'!$B:$B,MATCH($A149,'[AQ_2023.xlsx]原始数据'!$A:$A,0)),""))</f>
        <v/>
      </c>
      <c r="F149">
        <f>IF($A149="","",IFERROR(INDEX('[AQ_2024.xlsx]原始数据'!$B:$B,MATCH($A149,'[AQ_2024.xlsx]原始数据'!$A:$A,0)),""))</f>
        <v/>
      </c>
      <c r="G149">
        <f>IF($A149="","",IFERROR(INDEX('[AQ_2020.xlsx]原始数据'!$C:$C,MATCH($A149,'[AQ_2020.xlsx]原始数据'!$A:$A,0)),""))</f>
        <v/>
      </c>
      <c r="H149">
        <f>IF($A149="","",IFERROR(INDEX('[AQ_2021.xlsx]原始数据'!$C:$C,MATCH($A149,'[AQ_2021.xlsx]原始数据'!$A:$A,0)),""))</f>
        <v/>
      </c>
      <c r="I149">
        <f>IF($A149="","",IFERROR(INDEX('[AQ_2022.xlsx]原始数据'!$C:$C,MATCH($A149,'[AQ_2022.xlsx]原始数据'!$A:$A,0)),""))</f>
        <v/>
      </c>
      <c r="J149">
        <f>IF($A149="","",IFERROR(INDEX('[AQ_2023.xlsx]原始数据'!$C:$C,MATCH($A149,'[AQ_2023.xlsx]原始数据'!$A:$A,0)),""))</f>
        <v/>
      </c>
      <c r="K149">
        <f>IF($A149="","",IFERROR(INDEX('[AQ_2024.xlsx]原始数据'!$C:$C,MATCH($A149,'[AQ_2024.xlsx]原始数据'!$A:$A,0)),""))</f>
        <v/>
      </c>
      <c r="L149">
        <f>IF($A149="","",IFERROR(INDEX('[AQ_2020.xlsx]原始数据'!$D:$D,MATCH($A149,'[AQ_2020.xlsx]原始数据'!$A:$A,0)),""))</f>
        <v/>
      </c>
      <c r="M149">
        <f>IF($A149="","",IFERROR(INDEX('[AQ_2021.xlsx]原始数据'!$D:$D,MATCH($A149,'[AQ_2021.xlsx]原始数据'!$A:$A,0)),""))</f>
        <v/>
      </c>
      <c r="N149">
        <f>IF($A149="","",IFERROR(INDEX('[AQ_2022.xlsx]原始数据'!$D:$D,MATCH($A149,'[AQ_2022.xlsx]原始数据'!$A:$A,0)),""))</f>
        <v/>
      </c>
      <c r="O149">
        <f>IF($A149="","",IFERROR(INDEX('[AQ_2023.xlsx]原始数据'!$D:$D,MATCH($A149,'[AQ_2023.xlsx]原始数据'!$A:$A,0)),""))</f>
        <v/>
      </c>
      <c r="P149">
        <f>IF($A149="","",IFERROR(INDEX('[AQ_2024.xlsx]原始数据'!$D:$D,MATCH($A149,'[AQ_2024.xlsx]原始数据'!$A:$A,0)),""))</f>
        <v/>
      </c>
      <c r="Q149">
        <f>IF($A149="","",IFERROR(INDEX('[AQ_2020.xlsx]原始数据'!$E:$E,MATCH($A149,'[AQ_2020.xlsx]原始数据'!$A:$A,0)),""))</f>
        <v/>
      </c>
      <c r="R149">
        <f>IF($A149="","",IFERROR(INDEX('[AQ_2021.xlsx]原始数据'!$E:$E,MATCH($A149,'[AQ_2021.xlsx]原始数据'!$A:$A,0)),""))</f>
        <v/>
      </c>
      <c r="S149">
        <f>IF($A149="","",IFERROR(INDEX('[AQ_2022.xlsx]原始数据'!$E:$E,MATCH($A149,'[AQ_2022.xlsx]原始数据'!$A:$A,0)),""))</f>
        <v/>
      </c>
      <c r="T149">
        <f>IF($A149="","",IFERROR(INDEX('[AQ_2023.xlsx]原始数据'!$E:$E,MATCH($A149,'[AQ_2023.xlsx]原始数据'!$A:$A,0)),""))</f>
        <v/>
      </c>
      <c r="U149">
        <f>IF($A149="","",IFERROR(INDEX('[AQ_2024.xlsx]原始数据'!$E:$E,MATCH($A149,'[AQ_2024.xlsx]原始数据'!$A:$A,0)),""))</f>
        <v/>
      </c>
      <c r="V149">
        <f>IF($A149="","",IFERROR(INDEX('[AQ_2020.xlsx]原始数据'!$F:$F,MATCH($A149,'[AQ_2020.xlsx]原始数据'!$A:$A,0)),""))</f>
        <v/>
      </c>
      <c r="W149">
        <f>IF($A149="","",IFERROR(INDEX('[AQ_2021.xlsx]原始数据'!$F:$F,MATCH($A149,'[AQ_2021.xlsx]原始数据'!$A:$A,0)),""))</f>
        <v/>
      </c>
      <c r="X149">
        <f>IF($A149="","",IFERROR(INDEX('[AQ_2022.xlsx]原始数据'!$F:$F,MATCH($A149,'[AQ_2022.xlsx]原始数据'!$A:$A,0)),""))</f>
        <v/>
      </c>
      <c r="Y149">
        <f>IF($A149="","",IFERROR(INDEX('[AQ_2023.xlsx]原始数据'!$F:$F,MATCH($A149,'[AQ_2023.xlsx]原始数据'!$A:$A,0)),""))</f>
        <v/>
      </c>
      <c r="Z149">
        <f>IF($A149="","",IFERROR(INDEX('[AQ_2024.xlsx]原始数据'!$F:$F,MATCH($A149,'[AQ_2024.xlsx]原始数据'!$A:$A,0)),""))</f>
        <v/>
      </c>
      <c r="AA149" s="2">
        <f>IFERROR(G149/B149,"")</f>
        <v/>
      </c>
      <c r="AB149" s="2">
        <f>IFERROR(H149/C149,"")</f>
        <v/>
      </c>
      <c r="AC149" s="2">
        <f>IFERROR(I149/D149,"")</f>
        <v/>
      </c>
      <c r="AD149" s="2">
        <f>IFERROR(J149/E149,"")</f>
        <v/>
      </c>
      <c r="AE149" s="2">
        <f>IFERROR(K149/F149,"")</f>
        <v/>
      </c>
      <c r="AF149" s="2">
        <f>IFERROR(L149/B149,"")</f>
        <v/>
      </c>
      <c r="AG149" s="2">
        <f>IFERROR(M149/C149,"")</f>
        <v/>
      </c>
      <c r="AH149" s="2">
        <f>IFERROR(N149/D149,"")</f>
        <v/>
      </c>
      <c r="AI149" s="2">
        <f>IFERROR(O149/E149,"")</f>
        <v/>
      </c>
      <c r="AJ149" s="2">
        <f>IFERROR(P149/F149,"")</f>
        <v/>
      </c>
      <c r="AK149" s="2">
        <f>IFERROR(Q149/B149,"")</f>
        <v/>
      </c>
      <c r="AL149" s="2">
        <f>IFERROR(R149/C149,"")</f>
        <v/>
      </c>
      <c r="AM149" s="2">
        <f>IFERROR(S149/D149,"")</f>
        <v/>
      </c>
      <c r="AN149" s="2">
        <f>IFERROR(T149/E149,"")</f>
        <v/>
      </c>
      <c r="AO149" s="2">
        <f>IFERROR(U149/F149,"")</f>
        <v/>
      </c>
    </row>
    <row r="150">
      <c r="B150">
        <f>IF($A150="","",IFERROR(INDEX('[AQ_2020.xlsx]原始数据'!$B:$B,MATCH($A150,'[AQ_2020.xlsx]原始数据'!$A:$A,0)),""))</f>
        <v/>
      </c>
      <c r="C150">
        <f>IF($A150="","",IFERROR(INDEX('[AQ_2021.xlsx]原始数据'!$B:$B,MATCH($A150,'[AQ_2021.xlsx]原始数据'!$A:$A,0)),""))</f>
        <v/>
      </c>
      <c r="D150">
        <f>IF($A150="","",IFERROR(INDEX('[AQ_2022.xlsx]原始数据'!$B:$B,MATCH($A150,'[AQ_2022.xlsx]原始数据'!$A:$A,0)),""))</f>
        <v/>
      </c>
      <c r="E150">
        <f>IF($A150="","",IFERROR(INDEX('[AQ_2023.xlsx]原始数据'!$B:$B,MATCH($A150,'[AQ_2023.xlsx]原始数据'!$A:$A,0)),""))</f>
        <v/>
      </c>
      <c r="F150">
        <f>IF($A150="","",IFERROR(INDEX('[AQ_2024.xlsx]原始数据'!$B:$B,MATCH($A150,'[AQ_2024.xlsx]原始数据'!$A:$A,0)),""))</f>
        <v/>
      </c>
      <c r="G150">
        <f>IF($A150="","",IFERROR(INDEX('[AQ_2020.xlsx]原始数据'!$C:$C,MATCH($A150,'[AQ_2020.xlsx]原始数据'!$A:$A,0)),""))</f>
        <v/>
      </c>
      <c r="H150">
        <f>IF($A150="","",IFERROR(INDEX('[AQ_2021.xlsx]原始数据'!$C:$C,MATCH($A150,'[AQ_2021.xlsx]原始数据'!$A:$A,0)),""))</f>
        <v/>
      </c>
      <c r="I150">
        <f>IF($A150="","",IFERROR(INDEX('[AQ_2022.xlsx]原始数据'!$C:$C,MATCH($A150,'[AQ_2022.xlsx]原始数据'!$A:$A,0)),""))</f>
        <v/>
      </c>
      <c r="J150">
        <f>IF($A150="","",IFERROR(INDEX('[AQ_2023.xlsx]原始数据'!$C:$C,MATCH($A150,'[AQ_2023.xlsx]原始数据'!$A:$A,0)),""))</f>
        <v/>
      </c>
      <c r="K150">
        <f>IF($A150="","",IFERROR(INDEX('[AQ_2024.xlsx]原始数据'!$C:$C,MATCH($A150,'[AQ_2024.xlsx]原始数据'!$A:$A,0)),""))</f>
        <v/>
      </c>
      <c r="L150">
        <f>IF($A150="","",IFERROR(INDEX('[AQ_2020.xlsx]原始数据'!$D:$D,MATCH($A150,'[AQ_2020.xlsx]原始数据'!$A:$A,0)),""))</f>
        <v/>
      </c>
      <c r="M150">
        <f>IF($A150="","",IFERROR(INDEX('[AQ_2021.xlsx]原始数据'!$D:$D,MATCH($A150,'[AQ_2021.xlsx]原始数据'!$A:$A,0)),""))</f>
        <v/>
      </c>
      <c r="N150">
        <f>IF($A150="","",IFERROR(INDEX('[AQ_2022.xlsx]原始数据'!$D:$D,MATCH($A150,'[AQ_2022.xlsx]原始数据'!$A:$A,0)),""))</f>
        <v/>
      </c>
      <c r="O150">
        <f>IF($A150="","",IFERROR(INDEX('[AQ_2023.xlsx]原始数据'!$D:$D,MATCH($A150,'[AQ_2023.xlsx]原始数据'!$A:$A,0)),""))</f>
        <v/>
      </c>
      <c r="P150">
        <f>IF($A150="","",IFERROR(INDEX('[AQ_2024.xlsx]原始数据'!$D:$D,MATCH($A150,'[AQ_2024.xlsx]原始数据'!$A:$A,0)),""))</f>
        <v/>
      </c>
      <c r="Q150">
        <f>IF($A150="","",IFERROR(INDEX('[AQ_2020.xlsx]原始数据'!$E:$E,MATCH($A150,'[AQ_2020.xlsx]原始数据'!$A:$A,0)),""))</f>
        <v/>
      </c>
      <c r="R150">
        <f>IF($A150="","",IFERROR(INDEX('[AQ_2021.xlsx]原始数据'!$E:$E,MATCH($A150,'[AQ_2021.xlsx]原始数据'!$A:$A,0)),""))</f>
        <v/>
      </c>
      <c r="S150">
        <f>IF($A150="","",IFERROR(INDEX('[AQ_2022.xlsx]原始数据'!$E:$E,MATCH($A150,'[AQ_2022.xlsx]原始数据'!$A:$A,0)),""))</f>
        <v/>
      </c>
      <c r="T150">
        <f>IF($A150="","",IFERROR(INDEX('[AQ_2023.xlsx]原始数据'!$E:$E,MATCH($A150,'[AQ_2023.xlsx]原始数据'!$A:$A,0)),""))</f>
        <v/>
      </c>
      <c r="U150">
        <f>IF($A150="","",IFERROR(INDEX('[AQ_2024.xlsx]原始数据'!$E:$E,MATCH($A150,'[AQ_2024.xlsx]原始数据'!$A:$A,0)),""))</f>
        <v/>
      </c>
      <c r="V150">
        <f>IF($A150="","",IFERROR(INDEX('[AQ_2020.xlsx]原始数据'!$F:$F,MATCH($A150,'[AQ_2020.xlsx]原始数据'!$A:$A,0)),""))</f>
        <v/>
      </c>
      <c r="W150">
        <f>IF($A150="","",IFERROR(INDEX('[AQ_2021.xlsx]原始数据'!$F:$F,MATCH($A150,'[AQ_2021.xlsx]原始数据'!$A:$A,0)),""))</f>
        <v/>
      </c>
      <c r="X150">
        <f>IF($A150="","",IFERROR(INDEX('[AQ_2022.xlsx]原始数据'!$F:$F,MATCH($A150,'[AQ_2022.xlsx]原始数据'!$A:$A,0)),""))</f>
        <v/>
      </c>
      <c r="Y150">
        <f>IF($A150="","",IFERROR(INDEX('[AQ_2023.xlsx]原始数据'!$F:$F,MATCH($A150,'[AQ_2023.xlsx]原始数据'!$A:$A,0)),""))</f>
        <v/>
      </c>
      <c r="Z150">
        <f>IF($A150="","",IFERROR(INDEX('[AQ_2024.xlsx]原始数据'!$F:$F,MATCH($A150,'[AQ_2024.xlsx]原始数据'!$A:$A,0)),""))</f>
        <v/>
      </c>
      <c r="AA150" s="2">
        <f>IFERROR(G150/B150,"")</f>
        <v/>
      </c>
      <c r="AB150" s="2">
        <f>IFERROR(H150/C150,"")</f>
        <v/>
      </c>
      <c r="AC150" s="2">
        <f>IFERROR(I150/D150,"")</f>
        <v/>
      </c>
      <c r="AD150" s="2">
        <f>IFERROR(J150/E150,"")</f>
        <v/>
      </c>
      <c r="AE150" s="2">
        <f>IFERROR(K150/F150,"")</f>
        <v/>
      </c>
      <c r="AF150" s="2">
        <f>IFERROR(L150/B150,"")</f>
        <v/>
      </c>
      <c r="AG150" s="2">
        <f>IFERROR(M150/C150,"")</f>
        <v/>
      </c>
      <c r="AH150" s="2">
        <f>IFERROR(N150/D150,"")</f>
        <v/>
      </c>
      <c r="AI150" s="2">
        <f>IFERROR(O150/E150,"")</f>
        <v/>
      </c>
      <c r="AJ150" s="2">
        <f>IFERROR(P150/F150,"")</f>
        <v/>
      </c>
      <c r="AK150" s="2">
        <f>IFERROR(Q150/B150,"")</f>
        <v/>
      </c>
      <c r="AL150" s="2">
        <f>IFERROR(R150/C150,"")</f>
        <v/>
      </c>
      <c r="AM150" s="2">
        <f>IFERROR(S150/D150,"")</f>
        <v/>
      </c>
      <c r="AN150" s="2">
        <f>IFERROR(T150/E150,"")</f>
        <v/>
      </c>
      <c r="AO150" s="2">
        <f>IFERROR(U150/F150,"")</f>
        <v/>
      </c>
    </row>
    <row r="151">
      <c r="B151">
        <f>IF($A151="","",IFERROR(INDEX('[AQ_2020.xlsx]原始数据'!$B:$B,MATCH($A151,'[AQ_2020.xlsx]原始数据'!$A:$A,0)),""))</f>
        <v/>
      </c>
      <c r="C151">
        <f>IF($A151="","",IFERROR(INDEX('[AQ_2021.xlsx]原始数据'!$B:$B,MATCH($A151,'[AQ_2021.xlsx]原始数据'!$A:$A,0)),""))</f>
        <v/>
      </c>
      <c r="D151">
        <f>IF($A151="","",IFERROR(INDEX('[AQ_2022.xlsx]原始数据'!$B:$B,MATCH($A151,'[AQ_2022.xlsx]原始数据'!$A:$A,0)),""))</f>
        <v/>
      </c>
      <c r="E151">
        <f>IF($A151="","",IFERROR(INDEX('[AQ_2023.xlsx]原始数据'!$B:$B,MATCH($A151,'[AQ_2023.xlsx]原始数据'!$A:$A,0)),""))</f>
        <v/>
      </c>
      <c r="F151">
        <f>IF($A151="","",IFERROR(INDEX('[AQ_2024.xlsx]原始数据'!$B:$B,MATCH($A151,'[AQ_2024.xlsx]原始数据'!$A:$A,0)),""))</f>
        <v/>
      </c>
      <c r="G151">
        <f>IF($A151="","",IFERROR(INDEX('[AQ_2020.xlsx]原始数据'!$C:$C,MATCH($A151,'[AQ_2020.xlsx]原始数据'!$A:$A,0)),""))</f>
        <v/>
      </c>
      <c r="H151">
        <f>IF($A151="","",IFERROR(INDEX('[AQ_2021.xlsx]原始数据'!$C:$C,MATCH($A151,'[AQ_2021.xlsx]原始数据'!$A:$A,0)),""))</f>
        <v/>
      </c>
      <c r="I151">
        <f>IF($A151="","",IFERROR(INDEX('[AQ_2022.xlsx]原始数据'!$C:$C,MATCH($A151,'[AQ_2022.xlsx]原始数据'!$A:$A,0)),""))</f>
        <v/>
      </c>
      <c r="J151">
        <f>IF($A151="","",IFERROR(INDEX('[AQ_2023.xlsx]原始数据'!$C:$C,MATCH($A151,'[AQ_2023.xlsx]原始数据'!$A:$A,0)),""))</f>
        <v/>
      </c>
      <c r="K151">
        <f>IF($A151="","",IFERROR(INDEX('[AQ_2024.xlsx]原始数据'!$C:$C,MATCH($A151,'[AQ_2024.xlsx]原始数据'!$A:$A,0)),""))</f>
        <v/>
      </c>
      <c r="L151">
        <f>IF($A151="","",IFERROR(INDEX('[AQ_2020.xlsx]原始数据'!$D:$D,MATCH($A151,'[AQ_2020.xlsx]原始数据'!$A:$A,0)),""))</f>
        <v/>
      </c>
      <c r="M151">
        <f>IF($A151="","",IFERROR(INDEX('[AQ_2021.xlsx]原始数据'!$D:$D,MATCH($A151,'[AQ_2021.xlsx]原始数据'!$A:$A,0)),""))</f>
        <v/>
      </c>
      <c r="N151">
        <f>IF($A151="","",IFERROR(INDEX('[AQ_2022.xlsx]原始数据'!$D:$D,MATCH($A151,'[AQ_2022.xlsx]原始数据'!$A:$A,0)),""))</f>
        <v/>
      </c>
      <c r="O151">
        <f>IF($A151="","",IFERROR(INDEX('[AQ_2023.xlsx]原始数据'!$D:$D,MATCH($A151,'[AQ_2023.xlsx]原始数据'!$A:$A,0)),""))</f>
        <v/>
      </c>
      <c r="P151">
        <f>IF($A151="","",IFERROR(INDEX('[AQ_2024.xlsx]原始数据'!$D:$D,MATCH($A151,'[AQ_2024.xlsx]原始数据'!$A:$A,0)),""))</f>
        <v/>
      </c>
      <c r="Q151">
        <f>IF($A151="","",IFERROR(INDEX('[AQ_2020.xlsx]原始数据'!$E:$E,MATCH($A151,'[AQ_2020.xlsx]原始数据'!$A:$A,0)),""))</f>
        <v/>
      </c>
      <c r="R151">
        <f>IF($A151="","",IFERROR(INDEX('[AQ_2021.xlsx]原始数据'!$E:$E,MATCH($A151,'[AQ_2021.xlsx]原始数据'!$A:$A,0)),""))</f>
        <v/>
      </c>
      <c r="S151">
        <f>IF($A151="","",IFERROR(INDEX('[AQ_2022.xlsx]原始数据'!$E:$E,MATCH($A151,'[AQ_2022.xlsx]原始数据'!$A:$A,0)),""))</f>
        <v/>
      </c>
      <c r="T151">
        <f>IF($A151="","",IFERROR(INDEX('[AQ_2023.xlsx]原始数据'!$E:$E,MATCH($A151,'[AQ_2023.xlsx]原始数据'!$A:$A,0)),""))</f>
        <v/>
      </c>
      <c r="U151">
        <f>IF($A151="","",IFERROR(INDEX('[AQ_2024.xlsx]原始数据'!$E:$E,MATCH($A151,'[AQ_2024.xlsx]原始数据'!$A:$A,0)),""))</f>
        <v/>
      </c>
      <c r="V151">
        <f>IF($A151="","",IFERROR(INDEX('[AQ_2020.xlsx]原始数据'!$F:$F,MATCH($A151,'[AQ_2020.xlsx]原始数据'!$A:$A,0)),""))</f>
        <v/>
      </c>
      <c r="W151">
        <f>IF($A151="","",IFERROR(INDEX('[AQ_2021.xlsx]原始数据'!$F:$F,MATCH($A151,'[AQ_2021.xlsx]原始数据'!$A:$A,0)),""))</f>
        <v/>
      </c>
      <c r="X151">
        <f>IF($A151="","",IFERROR(INDEX('[AQ_2022.xlsx]原始数据'!$F:$F,MATCH($A151,'[AQ_2022.xlsx]原始数据'!$A:$A,0)),""))</f>
        <v/>
      </c>
      <c r="Y151">
        <f>IF($A151="","",IFERROR(INDEX('[AQ_2023.xlsx]原始数据'!$F:$F,MATCH($A151,'[AQ_2023.xlsx]原始数据'!$A:$A,0)),""))</f>
        <v/>
      </c>
      <c r="Z151">
        <f>IF($A151="","",IFERROR(INDEX('[AQ_2024.xlsx]原始数据'!$F:$F,MATCH($A151,'[AQ_2024.xlsx]原始数据'!$A:$A,0)),""))</f>
        <v/>
      </c>
      <c r="AA151" s="2">
        <f>IFERROR(G151/B151,"")</f>
        <v/>
      </c>
      <c r="AB151" s="2">
        <f>IFERROR(H151/C151,"")</f>
        <v/>
      </c>
      <c r="AC151" s="2">
        <f>IFERROR(I151/D151,"")</f>
        <v/>
      </c>
      <c r="AD151" s="2">
        <f>IFERROR(J151/E151,"")</f>
        <v/>
      </c>
      <c r="AE151" s="2">
        <f>IFERROR(K151/F151,"")</f>
        <v/>
      </c>
      <c r="AF151" s="2">
        <f>IFERROR(L151/B151,"")</f>
        <v/>
      </c>
      <c r="AG151" s="2">
        <f>IFERROR(M151/C151,"")</f>
        <v/>
      </c>
      <c r="AH151" s="2">
        <f>IFERROR(N151/D151,"")</f>
        <v/>
      </c>
      <c r="AI151" s="2">
        <f>IFERROR(O151/E151,"")</f>
        <v/>
      </c>
      <c r="AJ151" s="2">
        <f>IFERROR(P151/F151,"")</f>
        <v/>
      </c>
      <c r="AK151" s="2">
        <f>IFERROR(Q151/B151,"")</f>
        <v/>
      </c>
      <c r="AL151" s="2">
        <f>IFERROR(R151/C151,"")</f>
        <v/>
      </c>
      <c r="AM151" s="2">
        <f>IFERROR(S151/D151,"")</f>
        <v/>
      </c>
      <c r="AN151" s="2">
        <f>IFERROR(T151/E151,"")</f>
        <v/>
      </c>
      <c r="AO151" s="2">
        <f>IFERROR(U151/F151,"")</f>
        <v/>
      </c>
    </row>
    <row r="152">
      <c r="B152">
        <f>IF($A152="","",IFERROR(INDEX('[AQ_2020.xlsx]原始数据'!$B:$B,MATCH($A152,'[AQ_2020.xlsx]原始数据'!$A:$A,0)),""))</f>
        <v/>
      </c>
      <c r="C152">
        <f>IF($A152="","",IFERROR(INDEX('[AQ_2021.xlsx]原始数据'!$B:$B,MATCH($A152,'[AQ_2021.xlsx]原始数据'!$A:$A,0)),""))</f>
        <v/>
      </c>
      <c r="D152">
        <f>IF($A152="","",IFERROR(INDEX('[AQ_2022.xlsx]原始数据'!$B:$B,MATCH($A152,'[AQ_2022.xlsx]原始数据'!$A:$A,0)),""))</f>
        <v/>
      </c>
      <c r="E152">
        <f>IF($A152="","",IFERROR(INDEX('[AQ_2023.xlsx]原始数据'!$B:$B,MATCH($A152,'[AQ_2023.xlsx]原始数据'!$A:$A,0)),""))</f>
        <v/>
      </c>
      <c r="F152">
        <f>IF($A152="","",IFERROR(INDEX('[AQ_2024.xlsx]原始数据'!$B:$B,MATCH($A152,'[AQ_2024.xlsx]原始数据'!$A:$A,0)),""))</f>
        <v/>
      </c>
      <c r="G152">
        <f>IF($A152="","",IFERROR(INDEX('[AQ_2020.xlsx]原始数据'!$C:$C,MATCH($A152,'[AQ_2020.xlsx]原始数据'!$A:$A,0)),""))</f>
        <v/>
      </c>
      <c r="H152">
        <f>IF($A152="","",IFERROR(INDEX('[AQ_2021.xlsx]原始数据'!$C:$C,MATCH($A152,'[AQ_2021.xlsx]原始数据'!$A:$A,0)),""))</f>
        <v/>
      </c>
      <c r="I152">
        <f>IF($A152="","",IFERROR(INDEX('[AQ_2022.xlsx]原始数据'!$C:$C,MATCH($A152,'[AQ_2022.xlsx]原始数据'!$A:$A,0)),""))</f>
        <v/>
      </c>
      <c r="J152">
        <f>IF($A152="","",IFERROR(INDEX('[AQ_2023.xlsx]原始数据'!$C:$C,MATCH($A152,'[AQ_2023.xlsx]原始数据'!$A:$A,0)),""))</f>
        <v/>
      </c>
      <c r="K152">
        <f>IF($A152="","",IFERROR(INDEX('[AQ_2024.xlsx]原始数据'!$C:$C,MATCH($A152,'[AQ_2024.xlsx]原始数据'!$A:$A,0)),""))</f>
        <v/>
      </c>
      <c r="L152">
        <f>IF($A152="","",IFERROR(INDEX('[AQ_2020.xlsx]原始数据'!$D:$D,MATCH($A152,'[AQ_2020.xlsx]原始数据'!$A:$A,0)),""))</f>
        <v/>
      </c>
      <c r="M152">
        <f>IF($A152="","",IFERROR(INDEX('[AQ_2021.xlsx]原始数据'!$D:$D,MATCH($A152,'[AQ_2021.xlsx]原始数据'!$A:$A,0)),""))</f>
        <v/>
      </c>
      <c r="N152">
        <f>IF($A152="","",IFERROR(INDEX('[AQ_2022.xlsx]原始数据'!$D:$D,MATCH($A152,'[AQ_2022.xlsx]原始数据'!$A:$A,0)),""))</f>
        <v/>
      </c>
      <c r="O152">
        <f>IF($A152="","",IFERROR(INDEX('[AQ_2023.xlsx]原始数据'!$D:$D,MATCH($A152,'[AQ_2023.xlsx]原始数据'!$A:$A,0)),""))</f>
        <v/>
      </c>
      <c r="P152">
        <f>IF($A152="","",IFERROR(INDEX('[AQ_2024.xlsx]原始数据'!$D:$D,MATCH($A152,'[AQ_2024.xlsx]原始数据'!$A:$A,0)),""))</f>
        <v/>
      </c>
      <c r="Q152">
        <f>IF($A152="","",IFERROR(INDEX('[AQ_2020.xlsx]原始数据'!$E:$E,MATCH($A152,'[AQ_2020.xlsx]原始数据'!$A:$A,0)),""))</f>
        <v/>
      </c>
      <c r="R152">
        <f>IF($A152="","",IFERROR(INDEX('[AQ_2021.xlsx]原始数据'!$E:$E,MATCH($A152,'[AQ_2021.xlsx]原始数据'!$A:$A,0)),""))</f>
        <v/>
      </c>
      <c r="S152">
        <f>IF($A152="","",IFERROR(INDEX('[AQ_2022.xlsx]原始数据'!$E:$E,MATCH($A152,'[AQ_2022.xlsx]原始数据'!$A:$A,0)),""))</f>
        <v/>
      </c>
      <c r="T152">
        <f>IF($A152="","",IFERROR(INDEX('[AQ_2023.xlsx]原始数据'!$E:$E,MATCH($A152,'[AQ_2023.xlsx]原始数据'!$A:$A,0)),""))</f>
        <v/>
      </c>
      <c r="U152">
        <f>IF($A152="","",IFERROR(INDEX('[AQ_2024.xlsx]原始数据'!$E:$E,MATCH($A152,'[AQ_2024.xlsx]原始数据'!$A:$A,0)),""))</f>
        <v/>
      </c>
      <c r="V152">
        <f>IF($A152="","",IFERROR(INDEX('[AQ_2020.xlsx]原始数据'!$F:$F,MATCH($A152,'[AQ_2020.xlsx]原始数据'!$A:$A,0)),""))</f>
        <v/>
      </c>
      <c r="W152">
        <f>IF($A152="","",IFERROR(INDEX('[AQ_2021.xlsx]原始数据'!$F:$F,MATCH($A152,'[AQ_2021.xlsx]原始数据'!$A:$A,0)),""))</f>
        <v/>
      </c>
      <c r="X152">
        <f>IF($A152="","",IFERROR(INDEX('[AQ_2022.xlsx]原始数据'!$F:$F,MATCH($A152,'[AQ_2022.xlsx]原始数据'!$A:$A,0)),""))</f>
        <v/>
      </c>
      <c r="Y152">
        <f>IF($A152="","",IFERROR(INDEX('[AQ_2023.xlsx]原始数据'!$F:$F,MATCH($A152,'[AQ_2023.xlsx]原始数据'!$A:$A,0)),""))</f>
        <v/>
      </c>
      <c r="Z152">
        <f>IF($A152="","",IFERROR(INDEX('[AQ_2024.xlsx]原始数据'!$F:$F,MATCH($A152,'[AQ_2024.xlsx]原始数据'!$A:$A,0)),""))</f>
        <v/>
      </c>
      <c r="AA152" s="2">
        <f>IFERROR(G152/B152,"")</f>
        <v/>
      </c>
      <c r="AB152" s="2">
        <f>IFERROR(H152/C152,"")</f>
        <v/>
      </c>
      <c r="AC152" s="2">
        <f>IFERROR(I152/D152,"")</f>
        <v/>
      </c>
      <c r="AD152" s="2">
        <f>IFERROR(J152/E152,"")</f>
        <v/>
      </c>
      <c r="AE152" s="2">
        <f>IFERROR(K152/F152,"")</f>
        <v/>
      </c>
      <c r="AF152" s="2">
        <f>IFERROR(L152/B152,"")</f>
        <v/>
      </c>
      <c r="AG152" s="2">
        <f>IFERROR(M152/C152,"")</f>
        <v/>
      </c>
      <c r="AH152" s="2">
        <f>IFERROR(N152/D152,"")</f>
        <v/>
      </c>
      <c r="AI152" s="2">
        <f>IFERROR(O152/E152,"")</f>
        <v/>
      </c>
      <c r="AJ152" s="2">
        <f>IFERROR(P152/F152,"")</f>
        <v/>
      </c>
      <c r="AK152" s="2">
        <f>IFERROR(Q152/B152,"")</f>
        <v/>
      </c>
      <c r="AL152" s="2">
        <f>IFERROR(R152/C152,"")</f>
        <v/>
      </c>
      <c r="AM152" s="2">
        <f>IFERROR(S152/D152,"")</f>
        <v/>
      </c>
      <c r="AN152" s="2">
        <f>IFERROR(T152/E152,"")</f>
        <v/>
      </c>
      <c r="AO152" s="2">
        <f>IFERROR(U152/F152,"")</f>
        <v/>
      </c>
    </row>
    <row r="153">
      <c r="B153">
        <f>IF($A153="","",IFERROR(INDEX('[AQ_2020.xlsx]原始数据'!$B:$B,MATCH($A153,'[AQ_2020.xlsx]原始数据'!$A:$A,0)),""))</f>
        <v/>
      </c>
      <c r="C153">
        <f>IF($A153="","",IFERROR(INDEX('[AQ_2021.xlsx]原始数据'!$B:$B,MATCH($A153,'[AQ_2021.xlsx]原始数据'!$A:$A,0)),""))</f>
        <v/>
      </c>
      <c r="D153">
        <f>IF($A153="","",IFERROR(INDEX('[AQ_2022.xlsx]原始数据'!$B:$B,MATCH($A153,'[AQ_2022.xlsx]原始数据'!$A:$A,0)),""))</f>
        <v/>
      </c>
      <c r="E153">
        <f>IF($A153="","",IFERROR(INDEX('[AQ_2023.xlsx]原始数据'!$B:$B,MATCH($A153,'[AQ_2023.xlsx]原始数据'!$A:$A,0)),""))</f>
        <v/>
      </c>
      <c r="F153">
        <f>IF($A153="","",IFERROR(INDEX('[AQ_2024.xlsx]原始数据'!$B:$B,MATCH($A153,'[AQ_2024.xlsx]原始数据'!$A:$A,0)),""))</f>
        <v/>
      </c>
      <c r="G153">
        <f>IF($A153="","",IFERROR(INDEX('[AQ_2020.xlsx]原始数据'!$C:$C,MATCH($A153,'[AQ_2020.xlsx]原始数据'!$A:$A,0)),""))</f>
        <v/>
      </c>
      <c r="H153">
        <f>IF($A153="","",IFERROR(INDEX('[AQ_2021.xlsx]原始数据'!$C:$C,MATCH($A153,'[AQ_2021.xlsx]原始数据'!$A:$A,0)),""))</f>
        <v/>
      </c>
      <c r="I153">
        <f>IF($A153="","",IFERROR(INDEX('[AQ_2022.xlsx]原始数据'!$C:$C,MATCH($A153,'[AQ_2022.xlsx]原始数据'!$A:$A,0)),""))</f>
        <v/>
      </c>
      <c r="J153">
        <f>IF($A153="","",IFERROR(INDEX('[AQ_2023.xlsx]原始数据'!$C:$C,MATCH($A153,'[AQ_2023.xlsx]原始数据'!$A:$A,0)),""))</f>
        <v/>
      </c>
      <c r="K153">
        <f>IF($A153="","",IFERROR(INDEX('[AQ_2024.xlsx]原始数据'!$C:$C,MATCH($A153,'[AQ_2024.xlsx]原始数据'!$A:$A,0)),""))</f>
        <v/>
      </c>
      <c r="L153">
        <f>IF($A153="","",IFERROR(INDEX('[AQ_2020.xlsx]原始数据'!$D:$D,MATCH($A153,'[AQ_2020.xlsx]原始数据'!$A:$A,0)),""))</f>
        <v/>
      </c>
      <c r="M153">
        <f>IF($A153="","",IFERROR(INDEX('[AQ_2021.xlsx]原始数据'!$D:$D,MATCH($A153,'[AQ_2021.xlsx]原始数据'!$A:$A,0)),""))</f>
        <v/>
      </c>
      <c r="N153">
        <f>IF($A153="","",IFERROR(INDEX('[AQ_2022.xlsx]原始数据'!$D:$D,MATCH($A153,'[AQ_2022.xlsx]原始数据'!$A:$A,0)),""))</f>
        <v/>
      </c>
      <c r="O153">
        <f>IF($A153="","",IFERROR(INDEX('[AQ_2023.xlsx]原始数据'!$D:$D,MATCH($A153,'[AQ_2023.xlsx]原始数据'!$A:$A,0)),""))</f>
        <v/>
      </c>
      <c r="P153">
        <f>IF($A153="","",IFERROR(INDEX('[AQ_2024.xlsx]原始数据'!$D:$D,MATCH($A153,'[AQ_2024.xlsx]原始数据'!$A:$A,0)),""))</f>
        <v/>
      </c>
      <c r="Q153">
        <f>IF($A153="","",IFERROR(INDEX('[AQ_2020.xlsx]原始数据'!$E:$E,MATCH($A153,'[AQ_2020.xlsx]原始数据'!$A:$A,0)),""))</f>
        <v/>
      </c>
      <c r="R153">
        <f>IF($A153="","",IFERROR(INDEX('[AQ_2021.xlsx]原始数据'!$E:$E,MATCH($A153,'[AQ_2021.xlsx]原始数据'!$A:$A,0)),""))</f>
        <v/>
      </c>
      <c r="S153">
        <f>IF($A153="","",IFERROR(INDEX('[AQ_2022.xlsx]原始数据'!$E:$E,MATCH($A153,'[AQ_2022.xlsx]原始数据'!$A:$A,0)),""))</f>
        <v/>
      </c>
      <c r="T153">
        <f>IF($A153="","",IFERROR(INDEX('[AQ_2023.xlsx]原始数据'!$E:$E,MATCH($A153,'[AQ_2023.xlsx]原始数据'!$A:$A,0)),""))</f>
        <v/>
      </c>
      <c r="U153">
        <f>IF($A153="","",IFERROR(INDEX('[AQ_2024.xlsx]原始数据'!$E:$E,MATCH($A153,'[AQ_2024.xlsx]原始数据'!$A:$A,0)),""))</f>
        <v/>
      </c>
      <c r="V153">
        <f>IF($A153="","",IFERROR(INDEX('[AQ_2020.xlsx]原始数据'!$F:$F,MATCH($A153,'[AQ_2020.xlsx]原始数据'!$A:$A,0)),""))</f>
        <v/>
      </c>
      <c r="W153">
        <f>IF($A153="","",IFERROR(INDEX('[AQ_2021.xlsx]原始数据'!$F:$F,MATCH($A153,'[AQ_2021.xlsx]原始数据'!$A:$A,0)),""))</f>
        <v/>
      </c>
      <c r="X153">
        <f>IF($A153="","",IFERROR(INDEX('[AQ_2022.xlsx]原始数据'!$F:$F,MATCH($A153,'[AQ_2022.xlsx]原始数据'!$A:$A,0)),""))</f>
        <v/>
      </c>
      <c r="Y153">
        <f>IF($A153="","",IFERROR(INDEX('[AQ_2023.xlsx]原始数据'!$F:$F,MATCH($A153,'[AQ_2023.xlsx]原始数据'!$A:$A,0)),""))</f>
        <v/>
      </c>
      <c r="Z153">
        <f>IF($A153="","",IFERROR(INDEX('[AQ_2024.xlsx]原始数据'!$F:$F,MATCH($A153,'[AQ_2024.xlsx]原始数据'!$A:$A,0)),""))</f>
        <v/>
      </c>
      <c r="AA153" s="2">
        <f>IFERROR(G153/B153,"")</f>
        <v/>
      </c>
      <c r="AB153" s="2">
        <f>IFERROR(H153/C153,"")</f>
        <v/>
      </c>
      <c r="AC153" s="2">
        <f>IFERROR(I153/D153,"")</f>
        <v/>
      </c>
      <c r="AD153" s="2">
        <f>IFERROR(J153/E153,"")</f>
        <v/>
      </c>
      <c r="AE153" s="2">
        <f>IFERROR(K153/F153,"")</f>
        <v/>
      </c>
      <c r="AF153" s="2">
        <f>IFERROR(L153/B153,"")</f>
        <v/>
      </c>
      <c r="AG153" s="2">
        <f>IFERROR(M153/C153,"")</f>
        <v/>
      </c>
      <c r="AH153" s="2">
        <f>IFERROR(N153/D153,"")</f>
        <v/>
      </c>
      <c r="AI153" s="2">
        <f>IFERROR(O153/E153,"")</f>
        <v/>
      </c>
      <c r="AJ153" s="2">
        <f>IFERROR(P153/F153,"")</f>
        <v/>
      </c>
      <c r="AK153" s="2">
        <f>IFERROR(Q153/B153,"")</f>
        <v/>
      </c>
      <c r="AL153" s="2">
        <f>IFERROR(R153/C153,"")</f>
        <v/>
      </c>
      <c r="AM153" s="2">
        <f>IFERROR(S153/D153,"")</f>
        <v/>
      </c>
      <c r="AN153" s="2">
        <f>IFERROR(T153/E153,"")</f>
        <v/>
      </c>
      <c r="AO153" s="2">
        <f>IFERROR(U153/F153,"")</f>
        <v/>
      </c>
    </row>
    <row r="154">
      <c r="B154">
        <f>IF($A154="","",IFERROR(INDEX('[AQ_2020.xlsx]原始数据'!$B:$B,MATCH($A154,'[AQ_2020.xlsx]原始数据'!$A:$A,0)),""))</f>
        <v/>
      </c>
      <c r="C154">
        <f>IF($A154="","",IFERROR(INDEX('[AQ_2021.xlsx]原始数据'!$B:$B,MATCH($A154,'[AQ_2021.xlsx]原始数据'!$A:$A,0)),""))</f>
        <v/>
      </c>
      <c r="D154">
        <f>IF($A154="","",IFERROR(INDEX('[AQ_2022.xlsx]原始数据'!$B:$B,MATCH($A154,'[AQ_2022.xlsx]原始数据'!$A:$A,0)),""))</f>
        <v/>
      </c>
      <c r="E154">
        <f>IF($A154="","",IFERROR(INDEX('[AQ_2023.xlsx]原始数据'!$B:$B,MATCH($A154,'[AQ_2023.xlsx]原始数据'!$A:$A,0)),""))</f>
        <v/>
      </c>
      <c r="F154">
        <f>IF($A154="","",IFERROR(INDEX('[AQ_2024.xlsx]原始数据'!$B:$B,MATCH($A154,'[AQ_2024.xlsx]原始数据'!$A:$A,0)),""))</f>
        <v/>
      </c>
      <c r="G154">
        <f>IF($A154="","",IFERROR(INDEX('[AQ_2020.xlsx]原始数据'!$C:$C,MATCH($A154,'[AQ_2020.xlsx]原始数据'!$A:$A,0)),""))</f>
        <v/>
      </c>
      <c r="H154">
        <f>IF($A154="","",IFERROR(INDEX('[AQ_2021.xlsx]原始数据'!$C:$C,MATCH($A154,'[AQ_2021.xlsx]原始数据'!$A:$A,0)),""))</f>
        <v/>
      </c>
      <c r="I154">
        <f>IF($A154="","",IFERROR(INDEX('[AQ_2022.xlsx]原始数据'!$C:$C,MATCH($A154,'[AQ_2022.xlsx]原始数据'!$A:$A,0)),""))</f>
        <v/>
      </c>
      <c r="J154">
        <f>IF($A154="","",IFERROR(INDEX('[AQ_2023.xlsx]原始数据'!$C:$C,MATCH($A154,'[AQ_2023.xlsx]原始数据'!$A:$A,0)),""))</f>
        <v/>
      </c>
      <c r="K154">
        <f>IF($A154="","",IFERROR(INDEX('[AQ_2024.xlsx]原始数据'!$C:$C,MATCH($A154,'[AQ_2024.xlsx]原始数据'!$A:$A,0)),""))</f>
        <v/>
      </c>
      <c r="L154">
        <f>IF($A154="","",IFERROR(INDEX('[AQ_2020.xlsx]原始数据'!$D:$D,MATCH($A154,'[AQ_2020.xlsx]原始数据'!$A:$A,0)),""))</f>
        <v/>
      </c>
      <c r="M154">
        <f>IF($A154="","",IFERROR(INDEX('[AQ_2021.xlsx]原始数据'!$D:$D,MATCH($A154,'[AQ_2021.xlsx]原始数据'!$A:$A,0)),""))</f>
        <v/>
      </c>
      <c r="N154">
        <f>IF($A154="","",IFERROR(INDEX('[AQ_2022.xlsx]原始数据'!$D:$D,MATCH($A154,'[AQ_2022.xlsx]原始数据'!$A:$A,0)),""))</f>
        <v/>
      </c>
      <c r="O154">
        <f>IF($A154="","",IFERROR(INDEX('[AQ_2023.xlsx]原始数据'!$D:$D,MATCH($A154,'[AQ_2023.xlsx]原始数据'!$A:$A,0)),""))</f>
        <v/>
      </c>
      <c r="P154">
        <f>IF($A154="","",IFERROR(INDEX('[AQ_2024.xlsx]原始数据'!$D:$D,MATCH($A154,'[AQ_2024.xlsx]原始数据'!$A:$A,0)),""))</f>
        <v/>
      </c>
      <c r="Q154">
        <f>IF($A154="","",IFERROR(INDEX('[AQ_2020.xlsx]原始数据'!$E:$E,MATCH($A154,'[AQ_2020.xlsx]原始数据'!$A:$A,0)),""))</f>
        <v/>
      </c>
      <c r="R154">
        <f>IF($A154="","",IFERROR(INDEX('[AQ_2021.xlsx]原始数据'!$E:$E,MATCH($A154,'[AQ_2021.xlsx]原始数据'!$A:$A,0)),""))</f>
        <v/>
      </c>
      <c r="S154">
        <f>IF($A154="","",IFERROR(INDEX('[AQ_2022.xlsx]原始数据'!$E:$E,MATCH($A154,'[AQ_2022.xlsx]原始数据'!$A:$A,0)),""))</f>
        <v/>
      </c>
      <c r="T154">
        <f>IF($A154="","",IFERROR(INDEX('[AQ_2023.xlsx]原始数据'!$E:$E,MATCH($A154,'[AQ_2023.xlsx]原始数据'!$A:$A,0)),""))</f>
        <v/>
      </c>
      <c r="U154">
        <f>IF($A154="","",IFERROR(INDEX('[AQ_2024.xlsx]原始数据'!$E:$E,MATCH($A154,'[AQ_2024.xlsx]原始数据'!$A:$A,0)),""))</f>
        <v/>
      </c>
      <c r="V154">
        <f>IF($A154="","",IFERROR(INDEX('[AQ_2020.xlsx]原始数据'!$F:$F,MATCH($A154,'[AQ_2020.xlsx]原始数据'!$A:$A,0)),""))</f>
        <v/>
      </c>
      <c r="W154">
        <f>IF($A154="","",IFERROR(INDEX('[AQ_2021.xlsx]原始数据'!$F:$F,MATCH($A154,'[AQ_2021.xlsx]原始数据'!$A:$A,0)),""))</f>
        <v/>
      </c>
      <c r="X154">
        <f>IF($A154="","",IFERROR(INDEX('[AQ_2022.xlsx]原始数据'!$F:$F,MATCH($A154,'[AQ_2022.xlsx]原始数据'!$A:$A,0)),""))</f>
        <v/>
      </c>
      <c r="Y154">
        <f>IF($A154="","",IFERROR(INDEX('[AQ_2023.xlsx]原始数据'!$F:$F,MATCH($A154,'[AQ_2023.xlsx]原始数据'!$A:$A,0)),""))</f>
        <v/>
      </c>
      <c r="Z154">
        <f>IF($A154="","",IFERROR(INDEX('[AQ_2024.xlsx]原始数据'!$F:$F,MATCH($A154,'[AQ_2024.xlsx]原始数据'!$A:$A,0)),""))</f>
        <v/>
      </c>
      <c r="AA154" s="2">
        <f>IFERROR(G154/B154,"")</f>
        <v/>
      </c>
      <c r="AB154" s="2">
        <f>IFERROR(H154/C154,"")</f>
        <v/>
      </c>
      <c r="AC154" s="2">
        <f>IFERROR(I154/D154,"")</f>
        <v/>
      </c>
      <c r="AD154" s="2">
        <f>IFERROR(J154/E154,"")</f>
        <v/>
      </c>
      <c r="AE154" s="2">
        <f>IFERROR(K154/F154,"")</f>
        <v/>
      </c>
      <c r="AF154" s="2">
        <f>IFERROR(L154/B154,"")</f>
        <v/>
      </c>
      <c r="AG154" s="2">
        <f>IFERROR(M154/C154,"")</f>
        <v/>
      </c>
      <c r="AH154" s="2">
        <f>IFERROR(N154/D154,"")</f>
        <v/>
      </c>
      <c r="AI154" s="2">
        <f>IFERROR(O154/E154,"")</f>
        <v/>
      </c>
      <c r="AJ154" s="2">
        <f>IFERROR(P154/F154,"")</f>
        <v/>
      </c>
      <c r="AK154" s="2">
        <f>IFERROR(Q154/B154,"")</f>
        <v/>
      </c>
      <c r="AL154" s="2">
        <f>IFERROR(R154/C154,"")</f>
        <v/>
      </c>
      <c r="AM154" s="2">
        <f>IFERROR(S154/D154,"")</f>
        <v/>
      </c>
      <c r="AN154" s="2">
        <f>IFERROR(T154/E154,"")</f>
        <v/>
      </c>
      <c r="AO154" s="2">
        <f>IFERROR(U154/F154,"")</f>
        <v/>
      </c>
    </row>
    <row r="155">
      <c r="B155">
        <f>IF($A155="","",IFERROR(INDEX('[AQ_2020.xlsx]原始数据'!$B:$B,MATCH($A155,'[AQ_2020.xlsx]原始数据'!$A:$A,0)),""))</f>
        <v/>
      </c>
      <c r="C155">
        <f>IF($A155="","",IFERROR(INDEX('[AQ_2021.xlsx]原始数据'!$B:$B,MATCH($A155,'[AQ_2021.xlsx]原始数据'!$A:$A,0)),""))</f>
        <v/>
      </c>
      <c r="D155">
        <f>IF($A155="","",IFERROR(INDEX('[AQ_2022.xlsx]原始数据'!$B:$B,MATCH($A155,'[AQ_2022.xlsx]原始数据'!$A:$A,0)),""))</f>
        <v/>
      </c>
      <c r="E155">
        <f>IF($A155="","",IFERROR(INDEX('[AQ_2023.xlsx]原始数据'!$B:$B,MATCH($A155,'[AQ_2023.xlsx]原始数据'!$A:$A,0)),""))</f>
        <v/>
      </c>
      <c r="F155">
        <f>IF($A155="","",IFERROR(INDEX('[AQ_2024.xlsx]原始数据'!$B:$B,MATCH($A155,'[AQ_2024.xlsx]原始数据'!$A:$A,0)),""))</f>
        <v/>
      </c>
      <c r="G155">
        <f>IF($A155="","",IFERROR(INDEX('[AQ_2020.xlsx]原始数据'!$C:$C,MATCH($A155,'[AQ_2020.xlsx]原始数据'!$A:$A,0)),""))</f>
        <v/>
      </c>
      <c r="H155">
        <f>IF($A155="","",IFERROR(INDEX('[AQ_2021.xlsx]原始数据'!$C:$C,MATCH($A155,'[AQ_2021.xlsx]原始数据'!$A:$A,0)),""))</f>
        <v/>
      </c>
      <c r="I155">
        <f>IF($A155="","",IFERROR(INDEX('[AQ_2022.xlsx]原始数据'!$C:$C,MATCH($A155,'[AQ_2022.xlsx]原始数据'!$A:$A,0)),""))</f>
        <v/>
      </c>
      <c r="J155">
        <f>IF($A155="","",IFERROR(INDEX('[AQ_2023.xlsx]原始数据'!$C:$C,MATCH($A155,'[AQ_2023.xlsx]原始数据'!$A:$A,0)),""))</f>
        <v/>
      </c>
      <c r="K155">
        <f>IF($A155="","",IFERROR(INDEX('[AQ_2024.xlsx]原始数据'!$C:$C,MATCH($A155,'[AQ_2024.xlsx]原始数据'!$A:$A,0)),""))</f>
        <v/>
      </c>
      <c r="L155">
        <f>IF($A155="","",IFERROR(INDEX('[AQ_2020.xlsx]原始数据'!$D:$D,MATCH($A155,'[AQ_2020.xlsx]原始数据'!$A:$A,0)),""))</f>
        <v/>
      </c>
      <c r="M155">
        <f>IF($A155="","",IFERROR(INDEX('[AQ_2021.xlsx]原始数据'!$D:$D,MATCH($A155,'[AQ_2021.xlsx]原始数据'!$A:$A,0)),""))</f>
        <v/>
      </c>
      <c r="N155">
        <f>IF($A155="","",IFERROR(INDEX('[AQ_2022.xlsx]原始数据'!$D:$D,MATCH($A155,'[AQ_2022.xlsx]原始数据'!$A:$A,0)),""))</f>
        <v/>
      </c>
      <c r="O155">
        <f>IF($A155="","",IFERROR(INDEX('[AQ_2023.xlsx]原始数据'!$D:$D,MATCH($A155,'[AQ_2023.xlsx]原始数据'!$A:$A,0)),""))</f>
        <v/>
      </c>
      <c r="P155">
        <f>IF($A155="","",IFERROR(INDEX('[AQ_2024.xlsx]原始数据'!$D:$D,MATCH($A155,'[AQ_2024.xlsx]原始数据'!$A:$A,0)),""))</f>
        <v/>
      </c>
      <c r="Q155">
        <f>IF($A155="","",IFERROR(INDEX('[AQ_2020.xlsx]原始数据'!$E:$E,MATCH($A155,'[AQ_2020.xlsx]原始数据'!$A:$A,0)),""))</f>
        <v/>
      </c>
      <c r="R155">
        <f>IF($A155="","",IFERROR(INDEX('[AQ_2021.xlsx]原始数据'!$E:$E,MATCH($A155,'[AQ_2021.xlsx]原始数据'!$A:$A,0)),""))</f>
        <v/>
      </c>
      <c r="S155">
        <f>IF($A155="","",IFERROR(INDEX('[AQ_2022.xlsx]原始数据'!$E:$E,MATCH($A155,'[AQ_2022.xlsx]原始数据'!$A:$A,0)),""))</f>
        <v/>
      </c>
      <c r="T155">
        <f>IF($A155="","",IFERROR(INDEX('[AQ_2023.xlsx]原始数据'!$E:$E,MATCH($A155,'[AQ_2023.xlsx]原始数据'!$A:$A,0)),""))</f>
        <v/>
      </c>
      <c r="U155">
        <f>IF($A155="","",IFERROR(INDEX('[AQ_2024.xlsx]原始数据'!$E:$E,MATCH($A155,'[AQ_2024.xlsx]原始数据'!$A:$A,0)),""))</f>
        <v/>
      </c>
      <c r="V155">
        <f>IF($A155="","",IFERROR(INDEX('[AQ_2020.xlsx]原始数据'!$F:$F,MATCH($A155,'[AQ_2020.xlsx]原始数据'!$A:$A,0)),""))</f>
        <v/>
      </c>
      <c r="W155">
        <f>IF($A155="","",IFERROR(INDEX('[AQ_2021.xlsx]原始数据'!$F:$F,MATCH($A155,'[AQ_2021.xlsx]原始数据'!$A:$A,0)),""))</f>
        <v/>
      </c>
      <c r="X155">
        <f>IF($A155="","",IFERROR(INDEX('[AQ_2022.xlsx]原始数据'!$F:$F,MATCH($A155,'[AQ_2022.xlsx]原始数据'!$A:$A,0)),""))</f>
        <v/>
      </c>
      <c r="Y155">
        <f>IF($A155="","",IFERROR(INDEX('[AQ_2023.xlsx]原始数据'!$F:$F,MATCH($A155,'[AQ_2023.xlsx]原始数据'!$A:$A,0)),""))</f>
        <v/>
      </c>
      <c r="Z155">
        <f>IF($A155="","",IFERROR(INDEX('[AQ_2024.xlsx]原始数据'!$F:$F,MATCH($A155,'[AQ_2024.xlsx]原始数据'!$A:$A,0)),""))</f>
        <v/>
      </c>
      <c r="AA155" s="2">
        <f>IFERROR(G155/B155,"")</f>
        <v/>
      </c>
      <c r="AB155" s="2">
        <f>IFERROR(H155/C155,"")</f>
        <v/>
      </c>
      <c r="AC155" s="2">
        <f>IFERROR(I155/D155,"")</f>
        <v/>
      </c>
      <c r="AD155" s="2">
        <f>IFERROR(J155/E155,"")</f>
        <v/>
      </c>
      <c r="AE155" s="2">
        <f>IFERROR(K155/F155,"")</f>
        <v/>
      </c>
      <c r="AF155" s="2">
        <f>IFERROR(L155/B155,"")</f>
        <v/>
      </c>
      <c r="AG155" s="2">
        <f>IFERROR(M155/C155,"")</f>
        <v/>
      </c>
      <c r="AH155" s="2">
        <f>IFERROR(N155/D155,"")</f>
        <v/>
      </c>
      <c r="AI155" s="2">
        <f>IFERROR(O155/E155,"")</f>
        <v/>
      </c>
      <c r="AJ155" s="2">
        <f>IFERROR(P155/F155,"")</f>
        <v/>
      </c>
      <c r="AK155" s="2">
        <f>IFERROR(Q155/B155,"")</f>
        <v/>
      </c>
      <c r="AL155" s="2">
        <f>IFERROR(R155/C155,"")</f>
        <v/>
      </c>
      <c r="AM155" s="2">
        <f>IFERROR(S155/D155,"")</f>
        <v/>
      </c>
      <c r="AN155" s="2">
        <f>IFERROR(T155/E155,"")</f>
        <v/>
      </c>
      <c r="AO155" s="2">
        <f>IFERROR(U155/F155,"")</f>
        <v/>
      </c>
    </row>
    <row r="156">
      <c r="B156">
        <f>IF($A156="","",IFERROR(INDEX('[AQ_2020.xlsx]原始数据'!$B:$B,MATCH($A156,'[AQ_2020.xlsx]原始数据'!$A:$A,0)),""))</f>
        <v/>
      </c>
      <c r="C156">
        <f>IF($A156="","",IFERROR(INDEX('[AQ_2021.xlsx]原始数据'!$B:$B,MATCH($A156,'[AQ_2021.xlsx]原始数据'!$A:$A,0)),""))</f>
        <v/>
      </c>
      <c r="D156">
        <f>IF($A156="","",IFERROR(INDEX('[AQ_2022.xlsx]原始数据'!$B:$B,MATCH($A156,'[AQ_2022.xlsx]原始数据'!$A:$A,0)),""))</f>
        <v/>
      </c>
      <c r="E156">
        <f>IF($A156="","",IFERROR(INDEX('[AQ_2023.xlsx]原始数据'!$B:$B,MATCH($A156,'[AQ_2023.xlsx]原始数据'!$A:$A,0)),""))</f>
        <v/>
      </c>
      <c r="F156">
        <f>IF($A156="","",IFERROR(INDEX('[AQ_2024.xlsx]原始数据'!$B:$B,MATCH($A156,'[AQ_2024.xlsx]原始数据'!$A:$A,0)),""))</f>
        <v/>
      </c>
      <c r="G156">
        <f>IF($A156="","",IFERROR(INDEX('[AQ_2020.xlsx]原始数据'!$C:$C,MATCH($A156,'[AQ_2020.xlsx]原始数据'!$A:$A,0)),""))</f>
        <v/>
      </c>
      <c r="H156">
        <f>IF($A156="","",IFERROR(INDEX('[AQ_2021.xlsx]原始数据'!$C:$C,MATCH($A156,'[AQ_2021.xlsx]原始数据'!$A:$A,0)),""))</f>
        <v/>
      </c>
      <c r="I156">
        <f>IF($A156="","",IFERROR(INDEX('[AQ_2022.xlsx]原始数据'!$C:$C,MATCH($A156,'[AQ_2022.xlsx]原始数据'!$A:$A,0)),""))</f>
        <v/>
      </c>
      <c r="J156">
        <f>IF($A156="","",IFERROR(INDEX('[AQ_2023.xlsx]原始数据'!$C:$C,MATCH($A156,'[AQ_2023.xlsx]原始数据'!$A:$A,0)),""))</f>
        <v/>
      </c>
      <c r="K156">
        <f>IF($A156="","",IFERROR(INDEX('[AQ_2024.xlsx]原始数据'!$C:$C,MATCH($A156,'[AQ_2024.xlsx]原始数据'!$A:$A,0)),""))</f>
        <v/>
      </c>
      <c r="L156">
        <f>IF($A156="","",IFERROR(INDEX('[AQ_2020.xlsx]原始数据'!$D:$D,MATCH($A156,'[AQ_2020.xlsx]原始数据'!$A:$A,0)),""))</f>
        <v/>
      </c>
      <c r="M156">
        <f>IF($A156="","",IFERROR(INDEX('[AQ_2021.xlsx]原始数据'!$D:$D,MATCH($A156,'[AQ_2021.xlsx]原始数据'!$A:$A,0)),""))</f>
        <v/>
      </c>
      <c r="N156">
        <f>IF($A156="","",IFERROR(INDEX('[AQ_2022.xlsx]原始数据'!$D:$D,MATCH($A156,'[AQ_2022.xlsx]原始数据'!$A:$A,0)),""))</f>
        <v/>
      </c>
      <c r="O156">
        <f>IF($A156="","",IFERROR(INDEX('[AQ_2023.xlsx]原始数据'!$D:$D,MATCH($A156,'[AQ_2023.xlsx]原始数据'!$A:$A,0)),""))</f>
        <v/>
      </c>
      <c r="P156">
        <f>IF($A156="","",IFERROR(INDEX('[AQ_2024.xlsx]原始数据'!$D:$D,MATCH($A156,'[AQ_2024.xlsx]原始数据'!$A:$A,0)),""))</f>
        <v/>
      </c>
      <c r="Q156">
        <f>IF($A156="","",IFERROR(INDEX('[AQ_2020.xlsx]原始数据'!$E:$E,MATCH($A156,'[AQ_2020.xlsx]原始数据'!$A:$A,0)),""))</f>
        <v/>
      </c>
      <c r="R156">
        <f>IF($A156="","",IFERROR(INDEX('[AQ_2021.xlsx]原始数据'!$E:$E,MATCH($A156,'[AQ_2021.xlsx]原始数据'!$A:$A,0)),""))</f>
        <v/>
      </c>
      <c r="S156">
        <f>IF($A156="","",IFERROR(INDEX('[AQ_2022.xlsx]原始数据'!$E:$E,MATCH($A156,'[AQ_2022.xlsx]原始数据'!$A:$A,0)),""))</f>
        <v/>
      </c>
      <c r="T156">
        <f>IF($A156="","",IFERROR(INDEX('[AQ_2023.xlsx]原始数据'!$E:$E,MATCH($A156,'[AQ_2023.xlsx]原始数据'!$A:$A,0)),""))</f>
        <v/>
      </c>
      <c r="U156">
        <f>IF($A156="","",IFERROR(INDEX('[AQ_2024.xlsx]原始数据'!$E:$E,MATCH($A156,'[AQ_2024.xlsx]原始数据'!$A:$A,0)),""))</f>
        <v/>
      </c>
      <c r="V156">
        <f>IF($A156="","",IFERROR(INDEX('[AQ_2020.xlsx]原始数据'!$F:$F,MATCH($A156,'[AQ_2020.xlsx]原始数据'!$A:$A,0)),""))</f>
        <v/>
      </c>
      <c r="W156">
        <f>IF($A156="","",IFERROR(INDEX('[AQ_2021.xlsx]原始数据'!$F:$F,MATCH($A156,'[AQ_2021.xlsx]原始数据'!$A:$A,0)),""))</f>
        <v/>
      </c>
      <c r="X156">
        <f>IF($A156="","",IFERROR(INDEX('[AQ_2022.xlsx]原始数据'!$F:$F,MATCH($A156,'[AQ_2022.xlsx]原始数据'!$A:$A,0)),""))</f>
        <v/>
      </c>
      <c r="Y156">
        <f>IF($A156="","",IFERROR(INDEX('[AQ_2023.xlsx]原始数据'!$F:$F,MATCH($A156,'[AQ_2023.xlsx]原始数据'!$A:$A,0)),""))</f>
        <v/>
      </c>
      <c r="Z156">
        <f>IF($A156="","",IFERROR(INDEX('[AQ_2024.xlsx]原始数据'!$F:$F,MATCH($A156,'[AQ_2024.xlsx]原始数据'!$A:$A,0)),""))</f>
        <v/>
      </c>
      <c r="AA156" s="2">
        <f>IFERROR(G156/B156,"")</f>
        <v/>
      </c>
      <c r="AB156" s="2">
        <f>IFERROR(H156/C156,"")</f>
        <v/>
      </c>
      <c r="AC156" s="2">
        <f>IFERROR(I156/D156,"")</f>
        <v/>
      </c>
      <c r="AD156" s="2">
        <f>IFERROR(J156/E156,"")</f>
        <v/>
      </c>
      <c r="AE156" s="2">
        <f>IFERROR(K156/F156,"")</f>
        <v/>
      </c>
      <c r="AF156" s="2">
        <f>IFERROR(L156/B156,"")</f>
        <v/>
      </c>
      <c r="AG156" s="2">
        <f>IFERROR(M156/C156,"")</f>
        <v/>
      </c>
      <c r="AH156" s="2">
        <f>IFERROR(N156/D156,"")</f>
        <v/>
      </c>
      <c r="AI156" s="2">
        <f>IFERROR(O156/E156,"")</f>
        <v/>
      </c>
      <c r="AJ156" s="2">
        <f>IFERROR(P156/F156,"")</f>
        <v/>
      </c>
      <c r="AK156" s="2">
        <f>IFERROR(Q156/B156,"")</f>
        <v/>
      </c>
      <c r="AL156" s="2">
        <f>IFERROR(R156/C156,"")</f>
        <v/>
      </c>
      <c r="AM156" s="2">
        <f>IFERROR(S156/D156,"")</f>
        <v/>
      </c>
      <c r="AN156" s="2">
        <f>IFERROR(T156/E156,"")</f>
        <v/>
      </c>
      <c r="AO156" s="2">
        <f>IFERROR(U156/F156,"")</f>
        <v/>
      </c>
    </row>
    <row r="157">
      <c r="B157">
        <f>IF($A157="","",IFERROR(INDEX('[AQ_2020.xlsx]原始数据'!$B:$B,MATCH($A157,'[AQ_2020.xlsx]原始数据'!$A:$A,0)),""))</f>
        <v/>
      </c>
      <c r="C157">
        <f>IF($A157="","",IFERROR(INDEX('[AQ_2021.xlsx]原始数据'!$B:$B,MATCH($A157,'[AQ_2021.xlsx]原始数据'!$A:$A,0)),""))</f>
        <v/>
      </c>
      <c r="D157">
        <f>IF($A157="","",IFERROR(INDEX('[AQ_2022.xlsx]原始数据'!$B:$B,MATCH($A157,'[AQ_2022.xlsx]原始数据'!$A:$A,0)),""))</f>
        <v/>
      </c>
      <c r="E157">
        <f>IF($A157="","",IFERROR(INDEX('[AQ_2023.xlsx]原始数据'!$B:$B,MATCH($A157,'[AQ_2023.xlsx]原始数据'!$A:$A,0)),""))</f>
        <v/>
      </c>
      <c r="F157">
        <f>IF($A157="","",IFERROR(INDEX('[AQ_2024.xlsx]原始数据'!$B:$B,MATCH($A157,'[AQ_2024.xlsx]原始数据'!$A:$A,0)),""))</f>
        <v/>
      </c>
      <c r="G157">
        <f>IF($A157="","",IFERROR(INDEX('[AQ_2020.xlsx]原始数据'!$C:$C,MATCH($A157,'[AQ_2020.xlsx]原始数据'!$A:$A,0)),""))</f>
        <v/>
      </c>
      <c r="H157">
        <f>IF($A157="","",IFERROR(INDEX('[AQ_2021.xlsx]原始数据'!$C:$C,MATCH($A157,'[AQ_2021.xlsx]原始数据'!$A:$A,0)),""))</f>
        <v/>
      </c>
      <c r="I157">
        <f>IF($A157="","",IFERROR(INDEX('[AQ_2022.xlsx]原始数据'!$C:$C,MATCH($A157,'[AQ_2022.xlsx]原始数据'!$A:$A,0)),""))</f>
        <v/>
      </c>
      <c r="J157">
        <f>IF($A157="","",IFERROR(INDEX('[AQ_2023.xlsx]原始数据'!$C:$C,MATCH($A157,'[AQ_2023.xlsx]原始数据'!$A:$A,0)),""))</f>
        <v/>
      </c>
      <c r="K157">
        <f>IF($A157="","",IFERROR(INDEX('[AQ_2024.xlsx]原始数据'!$C:$C,MATCH($A157,'[AQ_2024.xlsx]原始数据'!$A:$A,0)),""))</f>
        <v/>
      </c>
      <c r="L157">
        <f>IF($A157="","",IFERROR(INDEX('[AQ_2020.xlsx]原始数据'!$D:$D,MATCH($A157,'[AQ_2020.xlsx]原始数据'!$A:$A,0)),""))</f>
        <v/>
      </c>
      <c r="M157">
        <f>IF($A157="","",IFERROR(INDEX('[AQ_2021.xlsx]原始数据'!$D:$D,MATCH($A157,'[AQ_2021.xlsx]原始数据'!$A:$A,0)),""))</f>
        <v/>
      </c>
      <c r="N157">
        <f>IF($A157="","",IFERROR(INDEX('[AQ_2022.xlsx]原始数据'!$D:$D,MATCH($A157,'[AQ_2022.xlsx]原始数据'!$A:$A,0)),""))</f>
        <v/>
      </c>
      <c r="O157">
        <f>IF($A157="","",IFERROR(INDEX('[AQ_2023.xlsx]原始数据'!$D:$D,MATCH($A157,'[AQ_2023.xlsx]原始数据'!$A:$A,0)),""))</f>
        <v/>
      </c>
      <c r="P157">
        <f>IF($A157="","",IFERROR(INDEX('[AQ_2024.xlsx]原始数据'!$D:$D,MATCH($A157,'[AQ_2024.xlsx]原始数据'!$A:$A,0)),""))</f>
        <v/>
      </c>
      <c r="Q157">
        <f>IF($A157="","",IFERROR(INDEX('[AQ_2020.xlsx]原始数据'!$E:$E,MATCH($A157,'[AQ_2020.xlsx]原始数据'!$A:$A,0)),""))</f>
        <v/>
      </c>
      <c r="R157">
        <f>IF($A157="","",IFERROR(INDEX('[AQ_2021.xlsx]原始数据'!$E:$E,MATCH($A157,'[AQ_2021.xlsx]原始数据'!$A:$A,0)),""))</f>
        <v/>
      </c>
      <c r="S157">
        <f>IF($A157="","",IFERROR(INDEX('[AQ_2022.xlsx]原始数据'!$E:$E,MATCH($A157,'[AQ_2022.xlsx]原始数据'!$A:$A,0)),""))</f>
        <v/>
      </c>
      <c r="T157">
        <f>IF($A157="","",IFERROR(INDEX('[AQ_2023.xlsx]原始数据'!$E:$E,MATCH($A157,'[AQ_2023.xlsx]原始数据'!$A:$A,0)),""))</f>
        <v/>
      </c>
      <c r="U157">
        <f>IF($A157="","",IFERROR(INDEX('[AQ_2024.xlsx]原始数据'!$E:$E,MATCH($A157,'[AQ_2024.xlsx]原始数据'!$A:$A,0)),""))</f>
        <v/>
      </c>
      <c r="V157">
        <f>IF($A157="","",IFERROR(INDEX('[AQ_2020.xlsx]原始数据'!$F:$F,MATCH($A157,'[AQ_2020.xlsx]原始数据'!$A:$A,0)),""))</f>
        <v/>
      </c>
      <c r="W157">
        <f>IF($A157="","",IFERROR(INDEX('[AQ_2021.xlsx]原始数据'!$F:$F,MATCH($A157,'[AQ_2021.xlsx]原始数据'!$A:$A,0)),""))</f>
        <v/>
      </c>
      <c r="X157">
        <f>IF($A157="","",IFERROR(INDEX('[AQ_2022.xlsx]原始数据'!$F:$F,MATCH($A157,'[AQ_2022.xlsx]原始数据'!$A:$A,0)),""))</f>
        <v/>
      </c>
      <c r="Y157">
        <f>IF($A157="","",IFERROR(INDEX('[AQ_2023.xlsx]原始数据'!$F:$F,MATCH($A157,'[AQ_2023.xlsx]原始数据'!$A:$A,0)),""))</f>
        <v/>
      </c>
      <c r="Z157">
        <f>IF($A157="","",IFERROR(INDEX('[AQ_2024.xlsx]原始数据'!$F:$F,MATCH($A157,'[AQ_2024.xlsx]原始数据'!$A:$A,0)),""))</f>
        <v/>
      </c>
      <c r="AA157" s="2">
        <f>IFERROR(G157/B157,"")</f>
        <v/>
      </c>
      <c r="AB157" s="2">
        <f>IFERROR(H157/C157,"")</f>
        <v/>
      </c>
      <c r="AC157" s="2">
        <f>IFERROR(I157/D157,"")</f>
        <v/>
      </c>
      <c r="AD157" s="2">
        <f>IFERROR(J157/E157,"")</f>
        <v/>
      </c>
      <c r="AE157" s="2">
        <f>IFERROR(K157/F157,"")</f>
        <v/>
      </c>
      <c r="AF157" s="2">
        <f>IFERROR(L157/B157,"")</f>
        <v/>
      </c>
      <c r="AG157" s="2">
        <f>IFERROR(M157/C157,"")</f>
        <v/>
      </c>
      <c r="AH157" s="2">
        <f>IFERROR(N157/D157,"")</f>
        <v/>
      </c>
      <c r="AI157" s="2">
        <f>IFERROR(O157/E157,"")</f>
        <v/>
      </c>
      <c r="AJ157" s="2">
        <f>IFERROR(P157/F157,"")</f>
        <v/>
      </c>
      <c r="AK157" s="2">
        <f>IFERROR(Q157/B157,"")</f>
        <v/>
      </c>
      <c r="AL157" s="2">
        <f>IFERROR(R157/C157,"")</f>
        <v/>
      </c>
      <c r="AM157" s="2">
        <f>IFERROR(S157/D157,"")</f>
        <v/>
      </c>
      <c r="AN157" s="2">
        <f>IFERROR(T157/E157,"")</f>
        <v/>
      </c>
      <c r="AO157" s="2">
        <f>IFERROR(U157/F157,"")</f>
        <v/>
      </c>
    </row>
    <row r="158">
      <c r="B158">
        <f>IF($A158="","",IFERROR(INDEX('[AQ_2020.xlsx]原始数据'!$B:$B,MATCH($A158,'[AQ_2020.xlsx]原始数据'!$A:$A,0)),""))</f>
        <v/>
      </c>
      <c r="C158">
        <f>IF($A158="","",IFERROR(INDEX('[AQ_2021.xlsx]原始数据'!$B:$B,MATCH($A158,'[AQ_2021.xlsx]原始数据'!$A:$A,0)),""))</f>
        <v/>
      </c>
      <c r="D158">
        <f>IF($A158="","",IFERROR(INDEX('[AQ_2022.xlsx]原始数据'!$B:$B,MATCH($A158,'[AQ_2022.xlsx]原始数据'!$A:$A,0)),""))</f>
        <v/>
      </c>
      <c r="E158">
        <f>IF($A158="","",IFERROR(INDEX('[AQ_2023.xlsx]原始数据'!$B:$B,MATCH($A158,'[AQ_2023.xlsx]原始数据'!$A:$A,0)),""))</f>
        <v/>
      </c>
      <c r="F158">
        <f>IF($A158="","",IFERROR(INDEX('[AQ_2024.xlsx]原始数据'!$B:$B,MATCH($A158,'[AQ_2024.xlsx]原始数据'!$A:$A,0)),""))</f>
        <v/>
      </c>
      <c r="G158">
        <f>IF($A158="","",IFERROR(INDEX('[AQ_2020.xlsx]原始数据'!$C:$C,MATCH($A158,'[AQ_2020.xlsx]原始数据'!$A:$A,0)),""))</f>
        <v/>
      </c>
      <c r="H158">
        <f>IF($A158="","",IFERROR(INDEX('[AQ_2021.xlsx]原始数据'!$C:$C,MATCH($A158,'[AQ_2021.xlsx]原始数据'!$A:$A,0)),""))</f>
        <v/>
      </c>
      <c r="I158">
        <f>IF($A158="","",IFERROR(INDEX('[AQ_2022.xlsx]原始数据'!$C:$C,MATCH($A158,'[AQ_2022.xlsx]原始数据'!$A:$A,0)),""))</f>
        <v/>
      </c>
      <c r="J158">
        <f>IF($A158="","",IFERROR(INDEX('[AQ_2023.xlsx]原始数据'!$C:$C,MATCH($A158,'[AQ_2023.xlsx]原始数据'!$A:$A,0)),""))</f>
        <v/>
      </c>
      <c r="K158">
        <f>IF($A158="","",IFERROR(INDEX('[AQ_2024.xlsx]原始数据'!$C:$C,MATCH($A158,'[AQ_2024.xlsx]原始数据'!$A:$A,0)),""))</f>
        <v/>
      </c>
      <c r="L158">
        <f>IF($A158="","",IFERROR(INDEX('[AQ_2020.xlsx]原始数据'!$D:$D,MATCH($A158,'[AQ_2020.xlsx]原始数据'!$A:$A,0)),""))</f>
        <v/>
      </c>
      <c r="M158">
        <f>IF($A158="","",IFERROR(INDEX('[AQ_2021.xlsx]原始数据'!$D:$D,MATCH($A158,'[AQ_2021.xlsx]原始数据'!$A:$A,0)),""))</f>
        <v/>
      </c>
      <c r="N158">
        <f>IF($A158="","",IFERROR(INDEX('[AQ_2022.xlsx]原始数据'!$D:$D,MATCH($A158,'[AQ_2022.xlsx]原始数据'!$A:$A,0)),""))</f>
        <v/>
      </c>
      <c r="O158">
        <f>IF($A158="","",IFERROR(INDEX('[AQ_2023.xlsx]原始数据'!$D:$D,MATCH($A158,'[AQ_2023.xlsx]原始数据'!$A:$A,0)),""))</f>
        <v/>
      </c>
      <c r="P158">
        <f>IF($A158="","",IFERROR(INDEX('[AQ_2024.xlsx]原始数据'!$D:$D,MATCH($A158,'[AQ_2024.xlsx]原始数据'!$A:$A,0)),""))</f>
        <v/>
      </c>
      <c r="Q158">
        <f>IF($A158="","",IFERROR(INDEX('[AQ_2020.xlsx]原始数据'!$E:$E,MATCH($A158,'[AQ_2020.xlsx]原始数据'!$A:$A,0)),""))</f>
        <v/>
      </c>
      <c r="R158">
        <f>IF($A158="","",IFERROR(INDEX('[AQ_2021.xlsx]原始数据'!$E:$E,MATCH($A158,'[AQ_2021.xlsx]原始数据'!$A:$A,0)),""))</f>
        <v/>
      </c>
      <c r="S158">
        <f>IF($A158="","",IFERROR(INDEX('[AQ_2022.xlsx]原始数据'!$E:$E,MATCH($A158,'[AQ_2022.xlsx]原始数据'!$A:$A,0)),""))</f>
        <v/>
      </c>
      <c r="T158">
        <f>IF($A158="","",IFERROR(INDEX('[AQ_2023.xlsx]原始数据'!$E:$E,MATCH($A158,'[AQ_2023.xlsx]原始数据'!$A:$A,0)),""))</f>
        <v/>
      </c>
      <c r="U158">
        <f>IF($A158="","",IFERROR(INDEX('[AQ_2024.xlsx]原始数据'!$E:$E,MATCH($A158,'[AQ_2024.xlsx]原始数据'!$A:$A,0)),""))</f>
        <v/>
      </c>
      <c r="V158">
        <f>IF($A158="","",IFERROR(INDEX('[AQ_2020.xlsx]原始数据'!$F:$F,MATCH($A158,'[AQ_2020.xlsx]原始数据'!$A:$A,0)),""))</f>
        <v/>
      </c>
      <c r="W158">
        <f>IF($A158="","",IFERROR(INDEX('[AQ_2021.xlsx]原始数据'!$F:$F,MATCH($A158,'[AQ_2021.xlsx]原始数据'!$A:$A,0)),""))</f>
        <v/>
      </c>
      <c r="X158">
        <f>IF($A158="","",IFERROR(INDEX('[AQ_2022.xlsx]原始数据'!$F:$F,MATCH($A158,'[AQ_2022.xlsx]原始数据'!$A:$A,0)),""))</f>
        <v/>
      </c>
      <c r="Y158">
        <f>IF($A158="","",IFERROR(INDEX('[AQ_2023.xlsx]原始数据'!$F:$F,MATCH($A158,'[AQ_2023.xlsx]原始数据'!$A:$A,0)),""))</f>
        <v/>
      </c>
      <c r="Z158">
        <f>IF($A158="","",IFERROR(INDEX('[AQ_2024.xlsx]原始数据'!$F:$F,MATCH($A158,'[AQ_2024.xlsx]原始数据'!$A:$A,0)),""))</f>
        <v/>
      </c>
      <c r="AA158" s="2">
        <f>IFERROR(G158/B158,"")</f>
        <v/>
      </c>
      <c r="AB158" s="2">
        <f>IFERROR(H158/C158,"")</f>
        <v/>
      </c>
      <c r="AC158" s="2">
        <f>IFERROR(I158/D158,"")</f>
        <v/>
      </c>
      <c r="AD158" s="2">
        <f>IFERROR(J158/E158,"")</f>
        <v/>
      </c>
      <c r="AE158" s="2">
        <f>IFERROR(K158/F158,"")</f>
        <v/>
      </c>
      <c r="AF158" s="2">
        <f>IFERROR(L158/B158,"")</f>
        <v/>
      </c>
      <c r="AG158" s="2">
        <f>IFERROR(M158/C158,"")</f>
        <v/>
      </c>
      <c r="AH158" s="2">
        <f>IFERROR(N158/D158,"")</f>
        <v/>
      </c>
      <c r="AI158" s="2">
        <f>IFERROR(O158/E158,"")</f>
        <v/>
      </c>
      <c r="AJ158" s="2">
        <f>IFERROR(P158/F158,"")</f>
        <v/>
      </c>
      <c r="AK158" s="2">
        <f>IFERROR(Q158/B158,"")</f>
        <v/>
      </c>
      <c r="AL158" s="2">
        <f>IFERROR(R158/C158,"")</f>
        <v/>
      </c>
      <c r="AM158" s="2">
        <f>IFERROR(S158/D158,"")</f>
        <v/>
      </c>
      <c r="AN158" s="2">
        <f>IFERROR(T158/E158,"")</f>
        <v/>
      </c>
      <c r="AO158" s="2">
        <f>IFERROR(U158/F158,"")</f>
        <v/>
      </c>
    </row>
    <row r="159">
      <c r="B159">
        <f>IF($A159="","",IFERROR(INDEX('[AQ_2020.xlsx]原始数据'!$B:$B,MATCH($A159,'[AQ_2020.xlsx]原始数据'!$A:$A,0)),""))</f>
        <v/>
      </c>
      <c r="C159">
        <f>IF($A159="","",IFERROR(INDEX('[AQ_2021.xlsx]原始数据'!$B:$B,MATCH($A159,'[AQ_2021.xlsx]原始数据'!$A:$A,0)),""))</f>
        <v/>
      </c>
      <c r="D159">
        <f>IF($A159="","",IFERROR(INDEX('[AQ_2022.xlsx]原始数据'!$B:$B,MATCH($A159,'[AQ_2022.xlsx]原始数据'!$A:$A,0)),""))</f>
        <v/>
      </c>
      <c r="E159">
        <f>IF($A159="","",IFERROR(INDEX('[AQ_2023.xlsx]原始数据'!$B:$B,MATCH($A159,'[AQ_2023.xlsx]原始数据'!$A:$A,0)),""))</f>
        <v/>
      </c>
      <c r="F159">
        <f>IF($A159="","",IFERROR(INDEX('[AQ_2024.xlsx]原始数据'!$B:$B,MATCH($A159,'[AQ_2024.xlsx]原始数据'!$A:$A,0)),""))</f>
        <v/>
      </c>
      <c r="G159">
        <f>IF($A159="","",IFERROR(INDEX('[AQ_2020.xlsx]原始数据'!$C:$C,MATCH($A159,'[AQ_2020.xlsx]原始数据'!$A:$A,0)),""))</f>
        <v/>
      </c>
      <c r="H159">
        <f>IF($A159="","",IFERROR(INDEX('[AQ_2021.xlsx]原始数据'!$C:$C,MATCH($A159,'[AQ_2021.xlsx]原始数据'!$A:$A,0)),""))</f>
        <v/>
      </c>
      <c r="I159">
        <f>IF($A159="","",IFERROR(INDEX('[AQ_2022.xlsx]原始数据'!$C:$C,MATCH($A159,'[AQ_2022.xlsx]原始数据'!$A:$A,0)),""))</f>
        <v/>
      </c>
      <c r="J159">
        <f>IF($A159="","",IFERROR(INDEX('[AQ_2023.xlsx]原始数据'!$C:$C,MATCH($A159,'[AQ_2023.xlsx]原始数据'!$A:$A,0)),""))</f>
        <v/>
      </c>
      <c r="K159">
        <f>IF($A159="","",IFERROR(INDEX('[AQ_2024.xlsx]原始数据'!$C:$C,MATCH($A159,'[AQ_2024.xlsx]原始数据'!$A:$A,0)),""))</f>
        <v/>
      </c>
      <c r="L159">
        <f>IF($A159="","",IFERROR(INDEX('[AQ_2020.xlsx]原始数据'!$D:$D,MATCH($A159,'[AQ_2020.xlsx]原始数据'!$A:$A,0)),""))</f>
        <v/>
      </c>
      <c r="M159">
        <f>IF($A159="","",IFERROR(INDEX('[AQ_2021.xlsx]原始数据'!$D:$D,MATCH($A159,'[AQ_2021.xlsx]原始数据'!$A:$A,0)),""))</f>
        <v/>
      </c>
      <c r="N159">
        <f>IF($A159="","",IFERROR(INDEX('[AQ_2022.xlsx]原始数据'!$D:$D,MATCH($A159,'[AQ_2022.xlsx]原始数据'!$A:$A,0)),""))</f>
        <v/>
      </c>
      <c r="O159">
        <f>IF($A159="","",IFERROR(INDEX('[AQ_2023.xlsx]原始数据'!$D:$D,MATCH($A159,'[AQ_2023.xlsx]原始数据'!$A:$A,0)),""))</f>
        <v/>
      </c>
      <c r="P159">
        <f>IF($A159="","",IFERROR(INDEX('[AQ_2024.xlsx]原始数据'!$D:$D,MATCH($A159,'[AQ_2024.xlsx]原始数据'!$A:$A,0)),""))</f>
        <v/>
      </c>
      <c r="Q159">
        <f>IF($A159="","",IFERROR(INDEX('[AQ_2020.xlsx]原始数据'!$E:$E,MATCH($A159,'[AQ_2020.xlsx]原始数据'!$A:$A,0)),""))</f>
        <v/>
      </c>
      <c r="R159">
        <f>IF($A159="","",IFERROR(INDEX('[AQ_2021.xlsx]原始数据'!$E:$E,MATCH($A159,'[AQ_2021.xlsx]原始数据'!$A:$A,0)),""))</f>
        <v/>
      </c>
      <c r="S159">
        <f>IF($A159="","",IFERROR(INDEX('[AQ_2022.xlsx]原始数据'!$E:$E,MATCH($A159,'[AQ_2022.xlsx]原始数据'!$A:$A,0)),""))</f>
        <v/>
      </c>
      <c r="T159">
        <f>IF($A159="","",IFERROR(INDEX('[AQ_2023.xlsx]原始数据'!$E:$E,MATCH($A159,'[AQ_2023.xlsx]原始数据'!$A:$A,0)),""))</f>
        <v/>
      </c>
      <c r="U159">
        <f>IF($A159="","",IFERROR(INDEX('[AQ_2024.xlsx]原始数据'!$E:$E,MATCH($A159,'[AQ_2024.xlsx]原始数据'!$A:$A,0)),""))</f>
        <v/>
      </c>
      <c r="V159">
        <f>IF($A159="","",IFERROR(INDEX('[AQ_2020.xlsx]原始数据'!$F:$F,MATCH($A159,'[AQ_2020.xlsx]原始数据'!$A:$A,0)),""))</f>
        <v/>
      </c>
      <c r="W159">
        <f>IF($A159="","",IFERROR(INDEX('[AQ_2021.xlsx]原始数据'!$F:$F,MATCH($A159,'[AQ_2021.xlsx]原始数据'!$A:$A,0)),""))</f>
        <v/>
      </c>
      <c r="X159">
        <f>IF($A159="","",IFERROR(INDEX('[AQ_2022.xlsx]原始数据'!$F:$F,MATCH($A159,'[AQ_2022.xlsx]原始数据'!$A:$A,0)),""))</f>
        <v/>
      </c>
      <c r="Y159">
        <f>IF($A159="","",IFERROR(INDEX('[AQ_2023.xlsx]原始数据'!$F:$F,MATCH($A159,'[AQ_2023.xlsx]原始数据'!$A:$A,0)),""))</f>
        <v/>
      </c>
      <c r="Z159">
        <f>IF($A159="","",IFERROR(INDEX('[AQ_2024.xlsx]原始数据'!$F:$F,MATCH($A159,'[AQ_2024.xlsx]原始数据'!$A:$A,0)),""))</f>
        <v/>
      </c>
      <c r="AA159" s="2">
        <f>IFERROR(G159/B159,"")</f>
        <v/>
      </c>
      <c r="AB159" s="2">
        <f>IFERROR(H159/C159,"")</f>
        <v/>
      </c>
      <c r="AC159" s="2">
        <f>IFERROR(I159/D159,"")</f>
        <v/>
      </c>
      <c r="AD159" s="2">
        <f>IFERROR(J159/E159,"")</f>
        <v/>
      </c>
      <c r="AE159" s="2">
        <f>IFERROR(K159/F159,"")</f>
        <v/>
      </c>
      <c r="AF159" s="2">
        <f>IFERROR(L159/B159,"")</f>
        <v/>
      </c>
      <c r="AG159" s="2">
        <f>IFERROR(M159/C159,"")</f>
        <v/>
      </c>
      <c r="AH159" s="2">
        <f>IFERROR(N159/D159,"")</f>
        <v/>
      </c>
      <c r="AI159" s="2">
        <f>IFERROR(O159/E159,"")</f>
        <v/>
      </c>
      <c r="AJ159" s="2">
        <f>IFERROR(P159/F159,"")</f>
        <v/>
      </c>
      <c r="AK159" s="2">
        <f>IFERROR(Q159/B159,"")</f>
        <v/>
      </c>
      <c r="AL159" s="2">
        <f>IFERROR(R159/C159,"")</f>
        <v/>
      </c>
      <c r="AM159" s="2">
        <f>IFERROR(S159/D159,"")</f>
        <v/>
      </c>
      <c r="AN159" s="2">
        <f>IFERROR(T159/E159,"")</f>
        <v/>
      </c>
      <c r="AO159" s="2">
        <f>IFERROR(U159/F159,"")</f>
        <v/>
      </c>
    </row>
    <row r="160">
      <c r="B160">
        <f>IF($A160="","",IFERROR(INDEX('[AQ_2020.xlsx]原始数据'!$B:$B,MATCH($A160,'[AQ_2020.xlsx]原始数据'!$A:$A,0)),""))</f>
        <v/>
      </c>
      <c r="C160">
        <f>IF($A160="","",IFERROR(INDEX('[AQ_2021.xlsx]原始数据'!$B:$B,MATCH($A160,'[AQ_2021.xlsx]原始数据'!$A:$A,0)),""))</f>
        <v/>
      </c>
      <c r="D160">
        <f>IF($A160="","",IFERROR(INDEX('[AQ_2022.xlsx]原始数据'!$B:$B,MATCH($A160,'[AQ_2022.xlsx]原始数据'!$A:$A,0)),""))</f>
        <v/>
      </c>
      <c r="E160">
        <f>IF($A160="","",IFERROR(INDEX('[AQ_2023.xlsx]原始数据'!$B:$B,MATCH($A160,'[AQ_2023.xlsx]原始数据'!$A:$A,0)),""))</f>
        <v/>
      </c>
      <c r="F160">
        <f>IF($A160="","",IFERROR(INDEX('[AQ_2024.xlsx]原始数据'!$B:$B,MATCH($A160,'[AQ_2024.xlsx]原始数据'!$A:$A,0)),""))</f>
        <v/>
      </c>
      <c r="G160">
        <f>IF($A160="","",IFERROR(INDEX('[AQ_2020.xlsx]原始数据'!$C:$C,MATCH($A160,'[AQ_2020.xlsx]原始数据'!$A:$A,0)),""))</f>
        <v/>
      </c>
      <c r="H160">
        <f>IF($A160="","",IFERROR(INDEX('[AQ_2021.xlsx]原始数据'!$C:$C,MATCH($A160,'[AQ_2021.xlsx]原始数据'!$A:$A,0)),""))</f>
        <v/>
      </c>
      <c r="I160">
        <f>IF($A160="","",IFERROR(INDEX('[AQ_2022.xlsx]原始数据'!$C:$C,MATCH($A160,'[AQ_2022.xlsx]原始数据'!$A:$A,0)),""))</f>
        <v/>
      </c>
      <c r="J160">
        <f>IF($A160="","",IFERROR(INDEX('[AQ_2023.xlsx]原始数据'!$C:$C,MATCH($A160,'[AQ_2023.xlsx]原始数据'!$A:$A,0)),""))</f>
        <v/>
      </c>
      <c r="K160">
        <f>IF($A160="","",IFERROR(INDEX('[AQ_2024.xlsx]原始数据'!$C:$C,MATCH($A160,'[AQ_2024.xlsx]原始数据'!$A:$A,0)),""))</f>
        <v/>
      </c>
      <c r="L160">
        <f>IF($A160="","",IFERROR(INDEX('[AQ_2020.xlsx]原始数据'!$D:$D,MATCH($A160,'[AQ_2020.xlsx]原始数据'!$A:$A,0)),""))</f>
        <v/>
      </c>
      <c r="M160">
        <f>IF($A160="","",IFERROR(INDEX('[AQ_2021.xlsx]原始数据'!$D:$D,MATCH($A160,'[AQ_2021.xlsx]原始数据'!$A:$A,0)),""))</f>
        <v/>
      </c>
      <c r="N160">
        <f>IF($A160="","",IFERROR(INDEX('[AQ_2022.xlsx]原始数据'!$D:$D,MATCH($A160,'[AQ_2022.xlsx]原始数据'!$A:$A,0)),""))</f>
        <v/>
      </c>
      <c r="O160">
        <f>IF($A160="","",IFERROR(INDEX('[AQ_2023.xlsx]原始数据'!$D:$D,MATCH($A160,'[AQ_2023.xlsx]原始数据'!$A:$A,0)),""))</f>
        <v/>
      </c>
      <c r="P160">
        <f>IF($A160="","",IFERROR(INDEX('[AQ_2024.xlsx]原始数据'!$D:$D,MATCH($A160,'[AQ_2024.xlsx]原始数据'!$A:$A,0)),""))</f>
        <v/>
      </c>
      <c r="Q160">
        <f>IF($A160="","",IFERROR(INDEX('[AQ_2020.xlsx]原始数据'!$E:$E,MATCH($A160,'[AQ_2020.xlsx]原始数据'!$A:$A,0)),""))</f>
        <v/>
      </c>
      <c r="R160">
        <f>IF($A160="","",IFERROR(INDEX('[AQ_2021.xlsx]原始数据'!$E:$E,MATCH($A160,'[AQ_2021.xlsx]原始数据'!$A:$A,0)),""))</f>
        <v/>
      </c>
      <c r="S160">
        <f>IF($A160="","",IFERROR(INDEX('[AQ_2022.xlsx]原始数据'!$E:$E,MATCH($A160,'[AQ_2022.xlsx]原始数据'!$A:$A,0)),""))</f>
        <v/>
      </c>
      <c r="T160">
        <f>IF($A160="","",IFERROR(INDEX('[AQ_2023.xlsx]原始数据'!$E:$E,MATCH($A160,'[AQ_2023.xlsx]原始数据'!$A:$A,0)),""))</f>
        <v/>
      </c>
      <c r="U160">
        <f>IF($A160="","",IFERROR(INDEX('[AQ_2024.xlsx]原始数据'!$E:$E,MATCH($A160,'[AQ_2024.xlsx]原始数据'!$A:$A,0)),""))</f>
        <v/>
      </c>
      <c r="V160">
        <f>IF($A160="","",IFERROR(INDEX('[AQ_2020.xlsx]原始数据'!$F:$F,MATCH($A160,'[AQ_2020.xlsx]原始数据'!$A:$A,0)),""))</f>
        <v/>
      </c>
      <c r="W160">
        <f>IF($A160="","",IFERROR(INDEX('[AQ_2021.xlsx]原始数据'!$F:$F,MATCH($A160,'[AQ_2021.xlsx]原始数据'!$A:$A,0)),""))</f>
        <v/>
      </c>
      <c r="X160">
        <f>IF($A160="","",IFERROR(INDEX('[AQ_2022.xlsx]原始数据'!$F:$F,MATCH($A160,'[AQ_2022.xlsx]原始数据'!$A:$A,0)),""))</f>
        <v/>
      </c>
      <c r="Y160">
        <f>IF($A160="","",IFERROR(INDEX('[AQ_2023.xlsx]原始数据'!$F:$F,MATCH($A160,'[AQ_2023.xlsx]原始数据'!$A:$A,0)),""))</f>
        <v/>
      </c>
      <c r="Z160">
        <f>IF($A160="","",IFERROR(INDEX('[AQ_2024.xlsx]原始数据'!$F:$F,MATCH($A160,'[AQ_2024.xlsx]原始数据'!$A:$A,0)),""))</f>
        <v/>
      </c>
      <c r="AA160" s="2">
        <f>IFERROR(G160/B160,"")</f>
        <v/>
      </c>
      <c r="AB160" s="2">
        <f>IFERROR(H160/C160,"")</f>
        <v/>
      </c>
      <c r="AC160" s="2">
        <f>IFERROR(I160/D160,"")</f>
        <v/>
      </c>
      <c r="AD160" s="2">
        <f>IFERROR(J160/E160,"")</f>
        <v/>
      </c>
      <c r="AE160" s="2">
        <f>IFERROR(K160/F160,"")</f>
        <v/>
      </c>
      <c r="AF160" s="2">
        <f>IFERROR(L160/B160,"")</f>
        <v/>
      </c>
      <c r="AG160" s="2">
        <f>IFERROR(M160/C160,"")</f>
        <v/>
      </c>
      <c r="AH160" s="2">
        <f>IFERROR(N160/D160,"")</f>
        <v/>
      </c>
      <c r="AI160" s="2">
        <f>IFERROR(O160/E160,"")</f>
        <v/>
      </c>
      <c r="AJ160" s="2">
        <f>IFERROR(P160/F160,"")</f>
        <v/>
      </c>
      <c r="AK160" s="2">
        <f>IFERROR(Q160/B160,"")</f>
        <v/>
      </c>
      <c r="AL160" s="2">
        <f>IFERROR(R160/C160,"")</f>
        <v/>
      </c>
      <c r="AM160" s="2">
        <f>IFERROR(S160/D160,"")</f>
        <v/>
      </c>
      <c r="AN160" s="2">
        <f>IFERROR(T160/E160,"")</f>
        <v/>
      </c>
      <c r="AO160" s="2">
        <f>IFERROR(U160/F160,"")</f>
        <v/>
      </c>
    </row>
    <row r="161">
      <c r="B161">
        <f>IF($A161="","",IFERROR(INDEX('[AQ_2020.xlsx]原始数据'!$B:$B,MATCH($A161,'[AQ_2020.xlsx]原始数据'!$A:$A,0)),""))</f>
        <v/>
      </c>
      <c r="C161">
        <f>IF($A161="","",IFERROR(INDEX('[AQ_2021.xlsx]原始数据'!$B:$B,MATCH($A161,'[AQ_2021.xlsx]原始数据'!$A:$A,0)),""))</f>
        <v/>
      </c>
      <c r="D161">
        <f>IF($A161="","",IFERROR(INDEX('[AQ_2022.xlsx]原始数据'!$B:$B,MATCH($A161,'[AQ_2022.xlsx]原始数据'!$A:$A,0)),""))</f>
        <v/>
      </c>
      <c r="E161">
        <f>IF($A161="","",IFERROR(INDEX('[AQ_2023.xlsx]原始数据'!$B:$B,MATCH($A161,'[AQ_2023.xlsx]原始数据'!$A:$A,0)),""))</f>
        <v/>
      </c>
      <c r="F161">
        <f>IF($A161="","",IFERROR(INDEX('[AQ_2024.xlsx]原始数据'!$B:$B,MATCH($A161,'[AQ_2024.xlsx]原始数据'!$A:$A,0)),""))</f>
        <v/>
      </c>
      <c r="G161">
        <f>IF($A161="","",IFERROR(INDEX('[AQ_2020.xlsx]原始数据'!$C:$C,MATCH($A161,'[AQ_2020.xlsx]原始数据'!$A:$A,0)),""))</f>
        <v/>
      </c>
      <c r="H161">
        <f>IF($A161="","",IFERROR(INDEX('[AQ_2021.xlsx]原始数据'!$C:$C,MATCH($A161,'[AQ_2021.xlsx]原始数据'!$A:$A,0)),""))</f>
        <v/>
      </c>
      <c r="I161">
        <f>IF($A161="","",IFERROR(INDEX('[AQ_2022.xlsx]原始数据'!$C:$C,MATCH($A161,'[AQ_2022.xlsx]原始数据'!$A:$A,0)),""))</f>
        <v/>
      </c>
      <c r="J161">
        <f>IF($A161="","",IFERROR(INDEX('[AQ_2023.xlsx]原始数据'!$C:$C,MATCH($A161,'[AQ_2023.xlsx]原始数据'!$A:$A,0)),""))</f>
        <v/>
      </c>
      <c r="K161">
        <f>IF($A161="","",IFERROR(INDEX('[AQ_2024.xlsx]原始数据'!$C:$C,MATCH($A161,'[AQ_2024.xlsx]原始数据'!$A:$A,0)),""))</f>
        <v/>
      </c>
      <c r="L161">
        <f>IF($A161="","",IFERROR(INDEX('[AQ_2020.xlsx]原始数据'!$D:$D,MATCH($A161,'[AQ_2020.xlsx]原始数据'!$A:$A,0)),""))</f>
        <v/>
      </c>
      <c r="M161">
        <f>IF($A161="","",IFERROR(INDEX('[AQ_2021.xlsx]原始数据'!$D:$D,MATCH($A161,'[AQ_2021.xlsx]原始数据'!$A:$A,0)),""))</f>
        <v/>
      </c>
      <c r="N161">
        <f>IF($A161="","",IFERROR(INDEX('[AQ_2022.xlsx]原始数据'!$D:$D,MATCH($A161,'[AQ_2022.xlsx]原始数据'!$A:$A,0)),""))</f>
        <v/>
      </c>
      <c r="O161">
        <f>IF($A161="","",IFERROR(INDEX('[AQ_2023.xlsx]原始数据'!$D:$D,MATCH($A161,'[AQ_2023.xlsx]原始数据'!$A:$A,0)),""))</f>
        <v/>
      </c>
      <c r="P161">
        <f>IF($A161="","",IFERROR(INDEX('[AQ_2024.xlsx]原始数据'!$D:$D,MATCH($A161,'[AQ_2024.xlsx]原始数据'!$A:$A,0)),""))</f>
        <v/>
      </c>
      <c r="Q161">
        <f>IF($A161="","",IFERROR(INDEX('[AQ_2020.xlsx]原始数据'!$E:$E,MATCH($A161,'[AQ_2020.xlsx]原始数据'!$A:$A,0)),""))</f>
        <v/>
      </c>
      <c r="R161">
        <f>IF($A161="","",IFERROR(INDEX('[AQ_2021.xlsx]原始数据'!$E:$E,MATCH($A161,'[AQ_2021.xlsx]原始数据'!$A:$A,0)),""))</f>
        <v/>
      </c>
      <c r="S161">
        <f>IF($A161="","",IFERROR(INDEX('[AQ_2022.xlsx]原始数据'!$E:$E,MATCH($A161,'[AQ_2022.xlsx]原始数据'!$A:$A,0)),""))</f>
        <v/>
      </c>
      <c r="T161">
        <f>IF($A161="","",IFERROR(INDEX('[AQ_2023.xlsx]原始数据'!$E:$E,MATCH($A161,'[AQ_2023.xlsx]原始数据'!$A:$A,0)),""))</f>
        <v/>
      </c>
      <c r="U161">
        <f>IF($A161="","",IFERROR(INDEX('[AQ_2024.xlsx]原始数据'!$E:$E,MATCH($A161,'[AQ_2024.xlsx]原始数据'!$A:$A,0)),""))</f>
        <v/>
      </c>
      <c r="V161">
        <f>IF($A161="","",IFERROR(INDEX('[AQ_2020.xlsx]原始数据'!$F:$F,MATCH($A161,'[AQ_2020.xlsx]原始数据'!$A:$A,0)),""))</f>
        <v/>
      </c>
      <c r="W161">
        <f>IF($A161="","",IFERROR(INDEX('[AQ_2021.xlsx]原始数据'!$F:$F,MATCH($A161,'[AQ_2021.xlsx]原始数据'!$A:$A,0)),""))</f>
        <v/>
      </c>
      <c r="X161">
        <f>IF($A161="","",IFERROR(INDEX('[AQ_2022.xlsx]原始数据'!$F:$F,MATCH($A161,'[AQ_2022.xlsx]原始数据'!$A:$A,0)),""))</f>
        <v/>
      </c>
      <c r="Y161">
        <f>IF($A161="","",IFERROR(INDEX('[AQ_2023.xlsx]原始数据'!$F:$F,MATCH($A161,'[AQ_2023.xlsx]原始数据'!$A:$A,0)),""))</f>
        <v/>
      </c>
      <c r="Z161">
        <f>IF($A161="","",IFERROR(INDEX('[AQ_2024.xlsx]原始数据'!$F:$F,MATCH($A161,'[AQ_2024.xlsx]原始数据'!$A:$A,0)),""))</f>
        <v/>
      </c>
      <c r="AA161" s="2">
        <f>IFERROR(G161/B161,"")</f>
        <v/>
      </c>
      <c r="AB161" s="2">
        <f>IFERROR(H161/C161,"")</f>
        <v/>
      </c>
      <c r="AC161" s="2">
        <f>IFERROR(I161/D161,"")</f>
        <v/>
      </c>
      <c r="AD161" s="2">
        <f>IFERROR(J161/E161,"")</f>
        <v/>
      </c>
      <c r="AE161" s="2">
        <f>IFERROR(K161/F161,"")</f>
        <v/>
      </c>
      <c r="AF161" s="2">
        <f>IFERROR(L161/B161,"")</f>
        <v/>
      </c>
      <c r="AG161" s="2">
        <f>IFERROR(M161/C161,"")</f>
        <v/>
      </c>
      <c r="AH161" s="2">
        <f>IFERROR(N161/D161,"")</f>
        <v/>
      </c>
      <c r="AI161" s="2">
        <f>IFERROR(O161/E161,"")</f>
        <v/>
      </c>
      <c r="AJ161" s="2">
        <f>IFERROR(P161/F161,"")</f>
        <v/>
      </c>
      <c r="AK161" s="2">
        <f>IFERROR(Q161/B161,"")</f>
        <v/>
      </c>
      <c r="AL161" s="2">
        <f>IFERROR(R161/C161,"")</f>
        <v/>
      </c>
      <c r="AM161" s="2">
        <f>IFERROR(S161/D161,"")</f>
        <v/>
      </c>
      <c r="AN161" s="2">
        <f>IFERROR(T161/E161,"")</f>
        <v/>
      </c>
      <c r="AO161" s="2">
        <f>IFERROR(U161/F161,"")</f>
        <v/>
      </c>
    </row>
    <row r="162">
      <c r="B162">
        <f>IF($A162="","",IFERROR(INDEX('[AQ_2020.xlsx]原始数据'!$B:$B,MATCH($A162,'[AQ_2020.xlsx]原始数据'!$A:$A,0)),""))</f>
        <v/>
      </c>
      <c r="C162">
        <f>IF($A162="","",IFERROR(INDEX('[AQ_2021.xlsx]原始数据'!$B:$B,MATCH($A162,'[AQ_2021.xlsx]原始数据'!$A:$A,0)),""))</f>
        <v/>
      </c>
      <c r="D162">
        <f>IF($A162="","",IFERROR(INDEX('[AQ_2022.xlsx]原始数据'!$B:$B,MATCH($A162,'[AQ_2022.xlsx]原始数据'!$A:$A,0)),""))</f>
        <v/>
      </c>
      <c r="E162">
        <f>IF($A162="","",IFERROR(INDEX('[AQ_2023.xlsx]原始数据'!$B:$B,MATCH($A162,'[AQ_2023.xlsx]原始数据'!$A:$A,0)),""))</f>
        <v/>
      </c>
      <c r="F162">
        <f>IF($A162="","",IFERROR(INDEX('[AQ_2024.xlsx]原始数据'!$B:$B,MATCH($A162,'[AQ_2024.xlsx]原始数据'!$A:$A,0)),""))</f>
        <v/>
      </c>
      <c r="G162">
        <f>IF($A162="","",IFERROR(INDEX('[AQ_2020.xlsx]原始数据'!$C:$C,MATCH($A162,'[AQ_2020.xlsx]原始数据'!$A:$A,0)),""))</f>
        <v/>
      </c>
      <c r="H162">
        <f>IF($A162="","",IFERROR(INDEX('[AQ_2021.xlsx]原始数据'!$C:$C,MATCH($A162,'[AQ_2021.xlsx]原始数据'!$A:$A,0)),""))</f>
        <v/>
      </c>
      <c r="I162">
        <f>IF($A162="","",IFERROR(INDEX('[AQ_2022.xlsx]原始数据'!$C:$C,MATCH($A162,'[AQ_2022.xlsx]原始数据'!$A:$A,0)),""))</f>
        <v/>
      </c>
      <c r="J162">
        <f>IF($A162="","",IFERROR(INDEX('[AQ_2023.xlsx]原始数据'!$C:$C,MATCH($A162,'[AQ_2023.xlsx]原始数据'!$A:$A,0)),""))</f>
        <v/>
      </c>
      <c r="K162">
        <f>IF($A162="","",IFERROR(INDEX('[AQ_2024.xlsx]原始数据'!$C:$C,MATCH($A162,'[AQ_2024.xlsx]原始数据'!$A:$A,0)),""))</f>
        <v/>
      </c>
      <c r="L162">
        <f>IF($A162="","",IFERROR(INDEX('[AQ_2020.xlsx]原始数据'!$D:$D,MATCH($A162,'[AQ_2020.xlsx]原始数据'!$A:$A,0)),""))</f>
        <v/>
      </c>
      <c r="M162">
        <f>IF($A162="","",IFERROR(INDEX('[AQ_2021.xlsx]原始数据'!$D:$D,MATCH($A162,'[AQ_2021.xlsx]原始数据'!$A:$A,0)),""))</f>
        <v/>
      </c>
      <c r="N162">
        <f>IF($A162="","",IFERROR(INDEX('[AQ_2022.xlsx]原始数据'!$D:$D,MATCH($A162,'[AQ_2022.xlsx]原始数据'!$A:$A,0)),""))</f>
        <v/>
      </c>
      <c r="O162">
        <f>IF($A162="","",IFERROR(INDEX('[AQ_2023.xlsx]原始数据'!$D:$D,MATCH($A162,'[AQ_2023.xlsx]原始数据'!$A:$A,0)),""))</f>
        <v/>
      </c>
      <c r="P162">
        <f>IF($A162="","",IFERROR(INDEX('[AQ_2024.xlsx]原始数据'!$D:$D,MATCH($A162,'[AQ_2024.xlsx]原始数据'!$A:$A,0)),""))</f>
        <v/>
      </c>
      <c r="Q162">
        <f>IF($A162="","",IFERROR(INDEX('[AQ_2020.xlsx]原始数据'!$E:$E,MATCH($A162,'[AQ_2020.xlsx]原始数据'!$A:$A,0)),""))</f>
        <v/>
      </c>
      <c r="R162">
        <f>IF($A162="","",IFERROR(INDEX('[AQ_2021.xlsx]原始数据'!$E:$E,MATCH($A162,'[AQ_2021.xlsx]原始数据'!$A:$A,0)),""))</f>
        <v/>
      </c>
      <c r="S162">
        <f>IF($A162="","",IFERROR(INDEX('[AQ_2022.xlsx]原始数据'!$E:$E,MATCH($A162,'[AQ_2022.xlsx]原始数据'!$A:$A,0)),""))</f>
        <v/>
      </c>
      <c r="T162">
        <f>IF($A162="","",IFERROR(INDEX('[AQ_2023.xlsx]原始数据'!$E:$E,MATCH($A162,'[AQ_2023.xlsx]原始数据'!$A:$A,0)),""))</f>
        <v/>
      </c>
      <c r="U162">
        <f>IF($A162="","",IFERROR(INDEX('[AQ_2024.xlsx]原始数据'!$E:$E,MATCH($A162,'[AQ_2024.xlsx]原始数据'!$A:$A,0)),""))</f>
        <v/>
      </c>
      <c r="V162">
        <f>IF($A162="","",IFERROR(INDEX('[AQ_2020.xlsx]原始数据'!$F:$F,MATCH($A162,'[AQ_2020.xlsx]原始数据'!$A:$A,0)),""))</f>
        <v/>
      </c>
      <c r="W162">
        <f>IF($A162="","",IFERROR(INDEX('[AQ_2021.xlsx]原始数据'!$F:$F,MATCH($A162,'[AQ_2021.xlsx]原始数据'!$A:$A,0)),""))</f>
        <v/>
      </c>
      <c r="X162">
        <f>IF($A162="","",IFERROR(INDEX('[AQ_2022.xlsx]原始数据'!$F:$F,MATCH($A162,'[AQ_2022.xlsx]原始数据'!$A:$A,0)),""))</f>
        <v/>
      </c>
      <c r="Y162">
        <f>IF($A162="","",IFERROR(INDEX('[AQ_2023.xlsx]原始数据'!$F:$F,MATCH($A162,'[AQ_2023.xlsx]原始数据'!$A:$A,0)),""))</f>
        <v/>
      </c>
      <c r="Z162">
        <f>IF($A162="","",IFERROR(INDEX('[AQ_2024.xlsx]原始数据'!$F:$F,MATCH($A162,'[AQ_2024.xlsx]原始数据'!$A:$A,0)),""))</f>
        <v/>
      </c>
      <c r="AA162" s="2">
        <f>IFERROR(G162/B162,"")</f>
        <v/>
      </c>
      <c r="AB162" s="2">
        <f>IFERROR(H162/C162,"")</f>
        <v/>
      </c>
      <c r="AC162" s="2">
        <f>IFERROR(I162/D162,"")</f>
        <v/>
      </c>
      <c r="AD162" s="2">
        <f>IFERROR(J162/E162,"")</f>
        <v/>
      </c>
      <c r="AE162" s="2">
        <f>IFERROR(K162/F162,"")</f>
        <v/>
      </c>
      <c r="AF162" s="2">
        <f>IFERROR(L162/B162,"")</f>
        <v/>
      </c>
      <c r="AG162" s="2">
        <f>IFERROR(M162/C162,"")</f>
        <v/>
      </c>
      <c r="AH162" s="2">
        <f>IFERROR(N162/D162,"")</f>
        <v/>
      </c>
      <c r="AI162" s="2">
        <f>IFERROR(O162/E162,"")</f>
        <v/>
      </c>
      <c r="AJ162" s="2">
        <f>IFERROR(P162/F162,"")</f>
        <v/>
      </c>
      <c r="AK162" s="2">
        <f>IFERROR(Q162/B162,"")</f>
        <v/>
      </c>
      <c r="AL162" s="2">
        <f>IFERROR(R162/C162,"")</f>
        <v/>
      </c>
      <c r="AM162" s="2">
        <f>IFERROR(S162/D162,"")</f>
        <v/>
      </c>
      <c r="AN162" s="2">
        <f>IFERROR(T162/E162,"")</f>
        <v/>
      </c>
      <c r="AO162" s="2">
        <f>IFERROR(U162/F162,"")</f>
        <v/>
      </c>
    </row>
    <row r="163">
      <c r="B163">
        <f>IF($A163="","",IFERROR(INDEX('[AQ_2020.xlsx]原始数据'!$B:$B,MATCH($A163,'[AQ_2020.xlsx]原始数据'!$A:$A,0)),""))</f>
        <v/>
      </c>
      <c r="C163">
        <f>IF($A163="","",IFERROR(INDEX('[AQ_2021.xlsx]原始数据'!$B:$B,MATCH($A163,'[AQ_2021.xlsx]原始数据'!$A:$A,0)),""))</f>
        <v/>
      </c>
      <c r="D163">
        <f>IF($A163="","",IFERROR(INDEX('[AQ_2022.xlsx]原始数据'!$B:$B,MATCH($A163,'[AQ_2022.xlsx]原始数据'!$A:$A,0)),""))</f>
        <v/>
      </c>
      <c r="E163">
        <f>IF($A163="","",IFERROR(INDEX('[AQ_2023.xlsx]原始数据'!$B:$B,MATCH($A163,'[AQ_2023.xlsx]原始数据'!$A:$A,0)),""))</f>
        <v/>
      </c>
      <c r="F163">
        <f>IF($A163="","",IFERROR(INDEX('[AQ_2024.xlsx]原始数据'!$B:$B,MATCH($A163,'[AQ_2024.xlsx]原始数据'!$A:$A,0)),""))</f>
        <v/>
      </c>
      <c r="G163">
        <f>IF($A163="","",IFERROR(INDEX('[AQ_2020.xlsx]原始数据'!$C:$C,MATCH($A163,'[AQ_2020.xlsx]原始数据'!$A:$A,0)),""))</f>
        <v/>
      </c>
      <c r="H163">
        <f>IF($A163="","",IFERROR(INDEX('[AQ_2021.xlsx]原始数据'!$C:$C,MATCH($A163,'[AQ_2021.xlsx]原始数据'!$A:$A,0)),""))</f>
        <v/>
      </c>
      <c r="I163">
        <f>IF($A163="","",IFERROR(INDEX('[AQ_2022.xlsx]原始数据'!$C:$C,MATCH($A163,'[AQ_2022.xlsx]原始数据'!$A:$A,0)),""))</f>
        <v/>
      </c>
      <c r="J163">
        <f>IF($A163="","",IFERROR(INDEX('[AQ_2023.xlsx]原始数据'!$C:$C,MATCH($A163,'[AQ_2023.xlsx]原始数据'!$A:$A,0)),""))</f>
        <v/>
      </c>
      <c r="K163">
        <f>IF($A163="","",IFERROR(INDEX('[AQ_2024.xlsx]原始数据'!$C:$C,MATCH($A163,'[AQ_2024.xlsx]原始数据'!$A:$A,0)),""))</f>
        <v/>
      </c>
      <c r="L163">
        <f>IF($A163="","",IFERROR(INDEX('[AQ_2020.xlsx]原始数据'!$D:$D,MATCH($A163,'[AQ_2020.xlsx]原始数据'!$A:$A,0)),""))</f>
        <v/>
      </c>
      <c r="M163">
        <f>IF($A163="","",IFERROR(INDEX('[AQ_2021.xlsx]原始数据'!$D:$D,MATCH($A163,'[AQ_2021.xlsx]原始数据'!$A:$A,0)),""))</f>
        <v/>
      </c>
      <c r="N163">
        <f>IF($A163="","",IFERROR(INDEX('[AQ_2022.xlsx]原始数据'!$D:$D,MATCH($A163,'[AQ_2022.xlsx]原始数据'!$A:$A,0)),""))</f>
        <v/>
      </c>
      <c r="O163">
        <f>IF($A163="","",IFERROR(INDEX('[AQ_2023.xlsx]原始数据'!$D:$D,MATCH($A163,'[AQ_2023.xlsx]原始数据'!$A:$A,0)),""))</f>
        <v/>
      </c>
      <c r="P163">
        <f>IF($A163="","",IFERROR(INDEX('[AQ_2024.xlsx]原始数据'!$D:$D,MATCH($A163,'[AQ_2024.xlsx]原始数据'!$A:$A,0)),""))</f>
        <v/>
      </c>
      <c r="Q163">
        <f>IF($A163="","",IFERROR(INDEX('[AQ_2020.xlsx]原始数据'!$E:$E,MATCH($A163,'[AQ_2020.xlsx]原始数据'!$A:$A,0)),""))</f>
        <v/>
      </c>
      <c r="R163">
        <f>IF($A163="","",IFERROR(INDEX('[AQ_2021.xlsx]原始数据'!$E:$E,MATCH($A163,'[AQ_2021.xlsx]原始数据'!$A:$A,0)),""))</f>
        <v/>
      </c>
      <c r="S163">
        <f>IF($A163="","",IFERROR(INDEX('[AQ_2022.xlsx]原始数据'!$E:$E,MATCH($A163,'[AQ_2022.xlsx]原始数据'!$A:$A,0)),""))</f>
        <v/>
      </c>
      <c r="T163">
        <f>IF($A163="","",IFERROR(INDEX('[AQ_2023.xlsx]原始数据'!$E:$E,MATCH($A163,'[AQ_2023.xlsx]原始数据'!$A:$A,0)),""))</f>
        <v/>
      </c>
      <c r="U163">
        <f>IF($A163="","",IFERROR(INDEX('[AQ_2024.xlsx]原始数据'!$E:$E,MATCH($A163,'[AQ_2024.xlsx]原始数据'!$A:$A,0)),""))</f>
        <v/>
      </c>
      <c r="V163">
        <f>IF($A163="","",IFERROR(INDEX('[AQ_2020.xlsx]原始数据'!$F:$F,MATCH($A163,'[AQ_2020.xlsx]原始数据'!$A:$A,0)),""))</f>
        <v/>
      </c>
      <c r="W163">
        <f>IF($A163="","",IFERROR(INDEX('[AQ_2021.xlsx]原始数据'!$F:$F,MATCH($A163,'[AQ_2021.xlsx]原始数据'!$A:$A,0)),""))</f>
        <v/>
      </c>
      <c r="X163">
        <f>IF($A163="","",IFERROR(INDEX('[AQ_2022.xlsx]原始数据'!$F:$F,MATCH($A163,'[AQ_2022.xlsx]原始数据'!$A:$A,0)),""))</f>
        <v/>
      </c>
      <c r="Y163">
        <f>IF($A163="","",IFERROR(INDEX('[AQ_2023.xlsx]原始数据'!$F:$F,MATCH($A163,'[AQ_2023.xlsx]原始数据'!$A:$A,0)),""))</f>
        <v/>
      </c>
      <c r="Z163">
        <f>IF($A163="","",IFERROR(INDEX('[AQ_2024.xlsx]原始数据'!$F:$F,MATCH($A163,'[AQ_2024.xlsx]原始数据'!$A:$A,0)),""))</f>
        <v/>
      </c>
      <c r="AA163" s="2">
        <f>IFERROR(G163/B163,"")</f>
        <v/>
      </c>
      <c r="AB163" s="2">
        <f>IFERROR(H163/C163,"")</f>
        <v/>
      </c>
      <c r="AC163" s="2">
        <f>IFERROR(I163/D163,"")</f>
        <v/>
      </c>
      <c r="AD163" s="2">
        <f>IFERROR(J163/E163,"")</f>
        <v/>
      </c>
      <c r="AE163" s="2">
        <f>IFERROR(K163/F163,"")</f>
        <v/>
      </c>
      <c r="AF163" s="2">
        <f>IFERROR(L163/B163,"")</f>
        <v/>
      </c>
      <c r="AG163" s="2">
        <f>IFERROR(M163/C163,"")</f>
        <v/>
      </c>
      <c r="AH163" s="2">
        <f>IFERROR(N163/D163,"")</f>
        <v/>
      </c>
      <c r="AI163" s="2">
        <f>IFERROR(O163/E163,"")</f>
        <v/>
      </c>
      <c r="AJ163" s="2">
        <f>IFERROR(P163/F163,"")</f>
        <v/>
      </c>
      <c r="AK163" s="2">
        <f>IFERROR(Q163/B163,"")</f>
        <v/>
      </c>
      <c r="AL163" s="2">
        <f>IFERROR(R163/C163,"")</f>
        <v/>
      </c>
      <c r="AM163" s="2">
        <f>IFERROR(S163/D163,"")</f>
        <v/>
      </c>
      <c r="AN163" s="2">
        <f>IFERROR(T163/E163,"")</f>
        <v/>
      </c>
      <c r="AO163" s="2">
        <f>IFERROR(U163/F163,"")</f>
        <v/>
      </c>
    </row>
    <row r="164">
      <c r="B164">
        <f>IF($A164="","",IFERROR(INDEX('[AQ_2020.xlsx]原始数据'!$B:$B,MATCH($A164,'[AQ_2020.xlsx]原始数据'!$A:$A,0)),""))</f>
        <v/>
      </c>
      <c r="C164">
        <f>IF($A164="","",IFERROR(INDEX('[AQ_2021.xlsx]原始数据'!$B:$B,MATCH($A164,'[AQ_2021.xlsx]原始数据'!$A:$A,0)),""))</f>
        <v/>
      </c>
      <c r="D164">
        <f>IF($A164="","",IFERROR(INDEX('[AQ_2022.xlsx]原始数据'!$B:$B,MATCH($A164,'[AQ_2022.xlsx]原始数据'!$A:$A,0)),""))</f>
        <v/>
      </c>
      <c r="E164">
        <f>IF($A164="","",IFERROR(INDEX('[AQ_2023.xlsx]原始数据'!$B:$B,MATCH($A164,'[AQ_2023.xlsx]原始数据'!$A:$A,0)),""))</f>
        <v/>
      </c>
      <c r="F164">
        <f>IF($A164="","",IFERROR(INDEX('[AQ_2024.xlsx]原始数据'!$B:$B,MATCH($A164,'[AQ_2024.xlsx]原始数据'!$A:$A,0)),""))</f>
        <v/>
      </c>
      <c r="G164">
        <f>IF($A164="","",IFERROR(INDEX('[AQ_2020.xlsx]原始数据'!$C:$C,MATCH($A164,'[AQ_2020.xlsx]原始数据'!$A:$A,0)),""))</f>
        <v/>
      </c>
      <c r="H164">
        <f>IF($A164="","",IFERROR(INDEX('[AQ_2021.xlsx]原始数据'!$C:$C,MATCH($A164,'[AQ_2021.xlsx]原始数据'!$A:$A,0)),""))</f>
        <v/>
      </c>
      <c r="I164">
        <f>IF($A164="","",IFERROR(INDEX('[AQ_2022.xlsx]原始数据'!$C:$C,MATCH($A164,'[AQ_2022.xlsx]原始数据'!$A:$A,0)),""))</f>
        <v/>
      </c>
      <c r="J164">
        <f>IF($A164="","",IFERROR(INDEX('[AQ_2023.xlsx]原始数据'!$C:$C,MATCH($A164,'[AQ_2023.xlsx]原始数据'!$A:$A,0)),""))</f>
        <v/>
      </c>
      <c r="K164">
        <f>IF($A164="","",IFERROR(INDEX('[AQ_2024.xlsx]原始数据'!$C:$C,MATCH($A164,'[AQ_2024.xlsx]原始数据'!$A:$A,0)),""))</f>
        <v/>
      </c>
      <c r="L164">
        <f>IF($A164="","",IFERROR(INDEX('[AQ_2020.xlsx]原始数据'!$D:$D,MATCH($A164,'[AQ_2020.xlsx]原始数据'!$A:$A,0)),""))</f>
        <v/>
      </c>
      <c r="M164">
        <f>IF($A164="","",IFERROR(INDEX('[AQ_2021.xlsx]原始数据'!$D:$D,MATCH($A164,'[AQ_2021.xlsx]原始数据'!$A:$A,0)),""))</f>
        <v/>
      </c>
      <c r="N164">
        <f>IF($A164="","",IFERROR(INDEX('[AQ_2022.xlsx]原始数据'!$D:$D,MATCH($A164,'[AQ_2022.xlsx]原始数据'!$A:$A,0)),""))</f>
        <v/>
      </c>
      <c r="O164">
        <f>IF($A164="","",IFERROR(INDEX('[AQ_2023.xlsx]原始数据'!$D:$D,MATCH($A164,'[AQ_2023.xlsx]原始数据'!$A:$A,0)),""))</f>
        <v/>
      </c>
      <c r="P164">
        <f>IF($A164="","",IFERROR(INDEX('[AQ_2024.xlsx]原始数据'!$D:$D,MATCH($A164,'[AQ_2024.xlsx]原始数据'!$A:$A,0)),""))</f>
        <v/>
      </c>
      <c r="Q164">
        <f>IF($A164="","",IFERROR(INDEX('[AQ_2020.xlsx]原始数据'!$E:$E,MATCH($A164,'[AQ_2020.xlsx]原始数据'!$A:$A,0)),""))</f>
        <v/>
      </c>
      <c r="R164">
        <f>IF($A164="","",IFERROR(INDEX('[AQ_2021.xlsx]原始数据'!$E:$E,MATCH($A164,'[AQ_2021.xlsx]原始数据'!$A:$A,0)),""))</f>
        <v/>
      </c>
      <c r="S164">
        <f>IF($A164="","",IFERROR(INDEX('[AQ_2022.xlsx]原始数据'!$E:$E,MATCH($A164,'[AQ_2022.xlsx]原始数据'!$A:$A,0)),""))</f>
        <v/>
      </c>
      <c r="T164">
        <f>IF($A164="","",IFERROR(INDEX('[AQ_2023.xlsx]原始数据'!$E:$E,MATCH($A164,'[AQ_2023.xlsx]原始数据'!$A:$A,0)),""))</f>
        <v/>
      </c>
      <c r="U164">
        <f>IF($A164="","",IFERROR(INDEX('[AQ_2024.xlsx]原始数据'!$E:$E,MATCH($A164,'[AQ_2024.xlsx]原始数据'!$A:$A,0)),""))</f>
        <v/>
      </c>
      <c r="V164">
        <f>IF($A164="","",IFERROR(INDEX('[AQ_2020.xlsx]原始数据'!$F:$F,MATCH($A164,'[AQ_2020.xlsx]原始数据'!$A:$A,0)),""))</f>
        <v/>
      </c>
      <c r="W164">
        <f>IF($A164="","",IFERROR(INDEX('[AQ_2021.xlsx]原始数据'!$F:$F,MATCH($A164,'[AQ_2021.xlsx]原始数据'!$A:$A,0)),""))</f>
        <v/>
      </c>
      <c r="X164">
        <f>IF($A164="","",IFERROR(INDEX('[AQ_2022.xlsx]原始数据'!$F:$F,MATCH($A164,'[AQ_2022.xlsx]原始数据'!$A:$A,0)),""))</f>
        <v/>
      </c>
      <c r="Y164">
        <f>IF($A164="","",IFERROR(INDEX('[AQ_2023.xlsx]原始数据'!$F:$F,MATCH($A164,'[AQ_2023.xlsx]原始数据'!$A:$A,0)),""))</f>
        <v/>
      </c>
      <c r="Z164">
        <f>IF($A164="","",IFERROR(INDEX('[AQ_2024.xlsx]原始数据'!$F:$F,MATCH($A164,'[AQ_2024.xlsx]原始数据'!$A:$A,0)),""))</f>
        <v/>
      </c>
      <c r="AA164" s="2">
        <f>IFERROR(G164/B164,"")</f>
        <v/>
      </c>
      <c r="AB164" s="2">
        <f>IFERROR(H164/C164,"")</f>
        <v/>
      </c>
      <c r="AC164" s="2">
        <f>IFERROR(I164/D164,"")</f>
        <v/>
      </c>
      <c r="AD164" s="2">
        <f>IFERROR(J164/E164,"")</f>
        <v/>
      </c>
      <c r="AE164" s="2">
        <f>IFERROR(K164/F164,"")</f>
        <v/>
      </c>
      <c r="AF164" s="2">
        <f>IFERROR(L164/B164,"")</f>
        <v/>
      </c>
      <c r="AG164" s="2">
        <f>IFERROR(M164/C164,"")</f>
        <v/>
      </c>
      <c r="AH164" s="2">
        <f>IFERROR(N164/D164,"")</f>
        <v/>
      </c>
      <c r="AI164" s="2">
        <f>IFERROR(O164/E164,"")</f>
        <v/>
      </c>
      <c r="AJ164" s="2">
        <f>IFERROR(P164/F164,"")</f>
        <v/>
      </c>
      <c r="AK164" s="2">
        <f>IFERROR(Q164/B164,"")</f>
        <v/>
      </c>
      <c r="AL164" s="2">
        <f>IFERROR(R164/C164,"")</f>
        <v/>
      </c>
      <c r="AM164" s="2">
        <f>IFERROR(S164/D164,"")</f>
        <v/>
      </c>
      <c r="AN164" s="2">
        <f>IFERROR(T164/E164,"")</f>
        <v/>
      </c>
      <c r="AO164" s="2">
        <f>IFERROR(U164/F164,"")</f>
        <v/>
      </c>
    </row>
    <row r="165">
      <c r="B165">
        <f>IF($A165="","",IFERROR(INDEX('[AQ_2020.xlsx]原始数据'!$B:$B,MATCH($A165,'[AQ_2020.xlsx]原始数据'!$A:$A,0)),""))</f>
        <v/>
      </c>
      <c r="C165">
        <f>IF($A165="","",IFERROR(INDEX('[AQ_2021.xlsx]原始数据'!$B:$B,MATCH($A165,'[AQ_2021.xlsx]原始数据'!$A:$A,0)),""))</f>
        <v/>
      </c>
      <c r="D165">
        <f>IF($A165="","",IFERROR(INDEX('[AQ_2022.xlsx]原始数据'!$B:$B,MATCH($A165,'[AQ_2022.xlsx]原始数据'!$A:$A,0)),""))</f>
        <v/>
      </c>
      <c r="E165">
        <f>IF($A165="","",IFERROR(INDEX('[AQ_2023.xlsx]原始数据'!$B:$B,MATCH($A165,'[AQ_2023.xlsx]原始数据'!$A:$A,0)),""))</f>
        <v/>
      </c>
      <c r="F165">
        <f>IF($A165="","",IFERROR(INDEX('[AQ_2024.xlsx]原始数据'!$B:$B,MATCH($A165,'[AQ_2024.xlsx]原始数据'!$A:$A,0)),""))</f>
        <v/>
      </c>
      <c r="G165">
        <f>IF($A165="","",IFERROR(INDEX('[AQ_2020.xlsx]原始数据'!$C:$C,MATCH($A165,'[AQ_2020.xlsx]原始数据'!$A:$A,0)),""))</f>
        <v/>
      </c>
      <c r="H165">
        <f>IF($A165="","",IFERROR(INDEX('[AQ_2021.xlsx]原始数据'!$C:$C,MATCH($A165,'[AQ_2021.xlsx]原始数据'!$A:$A,0)),""))</f>
        <v/>
      </c>
      <c r="I165">
        <f>IF($A165="","",IFERROR(INDEX('[AQ_2022.xlsx]原始数据'!$C:$C,MATCH($A165,'[AQ_2022.xlsx]原始数据'!$A:$A,0)),""))</f>
        <v/>
      </c>
      <c r="J165">
        <f>IF($A165="","",IFERROR(INDEX('[AQ_2023.xlsx]原始数据'!$C:$C,MATCH($A165,'[AQ_2023.xlsx]原始数据'!$A:$A,0)),""))</f>
        <v/>
      </c>
      <c r="K165">
        <f>IF($A165="","",IFERROR(INDEX('[AQ_2024.xlsx]原始数据'!$C:$C,MATCH($A165,'[AQ_2024.xlsx]原始数据'!$A:$A,0)),""))</f>
        <v/>
      </c>
      <c r="L165">
        <f>IF($A165="","",IFERROR(INDEX('[AQ_2020.xlsx]原始数据'!$D:$D,MATCH($A165,'[AQ_2020.xlsx]原始数据'!$A:$A,0)),""))</f>
        <v/>
      </c>
      <c r="M165">
        <f>IF($A165="","",IFERROR(INDEX('[AQ_2021.xlsx]原始数据'!$D:$D,MATCH($A165,'[AQ_2021.xlsx]原始数据'!$A:$A,0)),""))</f>
        <v/>
      </c>
      <c r="N165">
        <f>IF($A165="","",IFERROR(INDEX('[AQ_2022.xlsx]原始数据'!$D:$D,MATCH($A165,'[AQ_2022.xlsx]原始数据'!$A:$A,0)),""))</f>
        <v/>
      </c>
      <c r="O165">
        <f>IF($A165="","",IFERROR(INDEX('[AQ_2023.xlsx]原始数据'!$D:$D,MATCH($A165,'[AQ_2023.xlsx]原始数据'!$A:$A,0)),""))</f>
        <v/>
      </c>
      <c r="P165">
        <f>IF($A165="","",IFERROR(INDEX('[AQ_2024.xlsx]原始数据'!$D:$D,MATCH($A165,'[AQ_2024.xlsx]原始数据'!$A:$A,0)),""))</f>
        <v/>
      </c>
      <c r="Q165">
        <f>IF($A165="","",IFERROR(INDEX('[AQ_2020.xlsx]原始数据'!$E:$E,MATCH($A165,'[AQ_2020.xlsx]原始数据'!$A:$A,0)),""))</f>
        <v/>
      </c>
      <c r="R165">
        <f>IF($A165="","",IFERROR(INDEX('[AQ_2021.xlsx]原始数据'!$E:$E,MATCH($A165,'[AQ_2021.xlsx]原始数据'!$A:$A,0)),""))</f>
        <v/>
      </c>
      <c r="S165">
        <f>IF($A165="","",IFERROR(INDEX('[AQ_2022.xlsx]原始数据'!$E:$E,MATCH($A165,'[AQ_2022.xlsx]原始数据'!$A:$A,0)),""))</f>
        <v/>
      </c>
      <c r="T165">
        <f>IF($A165="","",IFERROR(INDEX('[AQ_2023.xlsx]原始数据'!$E:$E,MATCH($A165,'[AQ_2023.xlsx]原始数据'!$A:$A,0)),""))</f>
        <v/>
      </c>
      <c r="U165">
        <f>IF($A165="","",IFERROR(INDEX('[AQ_2024.xlsx]原始数据'!$E:$E,MATCH($A165,'[AQ_2024.xlsx]原始数据'!$A:$A,0)),""))</f>
        <v/>
      </c>
      <c r="V165">
        <f>IF($A165="","",IFERROR(INDEX('[AQ_2020.xlsx]原始数据'!$F:$F,MATCH($A165,'[AQ_2020.xlsx]原始数据'!$A:$A,0)),""))</f>
        <v/>
      </c>
      <c r="W165">
        <f>IF($A165="","",IFERROR(INDEX('[AQ_2021.xlsx]原始数据'!$F:$F,MATCH($A165,'[AQ_2021.xlsx]原始数据'!$A:$A,0)),""))</f>
        <v/>
      </c>
      <c r="X165">
        <f>IF($A165="","",IFERROR(INDEX('[AQ_2022.xlsx]原始数据'!$F:$F,MATCH($A165,'[AQ_2022.xlsx]原始数据'!$A:$A,0)),""))</f>
        <v/>
      </c>
      <c r="Y165">
        <f>IF($A165="","",IFERROR(INDEX('[AQ_2023.xlsx]原始数据'!$F:$F,MATCH($A165,'[AQ_2023.xlsx]原始数据'!$A:$A,0)),""))</f>
        <v/>
      </c>
      <c r="Z165">
        <f>IF($A165="","",IFERROR(INDEX('[AQ_2024.xlsx]原始数据'!$F:$F,MATCH($A165,'[AQ_2024.xlsx]原始数据'!$A:$A,0)),""))</f>
        <v/>
      </c>
      <c r="AA165" s="2">
        <f>IFERROR(G165/B165,"")</f>
        <v/>
      </c>
      <c r="AB165" s="2">
        <f>IFERROR(H165/C165,"")</f>
        <v/>
      </c>
      <c r="AC165" s="2">
        <f>IFERROR(I165/D165,"")</f>
        <v/>
      </c>
      <c r="AD165" s="2">
        <f>IFERROR(J165/E165,"")</f>
        <v/>
      </c>
      <c r="AE165" s="2">
        <f>IFERROR(K165/F165,"")</f>
        <v/>
      </c>
      <c r="AF165" s="2">
        <f>IFERROR(L165/B165,"")</f>
        <v/>
      </c>
      <c r="AG165" s="2">
        <f>IFERROR(M165/C165,"")</f>
        <v/>
      </c>
      <c r="AH165" s="2">
        <f>IFERROR(N165/D165,"")</f>
        <v/>
      </c>
      <c r="AI165" s="2">
        <f>IFERROR(O165/E165,"")</f>
        <v/>
      </c>
      <c r="AJ165" s="2">
        <f>IFERROR(P165/F165,"")</f>
        <v/>
      </c>
      <c r="AK165" s="2">
        <f>IFERROR(Q165/B165,"")</f>
        <v/>
      </c>
      <c r="AL165" s="2">
        <f>IFERROR(R165/C165,"")</f>
        <v/>
      </c>
      <c r="AM165" s="2">
        <f>IFERROR(S165/D165,"")</f>
        <v/>
      </c>
      <c r="AN165" s="2">
        <f>IFERROR(T165/E165,"")</f>
        <v/>
      </c>
      <c r="AO165" s="2">
        <f>IFERROR(U165/F165,"")</f>
        <v/>
      </c>
    </row>
    <row r="166">
      <c r="B166">
        <f>IF($A166="","",IFERROR(INDEX('[AQ_2020.xlsx]原始数据'!$B:$B,MATCH($A166,'[AQ_2020.xlsx]原始数据'!$A:$A,0)),""))</f>
        <v/>
      </c>
      <c r="C166">
        <f>IF($A166="","",IFERROR(INDEX('[AQ_2021.xlsx]原始数据'!$B:$B,MATCH($A166,'[AQ_2021.xlsx]原始数据'!$A:$A,0)),""))</f>
        <v/>
      </c>
      <c r="D166">
        <f>IF($A166="","",IFERROR(INDEX('[AQ_2022.xlsx]原始数据'!$B:$B,MATCH($A166,'[AQ_2022.xlsx]原始数据'!$A:$A,0)),""))</f>
        <v/>
      </c>
      <c r="E166">
        <f>IF($A166="","",IFERROR(INDEX('[AQ_2023.xlsx]原始数据'!$B:$B,MATCH($A166,'[AQ_2023.xlsx]原始数据'!$A:$A,0)),""))</f>
        <v/>
      </c>
      <c r="F166">
        <f>IF($A166="","",IFERROR(INDEX('[AQ_2024.xlsx]原始数据'!$B:$B,MATCH($A166,'[AQ_2024.xlsx]原始数据'!$A:$A,0)),""))</f>
        <v/>
      </c>
      <c r="G166">
        <f>IF($A166="","",IFERROR(INDEX('[AQ_2020.xlsx]原始数据'!$C:$C,MATCH($A166,'[AQ_2020.xlsx]原始数据'!$A:$A,0)),""))</f>
        <v/>
      </c>
      <c r="H166">
        <f>IF($A166="","",IFERROR(INDEX('[AQ_2021.xlsx]原始数据'!$C:$C,MATCH($A166,'[AQ_2021.xlsx]原始数据'!$A:$A,0)),""))</f>
        <v/>
      </c>
      <c r="I166">
        <f>IF($A166="","",IFERROR(INDEX('[AQ_2022.xlsx]原始数据'!$C:$C,MATCH($A166,'[AQ_2022.xlsx]原始数据'!$A:$A,0)),""))</f>
        <v/>
      </c>
      <c r="J166">
        <f>IF($A166="","",IFERROR(INDEX('[AQ_2023.xlsx]原始数据'!$C:$C,MATCH($A166,'[AQ_2023.xlsx]原始数据'!$A:$A,0)),""))</f>
        <v/>
      </c>
      <c r="K166">
        <f>IF($A166="","",IFERROR(INDEX('[AQ_2024.xlsx]原始数据'!$C:$C,MATCH($A166,'[AQ_2024.xlsx]原始数据'!$A:$A,0)),""))</f>
        <v/>
      </c>
      <c r="L166">
        <f>IF($A166="","",IFERROR(INDEX('[AQ_2020.xlsx]原始数据'!$D:$D,MATCH($A166,'[AQ_2020.xlsx]原始数据'!$A:$A,0)),""))</f>
        <v/>
      </c>
      <c r="M166">
        <f>IF($A166="","",IFERROR(INDEX('[AQ_2021.xlsx]原始数据'!$D:$D,MATCH($A166,'[AQ_2021.xlsx]原始数据'!$A:$A,0)),""))</f>
        <v/>
      </c>
      <c r="N166">
        <f>IF($A166="","",IFERROR(INDEX('[AQ_2022.xlsx]原始数据'!$D:$D,MATCH($A166,'[AQ_2022.xlsx]原始数据'!$A:$A,0)),""))</f>
        <v/>
      </c>
      <c r="O166">
        <f>IF($A166="","",IFERROR(INDEX('[AQ_2023.xlsx]原始数据'!$D:$D,MATCH($A166,'[AQ_2023.xlsx]原始数据'!$A:$A,0)),""))</f>
        <v/>
      </c>
      <c r="P166">
        <f>IF($A166="","",IFERROR(INDEX('[AQ_2024.xlsx]原始数据'!$D:$D,MATCH($A166,'[AQ_2024.xlsx]原始数据'!$A:$A,0)),""))</f>
        <v/>
      </c>
      <c r="Q166">
        <f>IF($A166="","",IFERROR(INDEX('[AQ_2020.xlsx]原始数据'!$E:$E,MATCH($A166,'[AQ_2020.xlsx]原始数据'!$A:$A,0)),""))</f>
        <v/>
      </c>
      <c r="R166">
        <f>IF($A166="","",IFERROR(INDEX('[AQ_2021.xlsx]原始数据'!$E:$E,MATCH($A166,'[AQ_2021.xlsx]原始数据'!$A:$A,0)),""))</f>
        <v/>
      </c>
      <c r="S166">
        <f>IF($A166="","",IFERROR(INDEX('[AQ_2022.xlsx]原始数据'!$E:$E,MATCH($A166,'[AQ_2022.xlsx]原始数据'!$A:$A,0)),""))</f>
        <v/>
      </c>
      <c r="T166">
        <f>IF($A166="","",IFERROR(INDEX('[AQ_2023.xlsx]原始数据'!$E:$E,MATCH($A166,'[AQ_2023.xlsx]原始数据'!$A:$A,0)),""))</f>
        <v/>
      </c>
      <c r="U166">
        <f>IF($A166="","",IFERROR(INDEX('[AQ_2024.xlsx]原始数据'!$E:$E,MATCH($A166,'[AQ_2024.xlsx]原始数据'!$A:$A,0)),""))</f>
        <v/>
      </c>
      <c r="V166">
        <f>IF($A166="","",IFERROR(INDEX('[AQ_2020.xlsx]原始数据'!$F:$F,MATCH($A166,'[AQ_2020.xlsx]原始数据'!$A:$A,0)),""))</f>
        <v/>
      </c>
      <c r="W166">
        <f>IF($A166="","",IFERROR(INDEX('[AQ_2021.xlsx]原始数据'!$F:$F,MATCH($A166,'[AQ_2021.xlsx]原始数据'!$A:$A,0)),""))</f>
        <v/>
      </c>
      <c r="X166">
        <f>IF($A166="","",IFERROR(INDEX('[AQ_2022.xlsx]原始数据'!$F:$F,MATCH($A166,'[AQ_2022.xlsx]原始数据'!$A:$A,0)),""))</f>
        <v/>
      </c>
      <c r="Y166">
        <f>IF($A166="","",IFERROR(INDEX('[AQ_2023.xlsx]原始数据'!$F:$F,MATCH($A166,'[AQ_2023.xlsx]原始数据'!$A:$A,0)),""))</f>
        <v/>
      </c>
      <c r="Z166">
        <f>IF($A166="","",IFERROR(INDEX('[AQ_2024.xlsx]原始数据'!$F:$F,MATCH($A166,'[AQ_2024.xlsx]原始数据'!$A:$A,0)),""))</f>
        <v/>
      </c>
      <c r="AA166" s="2">
        <f>IFERROR(G166/B166,"")</f>
        <v/>
      </c>
      <c r="AB166" s="2">
        <f>IFERROR(H166/C166,"")</f>
        <v/>
      </c>
      <c r="AC166" s="2">
        <f>IFERROR(I166/D166,"")</f>
        <v/>
      </c>
      <c r="AD166" s="2">
        <f>IFERROR(J166/E166,"")</f>
        <v/>
      </c>
      <c r="AE166" s="2">
        <f>IFERROR(K166/F166,"")</f>
        <v/>
      </c>
      <c r="AF166" s="2">
        <f>IFERROR(L166/B166,"")</f>
        <v/>
      </c>
      <c r="AG166" s="2">
        <f>IFERROR(M166/C166,"")</f>
        <v/>
      </c>
      <c r="AH166" s="2">
        <f>IFERROR(N166/D166,"")</f>
        <v/>
      </c>
      <c r="AI166" s="2">
        <f>IFERROR(O166/E166,"")</f>
        <v/>
      </c>
      <c r="AJ166" s="2">
        <f>IFERROR(P166/F166,"")</f>
        <v/>
      </c>
      <c r="AK166" s="2">
        <f>IFERROR(Q166/B166,"")</f>
        <v/>
      </c>
      <c r="AL166" s="2">
        <f>IFERROR(R166/C166,"")</f>
        <v/>
      </c>
      <c r="AM166" s="2">
        <f>IFERROR(S166/D166,"")</f>
        <v/>
      </c>
      <c r="AN166" s="2">
        <f>IFERROR(T166/E166,"")</f>
        <v/>
      </c>
      <c r="AO166" s="2">
        <f>IFERROR(U166/F166,"")</f>
        <v/>
      </c>
    </row>
    <row r="167">
      <c r="B167">
        <f>IF($A167="","",IFERROR(INDEX('[AQ_2020.xlsx]原始数据'!$B:$B,MATCH($A167,'[AQ_2020.xlsx]原始数据'!$A:$A,0)),""))</f>
        <v/>
      </c>
      <c r="C167">
        <f>IF($A167="","",IFERROR(INDEX('[AQ_2021.xlsx]原始数据'!$B:$B,MATCH($A167,'[AQ_2021.xlsx]原始数据'!$A:$A,0)),""))</f>
        <v/>
      </c>
      <c r="D167">
        <f>IF($A167="","",IFERROR(INDEX('[AQ_2022.xlsx]原始数据'!$B:$B,MATCH($A167,'[AQ_2022.xlsx]原始数据'!$A:$A,0)),""))</f>
        <v/>
      </c>
      <c r="E167">
        <f>IF($A167="","",IFERROR(INDEX('[AQ_2023.xlsx]原始数据'!$B:$B,MATCH($A167,'[AQ_2023.xlsx]原始数据'!$A:$A,0)),""))</f>
        <v/>
      </c>
      <c r="F167">
        <f>IF($A167="","",IFERROR(INDEX('[AQ_2024.xlsx]原始数据'!$B:$B,MATCH($A167,'[AQ_2024.xlsx]原始数据'!$A:$A,0)),""))</f>
        <v/>
      </c>
      <c r="G167">
        <f>IF($A167="","",IFERROR(INDEX('[AQ_2020.xlsx]原始数据'!$C:$C,MATCH($A167,'[AQ_2020.xlsx]原始数据'!$A:$A,0)),""))</f>
        <v/>
      </c>
      <c r="H167">
        <f>IF($A167="","",IFERROR(INDEX('[AQ_2021.xlsx]原始数据'!$C:$C,MATCH($A167,'[AQ_2021.xlsx]原始数据'!$A:$A,0)),""))</f>
        <v/>
      </c>
      <c r="I167">
        <f>IF($A167="","",IFERROR(INDEX('[AQ_2022.xlsx]原始数据'!$C:$C,MATCH($A167,'[AQ_2022.xlsx]原始数据'!$A:$A,0)),""))</f>
        <v/>
      </c>
      <c r="J167">
        <f>IF($A167="","",IFERROR(INDEX('[AQ_2023.xlsx]原始数据'!$C:$C,MATCH($A167,'[AQ_2023.xlsx]原始数据'!$A:$A,0)),""))</f>
        <v/>
      </c>
      <c r="K167">
        <f>IF($A167="","",IFERROR(INDEX('[AQ_2024.xlsx]原始数据'!$C:$C,MATCH($A167,'[AQ_2024.xlsx]原始数据'!$A:$A,0)),""))</f>
        <v/>
      </c>
      <c r="L167">
        <f>IF($A167="","",IFERROR(INDEX('[AQ_2020.xlsx]原始数据'!$D:$D,MATCH($A167,'[AQ_2020.xlsx]原始数据'!$A:$A,0)),""))</f>
        <v/>
      </c>
      <c r="M167">
        <f>IF($A167="","",IFERROR(INDEX('[AQ_2021.xlsx]原始数据'!$D:$D,MATCH($A167,'[AQ_2021.xlsx]原始数据'!$A:$A,0)),""))</f>
        <v/>
      </c>
      <c r="N167">
        <f>IF($A167="","",IFERROR(INDEX('[AQ_2022.xlsx]原始数据'!$D:$D,MATCH($A167,'[AQ_2022.xlsx]原始数据'!$A:$A,0)),""))</f>
        <v/>
      </c>
      <c r="O167">
        <f>IF($A167="","",IFERROR(INDEX('[AQ_2023.xlsx]原始数据'!$D:$D,MATCH($A167,'[AQ_2023.xlsx]原始数据'!$A:$A,0)),""))</f>
        <v/>
      </c>
      <c r="P167">
        <f>IF($A167="","",IFERROR(INDEX('[AQ_2024.xlsx]原始数据'!$D:$D,MATCH($A167,'[AQ_2024.xlsx]原始数据'!$A:$A,0)),""))</f>
        <v/>
      </c>
      <c r="Q167">
        <f>IF($A167="","",IFERROR(INDEX('[AQ_2020.xlsx]原始数据'!$E:$E,MATCH($A167,'[AQ_2020.xlsx]原始数据'!$A:$A,0)),""))</f>
        <v/>
      </c>
      <c r="R167">
        <f>IF($A167="","",IFERROR(INDEX('[AQ_2021.xlsx]原始数据'!$E:$E,MATCH($A167,'[AQ_2021.xlsx]原始数据'!$A:$A,0)),""))</f>
        <v/>
      </c>
      <c r="S167">
        <f>IF($A167="","",IFERROR(INDEX('[AQ_2022.xlsx]原始数据'!$E:$E,MATCH($A167,'[AQ_2022.xlsx]原始数据'!$A:$A,0)),""))</f>
        <v/>
      </c>
      <c r="T167">
        <f>IF($A167="","",IFERROR(INDEX('[AQ_2023.xlsx]原始数据'!$E:$E,MATCH($A167,'[AQ_2023.xlsx]原始数据'!$A:$A,0)),""))</f>
        <v/>
      </c>
      <c r="U167">
        <f>IF($A167="","",IFERROR(INDEX('[AQ_2024.xlsx]原始数据'!$E:$E,MATCH($A167,'[AQ_2024.xlsx]原始数据'!$A:$A,0)),""))</f>
        <v/>
      </c>
      <c r="V167">
        <f>IF($A167="","",IFERROR(INDEX('[AQ_2020.xlsx]原始数据'!$F:$F,MATCH($A167,'[AQ_2020.xlsx]原始数据'!$A:$A,0)),""))</f>
        <v/>
      </c>
      <c r="W167">
        <f>IF($A167="","",IFERROR(INDEX('[AQ_2021.xlsx]原始数据'!$F:$F,MATCH($A167,'[AQ_2021.xlsx]原始数据'!$A:$A,0)),""))</f>
        <v/>
      </c>
      <c r="X167">
        <f>IF($A167="","",IFERROR(INDEX('[AQ_2022.xlsx]原始数据'!$F:$F,MATCH($A167,'[AQ_2022.xlsx]原始数据'!$A:$A,0)),""))</f>
        <v/>
      </c>
      <c r="Y167">
        <f>IF($A167="","",IFERROR(INDEX('[AQ_2023.xlsx]原始数据'!$F:$F,MATCH($A167,'[AQ_2023.xlsx]原始数据'!$A:$A,0)),""))</f>
        <v/>
      </c>
      <c r="Z167">
        <f>IF($A167="","",IFERROR(INDEX('[AQ_2024.xlsx]原始数据'!$F:$F,MATCH($A167,'[AQ_2024.xlsx]原始数据'!$A:$A,0)),""))</f>
        <v/>
      </c>
      <c r="AA167" s="2">
        <f>IFERROR(G167/B167,"")</f>
        <v/>
      </c>
      <c r="AB167" s="2">
        <f>IFERROR(H167/C167,"")</f>
        <v/>
      </c>
      <c r="AC167" s="2">
        <f>IFERROR(I167/D167,"")</f>
        <v/>
      </c>
      <c r="AD167" s="2">
        <f>IFERROR(J167/E167,"")</f>
        <v/>
      </c>
      <c r="AE167" s="2">
        <f>IFERROR(K167/F167,"")</f>
        <v/>
      </c>
      <c r="AF167" s="2">
        <f>IFERROR(L167/B167,"")</f>
        <v/>
      </c>
      <c r="AG167" s="2">
        <f>IFERROR(M167/C167,"")</f>
        <v/>
      </c>
      <c r="AH167" s="2">
        <f>IFERROR(N167/D167,"")</f>
        <v/>
      </c>
      <c r="AI167" s="2">
        <f>IFERROR(O167/E167,"")</f>
        <v/>
      </c>
      <c r="AJ167" s="2">
        <f>IFERROR(P167/F167,"")</f>
        <v/>
      </c>
      <c r="AK167" s="2">
        <f>IFERROR(Q167/B167,"")</f>
        <v/>
      </c>
      <c r="AL167" s="2">
        <f>IFERROR(R167/C167,"")</f>
        <v/>
      </c>
      <c r="AM167" s="2">
        <f>IFERROR(S167/D167,"")</f>
        <v/>
      </c>
      <c r="AN167" s="2">
        <f>IFERROR(T167/E167,"")</f>
        <v/>
      </c>
      <c r="AO167" s="2">
        <f>IFERROR(U167/F167,"")</f>
        <v/>
      </c>
    </row>
    <row r="168">
      <c r="B168">
        <f>IF($A168="","",IFERROR(INDEX('[AQ_2020.xlsx]原始数据'!$B:$B,MATCH($A168,'[AQ_2020.xlsx]原始数据'!$A:$A,0)),""))</f>
        <v/>
      </c>
      <c r="C168">
        <f>IF($A168="","",IFERROR(INDEX('[AQ_2021.xlsx]原始数据'!$B:$B,MATCH($A168,'[AQ_2021.xlsx]原始数据'!$A:$A,0)),""))</f>
        <v/>
      </c>
      <c r="D168">
        <f>IF($A168="","",IFERROR(INDEX('[AQ_2022.xlsx]原始数据'!$B:$B,MATCH($A168,'[AQ_2022.xlsx]原始数据'!$A:$A,0)),""))</f>
        <v/>
      </c>
      <c r="E168">
        <f>IF($A168="","",IFERROR(INDEX('[AQ_2023.xlsx]原始数据'!$B:$B,MATCH($A168,'[AQ_2023.xlsx]原始数据'!$A:$A,0)),""))</f>
        <v/>
      </c>
      <c r="F168">
        <f>IF($A168="","",IFERROR(INDEX('[AQ_2024.xlsx]原始数据'!$B:$B,MATCH($A168,'[AQ_2024.xlsx]原始数据'!$A:$A,0)),""))</f>
        <v/>
      </c>
      <c r="G168">
        <f>IF($A168="","",IFERROR(INDEX('[AQ_2020.xlsx]原始数据'!$C:$C,MATCH($A168,'[AQ_2020.xlsx]原始数据'!$A:$A,0)),""))</f>
        <v/>
      </c>
      <c r="H168">
        <f>IF($A168="","",IFERROR(INDEX('[AQ_2021.xlsx]原始数据'!$C:$C,MATCH($A168,'[AQ_2021.xlsx]原始数据'!$A:$A,0)),""))</f>
        <v/>
      </c>
      <c r="I168">
        <f>IF($A168="","",IFERROR(INDEX('[AQ_2022.xlsx]原始数据'!$C:$C,MATCH($A168,'[AQ_2022.xlsx]原始数据'!$A:$A,0)),""))</f>
        <v/>
      </c>
      <c r="J168">
        <f>IF($A168="","",IFERROR(INDEX('[AQ_2023.xlsx]原始数据'!$C:$C,MATCH($A168,'[AQ_2023.xlsx]原始数据'!$A:$A,0)),""))</f>
        <v/>
      </c>
      <c r="K168">
        <f>IF($A168="","",IFERROR(INDEX('[AQ_2024.xlsx]原始数据'!$C:$C,MATCH($A168,'[AQ_2024.xlsx]原始数据'!$A:$A,0)),""))</f>
        <v/>
      </c>
      <c r="L168">
        <f>IF($A168="","",IFERROR(INDEX('[AQ_2020.xlsx]原始数据'!$D:$D,MATCH($A168,'[AQ_2020.xlsx]原始数据'!$A:$A,0)),""))</f>
        <v/>
      </c>
      <c r="M168">
        <f>IF($A168="","",IFERROR(INDEX('[AQ_2021.xlsx]原始数据'!$D:$D,MATCH($A168,'[AQ_2021.xlsx]原始数据'!$A:$A,0)),""))</f>
        <v/>
      </c>
      <c r="N168">
        <f>IF($A168="","",IFERROR(INDEX('[AQ_2022.xlsx]原始数据'!$D:$D,MATCH($A168,'[AQ_2022.xlsx]原始数据'!$A:$A,0)),""))</f>
        <v/>
      </c>
      <c r="O168">
        <f>IF($A168="","",IFERROR(INDEX('[AQ_2023.xlsx]原始数据'!$D:$D,MATCH($A168,'[AQ_2023.xlsx]原始数据'!$A:$A,0)),""))</f>
        <v/>
      </c>
      <c r="P168">
        <f>IF($A168="","",IFERROR(INDEX('[AQ_2024.xlsx]原始数据'!$D:$D,MATCH($A168,'[AQ_2024.xlsx]原始数据'!$A:$A,0)),""))</f>
        <v/>
      </c>
      <c r="Q168">
        <f>IF($A168="","",IFERROR(INDEX('[AQ_2020.xlsx]原始数据'!$E:$E,MATCH($A168,'[AQ_2020.xlsx]原始数据'!$A:$A,0)),""))</f>
        <v/>
      </c>
      <c r="R168">
        <f>IF($A168="","",IFERROR(INDEX('[AQ_2021.xlsx]原始数据'!$E:$E,MATCH($A168,'[AQ_2021.xlsx]原始数据'!$A:$A,0)),""))</f>
        <v/>
      </c>
      <c r="S168">
        <f>IF($A168="","",IFERROR(INDEX('[AQ_2022.xlsx]原始数据'!$E:$E,MATCH($A168,'[AQ_2022.xlsx]原始数据'!$A:$A,0)),""))</f>
        <v/>
      </c>
      <c r="T168">
        <f>IF($A168="","",IFERROR(INDEX('[AQ_2023.xlsx]原始数据'!$E:$E,MATCH($A168,'[AQ_2023.xlsx]原始数据'!$A:$A,0)),""))</f>
        <v/>
      </c>
      <c r="U168">
        <f>IF($A168="","",IFERROR(INDEX('[AQ_2024.xlsx]原始数据'!$E:$E,MATCH($A168,'[AQ_2024.xlsx]原始数据'!$A:$A,0)),""))</f>
        <v/>
      </c>
      <c r="V168">
        <f>IF($A168="","",IFERROR(INDEX('[AQ_2020.xlsx]原始数据'!$F:$F,MATCH($A168,'[AQ_2020.xlsx]原始数据'!$A:$A,0)),""))</f>
        <v/>
      </c>
      <c r="W168">
        <f>IF($A168="","",IFERROR(INDEX('[AQ_2021.xlsx]原始数据'!$F:$F,MATCH($A168,'[AQ_2021.xlsx]原始数据'!$A:$A,0)),""))</f>
        <v/>
      </c>
      <c r="X168">
        <f>IF($A168="","",IFERROR(INDEX('[AQ_2022.xlsx]原始数据'!$F:$F,MATCH($A168,'[AQ_2022.xlsx]原始数据'!$A:$A,0)),""))</f>
        <v/>
      </c>
      <c r="Y168">
        <f>IF($A168="","",IFERROR(INDEX('[AQ_2023.xlsx]原始数据'!$F:$F,MATCH($A168,'[AQ_2023.xlsx]原始数据'!$A:$A,0)),""))</f>
        <v/>
      </c>
      <c r="Z168">
        <f>IF($A168="","",IFERROR(INDEX('[AQ_2024.xlsx]原始数据'!$F:$F,MATCH($A168,'[AQ_2024.xlsx]原始数据'!$A:$A,0)),""))</f>
        <v/>
      </c>
      <c r="AA168" s="2">
        <f>IFERROR(G168/B168,"")</f>
        <v/>
      </c>
      <c r="AB168" s="2">
        <f>IFERROR(H168/C168,"")</f>
        <v/>
      </c>
      <c r="AC168" s="2">
        <f>IFERROR(I168/D168,"")</f>
        <v/>
      </c>
      <c r="AD168" s="2">
        <f>IFERROR(J168/E168,"")</f>
        <v/>
      </c>
      <c r="AE168" s="2">
        <f>IFERROR(K168/F168,"")</f>
        <v/>
      </c>
      <c r="AF168" s="2">
        <f>IFERROR(L168/B168,"")</f>
        <v/>
      </c>
      <c r="AG168" s="2">
        <f>IFERROR(M168/C168,"")</f>
        <v/>
      </c>
      <c r="AH168" s="2">
        <f>IFERROR(N168/D168,"")</f>
        <v/>
      </c>
      <c r="AI168" s="2">
        <f>IFERROR(O168/E168,"")</f>
        <v/>
      </c>
      <c r="AJ168" s="2">
        <f>IFERROR(P168/F168,"")</f>
        <v/>
      </c>
      <c r="AK168" s="2">
        <f>IFERROR(Q168/B168,"")</f>
        <v/>
      </c>
      <c r="AL168" s="2">
        <f>IFERROR(R168/C168,"")</f>
        <v/>
      </c>
      <c r="AM168" s="2">
        <f>IFERROR(S168/D168,"")</f>
        <v/>
      </c>
      <c r="AN168" s="2">
        <f>IFERROR(T168/E168,"")</f>
        <v/>
      </c>
      <c r="AO168" s="2">
        <f>IFERROR(U168/F168,"")</f>
        <v/>
      </c>
    </row>
    <row r="169">
      <c r="B169">
        <f>IF($A169="","",IFERROR(INDEX('[AQ_2020.xlsx]原始数据'!$B:$B,MATCH($A169,'[AQ_2020.xlsx]原始数据'!$A:$A,0)),""))</f>
        <v/>
      </c>
      <c r="C169">
        <f>IF($A169="","",IFERROR(INDEX('[AQ_2021.xlsx]原始数据'!$B:$B,MATCH($A169,'[AQ_2021.xlsx]原始数据'!$A:$A,0)),""))</f>
        <v/>
      </c>
      <c r="D169">
        <f>IF($A169="","",IFERROR(INDEX('[AQ_2022.xlsx]原始数据'!$B:$B,MATCH($A169,'[AQ_2022.xlsx]原始数据'!$A:$A,0)),""))</f>
        <v/>
      </c>
      <c r="E169">
        <f>IF($A169="","",IFERROR(INDEX('[AQ_2023.xlsx]原始数据'!$B:$B,MATCH($A169,'[AQ_2023.xlsx]原始数据'!$A:$A,0)),""))</f>
        <v/>
      </c>
      <c r="F169">
        <f>IF($A169="","",IFERROR(INDEX('[AQ_2024.xlsx]原始数据'!$B:$B,MATCH($A169,'[AQ_2024.xlsx]原始数据'!$A:$A,0)),""))</f>
        <v/>
      </c>
      <c r="G169">
        <f>IF($A169="","",IFERROR(INDEX('[AQ_2020.xlsx]原始数据'!$C:$C,MATCH($A169,'[AQ_2020.xlsx]原始数据'!$A:$A,0)),""))</f>
        <v/>
      </c>
      <c r="H169">
        <f>IF($A169="","",IFERROR(INDEX('[AQ_2021.xlsx]原始数据'!$C:$C,MATCH($A169,'[AQ_2021.xlsx]原始数据'!$A:$A,0)),""))</f>
        <v/>
      </c>
      <c r="I169">
        <f>IF($A169="","",IFERROR(INDEX('[AQ_2022.xlsx]原始数据'!$C:$C,MATCH($A169,'[AQ_2022.xlsx]原始数据'!$A:$A,0)),""))</f>
        <v/>
      </c>
      <c r="J169">
        <f>IF($A169="","",IFERROR(INDEX('[AQ_2023.xlsx]原始数据'!$C:$C,MATCH($A169,'[AQ_2023.xlsx]原始数据'!$A:$A,0)),""))</f>
        <v/>
      </c>
      <c r="K169">
        <f>IF($A169="","",IFERROR(INDEX('[AQ_2024.xlsx]原始数据'!$C:$C,MATCH($A169,'[AQ_2024.xlsx]原始数据'!$A:$A,0)),""))</f>
        <v/>
      </c>
      <c r="L169">
        <f>IF($A169="","",IFERROR(INDEX('[AQ_2020.xlsx]原始数据'!$D:$D,MATCH($A169,'[AQ_2020.xlsx]原始数据'!$A:$A,0)),""))</f>
        <v/>
      </c>
      <c r="M169">
        <f>IF($A169="","",IFERROR(INDEX('[AQ_2021.xlsx]原始数据'!$D:$D,MATCH($A169,'[AQ_2021.xlsx]原始数据'!$A:$A,0)),""))</f>
        <v/>
      </c>
      <c r="N169">
        <f>IF($A169="","",IFERROR(INDEX('[AQ_2022.xlsx]原始数据'!$D:$D,MATCH($A169,'[AQ_2022.xlsx]原始数据'!$A:$A,0)),""))</f>
        <v/>
      </c>
      <c r="O169">
        <f>IF($A169="","",IFERROR(INDEX('[AQ_2023.xlsx]原始数据'!$D:$D,MATCH($A169,'[AQ_2023.xlsx]原始数据'!$A:$A,0)),""))</f>
        <v/>
      </c>
      <c r="P169">
        <f>IF($A169="","",IFERROR(INDEX('[AQ_2024.xlsx]原始数据'!$D:$D,MATCH($A169,'[AQ_2024.xlsx]原始数据'!$A:$A,0)),""))</f>
        <v/>
      </c>
      <c r="Q169">
        <f>IF($A169="","",IFERROR(INDEX('[AQ_2020.xlsx]原始数据'!$E:$E,MATCH($A169,'[AQ_2020.xlsx]原始数据'!$A:$A,0)),""))</f>
        <v/>
      </c>
      <c r="R169">
        <f>IF($A169="","",IFERROR(INDEX('[AQ_2021.xlsx]原始数据'!$E:$E,MATCH($A169,'[AQ_2021.xlsx]原始数据'!$A:$A,0)),""))</f>
        <v/>
      </c>
      <c r="S169">
        <f>IF($A169="","",IFERROR(INDEX('[AQ_2022.xlsx]原始数据'!$E:$E,MATCH($A169,'[AQ_2022.xlsx]原始数据'!$A:$A,0)),""))</f>
        <v/>
      </c>
      <c r="T169">
        <f>IF($A169="","",IFERROR(INDEX('[AQ_2023.xlsx]原始数据'!$E:$E,MATCH($A169,'[AQ_2023.xlsx]原始数据'!$A:$A,0)),""))</f>
        <v/>
      </c>
      <c r="U169">
        <f>IF($A169="","",IFERROR(INDEX('[AQ_2024.xlsx]原始数据'!$E:$E,MATCH($A169,'[AQ_2024.xlsx]原始数据'!$A:$A,0)),""))</f>
        <v/>
      </c>
      <c r="V169">
        <f>IF($A169="","",IFERROR(INDEX('[AQ_2020.xlsx]原始数据'!$F:$F,MATCH($A169,'[AQ_2020.xlsx]原始数据'!$A:$A,0)),""))</f>
        <v/>
      </c>
      <c r="W169">
        <f>IF($A169="","",IFERROR(INDEX('[AQ_2021.xlsx]原始数据'!$F:$F,MATCH($A169,'[AQ_2021.xlsx]原始数据'!$A:$A,0)),""))</f>
        <v/>
      </c>
      <c r="X169">
        <f>IF($A169="","",IFERROR(INDEX('[AQ_2022.xlsx]原始数据'!$F:$F,MATCH($A169,'[AQ_2022.xlsx]原始数据'!$A:$A,0)),""))</f>
        <v/>
      </c>
      <c r="Y169">
        <f>IF($A169="","",IFERROR(INDEX('[AQ_2023.xlsx]原始数据'!$F:$F,MATCH($A169,'[AQ_2023.xlsx]原始数据'!$A:$A,0)),""))</f>
        <v/>
      </c>
      <c r="Z169">
        <f>IF($A169="","",IFERROR(INDEX('[AQ_2024.xlsx]原始数据'!$F:$F,MATCH($A169,'[AQ_2024.xlsx]原始数据'!$A:$A,0)),""))</f>
        <v/>
      </c>
      <c r="AA169" s="2">
        <f>IFERROR(G169/B169,"")</f>
        <v/>
      </c>
      <c r="AB169" s="2">
        <f>IFERROR(H169/C169,"")</f>
        <v/>
      </c>
      <c r="AC169" s="2">
        <f>IFERROR(I169/D169,"")</f>
        <v/>
      </c>
      <c r="AD169" s="2">
        <f>IFERROR(J169/E169,"")</f>
        <v/>
      </c>
      <c r="AE169" s="2">
        <f>IFERROR(K169/F169,"")</f>
        <v/>
      </c>
      <c r="AF169" s="2">
        <f>IFERROR(L169/B169,"")</f>
        <v/>
      </c>
      <c r="AG169" s="2">
        <f>IFERROR(M169/C169,"")</f>
        <v/>
      </c>
      <c r="AH169" s="2">
        <f>IFERROR(N169/D169,"")</f>
        <v/>
      </c>
      <c r="AI169" s="2">
        <f>IFERROR(O169/E169,"")</f>
        <v/>
      </c>
      <c r="AJ169" s="2">
        <f>IFERROR(P169/F169,"")</f>
        <v/>
      </c>
      <c r="AK169" s="2">
        <f>IFERROR(Q169/B169,"")</f>
        <v/>
      </c>
      <c r="AL169" s="2">
        <f>IFERROR(R169/C169,"")</f>
        <v/>
      </c>
      <c r="AM169" s="2">
        <f>IFERROR(S169/D169,"")</f>
        <v/>
      </c>
      <c r="AN169" s="2">
        <f>IFERROR(T169/E169,"")</f>
        <v/>
      </c>
      <c r="AO169" s="2">
        <f>IFERROR(U169/F169,"")</f>
        <v/>
      </c>
    </row>
    <row r="170">
      <c r="B170">
        <f>IF($A170="","",IFERROR(INDEX('[AQ_2020.xlsx]原始数据'!$B:$B,MATCH($A170,'[AQ_2020.xlsx]原始数据'!$A:$A,0)),""))</f>
        <v/>
      </c>
      <c r="C170">
        <f>IF($A170="","",IFERROR(INDEX('[AQ_2021.xlsx]原始数据'!$B:$B,MATCH($A170,'[AQ_2021.xlsx]原始数据'!$A:$A,0)),""))</f>
        <v/>
      </c>
      <c r="D170">
        <f>IF($A170="","",IFERROR(INDEX('[AQ_2022.xlsx]原始数据'!$B:$B,MATCH($A170,'[AQ_2022.xlsx]原始数据'!$A:$A,0)),""))</f>
        <v/>
      </c>
      <c r="E170">
        <f>IF($A170="","",IFERROR(INDEX('[AQ_2023.xlsx]原始数据'!$B:$B,MATCH($A170,'[AQ_2023.xlsx]原始数据'!$A:$A,0)),""))</f>
        <v/>
      </c>
      <c r="F170">
        <f>IF($A170="","",IFERROR(INDEX('[AQ_2024.xlsx]原始数据'!$B:$B,MATCH($A170,'[AQ_2024.xlsx]原始数据'!$A:$A,0)),""))</f>
        <v/>
      </c>
      <c r="G170">
        <f>IF($A170="","",IFERROR(INDEX('[AQ_2020.xlsx]原始数据'!$C:$C,MATCH($A170,'[AQ_2020.xlsx]原始数据'!$A:$A,0)),""))</f>
        <v/>
      </c>
      <c r="H170">
        <f>IF($A170="","",IFERROR(INDEX('[AQ_2021.xlsx]原始数据'!$C:$C,MATCH($A170,'[AQ_2021.xlsx]原始数据'!$A:$A,0)),""))</f>
        <v/>
      </c>
      <c r="I170">
        <f>IF($A170="","",IFERROR(INDEX('[AQ_2022.xlsx]原始数据'!$C:$C,MATCH($A170,'[AQ_2022.xlsx]原始数据'!$A:$A,0)),""))</f>
        <v/>
      </c>
      <c r="J170">
        <f>IF($A170="","",IFERROR(INDEX('[AQ_2023.xlsx]原始数据'!$C:$C,MATCH($A170,'[AQ_2023.xlsx]原始数据'!$A:$A,0)),""))</f>
        <v/>
      </c>
      <c r="K170">
        <f>IF($A170="","",IFERROR(INDEX('[AQ_2024.xlsx]原始数据'!$C:$C,MATCH($A170,'[AQ_2024.xlsx]原始数据'!$A:$A,0)),""))</f>
        <v/>
      </c>
      <c r="L170">
        <f>IF($A170="","",IFERROR(INDEX('[AQ_2020.xlsx]原始数据'!$D:$D,MATCH($A170,'[AQ_2020.xlsx]原始数据'!$A:$A,0)),""))</f>
        <v/>
      </c>
      <c r="M170">
        <f>IF($A170="","",IFERROR(INDEX('[AQ_2021.xlsx]原始数据'!$D:$D,MATCH($A170,'[AQ_2021.xlsx]原始数据'!$A:$A,0)),""))</f>
        <v/>
      </c>
      <c r="N170">
        <f>IF($A170="","",IFERROR(INDEX('[AQ_2022.xlsx]原始数据'!$D:$D,MATCH($A170,'[AQ_2022.xlsx]原始数据'!$A:$A,0)),""))</f>
        <v/>
      </c>
      <c r="O170">
        <f>IF($A170="","",IFERROR(INDEX('[AQ_2023.xlsx]原始数据'!$D:$D,MATCH($A170,'[AQ_2023.xlsx]原始数据'!$A:$A,0)),""))</f>
        <v/>
      </c>
      <c r="P170">
        <f>IF($A170="","",IFERROR(INDEX('[AQ_2024.xlsx]原始数据'!$D:$D,MATCH($A170,'[AQ_2024.xlsx]原始数据'!$A:$A,0)),""))</f>
        <v/>
      </c>
      <c r="Q170">
        <f>IF($A170="","",IFERROR(INDEX('[AQ_2020.xlsx]原始数据'!$E:$E,MATCH($A170,'[AQ_2020.xlsx]原始数据'!$A:$A,0)),""))</f>
        <v/>
      </c>
      <c r="R170">
        <f>IF($A170="","",IFERROR(INDEX('[AQ_2021.xlsx]原始数据'!$E:$E,MATCH($A170,'[AQ_2021.xlsx]原始数据'!$A:$A,0)),""))</f>
        <v/>
      </c>
      <c r="S170">
        <f>IF($A170="","",IFERROR(INDEX('[AQ_2022.xlsx]原始数据'!$E:$E,MATCH($A170,'[AQ_2022.xlsx]原始数据'!$A:$A,0)),""))</f>
        <v/>
      </c>
      <c r="T170">
        <f>IF($A170="","",IFERROR(INDEX('[AQ_2023.xlsx]原始数据'!$E:$E,MATCH($A170,'[AQ_2023.xlsx]原始数据'!$A:$A,0)),""))</f>
        <v/>
      </c>
      <c r="U170">
        <f>IF($A170="","",IFERROR(INDEX('[AQ_2024.xlsx]原始数据'!$E:$E,MATCH($A170,'[AQ_2024.xlsx]原始数据'!$A:$A,0)),""))</f>
        <v/>
      </c>
      <c r="V170">
        <f>IF($A170="","",IFERROR(INDEX('[AQ_2020.xlsx]原始数据'!$F:$F,MATCH($A170,'[AQ_2020.xlsx]原始数据'!$A:$A,0)),""))</f>
        <v/>
      </c>
      <c r="W170">
        <f>IF($A170="","",IFERROR(INDEX('[AQ_2021.xlsx]原始数据'!$F:$F,MATCH($A170,'[AQ_2021.xlsx]原始数据'!$A:$A,0)),""))</f>
        <v/>
      </c>
      <c r="X170">
        <f>IF($A170="","",IFERROR(INDEX('[AQ_2022.xlsx]原始数据'!$F:$F,MATCH($A170,'[AQ_2022.xlsx]原始数据'!$A:$A,0)),""))</f>
        <v/>
      </c>
      <c r="Y170">
        <f>IF($A170="","",IFERROR(INDEX('[AQ_2023.xlsx]原始数据'!$F:$F,MATCH($A170,'[AQ_2023.xlsx]原始数据'!$A:$A,0)),""))</f>
        <v/>
      </c>
      <c r="Z170">
        <f>IF($A170="","",IFERROR(INDEX('[AQ_2024.xlsx]原始数据'!$F:$F,MATCH($A170,'[AQ_2024.xlsx]原始数据'!$A:$A,0)),""))</f>
        <v/>
      </c>
      <c r="AA170" s="2">
        <f>IFERROR(G170/B170,"")</f>
        <v/>
      </c>
      <c r="AB170" s="2">
        <f>IFERROR(H170/C170,"")</f>
        <v/>
      </c>
      <c r="AC170" s="2">
        <f>IFERROR(I170/D170,"")</f>
        <v/>
      </c>
      <c r="AD170" s="2">
        <f>IFERROR(J170/E170,"")</f>
        <v/>
      </c>
      <c r="AE170" s="2">
        <f>IFERROR(K170/F170,"")</f>
        <v/>
      </c>
      <c r="AF170" s="2">
        <f>IFERROR(L170/B170,"")</f>
        <v/>
      </c>
      <c r="AG170" s="2">
        <f>IFERROR(M170/C170,"")</f>
        <v/>
      </c>
      <c r="AH170" s="2">
        <f>IFERROR(N170/D170,"")</f>
        <v/>
      </c>
      <c r="AI170" s="2">
        <f>IFERROR(O170/E170,"")</f>
        <v/>
      </c>
      <c r="AJ170" s="2">
        <f>IFERROR(P170/F170,"")</f>
        <v/>
      </c>
      <c r="AK170" s="2">
        <f>IFERROR(Q170/B170,"")</f>
        <v/>
      </c>
      <c r="AL170" s="2">
        <f>IFERROR(R170/C170,"")</f>
        <v/>
      </c>
      <c r="AM170" s="2">
        <f>IFERROR(S170/D170,"")</f>
        <v/>
      </c>
      <c r="AN170" s="2">
        <f>IFERROR(T170/E170,"")</f>
        <v/>
      </c>
      <c r="AO170" s="2">
        <f>IFERROR(U170/F170,"")</f>
        <v/>
      </c>
    </row>
    <row r="171">
      <c r="B171">
        <f>IF($A171="","",IFERROR(INDEX('[AQ_2020.xlsx]原始数据'!$B:$B,MATCH($A171,'[AQ_2020.xlsx]原始数据'!$A:$A,0)),""))</f>
        <v/>
      </c>
      <c r="C171">
        <f>IF($A171="","",IFERROR(INDEX('[AQ_2021.xlsx]原始数据'!$B:$B,MATCH($A171,'[AQ_2021.xlsx]原始数据'!$A:$A,0)),""))</f>
        <v/>
      </c>
      <c r="D171">
        <f>IF($A171="","",IFERROR(INDEX('[AQ_2022.xlsx]原始数据'!$B:$B,MATCH($A171,'[AQ_2022.xlsx]原始数据'!$A:$A,0)),""))</f>
        <v/>
      </c>
      <c r="E171">
        <f>IF($A171="","",IFERROR(INDEX('[AQ_2023.xlsx]原始数据'!$B:$B,MATCH($A171,'[AQ_2023.xlsx]原始数据'!$A:$A,0)),""))</f>
        <v/>
      </c>
      <c r="F171">
        <f>IF($A171="","",IFERROR(INDEX('[AQ_2024.xlsx]原始数据'!$B:$B,MATCH($A171,'[AQ_2024.xlsx]原始数据'!$A:$A,0)),""))</f>
        <v/>
      </c>
      <c r="G171">
        <f>IF($A171="","",IFERROR(INDEX('[AQ_2020.xlsx]原始数据'!$C:$C,MATCH($A171,'[AQ_2020.xlsx]原始数据'!$A:$A,0)),""))</f>
        <v/>
      </c>
      <c r="H171">
        <f>IF($A171="","",IFERROR(INDEX('[AQ_2021.xlsx]原始数据'!$C:$C,MATCH($A171,'[AQ_2021.xlsx]原始数据'!$A:$A,0)),""))</f>
        <v/>
      </c>
      <c r="I171">
        <f>IF($A171="","",IFERROR(INDEX('[AQ_2022.xlsx]原始数据'!$C:$C,MATCH($A171,'[AQ_2022.xlsx]原始数据'!$A:$A,0)),""))</f>
        <v/>
      </c>
      <c r="J171">
        <f>IF($A171="","",IFERROR(INDEX('[AQ_2023.xlsx]原始数据'!$C:$C,MATCH($A171,'[AQ_2023.xlsx]原始数据'!$A:$A,0)),""))</f>
        <v/>
      </c>
      <c r="K171">
        <f>IF($A171="","",IFERROR(INDEX('[AQ_2024.xlsx]原始数据'!$C:$C,MATCH($A171,'[AQ_2024.xlsx]原始数据'!$A:$A,0)),""))</f>
        <v/>
      </c>
      <c r="L171">
        <f>IF($A171="","",IFERROR(INDEX('[AQ_2020.xlsx]原始数据'!$D:$D,MATCH($A171,'[AQ_2020.xlsx]原始数据'!$A:$A,0)),""))</f>
        <v/>
      </c>
      <c r="M171">
        <f>IF($A171="","",IFERROR(INDEX('[AQ_2021.xlsx]原始数据'!$D:$D,MATCH($A171,'[AQ_2021.xlsx]原始数据'!$A:$A,0)),""))</f>
        <v/>
      </c>
      <c r="N171">
        <f>IF($A171="","",IFERROR(INDEX('[AQ_2022.xlsx]原始数据'!$D:$D,MATCH($A171,'[AQ_2022.xlsx]原始数据'!$A:$A,0)),""))</f>
        <v/>
      </c>
      <c r="O171">
        <f>IF($A171="","",IFERROR(INDEX('[AQ_2023.xlsx]原始数据'!$D:$D,MATCH($A171,'[AQ_2023.xlsx]原始数据'!$A:$A,0)),""))</f>
        <v/>
      </c>
      <c r="P171">
        <f>IF($A171="","",IFERROR(INDEX('[AQ_2024.xlsx]原始数据'!$D:$D,MATCH($A171,'[AQ_2024.xlsx]原始数据'!$A:$A,0)),""))</f>
        <v/>
      </c>
      <c r="Q171">
        <f>IF($A171="","",IFERROR(INDEX('[AQ_2020.xlsx]原始数据'!$E:$E,MATCH($A171,'[AQ_2020.xlsx]原始数据'!$A:$A,0)),""))</f>
        <v/>
      </c>
      <c r="R171">
        <f>IF($A171="","",IFERROR(INDEX('[AQ_2021.xlsx]原始数据'!$E:$E,MATCH($A171,'[AQ_2021.xlsx]原始数据'!$A:$A,0)),""))</f>
        <v/>
      </c>
      <c r="S171">
        <f>IF($A171="","",IFERROR(INDEX('[AQ_2022.xlsx]原始数据'!$E:$E,MATCH($A171,'[AQ_2022.xlsx]原始数据'!$A:$A,0)),""))</f>
        <v/>
      </c>
      <c r="T171">
        <f>IF($A171="","",IFERROR(INDEX('[AQ_2023.xlsx]原始数据'!$E:$E,MATCH($A171,'[AQ_2023.xlsx]原始数据'!$A:$A,0)),""))</f>
        <v/>
      </c>
      <c r="U171">
        <f>IF($A171="","",IFERROR(INDEX('[AQ_2024.xlsx]原始数据'!$E:$E,MATCH($A171,'[AQ_2024.xlsx]原始数据'!$A:$A,0)),""))</f>
        <v/>
      </c>
      <c r="V171">
        <f>IF($A171="","",IFERROR(INDEX('[AQ_2020.xlsx]原始数据'!$F:$F,MATCH($A171,'[AQ_2020.xlsx]原始数据'!$A:$A,0)),""))</f>
        <v/>
      </c>
      <c r="W171">
        <f>IF($A171="","",IFERROR(INDEX('[AQ_2021.xlsx]原始数据'!$F:$F,MATCH($A171,'[AQ_2021.xlsx]原始数据'!$A:$A,0)),""))</f>
        <v/>
      </c>
      <c r="X171">
        <f>IF($A171="","",IFERROR(INDEX('[AQ_2022.xlsx]原始数据'!$F:$F,MATCH($A171,'[AQ_2022.xlsx]原始数据'!$A:$A,0)),""))</f>
        <v/>
      </c>
      <c r="Y171">
        <f>IF($A171="","",IFERROR(INDEX('[AQ_2023.xlsx]原始数据'!$F:$F,MATCH($A171,'[AQ_2023.xlsx]原始数据'!$A:$A,0)),""))</f>
        <v/>
      </c>
      <c r="Z171">
        <f>IF($A171="","",IFERROR(INDEX('[AQ_2024.xlsx]原始数据'!$F:$F,MATCH($A171,'[AQ_2024.xlsx]原始数据'!$A:$A,0)),""))</f>
        <v/>
      </c>
      <c r="AA171" s="2">
        <f>IFERROR(G171/B171,"")</f>
        <v/>
      </c>
      <c r="AB171" s="2">
        <f>IFERROR(H171/C171,"")</f>
        <v/>
      </c>
      <c r="AC171" s="2">
        <f>IFERROR(I171/D171,"")</f>
        <v/>
      </c>
      <c r="AD171" s="2">
        <f>IFERROR(J171/E171,"")</f>
        <v/>
      </c>
      <c r="AE171" s="2">
        <f>IFERROR(K171/F171,"")</f>
        <v/>
      </c>
      <c r="AF171" s="2">
        <f>IFERROR(L171/B171,"")</f>
        <v/>
      </c>
      <c r="AG171" s="2">
        <f>IFERROR(M171/C171,"")</f>
        <v/>
      </c>
      <c r="AH171" s="2">
        <f>IFERROR(N171/D171,"")</f>
        <v/>
      </c>
      <c r="AI171" s="2">
        <f>IFERROR(O171/E171,"")</f>
        <v/>
      </c>
      <c r="AJ171" s="2">
        <f>IFERROR(P171/F171,"")</f>
        <v/>
      </c>
      <c r="AK171" s="2">
        <f>IFERROR(Q171/B171,"")</f>
        <v/>
      </c>
      <c r="AL171" s="2">
        <f>IFERROR(R171/C171,"")</f>
        <v/>
      </c>
      <c r="AM171" s="2">
        <f>IFERROR(S171/D171,"")</f>
        <v/>
      </c>
      <c r="AN171" s="2">
        <f>IFERROR(T171/E171,"")</f>
        <v/>
      </c>
      <c r="AO171" s="2">
        <f>IFERROR(U171/F171,"")</f>
        <v/>
      </c>
    </row>
    <row r="172">
      <c r="B172">
        <f>IF($A172="","",IFERROR(INDEX('[AQ_2020.xlsx]原始数据'!$B:$B,MATCH($A172,'[AQ_2020.xlsx]原始数据'!$A:$A,0)),""))</f>
        <v/>
      </c>
      <c r="C172">
        <f>IF($A172="","",IFERROR(INDEX('[AQ_2021.xlsx]原始数据'!$B:$B,MATCH($A172,'[AQ_2021.xlsx]原始数据'!$A:$A,0)),""))</f>
        <v/>
      </c>
      <c r="D172">
        <f>IF($A172="","",IFERROR(INDEX('[AQ_2022.xlsx]原始数据'!$B:$B,MATCH($A172,'[AQ_2022.xlsx]原始数据'!$A:$A,0)),""))</f>
        <v/>
      </c>
      <c r="E172">
        <f>IF($A172="","",IFERROR(INDEX('[AQ_2023.xlsx]原始数据'!$B:$B,MATCH($A172,'[AQ_2023.xlsx]原始数据'!$A:$A,0)),""))</f>
        <v/>
      </c>
      <c r="F172">
        <f>IF($A172="","",IFERROR(INDEX('[AQ_2024.xlsx]原始数据'!$B:$B,MATCH($A172,'[AQ_2024.xlsx]原始数据'!$A:$A,0)),""))</f>
        <v/>
      </c>
      <c r="G172">
        <f>IF($A172="","",IFERROR(INDEX('[AQ_2020.xlsx]原始数据'!$C:$C,MATCH($A172,'[AQ_2020.xlsx]原始数据'!$A:$A,0)),""))</f>
        <v/>
      </c>
      <c r="H172">
        <f>IF($A172="","",IFERROR(INDEX('[AQ_2021.xlsx]原始数据'!$C:$C,MATCH($A172,'[AQ_2021.xlsx]原始数据'!$A:$A,0)),""))</f>
        <v/>
      </c>
      <c r="I172">
        <f>IF($A172="","",IFERROR(INDEX('[AQ_2022.xlsx]原始数据'!$C:$C,MATCH($A172,'[AQ_2022.xlsx]原始数据'!$A:$A,0)),""))</f>
        <v/>
      </c>
      <c r="J172">
        <f>IF($A172="","",IFERROR(INDEX('[AQ_2023.xlsx]原始数据'!$C:$C,MATCH($A172,'[AQ_2023.xlsx]原始数据'!$A:$A,0)),""))</f>
        <v/>
      </c>
      <c r="K172">
        <f>IF($A172="","",IFERROR(INDEX('[AQ_2024.xlsx]原始数据'!$C:$C,MATCH($A172,'[AQ_2024.xlsx]原始数据'!$A:$A,0)),""))</f>
        <v/>
      </c>
      <c r="L172">
        <f>IF($A172="","",IFERROR(INDEX('[AQ_2020.xlsx]原始数据'!$D:$D,MATCH($A172,'[AQ_2020.xlsx]原始数据'!$A:$A,0)),""))</f>
        <v/>
      </c>
      <c r="M172">
        <f>IF($A172="","",IFERROR(INDEX('[AQ_2021.xlsx]原始数据'!$D:$D,MATCH($A172,'[AQ_2021.xlsx]原始数据'!$A:$A,0)),""))</f>
        <v/>
      </c>
      <c r="N172">
        <f>IF($A172="","",IFERROR(INDEX('[AQ_2022.xlsx]原始数据'!$D:$D,MATCH($A172,'[AQ_2022.xlsx]原始数据'!$A:$A,0)),""))</f>
        <v/>
      </c>
      <c r="O172">
        <f>IF($A172="","",IFERROR(INDEX('[AQ_2023.xlsx]原始数据'!$D:$D,MATCH($A172,'[AQ_2023.xlsx]原始数据'!$A:$A,0)),""))</f>
        <v/>
      </c>
      <c r="P172">
        <f>IF($A172="","",IFERROR(INDEX('[AQ_2024.xlsx]原始数据'!$D:$D,MATCH($A172,'[AQ_2024.xlsx]原始数据'!$A:$A,0)),""))</f>
        <v/>
      </c>
      <c r="Q172">
        <f>IF($A172="","",IFERROR(INDEX('[AQ_2020.xlsx]原始数据'!$E:$E,MATCH($A172,'[AQ_2020.xlsx]原始数据'!$A:$A,0)),""))</f>
        <v/>
      </c>
      <c r="R172">
        <f>IF($A172="","",IFERROR(INDEX('[AQ_2021.xlsx]原始数据'!$E:$E,MATCH($A172,'[AQ_2021.xlsx]原始数据'!$A:$A,0)),""))</f>
        <v/>
      </c>
      <c r="S172">
        <f>IF($A172="","",IFERROR(INDEX('[AQ_2022.xlsx]原始数据'!$E:$E,MATCH($A172,'[AQ_2022.xlsx]原始数据'!$A:$A,0)),""))</f>
        <v/>
      </c>
      <c r="T172">
        <f>IF($A172="","",IFERROR(INDEX('[AQ_2023.xlsx]原始数据'!$E:$E,MATCH($A172,'[AQ_2023.xlsx]原始数据'!$A:$A,0)),""))</f>
        <v/>
      </c>
      <c r="U172">
        <f>IF($A172="","",IFERROR(INDEX('[AQ_2024.xlsx]原始数据'!$E:$E,MATCH($A172,'[AQ_2024.xlsx]原始数据'!$A:$A,0)),""))</f>
        <v/>
      </c>
      <c r="V172">
        <f>IF($A172="","",IFERROR(INDEX('[AQ_2020.xlsx]原始数据'!$F:$F,MATCH($A172,'[AQ_2020.xlsx]原始数据'!$A:$A,0)),""))</f>
        <v/>
      </c>
      <c r="W172">
        <f>IF($A172="","",IFERROR(INDEX('[AQ_2021.xlsx]原始数据'!$F:$F,MATCH($A172,'[AQ_2021.xlsx]原始数据'!$A:$A,0)),""))</f>
        <v/>
      </c>
      <c r="X172">
        <f>IF($A172="","",IFERROR(INDEX('[AQ_2022.xlsx]原始数据'!$F:$F,MATCH($A172,'[AQ_2022.xlsx]原始数据'!$A:$A,0)),""))</f>
        <v/>
      </c>
      <c r="Y172">
        <f>IF($A172="","",IFERROR(INDEX('[AQ_2023.xlsx]原始数据'!$F:$F,MATCH($A172,'[AQ_2023.xlsx]原始数据'!$A:$A,0)),""))</f>
        <v/>
      </c>
      <c r="Z172">
        <f>IF($A172="","",IFERROR(INDEX('[AQ_2024.xlsx]原始数据'!$F:$F,MATCH($A172,'[AQ_2024.xlsx]原始数据'!$A:$A,0)),""))</f>
        <v/>
      </c>
      <c r="AA172" s="2">
        <f>IFERROR(G172/B172,"")</f>
        <v/>
      </c>
      <c r="AB172" s="2">
        <f>IFERROR(H172/C172,"")</f>
        <v/>
      </c>
      <c r="AC172" s="2">
        <f>IFERROR(I172/D172,"")</f>
        <v/>
      </c>
      <c r="AD172" s="2">
        <f>IFERROR(J172/E172,"")</f>
        <v/>
      </c>
      <c r="AE172" s="2">
        <f>IFERROR(K172/F172,"")</f>
        <v/>
      </c>
      <c r="AF172" s="2">
        <f>IFERROR(L172/B172,"")</f>
        <v/>
      </c>
      <c r="AG172" s="2">
        <f>IFERROR(M172/C172,"")</f>
        <v/>
      </c>
      <c r="AH172" s="2">
        <f>IFERROR(N172/D172,"")</f>
        <v/>
      </c>
      <c r="AI172" s="2">
        <f>IFERROR(O172/E172,"")</f>
        <v/>
      </c>
      <c r="AJ172" s="2">
        <f>IFERROR(P172/F172,"")</f>
        <v/>
      </c>
      <c r="AK172" s="2">
        <f>IFERROR(Q172/B172,"")</f>
        <v/>
      </c>
      <c r="AL172" s="2">
        <f>IFERROR(R172/C172,"")</f>
        <v/>
      </c>
      <c r="AM172" s="2">
        <f>IFERROR(S172/D172,"")</f>
        <v/>
      </c>
      <c r="AN172" s="2">
        <f>IFERROR(T172/E172,"")</f>
        <v/>
      </c>
      <c r="AO172" s="2">
        <f>IFERROR(U172/F172,"")</f>
        <v/>
      </c>
    </row>
    <row r="173">
      <c r="B173">
        <f>IF($A173="","",IFERROR(INDEX('[AQ_2020.xlsx]原始数据'!$B:$B,MATCH($A173,'[AQ_2020.xlsx]原始数据'!$A:$A,0)),""))</f>
        <v/>
      </c>
      <c r="C173">
        <f>IF($A173="","",IFERROR(INDEX('[AQ_2021.xlsx]原始数据'!$B:$B,MATCH($A173,'[AQ_2021.xlsx]原始数据'!$A:$A,0)),""))</f>
        <v/>
      </c>
      <c r="D173">
        <f>IF($A173="","",IFERROR(INDEX('[AQ_2022.xlsx]原始数据'!$B:$B,MATCH($A173,'[AQ_2022.xlsx]原始数据'!$A:$A,0)),""))</f>
        <v/>
      </c>
      <c r="E173">
        <f>IF($A173="","",IFERROR(INDEX('[AQ_2023.xlsx]原始数据'!$B:$B,MATCH($A173,'[AQ_2023.xlsx]原始数据'!$A:$A,0)),""))</f>
        <v/>
      </c>
      <c r="F173">
        <f>IF($A173="","",IFERROR(INDEX('[AQ_2024.xlsx]原始数据'!$B:$B,MATCH($A173,'[AQ_2024.xlsx]原始数据'!$A:$A,0)),""))</f>
        <v/>
      </c>
      <c r="G173">
        <f>IF($A173="","",IFERROR(INDEX('[AQ_2020.xlsx]原始数据'!$C:$C,MATCH($A173,'[AQ_2020.xlsx]原始数据'!$A:$A,0)),""))</f>
        <v/>
      </c>
      <c r="H173">
        <f>IF($A173="","",IFERROR(INDEX('[AQ_2021.xlsx]原始数据'!$C:$C,MATCH($A173,'[AQ_2021.xlsx]原始数据'!$A:$A,0)),""))</f>
        <v/>
      </c>
      <c r="I173">
        <f>IF($A173="","",IFERROR(INDEX('[AQ_2022.xlsx]原始数据'!$C:$C,MATCH($A173,'[AQ_2022.xlsx]原始数据'!$A:$A,0)),""))</f>
        <v/>
      </c>
      <c r="J173">
        <f>IF($A173="","",IFERROR(INDEX('[AQ_2023.xlsx]原始数据'!$C:$C,MATCH($A173,'[AQ_2023.xlsx]原始数据'!$A:$A,0)),""))</f>
        <v/>
      </c>
      <c r="K173">
        <f>IF($A173="","",IFERROR(INDEX('[AQ_2024.xlsx]原始数据'!$C:$C,MATCH($A173,'[AQ_2024.xlsx]原始数据'!$A:$A,0)),""))</f>
        <v/>
      </c>
      <c r="L173">
        <f>IF($A173="","",IFERROR(INDEX('[AQ_2020.xlsx]原始数据'!$D:$D,MATCH($A173,'[AQ_2020.xlsx]原始数据'!$A:$A,0)),""))</f>
        <v/>
      </c>
      <c r="M173">
        <f>IF($A173="","",IFERROR(INDEX('[AQ_2021.xlsx]原始数据'!$D:$D,MATCH($A173,'[AQ_2021.xlsx]原始数据'!$A:$A,0)),""))</f>
        <v/>
      </c>
      <c r="N173">
        <f>IF($A173="","",IFERROR(INDEX('[AQ_2022.xlsx]原始数据'!$D:$D,MATCH($A173,'[AQ_2022.xlsx]原始数据'!$A:$A,0)),""))</f>
        <v/>
      </c>
      <c r="O173">
        <f>IF($A173="","",IFERROR(INDEX('[AQ_2023.xlsx]原始数据'!$D:$D,MATCH($A173,'[AQ_2023.xlsx]原始数据'!$A:$A,0)),""))</f>
        <v/>
      </c>
      <c r="P173">
        <f>IF($A173="","",IFERROR(INDEX('[AQ_2024.xlsx]原始数据'!$D:$D,MATCH($A173,'[AQ_2024.xlsx]原始数据'!$A:$A,0)),""))</f>
        <v/>
      </c>
      <c r="Q173">
        <f>IF($A173="","",IFERROR(INDEX('[AQ_2020.xlsx]原始数据'!$E:$E,MATCH($A173,'[AQ_2020.xlsx]原始数据'!$A:$A,0)),""))</f>
        <v/>
      </c>
      <c r="R173">
        <f>IF($A173="","",IFERROR(INDEX('[AQ_2021.xlsx]原始数据'!$E:$E,MATCH($A173,'[AQ_2021.xlsx]原始数据'!$A:$A,0)),""))</f>
        <v/>
      </c>
      <c r="S173">
        <f>IF($A173="","",IFERROR(INDEX('[AQ_2022.xlsx]原始数据'!$E:$E,MATCH($A173,'[AQ_2022.xlsx]原始数据'!$A:$A,0)),""))</f>
        <v/>
      </c>
      <c r="T173">
        <f>IF($A173="","",IFERROR(INDEX('[AQ_2023.xlsx]原始数据'!$E:$E,MATCH($A173,'[AQ_2023.xlsx]原始数据'!$A:$A,0)),""))</f>
        <v/>
      </c>
      <c r="U173">
        <f>IF($A173="","",IFERROR(INDEX('[AQ_2024.xlsx]原始数据'!$E:$E,MATCH($A173,'[AQ_2024.xlsx]原始数据'!$A:$A,0)),""))</f>
        <v/>
      </c>
      <c r="V173">
        <f>IF($A173="","",IFERROR(INDEX('[AQ_2020.xlsx]原始数据'!$F:$F,MATCH($A173,'[AQ_2020.xlsx]原始数据'!$A:$A,0)),""))</f>
        <v/>
      </c>
      <c r="W173">
        <f>IF($A173="","",IFERROR(INDEX('[AQ_2021.xlsx]原始数据'!$F:$F,MATCH($A173,'[AQ_2021.xlsx]原始数据'!$A:$A,0)),""))</f>
        <v/>
      </c>
      <c r="X173">
        <f>IF($A173="","",IFERROR(INDEX('[AQ_2022.xlsx]原始数据'!$F:$F,MATCH($A173,'[AQ_2022.xlsx]原始数据'!$A:$A,0)),""))</f>
        <v/>
      </c>
      <c r="Y173">
        <f>IF($A173="","",IFERROR(INDEX('[AQ_2023.xlsx]原始数据'!$F:$F,MATCH($A173,'[AQ_2023.xlsx]原始数据'!$A:$A,0)),""))</f>
        <v/>
      </c>
      <c r="Z173">
        <f>IF($A173="","",IFERROR(INDEX('[AQ_2024.xlsx]原始数据'!$F:$F,MATCH($A173,'[AQ_2024.xlsx]原始数据'!$A:$A,0)),""))</f>
        <v/>
      </c>
      <c r="AA173" s="2">
        <f>IFERROR(G173/B173,"")</f>
        <v/>
      </c>
      <c r="AB173" s="2">
        <f>IFERROR(H173/C173,"")</f>
        <v/>
      </c>
      <c r="AC173" s="2">
        <f>IFERROR(I173/D173,"")</f>
        <v/>
      </c>
      <c r="AD173" s="2">
        <f>IFERROR(J173/E173,"")</f>
        <v/>
      </c>
      <c r="AE173" s="2">
        <f>IFERROR(K173/F173,"")</f>
        <v/>
      </c>
      <c r="AF173" s="2">
        <f>IFERROR(L173/B173,"")</f>
        <v/>
      </c>
      <c r="AG173" s="2">
        <f>IFERROR(M173/C173,"")</f>
        <v/>
      </c>
      <c r="AH173" s="2">
        <f>IFERROR(N173/D173,"")</f>
        <v/>
      </c>
      <c r="AI173" s="2">
        <f>IFERROR(O173/E173,"")</f>
        <v/>
      </c>
      <c r="AJ173" s="2">
        <f>IFERROR(P173/F173,"")</f>
        <v/>
      </c>
      <c r="AK173" s="2">
        <f>IFERROR(Q173/B173,"")</f>
        <v/>
      </c>
      <c r="AL173" s="2">
        <f>IFERROR(R173/C173,"")</f>
        <v/>
      </c>
      <c r="AM173" s="2">
        <f>IFERROR(S173/D173,"")</f>
        <v/>
      </c>
      <c r="AN173" s="2">
        <f>IFERROR(T173/E173,"")</f>
        <v/>
      </c>
      <c r="AO173" s="2">
        <f>IFERROR(U173/F173,"")</f>
        <v/>
      </c>
    </row>
    <row r="174">
      <c r="B174">
        <f>IF($A174="","",IFERROR(INDEX('[AQ_2020.xlsx]原始数据'!$B:$B,MATCH($A174,'[AQ_2020.xlsx]原始数据'!$A:$A,0)),""))</f>
        <v/>
      </c>
      <c r="C174">
        <f>IF($A174="","",IFERROR(INDEX('[AQ_2021.xlsx]原始数据'!$B:$B,MATCH($A174,'[AQ_2021.xlsx]原始数据'!$A:$A,0)),""))</f>
        <v/>
      </c>
      <c r="D174">
        <f>IF($A174="","",IFERROR(INDEX('[AQ_2022.xlsx]原始数据'!$B:$B,MATCH($A174,'[AQ_2022.xlsx]原始数据'!$A:$A,0)),""))</f>
        <v/>
      </c>
      <c r="E174">
        <f>IF($A174="","",IFERROR(INDEX('[AQ_2023.xlsx]原始数据'!$B:$B,MATCH($A174,'[AQ_2023.xlsx]原始数据'!$A:$A,0)),""))</f>
        <v/>
      </c>
      <c r="F174">
        <f>IF($A174="","",IFERROR(INDEX('[AQ_2024.xlsx]原始数据'!$B:$B,MATCH($A174,'[AQ_2024.xlsx]原始数据'!$A:$A,0)),""))</f>
        <v/>
      </c>
      <c r="G174">
        <f>IF($A174="","",IFERROR(INDEX('[AQ_2020.xlsx]原始数据'!$C:$C,MATCH($A174,'[AQ_2020.xlsx]原始数据'!$A:$A,0)),""))</f>
        <v/>
      </c>
      <c r="H174">
        <f>IF($A174="","",IFERROR(INDEX('[AQ_2021.xlsx]原始数据'!$C:$C,MATCH($A174,'[AQ_2021.xlsx]原始数据'!$A:$A,0)),""))</f>
        <v/>
      </c>
      <c r="I174">
        <f>IF($A174="","",IFERROR(INDEX('[AQ_2022.xlsx]原始数据'!$C:$C,MATCH($A174,'[AQ_2022.xlsx]原始数据'!$A:$A,0)),""))</f>
        <v/>
      </c>
      <c r="J174">
        <f>IF($A174="","",IFERROR(INDEX('[AQ_2023.xlsx]原始数据'!$C:$C,MATCH($A174,'[AQ_2023.xlsx]原始数据'!$A:$A,0)),""))</f>
        <v/>
      </c>
      <c r="K174">
        <f>IF($A174="","",IFERROR(INDEX('[AQ_2024.xlsx]原始数据'!$C:$C,MATCH($A174,'[AQ_2024.xlsx]原始数据'!$A:$A,0)),""))</f>
        <v/>
      </c>
      <c r="L174">
        <f>IF($A174="","",IFERROR(INDEX('[AQ_2020.xlsx]原始数据'!$D:$D,MATCH($A174,'[AQ_2020.xlsx]原始数据'!$A:$A,0)),""))</f>
        <v/>
      </c>
      <c r="M174">
        <f>IF($A174="","",IFERROR(INDEX('[AQ_2021.xlsx]原始数据'!$D:$D,MATCH($A174,'[AQ_2021.xlsx]原始数据'!$A:$A,0)),""))</f>
        <v/>
      </c>
      <c r="N174">
        <f>IF($A174="","",IFERROR(INDEX('[AQ_2022.xlsx]原始数据'!$D:$D,MATCH($A174,'[AQ_2022.xlsx]原始数据'!$A:$A,0)),""))</f>
        <v/>
      </c>
      <c r="O174">
        <f>IF($A174="","",IFERROR(INDEX('[AQ_2023.xlsx]原始数据'!$D:$D,MATCH($A174,'[AQ_2023.xlsx]原始数据'!$A:$A,0)),""))</f>
        <v/>
      </c>
      <c r="P174">
        <f>IF($A174="","",IFERROR(INDEX('[AQ_2024.xlsx]原始数据'!$D:$D,MATCH($A174,'[AQ_2024.xlsx]原始数据'!$A:$A,0)),""))</f>
        <v/>
      </c>
      <c r="Q174">
        <f>IF($A174="","",IFERROR(INDEX('[AQ_2020.xlsx]原始数据'!$E:$E,MATCH($A174,'[AQ_2020.xlsx]原始数据'!$A:$A,0)),""))</f>
        <v/>
      </c>
      <c r="R174">
        <f>IF($A174="","",IFERROR(INDEX('[AQ_2021.xlsx]原始数据'!$E:$E,MATCH($A174,'[AQ_2021.xlsx]原始数据'!$A:$A,0)),""))</f>
        <v/>
      </c>
      <c r="S174">
        <f>IF($A174="","",IFERROR(INDEX('[AQ_2022.xlsx]原始数据'!$E:$E,MATCH($A174,'[AQ_2022.xlsx]原始数据'!$A:$A,0)),""))</f>
        <v/>
      </c>
      <c r="T174">
        <f>IF($A174="","",IFERROR(INDEX('[AQ_2023.xlsx]原始数据'!$E:$E,MATCH($A174,'[AQ_2023.xlsx]原始数据'!$A:$A,0)),""))</f>
        <v/>
      </c>
      <c r="U174">
        <f>IF($A174="","",IFERROR(INDEX('[AQ_2024.xlsx]原始数据'!$E:$E,MATCH($A174,'[AQ_2024.xlsx]原始数据'!$A:$A,0)),""))</f>
        <v/>
      </c>
      <c r="V174">
        <f>IF($A174="","",IFERROR(INDEX('[AQ_2020.xlsx]原始数据'!$F:$F,MATCH($A174,'[AQ_2020.xlsx]原始数据'!$A:$A,0)),""))</f>
        <v/>
      </c>
      <c r="W174">
        <f>IF($A174="","",IFERROR(INDEX('[AQ_2021.xlsx]原始数据'!$F:$F,MATCH($A174,'[AQ_2021.xlsx]原始数据'!$A:$A,0)),""))</f>
        <v/>
      </c>
      <c r="X174">
        <f>IF($A174="","",IFERROR(INDEX('[AQ_2022.xlsx]原始数据'!$F:$F,MATCH($A174,'[AQ_2022.xlsx]原始数据'!$A:$A,0)),""))</f>
        <v/>
      </c>
      <c r="Y174">
        <f>IF($A174="","",IFERROR(INDEX('[AQ_2023.xlsx]原始数据'!$F:$F,MATCH($A174,'[AQ_2023.xlsx]原始数据'!$A:$A,0)),""))</f>
        <v/>
      </c>
      <c r="Z174">
        <f>IF($A174="","",IFERROR(INDEX('[AQ_2024.xlsx]原始数据'!$F:$F,MATCH($A174,'[AQ_2024.xlsx]原始数据'!$A:$A,0)),""))</f>
        <v/>
      </c>
      <c r="AA174" s="2">
        <f>IFERROR(G174/B174,"")</f>
        <v/>
      </c>
      <c r="AB174" s="2">
        <f>IFERROR(H174/C174,"")</f>
        <v/>
      </c>
      <c r="AC174" s="2">
        <f>IFERROR(I174/D174,"")</f>
        <v/>
      </c>
      <c r="AD174" s="2">
        <f>IFERROR(J174/E174,"")</f>
        <v/>
      </c>
      <c r="AE174" s="2">
        <f>IFERROR(K174/F174,"")</f>
        <v/>
      </c>
      <c r="AF174" s="2">
        <f>IFERROR(L174/B174,"")</f>
        <v/>
      </c>
      <c r="AG174" s="2">
        <f>IFERROR(M174/C174,"")</f>
        <v/>
      </c>
      <c r="AH174" s="2">
        <f>IFERROR(N174/D174,"")</f>
        <v/>
      </c>
      <c r="AI174" s="2">
        <f>IFERROR(O174/E174,"")</f>
        <v/>
      </c>
      <c r="AJ174" s="2">
        <f>IFERROR(P174/F174,"")</f>
        <v/>
      </c>
      <c r="AK174" s="2">
        <f>IFERROR(Q174/B174,"")</f>
        <v/>
      </c>
      <c r="AL174" s="2">
        <f>IFERROR(R174/C174,"")</f>
        <v/>
      </c>
      <c r="AM174" s="2">
        <f>IFERROR(S174/D174,"")</f>
        <v/>
      </c>
      <c r="AN174" s="2">
        <f>IFERROR(T174/E174,"")</f>
        <v/>
      </c>
      <c r="AO174" s="2">
        <f>IFERROR(U174/F174,"")</f>
        <v/>
      </c>
    </row>
    <row r="175">
      <c r="B175">
        <f>IF($A175="","",IFERROR(INDEX('[AQ_2020.xlsx]原始数据'!$B:$B,MATCH($A175,'[AQ_2020.xlsx]原始数据'!$A:$A,0)),""))</f>
        <v/>
      </c>
      <c r="C175">
        <f>IF($A175="","",IFERROR(INDEX('[AQ_2021.xlsx]原始数据'!$B:$B,MATCH($A175,'[AQ_2021.xlsx]原始数据'!$A:$A,0)),""))</f>
        <v/>
      </c>
      <c r="D175">
        <f>IF($A175="","",IFERROR(INDEX('[AQ_2022.xlsx]原始数据'!$B:$B,MATCH($A175,'[AQ_2022.xlsx]原始数据'!$A:$A,0)),""))</f>
        <v/>
      </c>
      <c r="E175">
        <f>IF($A175="","",IFERROR(INDEX('[AQ_2023.xlsx]原始数据'!$B:$B,MATCH($A175,'[AQ_2023.xlsx]原始数据'!$A:$A,0)),""))</f>
        <v/>
      </c>
      <c r="F175">
        <f>IF($A175="","",IFERROR(INDEX('[AQ_2024.xlsx]原始数据'!$B:$B,MATCH($A175,'[AQ_2024.xlsx]原始数据'!$A:$A,0)),""))</f>
        <v/>
      </c>
      <c r="G175">
        <f>IF($A175="","",IFERROR(INDEX('[AQ_2020.xlsx]原始数据'!$C:$C,MATCH($A175,'[AQ_2020.xlsx]原始数据'!$A:$A,0)),""))</f>
        <v/>
      </c>
      <c r="H175">
        <f>IF($A175="","",IFERROR(INDEX('[AQ_2021.xlsx]原始数据'!$C:$C,MATCH($A175,'[AQ_2021.xlsx]原始数据'!$A:$A,0)),""))</f>
        <v/>
      </c>
      <c r="I175">
        <f>IF($A175="","",IFERROR(INDEX('[AQ_2022.xlsx]原始数据'!$C:$C,MATCH($A175,'[AQ_2022.xlsx]原始数据'!$A:$A,0)),""))</f>
        <v/>
      </c>
      <c r="J175">
        <f>IF($A175="","",IFERROR(INDEX('[AQ_2023.xlsx]原始数据'!$C:$C,MATCH($A175,'[AQ_2023.xlsx]原始数据'!$A:$A,0)),""))</f>
        <v/>
      </c>
      <c r="K175">
        <f>IF($A175="","",IFERROR(INDEX('[AQ_2024.xlsx]原始数据'!$C:$C,MATCH($A175,'[AQ_2024.xlsx]原始数据'!$A:$A,0)),""))</f>
        <v/>
      </c>
      <c r="L175">
        <f>IF($A175="","",IFERROR(INDEX('[AQ_2020.xlsx]原始数据'!$D:$D,MATCH($A175,'[AQ_2020.xlsx]原始数据'!$A:$A,0)),""))</f>
        <v/>
      </c>
      <c r="M175">
        <f>IF($A175="","",IFERROR(INDEX('[AQ_2021.xlsx]原始数据'!$D:$D,MATCH($A175,'[AQ_2021.xlsx]原始数据'!$A:$A,0)),""))</f>
        <v/>
      </c>
      <c r="N175">
        <f>IF($A175="","",IFERROR(INDEX('[AQ_2022.xlsx]原始数据'!$D:$D,MATCH($A175,'[AQ_2022.xlsx]原始数据'!$A:$A,0)),""))</f>
        <v/>
      </c>
      <c r="O175">
        <f>IF($A175="","",IFERROR(INDEX('[AQ_2023.xlsx]原始数据'!$D:$D,MATCH($A175,'[AQ_2023.xlsx]原始数据'!$A:$A,0)),""))</f>
        <v/>
      </c>
      <c r="P175">
        <f>IF($A175="","",IFERROR(INDEX('[AQ_2024.xlsx]原始数据'!$D:$D,MATCH($A175,'[AQ_2024.xlsx]原始数据'!$A:$A,0)),""))</f>
        <v/>
      </c>
      <c r="Q175">
        <f>IF($A175="","",IFERROR(INDEX('[AQ_2020.xlsx]原始数据'!$E:$E,MATCH($A175,'[AQ_2020.xlsx]原始数据'!$A:$A,0)),""))</f>
        <v/>
      </c>
      <c r="R175">
        <f>IF($A175="","",IFERROR(INDEX('[AQ_2021.xlsx]原始数据'!$E:$E,MATCH($A175,'[AQ_2021.xlsx]原始数据'!$A:$A,0)),""))</f>
        <v/>
      </c>
      <c r="S175">
        <f>IF($A175="","",IFERROR(INDEX('[AQ_2022.xlsx]原始数据'!$E:$E,MATCH($A175,'[AQ_2022.xlsx]原始数据'!$A:$A,0)),""))</f>
        <v/>
      </c>
      <c r="T175">
        <f>IF($A175="","",IFERROR(INDEX('[AQ_2023.xlsx]原始数据'!$E:$E,MATCH($A175,'[AQ_2023.xlsx]原始数据'!$A:$A,0)),""))</f>
        <v/>
      </c>
      <c r="U175">
        <f>IF($A175="","",IFERROR(INDEX('[AQ_2024.xlsx]原始数据'!$E:$E,MATCH($A175,'[AQ_2024.xlsx]原始数据'!$A:$A,0)),""))</f>
        <v/>
      </c>
      <c r="V175">
        <f>IF($A175="","",IFERROR(INDEX('[AQ_2020.xlsx]原始数据'!$F:$F,MATCH($A175,'[AQ_2020.xlsx]原始数据'!$A:$A,0)),""))</f>
        <v/>
      </c>
      <c r="W175">
        <f>IF($A175="","",IFERROR(INDEX('[AQ_2021.xlsx]原始数据'!$F:$F,MATCH($A175,'[AQ_2021.xlsx]原始数据'!$A:$A,0)),""))</f>
        <v/>
      </c>
      <c r="X175">
        <f>IF($A175="","",IFERROR(INDEX('[AQ_2022.xlsx]原始数据'!$F:$F,MATCH($A175,'[AQ_2022.xlsx]原始数据'!$A:$A,0)),""))</f>
        <v/>
      </c>
      <c r="Y175">
        <f>IF($A175="","",IFERROR(INDEX('[AQ_2023.xlsx]原始数据'!$F:$F,MATCH($A175,'[AQ_2023.xlsx]原始数据'!$A:$A,0)),""))</f>
        <v/>
      </c>
      <c r="Z175">
        <f>IF($A175="","",IFERROR(INDEX('[AQ_2024.xlsx]原始数据'!$F:$F,MATCH($A175,'[AQ_2024.xlsx]原始数据'!$A:$A,0)),""))</f>
        <v/>
      </c>
      <c r="AA175" s="2">
        <f>IFERROR(G175/B175,"")</f>
        <v/>
      </c>
      <c r="AB175" s="2">
        <f>IFERROR(H175/C175,"")</f>
        <v/>
      </c>
      <c r="AC175" s="2">
        <f>IFERROR(I175/D175,"")</f>
        <v/>
      </c>
      <c r="AD175" s="2">
        <f>IFERROR(J175/E175,"")</f>
        <v/>
      </c>
      <c r="AE175" s="2">
        <f>IFERROR(K175/F175,"")</f>
        <v/>
      </c>
      <c r="AF175" s="2">
        <f>IFERROR(L175/B175,"")</f>
        <v/>
      </c>
      <c r="AG175" s="2">
        <f>IFERROR(M175/C175,"")</f>
        <v/>
      </c>
      <c r="AH175" s="2">
        <f>IFERROR(N175/D175,"")</f>
        <v/>
      </c>
      <c r="AI175" s="2">
        <f>IFERROR(O175/E175,"")</f>
        <v/>
      </c>
      <c r="AJ175" s="2">
        <f>IFERROR(P175/F175,"")</f>
        <v/>
      </c>
      <c r="AK175" s="2">
        <f>IFERROR(Q175/B175,"")</f>
        <v/>
      </c>
      <c r="AL175" s="2">
        <f>IFERROR(R175/C175,"")</f>
        <v/>
      </c>
      <c r="AM175" s="2">
        <f>IFERROR(S175/D175,"")</f>
        <v/>
      </c>
      <c r="AN175" s="2">
        <f>IFERROR(T175/E175,"")</f>
        <v/>
      </c>
      <c r="AO175" s="2">
        <f>IFERROR(U175/F175,"")</f>
        <v/>
      </c>
    </row>
    <row r="176">
      <c r="B176">
        <f>IF($A176="","",IFERROR(INDEX('[AQ_2020.xlsx]原始数据'!$B:$B,MATCH($A176,'[AQ_2020.xlsx]原始数据'!$A:$A,0)),""))</f>
        <v/>
      </c>
      <c r="C176">
        <f>IF($A176="","",IFERROR(INDEX('[AQ_2021.xlsx]原始数据'!$B:$B,MATCH($A176,'[AQ_2021.xlsx]原始数据'!$A:$A,0)),""))</f>
        <v/>
      </c>
      <c r="D176">
        <f>IF($A176="","",IFERROR(INDEX('[AQ_2022.xlsx]原始数据'!$B:$B,MATCH($A176,'[AQ_2022.xlsx]原始数据'!$A:$A,0)),""))</f>
        <v/>
      </c>
      <c r="E176">
        <f>IF($A176="","",IFERROR(INDEX('[AQ_2023.xlsx]原始数据'!$B:$B,MATCH($A176,'[AQ_2023.xlsx]原始数据'!$A:$A,0)),""))</f>
        <v/>
      </c>
      <c r="F176">
        <f>IF($A176="","",IFERROR(INDEX('[AQ_2024.xlsx]原始数据'!$B:$B,MATCH($A176,'[AQ_2024.xlsx]原始数据'!$A:$A,0)),""))</f>
        <v/>
      </c>
      <c r="G176">
        <f>IF($A176="","",IFERROR(INDEX('[AQ_2020.xlsx]原始数据'!$C:$C,MATCH($A176,'[AQ_2020.xlsx]原始数据'!$A:$A,0)),""))</f>
        <v/>
      </c>
      <c r="H176">
        <f>IF($A176="","",IFERROR(INDEX('[AQ_2021.xlsx]原始数据'!$C:$C,MATCH($A176,'[AQ_2021.xlsx]原始数据'!$A:$A,0)),""))</f>
        <v/>
      </c>
      <c r="I176">
        <f>IF($A176="","",IFERROR(INDEX('[AQ_2022.xlsx]原始数据'!$C:$C,MATCH($A176,'[AQ_2022.xlsx]原始数据'!$A:$A,0)),""))</f>
        <v/>
      </c>
      <c r="J176">
        <f>IF($A176="","",IFERROR(INDEX('[AQ_2023.xlsx]原始数据'!$C:$C,MATCH($A176,'[AQ_2023.xlsx]原始数据'!$A:$A,0)),""))</f>
        <v/>
      </c>
      <c r="K176">
        <f>IF($A176="","",IFERROR(INDEX('[AQ_2024.xlsx]原始数据'!$C:$C,MATCH($A176,'[AQ_2024.xlsx]原始数据'!$A:$A,0)),""))</f>
        <v/>
      </c>
      <c r="L176">
        <f>IF($A176="","",IFERROR(INDEX('[AQ_2020.xlsx]原始数据'!$D:$D,MATCH($A176,'[AQ_2020.xlsx]原始数据'!$A:$A,0)),""))</f>
        <v/>
      </c>
      <c r="M176">
        <f>IF($A176="","",IFERROR(INDEX('[AQ_2021.xlsx]原始数据'!$D:$D,MATCH($A176,'[AQ_2021.xlsx]原始数据'!$A:$A,0)),""))</f>
        <v/>
      </c>
      <c r="N176">
        <f>IF($A176="","",IFERROR(INDEX('[AQ_2022.xlsx]原始数据'!$D:$D,MATCH($A176,'[AQ_2022.xlsx]原始数据'!$A:$A,0)),""))</f>
        <v/>
      </c>
      <c r="O176">
        <f>IF($A176="","",IFERROR(INDEX('[AQ_2023.xlsx]原始数据'!$D:$D,MATCH($A176,'[AQ_2023.xlsx]原始数据'!$A:$A,0)),""))</f>
        <v/>
      </c>
      <c r="P176">
        <f>IF($A176="","",IFERROR(INDEX('[AQ_2024.xlsx]原始数据'!$D:$D,MATCH($A176,'[AQ_2024.xlsx]原始数据'!$A:$A,0)),""))</f>
        <v/>
      </c>
      <c r="Q176">
        <f>IF($A176="","",IFERROR(INDEX('[AQ_2020.xlsx]原始数据'!$E:$E,MATCH($A176,'[AQ_2020.xlsx]原始数据'!$A:$A,0)),""))</f>
        <v/>
      </c>
      <c r="R176">
        <f>IF($A176="","",IFERROR(INDEX('[AQ_2021.xlsx]原始数据'!$E:$E,MATCH($A176,'[AQ_2021.xlsx]原始数据'!$A:$A,0)),""))</f>
        <v/>
      </c>
      <c r="S176">
        <f>IF($A176="","",IFERROR(INDEX('[AQ_2022.xlsx]原始数据'!$E:$E,MATCH($A176,'[AQ_2022.xlsx]原始数据'!$A:$A,0)),""))</f>
        <v/>
      </c>
      <c r="T176">
        <f>IF($A176="","",IFERROR(INDEX('[AQ_2023.xlsx]原始数据'!$E:$E,MATCH($A176,'[AQ_2023.xlsx]原始数据'!$A:$A,0)),""))</f>
        <v/>
      </c>
      <c r="U176">
        <f>IF($A176="","",IFERROR(INDEX('[AQ_2024.xlsx]原始数据'!$E:$E,MATCH($A176,'[AQ_2024.xlsx]原始数据'!$A:$A,0)),""))</f>
        <v/>
      </c>
      <c r="V176">
        <f>IF($A176="","",IFERROR(INDEX('[AQ_2020.xlsx]原始数据'!$F:$F,MATCH($A176,'[AQ_2020.xlsx]原始数据'!$A:$A,0)),""))</f>
        <v/>
      </c>
      <c r="W176">
        <f>IF($A176="","",IFERROR(INDEX('[AQ_2021.xlsx]原始数据'!$F:$F,MATCH($A176,'[AQ_2021.xlsx]原始数据'!$A:$A,0)),""))</f>
        <v/>
      </c>
      <c r="X176">
        <f>IF($A176="","",IFERROR(INDEX('[AQ_2022.xlsx]原始数据'!$F:$F,MATCH($A176,'[AQ_2022.xlsx]原始数据'!$A:$A,0)),""))</f>
        <v/>
      </c>
      <c r="Y176">
        <f>IF($A176="","",IFERROR(INDEX('[AQ_2023.xlsx]原始数据'!$F:$F,MATCH($A176,'[AQ_2023.xlsx]原始数据'!$A:$A,0)),""))</f>
        <v/>
      </c>
      <c r="Z176">
        <f>IF($A176="","",IFERROR(INDEX('[AQ_2024.xlsx]原始数据'!$F:$F,MATCH($A176,'[AQ_2024.xlsx]原始数据'!$A:$A,0)),""))</f>
        <v/>
      </c>
      <c r="AA176" s="2">
        <f>IFERROR(G176/B176,"")</f>
        <v/>
      </c>
      <c r="AB176" s="2">
        <f>IFERROR(H176/C176,"")</f>
        <v/>
      </c>
      <c r="AC176" s="2">
        <f>IFERROR(I176/D176,"")</f>
        <v/>
      </c>
      <c r="AD176" s="2">
        <f>IFERROR(J176/E176,"")</f>
        <v/>
      </c>
      <c r="AE176" s="2">
        <f>IFERROR(K176/F176,"")</f>
        <v/>
      </c>
      <c r="AF176" s="2">
        <f>IFERROR(L176/B176,"")</f>
        <v/>
      </c>
      <c r="AG176" s="2">
        <f>IFERROR(M176/C176,"")</f>
        <v/>
      </c>
      <c r="AH176" s="2">
        <f>IFERROR(N176/D176,"")</f>
        <v/>
      </c>
      <c r="AI176" s="2">
        <f>IFERROR(O176/E176,"")</f>
        <v/>
      </c>
      <c r="AJ176" s="2">
        <f>IFERROR(P176/F176,"")</f>
        <v/>
      </c>
      <c r="AK176" s="2">
        <f>IFERROR(Q176/B176,"")</f>
        <v/>
      </c>
      <c r="AL176" s="2">
        <f>IFERROR(R176/C176,"")</f>
        <v/>
      </c>
      <c r="AM176" s="2">
        <f>IFERROR(S176/D176,"")</f>
        <v/>
      </c>
      <c r="AN176" s="2">
        <f>IFERROR(T176/E176,"")</f>
        <v/>
      </c>
      <c r="AO176" s="2">
        <f>IFERROR(U176/F176,"")</f>
        <v/>
      </c>
    </row>
    <row r="177">
      <c r="B177">
        <f>IF($A177="","",IFERROR(INDEX('[AQ_2020.xlsx]原始数据'!$B:$B,MATCH($A177,'[AQ_2020.xlsx]原始数据'!$A:$A,0)),""))</f>
        <v/>
      </c>
      <c r="C177">
        <f>IF($A177="","",IFERROR(INDEX('[AQ_2021.xlsx]原始数据'!$B:$B,MATCH($A177,'[AQ_2021.xlsx]原始数据'!$A:$A,0)),""))</f>
        <v/>
      </c>
      <c r="D177">
        <f>IF($A177="","",IFERROR(INDEX('[AQ_2022.xlsx]原始数据'!$B:$B,MATCH($A177,'[AQ_2022.xlsx]原始数据'!$A:$A,0)),""))</f>
        <v/>
      </c>
      <c r="E177">
        <f>IF($A177="","",IFERROR(INDEX('[AQ_2023.xlsx]原始数据'!$B:$B,MATCH($A177,'[AQ_2023.xlsx]原始数据'!$A:$A,0)),""))</f>
        <v/>
      </c>
      <c r="F177">
        <f>IF($A177="","",IFERROR(INDEX('[AQ_2024.xlsx]原始数据'!$B:$B,MATCH($A177,'[AQ_2024.xlsx]原始数据'!$A:$A,0)),""))</f>
        <v/>
      </c>
      <c r="G177">
        <f>IF($A177="","",IFERROR(INDEX('[AQ_2020.xlsx]原始数据'!$C:$C,MATCH($A177,'[AQ_2020.xlsx]原始数据'!$A:$A,0)),""))</f>
        <v/>
      </c>
      <c r="H177">
        <f>IF($A177="","",IFERROR(INDEX('[AQ_2021.xlsx]原始数据'!$C:$C,MATCH($A177,'[AQ_2021.xlsx]原始数据'!$A:$A,0)),""))</f>
        <v/>
      </c>
      <c r="I177">
        <f>IF($A177="","",IFERROR(INDEX('[AQ_2022.xlsx]原始数据'!$C:$C,MATCH($A177,'[AQ_2022.xlsx]原始数据'!$A:$A,0)),""))</f>
        <v/>
      </c>
      <c r="J177">
        <f>IF($A177="","",IFERROR(INDEX('[AQ_2023.xlsx]原始数据'!$C:$C,MATCH($A177,'[AQ_2023.xlsx]原始数据'!$A:$A,0)),""))</f>
        <v/>
      </c>
      <c r="K177">
        <f>IF($A177="","",IFERROR(INDEX('[AQ_2024.xlsx]原始数据'!$C:$C,MATCH($A177,'[AQ_2024.xlsx]原始数据'!$A:$A,0)),""))</f>
        <v/>
      </c>
      <c r="L177">
        <f>IF($A177="","",IFERROR(INDEX('[AQ_2020.xlsx]原始数据'!$D:$D,MATCH($A177,'[AQ_2020.xlsx]原始数据'!$A:$A,0)),""))</f>
        <v/>
      </c>
      <c r="M177">
        <f>IF($A177="","",IFERROR(INDEX('[AQ_2021.xlsx]原始数据'!$D:$D,MATCH($A177,'[AQ_2021.xlsx]原始数据'!$A:$A,0)),""))</f>
        <v/>
      </c>
      <c r="N177">
        <f>IF($A177="","",IFERROR(INDEX('[AQ_2022.xlsx]原始数据'!$D:$D,MATCH($A177,'[AQ_2022.xlsx]原始数据'!$A:$A,0)),""))</f>
        <v/>
      </c>
      <c r="O177">
        <f>IF($A177="","",IFERROR(INDEX('[AQ_2023.xlsx]原始数据'!$D:$D,MATCH($A177,'[AQ_2023.xlsx]原始数据'!$A:$A,0)),""))</f>
        <v/>
      </c>
      <c r="P177">
        <f>IF($A177="","",IFERROR(INDEX('[AQ_2024.xlsx]原始数据'!$D:$D,MATCH($A177,'[AQ_2024.xlsx]原始数据'!$A:$A,0)),""))</f>
        <v/>
      </c>
      <c r="Q177">
        <f>IF($A177="","",IFERROR(INDEX('[AQ_2020.xlsx]原始数据'!$E:$E,MATCH($A177,'[AQ_2020.xlsx]原始数据'!$A:$A,0)),""))</f>
        <v/>
      </c>
      <c r="R177">
        <f>IF($A177="","",IFERROR(INDEX('[AQ_2021.xlsx]原始数据'!$E:$E,MATCH($A177,'[AQ_2021.xlsx]原始数据'!$A:$A,0)),""))</f>
        <v/>
      </c>
      <c r="S177">
        <f>IF($A177="","",IFERROR(INDEX('[AQ_2022.xlsx]原始数据'!$E:$E,MATCH($A177,'[AQ_2022.xlsx]原始数据'!$A:$A,0)),""))</f>
        <v/>
      </c>
      <c r="T177">
        <f>IF($A177="","",IFERROR(INDEX('[AQ_2023.xlsx]原始数据'!$E:$E,MATCH($A177,'[AQ_2023.xlsx]原始数据'!$A:$A,0)),""))</f>
        <v/>
      </c>
      <c r="U177">
        <f>IF($A177="","",IFERROR(INDEX('[AQ_2024.xlsx]原始数据'!$E:$E,MATCH($A177,'[AQ_2024.xlsx]原始数据'!$A:$A,0)),""))</f>
        <v/>
      </c>
      <c r="V177">
        <f>IF($A177="","",IFERROR(INDEX('[AQ_2020.xlsx]原始数据'!$F:$F,MATCH($A177,'[AQ_2020.xlsx]原始数据'!$A:$A,0)),""))</f>
        <v/>
      </c>
      <c r="W177">
        <f>IF($A177="","",IFERROR(INDEX('[AQ_2021.xlsx]原始数据'!$F:$F,MATCH($A177,'[AQ_2021.xlsx]原始数据'!$A:$A,0)),""))</f>
        <v/>
      </c>
      <c r="X177">
        <f>IF($A177="","",IFERROR(INDEX('[AQ_2022.xlsx]原始数据'!$F:$F,MATCH($A177,'[AQ_2022.xlsx]原始数据'!$A:$A,0)),""))</f>
        <v/>
      </c>
      <c r="Y177">
        <f>IF($A177="","",IFERROR(INDEX('[AQ_2023.xlsx]原始数据'!$F:$F,MATCH($A177,'[AQ_2023.xlsx]原始数据'!$A:$A,0)),""))</f>
        <v/>
      </c>
      <c r="Z177">
        <f>IF($A177="","",IFERROR(INDEX('[AQ_2024.xlsx]原始数据'!$F:$F,MATCH($A177,'[AQ_2024.xlsx]原始数据'!$A:$A,0)),""))</f>
        <v/>
      </c>
      <c r="AA177" s="2">
        <f>IFERROR(G177/B177,"")</f>
        <v/>
      </c>
      <c r="AB177" s="2">
        <f>IFERROR(H177/C177,"")</f>
        <v/>
      </c>
      <c r="AC177" s="2">
        <f>IFERROR(I177/D177,"")</f>
        <v/>
      </c>
      <c r="AD177" s="2">
        <f>IFERROR(J177/E177,"")</f>
        <v/>
      </c>
      <c r="AE177" s="2">
        <f>IFERROR(K177/F177,"")</f>
        <v/>
      </c>
      <c r="AF177" s="2">
        <f>IFERROR(L177/B177,"")</f>
        <v/>
      </c>
      <c r="AG177" s="2">
        <f>IFERROR(M177/C177,"")</f>
        <v/>
      </c>
      <c r="AH177" s="2">
        <f>IFERROR(N177/D177,"")</f>
        <v/>
      </c>
      <c r="AI177" s="2">
        <f>IFERROR(O177/E177,"")</f>
        <v/>
      </c>
      <c r="AJ177" s="2">
        <f>IFERROR(P177/F177,"")</f>
        <v/>
      </c>
      <c r="AK177" s="2">
        <f>IFERROR(Q177/B177,"")</f>
        <v/>
      </c>
      <c r="AL177" s="2">
        <f>IFERROR(R177/C177,"")</f>
        <v/>
      </c>
      <c r="AM177" s="2">
        <f>IFERROR(S177/D177,"")</f>
        <v/>
      </c>
      <c r="AN177" s="2">
        <f>IFERROR(T177/E177,"")</f>
        <v/>
      </c>
      <c r="AO177" s="2">
        <f>IFERROR(U177/F177,"")</f>
        <v/>
      </c>
    </row>
    <row r="178">
      <c r="B178">
        <f>IF($A178="","",IFERROR(INDEX('[AQ_2020.xlsx]原始数据'!$B:$B,MATCH($A178,'[AQ_2020.xlsx]原始数据'!$A:$A,0)),""))</f>
        <v/>
      </c>
      <c r="C178">
        <f>IF($A178="","",IFERROR(INDEX('[AQ_2021.xlsx]原始数据'!$B:$B,MATCH($A178,'[AQ_2021.xlsx]原始数据'!$A:$A,0)),""))</f>
        <v/>
      </c>
      <c r="D178">
        <f>IF($A178="","",IFERROR(INDEX('[AQ_2022.xlsx]原始数据'!$B:$B,MATCH($A178,'[AQ_2022.xlsx]原始数据'!$A:$A,0)),""))</f>
        <v/>
      </c>
      <c r="E178">
        <f>IF($A178="","",IFERROR(INDEX('[AQ_2023.xlsx]原始数据'!$B:$B,MATCH($A178,'[AQ_2023.xlsx]原始数据'!$A:$A,0)),""))</f>
        <v/>
      </c>
      <c r="F178">
        <f>IF($A178="","",IFERROR(INDEX('[AQ_2024.xlsx]原始数据'!$B:$B,MATCH($A178,'[AQ_2024.xlsx]原始数据'!$A:$A,0)),""))</f>
        <v/>
      </c>
      <c r="G178">
        <f>IF($A178="","",IFERROR(INDEX('[AQ_2020.xlsx]原始数据'!$C:$C,MATCH($A178,'[AQ_2020.xlsx]原始数据'!$A:$A,0)),""))</f>
        <v/>
      </c>
      <c r="H178">
        <f>IF($A178="","",IFERROR(INDEX('[AQ_2021.xlsx]原始数据'!$C:$C,MATCH($A178,'[AQ_2021.xlsx]原始数据'!$A:$A,0)),""))</f>
        <v/>
      </c>
      <c r="I178">
        <f>IF($A178="","",IFERROR(INDEX('[AQ_2022.xlsx]原始数据'!$C:$C,MATCH($A178,'[AQ_2022.xlsx]原始数据'!$A:$A,0)),""))</f>
        <v/>
      </c>
      <c r="J178">
        <f>IF($A178="","",IFERROR(INDEX('[AQ_2023.xlsx]原始数据'!$C:$C,MATCH($A178,'[AQ_2023.xlsx]原始数据'!$A:$A,0)),""))</f>
        <v/>
      </c>
      <c r="K178">
        <f>IF($A178="","",IFERROR(INDEX('[AQ_2024.xlsx]原始数据'!$C:$C,MATCH($A178,'[AQ_2024.xlsx]原始数据'!$A:$A,0)),""))</f>
        <v/>
      </c>
      <c r="L178">
        <f>IF($A178="","",IFERROR(INDEX('[AQ_2020.xlsx]原始数据'!$D:$D,MATCH($A178,'[AQ_2020.xlsx]原始数据'!$A:$A,0)),""))</f>
        <v/>
      </c>
      <c r="M178">
        <f>IF($A178="","",IFERROR(INDEX('[AQ_2021.xlsx]原始数据'!$D:$D,MATCH($A178,'[AQ_2021.xlsx]原始数据'!$A:$A,0)),""))</f>
        <v/>
      </c>
      <c r="N178">
        <f>IF($A178="","",IFERROR(INDEX('[AQ_2022.xlsx]原始数据'!$D:$D,MATCH($A178,'[AQ_2022.xlsx]原始数据'!$A:$A,0)),""))</f>
        <v/>
      </c>
      <c r="O178">
        <f>IF($A178="","",IFERROR(INDEX('[AQ_2023.xlsx]原始数据'!$D:$D,MATCH($A178,'[AQ_2023.xlsx]原始数据'!$A:$A,0)),""))</f>
        <v/>
      </c>
      <c r="P178">
        <f>IF($A178="","",IFERROR(INDEX('[AQ_2024.xlsx]原始数据'!$D:$D,MATCH($A178,'[AQ_2024.xlsx]原始数据'!$A:$A,0)),""))</f>
        <v/>
      </c>
      <c r="Q178">
        <f>IF($A178="","",IFERROR(INDEX('[AQ_2020.xlsx]原始数据'!$E:$E,MATCH($A178,'[AQ_2020.xlsx]原始数据'!$A:$A,0)),""))</f>
        <v/>
      </c>
      <c r="R178">
        <f>IF($A178="","",IFERROR(INDEX('[AQ_2021.xlsx]原始数据'!$E:$E,MATCH($A178,'[AQ_2021.xlsx]原始数据'!$A:$A,0)),""))</f>
        <v/>
      </c>
      <c r="S178">
        <f>IF($A178="","",IFERROR(INDEX('[AQ_2022.xlsx]原始数据'!$E:$E,MATCH($A178,'[AQ_2022.xlsx]原始数据'!$A:$A,0)),""))</f>
        <v/>
      </c>
      <c r="T178">
        <f>IF($A178="","",IFERROR(INDEX('[AQ_2023.xlsx]原始数据'!$E:$E,MATCH($A178,'[AQ_2023.xlsx]原始数据'!$A:$A,0)),""))</f>
        <v/>
      </c>
      <c r="U178">
        <f>IF($A178="","",IFERROR(INDEX('[AQ_2024.xlsx]原始数据'!$E:$E,MATCH($A178,'[AQ_2024.xlsx]原始数据'!$A:$A,0)),""))</f>
        <v/>
      </c>
      <c r="V178">
        <f>IF($A178="","",IFERROR(INDEX('[AQ_2020.xlsx]原始数据'!$F:$F,MATCH($A178,'[AQ_2020.xlsx]原始数据'!$A:$A,0)),""))</f>
        <v/>
      </c>
      <c r="W178">
        <f>IF($A178="","",IFERROR(INDEX('[AQ_2021.xlsx]原始数据'!$F:$F,MATCH($A178,'[AQ_2021.xlsx]原始数据'!$A:$A,0)),""))</f>
        <v/>
      </c>
      <c r="X178">
        <f>IF($A178="","",IFERROR(INDEX('[AQ_2022.xlsx]原始数据'!$F:$F,MATCH($A178,'[AQ_2022.xlsx]原始数据'!$A:$A,0)),""))</f>
        <v/>
      </c>
      <c r="Y178">
        <f>IF($A178="","",IFERROR(INDEX('[AQ_2023.xlsx]原始数据'!$F:$F,MATCH($A178,'[AQ_2023.xlsx]原始数据'!$A:$A,0)),""))</f>
        <v/>
      </c>
      <c r="Z178">
        <f>IF($A178="","",IFERROR(INDEX('[AQ_2024.xlsx]原始数据'!$F:$F,MATCH($A178,'[AQ_2024.xlsx]原始数据'!$A:$A,0)),""))</f>
        <v/>
      </c>
      <c r="AA178" s="2">
        <f>IFERROR(G178/B178,"")</f>
        <v/>
      </c>
      <c r="AB178" s="2">
        <f>IFERROR(H178/C178,"")</f>
        <v/>
      </c>
      <c r="AC178" s="2">
        <f>IFERROR(I178/D178,"")</f>
        <v/>
      </c>
      <c r="AD178" s="2">
        <f>IFERROR(J178/E178,"")</f>
        <v/>
      </c>
      <c r="AE178" s="2">
        <f>IFERROR(K178/F178,"")</f>
        <v/>
      </c>
      <c r="AF178" s="2">
        <f>IFERROR(L178/B178,"")</f>
        <v/>
      </c>
      <c r="AG178" s="2">
        <f>IFERROR(M178/C178,"")</f>
        <v/>
      </c>
      <c r="AH178" s="2">
        <f>IFERROR(N178/D178,"")</f>
        <v/>
      </c>
      <c r="AI178" s="2">
        <f>IFERROR(O178/E178,"")</f>
        <v/>
      </c>
      <c r="AJ178" s="2">
        <f>IFERROR(P178/F178,"")</f>
        <v/>
      </c>
      <c r="AK178" s="2">
        <f>IFERROR(Q178/B178,"")</f>
        <v/>
      </c>
      <c r="AL178" s="2">
        <f>IFERROR(R178/C178,"")</f>
        <v/>
      </c>
      <c r="AM178" s="2">
        <f>IFERROR(S178/D178,"")</f>
        <v/>
      </c>
      <c r="AN178" s="2">
        <f>IFERROR(T178/E178,"")</f>
        <v/>
      </c>
      <c r="AO178" s="2">
        <f>IFERROR(U178/F178,"")</f>
        <v/>
      </c>
    </row>
    <row r="179">
      <c r="B179">
        <f>IF($A179="","",IFERROR(INDEX('[AQ_2020.xlsx]原始数据'!$B:$B,MATCH($A179,'[AQ_2020.xlsx]原始数据'!$A:$A,0)),""))</f>
        <v/>
      </c>
      <c r="C179">
        <f>IF($A179="","",IFERROR(INDEX('[AQ_2021.xlsx]原始数据'!$B:$B,MATCH($A179,'[AQ_2021.xlsx]原始数据'!$A:$A,0)),""))</f>
        <v/>
      </c>
      <c r="D179">
        <f>IF($A179="","",IFERROR(INDEX('[AQ_2022.xlsx]原始数据'!$B:$B,MATCH($A179,'[AQ_2022.xlsx]原始数据'!$A:$A,0)),""))</f>
        <v/>
      </c>
      <c r="E179">
        <f>IF($A179="","",IFERROR(INDEX('[AQ_2023.xlsx]原始数据'!$B:$B,MATCH($A179,'[AQ_2023.xlsx]原始数据'!$A:$A,0)),""))</f>
        <v/>
      </c>
      <c r="F179">
        <f>IF($A179="","",IFERROR(INDEX('[AQ_2024.xlsx]原始数据'!$B:$B,MATCH($A179,'[AQ_2024.xlsx]原始数据'!$A:$A,0)),""))</f>
        <v/>
      </c>
      <c r="G179">
        <f>IF($A179="","",IFERROR(INDEX('[AQ_2020.xlsx]原始数据'!$C:$C,MATCH($A179,'[AQ_2020.xlsx]原始数据'!$A:$A,0)),""))</f>
        <v/>
      </c>
      <c r="H179">
        <f>IF($A179="","",IFERROR(INDEX('[AQ_2021.xlsx]原始数据'!$C:$C,MATCH($A179,'[AQ_2021.xlsx]原始数据'!$A:$A,0)),""))</f>
        <v/>
      </c>
      <c r="I179">
        <f>IF($A179="","",IFERROR(INDEX('[AQ_2022.xlsx]原始数据'!$C:$C,MATCH($A179,'[AQ_2022.xlsx]原始数据'!$A:$A,0)),""))</f>
        <v/>
      </c>
      <c r="J179">
        <f>IF($A179="","",IFERROR(INDEX('[AQ_2023.xlsx]原始数据'!$C:$C,MATCH($A179,'[AQ_2023.xlsx]原始数据'!$A:$A,0)),""))</f>
        <v/>
      </c>
      <c r="K179">
        <f>IF($A179="","",IFERROR(INDEX('[AQ_2024.xlsx]原始数据'!$C:$C,MATCH($A179,'[AQ_2024.xlsx]原始数据'!$A:$A,0)),""))</f>
        <v/>
      </c>
      <c r="L179">
        <f>IF($A179="","",IFERROR(INDEX('[AQ_2020.xlsx]原始数据'!$D:$D,MATCH($A179,'[AQ_2020.xlsx]原始数据'!$A:$A,0)),""))</f>
        <v/>
      </c>
      <c r="M179">
        <f>IF($A179="","",IFERROR(INDEX('[AQ_2021.xlsx]原始数据'!$D:$D,MATCH($A179,'[AQ_2021.xlsx]原始数据'!$A:$A,0)),""))</f>
        <v/>
      </c>
      <c r="N179">
        <f>IF($A179="","",IFERROR(INDEX('[AQ_2022.xlsx]原始数据'!$D:$D,MATCH($A179,'[AQ_2022.xlsx]原始数据'!$A:$A,0)),""))</f>
        <v/>
      </c>
      <c r="O179">
        <f>IF($A179="","",IFERROR(INDEX('[AQ_2023.xlsx]原始数据'!$D:$D,MATCH($A179,'[AQ_2023.xlsx]原始数据'!$A:$A,0)),""))</f>
        <v/>
      </c>
      <c r="P179">
        <f>IF($A179="","",IFERROR(INDEX('[AQ_2024.xlsx]原始数据'!$D:$D,MATCH($A179,'[AQ_2024.xlsx]原始数据'!$A:$A,0)),""))</f>
        <v/>
      </c>
      <c r="Q179">
        <f>IF($A179="","",IFERROR(INDEX('[AQ_2020.xlsx]原始数据'!$E:$E,MATCH($A179,'[AQ_2020.xlsx]原始数据'!$A:$A,0)),""))</f>
        <v/>
      </c>
      <c r="R179">
        <f>IF($A179="","",IFERROR(INDEX('[AQ_2021.xlsx]原始数据'!$E:$E,MATCH($A179,'[AQ_2021.xlsx]原始数据'!$A:$A,0)),""))</f>
        <v/>
      </c>
      <c r="S179">
        <f>IF($A179="","",IFERROR(INDEX('[AQ_2022.xlsx]原始数据'!$E:$E,MATCH($A179,'[AQ_2022.xlsx]原始数据'!$A:$A,0)),""))</f>
        <v/>
      </c>
      <c r="T179">
        <f>IF($A179="","",IFERROR(INDEX('[AQ_2023.xlsx]原始数据'!$E:$E,MATCH($A179,'[AQ_2023.xlsx]原始数据'!$A:$A,0)),""))</f>
        <v/>
      </c>
      <c r="U179">
        <f>IF($A179="","",IFERROR(INDEX('[AQ_2024.xlsx]原始数据'!$E:$E,MATCH($A179,'[AQ_2024.xlsx]原始数据'!$A:$A,0)),""))</f>
        <v/>
      </c>
      <c r="V179">
        <f>IF($A179="","",IFERROR(INDEX('[AQ_2020.xlsx]原始数据'!$F:$F,MATCH($A179,'[AQ_2020.xlsx]原始数据'!$A:$A,0)),""))</f>
        <v/>
      </c>
      <c r="W179">
        <f>IF($A179="","",IFERROR(INDEX('[AQ_2021.xlsx]原始数据'!$F:$F,MATCH($A179,'[AQ_2021.xlsx]原始数据'!$A:$A,0)),""))</f>
        <v/>
      </c>
      <c r="X179">
        <f>IF($A179="","",IFERROR(INDEX('[AQ_2022.xlsx]原始数据'!$F:$F,MATCH($A179,'[AQ_2022.xlsx]原始数据'!$A:$A,0)),""))</f>
        <v/>
      </c>
      <c r="Y179">
        <f>IF($A179="","",IFERROR(INDEX('[AQ_2023.xlsx]原始数据'!$F:$F,MATCH($A179,'[AQ_2023.xlsx]原始数据'!$A:$A,0)),""))</f>
        <v/>
      </c>
      <c r="Z179">
        <f>IF($A179="","",IFERROR(INDEX('[AQ_2024.xlsx]原始数据'!$F:$F,MATCH($A179,'[AQ_2024.xlsx]原始数据'!$A:$A,0)),""))</f>
        <v/>
      </c>
      <c r="AA179" s="2">
        <f>IFERROR(G179/B179,"")</f>
        <v/>
      </c>
      <c r="AB179" s="2">
        <f>IFERROR(H179/C179,"")</f>
        <v/>
      </c>
      <c r="AC179" s="2">
        <f>IFERROR(I179/D179,"")</f>
        <v/>
      </c>
      <c r="AD179" s="2">
        <f>IFERROR(J179/E179,"")</f>
        <v/>
      </c>
      <c r="AE179" s="2">
        <f>IFERROR(K179/F179,"")</f>
        <v/>
      </c>
      <c r="AF179" s="2">
        <f>IFERROR(L179/B179,"")</f>
        <v/>
      </c>
      <c r="AG179" s="2">
        <f>IFERROR(M179/C179,"")</f>
        <v/>
      </c>
      <c r="AH179" s="2">
        <f>IFERROR(N179/D179,"")</f>
        <v/>
      </c>
      <c r="AI179" s="2">
        <f>IFERROR(O179/E179,"")</f>
        <v/>
      </c>
      <c r="AJ179" s="2">
        <f>IFERROR(P179/F179,"")</f>
        <v/>
      </c>
      <c r="AK179" s="2">
        <f>IFERROR(Q179/B179,"")</f>
        <v/>
      </c>
      <c r="AL179" s="2">
        <f>IFERROR(R179/C179,"")</f>
        <v/>
      </c>
      <c r="AM179" s="2">
        <f>IFERROR(S179/D179,"")</f>
        <v/>
      </c>
      <c r="AN179" s="2">
        <f>IFERROR(T179/E179,"")</f>
        <v/>
      </c>
      <c r="AO179" s="2">
        <f>IFERROR(U179/F179,"")</f>
        <v/>
      </c>
    </row>
    <row r="180">
      <c r="B180">
        <f>IF($A180="","",IFERROR(INDEX('[AQ_2020.xlsx]原始数据'!$B:$B,MATCH($A180,'[AQ_2020.xlsx]原始数据'!$A:$A,0)),""))</f>
        <v/>
      </c>
      <c r="C180">
        <f>IF($A180="","",IFERROR(INDEX('[AQ_2021.xlsx]原始数据'!$B:$B,MATCH($A180,'[AQ_2021.xlsx]原始数据'!$A:$A,0)),""))</f>
        <v/>
      </c>
      <c r="D180">
        <f>IF($A180="","",IFERROR(INDEX('[AQ_2022.xlsx]原始数据'!$B:$B,MATCH($A180,'[AQ_2022.xlsx]原始数据'!$A:$A,0)),""))</f>
        <v/>
      </c>
      <c r="E180">
        <f>IF($A180="","",IFERROR(INDEX('[AQ_2023.xlsx]原始数据'!$B:$B,MATCH($A180,'[AQ_2023.xlsx]原始数据'!$A:$A,0)),""))</f>
        <v/>
      </c>
      <c r="F180">
        <f>IF($A180="","",IFERROR(INDEX('[AQ_2024.xlsx]原始数据'!$B:$B,MATCH($A180,'[AQ_2024.xlsx]原始数据'!$A:$A,0)),""))</f>
        <v/>
      </c>
      <c r="G180">
        <f>IF($A180="","",IFERROR(INDEX('[AQ_2020.xlsx]原始数据'!$C:$C,MATCH($A180,'[AQ_2020.xlsx]原始数据'!$A:$A,0)),""))</f>
        <v/>
      </c>
      <c r="H180">
        <f>IF($A180="","",IFERROR(INDEX('[AQ_2021.xlsx]原始数据'!$C:$C,MATCH($A180,'[AQ_2021.xlsx]原始数据'!$A:$A,0)),""))</f>
        <v/>
      </c>
      <c r="I180">
        <f>IF($A180="","",IFERROR(INDEX('[AQ_2022.xlsx]原始数据'!$C:$C,MATCH($A180,'[AQ_2022.xlsx]原始数据'!$A:$A,0)),""))</f>
        <v/>
      </c>
      <c r="J180">
        <f>IF($A180="","",IFERROR(INDEX('[AQ_2023.xlsx]原始数据'!$C:$C,MATCH($A180,'[AQ_2023.xlsx]原始数据'!$A:$A,0)),""))</f>
        <v/>
      </c>
      <c r="K180">
        <f>IF($A180="","",IFERROR(INDEX('[AQ_2024.xlsx]原始数据'!$C:$C,MATCH($A180,'[AQ_2024.xlsx]原始数据'!$A:$A,0)),""))</f>
        <v/>
      </c>
      <c r="L180">
        <f>IF($A180="","",IFERROR(INDEX('[AQ_2020.xlsx]原始数据'!$D:$D,MATCH($A180,'[AQ_2020.xlsx]原始数据'!$A:$A,0)),""))</f>
        <v/>
      </c>
      <c r="M180">
        <f>IF($A180="","",IFERROR(INDEX('[AQ_2021.xlsx]原始数据'!$D:$D,MATCH($A180,'[AQ_2021.xlsx]原始数据'!$A:$A,0)),""))</f>
        <v/>
      </c>
      <c r="N180">
        <f>IF($A180="","",IFERROR(INDEX('[AQ_2022.xlsx]原始数据'!$D:$D,MATCH($A180,'[AQ_2022.xlsx]原始数据'!$A:$A,0)),""))</f>
        <v/>
      </c>
      <c r="O180">
        <f>IF($A180="","",IFERROR(INDEX('[AQ_2023.xlsx]原始数据'!$D:$D,MATCH($A180,'[AQ_2023.xlsx]原始数据'!$A:$A,0)),""))</f>
        <v/>
      </c>
      <c r="P180">
        <f>IF($A180="","",IFERROR(INDEX('[AQ_2024.xlsx]原始数据'!$D:$D,MATCH($A180,'[AQ_2024.xlsx]原始数据'!$A:$A,0)),""))</f>
        <v/>
      </c>
      <c r="Q180">
        <f>IF($A180="","",IFERROR(INDEX('[AQ_2020.xlsx]原始数据'!$E:$E,MATCH($A180,'[AQ_2020.xlsx]原始数据'!$A:$A,0)),""))</f>
        <v/>
      </c>
      <c r="R180">
        <f>IF($A180="","",IFERROR(INDEX('[AQ_2021.xlsx]原始数据'!$E:$E,MATCH($A180,'[AQ_2021.xlsx]原始数据'!$A:$A,0)),""))</f>
        <v/>
      </c>
      <c r="S180">
        <f>IF($A180="","",IFERROR(INDEX('[AQ_2022.xlsx]原始数据'!$E:$E,MATCH($A180,'[AQ_2022.xlsx]原始数据'!$A:$A,0)),""))</f>
        <v/>
      </c>
      <c r="T180">
        <f>IF($A180="","",IFERROR(INDEX('[AQ_2023.xlsx]原始数据'!$E:$E,MATCH($A180,'[AQ_2023.xlsx]原始数据'!$A:$A,0)),""))</f>
        <v/>
      </c>
      <c r="U180">
        <f>IF($A180="","",IFERROR(INDEX('[AQ_2024.xlsx]原始数据'!$E:$E,MATCH($A180,'[AQ_2024.xlsx]原始数据'!$A:$A,0)),""))</f>
        <v/>
      </c>
      <c r="V180">
        <f>IF($A180="","",IFERROR(INDEX('[AQ_2020.xlsx]原始数据'!$F:$F,MATCH($A180,'[AQ_2020.xlsx]原始数据'!$A:$A,0)),""))</f>
        <v/>
      </c>
      <c r="W180">
        <f>IF($A180="","",IFERROR(INDEX('[AQ_2021.xlsx]原始数据'!$F:$F,MATCH($A180,'[AQ_2021.xlsx]原始数据'!$A:$A,0)),""))</f>
        <v/>
      </c>
      <c r="X180">
        <f>IF($A180="","",IFERROR(INDEX('[AQ_2022.xlsx]原始数据'!$F:$F,MATCH($A180,'[AQ_2022.xlsx]原始数据'!$A:$A,0)),""))</f>
        <v/>
      </c>
      <c r="Y180">
        <f>IF($A180="","",IFERROR(INDEX('[AQ_2023.xlsx]原始数据'!$F:$F,MATCH($A180,'[AQ_2023.xlsx]原始数据'!$A:$A,0)),""))</f>
        <v/>
      </c>
      <c r="Z180">
        <f>IF($A180="","",IFERROR(INDEX('[AQ_2024.xlsx]原始数据'!$F:$F,MATCH($A180,'[AQ_2024.xlsx]原始数据'!$A:$A,0)),""))</f>
        <v/>
      </c>
      <c r="AA180" s="2">
        <f>IFERROR(G180/B180,"")</f>
        <v/>
      </c>
      <c r="AB180" s="2">
        <f>IFERROR(H180/C180,"")</f>
        <v/>
      </c>
      <c r="AC180" s="2">
        <f>IFERROR(I180/D180,"")</f>
        <v/>
      </c>
      <c r="AD180" s="2">
        <f>IFERROR(J180/E180,"")</f>
        <v/>
      </c>
      <c r="AE180" s="2">
        <f>IFERROR(K180/F180,"")</f>
        <v/>
      </c>
      <c r="AF180" s="2">
        <f>IFERROR(L180/B180,"")</f>
        <v/>
      </c>
      <c r="AG180" s="2">
        <f>IFERROR(M180/C180,"")</f>
        <v/>
      </c>
      <c r="AH180" s="2">
        <f>IFERROR(N180/D180,"")</f>
        <v/>
      </c>
      <c r="AI180" s="2">
        <f>IFERROR(O180/E180,"")</f>
        <v/>
      </c>
      <c r="AJ180" s="2">
        <f>IFERROR(P180/F180,"")</f>
        <v/>
      </c>
      <c r="AK180" s="2">
        <f>IFERROR(Q180/B180,"")</f>
        <v/>
      </c>
      <c r="AL180" s="2">
        <f>IFERROR(R180/C180,"")</f>
        <v/>
      </c>
      <c r="AM180" s="2">
        <f>IFERROR(S180/D180,"")</f>
        <v/>
      </c>
      <c r="AN180" s="2">
        <f>IFERROR(T180/E180,"")</f>
        <v/>
      </c>
      <c r="AO180" s="2">
        <f>IFERROR(U180/F180,"")</f>
        <v/>
      </c>
    </row>
    <row r="181">
      <c r="B181">
        <f>IF($A181="","",IFERROR(INDEX('[AQ_2020.xlsx]原始数据'!$B:$B,MATCH($A181,'[AQ_2020.xlsx]原始数据'!$A:$A,0)),""))</f>
        <v/>
      </c>
      <c r="C181">
        <f>IF($A181="","",IFERROR(INDEX('[AQ_2021.xlsx]原始数据'!$B:$B,MATCH($A181,'[AQ_2021.xlsx]原始数据'!$A:$A,0)),""))</f>
        <v/>
      </c>
      <c r="D181">
        <f>IF($A181="","",IFERROR(INDEX('[AQ_2022.xlsx]原始数据'!$B:$B,MATCH($A181,'[AQ_2022.xlsx]原始数据'!$A:$A,0)),""))</f>
        <v/>
      </c>
      <c r="E181">
        <f>IF($A181="","",IFERROR(INDEX('[AQ_2023.xlsx]原始数据'!$B:$B,MATCH($A181,'[AQ_2023.xlsx]原始数据'!$A:$A,0)),""))</f>
        <v/>
      </c>
      <c r="F181">
        <f>IF($A181="","",IFERROR(INDEX('[AQ_2024.xlsx]原始数据'!$B:$B,MATCH($A181,'[AQ_2024.xlsx]原始数据'!$A:$A,0)),""))</f>
        <v/>
      </c>
      <c r="G181">
        <f>IF($A181="","",IFERROR(INDEX('[AQ_2020.xlsx]原始数据'!$C:$C,MATCH($A181,'[AQ_2020.xlsx]原始数据'!$A:$A,0)),""))</f>
        <v/>
      </c>
      <c r="H181">
        <f>IF($A181="","",IFERROR(INDEX('[AQ_2021.xlsx]原始数据'!$C:$C,MATCH($A181,'[AQ_2021.xlsx]原始数据'!$A:$A,0)),""))</f>
        <v/>
      </c>
      <c r="I181">
        <f>IF($A181="","",IFERROR(INDEX('[AQ_2022.xlsx]原始数据'!$C:$C,MATCH($A181,'[AQ_2022.xlsx]原始数据'!$A:$A,0)),""))</f>
        <v/>
      </c>
      <c r="J181">
        <f>IF($A181="","",IFERROR(INDEX('[AQ_2023.xlsx]原始数据'!$C:$C,MATCH($A181,'[AQ_2023.xlsx]原始数据'!$A:$A,0)),""))</f>
        <v/>
      </c>
      <c r="K181">
        <f>IF($A181="","",IFERROR(INDEX('[AQ_2024.xlsx]原始数据'!$C:$C,MATCH($A181,'[AQ_2024.xlsx]原始数据'!$A:$A,0)),""))</f>
        <v/>
      </c>
      <c r="L181">
        <f>IF($A181="","",IFERROR(INDEX('[AQ_2020.xlsx]原始数据'!$D:$D,MATCH($A181,'[AQ_2020.xlsx]原始数据'!$A:$A,0)),""))</f>
        <v/>
      </c>
      <c r="M181">
        <f>IF($A181="","",IFERROR(INDEX('[AQ_2021.xlsx]原始数据'!$D:$D,MATCH($A181,'[AQ_2021.xlsx]原始数据'!$A:$A,0)),""))</f>
        <v/>
      </c>
      <c r="N181">
        <f>IF($A181="","",IFERROR(INDEX('[AQ_2022.xlsx]原始数据'!$D:$D,MATCH($A181,'[AQ_2022.xlsx]原始数据'!$A:$A,0)),""))</f>
        <v/>
      </c>
      <c r="O181">
        <f>IF($A181="","",IFERROR(INDEX('[AQ_2023.xlsx]原始数据'!$D:$D,MATCH($A181,'[AQ_2023.xlsx]原始数据'!$A:$A,0)),""))</f>
        <v/>
      </c>
      <c r="P181">
        <f>IF($A181="","",IFERROR(INDEX('[AQ_2024.xlsx]原始数据'!$D:$D,MATCH($A181,'[AQ_2024.xlsx]原始数据'!$A:$A,0)),""))</f>
        <v/>
      </c>
      <c r="Q181">
        <f>IF($A181="","",IFERROR(INDEX('[AQ_2020.xlsx]原始数据'!$E:$E,MATCH($A181,'[AQ_2020.xlsx]原始数据'!$A:$A,0)),""))</f>
        <v/>
      </c>
      <c r="R181">
        <f>IF($A181="","",IFERROR(INDEX('[AQ_2021.xlsx]原始数据'!$E:$E,MATCH($A181,'[AQ_2021.xlsx]原始数据'!$A:$A,0)),""))</f>
        <v/>
      </c>
      <c r="S181">
        <f>IF($A181="","",IFERROR(INDEX('[AQ_2022.xlsx]原始数据'!$E:$E,MATCH($A181,'[AQ_2022.xlsx]原始数据'!$A:$A,0)),""))</f>
        <v/>
      </c>
      <c r="T181">
        <f>IF($A181="","",IFERROR(INDEX('[AQ_2023.xlsx]原始数据'!$E:$E,MATCH($A181,'[AQ_2023.xlsx]原始数据'!$A:$A,0)),""))</f>
        <v/>
      </c>
      <c r="U181">
        <f>IF($A181="","",IFERROR(INDEX('[AQ_2024.xlsx]原始数据'!$E:$E,MATCH($A181,'[AQ_2024.xlsx]原始数据'!$A:$A,0)),""))</f>
        <v/>
      </c>
      <c r="V181">
        <f>IF($A181="","",IFERROR(INDEX('[AQ_2020.xlsx]原始数据'!$F:$F,MATCH($A181,'[AQ_2020.xlsx]原始数据'!$A:$A,0)),""))</f>
        <v/>
      </c>
      <c r="W181">
        <f>IF($A181="","",IFERROR(INDEX('[AQ_2021.xlsx]原始数据'!$F:$F,MATCH($A181,'[AQ_2021.xlsx]原始数据'!$A:$A,0)),""))</f>
        <v/>
      </c>
      <c r="X181">
        <f>IF($A181="","",IFERROR(INDEX('[AQ_2022.xlsx]原始数据'!$F:$F,MATCH($A181,'[AQ_2022.xlsx]原始数据'!$A:$A,0)),""))</f>
        <v/>
      </c>
      <c r="Y181">
        <f>IF($A181="","",IFERROR(INDEX('[AQ_2023.xlsx]原始数据'!$F:$F,MATCH($A181,'[AQ_2023.xlsx]原始数据'!$A:$A,0)),""))</f>
        <v/>
      </c>
      <c r="Z181">
        <f>IF($A181="","",IFERROR(INDEX('[AQ_2024.xlsx]原始数据'!$F:$F,MATCH($A181,'[AQ_2024.xlsx]原始数据'!$A:$A,0)),""))</f>
        <v/>
      </c>
      <c r="AA181" s="2">
        <f>IFERROR(G181/B181,"")</f>
        <v/>
      </c>
      <c r="AB181" s="2">
        <f>IFERROR(H181/C181,"")</f>
        <v/>
      </c>
      <c r="AC181" s="2">
        <f>IFERROR(I181/D181,"")</f>
        <v/>
      </c>
      <c r="AD181" s="2">
        <f>IFERROR(J181/E181,"")</f>
        <v/>
      </c>
      <c r="AE181" s="2">
        <f>IFERROR(K181/F181,"")</f>
        <v/>
      </c>
      <c r="AF181" s="2">
        <f>IFERROR(L181/B181,"")</f>
        <v/>
      </c>
      <c r="AG181" s="2">
        <f>IFERROR(M181/C181,"")</f>
        <v/>
      </c>
      <c r="AH181" s="2">
        <f>IFERROR(N181/D181,"")</f>
        <v/>
      </c>
      <c r="AI181" s="2">
        <f>IFERROR(O181/E181,"")</f>
        <v/>
      </c>
      <c r="AJ181" s="2">
        <f>IFERROR(P181/F181,"")</f>
        <v/>
      </c>
      <c r="AK181" s="2">
        <f>IFERROR(Q181/B181,"")</f>
        <v/>
      </c>
      <c r="AL181" s="2">
        <f>IFERROR(R181/C181,"")</f>
        <v/>
      </c>
      <c r="AM181" s="2">
        <f>IFERROR(S181/D181,"")</f>
        <v/>
      </c>
      <c r="AN181" s="2">
        <f>IFERROR(T181/E181,"")</f>
        <v/>
      </c>
      <c r="AO181" s="2">
        <f>IFERROR(U181/F181,"")</f>
        <v/>
      </c>
    </row>
    <row r="182">
      <c r="B182">
        <f>IF($A182="","",IFERROR(INDEX('[AQ_2020.xlsx]原始数据'!$B:$B,MATCH($A182,'[AQ_2020.xlsx]原始数据'!$A:$A,0)),""))</f>
        <v/>
      </c>
      <c r="C182">
        <f>IF($A182="","",IFERROR(INDEX('[AQ_2021.xlsx]原始数据'!$B:$B,MATCH($A182,'[AQ_2021.xlsx]原始数据'!$A:$A,0)),""))</f>
        <v/>
      </c>
      <c r="D182">
        <f>IF($A182="","",IFERROR(INDEX('[AQ_2022.xlsx]原始数据'!$B:$B,MATCH($A182,'[AQ_2022.xlsx]原始数据'!$A:$A,0)),""))</f>
        <v/>
      </c>
      <c r="E182">
        <f>IF($A182="","",IFERROR(INDEX('[AQ_2023.xlsx]原始数据'!$B:$B,MATCH($A182,'[AQ_2023.xlsx]原始数据'!$A:$A,0)),""))</f>
        <v/>
      </c>
      <c r="F182">
        <f>IF($A182="","",IFERROR(INDEX('[AQ_2024.xlsx]原始数据'!$B:$B,MATCH($A182,'[AQ_2024.xlsx]原始数据'!$A:$A,0)),""))</f>
        <v/>
      </c>
      <c r="G182">
        <f>IF($A182="","",IFERROR(INDEX('[AQ_2020.xlsx]原始数据'!$C:$C,MATCH($A182,'[AQ_2020.xlsx]原始数据'!$A:$A,0)),""))</f>
        <v/>
      </c>
      <c r="H182">
        <f>IF($A182="","",IFERROR(INDEX('[AQ_2021.xlsx]原始数据'!$C:$C,MATCH($A182,'[AQ_2021.xlsx]原始数据'!$A:$A,0)),""))</f>
        <v/>
      </c>
      <c r="I182">
        <f>IF($A182="","",IFERROR(INDEX('[AQ_2022.xlsx]原始数据'!$C:$C,MATCH($A182,'[AQ_2022.xlsx]原始数据'!$A:$A,0)),""))</f>
        <v/>
      </c>
      <c r="J182">
        <f>IF($A182="","",IFERROR(INDEX('[AQ_2023.xlsx]原始数据'!$C:$C,MATCH($A182,'[AQ_2023.xlsx]原始数据'!$A:$A,0)),""))</f>
        <v/>
      </c>
      <c r="K182">
        <f>IF($A182="","",IFERROR(INDEX('[AQ_2024.xlsx]原始数据'!$C:$C,MATCH($A182,'[AQ_2024.xlsx]原始数据'!$A:$A,0)),""))</f>
        <v/>
      </c>
      <c r="L182">
        <f>IF($A182="","",IFERROR(INDEX('[AQ_2020.xlsx]原始数据'!$D:$D,MATCH($A182,'[AQ_2020.xlsx]原始数据'!$A:$A,0)),""))</f>
        <v/>
      </c>
      <c r="M182">
        <f>IF($A182="","",IFERROR(INDEX('[AQ_2021.xlsx]原始数据'!$D:$D,MATCH($A182,'[AQ_2021.xlsx]原始数据'!$A:$A,0)),""))</f>
        <v/>
      </c>
      <c r="N182">
        <f>IF($A182="","",IFERROR(INDEX('[AQ_2022.xlsx]原始数据'!$D:$D,MATCH($A182,'[AQ_2022.xlsx]原始数据'!$A:$A,0)),""))</f>
        <v/>
      </c>
      <c r="O182">
        <f>IF($A182="","",IFERROR(INDEX('[AQ_2023.xlsx]原始数据'!$D:$D,MATCH($A182,'[AQ_2023.xlsx]原始数据'!$A:$A,0)),""))</f>
        <v/>
      </c>
      <c r="P182">
        <f>IF($A182="","",IFERROR(INDEX('[AQ_2024.xlsx]原始数据'!$D:$D,MATCH($A182,'[AQ_2024.xlsx]原始数据'!$A:$A,0)),""))</f>
        <v/>
      </c>
      <c r="Q182">
        <f>IF($A182="","",IFERROR(INDEX('[AQ_2020.xlsx]原始数据'!$E:$E,MATCH($A182,'[AQ_2020.xlsx]原始数据'!$A:$A,0)),""))</f>
        <v/>
      </c>
      <c r="R182">
        <f>IF($A182="","",IFERROR(INDEX('[AQ_2021.xlsx]原始数据'!$E:$E,MATCH($A182,'[AQ_2021.xlsx]原始数据'!$A:$A,0)),""))</f>
        <v/>
      </c>
      <c r="S182">
        <f>IF($A182="","",IFERROR(INDEX('[AQ_2022.xlsx]原始数据'!$E:$E,MATCH($A182,'[AQ_2022.xlsx]原始数据'!$A:$A,0)),""))</f>
        <v/>
      </c>
      <c r="T182">
        <f>IF($A182="","",IFERROR(INDEX('[AQ_2023.xlsx]原始数据'!$E:$E,MATCH($A182,'[AQ_2023.xlsx]原始数据'!$A:$A,0)),""))</f>
        <v/>
      </c>
      <c r="U182">
        <f>IF($A182="","",IFERROR(INDEX('[AQ_2024.xlsx]原始数据'!$E:$E,MATCH($A182,'[AQ_2024.xlsx]原始数据'!$A:$A,0)),""))</f>
        <v/>
      </c>
      <c r="V182">
        <f>IF($A182="","",IFERROR(INDEX('[AQ_2020.xlsx]原始数据'!$F:$F,MATCH($A182,'[AQ_2020.xlsx]原始数据'!$A:$A,0)),""))</f>
        <v/>
      </c>
      <c r="W182">
        <f>IF($A182="","",IFERROR(INDEX('[AQ_2021.xlsx]原始数据'!$F:$F,MATCH($A182,'[AQ_2021.xlsx]原始数据'!$A:$A,0)),""))</f>
        <v/>
      </c>
      <c r="X182">
        <f>IF($A182="","",IFERROR(INDEX('[AQ_2022.xlsx]原始数据'!$F:$F,MATCH($A182,'[AQ_2022.xlsx]原始数据'!$A:$A,0)),""))</f>
        <v/>
      </c>
      <c r="Y182">
        <f>IF($A182="","",IFERROR(INDEX('[AQ_2023.xlsx]原始数据'!$F:$F,MATCH($A182,'[AQ_2023.xlsx]原始数据'!$A:$A,0)),""))</f>
        <v/>
      </c>
      <c r="Z182">
        <f>IF($A182="","",IFERROR(INDEX('[AQ_2024.xlsx]原始数据'!$F:$F,MATCH($A182,'[AQ_2024.xlsx]原始数据'!$A:$A,0)),""))</f>
        <v/>
      </c>
      <c r="AA182" s="2">
        <f>IFERROR(G182/B182,"")</f>
        <v/>
      </c>
      <c r="AB182" s="2">
        <f>IFERROR(H182/C182,"")</f>
        <v/>
      </c>
      <c r="AC182" s="2">
        <f>IFERROR(I182/D182,"")</f>
        <v/>
      </c>
      <c r="AD182" s="2">
        <f>IFERROR(J182/E182,"")</f>
        <v/>
      </c>
      <c r="AE182" s="2">
        <f>IFERROR(K182/F182,"")</f>
        <v/>
      </c>
      <c r="AF182" s="2">
        <f>IFERROR(L182/B182,"")</f>
        <v/>
      </c>
      <c r="AG182" s="2">
        <f>IFERROR(M182/C182,"")</f>
        <v/>
      </c>
      <c r="AH182" s="2">
        <f>IFERROR(N182/D182,"")</f>
        <v/>
      </c>
      <c r="AI182" s="2">
        <f>IFERROR(O182/E182,"")</f>
        <v/>
      </c>
      <c r="AJ182" s="2">
        <f>IFERROR(P182/F182,"")</f>
        <v/>
      </c>
      <c r="AK182" s="2">
        <f>IFERROR(Q182/B182,"")</f>
        <v/>
      </c>
      <c r="AL182" s="2">
        <f>IFERROR(R182/C182,"")</f>
        <v/>
      </c>
      <c r="AM182" s="2">
        <f>IFERROR(S182/D182,"")</f>
        <v/>
      </c>
      <c r="AN182" s="2">
        <f>IFERROR(T182/E182,"")</f>
        <v/>
      </c>
      <c r="AO182" s="2">
        <f>IFERROR(U182/F182,"")</f>
        <v/>
      </c>
    </row>
    <row r="183">
      <c r="B183">
        <f>IF($A183="","",IFERROR(INDEX('[AQ_2020.xlsx]原始数据'!$B:$B,MATCH($A183,'[AQ_2020.xlsx]原始数据'!$A:$A,0)),""))</f>
        <v/>
      </c>
      <c r="C183">
        <f>IF($A183="","",IFERROR(INDEX('[AQ_2021.xlsx]原始数据'!$B:$B,MATCH($A183,'[AQ_2021.xlsx]原始数据'!$A:$A,0)),""))</f>
        <v/>
      </c>
      <c r="D183">
        <f>IF($A183="","",IFERROR(INDEX('[AQ_2022.xlsx]原始数据'!$B:$B,MATCH($A183,'[AQ_2022.xlsx]原始数据'!$A:$A,0)),""))</f>
        <v/>
      </c>
      <c r="E183">
        <f>IF($A183="","",IFERROR(INDEX('[AQ_2023.xlsx]原始数据'!$B:$B,MATCH($A183,'[AQ_2023.xlsx]原始数据'!$A:$A,0)),""))</f>
        <v/>
      </c>
      <c r="F183">
        <f>IF($A183="","",IFERROR(INDEX('[AQ_2024.xlsx]原始数据'!$B:$B,MATCH($A183,'[AQ_2024.xlsx]原始数据'!$A:$A,0)),""))</f>
        <v/>
      </c>
      <c r="G183">
        <f>IF($A183="","",IFERROR(INDEX('[AQ_2020.xlsx]原始数据'!$C:$C,MATCH($A183,'[AQ_2020.xlsx]原始数据'!$A:$A,0)),""))</f>
        <v/>
      </c>
      <c r="H183">
        <f>IF($A183="","",IFERROR(INDEX('[AQ_2021.xlsx]原始数据'!$C:$C,MATCH($A183,'[AQ_2021.xlsx]原始数据'!$A:$A,0)),""))</f>
        <v/>
      </c>
      <c r="I183">
        <f>IF($A183="","",IFERROR(INDEX('[AQ_2022.xlsx]原始数据'!$C:$C,MATCH($A183,'[AQ_2022.xlsx]原始数据'!$A:$A,0)),""))</f>
        <v/>
      </c>
      <c r="J183">
        <f>IF($A183="","",IFERROR(INDEX('[AQ_2023.xlsx]原始数据'!$C:$C,MATCH($A183,'[AQ_2023.xlsx]原始数据'!$A:$A,0)),""))</f>
        <v/>
      </c>
      <c r="K183">
        <f>IF($A183="","",IFERROR(INDEX('[AQ_2024.xlsx]原始数据'!$C:$C,MATCH($A183,'[AQ_2024.xlsx]原始数据'!$A:$A,0)),""))</f>
        <v/>
      </c>
      <c r="L183">
        <f>IF($A183="","",IFERROR(INDEX('[AQ_2020.xlsx]原始数据'!$D:$D,MATCH($A183,'[AQ_2020.xlsx]原始数据'!$A:$A,0)),""))</f>
        <v/>
      </c>
      <c r="M183">
        <f>IF($A183="","",IFERROR(INDEX('[AQ_2021.xlsx]原始数据'!$D:$D,MATCH($A183,'[AQ_2021.xlsx]原始数据'!$A:$A,0)),""))</f>
        <v/>
      </c>
      <c r="N183">
        <f>IF($A183="","",IFERROR(INDEX('[AQ_2022.xlsx]原始数据'!$D:$D,MATCH($A183,'[AQ_2022.xlsx]原始数据'!$A:$A,0)),""))</f>
        <v/>
      </c>
      <c r="O183">
        <f>IF($A183="","",IFERROR(INDEX('[AQ_2023.xlsx]原始数据'!$D:$D,MATCH($A183,'[AQ_2023.xlsx]原始数据'!$A:$A,0)),""))</f>
        <v/>
      </c>
      <c r="P183">
        <f>IF($A183="","",IFERROR(INDEX('[AQ_2024.xlsx]原始数据'!$D:$D,MATCH($A183,'[AQ_2024.xlsx]原始数据'!$A:$A,0)),""))</f>
        <v/>
      </c>
      <c r="Q183">
        <f>IF($A183="","",IFERROR(INDEX('[AQ_2020.xlsx]原始数据'!$E:$E,MATCH($A183,'[AQ_2020.xlsx]原始数据'!$A:$A,0)),""))</f>
        <v/>
      </c>
      <c r="R183">
        <f>IF($A183="","",IFERROR(INDEX('[AQ_2021.xlsx]原始数据'!$E:$E,MATCH($A183,'[AQ_2021.xlsx]原始数据'!$A:$A,0)),""))</f>
        <v/>
      </c>
      <c r="S183">
        <f>IF($A183="","",IFERROR(INDEX('[AQ_2022.xlsx]原始数据'!$E:$E,MATCH($A183,'[AQ_2022.xlsx]原始数据'!$A:$A,0)),""))</f>
        <v/>
      </c>
      <c r="T183">
        <f>IF($A183="","",IFERROR(INDEX('[AQ_2023.xlsx]原始数据'!$E:$E,MATCH($A183,'[AQ_2023.xlsx]原始数据'!$A:$A,0)),""))</f>
        <v/>
      </c>
      <c r="U183">
        <f>IF($A183="","",IFERROR(INDEX('[AQ_2024.xlsx]原始数据'!$E:$E,MATCH($A183,'[AQ_2024.xlsx]原始数据'!$A:$A,0)),""))</f>
        <v/>
      </c>
      <c r="V183">
        <f>IF($A183="","",IFERROR(INDEX('[AQ_2020.xlsx]原始数据'!$F:$F,MATCH($A183,'[AQ_2020.xlsx]原始数据'!$A:$A,0)),""))</f>
        <v/>
      </c>
      <c r="W183">
        <f>IF($A183="","",IFERROR(INDEX('[AQ_2021.xlsx]原始数据'!$F:$F,MATCH($A183,'[AQ_2021.xlsx]原始数据'!$A:$A,0)),""))</f>
        <v/>
      </c>
      <c r="X183">
        <f>IF($A183="","",IFERROR(INDEX('[AQ_2022.xlsx]原始数据'!$F:$F,MATCH($A183,'[AQ_2022.xlsx]原始数据'!$A:$A,0)),""))</f>
        <v/>
      </c>
      <c r="Y183">
        <f>IF($A183="","",IFERROR(INDEX('[AQ_2023.xlsx]原始数据'!$F:$F,MATCH($A183,'[AQ_2023.xlsx]原始数据'!$A:$A,0)),""))</f>
        <v/>
      </c>
      <c r="Z183">
        <f>IF($A183="","",IFERROR(INDEX('[AQ_2024.xlsx]原始数据'!$F:$F,MATCH($A183,'[AQ_2024.xlsx]原始数据'!$A:$A,0)),""))</f>
        <v/>
      </c>
      <c r="AA183" s="2">
        <f>IFERROR(G183/B183,"")</f>
        <v/>
      </c>
      <c r="AB183" s="2">
        <f>IFERROR(H183/C183,"")</f>
        <v/>
      </c>
      <c r="AC183" s="2">
        <f>IFERROR(I183/D183,"")</f>
        <v/>
      </c>
      <c r="AD183" s="2">
        <f>IFERROR(J183/E183,"")</f>
        <v/>
      </c>
      <c r="AE183" s="2">
        <f>IFERROR(K183/F183,"")</f>
        <v/>
      </c>
      <c r="AF183" s="2">
        <f>IFERROR(L183/B183,"")</f>
        <v/>
      </c>
      <c r="AG183" s="2">
        <f>IFERROR(M183/C183,"")</f>
        <v/>
      </c>
      <c r="AH183" s="2">
        <f>IFERROR(N183/D183,"")</f>
        <v/>
      </c>
      <c r="AI183" s="2">
        <f>IFERROR(O183/E183,"")</f>
        <v/>
      </c>
      <c r="AJ183" s="2">
        <f>IFERROR(P183/F183,"")</f>
        <v/>
      </c>
      <c r="AK183" s="2">
        <f>IFERROR(Q183/B183,"")</f>
        <v/>
      </c>
      <c r="AL183" s="2">
        <f>IFERROR(R183/C183,"")</f>
        <v/>
      </c>
      <c r="AM183" s="2">
        <f>IFERROR(S183/D183,"")</f>
        <v/>
      </c>
      <c r="AN183" s="2">
        <f>IFERROR(T183/E183,"")</f>
        <v/>
      </c>
      <c r="AO183" s="2">
        <f>IFERROR(U183/F183,"")</f>
        <v/>
      </c>
    </row>
    <row r="184">
      <c r="B184">
        <f>IF($A184="","",IFERROR(INDEX('[AQ_2020.xlsx]原始数据'!$B:$B,MATCH($A184,'[AQ_2020.xlsx]原始数据'!$A:$A,0)),""))</f>
        <v/>
      </c>
      <c r="C184">
        <f>IF($A184="","",IFERROR(INDEX('[AQ_2021.xlsx]原始数据'!$B:$B,MATCH($A184,'[AQ_2021.xlsx]原始数据'!$A:$A,0)),""))</f>
        <v/>
      </c>
      <c r="D184">
        <f>IF($A184="","",IFERROR(INDEX('[AQ_2022.xlsx]原始数据'!$B:$B,MATCH($A184,'[AQ_2022.xlsx]原始数据'!$A:$A,0)),""))</f>
        <v/>
      </c>
      <c r="E184">
        <f>IF($A184="","",IFERROR(INDEX('[AQ_2023.xlsx]原始数据'!$B:$B,MATCH($A184,'[AQ_2023.xlsx]原始数据'!$A:$A,0)),""))</f>
        <v/>
      </c>
      <c r="F184">
        <f>IF($A184="","",IFERROR(INDEX('[AQ_2024.xlsx]原始数据'!$B:$B,MATCH($A184,'[AQ_2024.xlsx]原始数据'!$A:$A,0)),""))</f>
        <v/>
      </c>
      <c r="G184">
        <f>IF($A184="","",IFERROR(INDEX('[AQ_2020.xlsx]原始数据'!$C:$C,MATCH($A184,'[AQ_2020.xlsx]原始数据'!$A:$A,0)),""))</f>
        <v/>
      </c>
      <c r="H184">
        <f>IF($A184="","",IFERROR(INDEX('[AQ_2021.xlsx]原始数据'!$C:$C,MATCH($A184,'[AQ_2021.xlsx]原始数据'!$A:$A,0)),""))</f>
        <v/>
      </c>
      <c r="I184">
        <f>IF($A184="","",IFERROR(INDEX('[AQ_2022.xlsx]原始数据'!$C:$C,MATCH($A184,'[AQ_2022.xlsx]原始数据'!$A:$A,0)),""))</f>
        <v/>
      </c>
      <c r="J184">
        <f>IF($A184="","",IFERROR(INDEX('[AQ_2023.xlsx]原始数据'!$C:$C,MATCH($A184,'[AQ_2023.xlsx]原始数据'!$A:$A,0)),""))</f>
        <v/>
      </c>
      <c r="K184">
        <f>IF($A184="","",IFERROR(INDEX('[AQ_2024.xlsx]原始数据'!$C:$C,MATCH($A184,'[AQ_2024.xlsx]原始数据'!$A:$A,0)),""))</f>
        <v/>
      </c>
      <c r="L184">
        <f>IF($A184="","",IFERROR(INDEX('[AQ_2020.xlsx]原始数据'!$D:$D,MATCH($A184,'[AQ_2020.xlsx]原始数据'!$A:$A,0)),""))</f>
        <v/>
      </c>
      <c r="M184">
        <f>IF($A184="","",IFERROR(INDEX('[AQ_2021.xlsx]原始数据'!$D:$D,MATCH($A184,'[AQ_2021.xlsx]原始数据'!$A:$A,0)),""))</f>
        <v/>
      </c>
      <c r="N184">
        <f>IF($A184="","",IFERROR(INDEX('[AQ_2022.xlsx]原始数据'!$D:$D,MATCH($A184,'[AQ_2022.xlsx]原始数据'!$A:$A,0)),""))</f>
        <v/>
      </c>
      <c r="O184">
        <f>IF($A184="","",IFERROR(INDEX('[AQ_2023.xlsx]原始数据'!$D:$D,MATCH($A184,'[AQ_2023.xlsx]原始数据'!$A:$A,0)),""))</f>
        <v/>
      </c>
      <c r="P184">
        <f>IF($A184="","",IFERROR(INDEX('[AQ_2024.xlsx]原始数据'!$D:$D,MATCH($A184,'[AQ_2024.xlsx]原始数据'!$A:$A,0)),""))</f>
        <v/>
      </c>
      <c r="Q184">
        <f>IF($A184="","",IFERROR(INDEX('[AQ_2020.xlsx]原始数据'!$E:$E,MATCH($A184,'[AQ_2020.xlsx]原始数据'!$A:$A,0)),""))</f>
        <v/>
      </c>
      <c r="R184">
        <f>IF($A184="","",IFERROR(INDEX('[AQ_2021.xlsx]原始数据'!$E:$E,MATCH($A184,'[AQ_2021.xlsx]原始数据'!$A:$A,0)),""))</f>
        <v/>
      </c>
      <c r="S184">
        <f>IF($A184="","",IFERROR(INDEX('[AQ_2022.xlsx]原始数据'!$E:$E,MATCH($A184,'[AQ_2022.xlsx]原始数据'!$A:$A,0)),""))</f>
        <v/>
      </c>
      <c r="T184">
        <f>IF($A184="","",IFERROR(INDEX('[AQ_2023.xlsx]原始数据'!$E:$E,MATCH($A184,'[AQ_2023.xlsx]原始数据'!$A:$A,0)),""))</f>
        <v/>
      </c>
      <c r="U184">
        <f>IF($A184="","",IFERROR(INDEX('[AQ_2024.xlsx]原始数据'!$E:$E,MATCH($A184,'[AQ_2024.xlsx]原始数据'!$A:$A,0)),""))</f>
        <v/>
      </c>
      <c r="V184">
        <f>IF($A184="","",IFERROR(INDEX('[AQ_2020.xlsx]原始数据'!$F:$F,MATCH($A184,'[AQ_2020.xlsx]原始数据'!$A:$A,0)),""))</f>
        <v/>
      </c>
      <c r="W184">
        <f>IF($A184="","",IFERROR(INDEX('[AQ_2021.xlsx]原始数据'!$F:$F,MATCH($A184,'[AQ_2021.xlsx]原始数据'!$A:$A,0)),""))</f>
        <v/>
      </c>
      <c r="X184">
        <f>IF($A184="","",IFERROR(INDEX('[AQ_2022.xlsx]原始数据'!$F:$F,MATCH($A184,'[AQ_2022.xlsx]原始数据'!$A:$A,0)),""))</f>
        <v/>
      </c>
      <c r="Y184">
        <f>IF($A184="","",IFERROR(INDEX('[AQ_2023.xlsx]原始数据'!$F:$F,MATCH($A184,'[AQ_2023.xlsx]原始数据'!$A:$A,0)),""))</f>
        <v/>
      </c>
      <c r="Z184">
        <f>IF($A184="","",IFERROR(INDEX('[AQ_2024.xlsx]原始数据'!$F:$F,MATCH($A184,'[AQ_2024.xlsx]原始数据'!$A:$A,0)),""))</f>
        <v/>
      </c>
      <c r="AA184" s="2">
        <f>IFERROR(G184/B184,"")</f>
        <v/>
      </c>
      <c r="AB184" s="2">
        <f>IFERROR(H184/C184,"")</f>
        <v/>
      </c>
      <c r="AC184" s="2">
        <f>IFERROR(I184/D184,"")</f>
        <v/>
      </c>
      <c r="AD184" s="2">
        <f>IFERROR(J184/E184,"")</f>
        <v/>
      </c>
      <c r="AE184" s="2">
        <f>IFERROR(K184/F184,"")</f>
        <v/>
      </c>
      <c r="AF184" s="2">
        <f>IFERROR(L184/B184,"")</f>
        <v/>
      </c>
      <c r="AG184" s="2">
        <f>IFERROR(M184/C184,"")</f>
        <v/>
      </c>
      <c r="AH184" s="2">
        <f>IFERROR(N184/D184,"")</f>
        <v/>
      </c>
      <c r="AI184" s="2">
        <f>IFERROR(O184/E184,"")</f>
        <v/>
      </c>
      <c r="AJ184" s="2">
        <f>IFERROR(P184/F184,"")</f>
        <v/>
      </c>
      <c r="AK184" s="2">
        <f>IFERROR(Q184/B184,"")</f>
        <v/>
      </c>
      <c r="AL184" s="2">
        <f>IFERROR(R184/C184,"")</f>
        <v/>
      </c>
      <c r="AM184" s="2">
        <f>IFERROR(S184/D184,"")</f>
        <v/>
      </c>
      <c r="AN184" s="2">
        <f>IFERROR(T184/E184,"")</f>
        <v/>
      </c>
      <c r="AO184" s="2">
        <f>IFERROR(U184/F184,"")</f>
        <v/>
      </c>
    </row>
    <row r="185">
      <c r="B185">
        <f>IF($A185="","",IFERROR(INDEX('[AQ_2020.xlsx]原始数据'!$B:$B,MATCH($A185,'[AQ_2020.xlsx]原始数据'!$A:$A,0)),""))</f>
        <v/>
      </c>
      <c r="C185">
        <f>IF($A185="","",IFERROR(INDEX('[AQ_2021.xlsx]原始数据'!$B:$B,MATCH($A185,'[AQ_2021.xlsx]原始数据'!$A:$A,0)),""))</f>
        <v/>
      </c>
      <c r="D185">
        <f>IF($A185="","",IFERROR(INDEX('[AQ_2022.xlsx]原始数据'!$B:$B,MATCH($A185,'[AQ_2022.xlsx]原始数据'!$A:$A,0)),""))</f>
        <v/>
      </c>
      <c r="E185">
        <f>IF($A185="","",IFERROR(INDEX('[AQ_2023.xlsx]原始数据'!$B:$B,MATCH($A185,'[AQ_2023.xlsx]原始数据'!$A:$A,0)),""))</f>
        <v/>
      </c>
      <c r="F185">
        <f>IF($A185="","",IFERROR(INDEX('[AQ_2024.xlsx]原始数据'!$B:$B,MATCH($A185,'[AQ_2024.xlsx]原始数据'!$A:$A,0)),""))</f>
        <v/>
      </c>
      <c r="G185">
        <f>IF($A185="","",IFERROR(INDEX('[AQ_2020.xlsx]原始数据'!$C:$C,MATCH($A185,'[AQ_2020.xlsx]原始数据'!$A:$A,0)),""))</f>
        <v/>
      </c>
      <c r="H185">
        <f>IF($A185="","",IFERROR(INDEX('[AQ_2021.xlsx]原始数据'!$C:$C,MATCH($A185,'[AQ_2021.xlsx]原始数据'!$A:$A,0)),""))</f>
        <v/>
      </c>
      <c r="I185">
        <f>IF($A185="","",IFERROR(INDEX('[AQ_2022.xlsx]原始数据'!$C:$C,MATCH($A185,'[AQ_2022.xlsx]原始数据'!$A:$A,0)),""))</f>
        <v/>
      </c>
      <c r="J185">
        <f>IF($A185="","",IFERROR(INDEX('[AQ_2023.xlsx]原始数据'!$C:$C,MATCH($A185,'[AQ_2023.xlsx]原始数据'!$A:$A,0)),""))</f>
        <v/>
      </c>
      <c r="K185">
        <f>IF($A185="","",IFERROR(INDEX('[AQ_2024.xlsx]原始数据'!$C:$C,MATCH($A185,'[AQ_2024.xlsx]原始数据'!$A:$A,0)),""))</f>
        <v/>
      </c>
      <c r="L185">
        <f>IF($A185="","",IFERROR(INDEX('[AQ_2020.xlsx]原始数据'!$D:$D,MATCH($A185,'[AQ_2020.xlsx]原始数据'!$A:$A,0)),""))</f>
        <v/>
      </c>
      <c r="M185">
        <f>IF($A185="","",IFERROR(INDEX('[AQ_2021.xlsx]原始数据'!$D:$D,MATCH($A185,'[AQ_2021.xlsx]原始数据'!$A:$A,0)),""))</f>
        <v/>
      </c>
      <c r="N185">
        <f>IF($A185="","",IFERROR(INDEX('[AQ_2022.xlsx]原始数据'!$D:$D,MATCH($A185,'[AQ_2022.xlsx]原始数据'!$A:$A,0)),""))</f>
        <v/>
      </c>
      <c r="O185">
        <f>IF($A185="","",IFERROR(INDEX('[AQ_2023.xlsx]原始数据'!$D:$D,MATCH($A185,'[AQ_2023.xlsx]原始数据'!$A:$A,0)),""))</f>
        <v/>
      </c>
      <c r="P185">
        <f>IF($A185="","",IFERROR(INDEX('[AQ_2024.xlsx]原始数据'!$D:$D,MATCH($A185,'[AQ_2024.xlsx]原始数据'!$A:$A,0)),""))</f>
        <v/>
      </c>
      <c r="Q185">
        <f>IF($A185="","",IFERROR(INDEX('[AQ_2020.xlsx]原始数据'!$E:$E,MATCH($A185,'[AQ_2020.xlsx]原始数据'!$A:$A,0)),""))</f>
        <v/>
      </c>
      <c r="R185">
        <f>IF($A185="","",IFERROR(INDEX('[AQ_2021.xlsx]原始数据'!$E:$E,MATCH($A185,'[AQ_2021.xlsx]原始数据'!$A:$A,0)),""))</f>
        <v/>
      </c>
      <c r="S185">
        <f>IF($A185="","",IFERROR(INDEX('[AQ_2022.xlsx]原始数据'!$E:$E,MATCH($A185,'[AQ_2022.xlsx]原始数据'!$A:$A,0)),""))</f>
        <v/>
      </c>
      <c r="T185">
        <f>IF($A185="","",IFERROR(INDEX('[AQ_2023.xlsx]原始数据'!$E:$E,MATCH($A185,'[AQ_2023.xlsx]原始数据'!$A:$A,0)),""))</f>
        <v/>
      </c>
      <c r="U185">
        <f>IF($A185="","",IFERROR(INDEX('[AQ_2024.xlsx]原始数据'!$E:$E,MATCH($A185,'[AQ_2024.xlsx]原始数据'!$A:$A,0)),""))</f>
        <v/>
      </c>
      <c r="V185">
        <f>IF($A185="","",IFERROR(INDEX('[AQ_2020.xlsx]原始数据'!$F:$F,MATCH($A185,'[AQ_2020.xlsx]原始数据'!$A:$A,0)),""))</f>
        <v/>
      </c>
      <c r="W185">
        <f>IF($A185="","",IFERROR(INDEX('[AQ_2021.xlsx]原始数据'!$F:$F,MATCH($A185,'[AQ_2021.xlsx]原始数据'!$A:$A,0)),""))</f>
        <v/>
      </c>
      <c r="X185">
        <f>IF($A185="","",IFERROR(INDEX('[AQ_2022.xlsx]原始数据'!$F:$F,MATCH($A185,'[AQ_2022.xlsx]原始数据'!$A:$A,0)),""))</f>
        <v/>
      </c>
      <c r="Y185">
        <f>IF($A185="","",IFERROR(INDEX('[AQ_2023.xlsx]原始数据'!$F:$F,MATCH($A185,'[AQ_2023.xlsx]原始数据'!$A:$A,0)),""))</f>
        <v/>
      </c>
      <c r="Z185">
        <f>IF($A185="","",IFERROR(INDEX('[AQ_2024.xlsx]原始数据'!$F:$F,MATCH($A185,'[AQ_2024.xlsx]原始数据'!$A:$A,0)),""))</f>
        <v/>
      </c>
      <c r="AA185" s="2">
        <f>IFERROR(G185/B185,"")</f>
        <v/>
      </c>
      <c r="AB185" s="2">
        <f>IFERROR(H185/C185,"")</f>
        <v/>
      </c>
      <c r="AC185" s="2">
        <f>IFERROR(I185/D185,"")</f>
        <v/>
      </c>
      <c r="AD185" s="2">
        <f>IFERROR(J185/E185,"")</f>
        <v/>
      </c>
      <c r="AE185" s="2">
        <f>IFERROR(K185/F185,"")</f>
        <v/>
      </c>
      <c r="AF185" s="2">
        <f>IFERROR(L185/B185,"")</f>
        <v/>
      </c>
      <c r="AG185" s="2">
        <f>IFERROR(M185/C185,"")</f>
        <v/>
      </c>
      <c r="AH185" s="2">
        <f>IFERROR(N185/D185,"")</f>
        <v/>
      </c>
      <c r="AI185" s="2">
        <f>IFERROR(O185/E185,"")</f>
        <v/>
      </c>
      <c r="AJ185" s="2">
        <f>IFERROR(P185/F185,"")</f>
        <v/>
      </c>
      <c r="AK185" s="2">
        <f>IFERROR(Q185/B185,"")</f>
        <v/>
      </c>
      <c r="AL185" s="2">
        <f>IFERROR(R185/C185,"")</f>
        <v/>
      </c>
      <c r="AM185" s="2">
        <f>IFERROR(S185/D185,"")</f>
        <v/>
      </c>
      <c r="AN185" s="2">
        <f>IFERROR(T185/E185,"")</f>
        <v/>
      </c>
      <c r="AO185" s="2">
        <f>IFERROR(U185/F185,"")</f>
        <v/>
      </c>
    </row>
    <row r="186">
      <c r="B186">
        <f>IF($A186="","",IFERROR(INDEX('[AQ_2020.xlsx]原始数据'!$B:$B,MATCH($A186,'[AQ_2020.xlsx]原始数据'!$A:$A,0)),""))</f>
        <v/>
      </c>
      <c r="C186">
        <f>IF($A186="","",IFERROR(INDEX('[AQ_2021.xlsx]原始数据'!$B:$B,MATCH($A186,'[AQ_2021.xlsx]原始数据'!$A:$A,0)),""))</f>
        <v/>
      </c>
      <c r="D186">
        <f>IF($A186="","",IFERROR(INDEX('[AQ_2022.xlsx]原始数据'!$B:$B,MATCH($A186,'[AQ_2022.xlsx]原始数据'!$A:$A,0)),""))</f>
        <v/>
      </c>
      <c r="E186">
        <f>IF($A186="","",IFERROR(INDEX('[AQ_2023.xlsx]原始数据'!$B:$B,MATCH($A186,'[AQ_2023.xlsx]原始数据'!$A:$A,0)),""))</f>
        <v/>
      </c>
      <c r="F186">
        <f>IF($A186="","",IFERROR(INDEX('[AQ_2024.xlsx]原始数据'!$B:$B,MATCH($A186,'[AQ_2024.xlsx]原始数据'!$A:$A,0)),""))</f>
        <v/>
      </c>
      <c r="G186">
        <f>IF($A186="","",IFERROR(INDEX('[AQ_2020.xlsx]原始数据'!$C:$C,MATCH($A186,'[AQ_2020.xlsx]原始数据'!$A:$A,0)),""))</f>
        <v/>
      </c>
      <c r="H186">
        <f>IF($A186="","",IFERROR(INDEX('[AQ_2021.xlsx]原始数据'!$C:$C,MATCH($A186,'[AQ_2021.xlsx]原始数据'!$A:$A,0)),""))</f>
        <v/>
      </c>
      <c r="I186">
        <f>IF($A186="","",IFERROR(INDEX('[AQ_2022.xlsx]原始数据'!$C:$C,MATCH($A186,'[AQ_2022.xlsx]原始数据'!$A:$A,0)),""))</f>
        <v/>
      </c>
      <c r="J186">
        <f>IF($A186="","",IFERROR(INDEX('[AQ_2023.xlsx]原始数据'!$C:$C,MATCH($A186,'[AQ_2023.xlsx]原始数据'!$A:$A,0)),""))</f>
        <v/>
      </c>
      <c r="K186">
        <f>IF($A186="","",IFERROR(INDEX('[AQ_2024.xlsx]原始数据'!$C:$C,MATCH($A186,'[AQ_2024.xlsx]原始数据'!$A:$A,0)),""))</f>
        <v/>
      </c>
      <c r="L186">
        <f>IF($A186="","",IFERROR(INDEX('[AQ_2020.xlsx]原始数据'!$D:$D,MATCH($A186,'[AQ_2020.xlsx]原始数据'!$A:$A,0)),""))</f>
        <v/>
      </c>
      <c r="M186">
        <f>IF($A186="","",IFERROR(INDEX('[AQ_2021.xlsx]原始数据'!$D:$D,MATCH($A186,'[AQ_2021.xlsx]原始数据'!$A:$A,0)),""))</f>
        <v/>
      </c>
      <c r="N186">
        <f>IF($A186="","",IFERROR(INDEX('[AQ_2022.xlsx]原始数据'!$D:$D,MATCH($A186,'[AQ_2022.xlsx]原始数据'!$A:$A,0)),""))</f>
        <v/>
      </c>
      <c r="O186">
        <f>IF($A186="","",IFERROR(INDEX('[AQ_2023.xlsx]原始数据'!$D:$D,MATCH($A186,'[AQ_2023.xlsx]原始数据'!$A:$A,0)),""))</f>
        <v/>
      </c>
      <c r="P186">
        <f>IF($A186="","",IFERROR(INDEX('[AQ_2024.xlsx]原始数据'!$D:$D,MATCH($A186,'[AQ_2024.xlsx]原始数据'!$A:$A,0)),""))</f>
        <v/>
      </c>
      <c r="Q186">
        <f>IF($A186="","",IFERROR(INDEX('[AQ_2020.xlsx]原始数据'!$E:$E,MATCH($A186,'[AQ_2020.xlsx]原始数据'!$A:$A,0)),""))</f>
        <v/>
      </c>
      <c r="R186">
        <f>IF($A186="","",IFERROR(INDEX('[AQ_2021.xlsx]原始数据'!$E:$E,MATCH($A186,'[AQ_2021.xlsx]原始数据'!$A:$A,0)),""))</f>
        <v/>
      </c>
      <c r="S186">
        <f>IF($A186="","",IFERROR(INDEX('[AQ_2022.xlsx]原始数据'!$E:$E,MATCH($A186,'[AQ_2022.xlsx]原始数据'!$A:$A,0)),""))</f>
        <v/>
      </c>
      <c r="T186">
        <f>IF($A186="","",IFERROR(INDEX('[AQ_2023.xlsx]原始数据'!$E:$E,MATCH($A186,'[AQ_2023.xlsx]原始数据'!$A:$A,0)),""))</f>
        <v/>
      </c>
      <c r="U186">
        <f>IF($A186="","",IFERROR(INDEX('[AQ_2024.xlsx]原始数据'!$E:$E,MATCH($A186,'[AQ_2024.xlsx]原始数据'!$A:$A,0)),""))</f>
        <v/>
      </c>
      <c r="V186">
        <f>IF($A186="","",IFERROR(INDEX('[AQ_2020.xlsx]原始数据'!$F:$F,MATCH($A186,'[AQ_2020.xlsx]原始数据'!$A:$A,0)),""))</f>
        <v/>
      </c>
      <c r="W186">
        <f>IF($A186="","",IFERROR(INDEX('[AQ_2021.xlsx]原始数据'!$F:$F,MATCH($A186,'[AQ_2021.xlsx]原始数据'!$A:$A,0)),""))</f>
        <v/>
      </c>
      <c r="X186">
        <f>IF($A186="","",IFERROR(INDEX('[AQ_2022.xlsx]原始数据'!$F:$F,MATCH($A186,'[AQ_2022.xlsx]原始数据'!$A:$A,0)),""))</f>
        <v/>
      </c>
      <c r="Y186">
        <f>IF($A186="","",IFERROR(INDEX('[AQ_2023.xlsx]原始数据'!$F:$F,MATCH($A186,'[AQ_2023.xlsx]原始数据'!$A:$A,0)),""))</f>
        <v/>
      </c>
      <c r="Z186">
        <f>IF($A186="","",IFERROR(INDEX('[AQ_2024.xlsx]原始数据'!$F:$F,MATCH($A186,'[AQ_2024.xlsx]原始数据'!$A:$A,0)),""))</f>
        <v/>
      </c>
      <c r="AA186" s="2">
        <f>IFERROR(G186/B186,"")</f>
        <v/>
      </c>
      <c r="AB186" s="2">
        <f>IFERROR(H186/C186,"")</f>
        <v/>
      </c>
      <c r="AC186" s="2">
        <f>IFERROR(I186/D186,"")</f>
        <v/>
      </c>
      <c r="AD186" s="2">
        <f>IFERROR(J186/E186,"")</f>
        <v/>
      </c>
      <c r="AE186" s="2">
        <f>IFERROR(K186/F186,"")</f>
        <v/>
      </c>
      <c r="AF186" s="2">
        <f>IFERROR(L186/B186,"")</f>
        <v/>
      </c>
      <c r="AG186" s="2">
        <f>IFERROR(M186/C186,"")</f>
        <v/>
      </c>
      <c r="AH186" s="2">
        <f>IFERROR(N186/D186,"")</f>
        <v/>
      </c>
      <c r="AI186" s="2">
        <f>IFERROR(O186/E186,"")</f>
        <v/>
      </c>
      <c r="AJ186" s="2">
        <f>IFERROR(P186/F186,"")</f>
        <v/>
      </c>
      <c r="AK186" s="2">
        <f>IFERROR(Q186/B186,"")</f>
        <v/>
      </c>
      <c r="AL186" s="2">
        <f>IFERROR(R186/C186,"")</f>
        <v/>
      </c>
      <c r="AM186" s="2">
        <f>IFERROR(S186/D186,"")</f>
        <v/>
      </c>
      <c r="AN186" s="2">
        <f>IFERROR(T186/E186,"")</f>
        <v/>
      </c>
      <c r="AO186" s="2">
        <f>IFERROR(U186/F186,"")</f>
        <v/>
      </c>
    </row>
    <row r="187">
      <c r="B187">
        <f>IF($A187="","",IFERROR(INDEX('[AQ_2020.xlsx]原始数据'!$B:$B,MATCH($A187,'[AQ_2020.xlsx]原始数据'!$A:$A,0)),""))</f>
        <v/>
      </c>
      <c r="C187">
        <f>IF($A187="","",IFERROR(INDEX('[AQ_2021.xlsx]原始数据'!$B:$B,MATCH($A187,'[AQ_2021.xlsx]原始数据'!$A:$A,0)),""))</f>
        <v/>
      </c>
      <c r="D187">
        <f>IF($A187="","",IFERROR(INDEX('[AQ_2022.xlsx]原始数据'!$B:$B,MATCH($A187,'[AQ_2022.xlsx]原始数据'!$A:$A,0)),""))</f>
        <v/>
      </c>
      <c r="E187">
        <f>IF($A187="","",IFERROR(INDEX('[AQ_2023.xlsx]原始数据'!$B:$B,MATCH($A187,'[AQ_2023.xlsx]原始数据'!$A:$A,0)),""))</f>
        <v/>
      </c>
      <c r="F187">
        <f>IF($A187="","",IFERROR(INDEX('[AQ_2024.xlsx]原始数据'!$B:$B,MATCH($A187,'[AQ_2024.xlsx]原始数据'!$A:$A,0)),""))</f>
        <v/>
      </c>
      <c r="G187">
        <f>IF($A187="","",IFERROR(INDEX('[AQ_2020.xlsx]原始数据'!$C:$C,MATCH($A187,'[AQ_2020.xlsx]原始数据'!$A:$A,0)),""))</f>
        <v/>
      </c>
      <c r="H187">
        <f>IF($A187="","",IFERROR(INDEX('[AQ_2021.xlsx]原始数据'!$C:$C,MATCH($A187,'[AQ_2021.xlsx]原始数据'!$A:$A,0)),""))</f>
        <v/>
      </c>
      <c r="I187">
        <f>IF($A187="","",IFERROR(INDEX('[AQ_2022.xlsx]原始数据'!$C:$C,MATCH($A187,'[AQ_2022.xlsx]原始数据'!$A:$A,0)),""))</f>
        <v/>
      </c>
      <c r="J187">
        <f>IF($A187="","",IFERROR(INDEX('[AQ_2023.xlsx]原始数据'!$C:$C,MATCH($A187,'[AQ_2023.xlsx]原始数据'!$A:$A,0)),""))</f>
        <v/>
      </c>
      <c r="K187">
        <f>IF($A187="","",IFERROR(INDEX('[AQ_2024.xlsx]原始数据'!$C:$C,MATCH($A187,'[AQ_2024.xlsx]原始数据'!$A:$A,0)),""))</f>
        <v/>
      </c>
      <c r="L187">
        <f>IF($A187="","",IFERROR(INDEX('[AQ_2020.xlsx]原始数据'!$D:$D,MATCH($A187,'[AQ_2020.xlsx]原始数据'!$A:$A,0)),""))</f>
        <v/>
      </c>
      <c r="M187">
        <f>IF($A187="","",IFERROR(INDEX('[AQ_2021.xlsx]原始数据'!$D:$D,MATCH($A187,'[AQ_2021.xlsx]原始数据'!$A:$A,0)),""))</f>
        <v/>
      </c>
      <c r="N187">
        <f>IF($A187="","",IFERROR(INDEX('[AQ_2022.xlsx]原始数据'!$D:$D,MATCH($A187,'[AQ_2022.xlsx]原始数据'!$A:$A,0)),""))</f>
        <v/>
      </c>
      <c r="O187">
        <f>IF($A187="","",IFERROR(INDEX('[AQ_2023.xlsx]原始数据'!$D:$D,MATCH($A187,'[AQ_2023.xlsx]原始数据'!$A:$A,0)),""))</f>
        <v/>
      </c>
      <c r="P187">
        <f>IF($A187="","",IFERROR(INDEX('[AQ_2024.xlsx]原始数据'!$D:$D,MATCH($A187,'[AQ_2024.xlsx]原始数据'!$A:$A,0)),""))</f>
        <v/>
      </c>
      <c r="Q187">
        <f>IF($A187="","",IFERROR(INDEX('[AQ_2020.xlsx]原始数据'!$E:$E,MATCH($A187,'[AQ_2020.xlsx]原始数据'!$A:$A,0)),""))</f>
        <v/>
      </c>
      <c r="R187">
        <f>IF($A187="","",IFERROR(INDEX('[AQ_2021.xlsx]原始数据'!$E:$E,MATCH($A187,'[AQ_2021.xlsx]原始数据'!$A:$A,0)),""))</f>
        <v/>
      </c>
      <c r="S187">
        <f>IF($A187="","",IFERROR(INDEX('[AQ_2022.xlsx]原始数据'!$E:$E,MATCH($A187,'[AQ_2022.xlsx]原始数据'!$A:$A,0)),""))</f>
        <v/>
      </c>
      <c r="T187">
        <f>IF($A187="","",IFERROR(INDEX('[AQ_2023.xlsx]原始数据'!$E:$E,MATCH($A187,'[AQ_2023.xlsx]原始数据'!$A:$A,0)),""))</f>
        <v/>
      </c>
      <c r="U187">
        <f>IF($A187="","",IFERROR(INDEX('[AQ_2024.xlsx]原始数据'!$E:$E,MATCH($A187,'[AQ_2024.xlsx]原始数据'!$A:$A,0)),""))</f>
        <v/>
      </c>
      <c r="V187">
        <f>IF($A187="","",IFERROR(INDEX('[AQ_2020.xlsx]原始数据'!$F:$F,MATCH($A187,'[AQ_2020.xlsx]原始数据'!$A:$A,0)),""))</f>
        <v/>
      </c>
      <c r="W187">
        <f>IF($A187="","",IFERROR(INDEX('[AQ_2021.xlsx]原始数据'!$F:$F,MATCH($A187,'[AQ_2021.xlsx]原始数据'!$A:$A,0)),""))</f>
        <v/>
      </c>
      <c r="X187">
        <f>IF($A187="","",IFERROR(INDEX('[AQ_2022.xlsx]原始数据'!$F:$F,MATCH($A187,'[AQ_2022.xlsx]原始数据'!$A:$A,0)),""))</f>
        <v/>
      </c>
      <c r="Y187">
        <f>IF($A187="","",IFERROR(INDEX('[AQ_2023.xlsx]原始数据'!$F:$F,MATCH($A187,'[AQ_2023.xlsx]原始数据'!$A:$A,0)),""))</f>
        <v/>
      </c>
      <c r="Z187">
        <f>IF($A187="","",IFERROR(INDEX('[AQ_2024.xlsx]原始数据'!$F:$F,MATCH($A187,'[AQ_2024.xlsx]原始数据'!$A:$A,0)),""))</f>
        <v/>
      </c>
      <c r="AA187" s="2">
        <f>IFERROR(G187/B187,"")</f>
        <v/>
      </c>
      <c r="AB187" s="2">
        <f>IFERROR(H187/C187,"")</f>
        <v/>
      </c>
      <c r="AC187" s="2">
        <f>IFERROR(I187/D187,"")</f>
        <v/>
      </c>
      <c r="AD187" s="2">
        <f>IFERROR(J187/E187,"")</f>
        <v/>
      </c>
      <c r="AE187" s="2">
        <f>IFERROR(K187/F187,"")</f>
        <v/>
      </c>
      <c r="AF187" s="2">
        <f>IFERROR(L187/B187,"")</f>
        <v/>
      </c>
      <c r="AG187" s="2">
        <f>IFERROR(M187/C187,"")</f>
        <v/>
      </c>
      <c r="AH187" s="2">
        <f>IFERROR(N187/D187,"")</f>
        <v/>
      </c>
      <c r="AI187" s="2">
        <f>IFERROR(O187/E187,"")</f>
        <v/>
      </c>
      <c r="AJ187" s="2">
        <f>IFERROR(P187/F187,"")</f>
        <v/>
      </c>
      <c r="AK187" s="2">
        <f>IFERROR(Q187/B187,"")</f>
        <v/>
      </c>
      <c r="AL187" s="2">
        <f>IFERROR(R187/C187,"")</f>
        <v/>
      </c>
      <c r="AM187" s="2">
        <f>IFERROR(S187/D187,"")</f>
        <v/>
      </c>
      <c r="AN187" s="2">
        <f>IFERROR(T187/E187,"")</f>
        <v/>
      </c>
      <c r="AO187" s="2">
        <f>IFERROR(U187/F187,"")</f>
        <v/>
      </c>
    </row>
    <row r="188">
      <c r="B188">
        <f>IF($A188="","",IFERROR(INDEX('[AQ_2020.xlsx]原始数据'!$B:$B,MATCH($A188,'[AQ_2020.xlsx]原始数据'!$A:$A,0)),""))</f>
        <v/>
      </c>
      <c r="C188">
        <f>IF($A188="","",IFERROR(INDEX('[AQ_2021.xlsx]原始数据'!$B:$B,MATCH($A188,'[AQ_2021.xlsx]原始数据'!$A:$A,0)),""))</f>
        <v/>
      </c>
      <c r="D188">
        <f>IF($A188="","",IFERROR(INDEX('[AQ_2022.xlsx]原始数据'!$B:$B,MATCH($A188,'[AQ_2022.xlsx]原始数据'!$A:$A,0)),""))</f>
        <v/>
      </c>
      <c r="E188">
        <f>IF($A188="","",IFERROR(INDEX('[AQ_2023.xlsx]原始数据'!$B:$B,MATCH($A188,'[AQ_2023.xlsx]原始数据'!$A:$A,0)),""))</f>
        <v/>
      </c>
      <c r="F188">
        <f>IF($A188="","",IFERROR(INDEX('[AQ_2024.xlsx]原始数据'!$B:$B,MATCH($A188,'[AQ_2024.xlsx]原始数据'!$A:$A,0)),""))</f>
        <v/>
      </c>
      <c r="G188">
        <f>IF($A188="","",IFERROR(INDEX('[AQ_2020.xlsx]原始数据'!$C:$C,MATCH($A188,'[AQ_2020.xlsx]原始数据'!$A:$A,0)),""))</f>
        <v/>
      </c>
      <c r="H188">
        <f>IF($A188="","",IFERROR(INDEX('[AQ_2021.xlsx]原始数据'!$C:$C,MATCH($A188,'[AQ_2021.xlsx]原始数据'!$A:$A,0)),""))</f>
        <v/>
      </c>
      <c r="I188">
        <f>IF($A188="","",IFERROR(INDEX('[AQ_2022.xlsx]原始数据'!$C:$C,MATCH($A188,'[AQ_2022.xlsx]原始数据'!$A:$A,0)),""))</f>
        <v/>
      </c>
      <c r="J188">
        <f>IF($A188="","",IFERROR(INDEX('[AQ_2023.xlsx]原始数据'!$C:$C,MATCH($A188,'[AQ_2023.xlsx]原始数据'!$A:$A,0)),""))</f>
        <v/>
      </c>
      <c r="K188">
        <f>IF($A188="","",IFERROR(INDEX('[AQ_2024.xlsx]原始数据'!$C:$C,MATCH($A188,'[AQ_2024.xlsx]原始数据'!$A:$A,0)),""))</f>
        <v/>
      </c>
      <c r="L188">
        <f>IF($A188="","",IFERROR(INDEX('[AQ_2020.xlsx]原始数据'!$D:$D,MATCH($A188,'[AQ_2020.xlsx]原始数据'!$A:$A,0)),""))</f>
        <v/>
      </c>
      <c r="M188">
        <f>IF($A188="","",IFERROR(INDEX('[AQ_2021.xlsx]原始数据'!$D:$D,MATCH($A188,'[AQ_2021.xlsx]原始数据'!$A:$A,0)),""))</f>
        <v/>
      </c>
      <c r="N188">
        <f>IF($A188="","",IFERROR(INDEX('[AQ_2022.xlsx]原始数据'!$D:$D,MATCH($A188,'[AQ_2022.xlsx]原始数据'!$A:$A,0)),""))</f>
        <v/>
      </c>
      <c r="O188">
        <f>IF($A188="","",IFERROR(INDEX('[AQ_2023.xlsx]原始数据'!$D:$D,MATCH($A188,'[AQ_2023.xlsx]原始数据'!$A:$A,0)),""))</f>
        <v/>
      </c>
      <c r="P188">
        <f>IF($A188="","",IFERROR(INDEX('[AQ_2024.xlsx]原始数据'!$D:$D,MATCH($A188,'[AQ_2024.xlsx]原始数据'!$A:$A,0)),""))</f>
        <v/>
      </c>
      <c r="Q188">
        <f>IF($A188="","",IFERROR(INDEX('[AQ_2020.xlsx]原始数据'!$E:$E,MATCH($A188,'[AQ_2020.xlsx]原始数据'!$A:$A,0)),""))</f>
        <v/>
      </c>
      <c r="R188">
        <f>IF($A188="","",IFERROR(INDEX('[AQ_2021.xlsx]原始数据'!$E:$E,MATCH($A188,'[AQ_2021.xlsx]原始数据'!$A:$A,0)),""))</f>
        <v/>
      </c>
      <c r="S188">
        <f>IF($A188="","",IFERROR(INDEX('[AQ_2022.xlsx]原始数据'!$E:$E,MATCH($A188,'[AQ_2022.xlsx]原始数据'!$A:$A,0)),""))</f>
        <v/>
      </c>
      <c r="T188">
        <f>IF($A188="","",IFERROR(INDEX('[AQ_2023.xlsx]原始数据'!$E:$E,MATCH($A188,'[AQ_2023.xlsx]原始数据'!$A:$A,0)),""))</f>
        <v/>
      </c>
      <c r="U188">
        <f>IF($A188="","",IFERROR(INDEX('[AQ_2024.xlsx]原始数据'!$E:$E,MATCH($A188,'[AQ_2024.xlsx]原始数据'!$A:$A,0)),""))</f>
        <v/>
      </c>
      <c r="V188">
        <f>IF($A188="","",IFERROR(INDEX('[AQ_2020.xlsx]原始数据'!$F:$F,MATCH($A188,'[AQ_2020.xlsx]原始数据'!$A:$A,0)),""))</f>
        <v/>
      </c>
      <c r="W188">
        <f>IF($A188="","",IFERROR(INDEX('[AQ_2021.xlsx]原始数据'!$F:$F,MATCH($A188,'[AQ_2021.xlsx]原始数据'!$A:$A,0)),""))</f>
        <v/>
      </c>
      <c r="X188">
        <f>IF($A188="","",IFERROR(INDEX('[AQ_2022.xlsx]原始数据'!$F:$F,MATCH($A188,'[AQ_2022.xlsx]原始数据'!$A:$A,0)),""))</f>
        <v/>
      </c>
      <c r="Y188">
        <f>IF($A188="","",IFERROR(INDEX('[AQ_2023.xlsx]原始数据'!$F:$F,MATCH($A188,'[AQ_2023.xlsx]原始数据'!$A:$A,0)),""))</f>
        <v/>
      </c>
      <c r="Z188">
        <f>IF($A188="","",IFERROR(INDEX('[AQ_2024.xlsx]原始数据'!$F:$F,MATCH($A188,'[AQ_2024.xlsx]原始数据'!$A:$A,0)),""))</f>
        <v/>
      </c>
      <c r="AA188" s="2">
        <f>IFERROR(G188/B188,"")</f>
        <v/>
      </c>
      <c r="AB188" s="2">
        <f>IFERROR(H188/C188,"")</f>
        <v/>
      </c>
      <c r="AC188" s="2">
        <f>IFERROR(I188/D188,"")</f>
        <v/>
      </c>
      <c r="AD188" s="2">
        <f>IFERROR(J188/E188,"")</f>
        <v/>
      </c>
      <c r="AE188" s="2">
        <f>IFERROR(K188/F188,"")</f>
        <v/>
      </c>
      <c r="AF188" s="2">
        <f>IFERROR(L188/B188,"")</f>
        <v/>
      </c>
      <c r="AG188" s="2">
        <f>IFERROR(M188/C188,"")</f>
        <v/>
      </c>
      <c r="AH188" s="2">
        <f>IFERROR(N188/D188,"")</f>
        <v/>
      </c>
      <c r="AI188" s="2">
        <f>IFERROR(O188/E188,"")</f>
        <v/>
      </c>
      <c r="AJ188" s="2">
        <f>IFERROR(P188/F188,"")</f>
        <v/>
      </c>
      <c r="AK188" s="2">
        <f>IFERROR(Q188/B188,"")</f>
        <v/>
      </c>
      <c r="AL188" s="2">
        <f>IFERROR(R188/C188,"")</f>
        <v/>
      </c>
      <c r="AM188" s="2">
        <f>IFERROR(S188/D188,"")</f>
        <v/>
      </c>
      <c r="AN188" s="2">
        <f>IFERROR(T188/E188,"")</f>
        <v/>
      </c>
      <c r="AO188" s="2">
        <f>IFERROR(U188/F188,"")</f>
        <v/>
      </c>
    </row>
    <row r="189">
      <c r="B189">
        <f>IF($A189="","",IFERROR(INDEX('[AQ_2020.xlsx]原始数据'!$B:$B,MATCH($A189,'[AQ_2020.xlsx]原始数据'!$A:$A,0)),""))</f>
        <v/>
      </c>
      <c r="C189">
        <f>IF($A189="","",IFERROR(INDEX('[AQ_2021.xlsx]原始数据'!$B:$B,MATCH($A189,'[AQ_2021.xlsx]原始数据'!$A:$A,0)),""))</f>
        <v/>
      </c>
      <c r="D189">
        <f>IF($A189="","",IFERROR(INDEX('[AQ_2022.xlsx]原始数据'!$B:$B,MATCH($A189,'[AQ_2022.xlsx]原始数据'!$A:$A,0)),""))</f>
        <v/>
      </c>
      <c r="E189">
        <f>IF($A189="","",IFERROR(INDEX('[AQ_2023.xlsx]原始数据'!$B:$B,MATCH($A189,'[AQ_2023.xlsx]原始数据'!$A:$A,0)),""))</f>
        <v/>
      </c>
      <c r="F189">
        <f>IF($A189="","",IFERROR(INDEX('[AQ_2024.xlsx]原始数据'!$B:$B,MATCH($A189,'[AQ_2024.xlsx]原始数据'!$A:$A,0)),""))</f>
        <v/>
      </c>
      <c r="G189">
        <f>IF($A189="","",IFERROR(INDEX('[AQ_2020.xlsx]原始数据'!$C:$C,MATCH($A189,'[AQ_2020.xlsx]原始数据'!$A:$A,0)),""))</f>
        <v/>
      </c>
      <c r="H189">
        <f>IF($A189="","",IFERROR(INDEX('[AQ_2021.xlsx]原始数据'!$C:$C,MATCH($A189,'[AQ_2021.xlsx]原始数据'!$A:$A,0)),""))</f>
        <v/>
      </c>
      <c r="I189">
        <f>IF($A189="","",IFERROR(INDEX('[AQ_2022.xlsx]原始数据'!$C:$C,MATCH($A189,'[AQ_2022.xlsx]原始数据'!$A:$A,0)),""))</f>
        <v/>
      </c>
      <c r="J189">
        <f>IF($A189="","",IFERROR(INDEX('[AQ_2023.xlsx]原始数据'!$C:$C,MATCH($A189,'[AQ_2023.xlsx]原始数据'!$A:$A,0)),""))</f>
        <v/>
      </c>
      <c r="K189">
        <f>IF($A189="","",IFERROR(INDEX('[AQ_2024.xlsx]原始数据'!$C:$C,MATCH($A189,'[AQ_2024.xlsx]原始数据'!$A:$A,0)),""))</f>
        <v/>
      </c>
      <c r="L189">
        <f>IF($A189="","",IFERROR(INDEX('[AQ_2020.xlsx]原始数据'!$D:$D,MATCH($A189,'[AQ_2020.xlsx]原始数据'!$A:$A,0)),""))</f>
        <v/>
      </c>
      <c r="M189">
        <f>IF($A189="","",IFERROR(INDEX('[AQ_2021.xlsx]原始数据'!$D:$D,MATCH($A189,'[AQ_2021.xlsx]原始数据'!$A:$A,0)),""))</f>
        <v/>
      </c>
      <c r="N189">
        <f>IF($A189="","",IFERROR(INDEX('[AQ_2022.xlsx]原始数据'!$D:$D,MATCH($A189,'[AQ_2022.xlsx]原始数据'!$A:$A,0)),""))</f>
        <v/>
      </c>
      <c r="O189">
        <f>IF($A189="","",IFERROR(INDEX('[AQ_2023.xlsx]原始数据'!$D:$D,MATCH($A189,'[AQ_2023.xlsx]原始数据'!$A:$A,0)),""))</f>
        <v/>
      </c>
      <c r="P189">
        <f>IF($A189="","",IFERROR(INDEX('[AQ_2024.xlsx]原始数据'!$D:$D,MATCH($A189,'[AQ_2024.xlsx]原始数据'!$A:$A,0)),""))</f>
        <v/>
      </c>
      <c r="Q189">
        <f>IF($A189="","",IFERROR(INDEX('[AQ_2020.xlsx]原始数据'!$E:$E,MATCH($A189,'[AQ_2020.xlsx]原始数据'!$A:$A,0)),""))</f>
        <v/>
      </c>
      <c r="R189">
        <f>IF($A189="","",IFERROR(INDEX('[AQ_2021.xlsx]原始数据'!$E:$E,MATCH($A189,'[AQ_2021.xlsx]原始数据'!$A:$A,0)),""))</f>
        <v/>
      </c>
      <c r="S189">
        <f>IF($A189="","",IFERROR(INDEX('[AQ_2022.xlsx]原始数据'!$E:$E,MATCH($A189,'[AQ_2022.xlsx]原始数据'!$A:$A,0)),""))</f>
        <v/>
      </c>
      <c r="T189">
        <f>IF($A189="","",IFERROR(INDEX('[AQ_2023.xlsx]原始数据'!$E:$E,MATCH($A189,'[AQ_2023.xlsx]原始数据'!$A:$A,0)),""))</f>
        <v/>
      </c>
      <c r="U189">
        <f>IF($A189="","",IFERROR(INDEX('[AQ_2024.xlsx]原始数据'!$E:$E,MATCH($A189,'[AQ_2024.xlsx]原始数据'!$A:$A,0)),""))</f>
        <v/>
      </c>
      <c r="V189">
        <f>IF($A189="","",IFERROR(INDEX('[AQ_2020.xlsx]原始数据'!$F:$F,MATCH($A189,'[AQ_2020.xlsx]原始数据'!$A:$A,0)),""))</f>
        <v/>
      </c>
      <c r="W189">
        <f>IF($A189="","",IFERROR(INDEX('[AQ_2021.xlsx]原始数据'!$F:$F,MATCH($A189,'[AQ_2021.xlsx]原始数据'!$A:$A,0)),""))</f>
        <v/>
      </c>
      <c r="X189">
        <f>IF($A189="","",IFERROR(INDEX('[AQ_2022.xlsx]原始数据'!$F:$F,MATCH($A189,'[AQ_2022.xlsx]原始数据'!$A:$A,0)),""))</f>
        <v/>
      </c>
      <c r="Y189">
        <f>IF($A189="","",IFERROR(INDEX('[AQ_2023.xlsx]原始数据'!$F:$F,MATCH($A189,'[AQ_2023.xlsx]原始数据'!$A:$A,0)),""))</f>
        <v/>
      </c>
      <c r="Z189">
        <f>IF($A189="","",IFERROR(INDEX('[AQ_2024.xlsx]原始数据'!$F:$F,MATCH($A189,'[AQ_2024.xlsx]原始数据'!$A:$A,0)),""))</f>
        <v/>
      </c>
      <c r="AA189" s="2">
        <f>IFERROR(G189/B189,"")</f>
        <v/>
      </c>
      <c r="AB189" s="2">
        <f>IFERROR(H189/C189,"")</f>
        <v/>
      </c>
      <c r="AC189" s="2">
        <f>IFERROR(I189/D189,"")</f>
        <v/>
      </c>
      <c r="AD189" s="2">
        <f>IFERROR(J189/E189,"")</f>
        <v/>
      </c>
      <c r="AE189" s="2">
        <f>IFERROR(K189/F189,"")</f>
        <v/>
      </c>
      <c r="AF189" s="2">
        <f>IFERROR(L189/B189,"")</f>
        <v/>
      </c>
      <c r="AG189" s="2">
        <f>IFERROR(M189/C189,"")</f>
        <v/>
      </c>
      <c r="AH189" s="2">
        <f>IFERROR(N189/D189,"")</f>
        <v/>
      </c>
      <c r="AI189" s="2">
        <f>IFERROR(O189/E189,"")</f>
        <v/>
      </c>
      <c r="AJ189" s="2">
        <f>IFERROR(P189/F189,"")</f>
        <v/>
      </c>
      <c r="AK189" s="2">
        <f>IFERROR(Q189/B189,"")</f>
        <v/>
      </c>
      <c r="AL189" s="2">
        <f>IFERROR(R189/C189,"")</f>
        <v/>
      </c>
      <c r="AM189" s="2">
        <f>IFERROR(S189/D189,"")</f>
        <v/>
      </c>
      <c r="AN189" s="2">
        <f>IFERROR(T189/E189,"")</f>
        <v/>
      </c>
      <c r="AO189" s="2">
        <f>IFERROR(U189/F189,"")</f>
        <v/>
      </c>
    </row>
    <row r="190">
      <c r="B190">
        <f>IF($A190="","",IFERROR(INDEX('[AQ_2020.xlsx]原始数据'!$B:$B,MATCH($A190,'[AQ_2020.xlsx]原始数据'!$A:$A,0)),""))</f>
        <v/>
      </c>
      <c r="C190">
        <f>IF($A190="","",IFERROR(INDEX('[AQ_2021.xlsx]原始数据'!$B:$B,MATCH($A190,'[AQ_2021.xlsx]原始数据'!$A:$A,0)),""))</f>
        <v/>
      </c>
      <c r="D190">
        <f>IF($A190="","",IFERROR(INDEX('[AQ_2022.xlsx]原始数据'!$B:$B,MATCH($A190,'[AQ_2022.xlsx]原始数据'!$A:$A,0)),""))</f>
        <v/>
      </c>
      <c r="E190">
        <f>IF($A190="","",IFERROR(INDEX('[AQ_2023.xlsx]原始数据'!$B:$B,MATCH($A190,'[AQ_2023.xlsx]原始数据'!$A:$A,0)),""))</f>
        <v/>
      </c>
      <c r="F190">
        <f>IF($A190="","",IFERROR(INDEX('[AQ_2024.xlsx]原始数据'!$B:$B,MATCH($A190,'[AQ_2024.xlsx]原始数据'!$A:$A,0)),""))</f>
        <v/>
      </c>
      <c r="G190">
        <f>IF($A190="","",IFERROR(INDEX('[AQ_2020.xlsx]原始数据'!$C:$C,MATCH($A190,'[AQ_2020.xlsx]原始数据'!$A:$A,0)),""))</f>
        <v/>
      </c>
      <c r="H190">
        <f>IF($A190="","",IFERROR(INDEX('[AQ_2021.xlsx]原始数据'!$C:$C,MATCH($A190,'[AQ_2021.xlsx]原始数据'!$A:$A,0)),""))</f>
        <v/>
      </c>
      <c r="I190">
        <f>IF($A190="","",IFERROR(INDEX('[AQ_2022.xlsx]原始数据'!$C:$C,MATCH($A190,'[AQ_2022.xlsx]原始数据'!$A:$A,0)),""))</f>
        <v/>
      </c>
      <c r="J190">
        <f>IF($A190="","",IFERROR(INDEX('[AQ_2023.xlsx]原始数据'!$C:$C,MATCH($A190,'[AQ_2023.xlsx]原始数据'!$A:$A,0)),""))</f>
        <v/>
      </c>
      <c r="K190">
        <f>IF($A190="","",IFERROR(INDEX('[AQ_2024.xlsx]原始数据'!$C:$C,MATCH($A190,'[AQ_2024.xlsx]原始数据'!$A:$A,0)),""))</f>
        <v/>
      </c>
      <c r="L190">
        <f>IF($A190="","",IFERROR(INDEX('[AQ_2020.xlsx]原始数据'!$D:$D,MATCH($A190,'[AQ_2020.xlsx]原始数据'!$A:$A,0)),""))</f>
        <v/>
      </c>
      <c r="M190">
        <f>IF($A190="","",IFERROR(INDEX('[AQ_2021.xlsx]原始数据'!$D:$D,MATCH($A190,'[AQ_2021.xlsx]原始数据'!$A:$A,0)),""))</f>
        <v/>
      </c>
      <c r="N190">
        <f>IF($A190="","",IFERROR(INDEX('[AQ_2022.xlsx]原始数据'!$D:$D,MATCH($A190,'[AQ_2022.xlsx]原始数据'!$A:$A,0)),""))</f>
        <v/>
      </c>
      <c r="O190">
        <f>IF($A190="","",IFERROR(INDEX('[AQ_2023.xlsx]原始数据'!$D:$D,MATCH($A190,'[AQ_2023.xlsx]原始数据'!$A:$A,0)),""))</f>
        <v/>
      </c>
      <c r="P190">
        <f>IF($A190="","",IFERROR(INDEX('[AQ_2024.xlsx]原始数据'!$D:$D,MATCH($A190,'[AQ_2024.xlsx]原始数据'!$A:$A,0)),""))</f>
        <v/>
      </c>
      <c r="Q190">
        <f>IF($A190="","",IFERROR(INDEX('[AQ_2020.xlsx]原始数据'!$E:$E,MATCH($A190,'[AQ_2020.xlsx]原始数据'!$A:$A,0)),""))</f>
        <v/>
      </c>
      <c r="R190">
        <f>IF($A190="","",IFERROR(INDEX('[AQ_2021.xlsx]原始数据'!$E:$E,MATCH($A190,'[AQ_2021.xlsx]原始数据'!$A:$A,0)),""))</f>
        <v/>
      </c>
      <c r="S190">
        <f>IF($A190="","",IFERROR(INDEX('[AQ_2022.xlsx]原始数据'!$E:$E,MATCH($A190,'[AQ_2022.xlsx]原始数据'!$A:$A,0)),""))</f>
        <v/>
      </c>
      <c r="T190">
        <f>IF($A190="","",IFERROR(INDEX('[AQ_2023.xlsx]原始数据'!$E:$E,MATCH($A190,'[AQ_2023.xlsx]原始数据'!$A:$A,0)),""))</f>
        <v/>
      </c>
      <c r="U190">
        <f>IF($A190="","",IFERROR(INDEX('[AQ_2024.xlsx]原始数据'!$E:$E,MATCH($A190,'[AQ_2024.xlsx]原始数据'!$A:$A,0)),""))</f>
        <v/>
      </c>
      <c r="V190">
        <f>IF($A190="","",IFERROR(INDEX('[AQ_2020.xlsx]原始数据'!$F:$F,MATCH($A190,'[AQ_2020.xlsx]原始数据'!$A:$A,0)),""))</f>
        <v/>
      </c>
      <c r="W190">
        <f>IF($A190="","",IFERROR(INDEX('[AQ_2021.xlsx]原始数据'!$F:$F,MATCH($A190,'[AQ_2021.xlsx]原始数据'!$A:$A,0)),""))</f>
        <v/>
      </c>
      <c r="X190">
        <f>IF($A190="","",IFERROR(INDEX('[AQ_2022.xlsx]原始数据'!$F:$F,MATCH($A190,'[AQ_2022.xlsx]原始数据'!$A:$A,0)),""))</f>
        <v/>
      </c>
      <c r="Y190">
        <f>IF($A190="","",IFERROR(INDEX('[AQ_2023.xlsx]原始数据'!$F:$F,MATCH($A190,'[AQ_2023.xlsx]原始数据'!$A:$A,0)),""))</f>
        <v/>
      </c>
      <c r="Z190">
        <f>IF($A190="","",IFERROR(INDEX('[AQ_2024.xlsx]原始数据'!$F:$F,MATCH($A190,'[AQ_2024.xlsx]原始数据'!$A:$A,0)),""))</f>
        <v/>
      </c>
      <c r="AA190" s="2">
        <f>IFERROR(G190/B190,"")</f>
        <v/>
      </c>
      <c r="AB190" s="2">
        <f>IFERROR(H190/C190,"")</f>
        <v/>
      </c>
      <c r="AC190" s="2">
        <f>IFERROR(I190/D190,"")</f>
        <v/>
      </c>
      <c r="AD190" s="2">
        <f>IFERROR(J190/E190,"")</f>
        <v/>
      </c>
      <c r="AE190" s="2">
        <f>IFERROR(K190/F190,"")</f>
        <v/>
      </c>
      <c r="AF190" s="2">
        <f>IFERROR(L190/B190,"")</f>
        <v/>
      </c>
      <c r="AG190" s="2">
        <f>IFERROR(M190/C190,"")</f>
        <v/>
      </c>
      <c r="AH190" s="2">
        <f>IFERROR(N190/D190,"")</f>
        <v/>
      </c>
      <c r="AI190" s="2">
        <f>IFERROR(O190/E190,"")</f>
        <v/>
      </c>
      <c r="AJ190" s="2">
        <f>IFERROR(P190/F190,"")</f>
        <v/>
      </c>
      <c r="AK190" s="2">
        <f>IFERROR(Q190/B190,"")</f>
        <v/>
      </c>
      <c r="AL190" s="2">
        <f>IFERROR(R190/C190,"")</f>
        <v/>
      </c>
      <c r="AM190" s="2">
        <f>IFERROR(S190/D190,"")</f>
        <v/>
      </c>
      <c r="AN190" s="2">
        <f>IFERROR(T190/E190,"")</f>
        <v/>
      </c>
      <c r="AO190" s="2">
        <f>IFERROR(U190/F190,"")</f>
        <v/>
      </c>
    </row>
    <row r="191">
      <c r="B191">
        <f>IF($A191="","",IFERROR(INDEX('[AQ_2020.xlsx]原始数据'!$B:$B,MATCH($A191,'[AQ_2020.xlsx]原始数据'!$A:$A,0)),""))</f>
        <v/>
      </c>
      <c r="C191">
        <f>IF($A191="","",IFERROR(INDEX('[AQ_2021.xlsx]原始数据'!$B:$B,MATCH($A191,'[AQ_2021.xlsx]原始数据'!$A:$A,0)),""))</f>
        <v/>
      </c>
      <c r="D191">
        <f>IF($A191="","",IFERROR(INDEX('[AQ_2022.xlsx]原始数据'!$B:$B,MATCH($A191,'[AQ_2022.xlsx]原始数据'!$A:$A,0)),""))</f>
        <v/>
      </c>
      <c r="E191">
        <f>IF($A191="","",IFERROR(INDEX('[AQ_2023.xlsx]原始数据'!$B:$B,MATCH($A191,'[AQ_2023.xlsx]原始数据'!$A:$A,0)),""))</f>
        <v/>
      </c>
      <c r="F191">
        <f>IF($A191="","",IFERROR(INDEX('[AQ_2024.xlsx]原始数据'!$B:$B,MATCH($A191,'[AQ_2024.xlsx]原始数据'!$A:$A,0)),""))</f>
        <v/>
      </c>
      <c r="G191">
        <f>IF($A191="","",IFERROR(INDEX('[AQ_2020.xlsx]原始数据'!$C:$C,MATCH($A191,'[AQ_2020.xlsx]原始数据'!$A:$A,0)),""))</f>
        <v/>
      </c>
      <c r="H191">
        <f>IF($A191="","",IFERROR(INDEX('[AQ_2021.xlsx]原始数据'!$C:$C,MATCH($A191,'[AQ_2021.xlsx]原始数据'!$A:$A,0)),""))</f>
        <v/>
      </c>
      <c r="I191">
        <f>IF($A191="","",IFERROR(INDEX('[AQ_2022.xlsx]原始数据'!$C:$C,MATCH($A191,'[AQ_2022.xlsx]原始数据'!$A:$A,0)),""))</f>
        <v/>
      </c>
      <c r="J191">
        <f>IF($A191="","",IFERROR(INDEX('[AQ_2023.xlsx]原始数据'!$C:$C,MATCH($A191,'[AQ_2023.xlsx]原始数据'!$A:$A,0)),""))</f>
        <v/>
      </c>
      <c r="K191">
        <f>IF($A191="","",IFERROR(INDEX('[AQ_2024.xlsx]原始数据'!$C:$C,MATCH($A191,'[AQ_2024.xlsx]原始数据'!$A:$A,0)),""))</f>
        <v/>
      </c>
      <c r="L191">
        <f>IF($A191="","",IFERROR(INDEX('[AQ_2020.xlsx]原始数据'!$D:$D,MATCH($A191,'[AQ_2020.xlsx]原始数据'!$A:$A,0)),""))</f>
        <v/>
      </c>
      <c r="M191">
        <f>IF($A191="","",IFERROR(INDEX('[AQ_2021.xlsx]原始数据'!$D:$D,MATCH($A191,'[AQ_2021.xlsx]原始数据'!$A:$A,0)),""))</f>
        <v/>
      </c>
      <c r="N191">
        <f>IF($A191="","",IFERROR(INDEX('[AQ_2022.xlsx]原始数据'!$D:$D,MATCH($A191,'[AQ_2022.xlsx]原始数据'!$A:$A,0)),""))</f>
        <v/>
      </c>
      <c r="O191">
        <f>IF($A191="","",IFERROR(INDEX('[AQ_2023.xlsx]原始数据'!$D:$D,MATCH($A191,'[AQ_2023.xlsx]原始数据'!$A:$A,0)),""))</f>
        <v/>
      </c>
      <c r="P191">
        <f>IF($A191="","",IFERROR(INDEX('[AQ_2024.xlsx]原始数据'!$D:$D,MATCH($A191,'[AQ_2024.xlsx]原始数据'!$A:$A,0)),""))</f>
        <v/>
      </c>
      <c r="Q191">
        <f>IF($A191="","",IFERROR(INDEX('[AQ_2020.xlsx]原始数据'!$E:$E,MATCH($A191,'[AQ_2020.xlsx]原始数据'!$A:$A,0)),""))</f>
        <v/>
      </c>
      <c r="R191">
        <f>IF($A191="","",IFERROR(INDEX('[AQ_2021.xlsx]原始数据'!$E:$E,MATCH($A191,'[AQ_2021.xlsx]原始数据'!$A:$A,0)),""))</f>
        <v/>
      </c>
      <c r="S191">
        <f>IF($A191="","",IFERROR(INDEX('[AQ_2022.xlsx]原始数据'!$E:$E,MATCH($A191,'[AQ_2022.xlsx]原始数据'!$A:$A,0)),""))</f>
        <v/>
      </c>
      <c r="T191">
        <f>IF($A191="","",IFERROR(INDEX('[AQ_2023.xlsx]原始数据'!$E:$E,MATCH($A191,'[AQ_2023.xlsx]原始数据'!$A:$A,0)),""))</f>
        <v/>
      </c>
      <c r="U191">
        <f>IF($A191="","",IFERROR(INDEX('[AQ_2024.xlsx]原始数据'!$E:$E,MATCH($A191,'[AQ_2024.xlsx]原始数据'!$A:$A,0)),""))</f>
        <v/>
      </c>
      <c r="V191">
        <f>IF($A191="","",IFERROR(INDEX('[AQ_2020.xlsx]原始数据'!$F:$F,MATCH($A191,'[AQ_2020.xlsx]原始数据'!$A:$A,0)),""))</f>
        <v/>
      </c>
      <c r="W191">
        <f>IF($A191="","",IFERROR(INDEX('[AQ_2021.xlsx]原始数据'!$F:$F,MATCH($A191,'[AQ_2021.xlsx]原始数据'!$A:$A,0)),""))</f>
        <v/>
      </c>
      <c r="X191">
        <f>IF($A191="","",IFERROR(INDEX('[AQ_2022.xlsx]原始数据'!$F:$F,MATCH($A191,'[AQ_2022.xlsx]原始数据'!$A:$A,0)),""))</f>
        <v/>
      </c>
      <c r="Y191">
        <f>IF($A191="","",IFERROR(INDEX('[AQ_2023.xlsx]原始数据'!$F:$F,MATCH($A191,'[AQ_2023.xlsx]原始数据'!$A:$A,0)),""))</f>
        <v/>
      </c>
      <c r="Z191">
        <f>IF($A191="","",IFERROR(INDEX('[AQ_2024.xlsx]原始数据'!$F:$F,MATCH($A191,'[AQ_2024.xlsx]原始数据'!$A:$A,0)),""))</f>
        <v/>
      </c>
      <c r="AA191" s="2">
        <f>IFERROR(G191/B191,"")</f>
        <v/>
      </c>
      <c r="AB191" s="2">
        <f>IFERROR(H191/C191,"")</f>
        <v/>
      </c>
      <c r="AC191" s="2">
        <f>IFERROR(I191/D191,"")</f>
        <v/>
      </c>
      <c r="AD191" s="2">
        <f>IFERROR(J191/E191,"")</f>
        <v/>
      </c>
      <c r="AE191" s="2">
        <f>IFERROR(K191/F191,"")</f>
        <v/>
      </c>
      <c r="AF191" s="2">
        <f>IFERROR(L191/B191,"")</f>
        <v/>
      </c>
      <c r="AG191" s="2">
        <f>IFERROR(M191/C191,"")</f>
        <v/>
      </c>
      <c r="AH191" s="2">
        <f>IFERROR(N191/D191,"")</f>
        <v/>
      </c>
      <c r="AI191" s="2">
        <f>IFERROR(O191/E191,"")</f>
        <v/>
      </c>
      <c r="AJ191" s="2">
        <f>IFERROR(P191/F191,"")</f>
        <v/>
      </c>
      <c r="AK191" s="2">
        <f>IFERROR(Q191/B191,"")</f>
        <v/>
      </c>
      <c r="AL191" s="2">
        <f>IFERROR(R191/C191,"")</f>
        <v/>
      </c>
      <c r="AM191" s="2">
        <f>IFERROR(S191/D191,"")</f>
        <v/>
      </c>
      <c r="AN191" s="2">
        <f>IFERROR(T191/E191,"")</f>
        <v/>
      </c>
      <c r="AO191" s="2">
        <f>IFERROR(U191/F191,"")</f>
        <v/>
      </c>
    </row>
    <row r="192">
      <c r="B192">
        <f>IF($A192="","",IFERROR(INDEX('[AQ_2020.xlsx]原始数据'!$B:$B,MATCH($A192,'[AQ_2020.xlsx]原始数据'!$A:$A,0)),""))</f>
        <v/>
      </c>
      <c r="C192">
        <f>IF($A192="","",IFERROR(INDEX('[AQ_2021.xlsx]原始数据'!$B:$B,MATCH($A192,'[AQ_2021.xlsx]原始数据'!$A:$A,0)),""))</f>
        <v/>
      </c>
      <c r="D192">
        <f>IF($A192="","",IFERROR(INDEX('[AQ_2022.xlsx]原始数据'!$B:$B,MATCH($A192,'[AQ_2022.xlsx]原始数据'!$A:$A,0)),""))</f>
        <v/>
      </c>
      <c r="E192">
        <f>IF($A192="","",IFERROR(INDEX('[AQ_2023.xlsx]原始数据'!$B:$B,MATCH($A192,'[AQ_2023.xlsx]原始数据'!$A:$A,0)),""))</f>
        <v/>
      </c>
      <c r="F192">
        <f>IF($A192="","",IFERROR(INDEX('[AQ_2024.xlsx]原始数据'!$B:$B,MATCH($A192,'[AQ_2024.xlsx]原始数据'!$A:$A,0)),""))</f>
        <v/>
      </c>
      <c r="G192">
        <f>IF($A192="","",IFERROR(INDEX('[AQ_2020.xlsx]原始数据'!$C:$C,MATCH($A192,'[AQ_2020.xlsx]原始数据'!$A:$A,0)),""))</f>
        <v/>
      </c>
      <c r="H192">
        <f>IF($A192="","",IFERROR(INDEX('[AQ_2021.xlsx]原始数据'!$C:$C,MATCH($A192,'[AQ_2021.xlsx]原始数据'!$A:$A,0)),""))</f>
        <v/>
      </c>
      <c r="I192">
        <f>IF($A192="","",IFERROR(INDEX('[AQ_2022.xlsx]原始数据'!$C:$C,MATCH($A192,'[AQ_2022.xlsx]原始数据'!$A:$A,0)),""))</f>
        <v/>
      </c>
      <c r="J192">
        <f>IF($A192="","",IFERROR(INDEX('[AQ_2023.xlsx]原始数据'!$C:$C,MATCH($A192,'[AQ_2023.xlsx]原始数据'!$A:$A,0)),""))</f>
        <v/>
      </c>
      <c r="K192">
        <f>IF($A192="","",IFERROR(INDEX('[AQ_2024.xlsx]原始数据'!$C:$C,MATCH($A192,'[AQ_2024.xlsx]原始数据'!$A:$A,0)),""))</f>
        <v/>
      </c>
      <c r="L192">
        <f>IF($A192="","",IFERROR(INDEX('[AQ_2020.xlsx]原始数据'!$D:$D,MATCH($A192,'[AQ_2020.xlsx]原始数据'!$A:$A,0)),""))</f>
        <v/>
      </c>
      <c r="M192">
        <f>IF($A192="","",IFERROR(INDEX('[AQ_2021.xlsx]原始数据'!$D:$D,MATCH($A192,'[AQ_2021.xlsx]原始数据'!$A:$A,0)),""))</f>
        <v/>
      </c>
      <c r="N192">
        <f>IF($A192="","",IFERROR(INDEX('[AQ_2022.xlsx]原始数据'!$D:$D,MATCH($A192,'[AQ_2022.xlsx]原始数据'!$A:$A,0)),""))</f>
        <v/>
      </c>
      <c r="O192">
        <f>IF($A192="","",IFERROR(INDEX('[AQ_2023.xlsx]原始数据'!$D:$D,MATCH($A192,'[AQ_2023.xlsx]原始数据'!$A:$A,0)),""))</f>
        <v/>
      </c>
      <c r="P192">
        <f>IF($A192="","",IFERROR(INDEX('[AQ_2024.xlsx]原始数据'!$D:$D,MATCH($A192,'[AQ_2024.xlsx]原始数据'!$A:$A,0)),""))</f>
        <v/>
      </c>
      <c r="Q192">
        <f>IF($A192="","",IFERROR(INDEX('[AQ_2020.xlsx]原始数据'!$E:$E,MATCH($A192,'[AQ_2020.xlsx]原始数据'!$A:$A,0)),""))</f>
        <v/>
      </c>
      <c r="R192">
        <f>IF($A192="","",IFERROR(INDEX('[AQ_2021.xlsx]原始数据'!$E:$E,MATCH($A192,'[AQ_2021.xlsx]原始数据'!$A:$A,0)),""))</f>
        <v/>
      </c>
      <c r="S192">
        <f>IF($A192="","",IFERROR(INDEX('[AQ_2022.xlsx]原始数据'!$E:$E,MATCH($A192,'[AQ_2022.xlsx]原始数据'!$A:$A,0)),""))</f>
        <v/>
      </c>
      <c r="T192">
        <f>IF($A192="","",IFERROR(INDEX('[AQ_2023.xlsx]原始数据'!$E:$E,MATCH($A192,'[AQ_2023.xlsx]原始数据'!$A:$A,0)),""))</f>
        <v/>
      </c>
      <c r="U192">
        <f>IF($A192="","",IFERROR(INDEX('[AQ_2024.xlsx]原始数据'!$E:$E,MATCH($A192,'[AQ_2024.xlsx]原始数据'!$A:$A,0)),""))</f>
        <v/>
      </c>
      <c r="V192">
        <f>IF($A192="","",IFERROR(INDEX('[AQ_2020.xlsx]原始数据'!$F:$F,MATCH($A192,'[AQ_2020.xlsx]原始数据'!$A:$A,0)),""))</f>
        <v/>
      </c>
      <c r="W192">
        <f>IF($A192="","",IFERROR(INDEX('[AQ_2021.xlsx]原始数据'!$F:$F,MATCH($A192,'[AQ_2021.xlsx]原始数据'!$A:$A,0)),""))</f>
        <v/>
      </c>
      <c r="X192">
        <f>IF($A192="","",IFERROR(INDEX('[AQ_2022.xlsx]原始数据'!$F:$F,MATCH($A192,'[AQ_2022.xlsx]原始数据'!$A:$A,0)),""))</f>
        <v/>
      </c>
      <c r="Y192">
        <f>IF($A192="","",IFERROR(INDEX('[AQ_2023.xlsx]原始数据'!$F:$F,MATCH($A192,'[AQ_2023.xlsx]原始数据'!$A:$A,0)),""))</f>
        <v/>
      </c>
      <c r="Z192">
        <f>IF($A192="","",IFERROR(INDEX('[AQ_2024.xlsx]原始数据'!$F:$F,MATCH($A192,'[AQ_2024.xlsx]原始数据'!$A:$A,0)),""))</f>
        <v/>
      </c>
      <c r="AA192" s="2">
        <f>IFERROR(G192/B192,"")</f>
        <v/>
      </c>
      <c r="AB192" s="2">
        <f>IFERROR(H192/C192,"")</f>
        <v/>
      </c>
      <c r="AC192" s="2">
        <f>IFERROR(I192/D192,"")</f>
        <v/>
      </c>
      <c r="AD192" s="2">
        <f>IFERROR(J192/E192,"")</f>
        <v/>
      </c>
      <c r="AE192" s="2">
        <f>IFERROR(K192/F192,"")</f>
        <v/>
      </c>
      <c r="AF192" s="2">
        <f>IFERROR(L192/B192,"")</f>
        <v/>
      </c>
      <c r="AG192" s="2">
        <f>IFERROR(M192/C192,"")</f>
        <v/>
      </c>
      <c r="AH192" s="2">
        <f>IFERROR(N192/D192,"")</f>
        <v/>
      </c>
      <c r="AI192" s="2">
        <f>IFERROR(O192/E192,"")</f>
        <v/>
      </c>
      <c r="AJ192" s="2">
        <f>IFERROR(P192/F192,"")</f>
        <v/>
      </c>
      <c r="AK192" s="2">
        <f>IFERROR(Q192/B192,"")</f>
        <v/>
      </c>
      <c r="AL192" s="2">
        <f>IFERROR(R192/C192,"")</f>
        <v/>
      </c>
      <c r="AM192" s="2">
        <f>IFERROR(S192/D192,"")</f>
        <v/>
      </c>
      <c r="AN192" s="2">
        <f>IFERROR(T192/E192,"")</f>
        <v/>
      </c>
      <c r="AO192" s="2">
        <f>IFERROR(U192/F192,"")</f>
        <v/>
      </c>
    </row>
    <row r="193">
      <c r="B193">
        <f>IF($A193="","",IFERROR(INDEX('[AQ_2020.xlsx]原始数据'!$B:$B,MATCH($A193,'[AQ_2020.xlsx]原始数据'!$A:$A,0)),""))</f>
        <v/>
      </c>
      <c r="C193">
        <f>IF($A193="","",IFERROR(INDEX('[AQ_2021.xlsx]原始数据'!$B:$B,MATCH($A193,'[AQ_2021.xlsx]原始数据'!$A:$A,0)),""))</f>
        <v/>
      </c>
      <c r="D193">
        <f>IF($A193="","",IFERROR(INDEX('[AQ_2022.xlsx]原始数据'!$B:$B,MATCH($A193,'[AQ_2022.xlsx]原始数据'!$A:$A,0)),""))</f>
        <v/>
      </c>
      <c r="E193">
        <f>IF($A193="","",IFERROR(INDEX('[AQ_2023.xlsx]原始数据'!$B:$B,MATCH($A193,'[AQ_2023.xlsx]原始数据'!$A:$A,0)),""))</f>
        <v/>
      </c>
      <c r="F193">
        <f>IF($A193="","",IFERROR(INDEX('[AQ_2024.xlsx]原始数据'!$B:$B,MATCH($A193,'[AQ_2024.xlsx]原始数据'!$A:$A,0)),""))</f>
        <v/>
      </c>
      <c r="G193">
        <f>IF($A193="","",IFERROR(INDEX('[AQ_2020.xlsx]原始数据'!$C:$C,MATCH($A193,'[AQ_2020.xlsx]原始数据'!$A:$A,0)),""))</f>
        <v/>
      </c>
      <c r="H193">
        <f>IF($A193="","",IFERROR(INDEX('[AQ_2021.xlsx]原始数据'!$C:$C,MATCH($A193,'[AQ_2021.xlsx]原始数据'!$A:$A,0)),""))</f>
        <v/>
      </c>
      <c r="I193">
        <f>IF($A193="","",IFERROR(INDEX('[AQ_2022.xlsx]原始数据'!$C:$C,MATCH($A193,'[AQ_2022.xlsx]原始数据'!$A:$A,0)),""))</f>
        <v/>
      </c>
      <c r="J193">
        <f>IF($A193="","",IFERROR(INDEX('[AQ_2023.xlsx]原始数据'!$C:$C,MATCH($A193,'[AQ_2023.xlsx]原始数据'!$A:$A,0)),""))</f>
        <v/>
      </c>
      <c r="K193">
        <f>IF($A193="","",IFERROR(INDEX('[AQ_2024.xlsx]原始数据'!$C:$C,MATCH($A193,'[AQ_2024.xlsx]原始数据'!$A:$A,0)),""))</f>
        <v/>
      </c>
      <c r="L193">
        <f>IF($A193="","",IFERROR(INDEX('[AQ_2020.xlsx]原始数据'!$D:$D,MATCH($A193,'[AQ_2020.xlsx]原始数据'!$A:$A,0)),""))</f>
        <v/>
      </c>
      <c r="M193">
        <f>IF($A193="","",IFERROR(INDEX('[AQ_2021.xlsx]原始数据'!$D:$D,MATCH($A193,'[AQ_2021.xlsx]原始数据'!$A:$A,0)),""))</f>
        <v/>
      </c>
      <c r="N193">
        <f>IF($A193="","",IFERROR(INDEX('[AQ_2022.xlsx]原始数据'!$D:$D,MATCH($A193,'[AQ_2022.xlsx]原始数据'!$A:$A,0)),""))</f>
        <v/>
      </c>
      <c r="O193">
        <f>IF($A193="","",IFERROR(INDEX('[AQ_2023.xlsx]原始数据'!$D:$D,MATCH($A193,'[AQ_2023.xlsx]原始数据'!$A:$A,0)),""))</f>
        <v/>
      </c>
      <c r="P193">
        <f>IF($A193="","",IFERROR(INDEX('[AQ_2024.xlsx]原始数据'!$D:$D,MATCH($A193,'[AQ_2024.xlsx]原始数据'!$A:$A,0)),""))</f>
        <v/>
      </c>
      <c r="Q193">
        <f>IF($A193="","",IFERROR(INDEX('[AQ_2020.xlsx]原始数据'!$E:$E,MATCH($A193,'[AQ_2020.xlsx]原始数据'!$A:$A,0)),""))</f>
        <v/>
      </c>
      <c r="R193">
        <f>IF($A193="","",IFERROR(INDEX('[AQ_2021.xlsx]原始数据'!$E:$E,MATCH($A193,'[AQ_2021.xlsx]原始数据'!$A:$A,0)),""))</f>
        <v/>
      </c>
      <c r="S193">
        <f>IF($A193="","",IFERROR(INDEX('[AQ_2022.xlsx]原始数据'!$E:$E,MATCH($A193,'[AQ_2022.xlsx]原始数据'!$A:$A,0)),""))</f>
        <v/>
      </c>
      <c r="T193">
        <f>IF($A193="","",IFERROR(INDEX('[AQ_2023.xlsx]原始数据'!$E:$E,MATCH($A193,'[AQ_2023.xlsx]原始数据'!$A:$A,0)),""))</f>
        <v/>
      </c>
      <c r="U193">
        <f>IF($A193="","",IFERROR(INDEX('[AQ_2024.xlsx]原始数据'!$E:$E,MATCH($A193,'[AQ_2024.xlsx]原始数据'!$A:$A,0)),""))</f>
        <v/>
      </c>
      <c r="V193">
        <f>IF($A193="","",IFERROR(INDEX('[AQ_2020.xlsx]原始数据'!$F:$F,MATCH($A193,'[AQ_2020.xlsx]原始数据'!$A:$A,0)),""))</f>
        <v/>
      </c>
      <c r="W193">
        <f>IF($A193="","",IFERROR(INDEX('[AQ_2021.xlsx]原始数据'!$F:$F,MATCH($A193,'[AQ_2021.xlsx]原始数据'!$A:$A,0)),""))</f>
        <v/>
      </c>
      <c r="X193">
        <f>IF($A193="","",IFERROR(INDEX('[AQ_2022.xlsx]原始数据'!$F:$F,MATCH($A193,'[AQ_2022.xlsx]原始数据'!$A:$A,0)),""))</f>
        <v/>
      </c>
      <c r="Y193">
        <f>IF($A193="","",IFERROR(INDEX('[AQ_2023.xlsx]原始数据'!$F:$F,MATCH($A193,'[AQ_2023.xlsx]原始数据'!$A:$A,0)),""))</f>
        <v/>
      </c>
      <c r="Z193">
        <f>IF($A193="","",IFERROR(INDEX('[AQ_2024.xlsx]原始数据'!$F:$F,MATCH($A193,'[AQ_2024.xlsx]原始数据'!$A:$A,0)),""))</f>
        <v/>
      </c>
      <c r="AA193" s="2">
        <f>IFERROR(G193/B193,"")</f>
        <v/>
      </c>
      <c r="AB193" s="2">
        <f>IFERROR(H193/C193,"")</f>
        <v/>
      </c>
      <c r="AC193" s="2">
        <f>IFERROR(I193/D193,"")</f>
        <v/>
      </c>
      <c r="AD193" s="2">
        <f>IFERROR(J193/E193,"")</f>
        <v/>
      </c>
      <c r="AE193" s="2">
        <f>IFERROR(K193/F193,"")</f>
        <v/>
      </c>
      <c r="AF193" s="2">
        <f>IFERROR(L193/B193,"")</f>
        <v/>
      </c>
      <c r="AG193" s="2">
        <f>IFERROR(M193/C193,"")</f>
        <v/>
      </c>
      <c r="AH193" s="2">
        <f>IFERROR(N193/D193,"")</f>
        <v/>
      </c>
      <c r="AI193" s="2">
        <f>IFERROR(O193/E193,"")</f>
        <v/>
      </c>
      <c r="AJ193" s="2">
        <f>IFERROR(P193/F193,"")</f>
        <v/>
      </c>
      <c r="AK193" s="2">
        <f>IFERROR(Q193/B193,"")</f>
        <v/>
      </c>
      <c r="AL193" s="2">
        <f>IFERROR(R193/C193,"")</f>
        <v/>
      </c>
      <c r="AM193" s="2">
        <f>IFERROR(S193/D193,"")</f>
        <v/>
      </c>
      <c r="AN193" s="2">
        <f>IFERROR(T193/E193,"")</f>
        <v/>
      </c>
      <c r="AO193" s="2">
        <f>IFERROR(U193/F193,"")</f>
        <v/>
      </c>
    </row>
    <row r="194">
      <c r="B194">
        <f>IF($A194="","",IFERROR(INDEX('[AQ_2020.xlsx]原始数据'!$B:$B,MATCH($A194,'[AQ_2020.xlsx]原始数据'!$A:$A,0)),""))</f>
        <v/>
      </c>
      <c r="C194">
        <f>IF($A194="","",IFERROR(INDEX('[AQ_2021.xlsx]原始数据'!$B:$B,MATCH($A194,'[AQ_2021.xlsx]原始数据'!$A:$A,0)),""))</f>
        <v/>
      </c>
      <c r="D194">
        <f>IF($A194="","",IFERROR(INDEX('[AQ_2022.xlsx]原始数据'!$B:$B,MATCH($A194,'[AQ_2022.xlsx]原始数据'!$A:$A,0)),""))</f>
        <v/>
      </c>
      <c r="E194">
        <f>IF($A194="","",IFERROR(INDEX('[AQ_2023.xlsx]原始数据'!$B:$B,MATCH($A194,'[AQ_2023.xlsx]原始数据'!$A:$A,0)),""))</f>
        <v/>
      </c>
      <c r="F194">
        <f>IF($A194="","",IFERROR(INDEX('[AQ_2024.xlsx]原始数据'!$B:$B,MATCH($A194,'[AQ_2024.xlsx]原始数据'!$A:$A,0)),""))</f>
        <v/>
      </c>
      <c r="G194">
        <f>IF($A194="","",IFERROR(INDEX('[AQ_2020.xlsx]原始数据'!$C:$C,MATCH($A194,'[AQ_2020.xlsx]原始数据'!$A:$A,0)),""))</f>
        <v/>
      </c>
      <c r="H194">
        <f>IF($A194="","",IFERROR(INDEX('[AQ_2021.xlsx]原始数据'!$C:$C,MATCH($A194,'[AQ_2021.xlsx]原始数据'!$A:$A,0)),""))</f>
        <v/>
      </c>
      <c r="I194">
        <f>IF($A194="","",IFERROR(INDEX('[AQ_2022.xlsx]原始数据'!$C:$C,MATCH($A194,'[AQ_2022.xlsx]原始数据'!$A:$A,0)),""))</f>
        <v/>
      </c>
      <c r="J194">
        <f>IF($A194="","",IFERROR(INDEX('[AQ_2023.xlsx]原始数据'!$C:$C,MATCH($A194,'[AQ_2023.xlsx]原始数据'!$A:$A,0)),""))</f>
        <v/>
      </c>
      <c r="K194">
        <f>IF($A194="","",IFERROR(INDEX('[AQ_2024.xlsx]原始数据'!$C:$C,MATCH($A194,'[AQ_2024.xlsx]原始数据'!$A:$A,0)),""))</f>
        <v/>
      </c>
      <c r="L194">
        <f>IF($A194="","",IFERROR(INDEX('[AQ_2020.xlsx]原始数据'!$D:$D,MATCH($A194,'[AQ_2020.xlsx]原始数据'!$A:$A,0)),""))</f>
        <v/>
      </c>
      <c r="M194">
        <f>IF($A194="","",IFERROR(INDEX('[AQ_2021.xlsx]原始数据'!$D:$D,MATCH($A194,'[AQ_2021.xlsx]原始数据'!$A:$A,0)),""))</f>
        <v/>
      </c>
      <c r="N194">
        <f>IF($A194="","",IFERROR(INDEX('[AQ_2022.xlsx]原始数据'!$D:$D,MATCH($A194,'[AQ_2022.xlsx]原始数据'!$A:$A,0)),""))</f>
        <v/>
      </c>
      <c r="O194">
        <f>IF($A194="","",IFERROR(INDEX('[AQ_2023.xlsx]原始数据'!$D:$D,MATCH($A194,'[AQ_2023.xlsx]原始数据'!$A:$A,0)),""))</f>
        <v/>
      </c>
      <c r="P194">
        <f>IF($A194="","",IFERROR(INDEX('[AQ_2024.xlsx]原始数据'!$D:$D,MATCH($A194,'[AQ_2024.xlsx]原始数据'!$A:$A,0)),""))</f>
        <v/>
      </c>
      <c r="Q194">
        <f>IF($A194="","",IFERROR(INDEX('[AQ_2020.xlsx]原始数据'!$E:$E,MATCH($A194,'[AQ_2020.xlsx]原始数据'!$A:$A,0)),""))</f>
        <v/>
      </c>
      <c r="R194">
        <f>IF($A194="","",IFERROR(INDEX('[AQ_2021.xlsx]原始数据'!$E:$E,MATCH($A194,'[AQ_2021.xlsx]原始数据'!$A:$A,0)),""))</f>
        <v/>
      </c>
      <c r="S194">
        <f>IF($A194="","",IFERROR(INDEX('[AQ_2022.xlsx]原始数据'!$E:$E,MATCH($A194,'[AQ_2022.xlsx]原始数据'!$A:$A,0)),""))</f>
        <v/>
      </c>
      <c r="T194">
        <f>IF($A194="","",IFERROR(INDEX('[AQ_2023.xlsx]原始数据'!$E:$E,MATCH($A194,'[AQ_2023.xlsx]原始数据'!$A:$A,0)),""))</f>
        <v/>
      </c>
      <c r="U194">
        <f>IF($A194="","",IFERROR(INDEX('[AQ_2024.xlsx]原始数据'!$E:$E,MATCH($A194,'[AQ_2024.xlsx]原始数据'!$A:$A,0)),""))</f>
        <v/>
      </c>
      <c r="V194">
        <f>IF($A194="","",IFERROR(INDEX('[AQ_2020.xlsx]原始数据'!$F:$F,MATCH($A194,'[AQ_2020.xlsx]原始数据'!$A:$A,0)),""))</f>
        <v/>
      </c>
      <c r="W194">
        <f>IF($A194="","",IFERROR(INDEX('[AQ_2021.xlsx]原始数据'!$F:$F,MATCH($A194,'[AQ_2021.xlsx]原始数据'!$A:$A,0)),""))</f>
        <v/>
      </c>
      <c r="X194">
        <f>IF($A194="","",IFERROR(INDEX('[AQ_2022.xlsx]原始数据'!$F:$F,MATCH($A194,'[AQ_2022.xlsx]原始数据'!$A:$A,0)),""))</f>
        <v/>
      </c>
      <c r="Y194">
        <f>IF($A194="","",IFERROR(INDEX('[AQ_2023.xlsx]原始数据'!$F:$F,MATCH($A194,'[AQ_2023.xlsx]原始数据'!$A:$A,0)),""))</f>
        <v/>
      </c>
      <c r="Z194">
        <f>IF($A194="","",IFERROR(INDEX('[AQ_2024.xlsx]原始数据'!$F:$F,MATCH($A194,'[AQ_2024.xlsx]原始数据'!$A:$A,0)),""))</f>
        <v/>
      </c>
      <c r="AA194" s="2">
        <f>IFERROR(G194/B194,"")</f>
        <v/>
      </c>
      <c r="AB194" s="2">
        <f>IFERROR(H194/C194,"")</f>
        <v/>
      </c>
      <c r="AC194" s="2">
        <f>IFERROR(I194/D194,"")</f>
        <v/>
      </c>
      <c r="AD194" s="2">
        <f>IFERROR(J194/E194,"")</f>
        <v/>
      </c>
      <c r="AE194" s="2">
        <f>IFERROR(K194/F194,"")</f>
        <v/>
      </c>
      <c r="AF194" s="2">
        <f>IFERROR(L194/B194,"")</f>
        <v/>
      </c>
      <c r="AG194" s="2">
        <f>IFERROR(M194/C194,"")</f>
        <v/>
      </c>
      <c r="AH194" s="2">
        <f>IFERROR(N194/D194,"")</f>
        <v/>
      </c>
      <c r="AI194" s="2">
        <f>IFERROR(O194/E194,"")</f>
        <v/>
      </c>
      <c r="AJ194" s="2">
        <f>IFERROR(P194/F194,"")</f>
        <v/>
      </c>
      <c r="AK194" s="2">
        <f>IFERROR(Q194/B194,"")</f>
        <v/>
      </c>
      <c r="AL194" s="2">
        <f>IFERROR(R194/C194,"")</f>
        <v/>
      </c>
      <c r="AM194" s="2">
        <f>IFERROR(S194/D194,"")</f>
        <v/>
      </c>
      <c r="AN194" s="2">
        <f>IFERROR(T194/E194,"")</f>
        <v/>
      </c>
      <c r="AO194" s="2">
        <f>IFERROR(U194/F194,"")</f>
        <v/>
      </c>
    </row>
    <row r="195">
      <c r="B195">
        <f>IF($A195="","",IFERROR(INDEX('[AQ_2020.xlsx]原始数据'!$B:$B,MATCH($A195,'[AQ_2020.xlsx]原始数据'!$A:$A,0)),""))</f>
        <v/>
      </c>
      <c r="C195">
        <f>IF($A195="","",IFERROR(INDEX('[AQ_2021.xlsx]原始数据'!$B:$B,MATCH($A195,'[AQ_2021.xlsx]原始数据'!$A:$A,0)),""))</f>
        <v/>
      </c>
      <c r="D195">
        <f>IF($A195="","",IFERROR(INDEX('[AQ_2022.xlsx]原始数据'!$B:$B,MATCH($A195,'[AQ_2022.xlsx]原始数据'!$A:$A,0)),""))</f>
        <v/>
      </c>
      <c r="E195">
        <f>IF($A195="","",IFERROR(INDEX('[AQ_2023.xlsx]原始数据'!$B:$B,MATCH($A195,'[AQ_2023.xlsx]原始数据'!$A:$A,0)),""))</f>
        <v/>
      </c>
      <c r="F195">
        <f>IF($A195="","",IFERROR(INDEX('[AQ_2024.xlsx]原始数据'!$B:$B,MATCH($A195,'[AQ_2024.xlsx]原始数据'!$A:$A,0)),""))</f>
        <v/>
      </c>
      <c r="G195">
        <f>IF($A195="","",IFERROR(INDEX('[AQ_2020.xlsx]原始数据'!$C:$C,MATCH($A195,'[AQ_2020.xlsx]原始数据'!$A:$A,0)),""))</f>
        <v/>
      </c>
      <c r="H195">
        <f>IF($A195="","",IFERROR(INDEX('[AQ_2021.xlsx]原始数据'!$C:$C,MATCH($A195,'[AQ_2021.xlsx]原始数据'!$A:$A,0)),""))</f>
        <v/>
      </c>
      <c r="I195">
        <f>IF($A195="","",IFERROR(INDEX('[AQ_2022.xlsx]原始数据'!$C:$C,MATCH($A195,'[AQ_2022.xlsx]原始数据'!$A:$A,0)),""))</f>
        <v/>
      </c>
      <c r="J195">
        <f>IF($A195="","",IFERROR(INDEX('[AQ_2023.xlsx]原始数据'!$C:$C,MATCH($A195,'[AQ_2023.xlsx]原始数据'!$A:$A,0)),""))</f>
        <v/>
      </c>
      <c r="K195">
        <f>IF($A195="","",IFERROR(INDEX('[AQ_2024.xlsx]原始数据'!$C:$C,MATCH($A195,'[AQ_2024.xlsx]原始数据'!$A:$A,0)),""))</f>
        <v/>
      </c>
      <c r="L195">
        <f>IF($A195="","",IFERROR(INDEX('[AQ_2020.xlsx]原始数据'!$D:$D,MATCH($A195,'[AQ_2020.xlsx]原始数据'!$A:$A,0)),""))</f>
        <v/>
      </c>
      <c r="M195">
        <f>IF($A195="","",IFERROR(INDEX('[AQ_2021.xlsx]原始数据'!$D:$D,MATCH($A195,'[AQ_2021.xlsx]原始数据'!$A:$A,0)),""))</f>
        <v/>
      </c>
      <c r="N195">
        <f>IF($A195="","",IFERROR(INDEX('[AQ_2022.xlsx]原始数据'!$D:$D,MATCH($A195,'[AQ_2022.xlsx]原始数据'!$A:$A,0)),""))</f>
        <v/>
      </c>
      <c r="O195">
        <f>IF($A195="","",IFERROR(INDEX('[AQ_2023.xlsx]原始数据'!$D:$D,MATCH($A195,'[AQ_2023.xlsx]原始数据'!$A:$A,0)),""))</f>
        <v/>
      </c>
      <c r="P195">
        <f>IF($A195="","",IFERROR(INDEX('[AQ_2024.xlsx]原始数据'!$D:$D,MATCH($A195,'[AQ_2024.xlsx]原始数据'!$A:$A,0)),""))</f>
        <v/>
      </c>
      <c r="Q195">
        <f>IF($A195="","",IFERROR(INDEX('[AQ_2020.xlsx]原始数据'!$E:$E,MATCH($A195,'[AQ_2020.xlsx]原始数据'!$A:$A,0)),""))</f>
        <v/>
      </c>
      <c r="R195">
        <f>IF($A195="","",IFERROR(INDEX('[AQ_2021.xlsx]原始数据'!$E:$E,MATCH($A195,'[AQ_2021.xlsx]原始数据'!$A:$A,0)),""))</f>
        <v/>
      </c>
      <c r="S195">
        <f>IF($A195="","",IFERROR(INDEX('[AQ_2022.xlsx]原始数据'!$E:$E,MATCH($A195,'[AQ_2022.xlsx]原始数据'!$A:$A,0)),""))</f>
        <v/>
      </c>
      <c r="T195">
        <f>IF($A195="","",IFERROR(INDEX('[AQ_2023.xlsx]原始数据'!$E:$E,MATCH($A195,'[AQ_2023.xlsx]原始数据'!$A:$A,0)),""))</f>
        <v/>
      </c>
      <c r="U195">
        <f>IF($A195="","",IFERROR(INDEX('[AQ_2024.xlsx]原始数据'!$E:$E,MATCH($A195,'[AQ_2024.xlsx]原始数据'!$A:$A,0)),""))</f>
        <v/>
      </c>
      <c r="V195">
        <f>IF($A195="","",IFERROR(INDEX('[AQ_2020.xlsx]原始数据'!$F:$F,MATCH($A195,'[AQ_2020.xlsx]原始数据'!$A:$A,0)),""))</f>
        <v/>
      </c>
      <c r="W195">
        <f>IF($A195="","",IFERROR(INDEX('[AQ_2021.xlsx]原始数据'!$F:$F,MATCH($A195,'[AQ_2021.xlsx]原始数据'!$A:$A,0)),""))</f>
        <v/>
      </c>
      <c r="X195">
        <f>IF($A195="","",IFERROR(INDEX('[AQ_2022.xlsx]原始数据'!$F:$F,MATCH($A195,'[AQ_2022.xlsx]原始数据'!$A:$A,0)),""))</f>
        <v/>
      </c>
      <c r="Y195">
        <f>IF($A195="","",IFERROR(INDEX('[AQ_2023.xlsx]原始数据'!$F:$F,MATCH($A195,'[AQ_2023.xlsx]原始数据'!$A:$A,0)),""))</f>
        <v/>
      </c>
      <c r="Z195">
        <f>IF($A195="","",IFERROR(INDEX('[AQ_2024.xlsx]原始数据'!$F:$F,MATCH($A195,'[AQ_2024.xlsx]原始数据'!$A:$A,0)),""))</f>
        <v/>
      </c>
      <c r="AA195" s="2">
        <f>IFERROR(G195/B195,"")</f>
        <v/>
      </c>
      <c r="AB195" s="2">
        <f>IFERROR(H195/C195,"")</f>
        <v/>
      </c>
      <c r="AC195" s="2">
        <f>IFERROR(I195/D195,"")</f>
        <v/>
      </c>
      <c r="AD195" s="2">
        <f>IFERROR(J195/E195,"")</f>
        <v/>
      </c>
      <c r="AE195" s="2">
        <f>IFERROR(K195/F195,"")</f>
        <v/>
      </c>
      <c r="AF195" s="2">
        <f>IFERROR(L195/B195,"")</f>
        <v/>
      </c>
      <c r="AG195" s="2">
        <f>IFERROR(M195/C195,"")</f>
        <v/>
      </c>
      <c r="AH195" s="2">
        <f>IFERROR(N195/D195,"")</f>
        <v/>
      </c>
      <c r="AI195" s="2">
        <f>IFERROR(O195/E195,"")</f>
        <v/>
      </c>
      <c r="AJ195" s="2">
        <f>IFERROR(P195/F195,"")</f>
        <v/>
      </c>
      <c r="AK195" s="2">
        <f>IFERROR(Q195/B195,"")</f>
        <v/>
      </c>
      <c r="AL195" s="2">
        <f>IFERROR(R195/C195,"")</f>
        <v/>
      </c>
      <c r="AM195" s="2">
        <f>IFERROR(S195/D195,"")</f>
        <v/>
      </c>
      <c r="AN195" s="2">
        <f>IFERROR(T195/E195,"")</f>
        <v/>
      </c>
      <c r="AO195" s="2">
        <f>IFERROR(U195/F195,"")</f>
        <v/>
      </c>
    </row>
    <row r="196">
      <c r="B196">
        <f>IF($A196="","",IFERROR(INDEX('[AQ_2020.xlsx]原始数据'!$B:$B,MATCH($A196,'[AQ_2020.xlsx]原始数据'!$A:$A,0)),""))</f>
        <v/>
      </c>
      <c r="C196">
        <f>IF($A196="","",IFERROR(INDEX('[AQ_2021.xlsx]原始数据'!$B:$B,MATCH($A196,'[AQ_2021.xlsx]原始数据'!$A:$A,0)),""))</f>
        <v/>
      </c>
      <c r="D196">
        <f>IF($A196="","",IFERROR(INDEX('[AQ_2022.xlsx]原始数据'!$B:$B,MATCH($A196,'[AQ_2022.xlsx]原始数据'!$A:$A,0)),""))</f>
        <v/>
      </c>
      <c r="E196">
        <f>IF($A196="","",IFERROR(INDEX('[AQ_2023.xlsx]原始数据'!$B:$B,MATCH($A196,'[AQ_2023.xlsx]原始数据'!$A:$A,0)),""))</f>
        <v/>
      </c>
      <c r="F196">
        <f>IF($A196="","",IFERROR(INDEX('[AQ_2024.xlsx]原始数据'!$B:$B,MATCH($A196,'[AQ_2024.xlsx]原始数据'!$A:$A,0)),""))</f>
        <v/>
      </c>
      <c r="G196">
        <f>IF($A196="","",IFERROR(INDEX('[AQ_2020.xlsx]原始数据'!$C:$C,MATCH($A196,'[AQ_2020.xlsx]原始数据'!$A:$A,0)),""))</f>
        <v/>
      </c>
      <c r="H196">
        <f>IF($A196="","",IFERROR(INDEX('[AQ_2021.xlsx]原始数据'!$C:$C,MATCH($A196,'[AQ_2021.xlsx]原始数据'!$A:$A,0)),""))</f>
        <v/>
      </c>
      <c r="I196">
        <f>IF($A196="","",IFERROR(INDEX('[AQ_2022.xlsx]原始数据'!$C:$C,MATCH($A196,'[AQ_2022.xlsx]原始数据'!$A:$A,0)),""))</f>
        <v/>
      </c>
      <c r="J196">
        <f>IF($A196="","",IFERROR(INDEX('[AQ_2023.xlsx]原始数据'!$C:$C,MATCH($A196,'[AQ_2023.xlsx]原始数据'!$A:$A,0)),""))</f>
        <v/>
      </c>
      <c r="K196">
        <f>IF($A196="","",IFERROR(INDEX('[AQ_2024.xlsx]原始数据'!$C:$C,MATCH($A196,'[AQ_2024.xlsx]原始数据'!$A:$A,0)),""))</f>
        <v/>
      </c>
      <c r="L196">
        <f>IF($A196="","",IFERROR(INDEX('[AQ_2020.xlsx]原始数据'!$D:$D,MATCH($A196,'[AQ_2020.xlsx]原始数据'!$A:$A,0)),""))</f>
        <v/>
      </c>
      <c r="M196">
        <f>IF($A196="","",IFERROR(INDEX('[AQ_2021.xlsx]原始数据'!$D:$D,MATCH($A196,'[AQ_2021.xlsx]原始数据'!$A:$A,0)),""))</f>
        <v/>
      </c>
      <c r="N196">
        <f>IF($A196="","",IFERROR(INDEX('[AQ_2022.xlsx]原始数据'!$D:$D,MATCH($A196,'[AQ_2022.xlsx]原始数据'!$A:$A,0)),""))</f>
        <v/>
      </c>
      <c r="O196">
        <f>IF($A196="","",IFERROR(INDEX('[AQ_2023.xlsx]原始数据'!$D:$D,MATCH($A196,'[AQ_2023.xlsx]原始数据'!$A:$A,0)),""))</f>
        <v/>
      </c>
      <c r="P196">
        <f>IF($A196="","",IFERROR(INDEX('[AQ_2024.xlsx]原始数据'!$D:$D,MATCH($A196,'[AQ_2024.xlsx]原始数据'!$A:$A,0)),""))</f>
        <v/>
      </c>
      <c r="Q196">
        <f>IF($A196="","",IFERROR(INDEX('[AQ_2020.xlsx]原始数据'!$E:$E,MATCH($A196,'[AQ_2020.xlsx]原始数据'!$A:$A,0)),""))</f>
        <v/>
      </c>
      <c r="R196">
        <f>IF($A196="","",IFERROR(INDEX('[AQ_2021.xlsx]原始数据'!$E:$E,MATCH($A196,'[AQ_2021.xlsx]原始数据'!$A:$A,0)),""))</f>
        <v/>
      </c>
      <c r="S196">
        <f>IF($A196="","",IFERROR(INDEX('[AQ_2022.xlsx]原始数据'!$E:$E,MATCH($A196,'[AQ_2022.xlsx]原始数据'!$A:$A,0)),""))</f>
        <v/>
      </c>
      <c r="T196">
        <f>IF($A196="","",IFERROR(INDEX('[AQ_2023.xlsx]原始数据'!$E:$E,MATCH($A196,'[AQ_2023.xlsx]原始数据'!$A:$A,0)),""))</f>
        <v/>
      </c>
      <c r="U196">
        <f>IF($A196="","",IFERROR(INDEX('[AQ_2024.xlsx]原始数据'!$E:$E,MATCH($A196,'[AQ_2024.xlsx]原始数据'!$A:$A,0)),""))</f>
        <v/>
      </c>
      <c r="V196">
        <f>IF($A196="","",IFERROR(INDEX('[AQ_2020.xlsx]原始数据'!$F:$F,MATCH($A196,'[AQ_2020.xlsx]原始数据'!$A:$A,0)),""))</f>
        <v/>
      </c>
      <c r="W196">
        <f>IF($A196="","",IFERROR(INDEX('[AQ_2021.xlsx]原始数据'!$F:$F,MATCH($A196,'[AQ_2021.xlsx]原始数据'!$A:$A,0)),""))</f>
        <v/>
      </c>
      <c r="X196">
        <f>IF($A196="","",IFERROR(INDEX('[AQ_2022.xlsx]原始数据'!$F:$F,MATCH($A196,'[AQ_2022.xlsx]原始数据'!$A:$A,0)),""))</f>
        <v/>
      </c>
      <c r="Y196">
        <f>IF($A196="","",IFERROR(INDEX('[AQ_2023.xlsx]原始数据'!$F:$F,MATCH($A196,'[AQ_2023.xlsx]原始数据'!$A:$A,0)),""))</f>
        <v/>
      </c>
      <c r="Z196">
        <f>IF($A196="","",IFERROR(INDEX('[AQ_2024.xlsx]原始数据'!$F:$F,MATCH($A196,'[AQ_2024.xlsx]原始数据'!$A:$A,0)),""))</f>
        <v/>
      </c>
      <c r="AA196" s="2">
        <f>IFERROR(G196/B196,"")</f>
        <v/>
      </c>
      <c r="AB196" s="2">
        <f>IFERROR(H196/C196,"")</f>
        <v/>
      </c>
      <c r="AC196" s="2">
        <f>IFERROR(I196/D196,"")</f>
        <v/>
      </c>
      <c r="AD196" s="2">
        <f>IFERROR(J196/E196,"")</f>
        <v/>
      </c>
      <c r="AE196" s="2">
        <f>IFERROR(K196/F196,"")</f>
        <v/>
      </c>
      <c r="AF196" s="2">
        <f>IFERROR(L196/B196,"")</f>
        <v/>
      </c>
      <c r="AG196" s="2">
        <f>IFERROR(M196/C196,"")</f>
        <v/>
      </c>
      <c r="AH196" s="2">
        <f>IFERROR(N196/D196,"")</f>
        <v/>
      </c>
      <c r="AI196" s="2">
        <f>IFERROR(O196/E196,"")</f>
        <v/>
      </c>
      <c r="AJ196" s="2">
        <f>IFERROR(P196/F196,"")</f>
        <v/>
      </c>
      <c r="AK196" s="2">
        <f>IFERROR(Q196/B196,"")</f>
        <v/>
      </c>
      <c r="AL196" s="2">
        <f>IFERROR(R196/C196,"")</f>
        <v/>
      </c>
      <c r="AM196" s="2">
        <f>IFERROR(S196/D196,"")</f>
        <v/>
      </c>
      <c r="AN196" s="2">
        <f>IFERROR(T196/E196,"")</f>
        <v/>
      </c>
      <c r="AO196" s="2">
        <f>IFERROR(U196/F196,"")</f>
        <v/>
      </c>
    </row>
    <row r="197">
      <c r="B197">
        <f>IF($A197="","",IFERROR(INDEX('[AQ_2020.xlsx]原始数据'!$B:$B,MATCH($A197,'[AQ_2020.xlsx]原始数据'!$A:$A,0)),""))</f>
        <v/>
      </c>
      <c r="C197">
        <f>IF($A197="","",IFERROR(INDEX('[AQ_2021.xlsx]原始数据'!$B:$B,MATCH($A197,'[AQ_2021.xlsx]原始数据'!$A:$A,0)),""))</f>
        <v/>
      </c>
      <c r="D197">
        <f>IF($A197="","",IFERROR(INDEX('[AQ_2022.xlsx]原始数据'!$B:$B,MATCH($A197,'[AQ_2022.xlsx]原始数据'!$A:$A,0)),""))</f>
        <v/>
      </c>
      <c r="E197">
        <f>IF($A197="","",IFERROR(INDEX('[AQ_2023.xlsx]原始数据'!$B:$B,MATCH($A197,'[AQ_2023.xlsx]原始数据'!$A:$A,0)),""))</f>
        <v/>
      </c>
      <c r="F197">
        <f>IF($A197="","",IFERROR(INDEX('[AQ_2024.xlsx]原始数据'!$B:$B,MATCH($A197,'[AQ_2024.xlsx]原始数据'!$A:$A,0)),""))</f>
        <v/>
      </c>
      <c r="G197">
        <f>IF($A197="","",IFERROR(INDEX('[AQ_2020.xlsx]原始数据'!$C:$C,MATCH($A197,'[AQ_2020.xlsx]原始数据'!$A:$A,0)),""))</f>
        <v/>
      </c>
      <c r="H197">
        <f>IF($A197="","",IFERROR(INDEX('[AQ_2021.xlsx]原始数据'!$C:$C,MATCH($A197,'[AQ_2021.xlsx]原始数据'!$A:$A,0)),""))</f>
        <v/>
      </c>
      <c r="I197">
        <f>IF($A197="","",IFERROR(INDEX('[AQ_2022.xlsx]原始数据'!$C:$C,MATCH($A197,'[AQ_2022.xlsx]原始数据'!$A:$A,0)),""))</f>
        <v/>
      </c>
      <c r="J197">
        <f>IF($A197="","",IFERROR(INDEX('[AQ_2023.xlsx]原始数据'!$C:$C,MATCH($A197,'[AQ_2023.xlsx]原始数据'!$A:$A,0)),""))</f>
        <v/>
      </c>
      <c r="K197">
        <f>IF($A197="","",IFERROR(INDEX('[AQ_2024.xlsx]原始数据'!$C:$C,MATCH($A197,'[AQ_2024.xlsx]原始数据'!$A:$A,0)),""))</f>
        <v/>
      </c>
      <c r="L197">
        <f>IF($A197="","",IFERROR(INDEX('[AQ_2020.xlsx]原始数据'!$D:$D,MATCH($A197,'[AQ_2020.xlsx]原始数据'!$A:$A,0)),""))</f>
        <v/>
      </c>
      <c r="M197">
        <f>IF($A197="","",IFERROR(INDEX('[AQ_2021.xlsx]原始数据'!$D:$D,MATCH($A197,'[AQ_2021.xlsx]原始数据'!$A:$A,0)),""))</f>
        <v/>
      </c>
      <c r="N197">
        <f>IF($A197="","",IFERROR(INDEX('[AQ_2022.xlsx]原始数据'!$D:$D,MATCH($A197,'[AQ_2022.xlsx]原始数据'!$A:$A,0)),""))</f>
        <v/>
      </c>
      <c r="O197">
        <f>IF($A197="","",IFERROR(INDEX('[AQ_2023.xlsx]原始数据'!$D:$D,MATCH($A197,'[AQ_2023.xlsx]原始数据'!$A:$A,0)),""))</f>
        <v/>
      </c>
      <c r="P197">
        <f>IF($A197="","",IFERROR(INDEX('[AQ_2024.xlsx]原始数据'!$D:$D,MATCH($A197,'[AQ_2024.xlsx]原始数据'!$A:$A,0)),""))</f>
        <v/>
      </c>
      <c r="Q197">
        <f>IF($A197="","",IFERROR(INDEX('[AQ_2020.xlsx]原始数据'!$E:$E,MATCH($A197,'[AQ_2020.xlsx]原始数据'!$A:$A,0)),""))</f>
        <v/>
      </c>
      <c r="R197">
        <f>IF($A197="","",IFERROR(INDEX('[AQ_2021.xlsx]原始数据'!$E:$E,MATCH($A197,'[AQ_2021.xlsx]原始数据'!$A:$A,0)),""))</f>
        <v/>
      </c>
      <c r="S197">
        <f>IF($A197="","",IFERROR(INDEX('[AQ_2022.xlsx]原始数据'!$E:$E,MATCH($A197,'[AQ_2022.xlsx]原始数据'!$A:$A,0)),""))</f>
        <v/>
      </c>
      <c r="T197">
        <f>IF($A197="","",IFERROR(INDEX('[AQ_2023.xlsx]原始数据'!$E:$E,MATCH($A197,'[AQ_2023.xlsx]原始数据'!$A:$A,0)),""))</f>
        <v/>
      </c>
      <c r="U197">
        <f>IF($A197="","",IFERROR(INDEX('[AQ_2024.xlsx]原始数据'!$E:$E,MATCH($A197,'[AQ_2024.xlsx]原始数据'!$A:$A,0)),""))</f>
        <v/>
      </c>
      <c r="V197">
        <f>IF($A197="","",IFERROR(INDEX('[AQ_2020.xlsx]原始数据'!$F:$F,MATCH($A197,'[AQ_2020.xlsx]原始数据'!$A:$A,0)),""))</f>
        <v/>
      </c>
      <c r="W197">
        <f>IF($A197="","",IFERROR(INDEX('[AQ_2021.xlsx]原始数据'!$F:$F,MATCH($A197,'[AQ_2021.xlsx]原始数据'!$A:$A,0)),""))</f>
        <v/>
      </c>
      <c r="X197">
        <f>IF($A197="","",IFERROR(INDEX('[AQ_2022.xlsx]原始数据'!$F:$F,MATCH($A197,'[AQ_2022.xlsx]原始数据'!$A:$A,0)),""))</f>
        <v/>
      </c>
      <c r="Y197">
        <f>IF($A197="","",IFERROR(INDEX('[AQ_2023.xlsx]原始数据'!$F:$F,MATCH($A197,'[AQ_2023.xlsx]原始数据'!$A:$A,0)),""))</f>
        <v/>
      </c>
      <c r="Z197">
        <f>IF($A197="","",IFERROR(INDEX('[AQ_2024.xlsx]原始数据'!$F:$F,MATCH($A197,'[AQ_2024.xlsx]原始数据'!$A:$A,0)),""))</f>
        <v/>
      </c>
      <c r="AA197" s="2">
        <f>IFERROR(G197/B197,"")</f>
        <v/>
      </c>
      <c r="AB197" s="2">
        <f>IFERROR(H197/C197,"")</f>
        <v/>
      </c>
      <c r="AC197" s="2">
        <f>IFERROR(I197/D197,"")</f>
        <v/>
      </c>
      <c r="AD197" s="2">
        <f>IFERROR(J197/E197,"")</f>
        <v/>
      </c>
      <c r="AE197" s="2">
        <f>IFERROR(K197/F197,"")</f>
        <v/>
      </c>
      <c r="AF197" s="2">
        <f>IFERROR(L197/B197,"")</f>
        <v/>
      </c>
      <c r="AG197" s="2">
        <f>IFERROR(M197/C197,"")</f>
        <v/>
      </c>
      <c r="AH197" s="2">
        <f>IFERROR(N197/D197,"")</f>
        <v/>
      </c>
      <c r="AI197" s="2">
        <f>IFERROR(O197/E197,"")</f>
        <v/>
      </c>
      <c r="AJ197" s="2">
        <f>IFERROR(P197/F197,"")</f>
        <v/>
      </c>
      <c r="AK197" s="2">
        <f>IFERROR(Q197/B197,"")</f>
        <v/>
      </c>
      <c r="AL197" s="2">
        <f>IFERROR(R197/C197,"")</f>
        <v/>
      </c>
      <c r="AM197" s="2">
        <f>IFERROR(S197/D197,"")</f>
        <v/>
      </c>
      <c r="AN197" s="2">
        <f>IFERROR(T197/E197,"")</f>
        <v/>
      </c>
      <c r="AO197" s="2">
        <f>IFERROR(U197/F197,"")</f>
        <v/>
      </c>
    </row>
    <row r="198">
      <c r="B198">
        <f>IF($A198="","",IFERROR(INDEX('[AQ_2020.xlsx]原始数据'!$B:$B,MATCH($A198,'[AQ_2020.xlsx]原始数据'!$A:$A,0)),""))</f>
        <v/>
      </c>
      <c r="C198">
        <f>IF($A198="","",IFERROR(INDEX('[AQ_2021.xlsx]原始数据'!$B:$B,MATCH($A198,'[AQ_2021.xlsx]原始数据'!$A:$A,0)),""))</f>
        <v/>
      </c>
      <c r="D198">
        <f>IF($A198="","",IFERROR(INDEX('[AQ_2022.xlsx]原始数据'!$B:$B,MATCH($A198,'[AQ_2022.xlsx]原始数据'!$A:$A,0)),""))</f>
        <v/>
      </c>
      <c r="E198">
        <f>IF($A198="","",IFERROR(INDEX('[AQ_2023.xlsx]原始数据'!$B:$B,MATCH($A198,'[AQ_2023.xlsx]原始数据'!$A:$A,0)),""))</f>
        <v/>
      </c>
      <c r="F198">
        <f>IF($A198="","",IFERROR(INDEX('[AQ_2024.xlsx]原始数据'!$B:$B,MATCH($A198,'[AQ_2024.xlsx]原始数据'!$A:$A,0)),""))</f>
        <v/>
      </c>
      <c r="G198">
        <f>IF($A198="","",IFERROR(INDEX('[AQ_2020.xlsx]原始数据'!$C:$C,MATCH($A198,'[AQ_2020.xlsx]原始数据'!$A:$A,0)),""))</f>
        <v/>
      </c>
      <c r="H198">
        <f>IF($A198="","",IFERROR(INDEX('[AQ_2021.xlsx]原始数据'!$C:$C,MATCH($A198,'[AQ_2021.xlsx]原始数据'!$A:$A,0)),""))</f>
        <v/>
      </c>
      <c r="I198">
        <f>IF($A198="","",IFERROR(INDEX('[AQ_2022.xlsx]原始数据'!$C:$C,MATCH($A198,'[AQ_2022.xlsx]原始数据'!$A:$A,0)),""))</f>
        <v/>
      </c>
      <c r="J198">
        <f>IF($A198="","",IFERROR(INDEX('[AQ_2023.xlsx]原始数据'!$C:$C,MATCH($A198,'[AQ_2023.xlsx]原始数据'!$A:$A,0)),""))</f>
        <v/>
      </c>
      <c r="K198">
        <f>IF($A198="","",IFERROR(INDEX('[AQ_2024.xlsx]原始数据'!$C:$C,MATCH($A198,'[AQ_2024.xlsx]原始数据'!$A:$A,0)),""))</f>
        <v/>
      </c>
      <c r="L198">
        <f>IF($A198="","",IFERROR(INDEX('[AQ_2020.xlsx]原始数据'!$D:$D,MATCH($A198,'[AQ_2020.xlsx]原始数据'!$A:$A,0)),""))</f>
        <v/>
      </c>
      <c r="M198">
        <f>IF($A198="","",IFERROR(INDEX('[AQ_2021.xlsx]原始数据'!$D:$D,MATCH($A198,'[AQ_2021.xlsx]原始数据'!$A:$A,0)),""))</f>
        <v/>
      </c>
      <c r="N198">
        <f>IF($A198="","",IFERROR(INDEX('[AQ_2022.xlsx]原始数据'!$D:$D,MATCH($A198,'[AQ_2022.xlsx]原始数据'!$A:$A,0)),""))</f>
        <v/>
      </c>
      <c r="O198">
        <f>IF($A198="","",IFERROR(INDEX('[AQ_2023.xlsx]原始数据'!$D:$D,MATCH($A198,'[AQ_2023.xlsx]原始数据'!$A:$A,0)),""))</f>
        <v/>
      </c>
      <c r="P198">
        <f>IF($A198="","",IFERROR(INDEX('[AQ_2024.xlsx]原始数据'!$D:$D,MATCH($A198,'[AQ_2024.xlsx]原始数据'!$A:$A,0)),""))</f>
        <v/>
      </c>
      <c r="Q198">
        <f>IF($A198="","",IFERROR(INDEX('[AQ_2020.xlsx]原始数据'!$E:$E,MATCH($A198,'[AQ_2020.xlsx]原始数据'!$A:$A,0)),""))</f>
        <v/>
      </c>
      <c r="R198">
        <f>IF($A198="","",IFERROR(INDEX('[AQ_2021.xlsx]原始数据'!$E:$E,MATCH($A198,'[AQ_2021.xlsx]原始数据'!$A:$A,0)),""))</f>
        <v/>
      </c>
      <c r="S198">
        <f>IF($A198="","",IFERROR(INDEX('[AQ_2022.xlsx]原始数据'!$E:$E,MATCH($A198,'[AQ_2022.xlsx]原始数据'!$A:$A,0)),""))</f>
        <v/>
      </c>
      <c r="T198">
        <f>IF($A198="","",IFERROR(INDEX('[AQ_2023.xlsx]原始数据'!$E:$E,MATCH($A198,'[AQ_2023.xlsx]原始数据'!$A:$A,0)),""))</f>
        <v/>
      </c>
      <c r="U198">
        <f>IF($A198="","",IFERROR(INDEX('[AQ_2024.xlsx]原始数据'!$E:$E,MATCH($A198,'[AQ_2024.xlsx]原始数据'!$A:$A,0)),""))</f>
        <v/>
      </c>
      <c r="V198">
        <f>IF($A198="","",IFERROR(INDEX('[AQ_2020.xlsx]原始数据'!$F:$F,MATCH($A198,'[AQ_2020.xlsx]原始数据'!$A:$A,0)),""))</f>
        <v/>
      </c>
      <c r="W198">
        <f>IF($A198="","",IFERROR(INDEX('[AQ_2021.xlsx]原始数据'!$F:$F,MATCH($A198,'[AQ_2021.xlsx]原始数据'!$A:$A,0)),""))</f>
        <v/>
      </c>
      <c r="X198">
        <f>IF($A198="","",IFERROR(INDEX('[AQ_2022.xlsx]原始数据'!$F:$F,MATCH($A198,'[AQ_2022.xlsx]原始数据'!$A:$A,0)),""))</f>
        <v/>
      </c>
      <c r="Y198">
        <f>IF($A198="","",IFERROR(INDEX('[AQ_2023.xlsx]原始数据'!$F:$F,MATCH($A198,'[AQ_2023.xlsx]原始数据'!$A:$A,0)),""))</f>
        <v/>
      </c>
      <c r="Z198">
        <f>IF($A198="","",IFERROR(INDEX('[AQ_2024.xlsx]原始数据'!$F:$F,MATCH($A198,'[AQ_2024.xlsx]原始数据'!$A:$A,0)),""))</f>
        <v/>
      </c>
      <c r="AA198" s="2">
        <f>IFERROR(G198/B198,"")</f>
        <v/>
      </c>
      <c r="AB198" s="2">
        <f>IFERROR(H198/C198,"")</f>
        <v/>
      </c>
      <c r="AC198" s="2">
        <f>IFERROR(I198/D198,"")</f>
        <v/>
      </c>
      <c r="AD198" s="2">
        <f>IFERROR(J198/E198,"")</f>
        <v/>
      </c>
      <c r="AE198" s="2">
        <f>IFERROR(K198/F198,"")</f>
        <v/>
      </c>
      <c r="AF198" s="2">
        <f>IFERROR(L198/B198,"")</f>
        <v/>
      </c>
      <c r="AG198" s="2">
        <f>IFERROR(M198/C198,"")</f>
        <v/>
      </c>
      <c r="AH198" s="2">
        <f>IFERROR(N198/D198,"")</f>
        <v/>
      </c>
      <c r="AI198" s="2">
        <f>IFERROR(O198/E198,"")</f>
        <v/>
      </c>
      <c r="AJ198" s="2">
        <f>IFERROR(P198/F198,"")</f>
        <v/>
      </c>
      <c r="AK198" s="2">
        <f>IFERROR(Q198/B198,"")</f>
        <v/>
      </c>
      <c r="AL198" s="2">
        <f>IFERROR(R198/C198,"")</f>
        <v/>
      </c>
      <c r="AM198" s="2">
        <f>IFERROR(S198/D198,"")</f>
        <v/>
      </c>
      <c r="AN198" s="2">
        <f>IFERROR(T198/E198,"")</f>
        <v/>
      </c>
      <c r="AO198" s="2">
        <f>IFERROR(U198/F198,"")</f>
        <v/>
      </c>
    </row>
    <row r="199">
      <c r="B199">
        <f>IF($A199="","",IFERROR(INDEX('[AQ_2020.xlsx]原始数据'!$B:$B,MATCH($A199,'[AQ_2020.xlsx]原始数据'!$A:$A,0)),""))</f>
        <v/>
      </c>
      <c r="C199">
        <f>IF($A199="","",IFERROR(INDEX('[AQ_2021.xlsx]原始数据'!$B:$B,MATCH($A199,'[AQ_2021.xlsx]原始数据'!$A:$A,0)),""))</f>
        <v/>
      </c>
      <c r="D199">
        <f>IF($A199="","",IFERROR(INDEX('[AQ_2022.xlsx]原始数据'!$B:$B,MATCH($A199,'[AQ_2022.xlsx]原始数据'!$A:$A,0)),""))</f>
        <v/>
      </c>
      <c r="E199">
        <f>IF($A199="","",IFERROR(INDEX('[AQ_2023.xlsx]原始数据'!$B:$B,MATCH($A199,'[AQ_2023.xlsx]原始数据'!$A:$A,0)),""))</f>
        <v/>
      </c>
      <c r="F199">
        <f>IF($A199="","",IFERROR(INDEX('[AQ_2024.xlsx]原始数据'!$B:$B,MATCH($A199,'[AQ_2024.xlsx]原始数据'!$A:$A,0)),""))</f>
        <v/>
      </c>
      <c r="G199">
        <f>IF($A199="","",IFERROR(INDEX('[AQ_2020.xlsx]原始数据'!$C:$C,MATCH($A199,'[AQ_2020.xlsx]原始数据'!$A:$A,0)),""))</f>
        <v/>
      </c>
      <c r="H199">
        <f>IF($A199="","",IFERROR(INDEX('[AQ_2021.xlsx]原始数据'!$C:$C,MATCH($A199,'[AQ_2021.xlsx]原始数据'!$A:$A,0)),""))</f>
        <v/>
      </c>
      <c r="I199">
        <f>IF($A199="","",IFERROR(INDEX('[AQ_2022.xlsx]原始数据'!$C:$C,MATCH($A199,'[AQ_2022.xlsx]原始数据'!$A:$A,0)),""))</f>
        <v/>
      </c>
      <c r="J199">
        <f>IF($A199="","",IFERROR(INDEX('[AQ_2023.xlsx]原始数据'!$C:$C,MATCH($A199,'[AQ_2023.xlsx]原始数据'!$A:$A,0)),""))</f>
        <v/>
      </c>
      <c r="K199">
        <f>IF($A199="","",IFERROR(INDEX('[AQ_2024.xlsx]原始数据'!$C:$C,MATCH($A199,'[AQ_2024.xlsx]原始数据'!$A:$A,0)),""))</f>
        <v/>
      </c>
      <c r="L199">
        <f>IF($A199="","",IFERROR(INDEX('[AQ_2020.xlsx]原始数据'!$D:$D,MATCH($A199,'[AQ_2020.xlsx]原始数据'!$A:$A,0)),""))</f>
        <v/>
      </c>
      <c r="M199">
        <f>IF($A199="","",IFERROR(INDEX('[AQ_2021.xlsx]原始数据'!$D:$D,MATCH($A199,'[AQ_2021.xlsx]原始数据'!$A:$A,0)),""))</f>
        <v/>
      </c>
      <c r="N199">
        <f>IF($A199="","",IFERROR(INDEX('[AQ_2022.xlsx]原始数据'!$D:$D,MATCH($A199,'[AQ_2022.xlsx]原始数据'!$A:$A,0)),""))</f>
        <v/>
      </c>
      <c r="O199">
        <f>IF($A199="","",IFERROR(INDEX('[AQ_2023.xlsx]原始数据'!$D:$D,MATCH($A199,'[AQ_2023.xlsx]原始数据'!$A:$A,0)),""))</f>
        <v/>
      </c>
      <c r="P199">
        <f>IF($A199="","",IFERROR(INDEX('[AQ_2024.xlsx]原始数据'!$D:$D,MATCH($A199,'[AQ_2024.xlsx]原始数据'!$A:$A,0)),""))</f>
        <v/>
      </c>
      <c r="Q199">
        <f>IF($A199="","",IFERROR(INDEX('[AQ_2020.xlsx]原始数据'!$E:$E,MATCH($A199,'[AQ_2020.xlsx]原始数据'!$A:$A,0)),""))</f>
        <v/>
      </c>
      <c r="R199">
        <f>IF($A199="","",IFERROR(INDEX('[AQ_2021.xlsx]原始数据'!$E:$E,MATCH($A199,'[AQ_2021.xlsx]原始数据'!$A:$A,0)),""))</f>
        <v/>
      </c>
      <c r="S199">
        <f>IF($A199="","",IFERROR(INDEX('[AQ_2022.xlsx]原始数据'!$E:$E,MATCH($A199,'[AQ_2022.xlsx]原始数据'!$A:$A,0)),""))</f>
        <v/>
      </c>
      <c r="T199">
        <f>IF($A199="","",IFERROR(INDEX('[AQ_2023.xlsx]原始数据'!$E:$E,MATCH($A199,'[AQ_2023.xlsx]原始数据'!$A:$A,0)),""))</f>
        <v/>
      </c>
      <c r="U199">
        <f>IF($A199="","",IFERROR(INDEX('[AQ_2024.xlsx]原始数据'!$E:$E,MATCH($A199,'[AQ_2024.xlsx]原始数据'!$A:$A,0)),""))</f>
        <v/>
      </c>
      <c r="V199">
        <f>IF($A199="","",IFERROR(INDEX('[AQ_2020.xlsx]原始数据'!$F:$F,MATCH($A199,'[AQ_2020.xlsx]原始数据'!$A:$A,0)),""))</f>
        <v/>
      </c>
      <c r="W199">
        <f>IF($A199="","",IFERROR(INDEX('[AQ_2021.xlsx]原始数据'!$F:$F,MATCH($A199,'[AQ_2021.xlsx]原始数据'!$A:$A,0)),""))</f>
        <v/>
      </c>
      <c r="X199">
        <f>IF($A199="","",IFERROR(INDEX('[AQ_2022.xlsx]原始数据'!$F:$F,MATCH($A199,'[AQ_2022.xlsx]原始数据'!$A:$A,0)),""))</f>
        <v/>
      </c>
      <c r="Y199">
        <f>IF($A199="","",IFERROR(INDEX('[AQ_2023.xlsx]原始数据'!$F:$F,MATCH($A199,'[AQ_2023.xlsx]原始数据'!$A:$A,0)),""))</f>
        <v/>
      </c>
      <c r="Z199">
        <f>IF($A199="","",IFERROR(INDEX('[AQ_2024.xlsx]原始数据'!$F:$F,MATCH($A199,'[AQ_2024.xlsx]原始数据'!$A:$A,0)),""))</f>
        <v/>
      </c>
      <c r="AA199" s="2">
        <f>IFERROR(G199/B199,"")</f>
        <v/>
      </c>
      <c r="AB199" s="2">
        <f>IFERROR(H199/C199,"")</f>
        <v/>
      </c>
      <c r="AC199" s="2">
        <f>IFERROR(I199/D199,"")</f>
        <v/>
      </c>
      <c r="AD199" s="2">
        <f>IFERROR(J199/E199,"")</f>
        <v/>
      </c>
      <c r="AE199" s="2">
        <f>IFERROR(K199/F199,"")</f>
        <v/>
      </c>
      <c r="AF199" s="2">
        <f>IFERROR(L199/B199,"")</f>
        <v/>
      </c>
      <c r="AG199" s="2">
        <f>IFERROR(M199/C199,"")</f>
        <v/>
      </c>
      <c r="AH199" s="2">
        <f>IFERROR(N199/D199,"")</f>
        <v/>
      </c>
      <c r="AI199" s="2">
        <f>IFERROR(O199/E199,"")</f>
        <v/>
      </c>
      <c r="AJ199" s="2">
        <f>IFERROR(P199/F199,"")</f>
        <v/>
      </c>
      <c r="AK199" s="2">
        <f>IFERROR(Q199/B199,"")</f>
        <v/>
      </c>
      <c r="AL199" s="2">
        <f>IFERROR(R199/C199,"")</f>
        <v/>
      </c>
      <c r="AM199" s="2">
        <f>IFERROR(S199/D199,"")</f>
        <v/>
      </c>
      <c r="AN199" s="2">
        <f>IFERROR(T199/E199,"")</f>
        <v/>
      </c>
      <c r="AO199" s="2">
        <f>IFERROR(U199/F199,"")</f>
        <v/>
      </c>
    </row>
    <row r="200">
      <c r="B200">
        <f>IF($A200="","",IFERROR(INDEX('[AQ_2020.xlsx]原始数据'!$B:$B,MATCH($A200,'[AQ_2020.xlsx]原始数据'!$A:$A,0)),""))</f>
        <v/>
      </c>
      <c r="C200">
        <f>IF($A200="","",IFERROR(INDEX('[AQ_2021.xlsx]原始数据'!$B:$B,MATCH($A200,'[AQ_2021.xlsx]原始数据'!$A:$A,0)),""))</f>
        <v/>
      </c>
      <c r="D200">
        <f>IF($A200="","",IFERROR(INDEX('[AQ_2022.xlsx]原始数据'!$B:$B,MATCH($A200,'[AQ_2022.xlsx]原始数据'!$A:$A,0)),""))</f>
        <v/>
      </c>
      <c r="E200">
        <f>IF($A200="","",IFERROR(INDEX('[AQ_2023.xlsx]原始数据'!$B:$B,MATCH($A200,'[AQ_2023.xlsx]原始数据'!$A:$A,0)),""))</f>
        <v/>
      </c>
      <c r="F200">
        <f>IF($A200="","",IFERROR(INDEX('[AQ_2024.xlsx]原始数据'!$B:$B,MATCH($A200,'[AQ_2024.xlsx]原始数据'!$A:$A,0)),""))</f>
        <v/>
      </c>
      <c r="G200">
        <f>IF($A200="","",IFERROR(INDEX('[AQ_2020.xlsx]原始数据'!$C:$C,MATCH($A200,'[AQ_2020.xlsx]原始数据'!$A:$A,0)),""))</f>
        <v/>
      </c>
      <c r="H200">
        <f>IF($A200="","",IFERROR(INDEX('[AQ_2021.xlsx]原始数据'!$C:$C,MATCH($A200,'[AQ_2021.xlsx]原始数据'!$A:$A,0)),""))</f>
        <v/>
      </c>
      <c r="I200">
        <f>IF($A200="","",IFERROR(INDEX('[AQ_2022.xlsx]原始数据'!$C:$C,MATCH($A200,'[AQ_2022.xlsx]原始数据'!$A:$A,0)),""))</f>
        <v/>
      </c>
      <c r="J200">
        <f>IF($A200="","",IFERROR(INDEX('[AQ_2023.xlsx]原始数据'!$C:$C,MATCH($A200,'[AQ_2023.xlsx]原始数据'!$A:$A,0)),""))</f>
        <v/>
      </c>
      <c r="K200">
        <f>IF($A200="","",IFERROR(INDEX('[AQ_2024.xlsx]原始数据'!$C:$C,MATCH($A200,'[AQ_2024.xlsx]原始数据'!$A:$A,0)),""))</f>
        <v/>
      </c>
      <c r="L200">
        <f>IF($A200="","",IFERROR(INDEX('[AQ_2020.xlsx]原始数据'!$D:$D,MATCH($A200,'[AQ_2020.xlsx]原始数据'!$A:$A,0)),""))</f>
        <v/>
      </c>
      <c r="M200">
        <f>IF($A200="","",IFERROR(INDEX('[AQ_2021.xlsx]原始数据'!$D:$D,MATCH($A200,'[AQ_2021.xlsx]原始数据'!$A:$A,0)),""))</f>
        <v/>
      </c>
      <c r="N200">
        <f>IF($A200="","",IFERROR(INDEX('[AQ_2022.xlsx]原始数据'!$D:$D,MATCH($A200,'[AQ_2022.xlsx]原始数据'!$A:$A,0)),""))</f>
        <v/>
      </c>
      <c r="O200">
        <f>IF($A200="","",IFERROR(INDEX('[AQ_2023.xlsx]原始数据'!$D:$D,MATCH($A200,'[AQ_2023.xlsx]原始数据'!$A:$A,0)),""))</f>
        <v/>
      </c>
      <c r="P200">
        <f>IF($A200="","",IFERROR(INDEX('[AQ_2024.xlsx]原始数据'!$D:$D,MATCH($A200,'[AQ_2024.xlsx]原始数据'!$A:$A,0)),""))</f>
        <v/>
      </c>
      <c r="Q200">
        <f>IF($A200="","",IFERROR(INDEX('[AQ_2020.xlsx]原始数据'!$E:$E,MATCH($A200,'[AQ_2020.xlsx]原始数据'!$A:$A,0)),""))</f>
        <v/>
      </c>
      <c r="R200">
        <f>IF($A200="","",IFERROR(INDEX('[AQ_2021.xlsx]原始数据'!$E:$E,MATCH($A200,'[AQ_2021.xlsx]原始数据'!$A:$A,0)),""))</f>
        <v/>
      </c>
      <c r="S200">
        <f>IF($A200="","",IFERROR(INDEX('[AQ_2022.xlsx]原始数据'!$E:$E,MATCH($A200,'[AQ_2022.xlsx]原始数据'!$A:$A,0)),""))</f>
        <v/>
      </c>
      <c r="T200">
        <f>IF($A200="","",IFERROR(INDEX('[AQ_2023.xlsx]原始数据'!$E:$E,MATCH($A200,'[AQ_2023.xlsx]原始数据'!$A:$A,0)),""))</f>
        <v/>
      </c>
      <c r="U200">
        <f>IF($A200="","",IFERROR(INDEX('[AQ_2024.xlsx]原始数据'!$E:$E,MATCH($A200,'[AQ_2024.xlsx]原始数据'!$A:$A,0)),""))</f>
        <v/>
      </c>
      <c r="V200">
        <f>IF($A200="","",IFERROR(INDEX('[AQ_2020.xlsx]原始数据'!$F:$F,MATCH($A200,'[AQ_2020.xlsx]原始数据'!$A:$A,0)),""))</f>
        <v/>
      </c>
      <c r="W200">
        <f>IF($A200="","",IFERROR(INDEX('[AQ_2021.xlsx]原始数据'!$F:$F,MATCH($A200,'[AQ_2021.xlsx]原始数据'!$A:$A,0)),""))</f>
        <v/>
      </c>
      <c r="X200">
        <f>IF($A200="","",IFERROR(INDEX('[AQ_2022.xlsx]原始数据'!$F:$F,MATCH($A200,'[AQ_2022.xlsx]原始数据'!$A:$A,0)),""))</f>
        <v/>
      </c>
      <c r="Y200">
        <f>IF($A200="","",IFERROR(INDEX('[AQ_2023.xlsx]原始数据'!$F:$F,MATCH($A200,'[AQ_2023.xlsx]原始数据'!$A:$A,0)),""))</f>
        <v/>
      </c>
      <c r="Z200">
        <f>IF($A200="","",IFERROR(INDEX('[AQ_2024.xlsx]原始数据'!$F:$F,MATCH($A200,'[AQ_2024.xlsx]原始数据'!$A:$A,0)),""))</f>
        <v/>
      </c>
      <c r="AA200" s="2">
        <f>IFERROR(G200/B200,"")</f>
        <v/>
      </c>
      <c r="AB200" s="2">
        <f>IFERROR(H200/C200,"")</f>
        <v/>
      </c>
      <c r="AC200" s="2">
        <f>IFERROR(I200/D200,"")</f>
        <v/>
      </c>
      <c r="AD200" s="2">
        <f>IFERROR(J200/E200,"")</f>
        <v/>
      </c>
      <c r="AE200" s="2">
        <f>IFERROR(K200/F200,"")</f>
        <v/>
      </c>
      <c r="AF200" s="2">
        <f>IFERROR(L200/B200,"")</f>
        <v/>
      </c>
      <c r="AG200" s="2">
        <f>IFERROR(M200/C200,"")</f>
        <v/>
      </c>
      <c r="AH200" s="2">
        <f>IFERROR(N200/D200,"")</f>
        <v/>
      </c>
      <c r="AI200" s="2">
        <f>IFERROR(O200/E200,"")</f>
        <v/>
      </c>
      <c r="AJ200" s="2">
        <f>IFERROR(P200/F200,"")</f>
        <v/>
      </c>
      <c r="AK200" s="2">
        <f>IFERROR(Q200/B200,"")</f>
        <v/>
      </c>
      <c r="AL200" s="2">
        <f>IFERROR(R200/C200,"")</f>
        <v/>
      </c>
      <c r="AM200" s="2">
        <f>IFERROR(S200/D200,"")</f>
        <v/>
      </c>
      <c r="AN200" s="2">
        <f>IFERROR(T200/E200,"")</f>
        <v/>
      </c>
      <c r="AO200" s="2">
        <f>IFERROR(U200/F200,"")</f>
        <v/>
      </c>
    </row>
    <row r="201">
      <c r="B201">
        <f>IF($A201="","",IFERROR(INDEX('[AQ_2020.xlsx]原始数据'!$B:$B,MATCH($A201,'[AQ_2020.xlsx]原始数据'!$A:$A,0)),""))</f>
        <v/>
      </c>
      <c r="C201">
        <f>IF($A201="","",IFERROR(INDEX('[AQ_2021.xlsx]原始数据'!$B:$B,MATCH($A201,'[AQ_2021.xlsx]原始数据'!$A:$A,0)),""))</f>
        <v/>
      </c>
      <c r="D201">
        <f>IF($A201="","",IFERROR(INDEX('[AQ_2022.xlsx]原始数据'!$B:$B,MATCH($A201,'[AQ_2022.xlsx]原始数据'!$A:$A,0)),""))</f>
        <v/>
      </c>
      <c r="E201">
        <f>IF($A201="","",IFERROR(INDEX('[AQ_2023.xlsx]原始数据'!$B:$B,MATCH($A201,'[AQ_2023.xlsx]原始数据'!$A:$A,0)),""))</f>
        <v/>
      </c>
      <c r="F201">
        <f>IF($A201="","",IFERROR(INDEX('[AQ_2024.xlsx]原始数据'!$B:$B,MATCH($A201,'[AQ_2024.xlsx]原始数据'!$A:$A,0)),""))</f>
        <v/>
      </c>
      <c r="G201">
        <f>IF($A201="","",IFERROR(INDEX('[AQ_2020.xlsx]原始数据'!$C:$C,MATCH($A201,'[AQ_2020.xlsx]原始数据'!$A:$A,0)),""))</f>
        <v/>
      </c>
      <c r="H201">
        <f>IF($A201="","",IFERROR(INDEX('[AQ_2021.xlsx]原始数据'!$C:$C,MATCH($A201,'[AQ_2021.xlsx]原始数据'!$A:$A,0)),""))</f>
        <v/>
      </c>
      <c r="I201">
        <f>IF($A201="","",IFERROR(INDEX('[AQ_2022.xlsx]原始数据'!$C:$C,MATCH($A201,'[AQ_2022.xlsx]原始数据'!$A:$A,0)),""))</f>
        <v/>
      </c>
      <c r="J201">
        <f>IF($A201="","",IFERROR(INDEX('[AQ_2023.xlsx]原始数据'!$C:$C,MATCH($A201,'[AQ_2023.xlsx]原始数据'!$A:$A,0)),""))</f>
        <v/>
      </c>
      <c r="K201">
        <f>IF($A201="","",IFERROR(INDEX('[AQ_2024.xlsx]原始数据'!$C:$C,MATCH($A201,'[AQ_2024.xlsx]原始数据'!$A:$A,0)),""))</f>
        <v/>
      </c>
      <c r="L201">
        <f>IF($A201="","",IFERROR(INDEX('[AQ_2020.xlsx]原始数据'!$D:$D,MATCH($A201,'[AQ_2020.xlsx]原始数据'!$A:$A,0)),""))</f>
        <v/>
      </c>
      <c r="M201">
        <f>IF($A201="","",IFERROR(INDEX('[AQ_2021.xlsx]原始数据'!$D:$D,MATCH($A201,'[AQ_2021.xlsx]原始数据'!$A:$A,0)),""))</f>
        <v/>
      </c>
      <c r="N201">
        <f>IF($A201="","",IFERROR(INDEX('[AQ_2022.xlsx]原始数据'!$D:$D,MATCH($A201,'[AQ_2022.xlsx]原始数据'!$A:$A,0)),""))</f>
        <v/>
      </c>
      <c r="O201">
        <f>IF($A201="","",IFERROR(INDEX('[AQ_2023.xlsx]原始数据'!$D:$D,MATCH($A201,'[AQ_2023.xlsx]原始数据'!$A:$A,0)),""))</f>
        <v/>
      </c>
      <c r="P201">
        <f>IF($A201="","",IFERROR(INDEX('[AQ_2024.xlsx]原始数据'!$D:$D,MATCH($A201,'[AQ_2024.xlsx]原始数据'!$A:$A,0)),""))</f>
        <v/>
      </c>
      <c r="Q201">
        <f>IF($A201="","",IFERROR(INDEX('[AQ_2020.xlsx]原始数据'!$E:$E,MATCH($A201,'[AQ_2020.xlsx]原始数据'!$A:$A,0)),""))</f>
        <v/>
      </c>
      <c r="R201">
        <f>IF($A201="","",IFERROR(INDEX('[AQ_2021.xlsx]原始数据'!$E:$E,MATCH($A201,'[AQ_2021.xlsx]原始数据'!$A:$A,0)),""))</f>
        <v/>
      </c>
      <c r="S201">
        <f>IF($A201="","",IFERROR(INDEX('[AQ_2022.xlsx]原始数据'!$E:$E,MATCH($A201,'[AQ_2022.xlsx]原始数据'!$A:$A,0)),""))</f>
        <v/>
      </c>
      <c r="T201">
        <f>IF($A201="","",IFERROR(INDEX('[AQ_2023.xlsx]原始数据'!$E:$E,MATCH($A201,'[AQ_2023.xlsx]原始数据'!$A:$A,0)),""))</f>
        <v/>
      </c>
      <c r="U201">
        <f>IF($A201="","",IFERROR(INDEX('[AQ_2024.xlsx]原始数据'!$E:$E,MATCH($A201,'[AQ_2024.xlsx]原始数据'!$A:$A,0)),""))</f>
        <v/>
      </c>
      <c r="V201">
        <f>IF($A201="","",IFERROR(INDEX('[AQ_2020.xlsx]原始数据'!$F:$F,MATCH($A201,'[AQ_2020.xlsx]原始数据'!$A:$A,0)),""))</f>
        <v/>
      </c>
      <c r="W201">
        <f>IF($A201="","",IFERROR(INDEX('[AQ_2021.xlsx]原始数据'!$F:$F,MATCH($A201,'[AQ_2021.xlsx]原始数据'!$A:$A,0)),""))</f>
        <v/>
      </c>
      <c r="X201">
        <f>IF($A201="","",IFERROR(INDEX('[AQ_2022.xlsx]原始数据'!$F:$F,MATCH($A201,'[AQ_2022.xlsx]原始数据'!$A:$A,0)),""))</f>
        <v/>
      </c>
      <c r="Y201">
        <f>IF($A201="","",IFERROR(INDEX('[AQ_2023.xlsx]原始数据'!$F:$F,MATCH($A201,'[AQ_2023.xlsx]原始数据'!$A:$A,0)),""))</f>
        <v/>
      </c>
      <c r="Z201">
        <f>IF($A201="","",IFERROR(INDEX('[AQ_2024.xlsx]原始数据'!$F:$F,MATCH($A201,'[AQ_2024.xlsx]原始数据'!$A:$A,0)),""))</f>
        <v/>
      </c>
      <c r="AA201" s="2">
        <f>IFERROR(G201/B201,"")</f>
        <v/>
      </c>
      <c r="AB201" s="2">
        <f>IFERROR(H201/C201,"")</f>
        <v/>
      </c>
      <c r="AC201" s="2">
        <f>IFERROR(I201/D201,"")</f>
        <v/>
      </c>
      <c r="AD201" s="2">
        <f>IFERROR(J201/E201,"")</f>
        <v/>
      </c>
      <c r="AE201" s="2">
        <f>IFERROR(K201/F201,"")</f>
        <v/>
      </c>
      <c r="AF201" s="2">
        <f>IFERROR(L201/B201,"")</f>
        <v/>
      </c>
      <c r="AG201" s="2">
        <f>IFERROR(M201/C201,"")</f>
        <v/>
      </c>
      <c r="AH201" s="2">
        <f>IFERROR(N201/D201,"")</f>
        <v/>
      </c>
      <c r="AI201" s="2">
        <f>IFERROR(O201/E201,"")</f>
        <v/>
      </c>
      <c r="AJ201" s="2">
        <f>IFERROR(P201/F201,"")</f>
        <v/>
      </c>
      <c r="AK201" s="2">
        <f>IFERROR(Q201/B201,"")</f>
        <v/>
      </c>
      <c r="AL201" s="2">
        <f>IFERROR(R201/C201,"")</f>
        <v/>
      </c>
      <c r="AM201" s="2">
        <f>IFERROR(S201/D201,"")</f>
        <v/>
      </c>
      <c r="AN201" s="2">
        <f>IFERROR(T201/E201,"")</f>
        <v/>
      </c>
      <c r="AO201" s="2">
        <f>IFERROR(U201/F201,"")</f>
        <v/>
      </c>
    </row>
    <row r="202">
      <c r="B202">
        <f>IF($A202="","",IFERROR(INDEX('[AQ_2020.xlsx]原始数据'!$B:$B,MATCH($A202,'[AQ_2020.xlsx]原始数据'!$A:$A,0)),""))</f>
        <v/>
      </c>
      <c r="C202">
        <f>IF($A202="","",IFERROR(INDEX('[AQ_2021.xlsx]原始数据'!$B:$B,MATCH($A202,'[AQ_2021.xlsx]原始数据'!$A:$A,0)),""))</f>
        <v/>
      </c>
      <c r="D202">
        <f>IF($A202="","",IFERROR(INDEX('[AQ_2022.xlsx]原始数据'!$B:$B,MATCH($A202,'[AQ_2022.xlsx]原始数据'!$A:$A,0)),""))</f>
        <v/>
      </c>
      <c r="E202">
        <f>IF($A202="","",IFERROR(INDEX('[AQ_2023.xlsx]原始数据'!$B:$B,MATCH($A202,'[AQ_2023.xlsx]原始数据'!$A:$A,0)),""))</f>
        <v/>
      </c>
      <c r="F202">
        <f>IF($A202="","",IFERROR(INDEX('[AQ_2024.xlsx]原始数据'!$B:$B,MATCH($A202,'[AQ_2024.xlsx]原始数据'!$A:$A,0)),""))</f>
        <v/>
      </c>
      <c r="G202">
        <f>IF($A202="","",IFERROR(INDEX('[AQ_2020.xlsx]原始数据'!$C:$C,MATCH($A202,'[AQ_2020.xlsx]原始数据'!$A:$A,0)),""))</f>
        <v/>
      </c>
      <c r="H202">
        <f>IF($A202="","",IFERROR(INDEX('[AQ_2021.xlsx]原始数据'!$C:$C,MATCH($A202,'[AQ_2021.xlsx]原始数据'!$A:$A,0)),""))</f>
        <v/>
      </c>
      <c r="I202">
        <f>IF($A202="","",IFERROR(INDEX('[AQ_2022.xlsx]原始数据'!$C:$C,MATCH($A202,'[AQ_2022.xlsx]原始数据'!$A:$A,0)),""))</f>
        <v/>
      </c>
      <c r="J202">
        <f>IF($A202="","",IFERROR(INDEX('[AQ_2023.xlsx]原始数据'!$C:$C,MATCH($A202,'[AQ_2023.xlsx]原始数据'!$A:$A,0)),""))</f>
        <v/>
      </c>
      <c r="K202">
        <f>IF($A202="","",IFERROR(INDEX('[AQ_2024.xlsx]原始数据'!$C:$C,MATCH($A202,'[AQ_2024.xlsx]原始数据'!$A:$A,0)),""))</f>
        <v/>
      </c>
      <c r="L202">
        <f>IF($A202="","",IFERROR(INDEX('[AQ_2020.xlsx]原始数据'!$D:$D,MATCH($A202,'[AQ_2020.xlsx]原始数据'!$A:$A,0)),""))</f>
        <v/>
      </c>
      <c r="M202">
        <f>IF($A202="","",IFERROR(INDEX('[AQ_2021.xlsx]原始数据'!$D:$D,MATCH($A202,'[AQ_2021.xlsx]原始数据'!$A:$A,0)),""))</f>
        <v/>
      </c>
      <c r="N202">
        <f>IF($A202="","",IFERROR(INDEX('[AQ_2022.xlsx]原始数据'!$D:$D,MATCH($A202,'[AQ_2022.xlsx]原始数据'!$A:$A,0)),""))</f>
        <v/>
      </c>
      <c r="O202">
        <f>IF($A202="","",IFERROR(INDEX('[AQ_2023.xlsx]原始数据'!$D:$D,MATCH($A202,'[AQ_2023.xlsx]原始数据'!$A:$A,0)),""))</f>
        <v/>
      </c>
      <c r="P202">
        <f>IF($A202="","",IFERROR(INDEX('[AQ_2024.xlsx]原始数据'!$D:$D,MATCH($A202,'[AQ_2024.xlsx]原始数据'!$A:$A,0)),""))</f>
        <v/>
      </c>
      <c r="Q202">
        <f>IF($A202="","",IFERROR(INDEX('[AQ_2020.xlsx]原始数据'!$E:$E,MATCH($A202,'[AQ_2020.xlsx]原始数据'!$A:$A,0)),""))</f>
        <v/>
      </c>
      <c r="R202">
        <f>IF($A202="","",IFERROR(INDEX('[AQ_2021.xlsx]原始数据'!$E:$E,MATCH($A202,'[AQ_2021.xlsx]原始数据'!$A:$A,0)),""))</f>
        <v/>
      </c>
      <c r="S202">
        <f>IF($A202="","",IFERROR(INDEX('[AQ_2022.xlsx]原始数据'!$E:$E,MATCH($A202,'[AQ_2022.xlsx]原始数据'!$A:$A,0)),""))</f>
        <v/>
      </c>
      <c r="T202">
        <f>IF($A202="","",IFERROR(INDEX('[AQ_2023.xlsx]原始数据'!$E:$E,MATCH($A202,'[AQ_2023.xlsx]原始数据'!$A:$A,0)),""))</f>
        <v/>
      </c>
      <c r="U202">
        <f>IF($A202="","",IFERROR(INDEX('[AQ_2024.xlsx]原始数据'!$E:$E,MATCH($A202,'[AQ_2024.xlsx]原始数据'!$A:$A,0)),""))</f>
        <v/>
      </c>
      <c r="V202">
        <f>IF($A202="","",IFERROR(INDEX('[AQ_2020.xlsx]原始数据'!$F:$F,MATCH($A202,'[AQ_2020.xlsx]原始数据'!$A:$A,0)),""))</f>
        <v/>
      </c>
      <c r="W202">
        <f>IF($A202="","",IFERROR(INDEX('[AQ_2021.xlsx]原始数据'!$F:$F,MATCH($A202,'[AQ_2021.xlsx]原始数据'!$A:$A,0)),""))</f>
        <v/>
      </c>
      <c r="X202">
        <f>IF($A202="","",IFERROR(INDEX('[AQ_2022.xlsx]原始数据'!$F:$F,MATCH($A202,'[AQ_2022.xlsx]原始数据'!$A:$A,0)),""))</f>
        <v/>
      </c>
      <c r="Y202">
        <f>IF($A202="","",IFERROR(INDEX('[AQ_2023.xlsx]原始数据'!$F:$F,MATCH($A202,'[AQ_2023.xlsx]原始数据'!$A:$A,0)),""))</f>
        <v/>
      </c>
      <c r="Z202">
        <f>IF($A202="","",IFERROR(INDEX('[AQ_2024.xlsx]原始数据'!$F:$F,MATCH($A202,'[AQ_2024.xlsx]原始数据'!$A:$A,0)),""))</f>
        <v/>
      </c>
      <c r="AA202" s="2">
        <f>IFERROR(G202/B202,"")</f>
        <v/>
      </c>
      <c r="AB202" s="2">
        <f>IFERROR(H202/C202,"")</f>
        <v/>
      </c>
      <c r="AC202" s="2">
        <f>IFERROR(I202/D202,"")</f>
        <v/>
      </c>
      <c r="AD202" s="2">
        <f>IFERROR(J202/E202,"")</f>
        <v/>
      </c>
      <c r="AE202" s="2">
        <f>IFERROR(K202/F202,"")</f>
        <v/>
      </c>
      <c r="AF202" s="2">
        <f>IFERROR(L202/B202,"")</f>
        <v/>
      </c>
      <c r="AG202" s="2">
        <f>IFERROR(M202/C202,"")</f>
        <v/>
      </c>
      <c r="AH202" s="2">
        <f>IFERROR(N202/D202,"")</f>
        <v/>
      </c>
      <c r="AI202" s="2">
        <f>IFERROR(O202/E202,"")</f>
        <v/>
      </c>
      <c r="AJ202" s="2">
        <f>IFERROR(P202/F202,"")</f>
        <v/>
      </c>
      <c r="AK202" s="2">
        <f>IFERROR(Q202/B202,"")</f>
        <v/>
      </c>
      <c r="AL202" s="2">
        <f>IFERROR(R202/C202,"")</f>
        <v/>
      </c>
      <c r="AM202" s="2">
        <f>IFERROR(S202/D202,"")</f>
        <v/>
      </c>
      <c r="AN202" s="2">
        <f>IFERROR(T202/E202,"")</f>
        <v/>
      </c>
      <c r="AO202" s="2">
        <f>IFERROR(U202/F202,"")</f>
        <v/>
      </c>
    </row>
    <row r="203">
      <c r="B203">
        <f>IF($A203="","",IFERROR(INDEX('[AQ_2020.xlsx]原始数据'!$B:$B,MATCH($A203,'[AQ_2020.xlsx]原始数据'!$A:$A,0)),""))</f>
        <v/>
      </c>
      <c r="C203">
        <f>IF($A203="","",IFERROR(INDEX('[AQ_2021.xlsx]原始数据'!$B:$B,MATCH($A203,'[AQ_2021.xlsx]原始数据'!$A:$A,0)),""))</f>
        <v/>
      </c>
      <c r="D203">
        <f>IF($A203="","",IFERROR(INDEX('[AQ_2022.xlsx]原始数据'!$B:$B,MATCH($A203,'[AQ_2022.xlsx]原始数据'!$A:$A,0)),""))</f>
        <v/>
      </c>
      <c r="E203">
        <f>IF($A203="","",IFERROR(INDEX('[AQ_2023.xlsx]原始数据'!$B:$B,MATCH($A203,'[AQ_2023.xlsx]原始数据'!$A:$A,0)),""))</f>
        <v/>
      </c>
      <c r="F203">
        <f>IF($A203="","",IFERROR(INDEX('[AQ_2024.xlsx]原始数据'!$B:$B,MATCH($A203,'[AQ_2024.xlsx]原始数据'!$A:$A,0)),""))</f>
        <v/>
      </c>
      <c r="G203">
        <f>IF($A203="","",IFERROR(INDEX('[AQ_2020.xlsx]原始数据'!$C:$C,MATCH($A203,'[AQ_2020.xlsx]原始数据'!$A:$A,0)),""))</f>
        <v/>
      </c>
      <c r="H203">
        <f>IF($A203="","",IFERROR(INDEX('[AQ_2021.xlsx]原始数据'!$C:$C,MATCH($A203,'[AQ_2021.xlsx]原始数据'!$A:$A,0)),""))</f>
        <v/>
      </c>
      <c r="I203">
        <f>IF($A203="","",IFERROR(INDEX('[AQ_2022.xlsx]原始数据'!$C:$C,MATCH($A203,'[AQ_2022.xlsx]原始数据'!$A:$A,0)),""))</f>
        <v/>
      </c>
      <c r="J203">
        <f>IF($A203="","",IFERROR(INDEX('[AQ_2023.xlsx]原始数据'!$C:$C,MATCH($A203,'[AQ_2023.xlsx]原始数据'!$A:$A,0)),""))</f>
        <v/>
      </c>
      <c r="K203">
        <f>IF($A203="","",IFERROR(INDEX('[AQ_2024.xlsx]原始数据'!$C:$C,MATCH($A203,'[AQ_2024.xlsx]原始数据'!$A:$A,0)),""))</f>
        <v/>
      </c>
      <c r="L203">
        <f>IF($A203="","",IFERROR(INDEX('[AQ_2020.xlsx]原始数据'!$D:$D,MATCH($A203,'[AQ_2020.xlsx]原始数据'!$A:$A,0)),""))</f>
        <v/>
      </c>
      <c r="M203">
        <f>IF($A203="","",IFERROR(INDEX('[AQ_2021.xlsx]原始数据'!$D:$D,MATCH($A203,'[AQ_2021.xlsx]原始数据'!$A:$A,0)),""))</f>
        <v/>
      </c>
      <c r="N203">
        <f>IF($A203="","",IFERROR(INDEX('[AQ_2022.xlsx]原始数据'!$D:$D,MATCH($A203,'[AQ_2022.xlsx]原始数据'!$A:$A,0)),""))</f>
        <v/>
      </c>
      <c r="O203">
        <f>IF($A203="","",IFERROR(INDEX('[AQ_2023.xlsx]原始数据'!$D:$D,MATCH($A203,'[AQ_2023.xlsx]原始数据'!$A:$A,0)),""))</f>
        <v/>
      </c>
      <c r="P203">
        <f>IF($A203="","",IFERROR(INDEX('[AQ_2024.xlsx]原始数据'!$D:$D,MATCH($A203,'[AQ_2024.xlsx]原始数据'!$A:$A,0)),""))</f>
        <v/>
      </c>
      <c r="Q203">
        <f>IF($A203="","",IFERROR(INDEX('[AQ_2020.xlsx]原始数据'!$E:$E,MATCH($A203,'[AQ_2020.xlsx]原始数据'!$A:$A,0)),""))</f>
        <v/>
      </c>
      <c r="R203">
        <f>IF($A203="","",IFERROR(INDEX('[AQ_2021.xlsx]原始数据'!$E:$E,MATCH($A203,'[AQ_2021.xlsx]原始数据'!$A:$A,0)),""))</f>
        <v/>
      </c>
      <c r="S203">
        <f>IF($A203="","",IFERROR(INDEX('[AQ_2022.xlsx]原始数据'!$E:$E,MATCH($A203,'[AQ_2022.xlsx]原始数据'!$A:$A,0)),""))</f>
        <v/>
      </c>
      <c r="T203">
        <f>IF($A203="","",IFERROR(INDEX('[AQ_2023.xlsx]原始数据'!$E:$E,MATCH($A203,'[AQ_2023.xlsx]原始数据'!$A:$A,0)),""))</f>
        <v/>
      </c>
      <c r="U203">
        <f>IF($A203="","",IFERROR(INDEX('[AQ_2024.xlsx]原始数据'!$E:$E,MATCH($A203,'[AQ_2024.xlsx]原始数据'!$A:$A,0)),""))</f>
        <v/>
      </c>
      <c r="V203">
        <f>IF($A203="","",IFERROR(INDEX('[AQ_2020.xlsx]原始数据'!$F:$F,MATCH($A203,'[AQ_2020.xlsx]原始数据'!$A:$A,0)),""))</f>
        <v/>
      </c>
      <c r="W203">
        <f>IF($A203="","",IFERROR(INDEX('[AQ_2021.xlsx]原始数据'!$F:$F,MATCH($A203,'[AQ_2021.xlsx]原始数据'!$A:$A,0)),""))</f>
        <v/>
      </c>
      <c r="X203">
        <f>IF($A203="","",IFERROR(INDEX('[AQ_2022.xlsx]原始数据'!$F:$F,MATCH($A203,'[AQ_2022.xlsx]原始数据'!$A:$A,0)),""))</f>
        <v/>
      </c>
      <c r="Y203">
        <f>IF($A203="","",IFERROR(INDEX('[AQ_2023.xlsx]原始数据'!$F:$F,MATCH($A203,'[AQ_2023.xlsx]原始数据'!$A:$A,0)),""))</f>
        <v/>
      </c>
      <c r="Z203">
        <f>IF($A203="","",IFERROR(INDEX('[AQ_2024.xlsx]原始数据'!$F:$F,MATCH($A203,'[AQ_2024.xlsx]原始数据'!$A:$A,0)),""))</f>
        <v/>
      </c>
      <c r="AA203" s="2">
        <f>IFERROR(G203/B203,"")</f>
        <v/>
      </c>
      <c r="AB203" s="2">
        <f>IFERROR(H203/C203,"")</f>
        <v/>
      </c>
      <c r="AC203" s="2">
        <f>IFERROR(I203/D203,"")</f>
        <v/>
      </c>
      <c r="AD203" s="2">
        <f>IFERROR(J203/E203,"")</f>
        <v/>
      </c>
      <c r="AE203" s="2">
        <f>IFERROR(K203/F203,"")</f>
        <v/>
      </c>
      <c r="AF203" s="2">
        <f>IFERROR(L203/B203,"")</f>
        <v/>
      </c>
      <c r="AG203" s="2">
        <f>IFERROR(M203/C203,"")</f>
        <v/>
      </c>
      <c r="AH203" s="2">
        <f>IFERROR(N203/D203,"")</f>
        <v/>
      </c>
      <c r="AI203" s="2">
        <f>IFERROR(O203/E203,"")</f>
        <v/>
      </c>
      <c r="AJ203" s="2">
        <f>IFERROR(P203/F203,"")</f>
        <v/>
      </c>
      <c r="AK203" s="2">
        <f>IFERROR(Q203/B203,"")</f>
        <v/>
      </c>
      <c r="AL203" s="2">
        <f>IFERROR(R203/C203,"")</f>
        <v/>
      </c>
      <c r="AM203" s="2">
        <f>IFERROR(S203/D203,"")</f>
        <v/>
      </c>
      <c r="AN203" s="2">
        <f>IFERROR(T203/E203,"")</f>
        <v/>
      </c>
      <c r="AO203" s="2">
        <f>IFERROR(U203/F203,"")</f>
        <v/>
      </c>
    </row>
    <row r="204">
      <c r="B204">
        <f>IF($A204="","",IFERROR(INDEX('[AQ_2020.xlsx]原始数据'!$B:$B,MATCH($A204,'[AQ_2020.xlsx]原始数据'!$A:$A,0)),""))</f>
        <v/>
      </c>
      <c r="C204">
        <f>IF($A204="","",IFERROR(INDEX('[AQ_2021.xlsx]原始数据'!$B:$B,MATCH($A204,'[AQ_2021.xlsx]原始数据'!$A:$A,0)),""))</f>
        <v/>
      </c>
      <c r="D204">
        <f>IF($A204="","",IFERROR(INDEX('[AQ_2022.xlsx]原始数据'!$B:$B,MATCH($A204,'[AQ_2022.xlsx]原始数据'!$A:$A,0)),""))</f>
        <v/>
      </c>
      <c r="E204">
        <f>IF($A204="","",IFERROR(INDEX('[AQ_2023.xlsx]原始数据'!$B:$B,MATCH($A204,'[AQ_2023.xlsx]原始数据'!$A:$A,0)),""))</f>
        <v/>
      </c>
      <c r="F204">
        <f>IF($A204="","",IFERROR(INDEX('[AQ_2024.xlsx]原始数据'!$B:$B,MATCH($A204,'[AQ_2024.xlsx]原始数据'!$A:$A,0)),""))</f>
        <v/>
      </c>
      <c r="G204">
        <f>IF($A204="","",IFERROR(INDEX('[AQ_2020.xlsx]原始数据'!$C:$C,MATCH($A204,'[AQ_2020.xlsx]原始数据'!$A:$A,0)),""))</f>
        <v/>
      </c>
      <c r="H204">
        <f>IF($A204="","",IFERROR(INDEX('[AQ_2021.xlsx]原始数据'!$C:$C,MATCH($A204,'[AQ_2021.xlsx]原始数据'!$A:$A,0)),""))</f>
        <v/>
      </c>
      <c r="I204">
        <f>IF($A204="","",IFERROR(INDEX('[AQ_2022.xlsx]原始数据'!$C:$C,MATCH($A204,'[AQ_2022.xlsx]原始数据'!$A:$A,0)),""))</f>
        <v/>
      </c>
      <c r="J204">
        <f>IF($A204="","",IFERROR(INDEX('[AQ_2023.xlsx]原始数据'!$C:$C,MATCH($A204,'[AQ_2023.xlsx]原始数据'!$A:$A,0)),""))</f>
        <v/>
      </c>
      <c r="K204">
        <f>IF($A204="","",IFERROR(INDEX('[AQ_2024.xlsx]原始数据'!$C:$C,MATCH($A204,'[AQ_2024.xlsx]原始数据'!$A:$A,0)),""))</f>
        <v/>
      </c>
      <c r="L204">
        <f>IF($A204="","",IFERROR(INDEX('[AQ_2020.xlsx]原始数据'!$D:$D,MATCH($A204,'[AQ_2020.xlsx]原始数据'!$A:$A,0)),""))</f>
        <v/>
      </c>
      <c r="M204">
        <f>IF($A204="","",IFERROR(INDEX('[AQ_2021.xlsx]原始数据'!$D:$D,MATCH($A204,'[AQ_2021.xlsx]原始数据'!$A:$A,0)),""))</f>
        <v/>
      </c>
      <c r="N204">
        <f>IF($A204="","",IFERROR(INDEX('[AQ_2022.xlsx]原始数据'!$D:$D,MATCH($A204,'[AQ_2022.xlsx]原始数据'!$A:$A,0)),""))</f>
        <v/>
      </c>
      <c r="O204">
        <f>IF($A204="","",IFERROR(INDEX('[AQ_2023.xlsx]原始数据'!$D:$D,MATCH($A204,'[AQ_2023.xlsx]原始数据'!$A:$A,0)),""))</f>
        <v/>
      </c>
      <c r="P204">
        <f>IF($A204="","",IFERROR(INDEX('[AQ_2024.xlsx]原始数据'!$D:$D,MATCH($A204,'[AQ_2024.xlsx]原始数据'!$A:$A,0)),""))</f>
        <v/>
      </c>
      <c r="Q204">
        <f>IF($A204="","",IFERROR(INDEX('[AQ_2020.xlsx]原始数据'!$E:$E,MATCH($A204,'[AQ_2020.xlsx]原始数据'!$A:$A,0)),""))</f>
        <v/>
      </c>
      <c r="R204">
        <f>IF($A204="","",IFERROR(INDEX('[AQ_2021.xlsx]原始数据'!$E:$E,MATCH($A204,'[AQ_2021.xlsx]原始数据'!$A:$A,0)),""))</f>
        <v/>
      </c>
      <c r="S204">
        <f>IF($A204="","",IFERROR(INDEX('[AQ_2022.xlsx]原始数据'!$E:$E,MATCH($A204,'[AQ_2022.xlsx]原始数据'!$A:$A,0)),""))</f>
        <v/>
      </c>
      <c r="T204">
        <f>IF($A204="","",IFERROR(INDEX('[AQ_2023.xlsx]原始数据'!$E:$E,MATCH($A204,'[AQ_2023.xlsx]原始数据'!$A:$A,0)),""))</f>
        <v/>
      </c>
      <c r="U204">
        <f>IF($A204="","",IFERROR(INDEX('[AQ_2024.xlsx]原始数据'!$E:$E,MATCH($A204,'[AQ_2024.xlsx]原始数据'!$A:$A,0)),""))</f>
        <v/>
      </c>
      <c r="V204">
        <f>IF($A204="","",IFERROR(INDEX('[AQ_2020.xlsx]原始数据'!$F:$F,MATCH($A204,'[AQ_2020.xlsx]原始数据'!$A:$A,0)),""))</f>
        <v/>
      </c>
      <c r="W204">
        <f>IF($A204="","",IFERROR(INDEX('[AQ_2021.xlsx]原始数据'!$F:$F,MATCH($A204,'[AQ_2021.xlsx]原始数据'!$A:$A,0)),""))</f>
        <v/>
      </c>
      <c r="X204">
        <f>IF($A204="","",IFERROR(INDEX('[AQ_2022.xlsx]原始数据'!$F:$F,MATCH($A204,'[AQ_2022.xlsx]原始数据'!$A:$A,0)),""))</f>
        <v/>
      </c>
      <c r="Y204">
        <f>IF($A204="","",IFERROR(INDEX('[AQ_2023.xlsx]原始数据'!$F:$F,MATCH($A204,'[AQ_2023.xlsx]原始数据'!$A:$A,0)),""))</f>
        <v/>
      </c>
      <c r="Z204">
        <f>IF($A204="","",IFERROR(INDEX('[AQ_2024.xlsx]原始数据'!$F:$F,MATCH($A204,'[AQ_2024.xlsx]原始数据'!$A:$A,0)),""))</f>
        <v/>
      </c>
      <c r="AA204" s="2">
        <f>IFERROR(G204/B204,"")</f>
        <v/>
      </c>
      <c r="AB204" s="2">
        <f>IFERROR(H204/C204,"")</f>
        <v/>
      </c>
      <c r="AC204" s="2">
        <f>IFERROR(I204/D204,"")</f>
        <v/>
      </c>
      <c r="AD204" s="2">
        <f>IFERROR(J204/E204,"")</f>
        <v/>
      </c>
      <c r="AE204" s="2">
        <f>IFERROR(K204/F204,"")</f>
        <v/>
      </c>
      <c r="AF204" s="2">
        <f>IFERROR(L204/B204,"")</f>
        <v/>
      </c>
      <c r="AG204" s="2">
        <f>IFERROR(M204/C204,"")</f>
        <v/>
      </c>
      <c r="AH204" s="2">
        <f>IFERROR(N204/D204,"")</f>
        <v/>
      </c>
      <c r="AI204" s="2">
        <f>IFERROR(O204/E204,"")</f>
        <v/>
      </c>
      <c r="AJ204" s="2">
        <f>IFERROR(P204/F204,"")</f>
        <v/>
      </c>
      <c r="AK204" s="2">
        <f>IFERROR(Q204/B204,"")</f>
        <v/>
      </c>
      <c r="AL204" s="2">
        <f>IFERROR(R204/C204,"")</f>
        <v/>
      </c>
      <c r="AM204" s="2">
        <f>IFERROR(S204/D204,"")</f>
        <v/>
      </c>
      <c r="AN204" s="2">
        <f>IFERROR(T204/E204,"")</f>
        <v/>
      </c>
      <c r="AO204" s="2">
        <f>IFERROR(U204/F204,"")</f>
        <v/>
      </c>
    </row>
    <row r="205">
      <c r="B205">
        <f>IF($A205="","",IFERROR(INDEX('[AQ_2020.xlsx]原始数据'!$B:$B,MATCH($A205,'[AQ_2020.xlsx]原始数据'!$A:$A,0)),""))</f>
        <v/>
      </c>
      <c r="C205">
        <f>IF($A205="","",IFERROR(INDEX('[AQ_2021.xlsx]原始数据'!$B:$B,MATCH($A205,'[AQ_2021.xlsx]原始数据'!$A:$A,0)),""))</f>
        <v/>
      </c>
      <c r="D205">
        <f>IF($A205="","",IFERROR(INDEX('[AQ_2022.xlsx]原始数据'!$B:$B,MATCH($A205,'[AQ_2022.xlsx]原始数据'!$A:$A,0)),""))</f>
        <v/>
      </c>
      <c r="E205">
        <f>IF($A205="","",IFERROR(INDEX('[AQ_2023.xlsx]原始数据'!$B:$B,MATCH($A205,'[AQ_2023.xlsx]原始数据'!$A:$A,0)),""))</f>
        <v/>
      </c>
      <c r="F205">
        <f>IF($A205="","",IFERROR(INDEX('[AQ_2024.xlsx]原始数据'!$B:$B,MATCH($A205,'[AQ_2024.xlsx]原始数据'!$A:$A,0)),""))</f>
        <v/>
      </c>
      <c r="G205">
        <f>IF($A205="","",IFERROR(INDEX('[AQ_2020.xlsx]原始数据'!$C:$C,MATCH($A205,'[AQ_2020.xlsx]原始数据'!$A:$A,0)),""))</f>
        <v/>
      </c>
      <c r="H205">
        <f>IF($A205="","",IFERROR(INDEX('[AQ_2021.xlsx]原始数据'!$C:$C,MATCH($A205,'[AQ_2021.xlsx]原始数据'!$A:$A,0)),""))</f>
        <v/>
      </c>
      <c r="I205">
        <f>IF($A205="","",IFERROR(INDEX('[AQ_2022.xlsx]原始数据'!$C:$C,MATCH($A205,'[AQ_2022.xlsx]原始数据'!$A:$A,0)),""))</f>
        <v/>
      </c>
      <c r="J205">
        <f>IF($A205="","",IFERROR(INDEX('[AQ_2023.xlsx]原始数据'!$C:$C,MATCH($A205,'[AQ_2023.xlsx]原始数据'!$A:$A,0)),""))</f>
        <v/>
      </c>
      <c r="K205">
        <f>IF($A205="","",IFERROR(INDEX('[AQ_2024.xlsx]原始数据'!$C:$C,MATCH($A205,'[AQ_2024.xlsx]原始数据'!$A:$A,0)),""))</f>
        <v/>
      </c>
      <c r="L205">
        <f>IF($A205="","",IFERROR(INDEX('[AQ_2020.xlsx]原始数据'!$D:$D,MATCH($A205,'[AQ_2020.xlsx]原始数据'!$A:$A,0)),""))</f>
        <v/>
      </c>
      <c r="M205">
        <f>IF($A205="","",IFERROR(INDEX('[AQ_2021.xlsx]原始数据'!$D:$D,MATCH($A205,'[AQ_2021.xlsx]原始数据'!$A:$A,0)),""))</f>
        <v/>
      </c>
      <c r="N205">
        <f>IF($A205="","",IFERROR(INDEX('[AQ_2022.xlsx]原始数据'!$D:$D,MATCH($A205,'[AQ_2022.xlsx]原始数据'!$A:$A,0)),""))</f>
        <v/>
      </c>
      <c r="O205">
        <f>IF($A205="","",IFERROR(INDEX('[AQ_2023.xlsx]原始数据'!$D:$D,MATCH($A205,'[AQ_2023.xlsx]原始数据'!$A:$A,0)),""))</f>
        <v/>
      </c>
      <c r="P205">
        <f>IF($A205="","",IFERROR(INDEX('[AQ_2024.xlsx]原始数据'!$D:$D,MATCH($A205,'[AQ_2024.xlsx]原始数据'!$A:$A,0)),""))</f>
        <v/>
      </c>
      <c r="Q205">
        <f>IF($A205="","",IFERROR(INDEX('[AQ_2020.xlsx]原始数据'!$E:$E,MATCH($A205,'[AQ_2020.xlsx]原始数据'!$A:$A,0)),""))</f>
        <v/>
      </c>
      <c r="R205">
        <f>IF($A205="","",IFERROR(INDEX('[AQ_2021.xlsx]原始数据'!$E:$E,MATCH($A205,'[AQ_2021.xlsx]原始数据'!$A:$A,0)),""))</f>
        <v/>
      </c>
      <c r="S205">
        <f>IF($A205="","",IFERROR(INDEX('[AQ_2022.xlsx]原始数据'!$E:$E,MATCH($A205,'[AQ_2022.xlsx]原始数据'!$A:$A,0)),""))</f>
        <v/>
      </c>
      <c r="T205">
        <f>IF($A205="","",IFERROR(INDEX('[AQ_2023.xlsx]原始数据'!$E:$E,MATCH($A205,'[AQ_2023.xlsx]原始数据'!$A:$A,0)),""))</f>
        <v/>
      </c>
      <c r="U205">
        <f>IF($A205="","",IFERROR(INDEX('[AQ_2024.xlsx]原始数据'!$E:$E,MATCH($A205,'[AQ_2024.xlsx]原始数据'!$A:$A,0)),""))</f>
        <v/>
      </c>
      <c r="V205">
        <f>IF($A205="","",IFERROR(INDEX('[AQ_2020.xlsx]原始数据'!$F:$F,MATCH($A205,'[AQ_2020.xlsx]原始数据'!$A:$A,0)),""))</f>
        <v/>
      </c>
      <c r="W205">
        <f>IF($A205="","",IFERROR(INDEX('[AQ_2021.xlsx]原始数据'!$F:$F,MATCH($A205,'[AQ_2021.xlsx]原始数据'!$A:$A,0)),""))</f>
        <v/>
      </c>
      <c r="X205">
        <f>IF($A205="","",IFERROR(INDEX('[AQ_2022.xlsx]原始数据'!$F:$F,MATCH($A205,'[AQ_2022.xlsx]原始数据'!$A:$A,0)),""))</f>
        <v/>
      </c>
      <c r="Y205">
        <f>IF($A205="","",IFERROR(INDEX('[AQ_2023.xlsx]原始数据'!$F:$F,MATCH($A205,'[AQ_2023.xlsx]原始数据'!$A:$A,0)),""))</f>
        <v/>
      </c>
      <c r="Z205">
        <f>IF($A205="","",IFERROR(INDEX('[AQ_2024.xlsx]原始数据'!$F:$F,MATCH($A205,'[AQ_2024.xlsx]原始数据'!$A:$A,0)),""))</f>
        <v/>
      </c>
      <c r="AA205" s="2">
        <f>IFERROR(G205/B205,"")</f>
        <v/>
      </c>
      <c r="AB205" s="2">
        <f>IFERROR(H205/C205,"")</f>
        <v/>
      </c>
      <c r="AC205" s="2">
        <f>IFERROR(I205/D205,"")</f>
        <v/>
      </c>
      <c r="AD205" s="2">
        <f>IFERROR(J205/E205,"")</f>
        <v/>
      </c>
      <c r="AE205" s="2">
        <f>IFERROR(K205/F205,"")</f>
        <v/>
      </c>
      <c r="AF205" s="2">
        <f>IFERROR(L205/B205,"")</f>
        <v/>
      </c>
      <c r="AG205" s="2">
        <f>IFERROR(M205/C205,"")</f>
        <v/>
      </c>
      <c r="AH205" s="2">
        <f>IFERROR(N205/D205,"")</f>
        <v/>
      </c>
      <c r="AI205" s="2">
        <f>IFERROR(O205/E205,"")</f>
        <v/>
      </c>
      <c r="AJ205" s="2">
        <f>IFERROR(P205/F205,"")</f>
        <v/>
      </c>
      <c r="AK205" s="2">
        <f>IFERROR(Q205/B205,"")</f>
        <v/>
      </c>
      <c r="AL205" s="2">
        <f>IFERROR(R205/C205,"")</f>
        <v/>
      </c>
      <c r="AM205" s="2">
        <f>IFERROR(S205/D205,"")</f>
        <v/>
      </c>
      <c r="AN205" s="2">
        <f>IFERROR(T205/E205,"")</f>
        <v/>
      </c>
      <c r="AO205" s="2">
        <f>IFERROR(U205/F205,"")</f>
        <v/>
      </c>
    </row>
    <row r="206">
      <c r="B206">
        <f>IF($A206="","",IFERROR(INDEX('[AQ_2020.xlsx]原始数据'!$B:$B,MATCH($A206,'[AQ_2020.xlsx]原始数据'!$A:$A,0)),""))</f>
        <v/>
      </c>
      <c r="C206">
        <f>IF($A206="","",IFERROR(INDEX('[AQ_2021.xlsx]原始数据'!$B:$B,MATCH($A206,'[AQ_2021.xlsx]原始数据'!$A:$A,0)),""))</f>
        <v/>
      </c>
      <c r="D206">
        <f>IF($A206="","",IFERROR(INDEX('[AQ_2022.xlsx]原始数据'!$B:$B,MATCH($A206,'[AQ_2022.xlsx]原始数据'!$A:$A,0)),""))</f>
        <v/>
      </c>
      <c r="E206">
        <f>IF($A206="","",IFERROR(INDEX('[AQ_2023.xlsx]原始数据'!$B:$B,MATCH($A206,'[AQ_2023.xlsx]原始数据'!$A:$A,0)),""))</f>
        <v/>
      </c>
      <c r="F206">
        <f>IF($A206="","",IFERROR(INDEX('[AQ_2024.xlsx]原始数据'!$B:$B,MATCH($A206,'[AQ_2024.xlsx]原始数据'!$A:$A,0)),""))</f>
        <v/>
      </c>
      <c r="G206">
        <f>IF($A206="","",IFERROR(INDEX('[AQ_2020.xlsx]原始数据'!$C:$C,MATCH($A206,'[AQ_2020.xlsx]原始数据'!$A:$A,0)),""))</f>
        <v/>
      </c>
      <c r="H206">
        <f>IF($A206="","",IFERROR(INDEX('[AQ_2021.xlsx]原始数据'!$C:$C,MATCH($A206,'[AQ_2021.xlsx]原始数据'!$A:$A,0)),""))</f>
        <v/>
      </c>
      <c r="I206">
        <f>IF($A206="","",IFERROR(INDEX('[AQ_2022.xlsx]原始数据'!$C:$C,MATCH($A206,'[AQ_2022.xlsx]原始数据'!$A:$A,0)),""))</f>
        <v/>
      </c>
      <c r="J206">
        <f>IF($A206="","",IFERROR(INDEX('[AQ_2023.xlsx]原始数据'!$C:$C,MATCH($A206,'[AQ_2023.xlsx]原始数据'!$A:$A,0)),""))</f>
        <v/>
      </c>
      <c r="K206">
        <f>IF($A206="","",IFERROR(INDEX('[AQ_2024.xlsx]原始数据'!$C:$C,MATCH($A206,'[AQ_2024.xlsx]原始数据'!$A:$A,0)),""))</f>
        <v/>
      </c>
      <c r="L206">
        <f>IF($A206="","",IFERROR(INDEX('[AQ_2020.xlsx]原始数据'!$D:$D,MATCH($A206,'[AQ_2020.xlsx]原始数据'!$A:$A,0)),""))</f>
        <v/>
      </c>
      <c r="M206">
        <f>IF($A206="","",IFERROR(INDEX('[AQ_2021.xlsx]原始数据'!$D:$D,MATCH($A206,'[AQ_2021.xlsx]原始数据'!$A:$A,0)),""))</f>
        <v/>
      </c>
      <c r="N206">
        <f>IF($A206="","",IFERROR(INDEX('[AQ_2022.xlsx]原始数据'!$D:$D,MATCH($A206,'[AQ_2022.xlsx]原始数据'!$A:$A,0)),""))</f>
        <v/>
      </c>
      <c r="O206">
        <f>IF($A206="","",IFERROR(INDEX('[AQ_2023.xlsx]原始数据'!$D:$D,MATCH($A206,'[AQ_2023.xlsx]原始数据'!$A:$A,0)),""))</f>
        <v/>
      </c>
      <c r="P206">
        <f>IF($A206="","",IFERROR(INDEX('[AQ_2024.xlsx]原始数据'!$D:$D,MATCH($A206,'[AQ_2024.xlsx]原始数据'!$A:$A,0)),""))</f>
        <v/>
      </c>
      <c r="Q206">
        <f>IF($A206="","",IFERROR(INDEX('[AQ_2020.xlsx]原始数据'!$E:$E,MATCH($A206,'[AQ_2020.xlsx]原始数据'!$A:$A,0)),""))</f>
        <v/>
      </c>
      <c r="R206">
        <f>IF($A206="","",IFERROR(INDEX('[AQ_2021.xlsx]原始数据'!$E:$E,MATCH($A206,'[AQ_2021.xlsx]原始数据'!$A:$A,0)),""))</f>
        <v/>
      </c>
      <c r="S206">
        <f>IF($A206="","",IFERROR(INDEX('[AQ_2022.xlsx]原始数据'!$E:$E,MATCH($A206,'[AQ_2022.xlsx]原始数据'!$A:$A,0)),""))</f>
        <v/>
      </c>
      <c r="T206">
        <f>IF($A206="","",IFERROR(INDEX('[AQ_2023.xlsx]原始数据'!$E:$E,MATCH($A206,'[AQ_2023.xlsx]原始数据'!$A:$A,0)),""))</f>
        <v/>
      </c>
      <c r="U206">
        <f>IF($A206="","",IFERROR(INDEX('[AQ_2024.xlsx]原始数据'!$E:$E,MATCH($A206,'[AQ_2024.xlsx]原始数据'!$A:$A,0)),""))</f>
        <v/>
      </c>
      <c r="V206">
        <f>IF($A206="","",IFERROR(INDEX('[AQ_2020.xlsx]原始数据'!$F:$F,MATCH($A206,'[AQ_2020.xlsx]原始数据'!$A:$A,0)),""))</f>
        <v/>
      </c>
      <c r="W206">
        <f>IF($A206="","",IFERROR(INDEX('[AQ_2021.xlsx]原始数据'!$F:$F,MATCH($A206,'[AQ_2021.xlsx]原始数据'!$A:$A,0)),""))</f>
        <v/>
      </c>
      <c r="X206">
        <f>IF($A206="","",IFERROR(INDEX('[AQ_2022.xlsx]原始数据'!$F:$F,MATCH($A206,'[AQ_2022.xlsx]原始数据'!$A:$A,0)),""))</f>
        <v/>
      </c>
      <c r="Y206">
        <f>IF($A206="","",IFERROR(INDEX('[AQ_2023.xlsx]原始数据'!$F:$F,MATCH($A206,'[AQ_2023.xlsx]原始数据'!$A:$A,0)),""))</f>
        <v/>
      </c>
      <c r="Z206">
        <f>IF($A206="","",IFERROR(INDEX('[AQ_2024.xlsx]原始数据'!$F:$F,MATCH($A206,'[AQ_2024.xlsx]原始数据'!$A:$A,0)),""))</f>
        <v/>
      </c>
      <c r="AA206" s="2">
        <f>IFERROR(G206/B206,"")</f>
        <v/>
      </c>
      <c r="AB206" s="2">
        <f>IFERROR(H206/C206,"")</f>
        <v/>
      </c>
      <c r="AC206" s="2">
        <f>IFERROR(I206/D206,"")</f>
        <v/>
      </c>
      <c r="AD206" s="2">
        <f>IFERROR(J206/E206,"")</f>
        <v/>
      </c>
      <c r="AE206" s="2">
        <f>IFERROR(K206/F206,"")</f>
        <v/>
      </c>
      <c r="AF206" s="2">
        <f>IFERROR(L206/B206,"")</f>
        <v/>
      </c>
      <c r="AG206" s="2">
        <f>IFERROR(M206/C206,"")</f>
        <v/>
      </c>
      <c r="AH206" s="2">
        <f>IFERROR(N206/D206,"")</f>
        <v/>
      </c>
      <c r="AI206" s="2">
        <f>IFERROR(O206/E206,"")</f>
        <v/>
      </c>
      <c r="AJ206" s="2">
        <f>IFERROR(P206/F206,"")</f>
        <v/>
      </c>
      <c r="AK206" s="2">
        <f>IFERROR(Q206/B206,"")</f>
        <v/>
      </c>
      <c r="AL206" s="2">
        <f>IFERROR(R206/C206,"")</f>
        <v/>
      </c>
      <c r="AM206" s="2">
        <f>IFERROR(S206/D206,"")</f>
        <v/>
      </c>
      <c r="AN206" s="2">
        <f>IFERROR(T206/E206,"")</f>
        <v/>
      </c>
      <c r="AO206" s="2">
        <f>IFERROR(U206/F206,"")</f>
        <v/>
      </c>
    </row>
    <row r="207">
      <c r="B207">
        <f>IF($A207="","",IFERROR(INDEX('[AQ_2020.xlsx]原始数据'!$B:$B,MATCH($A207,'[AQ_2020.xlsx]原始数据'!$A:$A,0)),""))</f>
        <v/>
      </c>
      <c r="C207">
        <f>IF($A207="","",IFERROR(INDEX('[AQ_2021.xlsx]原始数据'!$B:$B,MATCH($A207,'[AQ_2021.xlsx]原始数据'!$A:$A,0)),""))</f>
        <v/>
      </c>
      <c r="D207">
        <f>IF($A207="","",IFERROR(INDEX('[AQ_2022.xlsx]原始数据'!$B:$B,MATCH($A207,'[AQ_2022.xlsx]原始数据'!$A:$A,0)),""))</f>
        <v/>
      </c>
      <c r="E207">
        <f>IF($A207="","",IFERROR(INDEX('[AQ_2023.xlsx]原始数据'!$B:$B,MATCH($A207,'[AQ_2023.xlsx]原始数据'!$A:$A,0)),""))</f>
        <v/>
      </c>
      <c r="F207">
        <f>IF($A207="","",IFERROR(INDEX('[AQ_2024.xlsx]原始数据'!$B:$B,MATCH($A207,'[AQ_2024.xlsx]原始数据'!$A:$A,0)),""))</f>
        <v/>
      </c>
      <c r="G207">
        <f>IF($A207="","",IFERROR(INDEX('[AQ_2020.xlsx]原始数据'!$C:$C,MATCH($A207,'[AQ_2020.xlsx]原始数据'!$A:$A,0)),""))</f>
        <v/>
      </c>
      <c r="H207">
        <f>IF($A207="","",IFERROR(INDEX('[AQ_2021.xlsx]原始数据'!$C:$C,MATCH($A207,'[AQ_2021.xlsx]原始数据'!$A:$A,0)),""))</f>
        <v/>
      </c>
      <c r="I207">
        <f>IF($A207="","",IFERROR(INDEX('[AQ_2022.xlsx]原始数据'!$C:$C,MATCH($A207,'[AQ_2022.xlsx]原始数据'!$A:$A,0)),""))</f>
        <v/>
      </c>
      <c r="J207">
        <f>IF($A207="","",IFERROR(INDEX('[AQ_2023.xlsx]原始数据'!$C:$C,MATCH($A207,'[AQ_2023.xlsx]原始数据'!$A:$A,0)),""))</f>
        <v/>
      </c>
      <c r="K207">
        <f>IF($A207="","",IFERROR(INDEX('[AQ_2024.xlsx]原始数据'!$C:$C,MATCH($A207,'[AQ_2024.xlsx]原始数据'!$A:$A,0)),""))</f>
        <v/>
      </c>
      <c r="L207">
        <f>IF($A207="","",IFERROR(INDEX('[AQ_2020.xlsx]原始数据'!$D:$D,MATCH($A207,'[AQ_2020.xlsx]原始数据'!$A:$A,0)),""))</f>
        <v/>
      </c>
      <c r="M207">
        <f>IF($A207="","",IFERROR(INDEX('[AQ_2021.xlsx]原始数据'!$D:$D,MATCH($A207,'[AQ_2021.xlsx]原始数据'!$A:$A,0)),""))</f>
        <v/>
      </c>
      <c r="N207">
        <f>IF($A207="","",IFERROR(INDEX('[AQ_2022.xlsx]原始数据'!$D:$D,MATCH($A207,'[AQ_2022.xlsx]原始数据'!$A:$A,0)),""))</f>
        <v/>
      </c>
      <c r="O207">
        <f>IF($A207="","",IFERROR(INDEX('[AQ_2023.xlsx]原始数据'!$D:$D,MATCH($A207,'[AQ_2023.xlsx]原始数据'!$A:$A,0)),""))</f>
        <v/>
      </c>
      <c r="P207">
        <f>IF($A207="","",IFERROR(INDEX('[AQ_2024.xlsx]原始数据'!$D:$D,MATCH($A207,'[AQ_2024.xlsx]原始数据'!$A:$A,0)),""))</f>
        <v/>
      </c>
      <c r="Q207">
        <f>IF($A207="","",IFERROR(INDEX('[AQ_2020.xlsx]原始数据'!$E:$E,MATCH($A207,'[AQ_2020.xlsx]原始数据'!$A:$A,0)),""))</f>
        <v/>
      </c>
      <c r="R207">
        <f>IF($A207="","",IFERROR(INDEX('[AQ_2021.xlsx]原始数据'!$E:$E,MATCH($A207,'[AQ_2021.xlsx]原始数据'!$A:$A,0)),""))</f>
        <v/>
      </c>
      <c r="S207">
        <f>IF($A207="","",IFERROR(INDEX('[AQ_2022.xlsx]原始数据'!$E:$E,MATCH($A207,'[AQ_2022.xlsx]原始数据'!$A:$A,0)),""))</f>
        <v/>
      </c>
      <c r="T207">
        <f>IF($A207="","",IFERROR(INDEX('[AQ_2023.xlsx]原始数据'!$E:$E,MATCH($A207,'[AQ_2023.xlsx]原始数据'!$A:$A,0)),""))</f>
        <v/>
      </c>
      <c r="U207">
        <f>IF($A207="","",IFERROR(INDEX('[AQ_2024.xlsx]原始数据'!$E:$E,MATCH($A207,'[AQ_2024.xlsx]原始数据'!$A:$A,0)),""))</f>
        <v/>
      </c>
      <c r="V207">
        <f>IF($A207="","",IFERROR(INDEX('[AQ_2020.xlsx]原始数据'!$F:$F,MATCH($A207,'[AQ_2020.xlsx]原始数据'!$A:$A,0)),""))</f>
        <v/>
      </c>
      <c r="W207">
        <f>IF($A207="","",IFERROR(INDEX('[AQ_2021.xlsx]原始数据'!$F:$F,MATCH($A207,'[AQ_2021.xlsx]原始数据'!$A:$A,0)),""))</f>
        <v/>
      </c>
      <c r="X207">
        <f>IF($A207="","",IFERROR(INDEX('[AQ_2022.xlsx]原始数据'!$F:$F,MATCH($A207,'[AQ_2022.xlsx]原始数据'!$A:$A,0)),""))</f>
        <v/>
      </c>
      <c r="Y207">
        <f>IF($A207="","",IFERROR(INDEX('[AQ_2023.xlsx]原始数据'!$F:$F,MATCH($A207,'[AQ_2023.xlsx]原始数据'!$A:$A,0)),""))</f>
        <v/>
      </c>
      <c r="Z207">
        <f>IF($A207="","",IFERROR(INDEX('[AQ_2024.xlsx]原始数据'!$F:$F,MATCH($A207,'[AQ_2024.xlsx]原始数据'!$A:$A,0)),""))</f>
        <v/>
      </c>
      <c r="AA207" s="2">
        <f>IFERROR(G207/B207,"")</f>
        <v/>
      </c>
      <c r="AB207" s="2">
        <f>IFERROR(H207/C207,"")</f>
        <v/>
      </c>
      <c r="AC207" s="2">
        <f>IFERROR(I207/D207,"")</f>
        <v/>
      </c>
      <c r="AD207" s="2">
        <f>IFERROR(J207/E207,"")</f>
        <v/>
      </c>
      <c r="AE207" s="2">
        <f>IFERROR(K207/F207,"")</f>
        <v/>
      </c>
      <c r="AF207" s="2">
        <f>IFERROR(L207/B207,"")</f>
        <v/>
      </c>
      <c r="AG207" s="2">
        <f>IFERROR(M207/C207,"")</f>
        <v/>
      </c>
      <c r="AH207" s="2">
        <f>IFERROR(N207/D207,"")</f>
        <v/>
      </c>
      <c r="AI207" s="2">
        <f>IFERROR(O207/E207,"")</f>
        <v/>
      </c>
      <c r="AJ207" s="2">
        <f>IFERROR(P207/F207,"")</f>
        <v/>
      </c>
      <c r="AK207" s="2">
        <f>IFERROR(Q207/B207,"")</f>
        <v/>
      </c>
      <c r="AL207" s="2">
        <f>IFERROR(R207/C207,"")</f>
        <v/>
      </c>
      <c r="AM207" s="2">
        <f>IFERROR(S207/D207,"")</f>
        <v/>
      </c>
      <c r="AN207" s="2">
        <f>IFERROR(T207/E207,"")</f>
        <v/>
      </c>
      <c r="AO207" s="2">
        <f>IFERROR(U207/F207,"")</f>
        <v/>
      </c>
    </row>
    <row r="208">
      <c r="B208">
        <f>IF($A208="","",IFERROR(INDEX('[AQ_2020.xlsx]原始数据'!$B:$B,MATCH($A208,'[AQ_2020.xlsx]原始数据'!$A:$A,0)),""))</f>
        <v/>
      </c>
      <c r="C208">
        <f>IF($A208="","",IFERROR(INDEX('[AQ_2021.xlsx]原始数据'!$B:$B,MATCH($A208,'[AQ_2021.xlsx]原始数据'!$A:$A,0)),""))</f>
        <v/>
      </c>
      <c r="D208">
        <f>IF($A208="","",IFERROR(INDEX('[AQ_2022.xlsx]原始数据'!$B:$B,MATCH($A208,'[AQ_2022.xlsx]原始数据'!$A:$A,0)),""))</f>
        <v/>
      </c>
      <c r="E208">
        <f>IF($A208="","",IFERROR(INDEX('[AQ_2023.xlsx]原始数据'!$B:$B,MATCH($A208,'[AQ_2023.xlsx]原始数据'!$A:$A,0)),""))</f>
        <v/>
      </c>
      <c r="F208">
        <f>IF($A208="","",IFERROR(INDEX('[AQ_2024.xlsx]原始数据'!$B:$B,MATCH($A208,'[AQ_2024.xlsx]原始数据'!$A:$A,0)),""))</f>
        <v/>
      </c>
      <c r="G208">
        <f>IF($A208="","",IFERROR(INDEX('[AQ_2020.xlsx]原始数据'!$C:$C,MATCH($A208,'[AQ_2020.xlsx]原始数据'!$A:$A,0)),""))</f>
        <v/>
      </c>
      <c r="H208">
        <f>IF($A208="","",IFERROR(INDEX('[AQ_2021.xlsx]原始数据'!$C:$C,MATCH($A208,'[AQ_2021.xlsx]原始数据'!$A:$A,0)),""))</f>
        <v/>
      </c>
      <c r="I208">
        <f>IF($A208="","",IFERROR(INDEX('[AQ_2022.xlsx]原始数据'!$C:$C,MATCH($A208,'[AQ_2022.xlsx]原始数据'!$A:$A,0)),""))</f>
        <v/>
      </c>
      <c r="J208">
        <f>IF($A208="","",IFERROR(INDEX('[AQ_2023.xlsx]原始数据'!$C:$C,MATCH($A208,'[AQ_2023.xlsx]原始数据'!$A:$A,0)),""))</f>
        <v/>
      </c>
      <c r="K208">
        <f>IF($A208="","",IFERROR(INDEX('[AQ_2024.xlsx]原始数据'!$C:$C,MATCH($A208,'[AQ_2024.xlsx]原始数据'!$A:$A,0)),""))</f>
        <v/>
      </c>
      <c r="L208">
        <f>IF($A208="","",IFERROR(INDEX('[AQ_2020.xlsx]原始数据'!$D:$D,MATCH($A208,'[AQ_2020.xlsx]原始数据'!$A:$A,0)),""))</f>
        <v/>
      </c>
      <c r="M208">
        <f>IF($A208="","",IFERROR(INDEX('[AQ_2021.xlsx]原始数据'!$D:$D,MATCH($A208,'[AQ_2021.xlsx]原始数据'!$A:$A,0)),""))</f>
        <v/>
      </c>
      <c r="N208">
        <f>IF($A208="","",IFERROR(INDEX('[AQ_2022.xlsx]原始数据'!$D:$D,MATCH($A208,'[AQ_2022.xlsx]原始数据'!$A:$A,0)),""))</f>
        <v/>
      </c>
      <c r="O208">
        <f>IF($A208="","",IFERROR(INDEX('[AQ_2023.xlsx]原始数据'!$D:$D,MATCH($A208,'[AQ_2023.xlsx]原始数据'!$A:$A,0)),""))</f>
        <v/>
      </c>
      <c r="P208">
        <f>IF($A208="","",IFERROR(INDEX('[AQ_2024.xlsx]原始数据'!$D:$D,MATCH($A208,'[AQ_2024.xlsx]原始数据'!$A:$A,0)),""))</f>
        <v/>
      </c>
      <c r="Q208">
        <f>IF($A208="","",IFERROR(INDEX('[AQ_2020.xlsx]原始数据'!$E:$E,MATCH($A208,'[AQ_2020.xlsx]原始数据'!$A:$A,0)),""))</f>
        <v/>
      </c>
      <c r="R208">
        <f>IF($A208="","",IFERROR(INDEX('[AQ_2021.xlsx]原始数据'!$E:$E,MATCH($A208,'[AQ_2021.xlsx]原始数据'!$A:$A,0)),""))</f>
        <v/>
      </c>
      <c r="S208">
        <f>IF($A208="","",IFERROR(INDEX('[AQ_2022.xlsx]原始数据'!$E:$E,MATCH($A208,'[AQ_2022.xlsx]原始数据'!$A:$A,0)),""))</f>
        <v/>
      </c>
      <c r="T208">
        <f>IF($A208="","",IFERROR(INDEX('[AQ_2023.xlsx]原始数据'!$E:$E,MATCH($A208,'[AQ_2023.xlsx]原始数据'!$A:$A,0)),""))</f>
        <v/>
      </c>
      <c r="U208">
        <f>IF($A208="","",IFERROR(INDEX('[AQ_2024.xlsx]原始数据'!$E:$E,MATCH($A208,'[AQ_2024.xlsx]原始数据'!$A:$A,0)),""))</f>
        <v/>
      </c>
      <c r="V208">
        <f>IF($A208="","",IFERROR(INDEX('[AQ_2020.xlsx]原始数据'!$F:$F,MATCH($A208,'[AQ_2020.xlsx]原始数据'!$A:$A,0)),""))</f>
        <v/>
      </c>
      <c r="W208">
        <f>IF($A208="","",IFERROR(INDEX('[AQ_2021.xlsx]原始数据'!$F:$F,MATCH($A208,'[AQ_2021.xlsx]原始数据'!$A:$A,0)),""))</f>
        <v/>
      </c>
      <c r="X208">
        <f>IF($A208="","",IFERROR(INDEX('[AQ_2022.xlsx]原始数据'!$F:$F,MATCH($A208,'[AQ_2022.xlsx]原始数据'!$A:$A,0)),""))</f>
        <v/>
      </c>
      <c r="Y208">
        <f>IF($A208="","",IFERROR(INDEX('[AQ_2023.xlsx]原始数据'!$F:$F,MATCH($A208,'[AQ_2023.xlsx]原始数据'!$A:$A,0)),""))</f>
        <v/>
      </c>
      <c r="Z208">
        <f>IF($A208="","",IFERROR(INDEX('[AQ_2024.xlsx]原始数据'!$F:$F,MATCH($A208,'[AQ_2024.xlsx]原始数据'!$A:$A,0)),""))</f>
        <v/>
      </c>
      <c r="AA208" s="2">
        <f>IFERROR(G208/B208,"")</f>
        <v/>
      </c>
      <c r="AB208" s="2">
        <f>IFERROR(H208/C208,"")</f>
        <v/>
      </c>
      <c r="AC208" s="2">
        <f>IFERROR(I208/D208,"")</f>
        <v/>
      </c>
      <c r="AD208" s="2">
        <f>IFERROR(J208/E208,"")</f>
        <v/>
      </c>
      <c r="AE208" s="2">
        <f>IFERROR(K208/F208,"")</f>
        <v/>
      </c>
      <c r="AF208" s="2">
        <f>IFERROR(L208/B208,"")</f>
        <v/>
      </c>
      <c r="AG208" s="2">
        <f>IFERROR(M208/C208,"")</f>
        <v/>
      </c>
      <c r="AH208" s="2">
        <f>IFERROR(N208/D208,"")</f>
        <v/>
      </c>
      <c r="AI208" s="2">
        <f>IFERROR(O208/E208,"")</f>
        <v/>
      </c>
      <c r="AJ208" s="2">
        <f>IFERROR(P208/F208,"")</f>
        <v/>
      </c>
      <c r="AK208" s="2">
        <f>IFERROR(Q208/B208,"")</f>
        <v/>
      </c>
      <c r="AL208" s="2">
        <f>IFERROR(R208/C208,"")</f>
        <v/>
      </c>
      <c r="AM208" s="2">
        <f>IFERROR(S208/D208,"")</f>
        <v/>
      </c>
      <c r="AN208" s="2">
        <f>IFERROR(T208/E208,"")</f>
        <v/>
      </c>
      <c r="AO208" s="2">
        <f>IFERROR(U208/F208,"")</f>
        <v/>
      </c>
    </row>
    <row r="209">
      <c r="B209">
        <f>IF($A209="","",IFERROR(INDEX('[AQ_2020.xlsx]原始数据'!$B:$B,MATCH($A209,'[AQ_2020.xlsx]原始数据'!$A:$A,0)),""))</f>
        <v/>
      </c>
      <c r="C209">
        <f>IF($A209="","",IFERROR(INDEX('[AQ_2021.xlsx]原始数据'!$B:$B,MATCH($A209,'[AQ_2021.xlsx]原始数据'!$A:$A,0)),""))</f>
        <v/>
      </c>
      <c r="D209">
        <f>IF($A209="","",IFERROR(INDEX('[AQ_2022.xlsx]原始数据'!$B:$B,MATCH($A209,'[AQ_2022.xlsx]原始数据'!$A:$A,0)),""))</f>
        <v/>
      </c>
      <c r="E209">
        <f>IF($A209="","",IFERROR(INDEX('[AQ_2023.xlsx]原始数据'!$B:$B,MATCH($A209,'[AQ_2023.xlsx]原始数据'!$A:$A,0)),""))</f>
        <v/>
      </c>
      <c r="F209">
        <f>IF($A209="","",IFERROR(INDEX('[AQ_2024.xlsx]原始数据'!$B:$B,MATCH($A209,'[AQ_2024.xlsx]原始数据'!$A:$A,0)),""))</f>
        <v/>
      </c>
      <c r="G209">
        <f>IF($A209="","",IFERROR(INDEX('[AQ_2020.xlsx]原始数据'!$C:$C,MATCH($A209,'[AQ_2020.xlsx]原始数据'!$A:$A,0)),""))</f>
        <v/>
      </c>
      <c r="H209">
        <f>IF($A209="","",IFERROR(INDEX('[AQ_2021.xlsx]原始数据'!$C:$C,MATCH($A209,'[AQ_2021.xlsx]原始数据'!$A:$A,0)),""))</f>
        <v/>
      </c>
      <c r="I209">
        <f>IF($A209="","",IFERROR(INDEX('[AQ_2022.xlsx]原始数据'!$C:$C,MATCH($A209,'[AQ_2022.xlsx]原始数据'!$A:$A,0)),""))</f>
        <v/>
      </c>
      <c r="J209">
        <f>IF($A209="","",IFERROR(INDEX('[AQ_2023.xlsx]原始数据'!$C:$C,MATCH($A209,'[AQ_2023.xlsx]原始数据'!$A:$A,0)),""))</f>
        <v/>
      </c>
      <c r="K209">
        <f>IF($A209="","",IFERROR(INDEX('[AQ_2024.xlsx]原始数据'!$C:$C,MATCH($A209,'[AQ_2024.xlsx]原始数据'!$A:$A,0)),""))</f>
        <v/>
      </c>
      <c r="L209">
        <f>IF($A209="","",IFERROR(INDEX('[AQ_2020.xlsx]原始数据'!$D:$D,MATCH($A209,'[AQ_2020.xlsx]原始数据'!$A:$A,0)),""))</f>
        <v/>
      </c>
      <c r="M209">
        <f>IF($A209="","",IFERROR(INDEX('[AQ_2021.xlsx]原始数据'!$D:$D,MATCH($A209,'[AQ_2021.xlsx]原始数据'!$A:$A,0)),""))</f>
        <v/>
      </c>
      <c r="N209">
        <f>IF($A209="","",IFERROR(INDEX('[AQ_2022.xlsx]原始数据'!$D:$D,MATCH($A209,'[AQ_2022.xlsx]原始数据'!$A:$A,0)),""))</f>
        <v/>
      </c>
      <c r="O209">
        <f>IF($A209="","",IFERROR(INDEX('[AQ_2023.xlsx]原始数据'!$D:$D,MATCH($A209,'[AQ_2023.xlsx]原始数据'!$A:$A,0)),""))</f>
        <v/>
      </c>
      <c r="P209">
        <f>IF($A209="","",IFERROR(INDEX('[AQ_2024.xlsx]原始数据'!$D:$D,MATCH($A209,'[AQ_2024.xlsx]原始数据'!$A:$A,0)),""))</f>
        <v/>
      </c>
      <c r="Q209">
        <f>IF($A209="","",IFERROR(INDEX('[AQ_2020.xlsx]原始数据'!$E:$E,MATCH($A209,'[AQ_2020.xlsx]原始数据'!$A:$A,0)),""))</f>
        <v/>
      </c>
      <c r="R209">
        <f>IF($A209="","",IFERROR(INDEX('[AQ_2021.xlsx]原始数据'!$E:$E,MATCH($A209,'[AQ_2021.xlsx]原始数据'!$A:$A,0)),""))</f>
        <v/>
      </c>
      <c r="S209">
        <f>IF($A209="","",IFERROR(INDEX('[AQ_2022.xlsx]原始数据'!$E:$E,MATCH($A209,'[AQ_2022.xlsx]原始数据'!$A:$A,0)),""))</f>
        <v/>
      </c>
      <c r="T209">
        <f>IF($A209="","",IFERROR(INDEX('[AQ_2023.xlsx]原始数据'!$E:$E,MATCH($A209,'[AQ_2023.xlsx]原始数据'!$A:$A,0)),""))</f>
        <v/>
      </c>
      <c r="U209">
        <f>IF($A209="","",IFERROR(INDEX('[AQ_2024.xlsx]原始数据'!$E:$E,MATCH($A209,'[AQ_2024.xlsx]原始数据'!$A:$A,0)),""))</f>
        <v/>
      </c>
      <c r="V209">
        <f>IF($A209="","",IFERROR(INDEX('[AQ_2020.xlsx]原始数据'!$F:$F,MATCH($A209,'[AQ_2020.xlsx]原始数据'!$A:$A,0)),""))</f>
        <v/>
      </c>
      <c r="W209">
        <f>IF($A209="","",IFERROR(INDEX('[AQ_2021.xlsx]原始数据'!$F:$F,MATCH($A209,'[AQ_2021.xlsx]原始数据'!$A:$A,0)),""))</f>
        <v/>
      </c>
      <c r="X209">
        <f>IF($A209="","",IFERROR(INDEX('[AQ_2022.xlsx]原始数据'!$F:$F,MATCH($A209,'[AQ_2022.xlsx]原始数据'!$A:$A,0)),""))</f>
        <v/>
      </c>
      <c r="Y209">
        <f>IF($A209="","",IFERROR(INDEX('[AQ_2023.xlsx]原始数据'!$F:$F,MATCH($A209,'[AQ_2023.xlsx]原始数据'!$A:$A,0)),""))</f>
        <v/>
      </c>
      <c r="Z209">
        <f>IF($A209="","",IFERROR(INDEX('[AQ_2024.xlsx]原始数据'!$F:$F,MATCH($A209,'[AQ_2024.xlsx]原始数据'!$A:$A,0)),""))</f>
        <v/>
      </c>
      <c r="AA209" s="2">
        <f>IFERROR(G209/B209,"")</f>
        <v/>
      </c>
      <c r="AB209" s="2">
        <f>IFERROR(H209/C209,"")</f>
        <v/>
      </c>
      <c r="AC209" s="2">
        <f>IFERROR(I209/D209,"")</f>
        <v/>
      </c>
      <c r="AD209" s="2">
        <f>IFERROR(J209/E209,"")</f>
        <v/>
      </c>
      <c r="AE209" s="2">
        <f>IFERROR(K209/F209,"")</f>
        <v/>
      </c>
      <c r="AF209" s="2">
        <f>IFERROR(L209/B209,"")</f>
        <v/>
      </c>
      <c r="AG209" s="2">
        <f>IFERROR(M209/C209,"")</f>
        <v/>
      </c>
      <c r="AH209" s="2">
        <f>IFERROR(N209/D209,"")</f>
        <v/>
      </c>
      <c r="AI209" s="2">
        <f>IFERROR(O209/E209,"")</f>
        <v/>
      </c>
      <c r="AJ209" s="2">
        <f>IFERROR(P209/F209,"")</f>
        <v/>
      </c>
      <c r="AK209" s="2">
        <f>IFERROR(Q209/B209,"")</f>
        <v/>
      </c>
      <c r="AL209" s="2">
        <f>IFERROR(R209/C209,"")</f>
        <v/>
      </c>
      <c r="AM209" s="2">
        <f>IFERROR(S209/D209,"")</f>
        <v/>
      </c>
      <c r="AN209" s="2">
        <f>IFERROR(T209/E209,"")</f>
        <v/>
      </c>
      <c r="AO209" s="2">
        <f>IFERROR(U209/F209,"")</f>
        <v/>
      </c>
    </row>
    <row r="210">
      <c r="B210">
        <f>IF($A210="","",IFERROR(INDEX('[AQ_2020.xlsx]原始数据'!$B:$B,MATCH($A210,'[AQ_2020.xlsx]原始数据'!$A:$A,0)),""))</f>
        <v/>
      </c>
      <c r="C210">
        <f>IF($A210="","",IFERROR(INDEX('[AQ_2021.xlsx]原始数据'!$B:$B,MATCH($A210,'[AQ_2021.xlsx]原始数据'!$A:$A,0)),""))</f>
        <v/>
      </c>
      <c r="D210">
        <f>IF($A210="","",IFERROR(INDEX('[AQ_2022.xlsx]原始数据'!$B:$B,MATCH($A210,'[AQ_2022.xlsx]原始数据'!$A:$A,0)),""))</f>
        <v/>
      </c>
      <c r="E210">
        <f>IF($A210="","",IFERROR(INDEX('[AQ_2023.xlsx]原始数据'!$B:$B,MATCH($A210,'[AQ_2023.xlsx]原始数据'!$A:$A,0)),""))</f>
        <v/>
      </c>
      <c r="F210">
        <f>IF($A210="","",IFERROR(INDEX('[AQ_2024.xlsx]原始数据'!$B:$B,MATCH($A210,'[AQ_2024.xlsx]原始数据'!$A:$A,0)),""))</f>
        <v/>
      </c>
      <c r="G210">
        <f>IF($A210="","",IFERROR(INDEX('[AQ_2020.xlsx]原始数据'!$C:$C,MATCH($A210,'[AQ_2020.xlsx]原始数据'!$A:$A,0)),""))</f>
        <v/>
      </c>
      <c r="H210">
        <f>IF($A210="","",IFERROR(INDEX('[AQ_2021.xlsx]原始数据'!$C:$C,MATCH($A210,'[AQ_2021.xlsx]原始数据'!$A:$A,0)),""))</f>
        <v/>
      </c>
      <c r="I210">
        <f>IF($A210="","",IFERROR(INDEX('[AQ_2022.xlsx]原始数据'!$C:$C,MATCH($A210,'[AQ_2022.xlsx]原始数据'!$A:$A,0)),""))</f>
        <v/>
      </c>
      <c r="J210">
        <f>IF($A210="","",IFERROR(INDEX('[AQ_2023.xlsx]原始数据'!$C:$C,MATCH($A210,'[AQ_2023.xlsx]原始数据'!$A:$A,0)),""))</f>
        <v/>
      </c>
      <c r="K210">
        <f>IF($A210="","",IFERROR(INDEX('[AQ_2024.xlsx]原始数据'!$C:$C,MATCH($A210,'[AQ_2024.xlsx]原始数据'!$A:$A,0)),""))</f>
        <v/>
      </c>
      <c r="L210">
        <f>IF($A210="","",IFERROR(INDEX('[AQ_2020.xlsx]原始数据'!$D:$D,MATCH($A210,'[AQ_2020.xlsx]原始数据'!$A:$A,0)),""))</f>
        <v/>
      </c>
      <c r="M210">
        <f>IF($A210="","",IFERROR(INDEX('[AQ_2021.xlsx]原始数据'!$D:$D,MATCH($A210,'[AQ_2021.xlsx]原始数据'!$A:$A,0)),""))</f>
        <v/>
      </c>
      <c r="N210">
        <f>IF($A210="","",IFERROR(INDEX('[AQ_2022.xlsx]原始数据'!$D:$D,MATCH($A210,'[AQ_2022.xlsx]原始数据'!$A:$A,0)),""))</f>
        <v/>
      </c>
      <c r="O210">
        <f>IF($A210="","",IFERROR(INDEX('[AQ_2023.xlsx]原始数据'!$D:$D,MATCH($A210,'[AQ_2023.xlsx]原始数据'!$A:$A,0)),""))</f>
        <v/>
      </c>
      <c r="P210">
        <f>IF($A210="","",IFERROR(INDEX('[AQ_2024.xlsx]原始数据'!$D:$D,MATCH($A210,'[AQ_2024.xlsx]原始数据'!$A:$A,0)),""))</f>
        <v/>
      </c>
      <c r="Q210">
        <f>IF($A210="","",IFERROR(INDEX('[AQ_2020.xlsx]原始数据'!$E:$E,MATCH($A210,'[AQ_2020.xlsx]原始数据'!$A:$A,0)),""))</f>
        <v/>
      </c>
      <c r="R210">
        <f>IF($A210="","",IFERROR(INDEX('[AQ_2021.xlsx]原始数据'!$E:$E,MATCH($A210,'[AQ_2021.xlsx]原始数据'!$A:$A,0)),""))</f>
        <v/>
      </c>
      <c r="S210">
        <f>IF($A210="","",IFERROR(INDEX('[AQ_2022.xlsx]原始数据'!$E:$E,MATCH($A210,'[AQ_2022.xlsx]原始数据'!$A:$A,0)),""))</f>
        <v/>
      </c>
      <c r="T210">
        <f>IF($A210="","",IFERROR(INDEX('[AQ_2023.xlsx]原始数据'!$E:$E,MATCH($A210,'[AQ_2023.xlsx]原始数据'!$A:$A,0)),""))</f>
        <v/>
      </c>
      <c r="U210">
        <f>IF($A210="","",IFERROR(INDEX('[AQ_2024.xlsx]原始数据'!$E:$E,MATCH($A210,'[AQ_2024.xlsx]原始数据'!$A:$A,0)),""))</f>
        <v/>
      </c>
      <c r="V210">
        <f>IF($A210="","",IFERROR(INDEX('[AQ_2020.xlsx]原始数据'!$F:$F,MATCH($A210,'[AQ_2020.xlsx]原始数据'!$A:$A,0)),""))</f>
        <v/>
      </c>
      <c r="W210">
        <f>IF($A210="","",IFERROR(INDEX('[AQ_2021.xlsx]原始数据'!$F:$F,MATCH($A210,'[AQ_2021.xlsx]原始数据'!$A:$A,0)),""))</f>
        <v/>
      </c>
      <c r="X210">
        <f>IF($A210="","",IFERROR(INDEX('[AQ_2022.xlsx]原始数据'!$F:$F,MATCH($A210,'[AQ_2022.xlsx]原始数据'!$A:$A,0)),""))</f>
        <v/>
      </c>
      <c r="Y210">
        <f>IF($A210="","",IFERROR(INDEX('[AQ_2023.xlsx]原始数据'!$F:$F,MATCH($A210,'[AQ_2023.xlsx]原始数据'!$A:$A,0)),""))</f>
        <v/>
      </c>
      <c r="Z210">
        <f>IF($A210="","",IFERROR(INDEX('[AQ_2024.xlsx]原始数据'!$F:$F,MATCH($A210,'[AQ_2024.xlsx]原始数据'!$A:$A,0)),""))</f>
        <v/>
      </c>
      <c r="AA210" s="2">
        <f>IFERROR(G210/B210,"")</f>
        <v/>
      </c>
      <c r="AB210" s="2">
        <f>IFERROR(H210/C210,"")</f>
        <v/>
      </c>
      <c r="AC210" s="2">
        <f>IFERROR(I210/D210,"")</f>
        <v/>
      </c>
      <c r="AD210" s="2">
        <f>IFERROR(J210/E210,"")</f>
        <v/>
      </c>
      <c r="AE210" s="2">
        <f>IFERROR(K210/F210,"")</f>
        <v/>
      </c>
      <c r="AF210" s="2">
        <f>IFERROR(L210/B210,"")</f>
        <v/>
      </c>
      <c r="AG210" s="2">
        <f>IFERROR(M210/C210,"")</f>
        <v/>
      </c>
      <c r="AH210" s="2">
        <f>IFERROR(N210/D210,"")</f>
        <v/>
      </c>
      <c r="AI210" s="2">
        <f>IFERROR(O210/E210,"")</f>
        <v/>
      </c>
      <c r="AJ210" s="2">
        <f>IFERROR(P210/F210,"")</f>
        <v/>
      </c>
      <c r="AK210" s="2">
        <f>IFERROR(Q210/B210,"")</f>
        <v/>
      </c>
      <c r="AL210" s="2">
        <f>IFERROR(R210/C210,"")</f>
        <v/>
      </c>
      <c r="AM210" s="2">
        <f>IFERROR(S210/D210,"")</f>
        <v/>
      </c>
      <c r="AN210" s="2">
        <f>IFERROR(T210/E210,"")</f>
        <v/>
      </c>
      <c r="AO210" s="2">
        <f>IFERROR(U210/F210,"")</f>
        <v/>
      </c>
    </row>
    <row r="211">
      <c r="B211">
        <f>IF($A211="","",IFERROR(INDEX('[AQ_2020.xlsx]原始数据'!$B:$B,MATCH($A211,'[AQ_2020.xlsx]原始数据'!$A:$A,0)),""))</f>
        <v/>
      </c>
      <c r="C211">
        <f>IF($A211="","",IFERROR(INDEX('[AQ_2021.xlsx]原始数据'!$B:$B,MATCH($A211,'[AQ_2021.xlsx]原始数据'!$A:$A,0)),""))</f>
        <v/>
      </c>
      <c r="D211">
        <f>IF($A211="","",IFERROR(INDEX('[AQ_2022.xlsx]原始数据'!$B:$B,MATCH($A211,'[AQ_2022.xlsx]原始数据'!$A:$A,0)),""))</f>
        <v/>
      </c>
      <c r="E211">
        <f>IF($A211="","",IFERROR(INDEX('[AQ_2023.xlsx]原始数据'!$B:$B,MATCH($A211,'[AQ_2023.xlsx]原始数据'!$A:$A,0)),""))</f>
        <v/>
      </c>
      <c r="F211">
        <f>IF($A211="","",IFERROR(INDEX('[AQ_2024.xlsx]原始数据'!$B:$B,MATCH($A211,'[AQ_2024.xlsx]原始数据'!$A:$A,0)),""))</f>
        <v/>
      </c>
      <c r="G211">
        <f>IF($A211="","",IFERROR(INDEX('[AQ_2020.xlsx]原始数据'!$C:$C,MATCH($A211,'[AQ_2020.xlsx]原始数据'!$A:$A,0)),""))</f>
        <v/>
      </c>
      <c r="H211">
        <f>IF($A211="","",IFERROR(INDEX('[AQ_2021.xlsx]原始数据'!$C:$C,MATCH($A211,'[AQ_2021.xlsx]原始数据'!$A:$A,0)),""))</f>
        <v/>
      </c>
      <c r="I211">
        <f>IF($A211="","",IFERROR(INDEX('[AQ_2022.xlsx]原始数据'!$C:$C,MATCH($A211,'[AQ_2022.xlsx]原始数据'!$A:$A,0)),""))</f>
        <v/>
      </c>
      <c r="J211">
        <f>IF($A211="","",IFERROR(INDEX('[AQ_2023.xlsx]原始数据'!$C:$C,MATCH($A211,'[AQ_2023.xlsx]原始数据'!$A:$A,0)),""))</f>
        <v/>
      </c>
      <c r="K211">
        <f>IF($A211="","",IFERROR(INDEX('[AQ_2024.xlsx]原始数据'!$C:$C,MATCH($A211,'[AQ_2024.xlsx]原始数据'!$A:$A,0)),""))</f>
        <v/>
      </c>
      <c r="L211">
        <f>IF($A211="","",IFERROR(INDEX('[AQ_2020.xlsx]原始数据'!$D:$D,MATCH($A211,'[AQ_2020.xlsx]原始数据'!$A:$A,0)),""))</f>
        <v/>
      </c>
      <c r="M211">
        <f>IF($A211="","",IFERROR(INDEX('[AQ_2021.xlsx]原始数据'!$D:$D,MATCH($A211,'[AQ_2021.xlsx]原始数据'!$A:$A,0)),""))</f>
        <v/>
      </c>
      <c r="N211">
        <f>IF($A211="","",IFERROR(INDEX('[AQ_2022.xlsx]原始数据'!$D:$D,MATCH($A211,'[AQ_2022.xlsx]原始数据'!$A:$A,0)),""))</f>
        <v/>
      </c>
      <c r="O211">
        <f>IF($A211="","",IFERROR(INDEX('[AQ_2023.xlsx]原始数据'!$D:$D,MATCH($A211,'[AQ_2023.xlsx]原始数据'!$A:$A,0)),""))</f>
        <v/>
      </c>
      <c r="P211">
        <f>IF($A211="","",IFERROR(INDEX('[AQ_2024.xlsx]原始数据'!$D:$D,MATCH($A211,'[AQ_2024.xlsx]原始数据'!$A:$A,0)),""))</f>
        <v/>
      </c>
      <c r="Q211">
        <f>IF($A211="","",IFERROR(INDEX('[AQ_2020.xlsx]原始数据'!$E:$E,MATCH($A211,'[AQ_2020.xlsx]原始数据'!$A:$A,0)),""))</f>
        <v/>
      </c>
      <c r="R211">
        <f>IF($A211="","",IFERROR(INDEX('[AQ_2021.xlsx]原始数据'!$E:$E,MATCH($A211,'[AQ_2021.xlsx]原始数据'!$A:$A,0)),""))</f>
        <v/>
      </c>
      <c r="S211">
        <f>IF($A211="","",IFERROR(INDEX('[AQ_2022.xlsx]原始数据'!$E:$E,MATCH($A211,'[AQ_2022.xlsx]原始数据'!$A:$A,0)),""))</f>
        <v/>
      </c>
      <c r="T211">
        <f>IF($A211="","",IFERROR(INDEX('[AQ_2023.xlsx]原始数据'!$E:$E,MATCH($A211,'[AQ_2023.xlsx]原始数据'!$A:$A,0)),""))</f>
        <v/>
      </c>
      <c r="U211">
        <f>IF($A211="","",IFERROR(INDEX('[AQ_2024.xlsx]原始数据'!$E:$E,MATCH($A211,'[AQ_2024.xlsx]原始数据'!$A:$A,0)),""))</f>
        <v/>
      </c>
      <c r="V211">
        <f>IF($A211="","",IFERROR(INDEX('[AQ_2020.xlsx]原始数据'!$F:$F,MATCH($A211,'[AQ_2020.xlsx]原始数据'!$A:$A,0)),""))</f>
        <v/>
      </c>
      <c r="W211">
        <f>IF($A211="","",IFERROR(INDEX('[AQ_2021.xlsx]原始数据'!$F:$F,MATCH($A211,'[AQ_2021.xlsx]原始数据'!$A:$A,0)),""))</f>
        <v/>
      </c>
      <c r="X211">
        <f>IF($A211="","",IFERROR(INDEX('[AQ_2022.xlsx]原始数据'!$F:$F,MATCH($A211,'[AQ_2022.xlsx]原始数据'!$A:$A,0)),""))</f>
        <v/>
      </c>
      <c r="Y211">
        <f>IF($A211="","",IFERROR(INDEX('[AQ_2023.xlsx]原始数据'!$F:$F,MATCH($A211,'[AQ_2023.xlsx]原始数据'!$A:$A,0)),""))</f>
        <v/>
      </c>
      <c r="Z211">
        <f>IF($A211="","",IFERROR(INDEX('[AQ_2024.xlsx]原始数据'!$F:$F,MATCH($A211,'[AQ_2024.xlsx]原始数据'!$A:$A,0)),""))</f>
        <v/>
      </c>
      <c r="AA211" s="2">
        <f>IFERROR(G211/B211,"")</f>
        <v/>
      </c>
      <c r="AB211" s="2">
        <f>IFERROR(H211/C211,"")</f>
        <v/>
      </c>
      <c r="AC211" s="2">
        <f>IFERROR(I211/D211,"")</f>
        <v/>
      </c>
      <c r="AD211" s="2">
        <f>IFERROR(J211/E211,"")</f>
        <v/>
      </c>
      <c r="AE211" s="2">
        <f>IFERROR(K211/F211,"")</f>
        <v/>
      </c>
      <c r="AF211" s="2">
        <f>IFERROR(L211/B211,"")</f>
        <v/>
      </c>
      <c r="AG211" s="2">
        <f>IFERROR(M211/C211,"")</f>
        <v/>
      </c>
      <c r="AH211" s="2">
        <f>IFERROR(N211/D211,"")</f>
        <v/>
      </c>
      <c r="AI211" s="2">
        <f>IFERROR(O211/E211,"")</f>
        <v/>
      </c>
      <c r="AJ211" s="2">
        <f>IFERROR(P211/F211,"")</f>
        <v/>
      </c>
      <c r="AK211" s="2">
        <f>IFERROR(Q211/B211,"")</f>
        <v/>
      </c>
      <c r="AL211" s="2">
        <f>IFERROR(R211/C211,"")</f>
        <v/>
      </c>
      <c r="AM211" s="2">
        <f>IFERROR(S211/D211,"")</f>
        <v/>
      </c>
      <c r="AN211" s="2">
        <f>IFERROR(T211/E211,"")</f>
        <v/>
      </c>
      <c r="AO211" s="2">
        <f>IFERROR(U211/F211,"")</f>
        <v/>
      </c>
    </row>
    <row r="212">
      <c r="B212">
        <f>IF($A212="","",IFERROR(INDEX('[AQ_2020.xlsx]原始数据'!$B:$B,MATCH($A212,'[AQ_2020.xlsx]原始数据'!$A:$A,0)),""))</f>
        <v/>
      </c>
      <c r="C212">
        <f>IF($A212="","",IFERROR(INDEX('[AQ_2021.xlsx]原始数据'!$B:$B,MATCH($A212,'[AQ_2021.xlsx]原始数据'!$A:$A,0)),""))</f>
        <v/>
      </c>
      <c r="D212">
        <f>IF($A212="","",IFERROR(INDEX('[AQ_2022.xlsx]原始数据'!$B:$B,MATCH($A212,'[AQ_2022.xlsx]原始数据'!$A:$A,0)),""))</f>
        <v/>
      </c>
      <c r="E212">
        <f>IF($A212="","",IFERROR(INDEX('[AQ_2023.xlsx]原始数据'!$B:$B,MATCH($A212,'[AQ_2023.xlsx]原始数据'!$A:$A,0)),""))</f>
        <v/>
      </c>
      <c r="F212">
        <f>IF($A212="","",IFERROR(INDEX('[AQ_2024.xlsx]原始数据'!$B:$B,MATCH($A212,'[AQ_2024.xlsx]原始数据'!$A:$A,0)),""))</f>
        <v/>
      </c>
      <c r="G212">
        <f>IF($A212="","",IFERROR(INDEX('[AQ_2020.xlsx]原始数据'!$C:$C,MATCH($A212,'[AQ_2020.xlsx]原始数据'!$A:$A,0)),""))</f>
        <v/>
      </c>
      <c r="H212">
        <f>IF($A212="","",IFERROR(INDEX('[AQ_2021.xlsx]原始数据'!$C:$C,MATCH($A212,'[AQ_2021.xlsx]原始数据'!$A:$A,0)),""))</f>
        <v/>
      </c>
      <c r="I212">
        <f>IF($A212="","",IFERROR(INDEX('[AQ_2022.xlsx]原始数据'!$C:$C,MATCH($A212,'[AQ_2022.xlsx]原始数据'!$A:$A,0)),""))</f>
        <v/>
      </c>
      <c r="J212">
        <f>IF($A212="","",IFERROR(INDEX('[AQ_2023.xlsx]原始数据'!$C:$C,MATCH($A212,'[AQ_2023.xlsx]原始数据'!$A:$A,0)),""))</f>
        <v/>
      </c>
      <c r="K212">
        <f>IF($A212="","",IFERROR(INDEX('[AQ_2024.xlsx]原始数据'!$C:$C,MATCH($A212,'[AQ_2024.xlsx]原始数据'!$A:$A,0)),""))</f>
        <v/>
      </c>
      <c r="L212">
        <f>IF($A212="","",IFERROR(INDEX('[AQ_2020.xlsx]原始数据'!$D:$D,MATCH($A212,'[AQ_2020.xlsx]原始数据'!$A:$A,0)),""))</f>
        <v/>
      </c>
      <c r="M212">
        <f>IF($A212="","",IFERROR(INDEX('[AQ_2021.xlsx]原始数据'!$D:$D,MATCH($A212,'[AQ_2021.xlsx]原始数据'!$A:$A,0)),""))</f>
        <v/>
      </c>
      <c r="N212">
        <f>IF($A212="","",IFERROR(INDEX('[AQ_2022.xlsx]原始数据'!$D:$D,MATCH($A212,'[AQ_2022.xlsx]原始数据'!$A:$A,0)),""))</f>
        <v/>
      </c>
      <c r="O212">
        <f>IF($A212="","",IFERROR(INDEX('[AQ_2023.xlsx]原始数据'!$D:$D,MATCH($A212,'[AQ_2023.xlsx]原始数据'!$A:$A,0)),""))</f>
        <v/>
      </c>
      <c r="P212">
        <f>IF($A212="","",IFERROR(INDEX('[AQ_2024.xlsx]原始数据'!$D:$D,MATCH($A212,'[AQ_2024.xlsx]原始数据'!$A:$A,0)),""))</f>
        <v/>
      </c>
      <c r="Q212">
        <f>IF($A212="","",IFERROR(INDEX('[AQ_2020.xlsx]原始数据'!$E:$E,MATCH($A212,'[AQ_2020.xlsx]原始数据'!$A:$A,0)),""))</f>
        <v/>
      </c>
      <c r="R212">
        <f>IF($A212="","",IFERROR(INDEX('[AQ_2021.xlsx]原始数据'!$E:$E,MATCH($A212,'[AQ_2021.xlsx]原始数据'!$A:$A,0)),""))</f>
        <v/>
      </c>
      <c r="S212">
        <f>IF($A212="","",IFERROR(INDEX('[AQ_2022.xlsx]原始数据'!$E:$E,MATCH($A212,'[AQ_2022.xlsx]原始数据'!$A:$A,0)),""))</f>
        <v/>
      </c>
      <c r="T212">
        <f>IF($A212="","",IFERROR(INDEX('[AQ_2023.xlsx]原始数据'!$E:$E,MATCH($A212,'[AQ_2023.xlsx]原始数据'!$A:$A,0)),""))</f>
        <v/>
      </c>
      <c r="U212">
        <f>IF($A212="","",IFERROR(INDEX('[AQ_2024.xlsx]原始数据'!$E:$E,MATCH($A212,'[AQ_2024.xlsx]原始数据'!$A:$A,0)),""))</f>
        <v/>
      </c>
      <c r="V212">
        <f>IF($A212="","",IFERROR(INDEX('[AQ_2020.xlsx]原始数据'!$F:$F,MATCH($A212,'[AQ_2020.xlsx]原始数据'!$A:$A,0)),""))</f>
        <v/>
      </c>
      <c r="W212">
        <f>IF($A212="","",IFERROR(INDEX('[AQ_2021.xlsx]原始数据'!$F:$F,MATCH($A212,'[AQ_2021.xlsx]原始数据'!$A:$A,0)),""))</f>
        <v/>
      </c>
      <c r="X212">
        <f>IF($A212="","",IFERROR(INDEX('[AQ_2022.xlsx]原始数据'!$F:$F,MATCH($A212,'[AQ_2022.xlsx]原始数据'!$A:$A,0)),""))</f>
        <v/>
      </c>
      <c r="Y212">
        <f>IF($A212="","",IFERROR(INDEX('[AQ_2023.xlsx]原始数据'!$F:$F,MATCH($A212,'[AQ_2023.xlsx]原始数据'!$A:$A,0)),""))</f>
        <v/>
      </c>
      <c r="Z212">
        <f>IF($A212="","",IFERROR(INDEX('[AQ_2024.xlsx]原始数据'!$F:$F,MATCH($A212,'[AQ_2024.xlsx]原始数据'!$A:$A,0)),""))</f>
        <v/>
      </c>
      <c r="AA212" s="2">
        <f>IFERROR(G212/B212,"")</f>
        <v/>
      </c>
      <c r="AB212" s="2">
        <f>IFERROR(H212/C212,"")</f>
        <v/>
      </c>
      <c r="AC212" s="2">
        <f>IFERROR(I212/D212,"")</f>
        <v/>
      </c>
      <c r="AD212" s="2">
        <f>IFERROR(J212/E212,"")</f>
        <v/>
      </c>
      <c r="AE212" s="2">
        <f>IFERROR(K212/F212,"")</f>
        <v/>
      </c>
      <c r="AF212" s="2">
        <f>IFERROR(L212/B212,"")</f>
        <v/>
      </c>
      <c r="AG212" s="2">
        <f>IFERROR(M212/C212,"")</f>
        <v/>
      </c>
      <c r="AH212" s="2">
        <f>IFERROR(N212/D212,"")</f>
        <v/>
      </c>
      <c r="AI212" s="2">
        <f>IFERROR(O212/E212,"")</f>
        <v/>
      </c>
      <c r="AJ212" s="2">
        <f>IFERROR(P212/F212,"")</f>
        <v/>
      </c>
      <c r="AK212" s="2">
        <f>IFERROR(Q212/B212,"")</f>
        <v/>
      </c>
      <c r="AL212" s="2">
        <f>IFERROR(R212/C212,"")</f>
        <v/>
      </c>
      <c r="AM212" s="2">
        <f>IFERROR(S212/D212,"")</f>
        <v/>
      </c>
      <c r="AN212" s="2">
        <f>IFERROR(T212/E212,"")</f>
        <v/>
      </c>
      <c r="AO212" s="2">
        <f>IFERROR(U212/F212,"")</f>
        <v/>
      </c>
    </row>
    <row r="213">
      <c r="B213">
        <f>IF($A213="","",IFERROR(INDEX('[AQ_2020.xlsx]原始数据'!$B:$B,MATCH($A213,'[AQ_2020.xlsx]原始数据'!$A:$A,0)),""))</f>
        <v/>
      </c>
      <c r="C213">
        <f>IF($A213="","",IFERROR(INDEX('[AQ_2021.xlsx]原始数据'!$B:$B,MATCH($A213,'[AQ_2021.xlsx]原始数据'!$A:$A,0)),""))</f>
        <v/>
      </c>
      <c r="D213">
        <f>IF($A213="","",IFERROR(INDEX('[AQ_2022.xlsx]原始数据'!$B:$B,MATCH($A213,'[AQ_2022.xlsx]原始数据'!$A:$A,0)),""))</f>
        <v/>
      </c>
      <c r="E213">
        <f>IF($A213="","",IFERROR(INDEX('[AQ_2023.xlsx]原始数据'!$B:$B,MATCH($A213,'[AQ_2023.xlsx]原始数据'!$A:$A,0)),""))</f>
        <v/>
      </c>
      <c r="F213">
        <f>IF($A213="","",IFERROR(INDEX('[AQ_2024.xlsx]原始数据'!$B:$B,MATCH($A213,'[AQ_2024.xlsx]原始数据'!$A:$A,0)),""))</f>
        <v/>
      </c>
      <c r="G213">
        <f>IF($A213="","",IFERROR(INDEX('[AQ_2020.xlsx]原始数据'!$C:$C,MATCH($A213,'[AQ_2020.xlsx]原始数据'!$A:$A,0)),""))</f>
        <v/>
      </c>
      <c r="H213">
        <f>IF($A213="","",IFERROR(INDEX('[AQ_2021.xlsx]原始数据'!$C:$C,MATCH($A213,'[AQ_2021.xlsx]原始数据'!$A:$A,0)),""))</f>
        <v/>
      </c>
      <c r="I213">
        <f>IF($A213="","",IFERROR(INDEX('[AQ_2022.xlsx]原始数据'!$C:$C,MATCH($A213,'[AQ_2022.xlsx]原始数据'!$A:$A,0)),""))</f>
        <v/>
      </c>
      <c r="J213">
        <f>IF($A213="","",IFERROR(INDEX('[AQ_2023.xlsx]原始数据'!$C:$C,MATCH($A213,'[AQ_2023.xlsx]原始数据'!$A:$A,0)),""))</f>
        <v/>
      </c>
      <c r="K213">
        <f>IF($A213="","",IFERROR(INDEX('[AQ_2024.xlsx]原始数据'!$C:$C,MATCH($A213,'[AQ_2024.xlsx]原始数据'!$A:$A,0)),""))</f>
        <v/>
      </c>
      <c r="L213">
        <f>IF($A213="","",IFERROR(INDEX('[AQ_2020.xlsx]原始数据'!$D:$D,MATCH($A213,'[AQ_2020.xlsx]原始数据'!$A:$A,0)),""))</f>
        <v/>
      </c>
      <c r="M213">
        <f>IF($A213="","",IFERROR(INDEX('[AQ_2021.xlsx]原始数据'!$D:$D,MATCH($A213,'[AQ_2021.xlsx]原始数据'!$A:$A,0)),""))</f>
        <v/>
      </c>
      <c r="N213">
        <f>IF($A213="","",IFERROR(INDEX('[AQ_2022.xlsx]原始数据'!$D:$D,MATCH($A213,'[AQ_2022.xlsx]原始数据'!$A:$A,0)),""))</f>
        <v/>
      </c>
      <c r="O213">
        <f>IF($A213="","",IFERROR(INDEX('[AQ_2023.xlsx]原始数据'!$D:$D,MATCH($A213,'[AQ_2023.xlsx]原始数据'!$A:$A,0)),""))</f>
        <v/>
      </c>
      <c r="P213">
        <f>IF($A213="","",IFERROR(INDEX('[AQ_2024.xlsx]原始数据'!$D:$D,MATCH($A213,'[AQ_2024.xlsx]原始数据'!$A:$A,0)),""))</f>
        <v/>
      </c>
      <c r="Q213">
        <f>IF($A213="","",IFERROR(INDEX('[AQ_2020.xlsx]原始数据'!$E:$E,MATCH($A213,'[AQ_2020.xlsx]原始数据'!$A:$A,0)),""))</f>
        <v/>
      </c>
      <c r="R213">
        <f>IF($A213="","",IFERROR(INDEX('[AQ_2021.xlsx]原始数据'!$E:$E,MATCH($A213,'[AQ_2021.xlsx]原始数据'!$A:$A,0)),""))</f>
        <v/>
      </c>
      <c r="S213">
        <f>IF($A213="","",IFERROR(INDEX('[AQ_2022.xlsx]原始数据'!$E:$E,MATCH($A213,'[AQ_2022.xlsx]原始数据'!$A:$A,0)),""))</f>
        <v/>
      </c>
      <c r="T213">
        <f>IF($A213="","",IFERROR(INDEX('[AQ_2023.xlsx]原始数据'!$E:$E,MATCH($A213,'[AQ_2023.xlsx]原始数据'!$A:$A,0)),""))</f>
        <v/>
      </c>
      <c r="U213">
        <f>IF($A213="","",IFERROR(INDEX('[AQ_2024.xlsx]原始数据'!$E:$E,MATCH($A213,'[AQ_2024.xlsx]原始数据'!$A:$A,0)),""))</f>
        <v/>
      </c>
      <c r="V213">
        <f>IF($A213="","",IFERROR(INDEX('[AQ_2020.xlsx]原始数据'!$F:$F,MATCH($A213,'[AQ_2020.xlsx]原始数据'!$A:$A,0)),""))</f>
        <v/>
      </c>
      <c r="W213">
        <f>IF($A213="","",IFERROR(INDEX('[AQ_2021.xlsx]原始数据'!$F:$F,MATCH($A213,'[AQ_2021.xlsx]原始数据'!$A:$A,0)),""))</f>
        <v/>
      </c>
      <c r="X213">
        <f>IF($A213="","",IFERROR(INDEX('[AQ_2022.xlsx]原始数据'!$F:$F,MATCH($A213,'[AQ_2022.xlsx]原始数据'!$A:$A,0)),""))</f>
        <v/>
      </c>
      <c r="Y213">
        <f>IF($A213="","",IFERROR(INDEX('[AQ_2023.xlsx]原始数据'!$F:$F,MATCH($A213,'[AQ_2023.xlsx]原始数据'!$A:$A,0)),""))</f>
        <v/>
      </c>
      <c r="Z213">
        <f>IF($A213="","",IFERROR(INDEX('[AQ_2024.xlsx]原始数据'!$F:$F,MATCH($A213,'[AQ_2024.xlsx]原始数据'!$A:$A,0)),""))</f>
        <v/>
      </c>
      <c r="AA213" s="2">
        <f>IFERROR(G213/B213,"")</f>
        <v/>
      </c>
      <c r="AB213" s="2">
        <f>IFERROR(H213/C213,"")</f>
        <v/>
      </c>
      <c r="AC213" s="2">
        <f>IFERROR(I213/D213,"")</f>
        <v/>
      </c>
      <c r="AD213" s="2">
        <f>IFERROR(J213/E213,"")</f>
        <v/>
      </c>
      <c r="AE213" s="2">
        <f>IFERROR(K213/F213,"")</f>
        <v/>
      </c>
      <c r="AF213" s="2">
        <f>IFERROR(L213/B213,"")</f>
        <v/>
      </c>
      <c r="AG213" s="2">
        <f>IFERROR(M213/C213,"")</f>
        <v/>
      </c>
      <c r="AH213" s="2">
        <f>IFERROR(N213/D213,"")</f>
        <v/>
      </c>
      <c r="AI213" s="2">
        <f>IFERROR(O213/E213,"")</f>
        <v/>
      </c>
      <c r="AJ213" s="2">
        <f>IFERROR(P213/F213,"")</f>
        <v/>
      </c>
      <c r="AK213" s="2">
        <f>IFERROR(Q213/B213,"")</f>
        <v/>
      </c>
      <c r="AL213" s="2">
        <f>IFERROR(R213/C213,"")</f>
        <v/>
      </c>
      <c r="AM213" s="2">
        <f>IFERROR(S213/D213,"")</f>
        <v/>
      </c>
      <c r="AN213" s="2">
        <f>IFERROR(T213/E213,"")</f>
        <v/>
      </c>
      <c r="AO213" s="2">
        <f>IFERROR(U213/F213,"")</f>
        <v/>
      </c>
    </row>
    <row r="214">
      <c r="B214">
        <f>IF($A214="","",IFERROR(INDEX('[AQ_2020.xlsx]原始数据'!$B:$B,MATCH($A214,'[AQ_2020.xlsx]原始数据'!$A:$A,0)),""))</f>
        <v/>
      </c>
      <c r="C214">
        <f>IF($A214="","",IFERROR(INDEX('[AQ_2021.xlsx]原始数据'!$B:$B,MATCH($A214,'[AQ_2021.xlsx]原始数据'!$A:$A,0)),""))</f>
        <v/>
      </c>
      <c r="D214">
        <f>IF($A214="","",IFERROR(INDEX('[AQ_2022.xlsx]原始数据'!$B:$B,MATCH($A214,'[AQ_2022.xlsx]原始数据'!$A:$A,0)),""))</f>
        <v/>
      </c>
      <c r="E214">
        <f>IF($A214="","",IFERROR(INDEX('[AQ_2023.xlsx]原始数据'!$B:$B,MATCH($A214,'[AQ_2023.xlsx]原始数据'!$A:$A,0)),""))</f>
        <v/>
      </c>
      <c r="F214">
        <f>IF($A214="","",IFERROR(INDEX('[AQ_2024.xlsx]原始数据'!$B:$B,MATCH($A214,'[AQ_2024.xlsx]原始数据'!$A:$A,0)),""))</f>
        <v/>
      </c>
      <c r="G214">
        <f>IF($A214="","",IFERROR(INDEX('[AQ_2020.xlsx]原始数据'!$C:$C,MATCH($A214,'[AQ_2020.xlsx]原始数据'!$A:$A,0)),""))</f>
        <v/>
      </c>
      <c r="H214">
        <f>IF($A214="","",IFERROR(INDEX('[AQ_2021.xlsx]原始数据'!$C:$C,MATCH($A214,'[AQ_2021.xlsx]原始数据'!$A:$A,0)),""))</f>
        <v/>
      </c>
      <c r="I214">
        <f>IF($A214="","",IFERROR(INDEX('[AQ_2022.xlsx]原始数据'!$C:$C,MATCH($A214,'[AQ_2022.xlsx]原始数据'!$A:$A,0)),""))</f>
        <v/>
      </c>
      <c r="J214">
        <f>IF($A214="","",IFERROR(INDEX('[AQ_2023.xlsx]原始数据'!$C:$C,MATCH($A214,'[AQ_2023.xlsx]原始数据'!$A:$A,0)),""))</f>
        <v/>
      </c>
      <c r="K214">
        <f>IF($A214="","",IFERROR(INDEX('[AQ_2024.xlsx]原始数据'!$C:$C,MATCH($A214,'[AQ_2024.xlsx]原始数据'!$A:$A,0)),""))</f>
        <v/>
      </c>
      <c r="L214">
        <f>IF($A214="","",IFERROR(INDEX('[AQ_2020.xlsx]原始数据'!$D:$D,MATCH($A214,'[AQ_2020.xlsx]原始数据'!$A:$A,0)),""))</f>
        <v/>
      </c>
      <c r="M214">
        <f>IF($A214="","",IFERROR(INDEX('[AQ_2021.xlsx]原始数据'!$D:$D,MATCH($A214,'[AQ_2021.xlsx]原始数据'!$A:$A,0)),""))</f>
        <v/>
      </c>
      <c r="N214">
        <f>IF($A214="","",IFERROR(INDEX('[AQ_2022.xlsx]原始数据'!$D:$D,MATCH($A214,'[AQ_2022.xlsx]原始数据'!$A:$A,0)),""))</f>
        <v/>
      </c>
      <c r="O214">
        <f>IF($A214="","",IFERROR(INDEX('[AQ_2023.xlsx]原始数据'!$D:$D,MATCH($A214,'[AQ_2023.xlsx]原始数据'!$A:$A,0)),""))</f>
        <v/>
      </c>
      <c r="P214">
        <f>IF($A214="","",IFERROR(INDEX('[AQ_2024.xlsx]原始数据'!$D:$D,MATCH($A214,'[AQ_2024.xlsx]原始数据'!$A:$A,0)),""))</f>
        <v/>
      </c>
      <c r="Q214">
        <f>IF($A214="","",IFERROR(INDEX('[AQ_2020.xlsx]原始数据'!$E:$E,MATCH($A214,'[AQ_2020.xlsx]原始数据'!$A:$A,0)),""))</f>
        <v/>
      </c>
      <c r="R214">
        <f>IF($A214="","",IFERROR(INDEX('[AQ_2021.xlsx]原始数据'!$E:$E,MATCH($A214,'[AQ_2021.xlsx]原始数据'!$A:$A,0)),""))</f>
        <v/>
      </c>
      <c r="S214">
        <f>IF($A214="","",IFERROR(INDEX('[AQ_2022.xlsx]原始数据'!$E:$E,MATCH($A214,'[AQ_2022.xlsx]原始数据'!$A:$A,0)),""))</f>
        <v/>
      </c>
      <c r="T214">
        <f>IF($A214="","",IFERROR(INDEX('[AQ_2023.xlsx]原始数据'!$E:$E,MATCH($A214,'[AQ_2023.xlsx]原始数据'!$A:$A,0)),""))</f>
        <v/>
      </c>
      <c r="U214">
        <f>IF($A214="","",IFERROR(INDEX('[AQ_2024.xlsx]原始数据'!$E:$E,MATCH($A214,'[AQ_2024.xlsx]原始数据'!$A:$A,0)),""))</f>
        <v/>
      </c>
      <c r="V214">
        <f>IF($A214="","",IFERROR(INDEX('[AQ_2020.xlsx]原始数据'!$F:$F,MATCH($A214,'[AQ_2020.xlsx]原始数据'!$A:$A,0)),""))</f>
        <v/>
      </c>
      <c r="W214">
        <f>IF($A214="","",IFERROR(INDEX('[AQ_2021.xlsx]原始数据'!$F:$F,MATCH($A214,'[AQ_2021.xlsx]原始数据'!$A:$A,0)),""))</f>
        <v/>
      </c>
      <c r="X214">
        <f>IF($A214="","",IFERROR(INDEX('[AQ_2022.xlsx]原始数据'!$F:$F,MATCH($A214,'[AQ_2022.xlsx]原始数据'!$A:$A,0)),""))</f>
        <v/>
      </c>
      <c r="Y214">
        <f>IF($A214="","",IFERROR(INDEX('[AQ_2023.xlsx]原始数据'!$F:$F,MATCH($A214,'[AQ_2023.xlsx]原始数据'!$A:$A,0)),""))</f>
        <v/>
      </c>
      <c r="Z214">
        <f>IF($A214="","",IFERROR(INDEX('[AQ_2024.xlsx]原始数据'!$F:$F,MATCH($A214,'[AQ_2024.xlsx]原始数据'!$A:$A,0)),""))</f>
        <v/>
      </c>
      <c r="AA214" s="2">
        <f>IFERROR(G214/B214,"")</f>
        <v/>
      </c>
      <c r="AB214" s="2">
        <f>IFERROR(H214/C214,"")</f>
        <v/>
      </c>
      <c r="AC214" s="2">
        <f>IFERROR(I214/D214,"")</f>
        <v/>
      </c>
      <c r="AD214" s="2">
        <f>IFERROR(J214/E214,"")</f>
        <v/>
      </c>
      <c r="AE214" s="2">
        <f>IFERROR(K214/F214,"")</f>
        <v/>
      </c>
      <c r="AF214" s="2">
        <f>IFERROR(L214/B214,"")</f>
        <v/>
      </c>
      <c r="AG214" s="2">
        <f>IFERROR(M214/C214,"")</f>
        <v/>
      </c>
      <c r="AH214" s="2">
        <f>IFERROR(N214/D214,"")</f>
        <v/>
      </c>
      <c r="AI214" s="2">
        <f>IFERROR(O214/E214,"")</f>
        <v/>
      </c>
      <c r="AJ214" s="2">
        <f>IFERROR(P214/F214,"")</f>
        <v/>
      </c>
      <c r="AK214" s="2">
        <f>IFERROR(Q214/B214,"")</f>
        <v/>
      </c>
      <c r="AL214" s="2">
        <f>IFERROR(R214/C214,"")</f>
        <v/>
      </c>
      <c r="AM214" s="2">
        <f>IFERROR(S214/D214,"")</f>
        <v/>
      </c>
      <c r="AN214" s="2">
        <f>IFERROR(T214/E214,"")</f>
        <v/>
      </c>
      <c r="AO214" s="2">
        <f>IFERROR(U214/F214,"")</f>
        <v/>
      </c>
    </row>
    <row r="215">
      <c r="B215">
        <f>IF($A215="","",IFERROR(INDEX('[AQ_2020.xlsx]原始数据'!$B:$B,MATCH($A215,'[AQ_2020.xlsx]原始数据'!$A:$A,0)),""))</f>
        <v/>
      </c>
      <c r="C215">
        <f>IF($A215="","",IFERROR(INDEX('[AQ_2021.xlsx]原始数据'!$B:$B,MATCH($A215,'[AQ_2021.xlsx]原始数据'!$A:$A,0)),""))</f>
        <v/>
      </c>
      <c r="D215">
        <f>IF($A215="","",IFERROR(INDEX('[AQ_2022.xlsx]原始数据'!$B:$B,MATCH($A215,'[AQ_2022.xlsx]原始数据'!$A:$A,0)),""))</f>
        <v/>
      </c>
      <c r="E215">
        <f>IF($A215="","",IFERROR(INDEX('[AQ_2023.xlsx]原始数据'!$B:$B,MATCH($A215,'[AQ_2023.xlsx]原始数据'!$A:$A,0)),""))</f>
        <v/>
      </c>
      <c r="F215">
        <f>IF($A215="","",IFERROR(INDEX('[AQ_2024.xlsx]原始数据'!$B:$B,MATCH($A215,'[AQ_2024.xlsx]原始数据'!$A:$A,0)),""))</f>
        <v/>
      </c>
      <c r="G215">
        <f>IF($A215="","",IFERROR(INDEX('[AQ_2020.xlsx]原始数据'!$C:$C,MATCH($A215,'[AQ_2020.xlsx]原始数据'!$A:$A,0)),""))</f>
        <v/>
      </c>
      <c r="H215">
        <f>IF($A215="","",IFERROR(INDEX('[AQ_2021.xlsx]原始数据'!$C:$C,MATCH($A215,'[AQ_2021.xlsx]原始数据'!$A:$A,0)),""))</f>
        <v/>
      </c>
      <c r="I215">
        <f>IF($A215="","",IFERROR(INDEX('[AQ_2022.xlsx]原始数据'!$C:$C,MATCH($A215,'[AQ_2022.xlsx]原始数据'!$A:$A,0)),""))</f>
        <v/>
      </c>
      <c r="J215">
        <f>IF($A215="","",IFERROR(INDEX('[AQ_2023.xlsx]原始数据'!$C:$C,MATCH($A215,'[AQ_2023.xlsx]原始数据'!$A:$A,0)),""))</f>
        <v/>
      </c>
      <c r="K215">
        <f>IF($A215="","",IFERROR(INDEX('[AQ_2024.xlsx]原始数据'!$C:$C,MATCH($A215,'[AQ_2024.xlsx]原始数据'!$A:$A,0)),""))</f>
        <v/>
      </c>
      <c r="L215">
        <f>IF($A215="","",IFERROR(INDEX('[AQ_2020.xlsx]原始数据'!$D:$D,MATCH($A215,'[AQ_2020.xlsx]原始数据'!$A:$A,0)),""))</f>
        <v/>
      </c>
      <c r="M215">
        <f>IF($A215="","",IFERROR(INDEX('[AQ_2021.xlsx]原始数据'!$D:$D,MATCH($A215,'[AQ_2021.xlsx]原始数据'!$A:$A,0)),""))</f>
        <v/>
      </c>
      <c r="N215">
        <f>IF($A215="","",IFERROR(INDEX('[AQ_2022.xlsx]原始数据'!$D:$D,MATCH($A215,'[AQ_2022.xlsx]原始数据'!$A:$A,0)),""))</f>
        <v/>
      </c>
      <c r="O215">
        <f>IF($A215="","",IFERROR(INDEX('[AQ_2023.xlsx]原始数据'!$D:$D,MATCH($A215,'[AQ_2023.xlsx]原始数据'!$A:$A,0)),""))</f>
        <v/>
      </c>
      <c r="P215">
        <f>IF($A215="","",IFERROR(INDEX('[AQ_2024.xlsx]原始数据'!$D:$D,MATCH($A215,'[AQ_2024.xlsx]原始数据'!$A:$A,0)),""))</f>
        <v/>
      </c>
      <c r="Q215">
        <f>IF($A215="","",IFERROR(INDEX('[AQ_2020.xlsx]原始数据'!$E:$E,MATCH($A215,'[AQ_2020.xlsx]原始数据'!$A:$A,0)),""))</f>
        <v/>
      </c>
      <c r="R215">
        <f>IF($A215="","",IFERROR(INDEX('[AQ_2021.xlsx]原始数据'!$E:$E,MATCH($A215,'[AQ_2021.xlsx]原始数据'!$A:$A,0)),""))</f>
        <v/>
      </c>
      <c r="S215">
        <f>IF($A215="","",IFERROR(INDEX('[AQ_2022.xlsx]原始数据'!$E:$E,MATCH($A215,'[AQ_2022.xlsx]原始数据'!$A:$A,0)),""))</f>
        <v/>
      </c>
      <c r="T215">
        <f>IF($A215="","",IFERROR(INDEX('[AQ_2023.xlsx]原始数据'!$E:$E,MATCH($A215,'[AQ_2023.xlsx]原始数据'!$A:$A,0)),""))</f>
        <v/>
      </c>
      <c r="U215">
        <f>IF($A215="","",IFERROR(INDEX('[AQ_2024.xlsx]原始数据'!$E:$E,MATCH($A215,'[AQ_2024.xlsx]原始数据'!$A:$A,0)),""))</f>
        <v/>
      </c>
      <c r="V215">
        <f>IF($A215="","",IFERROR(INDEX('[AQ_2020.xlsx]原始数据'!$F:$F,MATCH($A215,'[AQ_2020.xlsx]原始数据'!$A:$A,0)),""))</f>
        <v/>
      </c>
      <c r="W215">
        <f>IF($A215="","",IFERROR(INDEX('[AQ_2021.xlsx]原始数据'!$F:$F,MATCH($A215,'[AQ_2021.xlsx]原始数据'!$A:$A,0)),""))</f>
        <v/>
      </c>
      <c r="X215">
        <f>IF($A215="","",IFERROR(INDEX('[AQ_2022.xlsx]原始数据'!$F:$F,MATCH($A215,'[AQ_2022.xlsx]原始数据'!$A:$A,0)),""))</f>
        <v/>
      </c>
      <c r="Y215">
        <f>IF($A215="","",IFERROR(INDEX('[AQ_2023.xlsx]原始数据'!$F:$F,MATCH($A215,'[AQ_2023.xlsx]原始数据'!$A:$A,0)),""))</f>
        <v/>
      </c>
      <c r="Z215">
        <f>IF($A215="","",IFERROR(INDEX('[AQ_2024.xlsx]原始数据'!$F:$F,MATCH($A215,'[AQ_2024.xlsx]原始数据'!$A:$A,0)),""))</f>
        <v/>
      </c>
      <c r="AA215" s="2">
        <f>IFERROR(G215/B215,"")</f>
        <v/>
      </c>
      <c r="AB215" s="2">
        <f>IFERROR(H215/C215,"")</f>
        <v/>
      </c>
      <c r="AC215" s="2">
        <f>IFERROR(I215/D215,"")</f>
        <v/>
      </c>
      <c r="AD215" s="2">
        <f>IFERROR(J215/E215,"")</f>
        <v/>
      </c>
      <c r="AE215" s="2">
        <f>IFERROR(K215/F215,"")</f>
        <v/>
      </c>
      <c r="AF215" s="2">
        <f>IFERROR(L215/B215,"")</f>
        <v/>
      </c>
      <c r="AG215" s="2">
        <f>IFERROR(M215/C215,"")</f>
        <v/>
      </c>
      <c r="AH215" s="2">
        <f>IFERROR(N215/D215,"")</f>
        <v/>
      </c>
      <c r="AI215" s="2">
        <f>IFERROR(O215/E215,"")</f>
        <v/>
      </c>
      <c r="AJ215" s="2">
        <f>IFERROR(P215/F215,"")</f>
        <v/>
      </c>
      <c r="AK215" s="2">
        <f>IFERROR(Q215/B215,"")</f>
        <v/>
      </c>
      <c r="AL215" s="2">
        <f>IFERROR(R215/C215,"")</f>
        <v/>
      </c>
      <c r="AM215" s="2">
        <f>IFERROR(S215/D215,"")</f>
        <v/>
      </c>
      <c r="AN215" s="2">
        <f>IFERROR(T215/E215,"")</f>
        <v/>
      </c>
      <c r="AO215" s="2">
        <f>IFERROR(U215/F215,"")</f>
        <v/>
      </c>
    </row>
    <row r="216">
      <c r="B216">
        <f>IF($A216="","",IFERROR(INDEX('[AQ_2020.xlsx]原始数据'!$B:$B,MATCH($A216,'[AQ_2020.xlsx]原始数据'!$A:$A,0)),""))</f>
        <v/>
      </c>
      <c r="C216">
        <f>IF($A216="","",IFERROR(INDEX('[AQ_2021.xlsx]原始数据'!$B:$B,MATCH($A216,'[AQ_2021.xlsx]原始数据'!$A:$A,0)),""))</f>
        <v/>
      </c>
      <c r="D216">
        <f>IF($A216="","",IFERROR(INDEX('[AQ_2022.xlsx]原始数据'!$B:$B,MATCH($A216,'[AQ_2022.xlsx]原始数据'!$A:$A,0)),""))</f>
        <v/>
      </c>
      <c r="E216">
        <f>IF($A216="","",IFERROR(INDEX('[AQ_2023.xlsx]原始数据'!$B:$B,MATCH($A216,'[AQ_2023.xlsx]原始数据'!$A:$A,0)),""))</f>
        <v/>
      </c>
      <c r="F216">
        <f>IF($A216="","",IFERROR(INDEX('[AQ_2024.xlsx]原始数据'!$B:$B,MATCH($A216,'[AQ_2024.xlsx]原始数据'!$A:$A,0)),""))</f>
        <v/>
      </c>
      <c r="G216">
        <f>IF($A216="","",IFERROR(INDEX('[AQ_2020.xlsx]原始数据'!$C:$C,MATCH($A216,'[AQ_2020.xlsx]原始数据'!$A:$A,0)),""))</f>
        <v/>
      </c>
      <c r="H216">
        <f>IF($A216="","",IFERROR(INDEX('[AQ_2021.xlsx]原始数据'!$C:$C,MATCH($A216,'[AQ_2021.xlsx]原始数据'!$A:$A,0)),""))</f>
        <v/>
      </c>
      <c r="I216">
        <f>IF($A216="","",IFERROR(INDEX('[AQ_2022.xlsx]原始数据'!$C:$C,MATCH($A216,'[AQ_2022.xlsx]原始数据'!$A:$A,0)),""))</f>
        <v/>
      </c>
      <c r="J216">
        <f>IF($A216="","",IFERROR(INDEX('[AQ_2023.xlsx]原始数据'!$C:$C,MATCH($A216,'[AQ_2023.xlsx]原始数据'!$A:$A,0)),""))</f>
        <v/>
      </c>
      <c r="K216">
        <f>IF($A216="","",IFERROR(INDEX('[AQ_2024.xlsx]原始数据'!$C:$C,MATCH($A216,'[AQ_2024.xlsx]原始数据'!$A:$A,0)),""))</f>
        <v/>
      </c>
      <c r="L216">
        <f>IF($A216="","",IFERROR(INDEX('[AQ_2020.xlsx]原始数据'!$D:$D,MATCH($A216,'[AQ_2020.xlsx]原始数据'!$A:$A,0)),""))</f>
        <v/>
      </c>
      <c r="M216">
        <f>IF($A216="","",IFERROR(INDEX('[AQ_2021.xlsx]原始数据'!$D:$D,MATCH($A216,'[AQ_2021.xlsx]原始数据'!$A:$A,0)),""))</f>
        <v/>
      </c>
      <c r="N216">
        <f>IF($A216="","",IFERROR(INDEX('[AQ_2022.xlsx]原始数据'!$D:$D,MATCH($A216,'[AQ_2022.xlsx]原始数据'!$A:$A,0)),""))</f>
        <v/>
      </c>
      <c r="O216">
        <f>IF($A216="","",IFERROR(INDEX('[AQ_2023.xlsx]原始数据'!$D:$D,MATCH($A216,'[AQ_2023.xlsx]原始数据'!$A:$A,0)),""))</f>
        <v/>
      </c>
      <c r="P216">
        <f>IF($A216="","",IFERROR(INDEX('[AQ_2024.xlsx]原始数据'!$D:$D,MATCH($A216,'[AQ_2024.xlsx]原始数据'!$A:$A,0)),""))</f>
        <v/>
      </c>
      <c r="Q216">
        <f>IF($A216="","",IFERROR(INDEX('[AQ_2020.xlsx]原始数据'!$E:$E,MATCH($A216,'[AQ_2020.xlsx]原始数据'!$A:$A,0)),""))</f>
        <v/>
      </c>
      <c r="R216">
        <f>IF($A216="","",IFERROR(INDEX('[AQ_2021.xlsx]原始数据'!$E:$E,MATCH($A216,'[AQ_2021.xlsx]原始数据'!$A:$A,0)),""))</f>
        <v/>
      </c>
      <c r="S216">
        <f>IF($A216="","",IFERROR(INDEX('[AQ_2022.xlsx]原始数据'!$E:$E,MATCH($A216,'[AQ_2022.xlsx]原始数据'!$A:$A,0)),""))</f>
        <v/>
      </c>
      <c r="T216">
        <f>IF($A216="","",IFERROR(INDEX('[AQ_2023.xlsx]原始数据'!$E:$E,MATCH($A216,'[AQ_2023.xlsx]原始数据'!$A:$A,0)),""))</f>
        <v/>
      </c>
      <c r="U216">
        <f>IF($A216="","",IFERROR(INDEX('[AQ_2024.xlsx]原始数据'!$E:$E,MATCH($A216,'[AQ_2024.xlsx]原始数据'!$A:$A,0)),""))</f>
        <v/>
      </c>
      <c r="V216">
        <f>IF($A216="","",IFERROR(INDEX('[AQ_2020.xlsx]原始数据'!$F:$F,MATCH($A216,'[AQ_2020.xlsx]原始数据'!$A:$A,0)),""))</f>
        <v/>
      </c>
      <c r="W216">
        <f>IF($A216="","",IFERROR(INDEX('[AQ_2021.xlsx]原始数据'!$F:$F,MATCH($A216,'[AQ_2021.xlsx]原始数据'!$A:$A,0)),""))</f>
        <v/>
      </c>
      <c r="X216">
        <f>IF($A216="","",IFERROR(INDEX('[AQ_2022.xlsx]原始数据'!$F:$F,MATCH($A216,'[AQ_2022.xlsx]原始数据'!$A:$A,0)),""))</f>
        <v/>
      </c>
      <c r="Y216">
        <f>IF($A216="","",IFERROR(INDEX('[AQ_2023.xlsx]原始数据'!$F:$F,MATCH($A216,'[AQ_2023.xlsx]原始数据'!$A:$A,0)),""))</f>
        <v/>
      </c>
      <c r="Z216">
        <f>IF($A216="","",IFERROR(INDEX('[AQ_2024.xlsx]原始数据'!$F:$F,MATCH($A216,'[AQ_2024.xlsx]原始数据'!$A:$A,0)),""))</f>
        <v/>
      </c>
      <c r="AA216" s="2">
        <f>IFERROR(G216/B216,"")</f>
        <v/>
      </c>
      <c r="AB216" s="2">
        <f>IFERROR(H216/C216,"")</f>
        <v/>
      </c>
      <c r="AC216" s="2">
        <f>IFERROR(I216/D216,"")</f>
        <v/>
      </c>
      <c r="AD216" s="2">
        <f>IFERROR(J216/E216,"")</f>
        <v/>
      </c>
      <c r="AE216" s="2">
        <f>IFERROR(K216/F216,"")</f>
        <v/>
      </c>
      <c r="AF216" s="2">
        <f>IFERROR(L216/B216,"")</f>
        <v/>
      </c>
      <c r="AG216" s="2">
        <f>IFERROR(M216/C216,"")</f>
        <v/>
      </c>
      <c r="AH216" s="2">
        <f>IFERROR(N216/D216,"")</f>
        <v/>
      </c>
      <c r="AI216" s="2">
        <f>IFERROR(O216/E216,"")</f>
        <v/>
      </c>
      <c r="AJ216" s="2">
        <f>IFERROR(P216/F216,"")</f>
        <v/>
      </c>
      <c r="AK216" s="2">
        <f>IFERROR(Q216/B216,"")</f>
        <v/>
      </c>
      <c r="AL216" s="2">
        <f>IFERROR(R216/C216,"")</f>
        <v/>
      </c>
      <c r="AM216" s="2">
        <f>IFERROR(S216/D216,"")</f>
        <v/>
      </c>
      <c r="AN216" s="2">
        <f>IFERROR(T216/E216,"")</f>
        <v/>
      </c>
      <c r="AO216" s="2">
        <f>IFERROR(U216/F216,"")</f>
        <v/>
      </c>
    </row>
    <row r="217">
      <c r="B217">
        <f>IF($A217="","",IFERROR(INDEX('[AQ_2020.xlsx]原始数据'!$B:$B,MATCH($A217,'[AQ_2020.xlsx]原始数据'!$A:$A,0)),""))</f>
        <v/>
      </c>
      <c r="C217">
        <f>IF($A217="","",IFERROR(INDEX('[AQ_2021.xlsx]原始数据'!$B:$B,MATCH($A217,'[AQ_2021.xlsx]原始数据'!$A:$A,0)),""))</f>
        <v/>
      </c>
      <c r="D217">
        <f>IF($A217="","",IFERROR(INDEX('[AQ_2022.xlsx]原始数据'!$B:$B,MATCH($A217,'[AQ_2022.xlsx]原始数据'!$A:$A,0)),""))</f>
        <v/>
      </c>
      <c r="E217">
        <f>IF($A217="","",IFERROR(INDEX('[AQ_2023.xlsx]原始数据'!$B:$B,MATCH($A217,'[AQ_2023.xlsx]原始数据'!$A:$A,0)),""))</f>
        <v/>
      </c>
      <c r="F217">
        <f>IF($A217="","",IFERROR(INDEX('[AQ_2024.xlsx]原始数据'!$B:$B,MATCH($A217,'[AQ_2024.xlsx]原始数据'!$A:$A,0)),""))</f>
        <v/>
      </c>
      <c r="G217">
        <f>IF($A217="","",IFERROR(INDEX('[AQ_2020.xlsx]原始数据'!$C:$C,MATCH($A217,'[AQ_2020.xlsx]原始数据'!$A:$A,0)),""))</f>
        <v/>
      </c>
      <c r="H217">
        <f>IF($A217="","",IFERROR(INDEX('[AQ_2021.xlsx]原始数据'!$C:$C,MATCH($A217,'[AQ_2021.xlsx]原始数据'!$A:$A,0)),""))</f>
        <v/>
      </c>
      <c r="I217">
        <f>IF($A217="","",IFERROR(INDEX('[AQ_2022.xlsx]原始数据'!$C:$C,MATCH($A217,'[AQ_2022.xlsx]原始数据'!$A:$A,0)),""))</f>
        <v/>
      </c>
      <c r="J217">
        <f>IF($A217="","",IFERROR(INDEX('[AQ_2023.xlsx]原始数据'!$C:$C,MATCH($A217,'[AQ_2023.xlsx]原始数据'!$A:$A,0)),""))</f>
        <v/>
      </c>
      <c r="K217">
        <f>IF($A217="","",IFERROR(INDEX('[AQ_2024.xlsx]原始数据'!$C:$C,MATCH($A217,'[AQ_2024.xlsx]原始数据'!$A:$A,0)),""))</f>
        <v/>
      </c>
      <c r="L217">
        <f>IF($A217="","",IFERROR(INDEX('[AQ_2020.xlsx]原始数据'!$D:$D,MATCH($A217,'[AQ_2020.xlsx]原始数据'!$A:$A,0)),""))</f>
        <v/>
      </c>
      <c r="M217">
        <f>IF($A217="","",IFERROR(INDEX('[AQ_2021.xlsx]原始数据'!$D:$D,MATCH($A217,'[AQ_2021.xlsx]原始数据'!$A:$A,0)),""))</f>
        <v/>
      </c>
      <c r="N217">
        <f>IF($A217="","",IFERROR(INDEX('[AQ_2022.xlsx]原始数据'!$D:$D,MATCH($A217,'[AQ_2022.xlsx]原始数据'!$A:$A,0)),""))</f>
        <v/>
      </c>
      <c r="O217">
        <f>IF($A217="","",IFERROR(INDEX('[AQ_2023.xlsx]原始数据'!$D:$D,MATCH($A217,'[AQ_2023.xlsx]原始数据'!$A:$A,0)),""))</f>
        <v/>
      </c>
      <c r="P217">
        <f>IF($A217="","",IFERROR(INDEX('[AQ_2024.xlsx]原始数据'!$D:$D,MATCH($A217,'[AQ_2024.xlsx]原始数据'!$A:$A,0)),""))</f>
        <v/>
      </c>
      <c r="Q217">
        <f>IF($A217="","",IFERROR(INDEX('[AQ_2020.xlsx]原始数据'!$E:$E,MATCH($A217,'[AQ_2020.xlsx]原始数据'!$A:$A,0)),""))</f>
        <v/>
      </c>
      <c r="R217">
        <f>IF($A217="","",IFERROR(INDEX('[AQ_2021.xlsx]原始数据'!$E:$E,MATCH($A217,'[AQ_2021.xlsx]原始数据'!$A:$A,0)),""))</f>
        <v/>
      </c>
      <c r="S217">
        <f>IF($A217="","",IFERROR(INDEX('[AQ_2022.xlsx]原始数据'!$E:$E,MATCH($A217,'[AQ_2022.xlsx]原始数据'!$A:$A,0)),""))</f>
        <v/>
      </c>
      <c r="T217">
        <f>IF($A217="","",IFERROR(INDEX('[AQ_2023.xlsx]原始数据'!$E:$E,MATCH($A217,'[AQ_2023.xlsx]原始数据'!$A:$A,0)),""))</f>
        <v/>
      </c>
      <c r="U217">
        <f>IF($A217="","",IFERROR(INDEX('[AQ_2024.xlsx]原始数据'!$E:$E,MATCH($A217,'[AQ_2024.xlsx]原始数据'!$A:$A,0)),""))</f>
        <v/>
      </c>
      <c r="V217">
        <f>IF($A217="","",IFERROR(INDEX('[AQ_2020.xlsx]原始数据'!$F:$F,MATCH($A217,'[AQ_2020.xlsx]原始数据'!$A:$A,0)),""))</f>
        <v/>
      </c>
      <c r="W217">
        <f>IF($A217="","",IFERROR(INDEX('[AQ_2021.xlsx]原始数据'!$F:$F,MATCH($A217,'[AQ_2021.xlsx]原始数据'!$A:$A,0)),""))</f>
        <v/>
      </c>
      <c r="X217">
        <f>IF($A217="","",IFERROR(INDEX('[AQ_2022.xlsx]原始数据'!$F:$F,MATCH($A217,'[AQ_2022.xlsx]原始数据'!$A:$A,0)),""))</f>
        <v/>
      </c>
      <c r="Y217">
        <f>IF($A217="","",IFERROR(INDEX('[AQ_2023.xlsx]原始数据'!$F:$F,MATCH($A217,'[AQ_2023.xlsx]原始数据'!$A:$A,0)),""))</f>
        <v/>
      </c>
      <c r="Z217">
        <f>IF($A217="","",IFERROR(INDEX('[AQ_2024.xlsx]原始数据'!$F:$F,MATCH($A217,'[AQ_2024.xlsx]原始数据'!$A:$A,0)),""))</f>
        <v/>
      </c>
      <c r="AA217" s="2">
        <f>IFERROR(G217/B217,"")</f>
        <v/>
      </c>
      <c r="AB217" s="2">
        <f>IFERROR(H217/C217,"")</f>
        <v/>
      </c>
      <c r="AC217" s="2">
        <f>IFERROR(I217/D217,"")</f>
        <v/>
      </c>
      <c r="AD217" s="2">
        <f>IFERROR(J217/E217,"")</f>
        <v/>
      </c>
      <c r="AE217" s="2">
        <f>IFERROR(K217/F217,"")</f>
        <v/>
      </c>
      <c r="AF217" s="2">
        <f>IFERROR(L217/B217,"")</f>
        <v/>
      </c>
      <c r="AG217" s="2">
        <f>IFERROR(M217/C217,"")</f>
        <v/>
      </c>
      <c r="AH217" s="2">
        <f>IFERROR(N217/D217,"")</f>
        <v/>
      </c>
      <c r="AI217" s="2">
        <f>IFERROR(O217/E217,"")</f>
        <v/>
      </c>
      <c r="AJ217" s="2">
        <f>IFERROR(P217/F217,"")</f>
        <v/>
      </c>
      <c r="AK217" s="2">
        <f>IFERROR(Q217/B217,"")</f>
        <v/>
      </c>
      <c r="AL217" s="2">
        <f>IFERROR(R217/C217,"")</f>
        <v/>
      </c>
      <c r="AM217" s="2">
        <f>IFERROR(S217/D217,"")</f>
        <v/>
      </c>
      <c r="AN217" s="2">
        <f>IFERROR(T217/E217,"")</f>
        <v/>
      </c>
      <c r="AO217" s="2">
        <f>IFERROR(U217/F217,"")</f>
        <v/>
      </c>
    </row>
    <row r="218">
      <c r="B218">
        <f>IF($A218="","",IFERROR(INDEX('[AQ_2020.xlsx]原始数据'!$B:$B,MATCH($A218,'[AQ_2020.xlsx]原始数据'!$A:$A,0)),""))</f>
        <v/>
      </c>
      <c r="C218">
        <f>IF($A218="","",IFERROR(INDEX('[AQ_2021.xlsx]原始数据'!$B:$B,MATCH($A218,'[AQ_2021.xlsx]原始数据'!$A:$A,0)),""))</f>
        <v/>
      </c>
      <c r="D218">
        <f>IF($A218="","",IFERROR(INDEX('[AQ_2022.xlsx]原始数据'!$B:$B,MATCH($A218,'[AQ_2022.xlsx]原始数据'!$A:$A,0)),""))</f>
        <v/>
      </c>
      <c r="E218">
        <f>IF($A218="","",IFERROR(INDEX('[AQ_2023.xlsx]原始数据'!$B:$B,MATCH($A218,'[AQ_2023.xlsx]原始数据'!$A:$A,0)),""))</f>
        <v/>
      </c>
      <c r="F218">
        <f>IF($A218="","",IFERROR(INDEX('[AQ_2024.xlsx]原始数据'!$B:$B,MATCH($A218,'[AQ_2024.xlsx]原始数据'!$A:$A,0)),""))</f>
        <v/>
      </c>
      <c r="G218">
        <f>IF($A218="","",IFERROR(INDEX('[AQ_2020.xlsx]原始数据'!$C:$C,MATCH($A218,'[AQ_2020.xlsx]原始数据'!$A:$A,0)),""))</f>
        <v/>
      </c>
      <c r="H218">
        <f>IF($A218="","",IFERROR(INDEX('[AQ_2021.xlsx]原始数据'!$C:$C,MATCH($A218,'[AQ_2021.xlsx]原始数据'!$A:$A,0)),""))</f>
        <v/>
      </c>
      <c r="I218">
        <f>IF($A218="","",IFERROR(INDEX('[AQ_2022.xlsx]原始数据'!$C:$C,MATCH($A218,'[AQ_2022.xlsx]原始数据'!$A:$A,0)),""))</f>
        <v/>
      </c>
      <c r="J218">
        <f>IF($A218="","",IFERROR(INDEX('[AQ_2023.xlsx]原始数据'!$C:$C,MATCH($A218,'[AQ_2023.xlsx]原始数据'!$A:$A,0)),""))</f>
        <v/>
      </c>
      <c r="K218">
        <f>IF($A218="","",IFERROR(INDEX('[AQ_2024.xlsx]原始数据'!$C:$C,MATCH($A218,'[AQ_2024.xlsx]原始数据'!$A:$A,0)),""))</f>
        <v/>
      </c>
      <c r="L218">
        <f>IF($A218="","",IFERROR(INDEX('[AQ_2020.xlsx]原始数据'!$D:$D,MATCH($A218,'[AQ_2020.xlsx]原始数据'!$A:$A,0)),""))</f>
        <v/>
      </c>
      <c r="M218">
        <f>IF($A218="","",IFERROR(INDEX('[AQ_2021.xlsx]原始数据'!$D:$D,MATCH($A218,'[AQ_2021.xlsx]原始数据'!$A:$A,0)),""))</f>
        <v/>
      </c>
      <c r="N218">
        <f>IF($A218="","",IFERROR(INDEX('[AQ_2022.xlsx]原始数据'!$D:$D,MATCH($A218,'[AQ_2022.xlsx]原始数据'!$A:$A,0)),""))</f>
        <v/>
      </c>
      <c r="O218">
        <f>IF($A218="","",IFERROR(INDEX('[AQ_2023.xlsx]原始数据'!$D:$D,MATCH($A218,'[AQ_2023.xlsx]原始数据'!$A:$A,0)),""))</f>
        <v/>
      </c>
      <c r="P218">
        <f>IF($A218="","",IFERROR(INDEX('[AQ_2024.xlsx]原始数据'!$D:$D,MATCH($A218,'[AQ_2024.xlsx]原始数据'!$A:$A,0)),""))</f>
        <v/>
      </c>
      <c r="Q218">
        <f>IF($A218="","",IFERROR(INDEX('[AQ_2020.xlsx]原始数据'!$E:$E,MATCH($A218,'[AQ_2020.xlsx]原始数据'!$A:$A,0)),""))</f>
        <v/>
      </c>
      <c r="R218">
        <f>IF($A218="","",IFERROR(INDEX('[AQ_2021.xlsx]原始数据'!$E:$E,MATCH($A218,'[AQ_2021.xlsx]原始数据'!$A:$A,0)),""))</f>
        <v/>
      </c>
      <c r="S218">
        <f>IF($A218="","",IFERROR(INDEX('[AQ_2022.xlsx]原始数据'!$E:$E,MATCH($A218,'[AQ_2022.xlsx]原始数据'!$A:$A,0)),""))</f>
        <v/>
      </c>
      <c r="T218">
        <f>IF($A218="","",IFERROR(INDEX('[AQ_2023.xlsx]原始数据'!$E:$E,MATCH($A218,'[AQ_2023.xlsx]原始数据'!$A:$A,0)),""))</f>
        <v/>
      </c>
      <c r="U218">
        <f>IF($A218="","",IFERROR(INDEX('[AQ_2024.xlsx]原始数据'!$E:$E,MATCH($A218,'[AQ_2024.xlsx]原始数据'!$A:$A,0)),""))</f>
        <v/>
      </c>
      <c r="V218">
        <f>IF($A218="","",IFERROR(INDEX('[AQ_2020.xlsx]原始数据'!$F:$F,MATCH($A218,'[AQ_2020.xlsx]原始数据'!$A:$A,0)),""))</f>
        <v/>
      </c>
      <c r="W218">
        <f>IF($A218="","",IFERROR(INDEX('[AQ_2021.xlsx]原始数据'!$F:$F,MATCH($A218,'[AQ_2021.xlsx]原始数据'!$A:$A,0)),""))</f>
        <v/>
      </c>
      <c r="X218">
        <f>IF($A218="","",IFERROR(INDEX('[AQ_2022.xlsx]原始数据'!$F:$F,MATCH($A218,'[AQ_2022.xlsx]原始数据'!$A:$A,0)),""))</f>
        <v/>
      </c>
      <c r="Y218">
        <f>IF($A218="","",IFERROR(INDEX('[AQ_2023.xlsx]原始数据'!$F:$F,MATCH($A218,'[AQ_2023.xlsx]原始数据'!$A:$A,0)),""))</f>
        <v/>
      </c>
      <c r="Z218">
        <f>IF($A218="","",IFERROR(INDEX('[AQ_2024.xlsx]原始数据'!$F:$F,MATCH($A218,'[AQ_2024.xlsx]原始数据'!$A:$A,0)),""))</f>
        <v/>
      </c>
      <c r="AA218" s="2">
        <f>IFERROR(G218/B218,"")</f>
        <v/>
      </c>
      <c r="AB218" s="2">
        <f>IFERROR(H218/C218,"")</f>
        <v/>
      </c>
      <c r="AC218" s="2">
        <f>IFERROR(I218/D218,"")</f>
        <v/>
      </c>
      <c r="AD218" s="2">
        <f>IFERROR(J218/E218,"")</f>
        <v/>
      </c>
      <c r="AE218" s="2">
        <f>IFERROR(K218/F218,"")</f>
        <v/>
      </c>
      <c r="AF218" s="2">
        <f>IFERROR(L218/B218,"")</f>
        <v/>
      </c>
      <c r="AG218" s="2">
        <f>IFERROR(M218/C218,"")</f>
        <v/>
      </c>
      <c r="AH218" s="2">
        <f>IFERROR(N218/D218,"")</f>
        <v/>
      </c>
      <c r="AI218" s="2">
        <f>IFERROR(O218/E218,"")</f>
        <v/>
      </c>
      <c r="AJ218" s="2">
        <f>IFERROR(P218/F218,"")</f>
        <v/>
      </c>
      <c r="AK218" s="2">
        <f>IFERROR(Q218/B218,"")</f>
        <v/>
      </c>
      <c r="AL218" s="2">
        <f>IFERROR(R218/C218,"")</f>
        <v/>
      </c>
      <c r="AM218" s="2">
        <f>IFERROR(S218/D218,"")</f>
        <v/>
      </c>
      <c r="AN218" s="2">
        <f>IFERROR(T218/E218,"")</f>
        <v/>
      </c>
      <c r="AO218" s="2">
        <f>IFERROR(U218/F218,"")</f>
        <v/>
      </c>
    </row>
    <row r="219">
      <c r="B219">
        <f>IF($A219="","",IFERROR(INDEX('[AQ_2020.xlsx]原始数据'!$B:$B,MATCH($A219,'[AQ_2020.xlsx]原始数据'!$A:$A,0)),""))</f>
        <v/>
      </c>
      <c r="C219">
        <f>IF($A219="","",IFERROR(INDEX('[AQ_2021.xlsx]原始数据'!$B:$B,MATCH($A219,'[AQ_2021.xlsx]原始数据'!$A:$A,0)),""))</f>
        <v/>
      </c>
      <c r="D219">
        <f>IF($A219="","",IFERROR(INDEX('[AQ_2022.xlsx]原始数据'!$B:$B,MATCH($A219,'[AQ_2022.xlsx]原始数据'!$A:$A,0)),""))</f>
        <v/>
      </c>
      <c r="E219">
        <f>IF($A219="","",IFERROR(INDEX('[AQ_2023.xlsx]原始数据'!$B:$B,MATCH($A219,'[AQ_2023.xlsx]原始数据'!$A:$A,0)),""))</f>
        <v/>
      </c>
      <c r="F219">
        <f>IF($A219="","",IFERROR(INDEX('[AQ_2024.xlsx]原始数据'!$B:$B,MATCH($A219,'[AQ_2024.xlsx]原始数据'!$A:$A,0)),""))</f>
        <v/>
      </c>
      <c r="G219">
        <f>IF($A219="","",IFERROR(INDEX('[AQ_2020.xlsx]原始数据'!$C:$C,MATCH($A219,'[AQ_2020.xlsx]原始数据'!$A:$A,0)),""))</f>
        <v/>
      </c>
      <c r="H219">
        <f>IF($A219="","",IFERROR(INDEX('[AQ_2021.xlsx]原始数据'!$C:$C,MATCH($A219,'[AQ_2021.xlsx]原始数据'!$A:$A,0)),""))</f>
        <v/>
      </c>
      <c r="I219">
        <f>IF($A219="","",IFERROR(INDEX('[AQ_2022.xlsx]原始数据'!$C:$C,MATCH($A219,'[AQ_2022.xlsx]原始数据'!$A:$A,0)),""))</f>
        <v/>
      </c>
      <c r="J219">
        <f>IF($A219="","",IFERROR(INDEX('[AQ_2023.xlsx]原始数据'!$C:$C,MATCH($A219,'[AQ_2023.xlsx]原始数据'!$A:$A,0)),""))</f>
        <v/>
      </c>
      <c r="K219">
        <f>IF($A219="","",IFERROR(INDEX('[AQ_2024.xlsx]原始数据'!$C:$C,MATCH($A219,'[AQ_2024.xlsx]原始数据'!$A:$A,0)),""))</f>
        <v/>
      </c>
      <c r="L219">
        <f>IF($A219="","",IFERROR(INDEX('[AQ_2020.xlsx]原始数据'!$D:$D,MATCH($A219,'[AQ_2020.xlsx]原始数据'!$A:$A,0)),""))</f>
        <v/>
      </c>
      <c r="M219">
        <f>IF($A219="","",IFERROR(INDEX('[AQ_2021.xlsx]原始数据'!$D:$D,MATCH($A219,'[AQ_2021.xlsx]原始数据'!$A:$A,0)),""))</f>
        <v/>
      </c>
      <c r="N219">
        <f>IF($A219="","",IFERROR(INDEX('[AQ_2022.xlsx]原始数据'!$D:$D,MATCH($A219,'[AQ_2022.xlsx]原始数据'!$A:$A,0)),""))</f>
        <v/>
      </c>
      <c r="O219">
        <f>IF($A219="","",IFERROR(INDEX('[AQ_2023.xlsx]原始数据'!$D:$D,MATCH($A219,'[AQ_2023.xlsx]原始数据'!$A:$A,0)),""))</f>
        <v/>
      </c>
      <c r="P219">
        <f>IF($A219="","",IFERROR(INDEX('[AQ_2024.xlsx]原始数据'!$D:$D,MATCH($A219,'[AQ_2024.xlsx]原始数据'!$A:$A,0)),""))</f>
        <v/>
      </c>
      <c r="Q219">
        <f>IF($A219="","",IFERROR(INDEX('[AQ_2020.xlsx]原始数据'!$E:$E,MATCH($A219,'[AQ_2020.xlsx]原始数据'!$A:$A,0)),""))</f>
        <v/>
      </c>
      <c r="R219">
        <f>IF($A219="","",IFERROR(INDEX('[AQ_2021.xlsx]原始数据'!$E:$E,MATCH($A219,'[AQ_2021.xlsx]原始数据'!$A:$A,0)),""))</f>
        <v/>
      </c>
      <c r="S219">
        <f>IF($A219="","",IFERROR(INDEX('[AQ_2022.xlsx]原始数据'!$E:$E,MATCH($A219,'[AQ_2022.xlsx]原始数据'!$A:$A,0)),""))</f>
        <v/>
      </c>
      <c r="T219">
        <f>IF($A219="","",IFERROR(INDEX('[AQ_2023.xlsx]原始数据'!$E:$E,MATCH($A219,'[AQ_2023.xlsx]原始数据'!$A:$A,0)),""))</f>
        <v/>
      </c>
      <c r="U219">
        <f>IF($A219="","",IFERROR(INDEX('[AQ_2024.xlsx]原始数据'!$E:$E,MATCH($A219,'[AQ_2024.xlsx]原始数据'!$A:$A,0)),""))</f>
        <v/>
      </c>
      <c r="V219">
        <f>IF($A219="","",IFERROR(INDEX('[AQ_2020.xlsx]原始数据'!$F:$F,MATCH($A219,'[AQ_2020.xlsx]原始数据'!$A:$A,0)),""))</f>
        <v/>
      </c>
      <c r="W219">
        <f>IF($A219="","",IFERROR(INDEX('[AQ_2021.xlsx]原始数据'!$F:$F,MATCH($A219,'[AQ_2021.xlsx]原始数据'!$A:$A,0)),""))</f>
        <v/>
      </c>
      <c r="X219">
        <f>IF($A219="","",IFERROR(INDEX('[AQ_2022.xlsx]原始数据'!$F:$F,MATCH($A219,'[AQ_2022.xlsx]原始数据'!$A:$A,0)),""))</f>
        <v/>
      </c>
      <c r="Y219">
        <f>IF($A219="","",IFERROR(INDEX('[AQ_2023.xlsx]原始数据'!$F:$F,MATCH($A219,'[AQ_2023.xlsx]原始数据'!$A:$A,0)),""))</f>
        <v/>
      </c>
      <c r="Z219">
        <f>IF($A219="","",IFERROR(INDEX('[AQ_2024.xlsx]原始数据'!$F:$F,MATCH($A219,'[AQ_2024.xlsx]原始数据'!$A:$A,0)),""))</f>
        <v/>
      </c>
      <c r="AA219" s="2">
        <f>IFERROR(G219/B219,"")</f>
        <v/>
      </c>
      <c r="AB219" s="2">
        <f>IFERROR(H219/C219,"")</f>
        <v/>
      </c>
      <c r="AC219" s="2">
        <f>IFERROR(I219/D219,"")</f>
        <v/>
      </c>
      <c r="AD219" s="2">
        <f>IFERROR(J219/E219,"")</f>
        <v/>
      </c>
      <c r="AE219" s="2">
        <f>IFERROR(K219/F219,"")</f>
        <v/>
      </c>
      <c r="AF219" s="2">
        <f>IFERROR(L219/B219,"")</f>
        <v/>
      </c>
      <c r="AG219" s="2">
        <f>IFERROR(M219/C219,"")</f>
        <v/>
      </c>
      <c r="AH219" s="2">
        <f>IFERROR(N219/D219,"")</f>
        <v/>
      </c>
      <c r="AI219" s="2">
        <f>IFERROR(O219/E219,"")</f>
        <v/>
      </c>
      <c r="AJ219" s="2">
        <f>IFERROR(P219/F219,"")</f>
        <v/>
      </c>
      <c r="AK219" s="2">
        <f>IFERROR(Q219/B219,"")</f>
        <v/>
      </c>
      <c r="AL219" s="2">
        <f>IFERROR(R219/C219,"")</f>
        <v/>
      </c>
      <c r="AM219" s="2">
        <f>IFERROR(S219/D219,"")</f>
        <v/>
      </c>
      <c r="AN219" s="2">
        <f>IFERROR(T219/E219,"")</f>
        <v/>
      </c>
      <c r="AO219" s="2">
        <f>IFERROR(U219/F219,"")</f>
        <v/>
      </c>
    </row>
    <row r="220">
      <c r="B220">
        <f>IF($A220="","",IFERROR(INDEX('[AQ_2020.xlsx]原始数据'!$B:$B,MATCH($A220,'[AQ_2020.xlsx]原始数据'!$A:$A,0)),""))</f>
        <v/>
      </c>
      <c r="C220">
        <f>IF($A220="","",IFERROR(INDEX('[AQ_2021.xlsx]原始数据'!$B:$B,MATCH($A220,'[AQ_2021.xlsx]原始数据'!$A:$A,0)),""))</f>
        <v/>
      </c>
      <c r="D220">
        <f>IF($A220="","",IFERROR(INDEX('[AQ_2022.xlsx]原始数据'!$B:$B,MATCH($A220,'[AQ_2022.xlsx]原始数据'!$A:$A,0)),""))</f>
        <v/>
      </c>
      <c r="E220">
        <f>IF($A220="","",IFERROR(INDEX('[AQ_2023.xlsx]原始数据'!$B:$B,MATCH($A220,'[AQ_2023.xlsx]原始数据'!$A:$A,0)),""))</f>
        <v/>
      </c>
      <c r="F220">
        <f>IF($A220="","",IFERROR(INDEX('[AQ_2024.xlsx]原始数据'!$B:$B,MATCH($A220,'[AQ_2024.xlsx]原始数据'!$A:$A,0)),""))</f>
        <v/>
      </c>
      <c r="G220">
        <f>IF($A220="","",IFERROR(INDEX('[AQ_2020.xlsx]原始数据'!$C:$C,MATCH($A220,'[AQ_2020.xlsx]原始数据'!$A:$A,0)),""))</f>
        <v/>
      </c>
      <c r="H220">
        <f>IF($A220="","",IFERROR(INDEX('[AQ_2021.xlsx]原始数据'!$C:$C,MATCH($A220,'[AQ_2021.xlsx]原始数据'!$A:$A,0)),""))</f>
        <v/>
      </c>
      <c r="I220">
        <f>IF($A220="","",IFERROR(INDEX('[AQ_2022.xlsx]原始数据'!$C:$C,MATCH($A220,'[AQ_2022.xlsx]原始数据'!$A:$A,0)),""))</f>
        <v/>
      </c>
      <c r="J220">
        <f>IF($A220="","",IFERROR(INDEX('[AQ_2023.xlsx]原始数据'!$C:$C,MATCH($A220,'[AQ_2023.xlsx]原始数据'!$A:$A,0)),""))</f>
        <v/>
      </c>
      <c r="K220">
        <f>IF($A220="","",IFERROR(INDEX('[AQ_2024.xlsx]原始数据'!$C:$C,MATCH($A220,'[AQ_2024.xlsx]原始数据'!$A:$A,0)),""))</f>
        <v/>
      </c>
      <c r="L220">
        <f>IF($A220="","",IFERROR(INDEX('[AQ_2020.xlsx]原始数据'!$D:$D,MATCH($A220,'[AQ_2020.xlsx]原始数据'!$A:$A,0)),""))</f>
        <v/>
      </c>
      <c r="M220">
        <f>IF($A220="","",IFERROR(INDEX('[AQ_2021.xlsx]原始数据'!$D:$D,MATCH($A220,'[AQ_2021.xlsx]原始数据'!$A:$A,0)),""))</f>
        <v/>
      </c>
      <c r="N220">
        <f>IF($A220="","",IFERROR(INDEX('[AQ_2022.xlsx]原始数据'!$D:$D,MATCH($A220,'[AQ_2022.xlsx]原始数据'!$A:$A,0)),""))</f>
        <v/>
      </c>
      <c r="O220">
        <f>IF($A220="","",IFERROR(INDEX('[AQ_2023.xlsx]原始数据'!$D:$D,MATCH($A220,'[AQ_2023.xlsx]原始数据'!$A:$A,0)),""))</f>
        <v/>
      </c>
      <c r="P220">
        <f>IF($A220="","",IFERROR(INDEX('[AQ_2024.xlsx]原始数据'!$D:$D,MATCH($A220,'[AQ_2024.xlsx]原始数据'!$A:$A,0)),""))</f>
        <v/>
      </c>
      <c r="Q220">
        <f>IF($A220="","",IFERROR(INDEX('[AQ_2020.xlsx]原始数据'!$E:$E,MATCH($A220,'[AQ_2020.xlsx]原始数据'!$A:$A,0)),""))</f>
        <v/>
      </c>
      <c r="R220">
        <f>IF($A220="","",IFERROR(INDEX('[AQ_2021.xlsx]原始数据'!$E:$E,MATCH($A220,'[AQ_2021.xlsx]原始数据'!$A:$A,0)),""))</f>
        <v/>
      </c>
      <c r="S220">
        <f>IF($A220="","",IFERROR(INDEX('[AQ_2022.xlsx]原始数据'!$E:$E,MATCH($A220,'[AQ_2022.xlsx]原始数据'!$A:$A,0)),""))</f>
        <v/>
      </c>
      <c r="T220">
        <f>IF($A220="","",IFERROR(INDEX('[AQ_2023.xlsx]原始数据'!$E:$E,MATCH($A220,'[AQ_2023.xlsx]原始数据'!$A:$A,0)),""))</f>
        <v/>
      </c>
      <c r="U220">
        <f>IF($A220="","",IFERROR(INDEX('[AQ_2024.xlsx]原始数据'!$E:$E,MATCH($A220,'[AQ_2024.xlsx]原始数据'!$A:$A,0)),""))</f>
        <v/>
      </c>
      <c r="V220">
        <f>IF($A220="","",IFERROR(INDEX('[AQ_2020.xlsx]原始数据'!$F:$F,MATCH($A220,'[AQ_2020.xlsx]原始数据'!$A:$A,0)),""))</f>
        <v/>
      </c>
      <c r="W220">
        <f>IF($A220="","",IFERROR(INDEX('[AQ_2021.xlsx]原始数据'!$F:$F,MATCH($A220,'[AQ_2021.xlsx]原始数据'!$A:$A,0)),""))</f>
        <v/>
      </c>
      <c r="X220">
        <f>IF($A220="","",IFERROR(INDEX('[AQ_2022.xlsx]原始数据'!$F:$F,MATCH($A220,'[AQ_2022.xlsx]原始数据'!$A:$A,0)),""))</f>
        <v/>
      </c>
      <c r="Y220">
        <f>IF($A220="","",IFERROR(INDEX('[AQ_2023.xlsx]原始数据'!$F:$F,MATCH($A220,'[AQ_2023.xlsx]原始数据'!$A:$A,0)),""))</f>
        <v/>
      </c>
      <c r="Z220">
        <f>IF($A220="","",IFERROR(INDEX('[AQ_2024.xlsx]原始数据'!$F:$F,MATCH($A220,'[AQ_2024.xlsx]原始数据'!$A:$A,0)),""))</f>
        <v/>
      </c>
      <c r="AA220" s="2">
        <f>IFERROR(G220/B220,"")</f>
        <v/>
      </c>
      <c r="AB220" s="2">
        <f>IFERROR(H220/C220,"")</f>
        <v/>
      </c>
      <c r="AC220" s="2">
        <f>IFERROR(I220/D220,"")</f>
        <v/>
      </c>
      <c r="AD220" s="2">
        <f>IFERROR(J220/E220,"")</f>
        <v/>
      </c>
      <c r="AE220" s="2">
        <f>IFERROR(K220/F220,"")</f>
        <v/>
      </c>
      <c r="AF220" s="2">
        <f>IFERROR(L220/B220,"")</f>
        <v/>
      </c>
      <c r="AG220" s="2">
        <f>IFERROR(M220/C220,"")</f>
        <v/>
      </c>
      <c r="AH220" s="2">
        <f>IFERROR(N220/D220,"")</f>
        <v/>
      </c>
      <c r="AI220" s="2">
        <f>IFERROR(O220/E220,"")</f>
        <v/>
      </c>
      <c r="AJ220" s="2">
        <f>IFERROR(P220/F220,"")</f>
        <v/>
      </c>
      <c r="AK220" s="2">
        <f>IFERROR(Q220/B220,"")</f>
        <v/>
      </c>
      <c r="AL220" s="2">
        <f>IFERROR(R220/C220,"")</f>
        <v/>
      </c>
      <c r="AM220" s="2">
        <f>IFERROR(S220/D220,"")</f>
        <v/>
      </c>
      <c r="AN220" s="2">
        <f>IFERROR(T220/E220,"")</f>
        <v/>
      </c>
      <c r="AO220" s="2">
        <f>IFERROR(U220/F220,"")</f>
        <v/>
      </c>
    </row>
    <row r="221">
      <c r="B221">
        <f>IF($A221="","",IFERROR(INDEX('[AQ_2020.xlsx]原始数据'!$B:$B,MATCH($A221,'[AQ_2020.xlsx]原始数据'!$A:$A,0)),""))</f>
        <v/>
      </c>
      <c r="C221">
        <f>IF($A221="","",IFERROR(INDEX('[AQ_2021.xlsx]原始数据'!$B:$B,MATCH($A221,'[AQ_2021.xlsx]原始数据'!$A:$A,0)),""))</f>
        <v/>
      </c>
      <c r="D221">
        <f>IF($A221="","",IFERROR(INDEX('[AQ_2022.xlsx]原始数据'!$B:$B,MATCH($A221,'[AQ_2022.xlsx]原始数据'!$A:$A,0)),""))</f>
        <v/>
      </c>
      <c r="E221">
        <f>IF($A221="","",IFERROR(INDEX('[AQ_2023.xlsx]原始数据'!$B:$B,MATCH($A221,'[AQ_2023.xlsx]原始数据'!$A:$A,0)),""))</f>
        <v/>
      </c>
      <c r="F221">
        <f>IF($A221="","",IFERROR(INDEX('[AQ_2024.xlsx]原始数据'!$B:$B,MATCH($A221,'[AQ_2024.xlsx]原始数据'!$A:$A,0)),""))</f>
        <v/>
      </c>
      <c r="G221">
        <f>IF($A221="","",IFERROR(INDEX('[AQ_2020.xlsx]原始数据'!$C:$C,MATCH($A221,'[AQ_2020.xlsx]原始数据'!$A:$A,0)),""))</f>
        <v/>
      </c>
      <c r="H221">
        <f>IF($A221="","",IFERROR(INDEX('[AQ_2021.xlsx]原始数据'!$C:$C,MATCH($A221,'[AQ_2021.xlsx]原始数据'!$A:$A,0)),""))</f>
        <v/>
      </c>
      <c r="I221">
        <f>IF($A221="","",IFERROR(INDEX('[AQ_2022.xlsx]原始数据'!$C:$C,MATCH($A221,'[AQ_2022.xlsx]原始数据'!$A:$A,0)),""))</f>
        <v/>
      </c>
      <c r="J221">
        <f>IF($A221="","",IFERROR(INDEX('[AQ_2023.xlsx]原始数据'!$C:$C,MATCH($A221,'[AQ_2023.xlsx]原始数据'!$A:$A,0)),""))</f>
        <v/>
      </c>
      <c r="K221">
        <f>IF($A221="","",IFERROR(INDEX('[AQ_2024.xlsx]原始数据'!$C:$C,MATCH($A221,'[AQ_2024.xlsx]原始数据'!$A:$A,0)),""))</f>
        <v/>
      </c>
      <c r="L221">
        <f>IF($A221="","",IFERROR(INDEX('[AQ_2020.xlsx]原始数据'!$D:$D,MATCH($A221,'[AQ_2020.xlsx]原始数据'!$A:$A,0)),""))</f>
        <v/>
      </c>
      <c r="M221">
        <f>IF($A221="","",IFERROR(INDEX('[AQ_2021.xlsx]原始数据'!$D:$D,MATCH($A221,'[AQ_2021.xlsx]原始数据'!$A:$A,0)),""))</f>
        <v/>
      </c>
      <c r="N221">
        <f>IF($A221="","",IFERROR(INDEX('[AQ_2022.xlsx]原始数据'!$D:$D,MATCH($A221,'[AQ_2022.xlsx]原始数据'!$A:$A,0)),""))</f>
        <v/>
      </c>
      <c r="O221">
        <f>IF($A221="","",IFERROR(INDEX('[AQ_2023.xlsx]原始数据'!$D:$D,MATCH($A221,'[AQ_2023.xlsx]原始数据'!$A:$A,0)),""))</f>
        <v/>
      </c>
      <c r="P221">
        <f>IF($A221="","",IFERROR(INDEX('[AQ_2024.xlsx]原始数据'!$D:$D,MATCH($A221,'[AQ_2024.xlsx]原始数据'!$A:$A,0)),""))</f>
        <v/>
      </c>
      <c r="Q221">
        <f>IF($A221="","",IFERROR(INDEX('[AQ_2020.xlsx]原始数据'!$E:$E,MATCH($A221,'[AQ_2020.xlsx]原始数据'!$A:$A,0)),""))</f>
        <v/>
      </c>
      <c r="R221">
        <f>IF($A221="","",IFERROR(INDEX('[AQ_2021.xlsx]原始数据'!$E:$E,MATCH($A221,'[AQ_2021.xlsx]原始数据'!$A:$A,0)),""))</f>
        <v/>
      </c>
      <c r="S221">
        <f>IF($A221="","",IFERROR(INDEX('[AQ_2022.xlsx]原始数据'!$E:$E,MATCH($A221,'[AQ_2022.xlsx]原始数据'!$A:$A,0)),""))</f>
        <v/>
      </c>
      <c r="T221">
        <f>IF($A221="","",IFERROR(INDEX('[AQ_2023.xlsx]原始数据'!$E:$E,MATCH($A221,'[AQ_2023.xlsx]原始数据'!$A:$A,0)),""))</f>
        <v/>
      </c>
      <c r="U221">
        <f>IF($A221="","",IFERROR(INDEX('[AQ_2024.xlsx]原始数据'!$E:$E,MATCH($A221,'[AQ_2024.xlsx]原始数据'!$A:$A,0)),""))</f>
        <v/>
      </c>
      <c r="V221">
        <f>IF($A221="","",IFERROR(INDEX('[AQ_2020.xlsx]原始数据'!$F:$F,MATCH($A221,'[AQ_2020.xlsx]原始数据'!$A:$A,0)),""))</f>
        <v/>
      </c>
      <c r="W221">
        <f>IF($A221="","",IFERROR(INDEX('[AQ_2021.xlsx]原始数据'!$F:$F,MATCH($A221,'[AQ_2021.xlsx]原始数据'!$A:$A,0)),""))</f>
        <v/>
      </c>
      <c r="X221">
        <f>IF($A221="","",IFERROR(INDEX('[AQ_2022.xlsx]原始数据'!$F:$F,MATCH($A221,'[AQ_2022.xlsx]原始数据'!$A:$A,0)),""))</f>
        <v/>
      </c>
      <c r="Y221">
        <f>IF($A221="","",IFERROR(INDEX('[AQ_2023.xlsx]原始数据'!$F:$F,MATCH($A221,'[AQ_2023.xlsx]原始数据'!$A:$A,0)),""))</f>
        <v/>
      </c>
      <c r="Z221">
        <f>IF($A221="","",IFERROR(INDEX('[AQ_2024.xlsx]原始数据'!$F:$F,MATCH($A221,'[AQ_2024.xlsx]原始数据'!$A:$A,0)),""))</f>
        <v/>
      </c>
      <c r="AA221" s="2">
        <f>IFERROR(G221/B221,"")</f>
        <v/>
      </c>
      <c r="AB221" s="2">
        <f>IFERROR(H221/C221,"")</f>
        <v/>
      </c>
      <c r="AC221" s="2">
        <f>IFERROR(I221/D221,"")</f>
        <v/>
      </c>
      <c r="AD221" s="2">
        <f>IFERROR(J221/E221,"")</f>
        <v/>
      </c>
      <c r="AE221" s="2">
        <f>IFERROR(K221/F221,"")</f>
        <v/>
      </c>
      <c r="AF221" s="2">
        <f>IFERROR(L221/B221,"")</f>
        <v/>
      </c>
      <c r="AG221" s="2">
        <f>IFERROR(M221/C221,"")</f>
        <v/>
      </c>
      <c r="AH221" s="2">
        <f>IFERROR(N221/D221,"")</f>
        <v/>
      </c>
      <c r="AI221" s="2">
        <f>IFERROR(O221/E221,"")</f>
        <v/>
      </c>
      <c r="AJ221" s="2">
        <f>IFERROR(P221/F221,"")</f>
        <v/>
      </c>
      <c r="AK221" s="2">
        <f>IFERROR(Q221/B221,"")</f>
        <v/>
      </c>
      <c r="AL221" s="2">
        <f>IFERROR(R221/C221,"")</f>
        <v/>
      </c>
      <c r="AM221" s="2">
        <f>IFERROR(S221/D221,"")</f>
        <v/>
      </c>
      <c r="AN221" s="2">
        <f>IFERROR(T221/E221,"")</f>
        <v/>
      </c>
      <c r="AO221" s="2">
        <f>IFERROR(U221/F221,"")</f>
        <v/>
      </c>
    </row>
    <row r="222">
      <c r="B222">
        <f>IF($A222="","",IFERROR(INDEX('[AQ_2020.xlsx]原始数据'!$B:$B,MATCH($A222,'[AQ_2020.xlsx]原始数据'!$A:$A,0)),""))</f>
        <v/>
      </c>
      <c r="C222">
        <f>IF($A222="","",IFERROR(INDEX('[AQ_2021.xlsx]原始数据'!$B:$B,MATCH($A222,'[AQ_2021.xlsx]原始数据'!$A:$A,0)),""))</f>
        <v/>
      </c>
      <c r="D222">
        <f>IF($A222="","",IFERROR(INDEX('[AQ_2022.xlsx]原始数据'!$B:$B,MATCH($A222,'[AQ_2022.xlsx]原始数据'!$A:$A,0)),""))</f>
        <v/>
      </c>
      <c r="E222">
        <f>IF($A222="","",IFERROR(INDEX('[AQ_2023.xlsx]原始数据'!$B:$B,MATCH($A222,'[AQ_2023.xlsx]原始数据'!$A:$A,0)),""))</f>
        <v/>
      </c>
      <c r="F222">
        <f>IF($A222="","",IFERROR(INDEX('[AQ_2024.xlsx]原始数据'!$B:$B,MATCH($A222,'[AQ_2024.xlsx]原始数据'!$A:$A,0)),""))</f>
        <v/>
      </c>
      <c r="G222">
        <f>IF($A222="","",IFERROR(INDEX('[AQ_2020.xlsx]原始数据'!$C:$C,MATCH($A222,'[AQ_2020.xlsx]原始数据'!$A:$A,0)),""))</f>
        <v/>
      </c>
      <c r="H222">
        <f>IF($A222="","",IFERROR(INDEX('[AQ_2021.xlsx]原始数据'!$C:$C,MATCH($A222,'[AQ_2021.xlsx]原始数据'!$A:$A,0)),""))</f>
        <v/>
      </c>
      <c r="I222">
        <f>IF($A222="","",IFERROR(INDEX('[AQ_2022.xlsx]原始数据'!$C:$C,MATCH($A222,'[AQ_2022.xlsx]原始数据'!$A:$A,0)),""))</f>
        <v/>
      </c>
      <c r="J222">
        <f>IF($A222="","",IFERROR(INDEX('[AQ_2023.xlsx]原始数据'!$C:$C,MATCH($A222,'[AQ_2023.xlsx]原始数据'!$A:$A,0)),""))</f>
        <v/>
      </c>
      <c r="K222">
        <f>IF($A222="","",IFERROR(INDEX('[AQ_2024.xlsx]原始数据'!$C:$C,MATCH($A222,'[AQ_2024.xlsx]原始数据'!$A:$A,0)),""))</f>
        <v/>
      </c>
      <c r="L222">
        <f>IF($A222="","",IFERROR(INDEX('[AQ_2020.xlsx]原始数据'!$D:$D,MATCH($A222,'[AQ_2020.xlsx]原始数据'!$A:$A,0)),""))</f>
        <v/>
      </c>
      <c r="M222">
        <f>IF($A222="","",IFERROR(INDEX('[AQ_2021.xlsx]原始数据'!$D:$D,MATCH($A222,'[AQ_2021.xlsx]原始数据'!$A:$A,0)),""))</f>
        <v/>
      </c>
      <c r="N222">
        <f>IF($A222="","",IFERROR(INDEX('[AQ_2022.xlsx]原始数据'!$D:$D,MATCH($A222,'[AQ_2022.xlsx]原始数据'!$A:$A,0)),""))</f>
        <v/>
      </c>
      <c r="O222">
        <f>IF($A222="","",IFERROR(INDEX('[AQ_2023.xlsx]原始数据'!$D:$D,MATCH($A222,'[AQ_2023.xlsx]原始数据'!$A:$A,0)),""))</f>
        <v/>
      </c>
      <c r="P222">
        <f>IF($A222="","",IFERROR(INDEX('[AQ_2024.xlsx]原始数据'!$D:$D,MATCH($A222,'[AQ_2024.xlsx]原始数据'!$A:$A,0)),""))</f>
        <v/>
      </c>
      <c r="Q222">
        <f>IF($A222="","",IFERROR(INDEX('[AQ_2020.xlsx]原始数据'!$E:$E,MATCH($A222,'[AQ_2020.xlsx]原始数据'!$A:$A,0)),""))</f>
        <v/>
      </c>
      <c r="R222">
        <f>IF($A222="","",IFERROR(INDEX('[AQ_2021.xlsx]原始数据'!$E:$E,MATCH($A222,'[AQ_2021.xlsx]原始数据'!$A:$A,0)),""))</f>
        <v/>
      </c>
      <c r="S222">
        <f>IF($A222="","",IFERROR(INDEX('[AQ_2022.xlsx]原始数据'!$E:$E,MATCH($A222,'[AQ_2022.xlsx]原始数据'!$A:$A,0)),""))</f>
        <v/>
      </c>
      <c r="T222">
        <f>IF($A222="","",IFERROR(INDEX('[AQ_2023.xlsx]原始数据'!$E:$E,MATCH($A222,'[AQ_2023.xlsx]原始数据'!$A:$A,0)),""))</f>
        <v/>
      </c>
      <c r="U222">
        <f>IF($A222="","",IFERROR(INDEX('[AQ_2024.xlsx]原始数据'!$E:$E,MATCH($A222,'[AQ_2024.xlsx]原始数据'!$A:$A,0)),""))</f>
        <v/>
      </c>
      <c r="V222">
        <f>IF($A222="","",IFERROR(INDEX('[AQ_2020.xlsx]原始数据'!$F:$F,MATCH($A222,'[AQ_2020.xlsx]原始数据'!$A:$A,0)),""))</f>
        <v/>
      </c>
      <c r="W222">
        <f>IF($A222="","",IFERROR(INDEX('[AQ_2021.xlsx]原始数据'!$F:$F,MATCH($A222,'[AQ_2021.xlsx]原始数据'!$A:$A,0)),""))</f>
        <v/>
      </c>
      <c r="X222">
        <f>IF($A222="","",IFERROR(INDEX('[AQ_2022.xlsx]原始数据'!$F:$F,MATCH($A222,'[AQ_2022.xlsx]原始数据'!$A:$A,0)),""))</f>
        <v/>
      </c>
      <c r="Y222">
        <f>IF($A222="","",IFERROR(INDEX('[AQ_2023.xlsx]原始数据'!$F:$F,MATCH($A222,'[AQ_2023.xlsx]原始数据'!$A:$A,0)),""))</f>
        <v/>
      </c>
      <c r="Z222">
        <f>IF($A222="","",IFERROR(INDEX('[AQ_2024.xlsx]原始数据'!$F:$F,MATCH($A222,'[AQ_2024.xlsx]原始数据'!$A:$A,0)),""))</f>
        <v/>
      </c>
      <c r="AA222" s="2">
        <f>IFERROR(G222/B222,"")</f>
        <v/>
      </c>
      <c r="AB222" s="2">
        <f>IFERROR(H222/C222,"")</f>
        <v/>
      </c>
      <c r="AC222" s="2">
        <f>IFERROR(I222/D222,"")</f>
        <v/>
      </c>
      <c r="AD222" s="2">
        <f>IFERROR(J222/E222,"")</f>
        <v/>
      </c>
      <c r="AE222" s="2">
        <f>IFERROR(K222/F222,"")</f>
        <v/>
      </c>
      <c r="AF222" s="2">
        <f>IFERROR(L222/B222,"")</f>
        <v/>
      </c>
      <c r="AG222" s="2">
        <f>IFERROR(M222/C222,"")</f>
        <v/>
      </c>
      <c r="AH222" s="2">
        <f>IFERROR(N222/D222,"")</f>
        <v/>
      </c>
      <c r="AI222" s="2">
        <f>IFERROR(O222/E222,"")</f>
        <v/>
      </c>
      <c r="AJ222" s="2">
        <f>IFERROR(P222/F222,"")</f>
        <v/>
      </c>
      <c r="AK222" s="2">
        <f>IFERROR(Q222/B222,"")</f>
        <v/>
      </c>
      <c r="AL222" s="2">
        <f>IFERROR(R222/C222,"")</f>
        <v/>
      </c>
      <c r="AM222" s="2">
        <f>IFERROR(S222/D222,"")</f>
        <v/>
      </c>
      <c r="AN222" s="2">
        <f>IFERROR(T222/E222,"")</f>
        <v/>
      </c>
      <c r="AO222" s="2">
        <f>IFERROR(U222/F222,"")</f>
        <v/>
      </c>
    </row>
    <row r="223">
      <c r="B223">
        <f>IF($A223="","",IFERROR(INDEX('[AQ_2020.xlsx]原始数据'!$B:$B,MATCH($A223,'[AQ_2020.xlsx]原始数据'!$A:$A,0)),""))</f>
        <v/>
      </c>
      <c r="C223">
        <f>IF($A223="","",IFERROR(INDEX('[AQ_2021.xlsx]原始数据'!$B:$B,MATCH($A223,'[AQ_2021.xlsx]原始数据'!$A:$A,0)),""))</f>
        <v/>
      </c>
      <c r="D223">
        <f>IF($A223="","",IFERROR(INDEX('[AQ_2022.xlsx]原始数据'!$B:$B,MATCH($A223,'[AQ_2022.xlsx]原始数据'!$A:$A,0)),""))</f>
        <v/>
      </c>
      <c r="E223">
        <f>IF($A223="","",IFERROR(INDEX('[AQ_2023.xlsx]原始数据'!$B:$B,MATCH($A223,'[AQ_2023.xlsx]原始数据'!$A:$A,0)),""))</f>
        <v/>
      </c>
      <c r="F223">
        <f>IF($A223="","",IFERROR(INDEX('[AQ_2024.xlsx]原始数据'!$B:$B,MATCH($A223,'[AQ_2024.xlsx]原始数据'!$A:$A,0)),""))</f>
        <v/>
      </c>
      <c r="G223">
        <f>IF($A223="","",IFERROR(INDEX('[AQ_2020.xlsx]原始数据'!$C:$C,MATCH($A223,'[AQ_2020.xlsx]原始数据'!$A:$A,0)),""))</f>
        <v/>
      </c>
      <c r="H223">
        <f>IF($A223="","",IFERROR(INDEX('[AQ_2021.xlsx]原始数据'!$C:$C,MATCH($A223,'[AQ_2021.xlsx]原始数据'!$A:$A,0)),""))</f>
        <v/>
      </c>
      <c r="I223">
        <f>IF($A223="","",IFERROR(INDEX('[AQ_2022.xlsx]原始数据'!$C:$C,MATCH($A223,'[AQ_2022.xlsx]原始数据'!$A:$A,0)),""))</f>
        <v/>
      </c>
      <c r="J223">
        <f>IF($A223="","",IFERROR(INDEX('[AQ_2023.xlsx]原始数据'!$C:$C,MATCH($A223,'[AQ_2023.xlsx]原始数据'!$A:$A,0)),""))</f>
        <v/>
      </c>
      <c r="K223">
        <f>IF($A223="","",IFERROR(INDEX('[AQ_2024.xlsx]原始数据'!$C:$C,MATCH($A223,'[AQ_2024.xlsx]原始数据'!$A:$A,0)),""))</f>
        <v/>
      </c>
      <c r="L223">
        <f>IF($A223="","",IFERROR(INDEX('[AQ_2020.xlsx]原始数据'!$D:$D,MATCH($A223,'[AQ_2020.xlsx]原始数据'!$A:$A,0)),""))</f>
        <v/>
      </c>
      <c r="M223">
        <f>IF($A223="","",IFERROR(INDEX('[AQ_2021.xlsx]原始数据'!$D:$D,MATCH($A223,'[AQ_2021.xlsx]原始数据'!$A:$A,0)),""))</f>
        <v/>
      </c>
      <c r="N223">
        <f>IF($A223="","",IFERROR(INDEX('[AQ_2022.xlsx]原始数据'!$D:$D,MATCH($A223,'[AQ_2022.xlsx]原始数据'!$A:$A,0)),""))</f>
        <v/>
      </c>
      <c r="O223">
        <f>IF($A223="","",IFERROR(INDEX('[AQ_2023.xlsx]原始数据'!$D:$D,MATCH($A223,'[AQ_2023.xlsx]原始数据'!$A:$A,0)),""))</f>
        <v/>
      </c>
      <c r="P223">
        <f>IF($A223="","",IFERROR(INDEX('[AQ_2024.xlsx]原始数据'!$D:$D,MATCH($A223,'[AQ_2024.xlsx]原始数据'!$A:$A,0)),""))</f>
        <v/>
      </c>
      <c r="Q223">
        <f>IF($A223="","",IFERROR(INDEX('[AQ_2020.xlsx]原始数据'!$E:$E,MATCH($A223,'[AQ_2020.xlsx]原始数据'!$A:$A,0)),""))</f>
        <v/>
      </c>
      <c r="R223">
        <f>IF($A223="","",IFERROR(INDEX('[AQ_2021.xlsx]原始数据'!$E:$E,MATCH($A223,'[AQ_2021.xlsx]原始数据'!$A:$A,0)),""))</f>
        <v/>
      </c>
      <c r="S223">
        <f>IF($A223="","",IFERROR(INDEX('[AQ_2022.xlsx]原始数据'!$E:$E,MATCH($A223,'[AQ_2022.xlsx]原始数据'!$A:$A,0)),""))</f>
        <v/>
      </c>
      <c r="T223">
        <f>IF($A223="","",IFERROR(INDEX('[AQ_2023.xlsx]原始数据'!$E:$E,MATCH($A223,'[AQ_2023.xlsx]原始数据'!$A:$A,0)),""))</f>
        <v/>
      </c>
      <c r="U223">
        <f>IF($A223="","",IFERROR(INDEX('[AQ_2024.xlsx]原始数据'!$E:$E,MATCH($A223,'[AQ_2024.xlsx]原始数据'!$A:$A,0)),""))</f>
        <v/>
      </c>
      <c r="V223">
        <f>IF($A223="","",IFERROR(INDEX('[AQ_2020.xlsx]原始数据'!$F:$F,MATCH($A223,'[AQ_2020.xlsx]原始数据'!$A:$A,0)),""))</f>
        <v/>
      </c>
      <c r="W223">
        <f>IF($A223="","",IFERROR(INDEX('[AQ_2021.xlsx]原始数据'!$F:$F,MATCH($A223,'[AQ_2021.xlsx]原始数据'!$A:$A,0)),""))</f>
        <v/>
      </c>
      <c r="X223">
        <f>IF($A223="","",IFERROR(INDEX('[AQ_2022.xlsx]原始数据'!$F:$F,MATCH($A223,'[AQ_2022.xlsx]原始数据'!$A:$A,0)),""))</f>
        <v/>
      </c>
      <c r="Y223">
        <f>IF($A223="","",IFERROR(INDEX('[AQ_2023.xlsx]原始数据'!$F:$F,MATCH($A223,'[AQ_2023.xlsx]原始数据'!$A:$A,0)),""))</f>
        <v/>
      </c>
      <c r="Z223">
        <f>IF($A223="","",IFERROR(INDEX('[AQ_2024.xlsx]原始数据'!$F:$F,MATCH($A223,'[AQ_2024.xlsx]原始数据'!$A:$A,0)),""))</f>
        <v/>
      </c>
      <c r="AA223" s="2">
        <f>IFERROR(G223/B223,"")</f>
        <v/>
      </c>
      <c r="AB223" s="2">
        <f>IFERROR(H223/C223,"")</f>
        <v/>
      </c>
      <c r="AC223" s="2">
        <f>IFERROR(I223/D223,"")</f>
        <v/>
      </c>
      <c r="AD223" s="2">
        <f>IFERROR(J223/E223,"")</f>
        <v/>
      </c>
      <c r="AE223" s="2">
        <f>IFERROR(K223/F223,"")</f>
        <v/>
      </c>
      <c r="AF223" s="2">
        <f>IFERROR(L223/B223,"")</f>
        <v/>
      </c>
      <c r="AG223" s="2">
        <f>IFERROR(M223/C223,"")</f>
        <v/>
      </c>
      <c r="AH223" s="2">
        <f>IFERROR(N223/D223,"")</f>
        <v/>
      </c>
      <c r="AI223" s="2">
        <f>IFERROR(O223/E223,"")</f>
        <v/>
      </c>
      <c r="AJ223" s="2">
        <f>IFERROR(P223/F223,"")</f>
        <v/>
      </c>
      <c r="AK223" s="2">
        <f>IFERROR(Q223/B223,"")</f>
        <v/>
      </c>
      <c r="AL223" s="2">
        <f>IFERROR(R223/C223,"")</f>
        <v/>
      </c>
      <c r="AM223" s="2">
        <f>IFERROR(S223/D223,"")</f>
        <v/>
      </c>
      <c r="AN223" s="2">
        <f>IFERROR(T223/E223,"")</f>
        <v/>
      </c>
      <c r="AO223" s="2">
        <f>IFERROR(U223/F223,"")</f>
        <v/>
      </c>
    </row>
    <row r="224">
      <c r="B224">
        <f>IF($A224="","",IFERROR(INDEX('[AQ_2020.xlsx]原始数据'!$B:$B,MATCH($A224,'[AQ_2020.xlsx]原始数据'!$A:$A,0)),""))</f>
        <v/>
      </c>
      <c r="C224">
        <f>IF($A224="","",IFERROR(INDEX('[AQ_2021.xlsx]原始数据'!$B:$B,MATCH($A224,'[AQ_2021.xlsx]原始数据'!$A:$A,0)),""))</f>
        <v/>
      </c>
      <c r="D224">
        <f>IF($A224="","",IFERROR(INDEX('[AQ_2022.xlsx]原始数据'!$B:$B,MATCH($A224,'[AQ_2022.xlsx]原始数据'!$A:$A,0)),""))</f>
        <v/>
      </c>
      <c r="E224">
        <f>IF($A224="","",IFERROR(INDEX('[AQ_2023.xlsx]原始数据'!$B:$B,MATCH($A224,'[AQ_2023.xlsx]原始数据'!$A:$A,0)),""))</f>
        <v/>
      </c>
      <c r="F224">
        <f>IF($A224="","",IFERROR(INDEX('[AQ_2024.xlsx]原始数据'!$B:$B,MATCH($A224,'[AQ_2024.xlsx]原始数据'!$A:$A,0)),""))</f>
        <v/>
      </c>
      <c r="G224">
        <f>IF($A224="","",IFERROR(INDEX('[AQ_2020.xlsx]原始数据'!$C:$C,MATCH($A224,'[AQ_2020.xlsx]原始数据'!$A:$A,0)),""))</f>
        <v/>
      </c>
      <c r="H224">
        <f>IF($A224="","",IFERROR(INDEX('[AQ_2021.xlsx]原始数据'!$C:$C,MATCH($A224,'[AQ_2021.xlsx]原始数据'!$A:$A,0)),""))</f>
        <v/>
      </c>
      <c r="I224">
        <f>IF($A224="","",IFERROR(INDEX('[AQ_2022.xlsx]原始数据'!$C:$C,MATCH($A224,'[AQ_2022.xlsx]原始数据'!$A:$A,0)),""))</f>
        <v/>
      </c>
      <c r="J224">
        <f>IF($A224="","",IFERROR(INDEX('[AQ_2023.xlsx]原始数据'!$C:$C,MATCH($A224,'[AQ_2023.xlsx]原始数据'!$A:$A,0)),""))</f>
        <v/>
      </c>
      <c r="K224">
        <f>IF($A224="","",IFERROR(INDEX('[AQ_2024.xlsx]原始数据'!$C:$C,MATCH($A224,'[AQ_2024.xlsx]原始数据'!$A:$A,0)),""))</f>
        <v/>
      </c>
      <c r="L224">
        <f>IF($A224="","",IFERROR(INDEX('[AQ_2020.xlsx]原始数据'!$D:$D,MATCH($A224,'[AQ_2020.xlsx]原始数据'!$A:$A,0)),""))</f>
        <v/>
      </c>
      <c r="M224">
        <f>IF($A224="","",IFERROR(INDEX('[AQ_2021.xlsx]原始数据'!$D:$D,MATCH($A224,'[AQ_2021.xlsx]原始数据'!$A:$A,0)),""))</f>
        <v/>
      </c>
      <c r="N224">
        <f>IF($A224="","",IFERROR(INDEX('[AQ_2022.xlsx]原始数据'!$D:$D,MATCH($A224,'[AQ_2022.xlsx]原始数据'!$A:$A,0)),""))</f>
        <v/>
      </c>
      <c r="O224">
        <f>IF($A224="","",IFERROR(INDEX('[AQ_2023.xlsx]原始数据'!$D:$D,MATCH($A224,'[AQ_2023.xlsx]原始数据'!$A:$A,0)),""))</f>
        <v/>
      </c>
      <c r="P224">
        <f>IF($A224="","",IFERROR(INDEX('[AQ_2024.xlsx]原始数据'!$D:$D,MATCH($A224,'[AQ_2024.xlsx]原始数据'!$A:$A,0)),""))</f>
        <v/>
      </c>
      <c r="Q224">
        <f>IF($A224="","",IFERROR(INDEX('[AQ_2020.xlsx]原始数据'!$E:$E,MATCH($A224,'[AQ_2020.xlsx]原始数据'!$A:$A,0)),""))</f>
        <v/>
      </c>
      <c r="R224">
        <f>IF($A224="","",IFERROR(INDEX('[AQ_2021.xlsx]原始数据'!$E:$E,MATCH($A224,'[AQ_2021.xlsx]原始数据'!$A:$A,0)),""))</f>
        <v/>
      </c>
      <c r="S224">
        <f>IF($A224="","",IFERROR(INDEX('[AQ_2022.xlsx]原始数据'!$E:$E,MATCH($A224,'[AQ_2022.xlsx]原始数据'!$A:$A,0)),""))</f>
        <v/>
      </c>
      <c r="T224">
        <f>IF($A224="","",IFERROR(INDEX('[AQ_2023.xlsx]原始数据'!$E:$E,MATCH($A224,'[AQ_2023.xlsx]原始数据'!$A:$A,0)),""))</f>
        <v/>
      </c>
      <c r="U224">
        <f>IF($A224="","",IFERROR(INDEX('[AQ_2024.xlsx]原始数据'!$E:$E,MATCH($A224,'[AQ_2024.xlsx]原始数据'!$A:$A,0)),""))</f>
        <v/>
      </c>
      <c r="V224">
        <f>IF($A224="","",IFERROR(INDEX('[AQ_2020.xlsx]原始数据'!$F:$F,MATCH($A224,'[AQ_2020.xlsx]原始数据'!$A:$A,0)),""))</f>
        <v/>
      </c>
      <c r="W224">
        <f>IF($A224="","",IFERROR(INDEX('[AQ_2021.xlsx]原始数据'!$F:$F,MATCH($A224,'[AQ_2021.xlsx]原始数据'!$A:$A,0)),""))</f>
        <v/>
      </c>
      <c r="X224">
        <f>IF($A224="","",IFERROR(INDEX('[AQ_2022.xlsx]原始数据'!$F:$F,MATCH($A224,'[AQ_2022.xlsx]原始数据'!$A:$A,0)),""))</f>
        <v/>
      </c>
      <c r="Y224">
        <f>IF($A224="","",IFERROR(INDEX('[AQ_2023.xlsx]原始数据'!$F:$F,MATCH($A224,'[AQ_2023.xlsx]原始数据'!$A:$A,0)),""))</f>
        <v/>
      </c>
      <c r="Z224">
        <f>IF($A224="","",IFERROR(INDEX('[AQ_2024.xlsx]原始数据'!$F:$F,MATCH($A224,'[AQ_2024.xlsx]原始数据'!$A:$A,0)),""))</f>
        <v/>
      </c>
      <c r="AA224" s="2">
        <f>IFERROR(G224/B224,"")</f>
        <v/>
      </c>
      <c r="AB224" s="2">
        <f>IFERROR(H224/C224,"")</f>
        <v/>
      </c>
      <c r="AC224" s="2">
        <f>IFERROR(I224/D224,"")</f>
        <v/>
      </c>
      <c r="AD224" s="2">
        <f>IFERROR(J224/E224,"")</f>
        <v/>
      </c>
      <c r="AE224" s="2">
        <f>IFERROR(K224/F224,"")</f>
        <v/>
      </c>
      <c r="AF224" s="2">
        <f>IFERROR(L224/B224,"")</f>
        <v/>
      </c>
      <c r="AG224" s="2">
        <f>IFERROR(M224/C224,"")</f>
        <v/>
      </c>
      <c r="AH224" s="2">
        <f>IFERROR(N224/D224,"")</f>
        <v/>
      </c>
      <c r="AI224" s="2">
        <f>IFERROR(O224/E224,"")</f>
        <v/>
      </c>
      <c r="AJ224" s="2">
        <f>IFERROR(P224/F224,"")</f>
        <v/>
      </c>
      <c r="AK224" s="2">
        <f>IFERROR(Q224/B224,"")</f>
        <v/>
      </c>
      <c r="AL224" s="2">
        <f>IFERROR(R224/C224,"")</f>
        <v/>
      </c>
      <c r="AM224" s="2">
        <f>IFERROR(S224/D224,"")</f>
        <v/>
      </c>
      <c r="AN224" s="2">
        <f>IFERROR(T224/E224,"")</f>
        <v/>
      </c>
      <c r="AO224" s="2">
        <f>IFERROR(U224/F224,"")</f>
        <v/>
      </c>
    </row>
    <row r="225">
      <c r="B225">
        <f>IF($A225="","",IFERROR(INDEX('[AQ_2020.xlsx]原始数据'!$B:$B,MATCH($A225,'[AQ_2020.xlsx]原始数据'!$A:$A,0)),""))</f>
        <v/>
      </c>
      <c r="C225">
        <f>IF($A225="","",IFERROR(INDEX('[AQ_2021.xlsx]原始数据'!$B:$B,MATCH($A225,'[AQ_2021.xlsx]原始数据'!$A:$A,0)),""))</f>
        <v/>
      </c>
      <c r="D225">
        <f>IF($A225="","",IFERROR(INDEX('[AQ_2022.xlsx]原始数据'!$B:$B,MATCH($A225,'[AQ_2022.xlsx]原始数据'!$A:$A,0)),""))</f>
        <v/>
      </c>
      <c r="E225">
        <f>IF($A225="","",IFERROR(INDEX('[AQ_2023.xlsx]原始数据'!$B:$B,MATCH($A225,'[AQ_2023.xlsx]原始数据'!$A:$A,0)),""))</f>
        <v/>
      </c>
      <c r="F225">
        <f>IF($A225="","",IFERROR(INDEX('[AQ_2024.xlsx]原始数据'!$B:$B,MATCH($A225,'[AQ_2024.xlsx]原始数据'!$A:$A,0)),""))</f>
        <v/>
      </c>
      <c r="G225">
        <f>IF($A225="","",IFERROR(INDEX('[AQ_2020.xlsx]原始数据'!$C:$C,MATCH($A225,'[AQ_2020.xlsx]原始数据'!$A:$A,0)),""))</f>
        <v/>
      </c>
      <c r="H225">
        <f>IF($A225="","",IFERROR(INDEX('[AQ_2021.xlsx]原始数据'!$C:$C,MATCH($A225,'[AQ_2021.xlsx]原始数据'!$A:$A,0)),""))</f>
        <v/>
      </c>
      <c r="I225">
        <f>IF($A225="","",IFERROR(INDEX('[AQ_2022.xlsx]原始数据'!$C:$C,MATCH($A225,'[AQ_2022.xlsx]原始数据'!$A:$A,0)),""))</f>
        <v/>
      </c>
      <c r="J225">
        <f>IF($A225="","",IFERROR(INDEX('[AQ_2023.xlsx]原始数据'!$C:$C,MATCH($A225,'[AQ_2023.xlsx]原始数据'!$A:$A,0)),""))</f>
        <v/>
      </c>
      <c r="K225">
        <f>IF($A225="","",IFERROR(INDEX('[AQ_2024.xlsx]原始数据'!$C:$C,MATCH($A225,'[AQ_2024.xlsx]原始数据'!$A:$A,0)),""))</f>
        <v/>
      </c>
      <c r="L225">
        <f>IF($A225="","",IFERROR(INDEX('[AQ_2020.xlsx]原始数据'!$D:$D,MATCH($A225,'[AQ_2020.xlsx]原始数据'!$A:$A,0)),""))</f>
        <v/>
      </c>
      <c r="M225">
        <f>IF($A225="","",IFERROR(INDEX('[AQ_2021.xlsx]原始数据'!$D:$D,MATCH($A225,'[AQ_2021.xlsx]原始数据'!$A:$A,0)),""))</f>
        <v/>
      </c>
      <c r="N225">
        <f>IF($A225="","",IFERROR(INDEX('[AQ_2022.xlsx]原始数据'!$D:$D,MATCH($A225,'[AQ_2022.xlsx]原始数据'!$A:$A,0)),""))</f>
        <v/>
      </c>
      <c r="O225">
        <f>IF($A225="","",IFERROR(INDEX('[AQ_2023.xlsx]原始数据'!$D:$D,MATCH($A225,'[AQ_2023.xlsx]原始数据'!$A:$A,0)),""))</f>
        <v/>
      </c>
      <c r="P225">
        <f>IF($A225="","",IFERROR(INDEX('[AQ_2024.xlsx]原始数据'!$D:$D,MATCH($A225,'[AQ_2024.xlsx]原始数据'!$A:$A,0)),""))</f>
        <v/>
      </c>
      <c r="Q225">
        <f>IF($A225="","",IFERROR(INDEX('[AQ_2020.xlsx]原始数据'!$E:$E,MATCH($A225,'[AQ_2020.xlsx]原始数据'!$A:$A,0)),""))</f>
        <v/>
      </c>
      <c r="R225">
        <f>IF($A225="","",IFERROR(INDEX('[AQ_2021.xlsx]原始数据'!$E:$E,MATCH($A225,'[AQ_2021.xlsx]原始数据'!$A:$A,0)),""))</f>
        <v/>
      </c>
      <c r="S225">
        <f>IF($A225="","",IFERROR(INDEX('[AQ_2022.xlsx]原始数据'!$E:$E,MATCH($A225,'[AQ_2022.xlsx]原始数据'!$A:$A,0)),""))</f>
        <v/>
      </c>
      <c r="T225">
        <f>IF($A225="","",IFERROR(INDEX('[AQ_2023.xlsx]原始数据'!$E:$E,MATCH($A225,'[AQ_2023.xlsx]原始数据'!$A:$A,0)),""))</f>
        <v/>
      </c>
      <c r="U225">
        <f>IF($A225="","",IFERROR(INDEX('[AQ_2024.xlsx]原始数据'!$E:$E,MATCH($A225,'[AQ_2024.xlsx]原始数据'!$A:$A,0)),""))</f>
        <v/>
      </c>
      <c r="V225">
        <f>IF($A225="","",IFERROR(INDEX('[AQ_2020.xlsx]原始数据'!$F:$F,MATCH($A225,'[AQ_2020.xlsx]原始数据'!$A:$A,0)),""))</f>
        <v/>
      </c>
      <c r="W225">
        <f>IF($A225="","",IFERROR(INDEX('[AQ_2021.xlsx]原始数据'!$F:$F,MATCH($A225,'[AQ_2021.xlsx]原始数据'!$A:$A,0)),""))</f>
        <v/>
      </c>
      <c r="X225">
        <f>IF($A225="","",IFERROR(INDEX('[AQ_2022.xlsx]原始数据'!$F:$F,MATCH($A225,'[AQ_2022.xlsx]原始数据'!$A:$A,0)),""))</f>
        <v/>
      </c>
      <c r="Y225">
        <f>IF($A225="","",IFERROR(INDEX('[AQ_2023.xlsx]原始数据'!$F:$F,MATCH($A225,'[AQ_2023.xlsx]原始数据'!$A:$A,0)),""))</f>
        <v/>
      </c>
      <c r="Z225">
        <f>IF($A225="","",IFERROR(INDEX('[AQ_2024.xlsx]原始数据'!$F:$F,MATCH($A225,'[AQ_2024.xlsx]原始数据'!$A:$A,0)),""))</f>
        <v/>
      </c>
      <c r="AA225" s="2">
        <f>IFERROR(G225/B225,"")</f>
        <v/>
      </c>
      <c r="AB225" s="2">
        <f>IFERROR(H225/C225,"")</f>
        <v/>
      </c>
      <c r="AC225" s="2">
        <f>IFERROR(I225/D225,"")</f>
        <v/>
      </c>
      <c r="AD225" s="2">
        <f>IFERROR(J225/E225,"")</f>
        <v/>
      </c>
      <c r="AE225" s="2">
        <f>IFERROR(K225/F225,"")</f>
        <v/>
      </c>
      <c r="AF225" s="2">
        <f>IFERROR(L225/B225,"")</f>
        <v/>
      </c>
      <c r="AG225" s="2">
        <f>IFERROR(M225/C225,"")</f>
        <v/>
      </c>
      <c r="AH225" s="2">
        <f>IFERROR(N225/D225,"")</f>
        <v/>
      </c>
      <c r="AI225" s="2">
        <f>IFERROR(O225/E225,"")</f>
        <v/>
      </c>
      <c r="AJ225" s="2">
        <f>IFERROR(P225/F225,"")</f>
        <v/>
      </c>
      <c r="AK225" s="2">
        <f>IFERROR(Q225/B225,"")</f>
        <v/>
      </c>
      <c r="AL225" s="2">
        <f>IFERROR(R225/C225,"")</f>
        <v/>
      </c>
      <c r="AM225" s="2">
        <f>IFERROR(S225/D225,"")</f>
        <v/>
      </c>
      <c r="AN225" s="2">
        <f>IFERROR(T225/E225,"")</f>
        <v/>
      </c>
      <c r="AO225" s="2">
        <f>IFERROR(U225/F225,"")</f>
        <v/>
      </c>
    </row>
    <row r="226">
      <c r="B226">
        <f>IF($A226="","",IFERROR(INDEX('[AQ_2020.xlsx]原始数据'!$B:$B,MATCH($A226,'[AQ_2020.xlsx]原始数据'!$A:$A,0)),""))</f>
        <v/>
      </c>
      <c r="C226">
        <f>IF($A226="","",IFERROR(INDEX('[AQ_2021.xlsx]原始数据'!$B:$B,MATCH($A226,'[AQ_2021.xlsx]原始数据'!$A:$A,0)),""))</f>
        <v/>
      </c>
      <c r="D226">
        <f>IF($A226="","",IFERROR(INDEX('[AQ_2022.xlsx]原始数据'!$B:$B,MATCH($A226,'[AQ_2022.xlsx]原始数据'!$A:$A,0)),""))</f>
        <v/>
      </c>
      <c r="E226">
        <f>IF($A226="","",IFERROR(INDEX('[AQ_2023.xlsx]原始数据'!$B:$B,MATCH($A226,'[AQ_2023.xlsx]原始数据'!$A:$A,0)),""))</f>
        <v/>
      </c>
      <c r="F226">
        <f>IF($A226="","",IFERROR(INDEX('[AQ_2024.xlsx]原始数据'!$B:$B,MATCH($A226,'[AQ_2024.xlsx]原始数据'!$A:$A,0)),""))</f>
        <v/>
      </c>
      <c r="G226">
        <f>IF($A226="","",IFERROR(INDEX('[AQ_2020.xlsx]原始数据'!$C:$C,MATCH($A226,'[AQ_2020.xlsx]原始数据'!$A:$A,0)),""))</f>
        <v/>
      </c>
      <c r="H226">
        <f>IF($A226="","",IFERROR(INDEX('[AQ_2021.xlsx]原始数据'!$C:$C,MATCH($A226,'[AQ_2021.xlsx]原始数据'!$A:$A,0)),""))</f>
        <v/>
      </c>
      <c r="I226">
        <f>IF($A226="","",IFERROR(INDEX('[AQ_2022.xlsx]原始数据'!$C:$C,MATCH($A226,'[AQ_2022.xlsx]原始数据'!$A:$A,0)),""))</f>
        <v/>
      </c>
      <c r="J226">
        <f>IF($A226="","",IFERROR(INDEX('[AQ_2023.xlsx]原始数据'!$C:$C,MATCH($A226,'[AQ_2023.xlsx]原始数据'!$A:$A,0)),""))</f>
        <v/>
      </c>
      <c r="K226">
        <f>IF($A226="","",IFERROR(INDEX('[AQ_2024.xlsx]原始数据'!$C:$C,MATCH($A226,'[AQ_2024.xlsx]原始数据'!$A:$A,0)),""))</f>
        <v/>
      </c>
      <c r="L226">
        <f>IF($A226="","",IFERROR(INDEX('[AQ_2020.xlsx]原始数据'!$D:$D,MATCH($A226,'[AQ_2020.xlsx]原始数据'!$A:$A,0)),""))</f>
        <v/>
      </c>
      <c r="M226">
        <f>IF($A226="","",IFERROR(INDEX('[AQ_2021.xlsx]原始数据'!$D:$D,MATCH($A226,'[AQ_2021.xlsx]原始数据'!$A:$A,0)),""))</f>
        <v/>
      </c>
      <c r="N226">
        <f>IF($A226="","",IFERROR(INDEX('[AQ_2022.xlsx]原始数据'!$D:$D,MATCH($A226,'[AQ_2022.xlsx]原始数据'!$A:$A,0)),""))</f>
        <v/>
      </c>
      <c r="O226">
        <f>IF($A226="","",IFERROR(INDEX('[AQ_2023.xlsx]原始数据'!$D:$D,MATCH($A226,'[AQ_2023.xlsx]原始数据'!$A:$A,0)),""))</f>
        <v/>
      </c>
      <c r="P226">
        <f>IF($A226="","",IFERROR(INDEX('[AQ_2024.xlsx]原始数据'!$D:$D,MATCH($A226,'[AQ_2024.xlsx]原始数据'!$A:$A,0)),""))</f>
        <v/>
      </c>
      <c r="Q226">
        <f>IF($A226="","",IFERROR(INDEX('[AQ_2020.xlsx]原始数据'!$E:$E,MATCH($A226,'[AQ_2020.xlsx]原始数据'!$A:$A,0)),""))</f>
        <v/>
      </c>
      <c r="R226">
        <f>IF($A226="","",IFERROR(INDEX('[AQ_2021.xlsx]原始数据'!$E:$E,MATCH($A226,'[AQ_2021.xlsx]原始数据'!$A:$A,0)),""))</f>
        <v/>
      </c>
      <c r="S226">
        <f>IF($A226="","",IFERROR(INDEX('[AQ_2022.xlsx]原始数据'!$E:$E,MATCH($A226,'[AQ_2022.xlsx]原始数据'!$A:$A,0)),""))</f>
        <v/>
      </c>
      <c r="T226">
        <f>IF($A226="","",IFERROR(INDEX('[AQ_2023.xlsx]原始数据'!$E:$E,MATCH($A226,'[AQ_2023.xlsx]原始数据'!$A:$A,0)),""))</f>
        <v/>
      </c>
      <c r="U226">
        <f>IF($A226="","",IFERROR(INDEX('[AQ_2024.xlsx]原始数据'!$E:$E,MATCH($A226,'[AQ_2024.xlsx]原始数据'!$A:$A,0)),""))</f>
        <v/>
      </c>
      <c r="V226">
        <f>IF($A226="","",IFERROR(INDEX('[AQ_2020.xlsx]原始数据'!$F:$F,MATCH($A226,'[AQ_2020.xlsx]原始数据'!$A:$A,0)),""))</f>
        <v/>
      </c>
      <c r="W226">
        <f>IF($A226="","",IFERROR(INDEX('[AQ_2021.xlsx]原始数据'!$F:$F,MATCH($A226,'[AQ_2021.xlsx]原始数据'!$A:$A,0)),""))</f>
        <v/>
      </c>
      <c r="X226">
        <f>IF($A226="","",IFERROR(INDEX('[AQ_2022.xlsx]原始数据'!$F:$F,MATCH($A226,'[AQ_2022.xlsx]原始数据'!$A:$A,0)),""))</f>
        <v/>
      </c>
      <c r="Y226">
        <f>IF($A226="","",IFERROR(INDEX('[AQ_2023.xlsx]原始数据'!$F:$F,MATCH($A226,'[AQ_2023.xlsx]原始数据'!$A:$A,0)),""))</f>
        <v/>
      </c>
      <c r="Z226">
        <f>IF($A226="","",IFERROR(INDEX('[AQ_2024.xlsx]原始数据'!$F:$F,MATCH($A226,'[AQ_2024.xlsx]原始数据'!$A:$A,0)),""))</f>
        <v/>
      </c>
      <c r="AA226" s="2">
        <f>IFERROR(G226/B226,"")</f>
        <v/>
      </c>
      <c r="AB226" s="2">
        <f>IFERROR(H226/C226,"")</f>
        <v/>
      </c>
      <c r="AC226" s="2">
        <f>IFERROR(I226/D226,"")</f>
        <v/>
      </c>
      <c r="AD226" s="2">
        <f>IFERROR(J226/E226,"")</f>
        <v/>
      </c>
      <c r="AE226" s="2">
        <f>IFERROR(K226/F226,"")</f>
        <v/>
      </c>
      <c r="AF226" s="2">
        <f>IFERROR(L226/B226,"")</f>
        <v/>
      </c>
      <c r="AG226" s="2">
        <f>IFERROR(M226/C226,"")</f>
        <v/>
      </c>
      <c r="AH226" s="2">
        <f>IFERROR(N226/D226,"")</f>
        <v/>
      </c>
      <c r="AI226" s="2">
        <f>IFERROR(O226/E226,"")</f>
        <v/>
      </c>
      <c r="AJ226" s="2">
        <f>IFERROR(P226/F226,"")</f>
        <v/>
      </c>
      <c r="AK226" s="2">
        <f>IFERROR(Q226/B226,"")</f>
        <v/>
      </c>
      <c r="AL226" s="2">
        <f>IFERROR(R226/C226,"")</f>
        <v/>
      </c>
      <c r="AM226" s="2">
        <f>IFERROR(S226/D226,"")</f>
        <v/>
      </c>
      <c r="AN226" s="2">
        <f>IFERROR(T226/E226,"")</f>
        <v/>
      </c>
      <c r="AO226" s="2">
        <f>IFERROR(U226/F226,"")</f>
        <v/>
      </c>
    </row>
    <row r="227">
      <c r="B227">
        <f>IF($A227="","",IFERROR(INDEX('[AQ_2020.xlsx]原始数据'!$B:$B,MATCH($A227,'[AQ_2020.xlsx]原始数据'!$A:$A,0)),""))</f>
        <v/>
      </c>
      <c r="C227">
        <f>IF($A227="","",IFERROR(INDEX('[AQ_2021.xlsx]原始数据'!$B:$B,MATCH($A227,'[AQ_2021.xlsx]原始数据'!$A:$A,0)),""))</f>
        <v/>
      </c>
      <c r="D227">
        <f>IF($A227="","",IFERROR(INDEX('[AQ_2022.xlsx]原始数据'!$B:$B,MATCH($A227,'[AQ_2022.xlsx]原始数据'!$A:$A,0)),""))</f>
        <v/>
      </c>
      <c r="E227">
        <f>IF($A227="","",IFERROR(INDEX('[AQ_2023.xlsx]原始数据'!$B:$B,MATCH($A227,'[AQ_2023.xlsx]原始数据'!$A:$A,0)),""))</f>
        <v/>
      </c>
      <c r="F227">
        <f>IF($A227="","",IFERROR(INDEX('[AQ_2024.xlsx]原始数据'!$B:$B,MATCH($A227,'[AQ_2024.xlsx]原始数据'!$A:$A,0)),""))</f>
        <v/>
      </c>
      <c r="G227">
        <f>IF($A227="","",IFERROR(INDEX('[AQ_2020.xlsx]原始数据'!$C:$C,MATCH($A227,'[AQ_2020.xlsx]原始数据'!$A:$A,0)),""))</f>
        <v/>
      </c>
      <c r="H227">
        <f>IF($A227="","",IFERROR(INDEX('[AQ_2021.xlsx]原始数据'!$C:$C,MATCH($A227,'[AQ_2021.xlsx]原始数据'!$A:$A,0)),""))</f>
        <v/>
      </c>
      <c r="I227">
        <f>IF($A227="","",IFERROR(INDEX('[AQ_2022.xlsx]原始数据'!$C:$C,MATCH($A227,'[AQ_2022.xlsx]原始数据'!$A:$A,0)),""))</f>
        <v/>
      </c>
      <c r="J227">
        <f>IF($A227="","",IFERROR(INDEX('[AQ_2023.xlsx]原始数据'!$C:$C,MATCH($A227,'[AQ_2023.xlsx]原始数据'!$A:$A,0)),""))</f>
        <v/>
      </c>
      <c r="K227">
        <f>IF($A227="","",IFERROR(INDEX('[AQ_2024.xlsx]原始数据'!$C:$C,MATCH($A227,'[AQ_2024.xlsx]原始数据'!$A:$A,0)),""))</f>
        <v/>
      </c>
      <c r="L227">
        <f>IF($A227="","",IFERROR(INDEX('[AQ_2020.xlsx]原始数据'!$D:$D,MATCH($A227,'[AQ_2020.xlsx]原始数据'!$A:$A,0)),""))</f>
        <v/>
      </c>
      <c r="M227">
        <f>IF($A227="","",IFERROR(INDEX('[AQ_2021.xlsx]原始数据'!$D:$D,MATCH($A227,'[AQ_2021.xlsx]原始数据'!$A:$A,0)),""))</f>
        <v/>
      </c>
      <c r="N227">
        <f>IF($A227="","",IFERROR(INDEX('[AQ_2022.xlsx]原始数据'!$D:$D,MATCH($A227,'[AQ_2022.xlsx]原始数据'!$A:$A,0)),""))</f>
        <v/>
      </c>
      <c r="O227">
        <f>IF($A227="","",IFERROR(INDEX('[AQ_2023.xlsx]原始数据'!$D:$D,MATCH($A227,'[AQ_2023.xlsx]原始数据'!$A:$A,0)),""))</f>
        <v/>
      </c>
      <c r="P227">
        <f>IF($A227="","",IFERROR(INDEX('[AQ_2024.xlsx]原始数据'!$D:$D,MATCH($A227,'[AQ_2024.xlsx]原始数据'!$A:$A,0)),""))</f>
        <v/>
      </c>
      <c r="Q227">
        <f>IF($A227="","",IFERROR(INDEX('[AQ_2020.xlsx]原始数据'!$E:$E,MATCH($A227,'[AQ_2020.xlsx]原始数据'!$A:$A,0)),""))</f>
        <v/>
      </c>
      <c r="R227">
        <f>IF($A227="","",IFERROR(INDEX('[AQ_2021.xlsx]原始数据'!$E:$E,MATCH($A227,'[AQ_2021.xlsx]原始数据'!$A:$A,0)),""))</f>
        <v/>
      </c>
      <c r="S227">
        <f>IF($A227="","",IFERROR(INDEX('[AQ_2022.xlsx]原始数据'!$E:$E,MATCH($A227,'[AQ_2022.xlsx]原始数据'!$A:$A,0)),""))</f>
        <v/>
      </c>
      <c r="T227">
        <f>IF($A227="","",IFERROR(INDEX('[AQ_2023.xlsx]原始数据'!$E:$E,MATCH($A227,'[AQ_2023.xlsx]原始数据'!$A:$A,0)),""))</f>
        <v/>
      </c>
      <c r="U227">
        <f>IF($A227="","",IFERROR(INDEX('[AQ_2024.xlsx]原始数据'!$E:$E,MATCH($A227,'[AQ_2024.xlsx]原始数据'!$A:$A,0)),""))</f>
        <v/>
      </c>
      <c r="V227">
        <f>IF($A227="","",IFERROR(INDEX('[AQ_2020.xlsx]原始数据'!$F:$F,MATCH($A227,'[AQ_2020.xlsx]原始数据'!$A:$A,0)),""))</f>
        <v/>
      </c>
      <c r="W227">
        <f>IF($A227="","",IFERROR(INDEX('[AQ_2021.xlsx]原始数据'!$F:$F,MATCH($A227,'[AQ_2021.xlsx]原始数据'!$A:$A,0)),""))</f>
        <v/>
      </c>
      <c r="X227">
        <f>IF($A227="","",IFERROR(INDEX('[AQ_2022.xlsx]原始数据'!$F:$F,MATCH($A227,'[AQ_2022.xlsx]原始数据'!$A:$A,0)),""))</f>
        <v/>
      </c>
      <c r="Y227">
        <f>IF($A227="","",IFERROR(INDEX('[AQ_2023.xlsx]原始数据'!$F:$F,MATCH($A227,'[AQ_2023.xlsx]原始数据'!$A:$A,0)),""))</f>
        <v/>
      </c>
      <c r="Z227">
        <f>IF($A227="","",IFERROR(INDEX('[AQ_2024.xlsx]原始数据'!$F:$F,MATCH($A227,'[AQ_2024.xlsx]原始数据'!$A:$A,0)),""))</f>
        <v/>
      </c>
      <c r="AA227" s="2">
        <f>IFERROR(G227/B227,"")</f>
        <v/>
      </c>
      <c r="AB227" s="2">
        <f>IFERROR(H227/C227,"")</f>
        <v/>
      </c>
      <c r="AC227" s="2">
        <f>IFERROR(I227/D227,"")</f>
        <v/>
      </c>
      <c r="AD227" s="2">
        <f>IFERROR(J227/E227,"")</f>
        <v/>
      </c>
      <c r="AE227" s="2">
        <f>IFERROR(K227/F227,"")</f>
        <v/>
      </c>
      <c r="AF227" s="2">
        <f>IFERROR(L227/B227,"")</f>
        <v/>
      </c>
      <c r="AG227" s="2">
        <f>IFERROR(M227/C227,"")</f>
        <v/>
      </c>
      <c r="AH227" s="2">
        <f>IFERROR(N227/D227,"")</f>
        <v/>
      </c>
      <c r="AI227" s="2">
        <f>IFERROR(O227/E227,"")</f>
        <v/>
      </c>
      <c r="AJ227" s="2">
        <f>IFERROR(P227/F227,"")</f>
        <v/>
      </c>
      <c r="AK227" s="2">
        <f>IFERROR(Q227/B227,"")</f>
        <v/>
      </c>
      <c r="AL227" s="2">
        <f>IFERROR(R227/C227,"")</f>
        <v/>
      </c>
      <c r="AM227" s="2">
        <f>IFERROR(S227/D227,"")</f>
        <v/>
      </c>
      <c r="AN227" s="2">
        <f>IFERROR(T227/E227,"")</f>
        <v/>
      </c>
      <c r="AO227" s="2">
        <f>IFERROR(U227/F227,"")</f>
        <v/>
      </c>
    </row>
    <row r="228">
      <c r="B228">
        <f>IF($A228="","",IFERROR(INDEX('[AQ_2020.xlsx]原始数据'!$B:$B,MATCH($A228,'[AQ_2020.xlsx]原始数据'!$A:$A,0)),""))</f>
        <v/>
      </c>
      <c r="C228">
        <f>IF($A228="","",IFERROR(INDEX('[AQ_2021.xlsx]原始数据'!$B:$B,MATCH($A228,'[AQ_2021.xlsx]原始数据'!$A:$A,0)),""))</f>
        <v/>
      </c>
      <c r="D228">
        <f>IF($A228="","",IFERROR(INDEX('[AQ_2022.xlsx]原始数据'!$B:$B,MATCH($A228,'[AQ_2022.xlsx]原始数据'!$A:$A,0)),""))</f>
        <v/>
      </c>
      <c r="E228">
        <f>IF($A228="","",IFERROR(INDEX('[AQ_2023.xlsx]原始数据'!$B:$B,MATCH($A228,'[AQ_2023.xlsx]原始数据'!$A:$A,0)),""))</f>
        <v/>
      </c>
      <c r="F228">
        <f>IF($A228="","",IFERROR(INDEX('[AQ_2024.xlsx]原始数据'!$B:$B,MATCH($A228,'[AQ_2024.xlsx]原始数据'!$A:$A,0)),""))</f>
        <v/>
      </c>
      <c r="G228">
        <f>IF($A228="","",IFERROR(INDEX('[AQ_2020.xlsx]原始数据'!$C:$C,MATCH($A228,'[AQ_2020.xlsx]原始数据'!$A:$A,0)),""))</f>
        <v/>
      </c>
      <c r="H228">
        <f>IF($A228="","",IFERROR(INDEX('[AQ_2021.xlsx]原始数据'!$C:$C,MATCH($A228,'[AQ_2021.xlsx]原始数据'!$A:$A,0)),""))</f>
        <v/>
      </c>
      <c r="I228">
        <f>IF($A228="","",IFERROR(INDEX('[AQ_2022.xlsx]原始数据'!$C:$C,MATCH($A228,'[AQ_2022.xlsx]原始数据'!$A:$A,0)),""))</f>
        <v/>
      </c>
      <c r="J228">
        <f>IF($A228="","",IFERROR(INDEX('[AQ_2023.xlsx]原始数据'!$C:$C,MATCH($A228,'[AQ_2023.xlsx]原始数据'!$A:$A,0)),""))</f>
        <v/>
      </c>
      <c r="K228">
        <f>IF($A228="","",IFERROR(INDEX('[AQ_2024.xlsx]原始数据'!$C:$C,MATCH($A228,'[AQ_2024.xlsx]原始数据'!$A:$A,0)),""))</f>
        <v/>
      </c>
      <c r="L228">
        <f>IF($A228="","",IFERROR(INDEX('[AQ_2020.xlsx]原始数据'!$D:$D,MATCH($A228,'[AQ_2020.xlsx]原始数据'!$A:$A,0)),""))</f>
        <v/>
      </c>
      <c r="M228">
        <f>IF($A228="","",IFERROR(INDEX('[AQ_2021.xlsx]原始数据'!$D:$D,MATCH($A228,'[AQ_2021.xlsx]原始数据'!$A:$A,0)),""))</f>
        <v/>
      </c>
      <c r="N228">
        <f>IF($A228="","",IFERROR(INDEX('[AQ_2022.xlsx]原始数据'!$D:$D,MATCH($A228,'[AQ_2022.xlsx]原始数据'!$A:$A,0)),""))</f>
        <v/>
      </c>
      <c r="O228">
        <f>IF($A228="","",IFERROR(INDEX('[AQ_2023.xlsx]原始数据'!$D:$D,MATCH($A228,'[AQ_2023.xlsx]原始数据'!$A:$A,0)),""))</f>
        <v/>
      </c>
      <c r="P228">
        <f>IF($A228="","",IFERROR(INDEX('[AQ_2024.xlsx]原始数据'!$D:$D,MATCH($A228,'[AQ_2024.xlsx]原始数据'!$A:$A,0)),""))</f>
        <v/>
      </c>
      <c r="Q228">
        <f>IF($A228="","",IFERROR(INDEX('[AQ_2020.xlsx]原始数据'!$E:$E,MATCH($A228,'[AQ_2020.xlsx]原始数据'!$A:$A,0)),""))</f>
        <v/>
      </c>
      <c r="R228">
        <f>IF($A228="","",IFERROR(INDEX('[AQ_2021.xlsx]原始数据'!$E:$E,MATCH($A228,'[AQ_2021.xlsx]原始数据'!$A:$A,0)),""))</f>
        <v/>
      </c>
      <c r="S228">
        <f>IF($A228="","",IFERROR(INDEX('[AQ_2022.xlsx]原始数据'!$E:$E,MATCH($A228,'[AQ_2022.xlsx]原始数据'!$A:$A,0)),""))</f>
        <v/>
      </c>
      <c r="T228">
        <f>IF($A228="","",IFERROR(INDEX('[AQ_2023.xlsx]原始数据'!$E:$E,MATCH($A228,'[AQ_2023.xlsx]原始数据'!$A:$A,0)),""))</f>
        <v/>
      </c>
      <c r="U228">
        <f>IF($A228="","",IFERROR(INDEX('[AQ_2024.xlsx]原始数据'!$E:$E,MATCH($A228,'[AQ_2024.xlsx]原始数据'!$A:$A,0)),""))</f>
        <v/>
      </c>
      <c r="V228">
        <f>IF($A228="","",IFERROR(INDEX('[AQ_2020.xlsx]原始数据'!$F:$F,MATCH($A228,'[AQ_2020.xlsx]原始数据'!$A:$A,0)),""))</f>
        <v/>
      </c>
      <c r="W228">
        <f>IF($A228="","",IFERROR(INDEX('[AQ_2021.xlsx]原始数据'!$F:$F,MATCH($A228,'[AQ_2021.xlsx]原始数据'!$A:$A,0)),""))</f>
        <v/>
      </c>
      <c r="X228">
        <f>IF($A228="","",IFERROR(INDEX('[AQ_2022.xlsx]原始数据'!$F:$F,MATCH($A228,'[AQ_2022.xlsx]原始数据'!$A:$A,0)),""))</f>
        <v/>
      </c>
      <c r="Y228">
        <f>IF($A228="","",IFERROR(INDEX('[AQ_2023.xlsx]原始数据'!$F:$F,MATCH($A228,'[AQ_2023.xlsx]原始数据'!$A:$A,0)),""))</f>
        <v/>
      </c>
      <c r="Z228">
        <f>IF($A228="","",IFERROR(INDEX('[AQ_2024.xlsx]原始数据'!$F:$F,MATCH($A228,'[AQ_2024.xlsx]原始数据'!$A:$A,0)),""))</f>
        <v/>
      </c>
      <c r="AA228" s="2">
        <f>IFERROR(G228/B228,"")</f>
        <v/>
      </c>
      <c r="AB228" s="2">
        <f>IFERROR(H228/C228,"")</f>
        <v/>
      </c>
      <c r="AC228" s="2">
        <f>IFERROR(I228/D228,"")</f>
        <v/>
      </c>
      <c r="AD228" s="2">
        <f>IFERROR(J228/E228,"")</f>
        <v/>
      </c>
      <c r="AE228" s="2">
        <f>IFERROR(K228/F228,"")</f>
        <v/>
      </c>
      <c r="AF228" s="2">
        <f>IFERROR(L228/B228,"")</f>
        <v/>
      </c>
      <c r="AG228" s="2">
        <f>IFERROR(M228/C228,"")</f>
        <v/>
      </c>
      <c r="AH228" s="2">
        <f>IFERROR(N228/D228,"")</f>
        <v/>
      </c>
      <c r="AI228" s="2">
        <f>IFERROR(O228/E228,"")</f>
        <v/>
      </c>
      <c r="AJ228" s="2">
        <f>IFERROR(P228/F228,"")</f>
        <v/>
      </c>
      <c r="AK228" s="2">
        <f>IFERROR(Q228/B228,"")</f>
        <v/>
      </c>
      <c r="AL228" s="2">
        <f>IFERROR(R228/C228,"")</f>
        <v/>
      </c>
      <c r="AM228" s="2">
        <f>IFERROR(S228/D228,"")</f>
        <v/>
      </c>
      <c r="AN228" s="2">
        <f>IFERROR(T228/E228,"")</f>
        <v/>
      </c>
      <c r="AO228" s="2">
        <f>IFERROR(U228/F228,"")</f>
        <v/>
      </c>
    </row>
    <row r="229">
      <c r="B229">
        <f>IF($A229="","",IFERROR(INDEX('[AQ_2020.xlsx]原始数据'!$B:$B,MATCH($A229,'[AQ_2020.xlsx]原始数据'!$A:$A,0)),""))</f>
        <v/>
      </c>
      <c r="C229">
        <f>IF($A229="","",IFERROR(INDEX('[AQ_2021.xlsx]原始数据'!$B:$B,MATCH($A229,'[AQ_2021.xlsx]原始数据'!$A:$A,0)),""))</f>
        <v/>
      </c>
      <c r="D229">
        <f>IF($A229="","",IFERROR(INDEX('[AQ_2022.xlsx]原始数据'!$B:$B,MATCH($A229,'[AQ_2022.xlsx]原始数据'!$A:$A,0)),""))</f>
        <v/>
      </c>
      <c r="E229">
        <f>IF($A229="","",IFERROR(INDEX('[AQ_2023.xlsx]原始数据'!$B:$B,MATCH($A229,'[AQ_2023.xlsx]原始数据'!$A:$A,0)),""))</f>
        <v/>
      </c>
      <c r="F229">
        <f>IF($A229="","",IFERROR(INDEX('[AQ_2024.xlsx]原始数据'!$B:$B,MATCH($A229,'[AQ_2024.xlsx]原始数据'!$A:$A,0)),""))</f>
        <v/>
      </c>
      <c r="G229">
        <f>IF($A229="","",IFERROR(INDEX('[AQ_2020.xlsx]原始数据'!$C:$C,MATCH($A229,'[AQ_2020.xlsx]原始数据'!$A:$A,0)),""))</f>
        <v/>
      </c>
      <c r="H229">
        <f>IF($A229="","",IFERROR(INDEX('[AQ_2021.xlsx]原始数据'!$C:$C,MATCH($A229,'[AQ_2021.xlsx]原始数据'!$A:$A,0)),""))</f>
        <v/>
      </c>
      <c r="I229">
        <f>IF($A229="","",IFERROR(INDEX('[AQ_2022.xlsx]原始数据'!$C:$C,MATCH($A229,'[AQ_2022.xlsx]原始数据'!$A:$A,0)),""))</f>
        <v/>
      </c>
      <c r="J229">
        <f>IF($A229="","",IFERROR(INDEX('[AQ_2023.xlsx]原始数据'!$C:$C,MATCH($A229,'[AQ_2023.xlsx]原始数据'!$A:$A,0)),""))</f>
        <v/>
      </c>
      <c r="K229">
        <f>IF($A229="","",IFERROR(INDEX('[AQ_2024.xlsx]原始数据'!$C:$C,MATCH($A229,'[AQ_2024.xlsx]原始数据'!$A:$A,0)),""))</f>
        <v/>
      </c>
      <c r="L229">
        <f>IF($A229="","",IFERROR(INDEX('[AQ_2020.xlsx]原始数据'!$D:$D,MATCH($A229,'[AQ_2020.xlsx]原始数据'!$A:$A,0)),""))</f>
        <v/>
      </c>
      <c r="M229">
        <f>IF($A229="","",IFERROR(INDEX('[AQ_2021.xlsx]原始数据'!$D:$D,MATCH($A229,'[AQ_2021.xlsx]原始数据'!$A:$A,0)),""))</f>
        <v/>
      </c>
      <c r="N229">
        <f>IF($A229="","",IFERROR(INDEX('[AQ_2022.xlsx]原始数据'!$D:$D,MATCH($A229,'[AQ_2022.xlsx]原始数据'!$A:$A,0)),""))</f>
        <v/>
      </c>
      <c r="O229">
        <f>IF($A229="","",IFERROR(INDEX('[AQ_2023.xlsx]原始数据'!$D:$D,MATCH($A229,'[AQ_2023.xlsx]原始数据'!$A:$A,0)),""))</f>
        <v/>
      </c>
      <c r="P229">
        <f>IF($A229="","",IFERROR(INDEX('[AQ_2024.xlsx]原始数据'!$D:$D,MATCH($A229,'[AQ_2024.xlsx]原始数据'!$A:$A,0)),""))</f>
        <v/>
      </c>
      <c r="Q229">
        <f>IF($A229="","",IFERROR(INDEX('[AQ_2020.xlsx]原始数据'!$E:$E,MATCH($A229,'[AQ_2020.xlsx]原始数据'!$A:$A,0)),""))</f>
        <v/>
      </c>
      <c r="R229">
        <f>IF($A229="","",IFERROR(INDEX('[AQ_2021.xlsx]原始数据'!$E:$E,MATCH($A229,'[AQ_2021.xlsx]原始数据'!$A:$A,0)),""))</f>
        <v/>
      </c>
      <c r="S229">
        <f>IF($A229="","",IFERROR(INDEX('[AQ_2022.xlsx]原始数据'!$E:$E,MATCH($A229,'[AQ_2022.xlsx]原始数据'!$A:$A,0)),""))</f>
        <v/>
      </c>
      <c r="T229">
        <f>IF($A229="","",IFERROR(INDEX('[AQ_2023.xlsx]原始数据'!$E:$E,MATCH($A229,'[AQ_2023.xlsx]原始数据'!$A:$A,0)),""))</f>
        <v/>
      </c>
      <c r="U229">
        <f>IF($A229="","",IFERROR(INDEX('[AQ_2024.xlsx]原始数据'!$E:$E,MATCH($A229,'[AQ_2024.xlsx]原始数据'!$A:$A,0)),""))</f>
        <v/>
      </c>
      <c r="V229">
        <f>IF($A229="","",IFERROR(INDEX('[AQ_2020.xlsx]原始数据'!$F:$F,MATCH($A229,'[AQ_2020.xlsx]原始数据'!$A:$A,0)),""))</f>
        <v/>
      </c>
      <c r="W229">
        <f>IF($A229="","",IFERROR(INDEX('[AQ_2021.xlsx]原始数据'!$F:$F,MATCH($A229,'[AQ_2021.xlsx]原始数据'!$A:$A,0)),""))</f>
        <v/>
      </c>
      <c r="X229">
        <f>IF($A229="","",IFERROR(INDEX('[AQ_2022.xlsx]原始数据'!$F:$F,MATCH($A229,'[AQ_2022.xlsx]原始数据'!$A:$A,0)),""))</f>
        <v/>
      </c>
      <c r="Y229">
        <f>IF($A229="","",IFERROR(INDEX('[AQ_2023.xlsx]原始数据'!$F:$F,MATCH($A229,'[AQ_2023.xlsx]原始数据'!$A:$A,0)),""))</f>
        <v/>
      </c>
      <c r="Z229">
        <f>IF($A229="","",IFERROR(INDEX('[AQ_2024.xlsx]原始数据'!$F:$F,MATCH($A229,'[AQ_2024.xlsx]原始数据'!$A:$A,0)),""))</f>
        <v/>
      </c>
      <c r="AA229" s="2">
        <f>IFERROR(G229/B229,"")</f>
        <v/>
      </c>
      <c r="AB229" s="2">
        <f>IFERROR(H229/C229,"")</f>
        <v/>
      </c>
      <c r="AC229" s="2">
        <f>IFERROR(I229/D229,"")</f>
        <v/>
      </c>
      <c r="AD229" s="2">
        <f>IFERROR(J229/E229,"")</f>
        <v/>
      </c>
      <c r="AE229" s="2">
        <f>IFERROR(K229/F229,"")</f>
        <v/>
      </c>
      <c r="AF229" s="2">
        <f>IFERROR(L229/B229,"")</f>
        <v/>
      </c>
      <c r="AG229" s="2">
        <f>IFERROR(M229/C229,"")</f>
        <v/>
      </c>
      <c r="AH229" s="2">
        <f>IFERROR(N229/D229,"")</f>
        <v/>
      </c>
      <c r="AI229" s="2">
        <f>IFERROR(O229/E229,"")</f>
        <v/>
      </c>
      <c r="AJ229" s="2">
        <f>IFERROR(P229/F229,"")</f>
        <v/>
      </c>
      <c r="AK229" s="2">
        <f>IFERROR(Q229/B229,"")</f>
        <v/>
      </c>
      <c r="AL229" s="2">
        <f>IFERROR(R229/C229,"")</f>
        <v/>
      </c>
      <c r="AM229" s="2">
        <f>IFERROR(S229/D229,"")</f>
        <v/>
      </c>
      <c r="AN229" s="2">
        <f>IFERROR(T229/E229,"")</f>
        <v/>
      </c>
      <c r="AO229" s="2">
        <f>IFERROR(U229/F229,"")</f>
        <v/>
      </c>
    </row>
    <row r="230">
      <c r="B230">
        <f>IF($A230="","",IFERROR(INDEX('[AQ_2020.xlsx]原始数据'!$B:$B,MATCH($A230,'[AQ_2020.xlsx]原始数据'!$A:$A,0)),""))</f>
        <v/>
      </c>
      <c r="C230">
        <f>IF($A230="","",IFERROR(INDEX('[AQ_2021.xlsx]原始数据'!$B:$B,MATCH($A230,'[AQ_2021.xlsx]原始数据'!$A:$A,0)),""))</f>
        <v/>
      </c>
      <c r="D230">
        <f>IF($A230="","",IFERROR(INDEX('[AQ_2022.xlsx]原始数据'!$B:$B,MATCH($A230,'[AQ_2022.xlsx]原始数据'!$A:$A,0)),""))</f>
        <v/>
      </c>
      <c r="E230">
        <f>IF($A230="","",IFERROR(INDEX('[AQ_2023.xlsx]原始数据'!$B:$B,MATCH($A230,'[AQ_2023.xlsx]原始数据'!$A:$A,0)),""))</f>
        <v/>
      </c>
      <c r="F230">
        <f>IF($A230="","",IFERROR(INDEX('[AQ_2024.xlsx]原始数据'!$B:$B,MATCH($A230,'[AQ_2024.xlsx]原始数据'!$A:$A,0)),""))</f>
        <v/>
      </c>
      <c r="G230">
        <f>IF($A230="","",IFERROR(INDEX('[AQ_2020.xlsx]原始数据'!$C:$C,MATCH($A230,'[AQ_2020.xlsx]原始数据'!$A:$A,0)),""))</f>
        <v/>
      </c>
      <c r="H230">
        <f>IF($A230="","",IFERROR(INDEX('[AQ_2021.xlsx]原始数据'!$C:$C,MATCH($A230,'[AQ_2021.xlsx]原始数据'!$A:$A,0)),""))</f>
        <v/>
      </c>
      <c r="I230">
        <f>IF($A230="","",IFERROR(INDEX('[AQ_2022.xlsx]原始数据'!$C:$C,MATCH($A230,'[AQ_2022.xlsx]原始数据'!$A:$A,0)),""))</f>
        <v/>
      </c>
      <c r="J230">
        <f>IF($A230="","",IFERROR(INDEX('[AQ_2023.xlsx]原始数据'!$C:$C,MATCH($A230,'[AQ_2023.xlsx]原始数据'!$A:$A,0)),""))</f>
        <v/>
      </c>
      <c r="K230">
        <f>IF($A230="","",IFERROR(INDEX('[AQ_2024.xlsx]原始数据'!$C:$C,MATCH($A230,'[AQ_2024.xlsx]原始数据'!$A:$A,0)),""))</f>
        <v/>
      </c>
      <c r="L230">
        <f>IF($A230="","",IFERROR(INDEX('[AQ_2020.xlsx]原始数据'!$D:$D,MATCH($A230,'[AQ_2020.xlsx]原始数据'!$A:$A,0)),""))</f>
        <v/>
      </c>
      <c r="M230">
        <f>IF($A230="","",IFERROR(INDEX('[AQ_2021.xlsx]原始数据'!$D:$D,MATCH($A230,'[AQ_2021.xlsx]原始数据'!$A:$A,0)),""))</f>
        <v/>
      </c>
      <c r="N230">
        <f>IF($A230="","",IFERROR(INDEX('[AQ_2022.xlsx]原始数据'!$D:$D,MATCH($A230,'[AQ_2022.xlsx]原始数据'!$A:$A,0)),""))</f>
        <v/>
      </c>
      <c r="O230">
        <f>IF($A230="","",IFERROR(INDEX('[AQ_2023.xlsx]原始数据'!$D:$D,MATCH($A230,'[AQ_2023.xlsx]原始数据'!$A:$A,0)),""))</f>
        <v/>
      </c>
      <c r="P230">
        <f>IF($A230="","",IFERROR(INDEX('[AQ_2024.xlsx]原始数据'!$D:$D,MATCH($A230,'[AQ_2024.xlsx]原始数据'!$A:$A,0)),""))</f>
        <v/>
      </c>
      <c r="Q230">
        <f>IF($A230="","",IFERROR(INDEX('[AQ_2020.xlsx]原始数据'!$E:$E,MATCH($A230,'[AQ_2020.xlsx]原始数据'!$A:$A,0)),""))</f>
        <v/>
      </c>
      <c r="R230">
        <f>IF($A230="","",IFERROR(INDEX('[AQ_2021.xlsx]原始数据'!$E:$E,MATCH($A230,'[AQ_2021.xlsx]原始数据'!$A:$A,0)),""))</f>
        <v/>
      </c>
      <c r="S230">
        <f>IF($A230="","",IFERROR(INDEX('[AQ_2022.xlsx]原始数据'!$E:$E,MATCH($A230,'[AQ_2022.xlsx]原始数据'!$A:$A,0)),""))</f>
        <v/>
      </c>
      <c r="T230">
        <f>IF($A230="","",IFERROR(INDEX('[AQ_2023.xlsx]原始数据'!$E:$E,MATCH($A230,'[AQ_2023.xlsx]原始数据'!$A:$A,0)),""))</f>
        <v/>
      </c>
      <c r="U230">
        <f>IF($A230="","",IFERROR(INDEX('[AQ_2024.xlsx]原始数据'!$E:$E,MATCH($A230,'[AQ_2024.xlsx]原始数据'!$A:$A,0)),""))</f>
        <v/>
      </c>
      <c r="V230">
        <f>IF($A230="","",IFERROR(INDEX('[AQ_2020.xlsx]原始数据'!$F:$F,MATCH($A230,'[AQ_2020.xlsx]原始数据'!$A:$A,0)),""))</f>
        <v/>
      </c>
      <c r="W230">
        <f>IF($A230="","",IFERROR(INDEX('[AQ_2021.xlsx]原始数据'!$F:$F,MATCH($A230,'[AQ_2021.xlsx]原始数据'!$A:$A,0)),""))</f>
        <v/>
      </c>
      <c r="X230">
        <f>IF($A230="","",IFERROR(INDEX('[AQ_2022.xlsx]原始数据'!$F:$F,MATCH($A230,'[AQ_2022.xlsx]原始数据'!$A:$A,0)),""))</f>
        <v/>
      </c>
      <c r="Y230">
        <f>IF($A230="","",IFERROR(INDEX('[AQ_2023.xlsx]原始数据'!$F:$F,MATCH($A230,'[AQ_2023.xlsx]原始数据'!$A:$A,0)),""))</f>
        <v/>
      </c>
      <c r="Z230">
        <f>IF($A230="","",IFERROR(INDEX('[AQ_2024.xlsx]原始数据'!$F:$F,MATCH($A230,'[AQ_2024.xlsx]原始数据'!$A:$A,0)),""))</f>
        <v/>
      </c>
      <c r="AA230" s="2">
        <f>IFERROR(G230/B230,"")</f>
        <v/>
      </c>
      <c r="AB230" s="2">
        <f>IFERROR(H230/C230,"")</f>
        <v/>
      </c>
      <c r="AC230" s="2">
        <f>IFERROR(I230/D230,"")</f>
        <v/>
      </c>
      <c r="AD230" s="2">
        <f>IFERROR(J230/E230,"")</f>
        <v/>
      </c>
      <c r="AE230" s="2">
        <f>IFERROR(K230/F230,"")</f>
        <v/>
      </c>
      <c r="AF230" s="2">
        <f>IFERROR(L230/B230,"")</f>
        <v/>
      </c>
      <c r="AG230" s="2">
        <f>IFERROR(M230/C230,"")</f>
        <v/>
      </c>
      <c r="AH230" s="2">
        <f>IFERROR(N230/D230,"")</f>
        <v/>
      </c>
      <c r="AI230" s="2">
        <f>IFERROR(O230/E230,"")</f>
        <v/>
      </c>
      <c r="AJ230" s="2">
        <f>IFERROR(P230/F230,"")</f>
        <v/>
      </c>
      <c r="AK230" s="2">
        <f>IFERROR(Q230/B230,"")</f>
        <v/>
      </c>
      <c r="AL230" s="2">
        <f>IFERROR(R230/C230,"")</f>
        <v/>
      </c>
      <c r="AM230" s="2">
        <f>IFERROR(S230/D230,"")</f>
        <v/>
      </c>
      <c r="AN230" s="2">
        <f>IFERROR(T230/E230,"")</f>
        <v/>
      </c>
      <c r="AO230" s="2">
        <f>IFERROR(U230/F230,"")</f>
        <v/>
      </c>
    </row>
    <row r="231">
      <c r="B231">
        <f>IF($A231="","",IFERROR(INDEX('[AQ_2020.xlsx]原始数据'!$B:$B,MATCH($A231,'[AQ_2020.xlsx]原始数据'!$A:$A,0)),""))</f>
        <v/>
      </c>
      <c r="C231">
        <f>IF($A231="","",IFERROR(INDEX('[AQ_2021.xlsx]原始数据'!$B:$B,MATCH($A231,'[AQ_2021.xlsx]原始数据'!$A:$A,0)),""))</f>
        <v/>
      </c>
      <c r="D231">
        <f>IF($A231="","",IFERROR(INDEX('[AQ_2022.xlsx]原始数据'!$B:$B,MATCH($A231,'[AQ_2022.xlsx]原始数据'!$A:$A,0)),""))</f>
        <v/>
      </c>
      <c r="E231">
        <f>IF($A231="","",IFERROR(INDEX('[AQ_2023.xlsx]原始数据'!$B:$B,MATCH($A231,'[AQ_2023.xlsx]原始数据'!$A:$A,0)),""))</f>
        <v/>
      </c>
      <c r="F231">
        <f>IF($A231="","",IFERROR(INDEX('[AQ_2024.xlsx]原始数据'!$B:$B,MATCH($A231,'[AQ_2024.xlsx]原始数据'!$A:$A,0)),""))</f>
        <v/>
      </c>
      <c r="G231">
        <f>IF($A231="","",IFERROR(INDEX('[AQ_2020.xlsx]原始数据'!$C:$C,MATCH($A231,'[AQ_2020.xlsx]原始数据'!$A:$A,0)),""))</f>
        <v/>
      </c>
      <c r="H231">
        <f>IF($A231="","",IFERROR(INDEX('[AQ_2021.xlsx]原始数据'!$C:$C,MATCH($A231,'[AQ_2021.xlsx]原始数据'!$A:$A,0)),""))</f>
        <v/>
      </c>
      <c r="I231">
        <f>IF($A231="","",IFERROR(INDEX('[AQ_2022.xlsx]原始数据'!$C:$C,MATCH($A231,'[AQ_2022.xlsx]原始数据'!$A:$A,0)),""))</f>
        <v/>
      </c>
      <c r="J231">
        <f>IF($A231="","",IFERROR(INDEX('[AQ_2023.xlsx]原始数据'!$C:$C,MATCH($A231,'[AQ_2023.xlsx]原始数据'!$A:$A,0)),""))</f>
        <v/>
      </c>
      <c r="K231">
        <f>IF($A231="","",IFERROR(INDEX('[AQ_2024.xlsx]原始数据'!$C:$C,MATCH($A231,'[AQ_2024.xlsx]原始数据'!$A:$A,0)),""))</f>
        <v/>
      </c>
      <c r="L231">
        <f>IF($A231="","",IFERROR(INDEX('[AQ_2020.xlsx]原始数据'!$D:$D,MATCH($A231,'[AQ_2020.xlsx]原始数据'!$A:$A,0)),""))</f>
        <v/>
      </c>
      <c r="M231">
        <f>IF($A231="","",IFERROR(INDEX('[AQ_2021.xlsx]原始数据'!$D:$D,MATCH($A231,'[AQ_2021.xlsx]原始数据'!$A:$A,0)),""))</f>
        <v/>
      </c>
      <c r="N231">
        <f>IF($A231="","",IFERROR(INDEX('[AQ_2022.xlsx]原始数据'!$D:$D,MATCH($A231,'[AQ_2022.xlsx]原始数据'!$A:$A,0)),""))</f>
        <v/>
      </c>
      <c r="O231">
        <f>IF($A231="","",IFERROR(INDEX('[AQ_2023.xlsx]原始数据'!$D:$D,MATCH($A231,'[AQ_2023.xlsx]原始数据'!$A:$A,0)),""))</f>
        <v/>
      </c>
      <c r="P231">
        <f>IF($A231="","",IFERROR(INDEX('[AQ_2024.xlsx]原始数据'!$D:$D,MATCH($A231,'[AQ_2024.xlsx]原始数据'!$A:$A,0)),""))</f>
        <v/>
      </c>
      <c r="Q231">
        <f>IF($A231="","",IFERROR(INDEX('[AQ_2020.xlsx]原始数据'!$E:$E,MATCH($A231,'[AQ_2020.xlsx]原始数据'!$A:$A,0)),""))</f>
        <v/>
      </c>
      <c r="R231">
        <f>IF($A231="","",IFERROR(INDEX('[AQ_2021.xlsx]原始数据'!$E:$E,MATCH($A231,'[AQ_2021.xlsx]原始数据'!$A:$A,0)),""))</f>
        <v/>
      </c>
      <c r="S231">
        <f>IF($A231="","",IFERROR(INDEX('[AQ_2022.xlsx]原始数据'!$E:$E,MATCH($A231,'[AQ_2022.xlsx]原始数据'!$A:$A,0)),""))</f>
        <v/>
      </c>
      <c r="T231">
        <f>IF($A231="","",IFERROR(INDEX('[AQ_2023.xlsx]原始数据'!$E:$E,MATCH($A231,'[AQ_2023.xlsx]原始数据'!$A:$A,0)),""))</f>
        <v/>
      </c>
      <c r="U231">
        <f>IF($A231="","",IFERROR(INDEX('[AQ_2024.xlsx]原始数据'!$E:$E,MATCH($A231,'[AQ_2024.xlsx]原始数据'!$A:$A,0)),""))</f>
        <v/>
      </c>
      <c r="V231">
        <f>IF($A231="","",IFERROR(INDEX('[AQ_2020.xlsx]原始数据'!$F:$F,MATCH($A231,'[AQ_2020.xlsx]原始数据'!$A:$A,0)),""))</f>
        <v/>
      </c>
      <c r="W231">
        <f>IF($A231="","",IFERROR(INDEX('[AQ_2021.xlsx]原始数据'!$F:$F,MATCH($A231,'[AQ_2021.xlsx]原始数据'!$A:$A,0)),""))</f>
        <v/>
      </c>
      <c r="X231">
        <f>IF($A231="","",IFERROR(INDEX('[AQ_2022.xlsx]原始数据'!$F:$F,MATCH($A231,'[AQ_2022.xlsx]原始数据'!$A:$A,0)),""))</f>
        <v/>
      </c>
      <c r="Y231">
        <f>IF($A231="","",IFERROR(INDEX('[AQ_2023.xlsx]原始数据'!$F:$F,MATCH($A231,'[AQ_2023.xlsx]原始数据'!$A:$A,0)),""))</f>
        <v/>
      </c>
      <c r="Z231">
        <f>IF($A231="","",IFERROR(INDEX('[AQ_2024.xlsx]原始数据'!$F:$F,MATCH($A231,'[AQ_2024.xlsx]原始数据'!$A:$A,0)),""))</f>
        <v/>
      </c>
      <c r="AA231" s="2">
        <f>IFERROR(G231/B231,"")</f>
        <v/>
      </c>
      <c r="AB231" s="2">
        <f>IFERROR(H231/C231,"")</f>
        <v/>
      </c>
      <c r="AC231" s="2">
        <f>IFERROR(I231/D231,"")</f>
        <v/>
      </c>
      <c r="AD231" s="2">
        <f>IFERROR(J231/E231,"")</f>
        <v/>
      </c>
      <c r="AE231" s="2">
        <f>IFERROR(K231/F231,"")</f>
        <v/>
      </c>
      <c r="AF231" s="2">
        <f>IFERROR(L231/B231,"")</f>
        <v/>
      </c>
      <c r="AG231" s="2">
        <f>IFERROR(M231/C231,"")</f>
        <v/>
      </c>
      <c r="AH231" s="2">
        <f>IFERROR(N231/D231,"")</f>
        <v/>
      </c>
      <c r="AI231" s="2">
        <f>IFERROR(O231/E231,"")</f>
        <v/>
      </c>
      <c r="AJ231" s="2">
        <f>IFERROR(P231/F231,"")</f>
        <v/>
      </c>
      <c r="AK231" s="2">
        <f>IFERROR(Q231/B231,"")</f>
        <v/>
      </c>
      <c r="AL231" s="2">
        <f>IFERROR(R231/C231,"")</f>
        <v/>
      </c>
      <c r="AM231" s="2">
        <f>IFERROR(S231/D231,"")</f>
        <v/>
      </c>
      <c r="AN231" s="2">
        <f>IFERROR(T231/E231,"")</f>
        <v/>
      </c>
      <c r="AO231" s="2">
        <f>IFERROR(U231/F231,"")</f>
        <v/>
      </c>
    </row>
    <row r="232">
      <c r="B232">
        <f>IF($A232="","",IFERROR(INDEX('[AQ_2020.xlsx]原始数据'!$B:$B,MATCH($A232,'[AQ_2020.xlsx]原始数据'!$A:$A,0)),""))</f>
        <v/>
      </c>
      <c r="C232">
        <f>IF($A232="","",IFERROR(INDEX('[AQ_2021.xlsx]原始数据'!$B:$B,MATCH($A232,'[AQ_2021.xlsx]原始数据'!$A:$A,0)),""))</f>
        <v/>
      </c>
      <c r="D232">
        <f>IF($A232="","",IFERROR(INDEX('[AQ_2022.xlsx]原始数据'!$B:$B,MATCH($A232,'[AQ_2022.xlsx]原始数据'!$A:$A,0)),""))</f>
        <v/>
      </c>
      <c r="E232">
        <f>IF($A232="","",IFERROR(INDEX('[AQ_2023.xlsx]原始数据'!$B:$B,MATCH($A232,'[AQ_2023.xlsx]原始数据'!$A:$A,0)),""))</f>
        <v/>
      </c>
      <c r="F232">
        <f>IF($A232="","",IFERROR(INDEX('[AQ_2024.xlsx]原始数据'!$B:$B,MATCH($A232,'[AQ_2024.xlsx]原始数据'!$A:$A,0)),""))</f>
        <v/>
      </c>
      <c r="G232">
        <f>IF($A232="","",IFERROR(INDEX('[AQ_2020.xlsx]原始数据'!$C:$C,MATCH($A232,'[AQ_2020.xlsx]原始数据'!$A:$A,0)),""))</f>
        <v/>
      </c>
      <c r="H232">
        <f>IF($A232="","",IFERROR(INDEX('[AQ_2021.xlsx]原始数据'!$C:$C,MATCH($A232,'[AQ_2021.xlsx]原始数据'!$A:$A,0)),""))</f>
        <v/>
      </c>
      <c r="I232">
        <f>IF($A232="","",IFERROR(INDEX('[AQ_2022.xlsx]原始数据'!$C:$C,MATCH($A232,'[AQ_2022.xlsx]原始数据'!$A:$A,0)),""))</f>
        <v/>
      </c>
      <c r="J232">
        <f>IF($A232="","",IFERROR(INDEX('[AQ_2023.xlsx]原始数据'!$C:$C,MATCH($A232,'[AQ_2023.xlsx]原始数据'!$A:$A,0)),""))</f>
        <v/>
      </c>
      <c r="K232">
        <f>IF($A232="","",IFERROR(INDEX('[AQ_2024.xlsx]原始数据'!$C:$C,MATCH($A232,'[AQ_2024.xlsx]原始数据'!$A:$A,0)),""))</f>
        <v/>
      </c>
      <c r="L232">
        <f>IF($A232="","",IFERROR(INDEX('[AQ_2020.xlsx]原始数据'!$D:$D,MATCH($A232,'[AQ_2020.xlsx]原始数据'!$A:$A,0)),""))</f>
        <v/>
      </c>
      <c r="M232">
        <f>IF($A232="","",IFERROR(INDEX('[AQ_2021.xlsx]原始数据'!$D:$D,MATCH($A232,'[AQ_2021.xlsx]原始数据'!$A:$A,0)),""))</f>
        <v/>
      </c>
      <c r="N232">
        <f>IF($A232="","",IFERROR(INDEX('[AQ_2022.xlsx]原始数据'!$D:$D,MATCH($A232,'[AQ_2022.xlsx]原始数据'!$A:$A,0)),""))</f>
        <v/>
      </c>
      <c r="O232">
        <f>IF($A232="","",IFERROR(INDEX('[AQ_2023.xlsx]原始数据'!$D:$D,MATCH($A232,'[AQ_2023.xlsx]原始数据'!$A:$A,0)),""))</f>
        <v/>
      </c>
      <c r="P232">
        <f>IF($A232="","",IFERROR(INDEX('[AQ_2024.xlsx]原始数据'!$D:$D,MATCH($A232,'[AQ_2024.xlsx]原始数据'!$A:$A,0)),""))</f>
        <v/>
      </c>
      <c r="Q232">
        <f>IF($A232="","",IFERROR(INDEX('[AQ_2020.xlsx]原始数据'!$E:$E,MATCH($A232,'[AQ_2020.xlsx]原始数据'!$A:$A,0)),""))</f>
        <v/>
      </c>
      <c r="R232">
        <f>IF($A232="","",IFERROR(INDEX('[AQ_2021.xlsx]原始数据'!$E:$E,MATCH($A232,'[AQ_2021.xlsx]原始数据'!$A:$A,0)),""))</f>
        <v/>
      </c>
      <c r="S232">
        <f>IF($A232="","",IFERROR(INDEX('[AQ_2022.xlsx]原始数据'!$E:$E,MATCH($A232,'[AQ_2022.xlsx]原始数据'!$A:$A,0)),""))</f>
        <v/>
      </c>
      <c r="T232">
        <f>IF($A232="","",IFERROR(INDEX('[AQ_2023.xlsx]原始数据'!$E:$E,MATCH($A232,'[AQ_2023.xlsx]原始数据'!$A:$A,0)),""))</f>
        <v/>
      </c>
      <c r="U232">
        <f>IF($A232="","",IFERROR(INDEX('[AQ_2024.xlsx]原始数据'!$E:$E,MATCH($A232,'[AQ_2024.xlsx]原始数据'!$A:$A,0)),""))</f>
        <v/>
      </c>
      <c r="V232">
        <f>IF($A232="","",IFERROR(INDEX('[AQ_2020.xlsx]原始数据'!$F:$F,MATCH($A232,'[AQ_2020.xlsx]原始数据'!$A:$A,0)),""))</f>
        <v/>
      </c>
      <c r="W232">
        <f>IF($A232="","",IFERROR(INDEX('[AQ_2021.xlsx]原始数据'!$F:$F,MATCH($A232,'[AQ_2021.xlsx]原始数据'!$A:$A,0)),""))</f>
        <v/>
      </c>
      <c r="X232">
        <f>IF($A232="","",IFERROR(INDEX('[AQ_2022.xlsx]原始数据'!$F:$F,MATCH($A232,'[AQ_2022.xlsx]原始数据'!$A:$A,0)),""))</f>
        <v/>
      </c>
      <c r="Y232">
        <f>IF($A232="","",IFERROR(INDEX('[AQ_2023.xlsx]原始数据'!$F:$F,MATCH($A232,'[AQ_2023.xlsx]原始数据'!$A:$A,0)),""))</f>
        <v/>
      </c>
      <c r="Z232">
        <f>IF($A232="","",IFERROR(INDEX('[AQ_2024.xlsx]原始数据'!$F:$F,MATCH($A232,'[AQ_2024.xlsx]原始数据'!$A:$A,0)),""))</f>
        <v/>
      </c>
      <c r="AA232" s="2">
        <f>IFERROR(G232/B232,"")</f>
        <v/>
      </c>
      <c r="AB232" s="2">
        <f>IFERROR(H232/C232,"")</f>
        <v/>
      </c>
      <c r="AC232" s="2">
        <f>IFERROR(I232/D232,"")</f>
        <v/>
      </c>
      <c r="AD232" s="2">
        <f>IFERROR(J232/E232,"")</f>
        <v/>
      </c>
      <c r="AE232" s="2">
        <f>IFERROR(K232/F232,"")</f>
        <v/>
      </c>
      <c r="AF232" s="2">
        <f>IFERROR(L232/B232,"")</f>
        <v/>
      </c>
      <c r="AG232" s="2">
        <f>IFERROR(M232/C232,"")</f>
        <v/>
      </c>
      <c r="AH232" s="2">
        <f>IFERROR(N232/D232,"")</f>
        <v/>
      </c>
      <c r="AI232" s="2">
        <f>IFERROR(O232/E232,"")</f>
        <v/>
      </c>
      <c r="AJ232" s="2">
        <f>IFERROR(P232/F232,"")</f>
        <v/>
      </c>
      <c r="AK232" s="2">
        <f>IFERROR(Q232/B232,"")</f>
        <v/>
      </c>
      <c r="AL232" s="2">
        <f>IFERROR(R232/C232,"")</f>
        <v/>
      </c>
      <c r="AM232" s="2">
        <f>IFERROR(S232/D232,"")</f>
        <v/>
      </c>
      <c r="AN232" s="2">
        <f>IFERROR(T232/E232,"")</f>
        <v/>
      </c>
      <c r="AO232" s="2">
        <f>IFERROR(U232/F232,"")</f>
        <v/>
      </c>
    </row>
    <row r="233">
      <c r="B233">
        <f>IF($A233="","",IFERROR(INDEX('[AQ_2020.xlsx]原始数据'!$B:$B,MATCH($A233,'[AQ_2020.xlsx]原始数据'!$A:$A,0)),""))</f>
        <v/>
      </c>
      <c r="C233">
        <f>IF($A233="","",IFERROR(INDEX('[AQ_2021.xlsx]原始数据'!$B:$B,MATCH($A233,'[AQ_2021.xlsx]原始数据'!$A:$A,0)),""))</f>
        <v/>
      </c>
      <c r="D233">
        <f>IF($A233="","",IFERROR(INDEX('[AQ_2022.xlsx]原始数据'!$B:$B,MATCH($A233,'[AQ_2022.xlsx]原始数据'!$A:$A,0)),""))</f>
        <v/>
      </c>
      <c r="E233">
        <f>IF($A233="","",IFERROR(INDEX('[AQ_2023.xlsx]原始数据'!$B:$B,MATCH($A233,'[AQ_2023.xlsx]原始数据'!$A:$A,0)),""))</f>
        <v/>
      </c>
      <c r="F233">
        <f>IF($A233="","",IFERROR(INDEX('[AQ_2024.xlsx]原始数据'!$B:$B,MATCH($A233,'[AQ_2024.xlsx]原始数据'!$A:$A,0)),""))</f>
        <v/>
      </c>
      <c r="G233">
        <f>IF($A233="","",IFERROR(INDEX('[AQ_2020.xlsx]原始数据'!$C:$C,MATCH($A233,'[AQ_2020.xlsx]原始数据'!$A:$A,0)),""))</f>
        <v/>
      </c>
      <c r="H233">
        <f>IF($A233="","",IFERROR(INDEX('[AQ_2021.xlsx]原始数据'!$C:$C,MATCH($A233,'[AQ_2021.xlsx]原始数据'!$A:$A,0)),""))</f>
        <v/>
      </c>
      <c r="I233">
        <f>IF($A233="","",IFERROR(INDEX('[AQ_2022.xlsx]原始数据'!$C:$C,MATCH($A233,'[AQ_2022.xlsx]原始数据'!$A:$A,0)),""))</f>
        <v/>
      </c>
      <c r="J233">
        <f>IF($A233="","",IFERROR(INDEX('[AQ_2023.xlsx]原始数据'!$C:$C,MATCH($A233,'[AQ_2023.xlsx]原始数据'!$A:$A,0)),""))</f>
        <v/>
      </c>
      <c r="K233">
        <f>IF($A233="","",IFERROR(INDEX('[AQ_2024.xlsx]原始数据'!$C:$C,MATCH($A233,'[AQ_2024.xlsx]原始数据'!$A:$A,0)),""))</f>
        <v/>
      </c>
      <c r="L233">
        <f>IF($A233="","",IFERROR(INDEX('[AQ_2020.xlsx]原始数据'!$D:$D,MATCH($A233,'[AQ_2020.xlsx]原始数据'!$A:$A,0)),""))</f>
        <v/>
      </c>
      <c r="M233">
        <f>IF($A233="","",IFERROR(INDEX('[AQ_2021.xlsx]原始数据'!$D:$D,MATCH($A233,'[AQ_2021.xlsx]原始数据'!$A:$A,0)),""))</f>
        <v/>
      </c>
      <c r="N233">
        <f>IF($A233="","",IFERROR(INDEX('[AQ_2022.xlsx]原始数据'!$D:$D,MATCH($A233,'[AQ_2022.xlsx]原始数据'!$A:$A,0)),""))</f>
        <v/>
      </c>
      <c r="O233">
        <f>IF($A233="","",IFERROR(INDEX('[AQ_2023.xlsx]原始数据'!$D:$D,MATCH($A233,'[AQ_2023.xlsx]原始数据'!$A:$A,0)),""))</f>
        <v/>
      </c>
      <c r="P233">
        <f>IF($A233="","",IFERROR(INDEX('[AQ_2024.xlsx]原始数据'!$D:$D,MATCH($A233,'[AQ_2024.xlsx]原始数据'!$A:$A,0)),""))</f>
        <v/>
      </c>
      <c r="Q233">
        <f>IF($A233="","",IFERROR(INDEX('[AQ_2020.xlsx]原始数据'!$E:$E,MATCH($A233,'[AQ_2020.xlsx]原始数据'!$A:$A,0)),""))</f>
        <v/>
      </c>
      <c r="R233">
        <f>IF($A233="","",IFERROR(INDEX('[AQ_2021.xlsx]原始数据'!$E:$E,MATCH($A233,'[AQ_2021.xlsx]原始数据'!$A:$A,0)),""))</f>
        <v/>
      </c>
      <c r="S233">
        <f>IF($A233="","",IFERROR(INDEX('[AQ_2022.xlsx]原始数据'!$E:$E,MATCH($A233,'[AQ_2022.xlsx]原始数据'!$A:$A,0)),""))</f>
        <v/>
      </c>
      <c r="T233">
        <f>IF($A233="","",IFERROR(INDEX('[AQ_2023.xlsx]原始数据'!$E:$E,MATCH($A233,'[AQ_2023.xlsx]原始数据'!$A:$A,0)),""))</f>
        <v/>
      </c>
      <c r="U233">
        <f>IF($A233="","",IFERROR(INDEX('[AQ_2024.xlsx]原始数据'!$E:$E,MATCH($A233,'[AQ_2024.xlsx]原始数据'!$A:$A,0)),""))</f>
        <v/>
      </c>
      <c r="V233">
        <f>IF($A233="","",IFERROR(INDEX('[AQ_2020.xlsx]原始数据'!$F:$F,MATCH($A233,'[AQ_2020.xlsx]原始数据'!$A:$A,0)),""))</f>
        <v/>
      </c>
      <c r="W233">
        <f>IF($A233="","",IFERROR(INDEX('[AQ_2021.xlsx]原始数据'!$F:$F,MATCH($A233,'[AQ_2021.xlsx]原始数据'!$A:$A,0)),""))</f>
        <v/>
      </c>
      <c r="X233">
        <f>IF($A233="","",IFERROR(INDEX('[AQ_2022.xlsx]原始数据'!$F:$F,MATCH($A233,'[AQ_2022.xlsx]原始数据'!$A:$A,0)),""))</f>
        <v/>
      </c>
      <c r="Y233">
        <f>IF($A233="","",IFERROR(INDEX('[AQ_2023.xlsx]原始数据'!$F:$F,MATCH($A233,'[AQ_2023.xlsx]原始数据'!$A:$A,0)),""))</f>
        <v/>
      </c>
      <c r="Z233">
        <f>IF($A233="","",IFERROR(INDEX('[AQ_2024.xlsx]原始数据'!$F:$F,MATCH($A233,'[AQ_2024.xlsx]原始数据'!$A:$A,0)),""))</f>
        <v/>
      </c>
      <c r="AA233" s="2">
        <f>IFERROR(G233/B233,"")</f>
        <v/>
      </c>
      <c r="AB233" s="2">
        <f>IFERROR(H233/C233,"")</f>
        <v/>
      </c>
      <c r="AC233" s="2">
        <f>IFERROR(I233/D233,"")</f>
        <v/>
      </c>
      <c r="AD233" s="2">
        <f>IFERROR(J233/E233,"")</f>
        <v/>
      </c>
      <c r="AE233" s="2">
        <f>IFERROR(K233/F233,"")</f>
        <v/>
      </c>
      <c r="AF233" s="2">
        <f>IFERROR(L233/B233,"")</f>
        <v/>
      </c>
      <c r="AG233" s="2">
        <f>IFERROR(M233/C233,"")</f>
        <v/>
      </c>
      <c r="AH233" s="2">
        <f>IFERROR(N233/D233,"")</f>
        <v/>
      </c>
      <c r="AI233" s="2">
        <f>IFERROR(O233/E233,"")</f>
        <v/>
      </c>
      <c r="AJ233" s="2">
        <f>IFERROR(P233/F233,"")</f>
        <v/>
      </c>
      <c r="AK233" s="2">
        <f>IFERROR(Q233/B233,"")</f>
        <v/>
      </c>
      <c r="AL233" s="2">
        <f>IFERROR(R233/C233,"")</f>
        <v/>
      </c>
      <c r="AM233" s="2">
        <f>IFERROR(S233/D233,"")</f>
        <v/>
      </c>
      <c r="AN233" s="2">
        <f>IFERROR(T233/E233,"")</f>
        <v/>
      </c>
      <c r="AO233" s="2">
        <f>IFERROR(U233/F233,"")</f>
        <v/>
      </c>
    </row>
    <row r="234">
      <c r="B234">
        <f>IF($A234="","",IFERROR(INDEX('[AQ_2020.xlsx]原始数据'!$B:$B,MATCH($A234,'[AQ_2020.xlsx]原始数据'!$A:$A,0)),""))</f>
        <v/>
      </c>
      <c r="C234">
        <f>IF($A234="","",IFERROR(INDEX('[AQ_2021.xlsx]原始数据'!$B:$B,MATCH($A234,'[AQ_2021.xlsx]原始数据'!$A:$A,0)),""))</f>
        <v/>
      </c>
      <c r="D234">
        <f>IF($A234="","",IFERROR(INDEX('[AQ_2022.xlsx]原始数据'!$B:$B,MATCH($A234,'[AQ_2022.xlsx]原始数据'!$A:$A,0)),""))</f>
        <v/>
      </c>
      <c r="E234">
        <f>IF($A234="","",IFERROR(INDEX('[AQ_2023.xlsx]原始数据'!$B:$B,MATCH($A234,'[AQ_2023.xlsx]原始数据'!$A:$A,0)),""))</f>
        <v/>
      </c>
      <c r="F234">
        <f>IF($A234="","",IFERROR(INDEX('[AQ_2024.xlsx]原始数据'!$B:$B,MATCH($A234,'[AQ_2024.xlsx]原始数据'!$A:$A,0)),""))</f>
        <v/>
      </c>
      <c r="G234">
        <f>IF($A234="","",IFERROR(INDEX('[AQ_2020.xlsx]原始数据'!$C:$C,MATCH($A234,'[AQ_2020.xlsx]原始数据'!$A:$A,0)),""))</f>
        <v/>
      </c>
      <c r="H234">
        <f>IF($A234="","",IFERROR(INDEX('[AQ_2021.xlsx]原始数据'!$C:$C,MATCH($A234,'[AQ_2021.xlsx]原始数据'!$A:$A,0)),""))</f>
        <v/>
      </c>
      <c r="I234">
        <f>IF($A234="","",IFERROR(INDEX('[AQ_2022.xlsx]原始数据'!$C:$C,MATCH($A234,'[AQ_2022.xlsx]原始数据'!$A:$A,0)),""))</f>
        <v/>
      </c>
      <c r="J234">
        <f>IF($A234="","",IFERROR(INDEX('[AQ_2023.xlsx]原始数据'!$C:$C,MATCH($A234,'[AQ_2023.xlsx]原始数据'!$A:$A,0)),""))</f>
        <v/>
      </c>
      <c r="K234">
        <f>IF($A234="","",IFERROR(INDEX('[AQ_2024.xlsx]原始数据'!$C:$C,MATCH($A234,'[AQ_2024.xlsx]原始数据'!$A:$A,0)),""))</f>
        <v/>
      </c>
      <c r="L234">
        <f>IF($A234="","",IFERROR(INDEX('[AQ_2020.xlsx]原始数据'!$D:$D,MATCH($A234,'[AQ_2020.xlsx]原始数据'!$A:$A,0)),""))</f>
        <v/>
      </c>
      <c r="M234">
        <f>IF($A234="","",IFERROR(INDEX('[AQ_2021.xlsx]原始数据'!$D:$D,MATCH($A234,'[AQ_2021.xlsx]原始数据'!$A:$A,0)),""))</f>
        <v/>
      </c>
      <c r="N234">
        <f>IF($A234="","",IFERROR(INDEX('[AQ_2022.xlsx]原始数据'!$D:$D,MATCH($A234,'[AQ_2022.xlsx]原始数据'!$A:$A,0)),""))</f>
        <v/>
      </c>
      <c r="O234">
        <f>IF($A234="","",IFERROR(INDEX('[AQ_2023.xlsx]原始数据'!$D:$D,MATCH($A234,'[AQ_2023.xlsx]原始数据'!$A:$A,0)),""))</f>
        <v/>
      </c>
      <c r="P234">
        <f>IF($A234="","",IFERROR(INDEX('[AQ_2024.xlsx]原始数据'!$D:$D,MATCH($A234,'[AQ_2024.xlsx]原始数据'!$A:$A,0)),""))</f>
        <v/>
      </c>
      <c r="Q234">
        <f>IF($A234="","",IFERROR(INDEX('[AQ_2020.xlsx]原始数据'!$E:$E,MATCH($A234,'[AQ_2020.xlsx]原始数据'!$A:$A,0)),""))</f>
        <v/>
      </c>
      <c r="R234">
        <f>IF($A234="","",IFERROR(INDEX('[AQ_2021.xlsx]原始数据'!$E:$E,MATCH($A234,'[AQ_2021.xlsx]原始数据'!$A:$A,0)),""))</f>
        <v/>
      </c>
      <c r="S234">
        <f>IF($A234="","",IFERROR(INDEX('[AQ_2022.xlsx]原始数据'!$E:$E,MATCH($A234,'[AQ_2022.xlsx]原始数据'!$A:$A,0)),""))</f>
        <v/>
      </c>
      <c r="T234">
        <f>IF($A234="","",IFERROR(INDEX('[AQ_2023.xlsx]原始数据'!$E:$E,MATCH($A234,'[AQ_2023.xlsx]原始数据'!$A:$A,0)),""))</f>
        <v/>
      </c>
      <c r="U234">
        <f>IF($A234="","",IFERROR(INDEX('[AQ_2024.xlsx]原始数据'!$E:$E,MATCH($A234,'[AQ_2024.xlsx]原始数据'!$A:$A,0)),""))</f>
        <v/>
      </c>
      <c r="V234">
        <f>IF($A234="","",IFERROR(INDEX('[AQ_2020.xlsx]原始数据'!$F:$F,MATCH($A234,'[AQ_2020.xlsx]原始数据'!$A:$A,0)),""))</f>
        <v/>
      </c>
      <c r="W234">
        <f>IF($A234="","",IFERROR(INDEX('[AQ_2021.xlsx]原始数据'!$F:$F,MATCH($A234,'[AQ_2021.xlsx]原始数据'!$A:$A,0)),""))</f>
        <v/>
      </c>
      <c r="X234">
        <f>IF($A234="","",IFERROR(INDEX('[AQ_2022.xlsx]原始数据'!$F:$F,MATCH($A234,'[AQ_2022.xlsx]原始数据'!$A:$A,0)),""))</f>
        <v/>
      </c>
      <c r="Y234">
        <f>IF($A234="","",IFERROR(INDEX('[AQ_2023.xlsx]原始数据'!$F:$F,MATCH($A234,'[AQ_2023.xlsx]原始数据'!$A:$A,0)),""))</f>
        <v/>
      </c>
      <c r="Z234">
        <f>IF($A234="","",IFERROR(INDEX('[AQ_2024.xlsx]原始数据'!$F:$F,MATCH($A234,'[AQ_2024.xlsx]原始数据'!$A:$A,0)),""))</f>
        <v/>
      </c>
      <c r="AA234" s="2">
        <f>IFERROR(G234/B234,"")</f>
        <v/>
      </c>
      <c r="AB234" s="2">
        <f>IFERROR(H234/C234,"")</f>
        <v/>
      </c>
      <c r="AC234" s="2">
        <f>IFERROR(I234/D234,"")</f>
        <v/>
      </c>
      <c r="AD234" s="2">
        <f>IFERROR(J234/E234,"")</f>
        <v/>
      </c>
      <c r="AE234" s="2">
        <f>IFERROR(K234/F234,"")</f>
        <v/>
      </c>
      <c r="AF234" s="2">
        <f>IFERROR(L234/B234,"")</f>
        <v/>
      </c>
      <c r="AG234" s="2">
        <f>IFERROR(M234/C234,"")</f>
        <v/>
      </c>
      <c r="AH234" s="2">
        <f>IFERROR(N234/D234,"")</f>
        <v/>
      </c>
      <c r="AI234" s="2">
        <f>IFERROR(O234/E234,"")</f>
        <v/>
      </c>
      <c r="AJ234" s="2">
        <f>IFERROR(P234/F234,"")</f>
        <v/>
      </c>
      <c r="AK234" s="2">
        <f>IFERROR(Q234/B234,"")</f>
        <v/>
      </c>
      <c r="AL234" s="2">
        <f>IFERROR(R234/C234,"")</f>
        <v/>
      </c>
      <c r="AM234" s="2">
        <f>IFERROR(S234/D234,"")</f>
        <v/>
      </c>
      <c r="AN234" s="2">
        <f>IFERROR(T234/E234,"")</f>
        <v/>
      </c>
      <c r="AO234" s="2">
        <f>IFERROR(U234/F234,"")</f>
        <v/>
      </c>
    </row>
    <row r="235">
      <c r="B235">
        <f>IF($A235="","",IFERROR(INDEX('[AQ_2020.xlsx]原始数据'!$B:$B,MATCH($A235,'[AQ_2020.xlsx]原始数据'!$A:$A,0)),""))</f>
        <v/>
      </c>
      <c r="C235">
        <f>IF($A235="","",IFERROR(INDEX('[AQ_2021.xlsx]原始数据'!$B:$B,MATCH($A235,'[AQ_2021.xlsx]原始数据'!$A:$A,0)),""))</f>
        <v/>
      </c>
      <c r="D235">
        <f>IF($A235="","",IFERROR(INDEX('[AQ_2022.xlsx]原始数据'!$B:$B,MATCH($A235,'[AQ_2022.xlsx]原始数据'!$A:$A,0)),""))</f>
        <v/>
      </c>
      <c r="E235">
        <f>IF($A235="","",IFERROR(INDEX('[AQ_2023.xlsx]原始数据'!$B:$B,MATCH($A235,'[AQ_2023.xlsx]原始数据'!$A:$A,0)),""))</f>
        <v/>
      </c>
      <c r="F235">
        <f>IF($A235="","",IFERROR(INDEX('[AQ_2024.xlsx]原始数据'!$B:$B,MATCH($A235,'[AQ_2024.xlsx]原始数据'!$A:$A,0)),""))</f>
        <v/>
      </c>
      <c r="G235">
        <f>IF($A235="","",IFERROR(INDEX('[AQ_2020.xlsx]原始数据'!$C:$C,MATCH($A235,'[AQ_2020.xlsx]原始数据'!$A:$A,0)),""))</f>
        <v/>
      </c>
      <c r="H235">
        <f>IF($A235="","",IFERROR(INDEX('[AQ_2021.xlsx]原始数据'!$C:$C,MATCH($A235,'[AQ_2021.xlsx]原始数据'!$A:$A,0)),""))</f>
        <v/>
      </c>
      <c r="I235">
        <f>IF($A235="","",IFERROR(INDEX('[AQ_2022.xlsx]原始数据'!$C:$C,MATCH($A235,'[AQ_2022.xlsx]原始数据'!$A:$A,0)),""))</f>
        <v/>
      </c>
      <c r="J235">
        <f>IF($A235="","",IFERROR(INDEX('[AQ_2023.xlsx]原始数据'!$C:$C,MATCH($A235,'[AQ_2023.xlsx]原始数据'!$A:$A,0)),""))</f>
        <v/>
      </c>
      <c r="K235">
        <f>IF($A235="","",IFERROR(INDEX('[AQ_2024.xlsx]原始数据'!$C:$C,MATCH($A235,'[AQ_2024.xlsx]原始数据'!$A:$A,0)),""))</f>
        <v/>
      </c>
      <c r="L235">
        <f>IF($A235="","",IFERROR(INDEX('[AQ_2020.xlsx]原始数据'!$D:$D,MATCH($A235,'[AQ_2020.xlsx]原始数据'!$A:$A,0)),""))</f>
        <v/>
      </c>
      <c r="M235">
        <f>IF($A235="","",IFERROR(INDEX('[AQ_2021.xlsx]原始数据'!$D:$D,MATCH($A235,'[AQ_2021.xlsx]原始数据'!$A:$A,0)),""))</f>
        <v/>
      </c>
      <c r="N235">
        <f>IF($A235="","",IFERROR(INDEX('[AQ_2022.xlsx]原始数据'!$D:$D,MATCH($A235,'[AQ_2022.xlsx]原始数据'!$A:$A,0)),""))</f>
        <v/>
      </c>
      <c r="O235">
        <f>IF($A235="","",IFERROR(INDEX('[AQ_2023.xlsx]原始数据'!$D:$D,MATCH($A235,'[AQ_2023.xlsx]原始数据'!$A:$A,0)),""))</f>
        <v/>
      </c>
      <c r="P235">
        <f>IF($A235="","",IFERROR(INDEX('[AQ_2024.xlsx]原始数据'!$D:$D,MATCH($A235,'[AQ_2024.xlsx]原始数据'!$A:$A,0)),""))</f>
        <v/>
      </c>
      <c r="Q235">
        <f>IF($A235="","",IFERROR(INDEX('[AQ_2020.xlsx]原始数据'!$E:$E,MATCH($A235,'[AQ_2020.xlsx]原始数据'!$A:$A,0)),""))</f>
        <v/>
      </c>
      <c r="R235">
        <f>IF($A235="","",IFERROR(INDEX('[AQ_2021.xlsx]原始数据'!$E:$E,MATCH($A235,'[AQ_2021.xlsx]原始数据'!$A:$A,0)),""))</f>
        <v/>
      </c>
      <c r="S235">
        <f>IF($A235="","",IFERROR(INDEX('[AQ_2022.xlsx]原始数据'!$E:$E,MATCH($A235,'[AQ_2022.xlsx]原始数据'!$A:$A,0)),""))</f>
        <v/>
      </c>
      <c r="T235">
        <f>IF($A235="","",IFERROR(INDEX('[AQ_2023.xlsx]原始数据'!$E:$E,MATCH($A235,'[AQ_2023.xlsx]原始数据'!$A:$A,0)),""))</f>
        <v/>
      </c>
      <c r="U235">
        <f>IF($A235="","",IFERROR(INDEX('[AQ_2024.xlsx]原始数据'!$E:$E,MATCH($A235,'[AQ_2024.xlsx]原始数据'!$A:$A,0)),""))</f>
        <v/>
      </c>
      <c r="V235">
        <f>IF($A235="","",IFERROR(INDEX('[AQ_2020.xlsx]原始数据'!$F:$F,MATCH($A235,'[AQ_2020.xlsx]原始数据'!$A:$A,0)),""))</f>
        <v/>
      </c>
      <c r="W235">
        <f>IF($A235="","",IFERROR(INDEX('[AQ_2021.xlsx]原始数据'!$F:$F,MATCH($A235,'[AQ_2021.xlsx]原始数据'!$A:$A,0)),""))</f>
        <v/>
      </c>
      <c r="X235">
        <f>IF($A235="","",IFERROR(INDEX('[AQ_2022.xlsx]原始数据'!$F:$F,MATCH($A235,'[AQ_2022.xlsx]原始数据'!$A:$A,0)),""))</f>
        <v/>
      </c>
      <c r="Y235">
        <f>IF($A235="","",IFERROR(INDEX('[AQ_2023.xlsx]原始数据'!$F:$F,MATCH($A235,'[AQ_2023.xlsx]原始数据'!$A:$A,0)),""))</f>
        <v/>
      </c>
      <c r="Z235">
        <f>IF($A235="","",IFERROR(INDEX('[AQ_2024.xlsx]原始数据'!$F:$F,MATCH($A235,'[AQ_2024.xlsx]原始数据'!$A:$A,0)),""))</f>
        <v/>
      </c>
      <c r="AA235" s="2">
        <f>IFERROR(G235/B235,"")</f>
        <v/>
      </c>
      <c r="AB235" s="2">
        <f>IFERROR(H235/C235,"")</f>
        <v/>
      </c>
      <c r="AC235" s="2">
        <f>IFERROR(I235/D235,"")</f>
        <v/>
      </c>
      <c r="AD235" s="2">
        <f>IFERROR(J235/E235,"")</f>
        <v/>
      </c>
      <c r="AE235" s="2">
        <f>IFERROR(K235/F235,"")</f>
        <v/>
      </c>
      <c r="AF235" s="2">
        <f>IFERROR(L235/B235,"")</f>
        <v/>
      </c>
      <c r="AG235" s="2">
        <f>IFERROR(M235/C235,"")</f>
        <v/>
      </c>
      <c r="AH235" s="2">
        <f>IFERROR(N235/D235,"")</f>
        <v/>
      </c>
      <c r="AI235" s="2">
        <f>IFERROR(O235/E235,"")</f>
        <v/>
      </c>
      <c r="AJ235" s="2">
        <f>IFERROR(P235/F235,"")</f>
        <v/>
      </c>
      <c r="AK235" s="2">
        <f>IFERROR(Q235/B235,"")</f>
        <v/>
      </c>
      <c r="AL235" s="2">
        <f>IFERROR(R235/C235,"")</f>
        <v/>
      </c>
      <c r="AM235" s="2">
        <f>IFERROR(S235/D235,"")</f>
        <v/>
      </c>
      <c r="AN235" s="2">
        <f>IFERROR(T235/E235,"")</f>
        <v/>
      </c>
      <c r="AO235" s="2">
        <f>IFERROR(U235/F235,"")</f>
        <v/>
      </c>
    </row>
    <row r="236">
      <c r="B236">
        <f>IF($A236="","",IFERROR(INDEX('[AQ_2020.xlsx]原始数据'!$B:$B,MATCH($A236,'[AQ_2020.xlsx]原始数据'!$A:$A,0)),""))</f>
        <v/>
      </c>
      <c r="C236">
        <f>IF($A236="","",IFERROR(INDEX('[AQ_2021.xlsx]原始数据'!$B:$B,MATCH($A236,'[AQ_2021.xlsx]原始数据'!$A:$A,0)),""))</f>
        <v/>
      </c>
      <c r="D236">
        <f>IF($A236="","",IFERROR(INDEX('[AQ_2022.xlsx]原始数据'!$B:$B,MATCH($A236,'[AQ_2022.xlsx]原始数据'!$A:$A,0)),""))</f>
        <v/>
      </c>
      <c r="E236">
        <f>IF($A236="","",IFERROR(INDEX('[AQ_2023.xlsx]原始数据'!$B:$B,MATCH($A236,'[AQ_2023.xlsx]原始数据'!$A:$A,0)),""))</f>
        <v/>
      </c>
      <c r="F236">
        <f>IF($A236="","",IFERROR(INDEX('[AQ_2024.xlsx]原始数据'!$B:$B,MATCH($A236,'[AQ_2024.xlsx]原始数据'!$A:$A,0)),""))</f>
        <v/>
      </c>
      <c r="G236">
        <f>IF($A236="","",IFERROR(INDEX('[AQ_2020.xlsx]原始数据'!$C:$C,MATCH($A236,'[AQ_2020.xlsx]原始数据'!$A:$A,0)),""))</f>
        <v/>
      </c>
      <c r="H236">
        <f>IF($A236="","",IFERROR(INDEX('[AQ_2021.xlsx]原始数据'!$C:$C,MATCH($A236,'[AQ_2021.xlsx]原始数据'!$A:$A,0)),""))</f>
        <v/>
      </c>
      <c r="I236">
        <f>IF($A236="","",IFERROR(INDEX('[AQ_2022.xlsx]原始数据'!$C:$C,MATCH($A236,'[AQ_2022.xlsx]原始数据'!$A:$A,0)),""))</f>
        <v/>
      </c>
      <c r="J236">
        <f>IF($A236="","",IFERROR(INDEX('[AQ_2023.xlsx]原始数据'!$C:$C,MATCH($A236,'[AQ_2023.xlsx]原始数据'!$A:$A,0)),""))</f>
        <v/>
      </c>
      <c r="K236">
        <f>IF($A236="","",IFERROR(INDEX('[AQ_2024.xlsx]原始数据'!$C:$C,MATCH($A236,'[AQ_2024.xlsx]原始数据'!$A:$A,0)),""))</f>
        <v/>
      </c>
      <c r="L236">
        <f>IF($A236="","",IFERROR(INDEX('[AQ_2020.xlsx]原始数据'!$D:$D,MATCH($A236,'[AQ_2020.xlsx]原始数据'!$A:$A,0)),""))</f>
        <v/>
      </c>
      <c r="M236">
        <f>IF($A236="","",IFERROR(INDEX('[AQ_2021.xlsx]原始数据'!$D:$D,MATCH($A236,'[AQ_2021.xlsx]原始数据'!$A:$A,0)),""))</f>
        <v/>
      </c>
      <c r="N236">
        <f>IF($A236="","",IFERROR(INDEX('[AQ_2022.xlsx]原始数据'!$D:$D,MATCH($A236,'[AQ_2022.xlsx]原始数据'!$A:$A,0)),""))</f>
        <v/>
      </c>
      <c r="O236">
        <f>IF($A236="","",IFERROR(INDEX('[AQ_2023.xlsx]原始数据'!$D:$D,MATCH($A236,'[AQ_2023.xlsx]原始数据'!$A:$A,0)),""))</f>
        <v/>
      </c>
      <c r="P236">
        <f>IF($A236="","",IFERROR(INDEX('[AQ_2024.xlsx]原始数据'!$D:$D,MATCH($A236,'[AQ_2024.xlsx]原始数据'!$A:$A,0)),""))</f>
        <v/>
      </c>
      <c r="Q236">
        <f>IF($A236="","",IFERROR(INDEX('[AQ_2020.xlsx]原始数据'!$E:$E,MATCH($A236,'[AQ_2020.xlsx]原始数据'!$A:$A,0)),""))</f>
        <v/>
      </c>
      <c r="R236">
        <f>IF($A236="","",IFERROR(INDEX('[AQ_2021.xlsx]原始数据'!$E:$E,MATCH($A236,'[AQ_2021.xlsx]原始数据'!$A:$A,0)),""))</f>
        <v/>
      </c>
      <c r="S236">
        <f>IF($A236="","",IFERROR(INDEX('[AQ_2022.xlsx]原始数据'!$E:$E,MATCH($A236,'[AQ_2022.xlsx]原始数据'!$A:$A,0)),""))</f>
        <v/>
      </c>
      <c r="T236">
        <f>IF($A236="","",IFERROR(INDEX('[AQ_2023.xlsx]原始数据'!$E:$E,MATCH($A236,'[AQ_2023.xlsx]原始数据'!$A:$A,0)),""))</f>
        <v/>
      </c>
      <c r="U236">
        <f>IF($A236="","",IFERROR(INDEX('[AQ_2024.xlsx]原始数据'!$E:$E,MATCH($A236,'[AQ_2024.xlsx]原始数据'!$A:$A,0)),""))</f>
        <v/>
      </c>
      <c r="V236">
        <f>IF($A236="","",IFERROR(INDEX('[AQ_2020.xlsx]原始数据'!$F:$F,MATCH($A236,'[AQ_2020.xlsx]原始数据'!$A:$A,0)),""))</f>
        <v/>
      </c>
      <c r="W236">
        <f>IF($A236="","",IFERROR(INDEX('[AQ_2021.xlsx]原始数据'!$F:$F,MATCH($A236,'[AQ_2021.xlsx]原始数据'!$A:$A,0)),""))</f>
        <v/>
      </c>
      <c r="X236">
        <f>IF($A236="","",IFERROR(INDEX('[AQ_2022.xlsx]原始数据'!$F:$F,MATCH($A236,'[AQ_2022.xlsx]原始数据'!$A:$A,0)),""))</f>
        <v/>
      </c>
      <c r="Y236">
        <f>IF($A236="","",IFERROR(INDEX('[AQ_2023.xlsx]原始数据'!$F:$F,MATCH($A236,'[AQ_2023.xlsx]原始数据'!$A:$A,0)),""))</f>
        <v/>
      </c>
      <c r="Z236">
        <f>IF($A236="","",IFERROR(INDEX('[AQ_2024.xlsx]原始数据'!$F:$F,MATCH($A236,'[AQ_2024.xlsx]原始数据'!$A:$A,0)),""))</f>
        <v/>
      </c>
      <c r="AA236" s="2">
        <f>IFERROR(G236/B236,"")</f>
        <v/>
      </c>
      <c r="AB236" s="2">
        <f>IFERROR(H236/C236,"")</f>
        <v/>
      </c>
      <c r="AC236" s="2">
        <f>IFERROR(I236/D236,"")</f>
        <v/>
      </c>
      <c r="AD236" s="2">
        <f>IFERROR(J236/E236,"")</f>
        <v/>
      </c>
      <c r="AE236" s="2">
        <f>IFERROR(K236/F236,"")</f>
        <v/>
      </c>
      <c r="AF236" s="2">
        <f>IFERROR(L236/B236,"")</f>
        <v/>
      </c>
      <c r="AG236" s="2">
        <f>IFERROR(M236/C236,"")</f>
        <v/>
      </c>
      <c r="AH236" s="2">
        <f>IFERROR(N236/D236,"")</f>
        <v/>
      </c>
      <c r="AI236" s="2">
        <f>IFERROR(O236/E236,"")</f>
        <v/>
      </c>
      <c r="AJ236" s="2">
        <f>IFERROR(P236/F236,"")</f>
        <v/>
      </c>
      <c r="AK236" s="2">
        <f>IFERROR(Q236/B236,"")</f>
        <v/>
      </c>
      <c r="AL236" s="2">
        <f>IFERROR(R236/C236,"")</f>
        <v/>
      </c>
      <c r="AM236" s="2">
        <f>IFERROR(S236/D236,"")</f>
        <v/>
      </c>
      <c r="AN236" s="2">
        <f>IFERROR(T236/E236,"")</f>
        <v/>
      </c>
      <c r="AO236" s="2">
        <f>IFERROR(U236/F236,"")</f>
        <v/>
      </c>
    </row>
    <row r="237">
      <c r="B237">
        <f>IF($A237="","",IFERROR(INDEX('[AQ_2020.xlsx]原始数据'!$B:$B,MATCH($A237,'[AQ_2020.xlsx]原始数据'!$A:$A,0)),""))</f>
        <v/>
      </c>
      <c r="C237">
        <f>IF($A237="","",IFERROR(INDEX('[AQ_2021.xlsx]原始数据'!$B:$B,MATCH($A237,'[AQ_2021.xlsx]原始数据'!$A:$A,0)),""))</f>
        <v/>
      </c>
      <c r="D237">
        <f>IF($A237="","",IFERROR(INDEX('[AQ_2022.xlsx]原始数据'!$B:$B,MATCH($A237,'[AQ_2022.xlsx]原始数据'!$A:$A,0)),""))</f>
        <v/>
      </c>
      <c r="E237">
        <f>IF($A237="","",IFERROR(INDEX('[AQ_2023.xlsx]原始数据'!$B:$B,MATCH($A237,'[AQ_2023.xlsx]原始数据'!$A:$A,0)),""))</f>
        <v/>
      </c>
      <c r="F237">
        <f>IF($A237="","",IFERROR(INDEX('[AQ_2024.xlsx]原始数据'!$B:$B,MATCH($A237,'[AQ_2024.xlsx]原始数据'!$A:$A,0)),""))</f>
        <v/>
      </c>
      <c r="G237">
        <f>IF($A237="","",IFERROR(INDEX('[AQ_2020.xlsx]原始数据'!$C:$C,MATCH($A237,'[AQ_2020.xlsx]原始数据'!$A:$A,0)),""))</f>
        <v/>
      </c>
      <c r="H237">
        <f>IF($A237="","",IFERROR(INDEX('[AQ_2021.xlsx]原始数据'!$C:$C,MATCH($A237,'[AQ_2021.xlsx]原始数据'!$A:$A,0)),""))</f>
        <v/>
      </c>
      <c r="I237">
        <f>IF($A237="","",IFERROR(INDEX('[AQ_2022.xlsx]原始数据'!$C:$C,MATCH($A237,'[AQ_2022.xlsx]原始数据'!$A:$A,0)),""))</f>
        <v/>
      </c>
      <c r="J237">
        <f>IF($A237="","",IFERROR(INDEX('[AQ_2023.xlsx]原始数据'!$C:$C,MATCH($A237,'[AQ_2023.xlsx]原始数据'!$A:$A,0)),""))</f>
        <v/>
      </c>
      <c r="K237">
        <f>IF($A237="","",IFERROR(INDEX('[AQ_2024.xlsx]原始数据'!$C:$C,MATCH($A237,'[AQ_2024.xlsx]原始数据'!$A:$A,0)),""))</f>
        <v/>
      </c>
      <c r="L237">
        <f>IF($A237="","",IFERROR(INDEX('[AQ_2020.xlsx]原始数据'!$D:$D,MATCH($A237,'[AQ_2020.xlsx]原始数据'!$A:$A,0)),""))</f>
        <v/>
      </c>
      <c r="M237">
        <f>IF($A237="","",IFERROR(INDEX('[AQ_2021.xlsx]原始数据'!$D:$D,MATCH($A237,'[AQ_2021.xlsx]原始数据'!$A:$A,0)),""))</f>
        <v/>
      </c>
      <c r="N237">
        <f>IF($A237="","",IFERROR(INDEX('[AQ_2022.xlsx]原始数据'!$D:$D,MATCH($A237,'[AQ_2022.xlsx]原始数据'!$A:$A,0)),""))</f>
        <v/>
      </c>
      <c r="O237">
        <f>IF($A237="","",IFERROR(INDEX('[AQ_2023.xlsx]原始数据'!$D:$D,MATCH($A237,'[AQ_2023.xlsx]原始数据'!$A:$A,0)),""))</f>
        <v/>
      </c>
      <c r="P237">
        <f>IF($A237="","",IFERROR(INDEX('[AQ_2024.xlsx]原始数据'!$D:$D,MATCH($A237,'[AQ_2024.xlsx]原始数据'!$A:$A,0)),""))</f>
        <v/>
      </c>
      <c r="Q237">
        <f>IF($A237="","",IFERROR(INDEX('[AQ_2020.xlsx]原始数据'!$E:$E,MATCH($A237,'[AQ_2020.xlsx]原始数据'!$A:$A,0)),""))</f>
        <v/>
      </c>
      <c r="R237">
        <f>IF($A237="","",IFERROR(INDEX('[AQ_2021.xlsx]原始数据'!$E:$E,MATCH($A237,'[AQ_2021.xlsx]原始数据'!$A:$A,0)),""))</f>
        <v/>
      </c>
      <c r="S237">
        <f>IF($A237="","",IFERROR(INDEX('[AQ_2022.xlsx]原始数据'!$E:$E,MATCH($A237,'[AQ_2022.xlsx]原始数据'!$A:$A,0)),""))</f>
        <v/>
      </c>
      <c r="T237">
        <f>IF($A237="","",IFERROR(INDEX('[AQ_2023.xlsx]原始数据'!$E:$E,MATCH($A237,'[AQ_2023.xlsx]原始数据'!$A:$A,0)),""))</f>
        <v/>
      </c>
      <c r="U237">
        <f>IF($A237="","",IFERROR(INDEX('[AQ_2024.xlsx]原始数据'!$E:$E,MATCH($A237,'[AQ_2024.xlsx]原始数据'!$A:$A,0)),""))</f>
        <v/>
      </c>
      <c r="V237">
        <f>IF($A237="","",IFERROR(INDEX('[AQ_2020.xlsx]原始数据'!$F:$F,MATCH($A237,'[AQ_2020.xlsx]原始数据'!$A:$A,0)),""))</f>
        <v/>
      </c>
      <c r="W237">
        <f>IF($A237="","",IFERROR(INDEX('[AQ_2021.xlsx]原始数据'!$F:$F,MATCH($A237,'[AQ_2021.xlsx]原始数据'!$A:$A,0)),""))</f>
        <v/>
      </c>
      <c r="X237">
        <f>IF($A237="","",IFERROR(INDEX('[AQ_2022.xlsx]原始数据'!$F:$F,MATCH($A237,'[AQ_2022.xlsx]原始数据'!$A:$A,0)),""))</f>
        <v/>
      </c>
      <c r="Y237">
        <f>IF($A237="","",IFERROR(INDEX('[AQ_2023.xlsx]原始数据'!$F:$F,MATCH($A237,'[AQ_2023.xlsx]原始数据'!$A:$A,0)),""))</f>
        <v/>
      </c>
      <c r="Z237">
        <f>IF($A237="","",IFERROR(INDEX('[AQ_2024.xlsx]原始数据'!$F:$F,MATCH($A237,'[AQ_2024.xlsx]原始数据'!$A:$A,0)),""))</f>
        <v/>
      </c>
      <c r="AA237" s="2">
        <f>IFERROR(G237/B237,"")</f>
        <v/>
      </c>
      <c r="AB237" s="2">
        <f>IFERROR(H237/C237,"")</f>
        <v/>
      </c>
      <c r="AC237" s="2">
        <f>IFERROR(I237/D237,"")</f>
        <v/>
      </c>
      <c r="AD237" s="2">
        <f>IFERROR(J237/E237,"")</f>
        <v/>
      </c>
      <c r="AE237" s="2">
        <f>IFERROR(K237/F237,"")</f>
        <v/>
      </c>
      <c r="AF237" s="2">
        <f>IFERROR(L237/B237,"")</f>
        <v/>
      </c>
      <c r="AG237" s="2">
        <f>IFERROR(M237/C237,"")</f>
        <v/>
      </c>
      <c r="AH237" s="2">
        <f>IFERROR(N237/D237,"")</f>
        <v/>
      </c>
      <c r="AI237" s="2">
        <f>IFERROR(O237/E237,"")</f>
        <v/>
      </c>
      <c r="AJ237" s="2">
        <f>IFERROR(P237/F237,"")</f>
        <v/>
      </c>
      <c r="AK237" s="2">
        <f>IFERROR(Q237/B237,"")</f>
        <v/>
      </c>
      <c r="AL237" s="2">
        <f>IFERROR(R237/C237,"")</f>
        <v/>
      </c>
      <c r="AM237" s="2">
        <f>IFERROR(S237/D237,"")</f>
        <v/>
      </c>
      <c r="AN237" s="2">
        <f>IFERROR(T237/E237,"")</f>
        <v/>
      </c>
      <c r="AO237" s="2">
        <f>IFERROR(U237/F237,"")</f>
        <v/>
      </c>
    </row>
    <row r="238">
      <c r="B238">
        <f>IF($A238="","",IFERROR(INDEX('[AQ_2020.xlsx]原始数据'!$B:$B,MATCH($A238,'[AQ_2020.xlsx]原始数据'!$A:$A,0)),""))</f>
        <v/>
      </c>
      <c r="C238">
        <f>IF($A238="","",IFERROR(INDEX('[AQ_2021.xlsx]原始数据'!$B:$B,MATCH($A238,'[AQ_2021.xlsx]原始数据'!$A:$A,0)),""))</f>
        <v/>
      </c>
      <c r="D238">
        <f>IF($A238="","",IFERROR(INDEX('[AQ_2022.xlsx]原始数据'!$B:$B,MATCH($A238,'[AQ_2022.xlsx]原始数据'!$A:$A,0)),""))</f>
        <v/>
      </c>
      <c r="E238">
        <f>IF($A238="","",IFERROR(INDEX('[AQ_2023.xlsx]原始数据'!$B:$B,MATCH($A238,'[AQ_2023.xlsx]原始数据'!$A:$A,0)),""))</f>
        <v/>
      </c>
      <c r="F238">
        <f>IF($A238="","",IFERROR(INDEX('[AQ_2024.xlsx]原始数据'!$B:$B,MATCH($A238,'[AQ_2024.xlsx]原始数据'!$A:$A,0)),""))</f>
        <v/>
      </c>
      <c r="G238">
        <f>IF($A238="","",IFERROR(INDEX('[AQ_2020.xlsx]原始数据'!$C:$C,MATCH($A238,'[AQ_2020.xlsx]原始数据'!$A:$A,0)),""))</f>
        <v/>
      </c>
      <c r="H238">
        <f>IF($A238="","",IFERROR(INDEX('[AQ_2021.xlsx]原始数据'!$C:$C,MATCH($A238,'[AQ_2021.xlsx]原始数据'!$A:$A,0)),""))</f>
        <v/>
      </c>
      <c r="I238">
        <f>IF($A238="","",IFERROR(INDEX('[AQ_2022.xlsx]原始数据'!$C:$C,MATCH($A238,'[AQ_2022.xlsx]原始数据'!$A:$A,0)),""))</f>
        <v/>
      </c>
      <c r="J238">
        <f>IF($A238="","",IFERROR(INDEX('[AQ_2023.xlsx]原始数据'!$C:$C,MATCH($A238,'[AQ_2023.xlsx]原始数据'!$A:$A,0)),""))</f>
        <v/>
      </c>
      <c r="K238">
        <f>IF($A238="","",IFERROR(INDEX('[AQ_2024.xlsx]原始数据'!$C:$C,MATCH($A238,'[AQ_2024.xlsx]原始数据'!$A:$A,0)),""))</f>
        <v/>
      </c>
      <c r="L238">
        <f>IF($A238="","",IFERROR(INDEX('[AQ_2020.xlsx]原始数据'!$D:$D,MATCH($A238,'[AQ_2020.xlsx]原始数据'!$A:$A,0)),""))</f>
        <v/>
      </c>
      <c r="M238">
        <f>IF($A238="","",IFERROR(INDEX('[AQ_2021.xlsx]原始数据'!$D:$D,MATCH($A238,'[AQ_2021.xlsx]原始数据'!$A:$A,0)),""))</f>
        <v/>
      </c>
      <c r="N238">
        <f>IF($A238="","",IFERROR(INDEX('[AQ_2022.xlsx]原始数据'!$D:$D,MATCH($A238,'[AQ_2022.xlsx]原始数据'!$A:$A,0)),""))</f>
        <v/>
      </c>
      <c r="O238">
        <f>IF($A238="","",IFERROR(INDEX('[AQ_2023.xlsx]原始数据'!$D:$D,MATCH($A238,'[AQ_2023.xlsx]原始数据'!$A:$A,0)),""))</f>
        <v/>
      </c>
      <c r="P238">
        <f>IF($A238="","",IFERROR(INDEX('[AQ_2024.xlsx]原始数据'!$D:$D,MATCH($A238,'[AQ_2024.xlsx]原始数据'!$A:$A,0)),""))</f>
        <v/>
      </c>
      <c r="Q238">
        <f>IF($A238="","",IFERROR(INDEX('[AQ_2020.xlsx]原始数据'!$E:$E,MATCH($A238,'[AQ_2020.xlsx]原始数据'!$A:$A,0)),""))</f>
        <v/>
      </c>
      <c r="R238">
        <f>IF($A238="","",IFERROR(INDEX('[AQ_2021.xlsx]原始数据'!$E:$E,MATCH($A238,'[AQ_2021.xlsx]原始数据'!$A:$A,0)),""))</f>
        <v/>
      </c>
      <c r="S238">
        <f>IF($A238="","",IFERROR(INDEX('[AQ_2022.xlsx]原始数据'!$E:$E,MATCH($A238,'[AQ_2022.xlsx]原始数据'!$A:$A,0)),""))</f>
        <v/>
      </c>
      <c r="T238">
        <f>IF($A238="","",IFERROR(INDEX('[AQ_2023.xlsx]原始数据'!$E:$E,MATCH($A238,'[AQ_2023.xlsx]原始数据'!$A:$A,0)),""))</f>
        <v/>
      </c>
      <c r="U238">
        <f>IF($A238="","",IFERROR(INDEX('[AQ_2024.xlsx]原始数据'!$E:$E,MATCH($A238,'[AQ_2024.xlsx]原始数据'!$A:$A,0)),""))</f>
        <v/>
      </c>
      <c r="V238">
        <f>IF($A238="","",IFERROR(INDEX('[AQ_2020.xlsx]原始数据'!$F:$F,MATCH($A238,'[AQ_2020.xlsx]原始数据'!$A:$A,0)),""))</f>
        <v/>
      </c>
      <c r="W238">
        <f>IF($A238="","",IFERROR(INDEX('[AQ_2021.xlsx]原始数据'!$F:$F,MATCH($A238,'[AQ_2021.xlsx]原始数据'!$A:$A,0)),""))</f>
        <v/>
      </c>
      <c r="X238">
        <f>IF($A238="","",IFERROR(INDEX('[AQ_2022.xlsx]原始数据'!$F:$F,MATCH($A238,'[AQ_2022.xlsx]原始数据'!$A:$A,0)),""))</f>
        <v/>
      </c>
      <c r="Y238">
        <f>IF($A238="","",IFERROR(INDEX('[AQ_2023.xlsx]原始数据'!$F:$F,MATCH($A238,'[AQ_2023.xlsx]原始数据'!$A:$A,0)),""))</f>
        <v/>
      </c>
      <c r="Z238">
        <f>IF($A238="","",IFERROR(INDEX('[AQ_2024.xlsx]原始数据'!$F:$F,MATCH($A238,'[AQ_2024.xlsx]原始数据'!$A:$A,0)),""))</f>
        <v/>
      </c>
      <c r="AA238" s="2">
        <f>IFERROR(G238/B238,"")</f>
        <v/>
      </c>
      <c r="AB238" s="2">
        <f>IFERROR(H238/C238,"")</f>
        <v/>
      </c>
      <c r="AC238" s="2">
        <f>IFERROR(I238/D238,"")</f>
        <v/>
      </c>
      <c r="AD238" s="2">
        <f>IFERROR(J238/E238,"")</f>
        <v/>
      </c>
      <c r="AE238" s="2">
        <f>IFERROR(K238/F238,"")</f>
        <v/>
      </c>
      <c r="AF238" s="2">
        <f>IFERROR(L238/B238,"")</f>
        <v/>
      </c>
      <c r="AG238" s="2">
        <f>IFERROR(M238/C238,"")</f>
        <v/>
      </c>
      <c r="AH238" s="2">
        <f>IFERROR(N238/D238,"")</f>
        <v/>
      </c>
      <c r="AI238" s="2">
        <f>IFERROR(O238/E238,"")</f>
        <v/>
      </c>
      <c r="AJ238" s="2">
        <f>IFERROR(P238/F238,"")</f>
        <v/>
      </c>
      <c r="AK238" s="2">
        <f>IFERROR(Q238/B238,"")</f>
        <v/>
      </c>
      <c r="AL238" s="2">
        <f>IFERROR(R238/C238,"")</f>
        <v/>
      </c>
      <c r="AM238" s="2">
        <f>IFERROR(S238/D238,"")</f>
        <v/>
      </c>
      <c r="AN238" s="2">
        <f>IFERROR(T238/E238,"")</f>
        <v/>
      </c>
      <c r="AO238" s="2">
        <f>IFERROR(U238/F238,"")</f>
        <v/>
      </c>
    </row>
    <row r="239">
      <c r="B239">
        <f>IF($A239="","",IFERROR(INDEX('[AQ_2020.xlsx]原始数据'!$B:$B,MATCH($A239,'[AQ_2020.xlsx]原始数据'!$A:$A,0)),""))</f>
        <v/>
      </c>
      <c r="C239">
        <f>IF($A239="","",IFERROR(INDEX('[AQ_2021.xlsx]原始数据'!$B:$B,MATCH($A239,'[AQ_2021.xlsx]原始数据'!$A:$A,0)),""))</f>
        <v/>
      </c>
      <c r="D239">
        <f>IF($A239="","",IFERROR(INDEX('[AQ_2022.xlsx]原始数据'!$B:$B,MATCH($A239,'[AQ_2022.xlsx]原始数据'!$A:$A,0)),""))</f>
        <v/>
      </c>
      <c r="E239">
        <f>IF($A239="","",IFERROR(INDEX('[AQ_2023.xlsx]原始数据'!$B:$B,MATCH($A239,'[AQ_2023.xlsx]原始数据'!$A:$A,0)),""))</f>
        <v/>
      </c>
      <c r="F239">
        <f>IF($A239="","",IFERROR(INDEX('[AQ_2024.xlsx]原始数据'!$B:$B,MATCH($A239,'[AQ_2024.xlsx]原始数据'!$A:$A,0)),""))</f>
        <v/>
      </c>
      <c r="G239">
        <f>IF($A239="","",IFERROR(INDEX('[AQ_2020.xlsx]原始数据'!$C:$C,MATCH($A239,'[AQ_2020.xlsx]原始数据'!$A:$A,0)),""))</f>
        <v/>
      </c>
      <c r="H239">
        <f>IF($A239="","",IFERROR(INDEX('[AQ_2021.xlsx]原始数据'!$C:$C,MATCH($A239,'[AQ_2021.xlsx]原始数据'!$A:$A,0)),""))</f>
        <v/>
      </c>
      <c r="I239">
        <f>IF($A239="","",IFERROR(INDEX('[AQ_2022.xlsx]原始数据'!$C:$C,MATCH($A239,'[AQ_2022.xlsx]原始数据'!$A:$A,0)),""))</f>
        <v/>
      </c>
      <c r="J239">
        <f>IF($A239="","",IFERROR(INDEX('[AQ_2023.xlsx]原始数据'!$C:$C,MATCH($A239,'[AQ_2023.xlsx]原始数据'!$A:$A,0)),""))</f>
        <v/>
      </c>
      <c r="K239">
        <f>IF($A239="","",IFERROR(INDEX('[AQ_2024.xlsx]原始数据'!$C:$C,MATCH($A239,'[AQ_2024.xlsx]原始数据'!$A:$A,0)),""))</f>
        <v/>
      </c>
      <c r="L239">
        <f>IF($A239="","",IFERROR(INDEX('[AQ_2020.xlsx]原始数据'!$D:$D,MATCH($A239,'[AQ_2020.xlsx]原始数据'!$A:$A,0)),""))</f>
        <v/>
      </c>
      <c r="M239">
        <f>IF($A239="","",IFERROR(INDEX('[AQ_2021.xlsx]原始数据'!$D:$D,MATCH($A239,'[AQ_2021.xlsx]原始数据'!$A:$A,0)),""))</f>
        <v/>
      </c>
      <c r="N239">
        <f>IF($A239="","",IFERROR(INDEX('[AQ_2022.xlsx]原始数据'!$D:$D,MATCH($A239,'[AQ_2022.xlsx]原始数据'!$A:$A,0)),""))</f>
        <v/>
      </c>
      <c r="O239">
        <f>IF($A239="","",IFERROR(INDEX('[AQ_2023.xlsx]原始数据'!$D:$D,MATCH($A239,'[AQ_2023.xlsx]原始数据'!$A:$A,0)),""))</f>
        <v/>
      </c>
      <c r="P239">
        <f>IF($A239="","",IFERROR(INDEX('[AQ_2024.xlsx]原始数据'!$D:$D,MATCH($A239,'[AQ_2024.xlsx]原始数据'!$A:$A,0)),""))</f>
        <v/>
      </c>
      <c r="Q239">
        <f>IF($A239="","",IFERROR(INDEX('[AQ_2020.xlsx]原始数据'!$E:$E,MATCH($A239,'[AQ_2020.xlsx]原始数据'!$A:$A,0)),""))</f>
        <v/>
      </c>
      <c r="R239">
        <f>IF($A239="","",IFERROR(INDEX('[AQ_2021.xlsx]原始数据'!$E:$E,MATCH($A239,'[AQ_2021.xlsx]原始数据'!$A:$A,0)),""))</f>
        <v/>
      </c>
      <c r="S239">
        <f>IF($A239="","",IFERROR(INDEX('[AQ_2022.xlsx]原始数据'!$E:$E,MATCH($A239,'[AQ_2022.xlsx]原始数据'!$A:$A,0)),""))</f>
        <v/>
      </c>
      <c r="T239">
        <f>IF($A239="","",IFERROR(INDEX('[AQ_2023.xlsx]原始数据'!$E:$E,MATCH($A239,'[AQ_2023.xlsx]原始数据'!$A:$A,0)),""))</f>
        <v/>
      </c>
      <c r="U239">
        <f>IF($A239="","",IFERROR(INDEX('[AQ_2024.xlsx]原始数据'!$E:$E,MATCH($A239,'[AQ_2024.xlsx]原始数据'!$A:$A,0)),""))</f>
        <v/>
      </c>
      <c r="V239">
        <f>IF($A239="","",IFERROR(INDEX('[AQ_2020.xlsx]原始数据'!$F:$F,MATCH($A239,'[AQ_2020.xlsx]原始数据'!$A:$A,0)),""))</f>
        <v/>
      </c>
      <c r="W239">
        <f>IF($A239="","",IFERROR(INDEX('[AQ_2021.xlsx]原始数据'!$F:$F,MATCH($A239,'[AQ_2021.xlsx]原始数据'!$A:$A,0)),""))</f>
        <v/>
      </c>
      <c r="X239">
        <f>IF($A239="","",IFERROR(INDEX('[AQ_2022.xlsx]原始数据'!$F:$F,MATCH($A239,'[AQ_2022.xlsx]原始数据'!$A:$A,0)),""))</f>
        <v/>
      </c>
      <c r="Y239">
        <f>IF($A239="","",IFERROR(INDEX('[AQ_2023.xlsx]原始数据'!$F:$F,MATCH($A239,'[AQ_2023.xlsx]原始数据'!$A:$A,0)),""))</f>
        <v/>
      </c>
      <c r="Z239">
        <f>IF($A239="","",IFERROR(INDEX('[AQ_2024.xlsx]原始数据'!$F:$F,MATCH($A239,'[AQ_2024.xlsx]原始数据'!$A:$A,0)),""))</f>
        <v/>
      </c>
      <c r="AA239" s="2">
        <f>IFERROR(G239/B239,"")</f>
        <v/>
      </c>
      <c r="AB239" s="2">
        <f>IFERROR(H239/C239,"")</f>
        <v/>
      </c>
      <c r="AC239" s="2">
        <f>IFERROR(I239/D239,"")</f>
        <v/>
      </c>
      <c r="AD239" s="2">
        <f>IFERROR(J239/E239,"")</f>
        <v/>
      </c>
      <c r="AE239" s="2">
        <f>IFERROR(K239/F239,"")</f>
        <v/>
      </c>
      <c r="AF239" s="2">
        <f>IFERROR(L239/B239,"")</f>
        <v/>
      </c>
      <c r="AG239" s="2">
        <f>IFERROR(M239/C239,"")</f>
        <v/>
      </c>
      <c r="AH239" s="2">
        <f>IFERROR(N239/D239,"")</f>
        <v/>
      </c>
      <c r="AI239" s="2">
        <f>IFERROR(O239/E239,"")</f>
        <v/>
      </c>
      <c r="AJ239" s="2">
        <f>IFERROR(P239/F239,"")</f>
        <v/>
      </c>
      <c r="AK239" s="2">
        <f>IFERROR(Q239/B239,"")</f>
        <v/>
      </c>
      <c r="AL239" s="2">
        <f>IFERROR(R239/C239,"")</f>
        <v/>
      </c>
      <c r="AM239" s="2">
        <f>IFERROR(S239/D239,"")</f>
        <v/>
      </c>
      <c r="AN239" s="2">
        <f>IFERROR(T239/E239,"")</f>
        <v/>
      </c>
      <c r="AO239" s="2">
        <f>IFERROR(U239/F239,"")</f>
        <v/>
      </c>
    </row>
    <row r="240">
      <c r="B240">
        <f>IF($A240="","",IFERROR(INDEX('[AQ_2020.xlsx]原始数据'!$B:$B,MATCH($A240,'[AQ_2020.xlsx]原始数据'!$A:$A,0)),""))</f>
        <v/>
      </c>
      <c r="C240">
        <f>IF($A240="","",IFERROR(INDEX('[AQ_2021.xlsx]原始数据'!$B:$B,MATCH($A240,'[AQ_2021.xlsx]原始数据'!$A:$A,0)),""))</f>
        <v/>
      </c>
      <c r="D240">
        <f>IF($A240="","",IFERROR(INDEX('[AQ_2022.xlsx]原始数据'!$B:$B,MATCH($A240,'[AQ_2022.xlsx]原始数据'!$A:$A,0)),""))</f>
        <v/>
      </c>
      <c r="E240">
        <f>IF($A240="","",IFERROR(INDEX('[AQ_2023.xlsx]原始数据'!$B:$B,MATCH($A240,'[AQ_2023.xlsx]原始数据'!$A:$A,0)),""))</f>
        <v/>
      </c>
      <c r="F240">
        <f>IF($A240="","",IFERROR(INDEX('[AQ_2024.xlsx]原始数据'!$B:$B,MATCH($A240,'[AQ_2024.xlsx]原始数据'!$A:$A,0)),""))</f>
        <v/>
      </c>
      <c r="G240">
        <f>IF($A240="","",IFERROR(INDEX('[AQ_2020.xlsx]原始数据'!$C:$C,MATCH($A240,'[AQ_2020.xlsx]原始数据'!$A:$A,0)),""))</f>
        <v/>
      </c>
      <c r="H240">
        <f>IF($A240="","",IFERROR(INDEX('[AQ_2021.xlsx]原始数据'!$C:$C,MATCH($A240,'[AQ_2021.xlsx]原始数据'!$A:$A,0)),""))</f>
        <v/>
      </c>
      <c r="I240">
        <f>IF($A240="","",IFERROR(INDEX('[AQ_2022.xlsx]原始数据'!$C:$C,MATCH($A240,'[AQ_2022.xlsx]原始数据'!$A:$A,0)),""))</f>
        <v/>
      </c>
      <c r="J240">
        <f>IF($A240="","",IFERROR(INDEX('[AQ_2023.xlsx]原始数据'!$C:$C,MATCH($A240,'[AQ_2023.xlsx]原始数据'!$A:$A,0)),""))</f>
        <v/>
      </c>
      <c r="K240">
        <f>IF($A240="","",IFERROR(INDEX('[AQ_2024.xlsx]原始数据'!$C:$C,MATCH($A240,'[AQ_2024.xlsx]原始数据'!$A:$A,0)),""))</f>
        <v/>
      </c>
      <c r="L240">
        <f>IF($A240="","",IFERROR(INDEX('[AQ_2020.xlsx]原始数据'!$D:$D,MATCH($A240,'[AQ_2020.xlsx]原始数据'!$A:$A,0)),""))</f>
        <v/>
      </c>
      <c r="M240">
        <f>IF($A240="","",IFERROR(INDEX('[AQ_2021.xlsx]原始数据'!$D:$D,MATCH($A240,'[AQ_2021.xlsx]原始数据'!$A:$A,0)),""))</f>
        <v/>
      </c>
      <c r="N240">
        <f>IF($A240="","",IFERROR(INDEX('[AQ_2022.xlsx]原始数据'!$D:$D,MATCH($A240,'[AQ_2022.xlsx]原始数据'!$A:$A,0)),""))</f>
        <v/>
      </c>
      <c r="O240">
        <f>IF($A240="","",IFERROR(INDEX('[AQ_2023.xlsx]原始数据'!$D:$D,MATCH($A240,'[AQ_2023.xlsx]原始数据'!$A:$A,0)),""))</f>
        <v/>
      </c>
      <c r="P240">
        <f>IF($A240="","",IFERROR(INDEX('[AQ_2024.xlsx]原始数据'!$D:$D,MATCH($A240,'[AQ_2024.xlsx]原始数据'!$A:$A,0)),""))</f>
        <v/>
      </c>
      <c r="Q240">
        <f>IF($A240="","",IFERROR(INDEX('[AQ_2020.xlsx]原始数据'!$E:$E,MATCH($A240,'[AQ_2020.xlsx]原始数据'!$A:$A,0)),""))</f>
        <v/>
      </c>
      <c r="R240">
        <f>IF($A240="","",IFERROR(INDEX('[AQ_2021.xlsx]原始数据'!$E:$E,MATCH($A240,'[AQ_2021.xlsx]原始数据'!$A:$A,0)),""))</f>
        <v/>
      </c>
      <c r="S240">
        <f>IF($A240="","",IFERROR(INDEX('[AQ_2022.xlsx]原始数据'!$E:$E,MATCH($A240,'[AQ_2022.xlsx]原始数据'!$A:$A,0)),""))</f>
        <v/>
      </c>
      <c r="T240">
        <f>IF($A240="","",IFERROR(INDEX('[AQ_2023.xlsx]原始数据'!$E:$E,MATCH($A240,'[AQ_2023.xlsx]原始数据'!$A:$A,0)),""))</f>
        <v/>
      </c>
      <c r="U240">
        <f>IF($A240="","",IFERROR(INDEX('[AQ_2024.xlsx]原始数据'!$E:$E,MATCH($A240,'[AQ_2024.xlsx]原始数据'!$A:$A,0)),""))</f>
        <v/>
      </c>
      <c r="V240">
        <f>IF($A240="","",IFERROR(INDEX('[AQ_2020.xlsx]原始数据'!$F:$F,MATCH($A240,'[AQ_2020.xlsx]原始数据'!$A:$A,0)),""))</f>
        <v/>
      </c>
      <c r="W240">
        <f>IF($A240="","",IFERROR(INDEX('[AQ_2021.xlsx]原始数据'!$F:$F,MATCH($A240,'[AQ_2021.xlsx]原始数据'!$A:$A,0)),""))</f>
        <v/>
      </c>
      <c r="X240">
        <f>IF($A240="","",IFERROR(INDEX('[AQ_2022.xlsx]原始数据'!$F:$F,MATCH($A240,'[AQ_2022.xlsx]原始数据'!$A:$A,0)),""))</f>
        <v/>
      </c>
      <c r="Y240">
        <f>IF($A240="","",IFERROR(INDEX('[AQ_2023.xlsx]原始数据'!$F:$F,MATCH($A240,'[AQ_2023.xlsx]原始数据'!$A:$A,0)),""))</f>
        <v/>
      </c>
      <c r="Z240">
        <f>IF($A240="","",IFERROR(INDEX('[AQ_2024.xlsx]原始数据'!$F:$F,MATCH($A240,'[AQ_2024.xlsx]原始数据'!$A:$A,0)),""))</f>
        <v/>
      </c>
      <c r="AA240" s="2">
        <f>IFERROR(G240/B240,"")</f>
        <v/>
      </c>
      <c r="AB240" s="2">
        <f>IFERROR(H240/C240,"")</f>
        <v/>
      </c>
      <c r="AC240" s="2">
        <f>IFERROR(I240/D240,"")</f>
        <v/>
      </c>
      <c r="AD240" s="2">
        <f>IFERROR(J240/E240,"")</f>
        <v/>
      </c>
      <c r="AE240" s="2">
        <f>IFERROR(K240/F240,"")</f>
        <v/>
      </c>
      <c r="AF240" s="2">
        <f>IFERROR(L240/B240,"")</f>
        <v/>
      </c>
      <c r="AG240" s="2">
        <f>IFERROR(M240/C240,"")</f>
        <v/>
      </c>
      <c r="AH240" s="2">
        <f>IFERROR(N240/D240,"")</f>
        <v/>
      </c>
      <c r="AI240" s="2">
        <f>IFERROR(O240/E240,"")</f>
        <v/>
      </c>
      <c r="AJ240" s="2">
        <f>IFERROR(P240/F240,"")</f>
        <v/>
      </c>
      <c r="AK240" s="2">
        <f>IFERROR(Q240/B240,"")</f>
        <v/>
      </c>
      <c r="AL240" s="2">
        <f>IFERROR(R240/C240,"")</f>
        <v/>
      </c>
      <c r="AM240" s="2">
        <f>IFERROR(S240/D240,"")</f>
        <v/>
      </c>
      <c r="AN240" s="2">
        <f>IFERROR(T240/E240,"")</f>
        <v/>
      </c>
      <c r="AO240" s="2">
        <f>IFERROR(U240/F240,"")</f>
        <v/>
      </c>
    </row>
    <row r="241">
      <c r="B241">
        <f>IF($A241="","",IFERROR(INDEX('[AQ_2020.xlsx]原始数据'!$B:$B,MATCH($A241,'[AQ_2020.xlsx]原始数据'!$A:$A,0)),""))</f>
        <v/>
      </c>
      <c r="C241">
        <f>IF($A241="","",IFERROR(INDEX('[AQ_2021.xlsx]原始数据'!$B:$B,MATCH($A241,'[AQ_2021.xlsx]原始数据'!$A:$A,0)),""))</f>
        <v/>
      </c>
      <c r="D241">
        <f>IF($A241="","",IFERROR(INDEX('[AQ_2022.xlsx]原始数据'!$B:$B,MATCH($A241,'[AQ_2022.xlsx]原始数据'!$A:$A,0)),""))</f>
        <v/>
      </c>
      <c r="E241">
        <f>IF($A241="","",IFERROR(INDEX('[AQ_2023.xlsx]原始数据'!$B:$B,MATCH($A241,'[AQ_2023.xlsx]原始数据'!$A:$A,0)),""))</f>
        <v/>
      </c>
      <c r="F241">
        <f>IF($A241="","",IFERROR(INDEX('[AQ_2024.xlsx]原始数据'!$B:$B,MATCH($A241,'[AQ_2024.xlsx]原始数据'!$A:$A,0)),""))</f>
        <v/>
      </c>
      <c r="G241">
        <f>IF($A241="","",IFERROR(INDEX('[AQ_2020.xlsx]原始数据'!$C:$C,MATCH($A241,'[AQ_2020.xlsx]原始数据'!$A:$A,0)),""))</f>
        <v/>
      </c>
      <c r="H241">
        <f>IF($A241="","",IFERROR(INDEX('[AQ_2021.xlsx]原始数据'!$C:$C,MATCH($A241,'[AQ_2021.xlsx]原始数据'!$A:$A,0)),""))</f>
        <v/>
      </c>
      <c r="I241">
        <f>IF($A241="","",IFERROR(INDEX('[AQ_2022.xlsx]原始数据'!$C:$C,MATCH($A241,'[AQ_2022.xlsx]原始数据'!$A:$A,0)),""))</f>
        <v/>
      </c>
      <c r="J241">
        <f>IF($A241="","",IFERROR(INDEX('[AQ_2023.xlsx]原始数据'!$C:$C,MATCH($A241,'[AQ_2023.xlsx]原始数据'!$A:$A,0)),""))</f>
        <v/>
      </c>
      <c r="K241">
        <f>IF($A241="","",IFERROR(INDEX('[AQ_2024.xlsx]原始数据'!$C:$C,MATCH($A241,'[AQ_2024.xlsx]原始数据'!$A:$A,0)),""))</f>
        <v/>
      </c>
      <c r="L241">
        <f>IF($A241="","",IFERROR(INDEX('[AQ_2020.xlsx]原始数据'!$D:$D,MATCH($A241,'[AQ_2020.xlsx]原始数据'!$A:$A,0)),""))</f>
        <v/>
      </c>
      <c r="M241">
        <f>IF($A241="","",IFERROR(INDEX('[AQ_2021.xlsx]原始数据'!$D:$D,MATCH($A241,'[AQ_2021.xlsx]原始数据'!$A:$A,0)),""))</f>
        <v/>
      </c>
      <c r="N241">
        <f>IF($A241="","",IFERROR(INDEX('[AQ_2022.xlsx]原始数据'!$D:$D,MATCH($A241,'[AQ_2022.xlsx]原始数据'!$A:$A,0)),""))</f>
        <v/>
      </c>
      <c r="O241">
        <f>IF($A241="","",IFERROR(INDEX('[AQ_2023.xlsx]原始数据'!$D:$D,MATCH($A241,'[AQ_2023.xlsx]原始数据'!$A:$A,0)),""))</f>
        <v/>
      </c>
      <c r="P241">
        <f>IF($A241="","",IFERROR(INDEX('[AQ_2024.xlsx]原始数据'!$D:$D,MATCH($A241,'[AQ_2024.xlsx]原始数据'!$A:$A,0)),""))</f>
        <v/>
      </c>
      <c r="Q241">
        <f>IF($A241="","",IFERROR(INDEX('[AQ_2020.xlsx]原始数据'!$E:$E,MATCH($A241,'[AQ_2020.xlsx]原始数据'!$A:$A,0)),""))</f>
        <v/>
      </c>
      <c r="R241">
        <f>IF($A241="","",IFERROR(INDEX('[AQ_2021.xlsx]原始数据'!$E:$E,MATCH($A241,'[AQ_2021.xlsx]原始数据'!$A:$A,0)),""))</f>
        <v/>
      </c>
      <c r="S241">
        <f>IF($A241="","",IFERROR(INDEX('[AQ_2022.xlsx]原始数据'!$E:$E,MATCH($A241,'[AQ_2022.xlsx]原始数据'!$A:$A,0)),""))</f>
        <v/>
      </c>
      <c r="T241">
        <f>IF($A241="","",IFERROR(INDEX('[AQ_2023.xlsx]原始数据'!$E:$E,MATCH($A241,'[AQ_2023.xlsx]原始数据'!$A:$A,0)),""))</f>
        <v/>
      </c>
      <c r="U241">
        <f>IF($A241="","",IFERROR(INDEX('[AQ_2024.xlsx]原始数据'!$E:$E,MATCH($A241,'[AQ_2024.xlsx]原始数据'!$A:$A,0)),""))</f>
        <v/>
      </c>
      <c r="V241">
        <f>IF($A241="","",IFERROR(INDEX('[AQ_2020.xlsx]原始数据'!$F:$F,MATCH($A241,'[AQ_2020.xlsx]原始数据'!$A:$A,0)),""))</f>
        <v/>
      </c>
      <c r="W241">
        <f>IF($A241="","",IFERROR(INDEX('[AQ_2021.xlsx]原始数据'!$F:$F,MATCH($A241,'[AQ_2021.xlsx]原始数据'!$A:$A,0)),""))</f>
        <v/>
      </c>
      <c r="X241">
        <f>IF($A241="","",IFERROR(INDEX('[AQ_2022.xlsx]原始数据'!$F:$F,MATCH($A241,'[AQ_2022.xlsx]原始数据'!$A:$A,0)),""))</f>
        <v/>
      </c>
      <c r="Y241">
        <f>IF($A241="","",IFERROR(INDEX('[AQ_2023.xlsx]原始数据'!$F:$F,MATCH($A241,'[AQ_2023.xlsx]原始数据'!$A:$A,0)),""))</f>
        <v/>
      </c>
      <c r="Z241">
        <f>IF($A241="","",IFERROR(INDEX('[AQ_2024.xlsx]原始数据'!$F:$F,MATCH($A241,'[AQ_2024.xlsx]原始数据'!$A:$A,0)),""))</f>
        <v/>
      </c>
      <c r="AA241" s="2">
        <f>IFERROR(G241/B241,"")</f>
        <v/>
      </c>
      <c r="AB241" s="2">
        <f>IFERROR(H241/C241,"")</f>
        <v/>
      </c>
      <c r="AC241" s="2">
        <f>IFERROR(I241/D241,"")</f>
        <v/>
      </c>
      <c r="AD241" s="2">
        <f>IFERROR(J241/E241,"")</f>
        <v/>
      </c>
      <c r="AE241" s="2">
        <f>IFERROR(K241/F241,"")</f>
        <v/>
      </c>
      <c r="AF241" s="2">
        <f>IFERROR(L241/B241,"")</f>
        <v/>
      </c>
      <c r="AG241" s="2">
        <f>IFERROR(M241/C241,"")</f>
        <v/>
      </c>
      <c r="AH241" s="2">
        <f>IFERROR(N241/D241,"")</f>
        <v/>
      </c>
      <c r="AI241" s="2">
        <f>IFERROR(O241/E241,"")</f>
        <v/>
      </c>
      <c r="AJ241" s="2">
        <f>IFERROR(P241/F241,"")</f>
        <v/>
      </c>
      <c r="AK241" s="2">
        <f>IFERROR(Q241/B241,"")</f>
        <v/>
      </c>
      <c r="AL241" s="2">
        <f>IFERROR(R241/C241,"")</f>
        <v/>
      </c>
      <c r="AM241" s="2">
        <f>IFERROR(S241/D241,"")</f>
        <v/>
      </c>
      <c r="AN241" s="2">
        <f>IFERROR(T241/E241,"")</f>
        <v/>
      </c>
      <c r="AO241" s="2">
        <f>IFERROR(U241/F241,"")</f>
        <v/>
      </c>
    </row>
    <row r="242">
      <c r="B242">
        <f>IF($A242="","",IFERROR(INDEX('[AQ_2020.xlsx]原始数据'!$B:$B,MATCH($A242,'[AQ_2020.xlsx]原始数据'!$A:$A,0)),""))</f>
        <v/>
      </c>
      <c r="C242">
        <f>IF($A242="","",IFERROR(INDEX('[AQ_2021.xlsx]原始数据'!$B:$B,MATCH($A242,'[AQ_2021.xlsx]原始数据'!$A:$A,0)),""))</f>
        <v/>
      </c>
      <c r="D242">
        <f>IF($A242="","",IFERROR(INDEX('[AQ_2022.xlsx]原始数据'!$B:$B,MATCH($A242,'[AQ_2022.xlsx]原始数据'!$A:$A,0)),""))</f>
        <v/>
      </c>
      <c r="E242">
        <f>IF($A242="","",IFERROR(INDEX('[AQ_2023.xlsx]原始数据'!$B:$B,MATCH($A242,'[AQ_2023.xlsx]原始数据'!$A:$A,0)),""))</f>
        <v/>
      </c>
      <c r="F242">
        <f>IF($A242="","",IFERROR(INDEX('[AQ_2024.xlsx]原始数据'!$B:$B,MATCH($A242,'[AQ_2024.xlsx]原始数据'!$A:$A,0)),""))</f>
        <v/>
      </c>
      <c r="G242">
        <f>IF($A242="","",IFERROR(INDEX('[AQ_2020.xlsx]原始数据'!$C:$C,MATCH($A242,'[AQ_2020.xlsx]原始数据'!$A:$A,0)),""))</f>
        <v/>
      </c>
      <c r="H242">
        <f>IF($A242="","",IFERROR(INDEX('[AQ_2021.xlsx]原始数据'!$C:$C,MATCH($A242,'[AQ_2021.xlsx]原始数据'!$A:$A,0)),""))</f>
        <v/>
      </c>
      <c r="I242">
        <f>IF($A242="","",IFERROR(INDEX('[AQ_2022.xlsx]原始数据'!$C:$C,MATCH($A242,'[AQ_2022.xlsx]原始数据'!$A:$A,0)),""))</f>
        <v/>
      </c>
      <c r="J242">
        <f>IF($A242="","",IFERROR(INDEX('[AQ_2023.xlsx]原始数据'!$C:$C,MATCH($A242,'[AQ_2023.xlsx]原始数据'!$A:$A,0)),""))</f>
        <v/>
      </c>
      <c r="K242">
        <f>IF($A242="","",IFERROR(INDEX('[AQ_2024.xlsx]原始数据'!$C:$C,MATCH($A242,'[AQ_2024.xlsx]原始数据'!$A:$A,0)),""))</f>
        <v/>
      </c>
      <c r="L242">
        <f>IF($A242="","",IFERROR(INDEX('[AQ_2020.xlsx]原始数据'!$D:$D,MATCH($A242,'[AQ_2020.xlsx]原始数据'!$A:$A,0)),""))</f>
        <v/>
      </c>
      <c r="M242">
        <f>IF($A242="","",IFERROR(INDEX('[AQ_2021.xlsx]原始数据'!$D:$D,MATCH($A242,'[AQ_2021.xlsx]原始数据'!$A:$A,0)),""))</f>
        <v/>
      </c>
      <c r="N242">
        <f>IF($A242="","",IFERROR(INDEX('[AQ_2022.xlsx]原始数据'!$D:$D,MATCH($A242,'[AQ_2022.xlsx]原始数据'!$A:$A,0)),""))</f>
        <v/>
      </c>
      <c r="O242">
        <f>IF($A242="","",IFERROR(INDEX('[AQ_2023.xlsx]原始数据'!$D:$D,MATCH($A242,'[AQ_2023.xlsx]原始数据'!$A:$A,0)),""))</f>
        <v/>
      </c>
      <c r="P242">
        <f>IF($A242="","",IFERROR(INDEX('[AQ_2024.xlsx]原始数据'!$D:$D,MATCH($A242,'[AQ_2024.xlsx]原始数据'!$A:$A,0)),""))</f>
        <v/>
      </c>
      <c r="Q242">
        <f>IF($A242="","",IFERROR(INDEX('[AQ_2020.xlsx]原始数据'!$E:$E,MATCH($A242,'[AQ_2020.xlsx]原始数据'!$A:$A,0)),""))</f>
        <v/>
      </c>
      <c r="R242">
        <f>IF($A242="","",IFERROR(INDEX('[AQ_2021.xlsx]原始数据'!$E:$E,MATCH($A242,'[AQ_2021.xlsx]原始数据'!$A:$A,0)),""))</f>
        <v/>
      </c>
      <c r="S242">
        <f>IF($A242="","",IFERROR(INDEX('[AQ_2022.xlsx]原始数据'!$E:$E,MATCH($A242,'[AQ_2022.xlsx]原始数据'!$A:$A,0)),""))</f>
        <v/>
      </c>
      <c r="T242">
        <f>IF($A242="","",IFERROR(INDEX('[AQ_2023.xlsx]原始数据'!$E:$E,MATCH($A242,'[AQ_2023.xlsx]原始数据'!$A:$A,0)),""))</f>
        <v/>
      </c>
      <c r="U242">
        <f>IF($A242="","",IFERROR(INDEX('[AQ_2024.xlsx]原始数据'!$E:$E,MATCH($A242,'[AQ_2024.xlsx]原始数据'!$A:$A,0)),""))</f>
        <v/>
      </c>
      <c r="V242">
        <f>IF($A242="","",IFERROR(INDEX('[AQ_2020.xlsx]原始数据'!$F:$F,MATCH($A242,'[AQ_2020.xlsx]原始数据'!$A:$A,0)),""))</f>
        <v/>
      </c>
      <c r="W242">
        <f>IF($A242="","",IFERROR(INDEX('[AQ_2021.xlsx]原始数据'!$F:$F,MATCH($A242,'[AQ_2021.xlsx]原始数据'!$A:$A,0)),""))</f>
        <v/>
      </c>
      <c r="X242">
        <f>IF($A242="","",IFERROR(INDEX('[AQ_2022.xlsx]原始数据'!$F:$F,MATCH($A242,'[AQ_2022.xlsx]原始数据'!$A:$A,0)),""))</f>
        <v/>
      </c>
      <c r="Y242">
        <f>IF($A242="","",IFERROR(INDEX('[AQ_2023.xlsx]原始数据'!$F:$F,MATCH($A242,'[AQ_2023.xlsx]原始数据'!$A:$A,0)),""))</f>
        <v/>
      </c>
      <c r="Z242">
        <f>IF($A242="","",IFERROR(INDEX('[AQ_2024.xlsx]原始数据'!$F:$F,MATCH($A242,'[AQ_2024.xlsx]原始数据'!$A:$A,0)),""))</f>
        <v/>
      </c>
      <c r="AA242" s="2">
        <f>IFERROR(G242/B242,"")</f>
        <v/>
      </c>
      <c r="AB242" s="2">
        <f>IFERROR(H242/C242,"")</f>
        <v/>
      </c>
      <c r="AC242" s="2">
        <f>IFERROR(I242/D242,"")</f>
        <v/>
      </c>
      <c r="AD242" s="2">
        <f>IFERROR(J242/E242,"")</f>
        <v/>
      </c>
      <c r="AE242" s="2">
        <f>IFERROR(K242/F242,"")</f>
        <v/>
      </c>
      <c r="AF242" s="2">
        <f>IFERROR(L242/B242,"")</f>
        <v/>
      </c>
      <c r="AG242" s="2">
        <f>IFERROR(M242/C242,"")</f>
        <v/>
      </c>
      <c r="AH242" s="2">
        <f>IFERROR(N242/D242,"")</f>
        <v/>
      </c>
      <c r="AI242" s="2">
        <f>IFERROR(O242/E242,"")</f>
        <v/>
      </c>
      <c r="AJ242" s="2">
        <f>IFERROR(P242/F242,"")</f>
        <v/>
      </c>
      <c r="AK242" s="2">
        <f>IFERROR(Q242/B242,"")</f>
        <v/>
      </c>
      <c r="AL242" s="2">
        <f>IFERROR(R242/C242,"")</f>
        <v/>
      </c>
      <c r="AM242" s="2">
        <f>IFERROR(S242/D242,"")</f>
        <v/>
      </c>
      <c r="AN242" s="2">
        <f>IFERROR(T242/E242,"")</f>
        <v/>
      </c>
      <c r="AO242" s="2">
        <f>IFERROR(U242/F242,"")</f>
        <v/>
      </c>
    </row>
    <row r="243">
      <c r="B243">
        <f>IF($A243="","",IFERROR(INDEX('[AQ_2020.xlsx]原始数据'!$B:$B,MATCH($A243,'[AQ_2020.xlsx]原始数据'!$A:$A,0)),""))</f>
        <v/>
      </c>
      <c r="C243">
        <f>IF($A243="","",IFERROR(INDEX('[AQ_2021.xlsx]原始数据'!$B:$B,MATCH($A243,'[AQ_2021.xlsx]原始数据'!$A:$A,0)),""))</f>
        <v/>
      </c>
      <c r="D243">
        <f>IF($A243="","",IFERROR(INDEX('[AQ_2022.xlsx]原始数据'!$B:$B,MATCH($A243,'[AQ_2022.xlsx]原始数据'!$A:$A,0)),""))</f>
        <v/>
      </c>
      <c r="E243">
        <f>IF($A243="","",IFERROR(INDEX('[AQ_2023.xlsx]原始数据'!$B:$B,MATCH($A243,'[AQ_2023.xlsx]原始数据'!$A:$A,0)),""))</f>
        <v/>
      </c>
      <c r="F243">
        <f>IF($A243="","",IFERROR(INDEX('[AQ_2024.xlsx]原始数据'!$B:$B,MATCH($A243,'[AQ_2024.xlsx]原始数据'!$A:$A,0)),""))</f>
        <v/>
      </c>
      <c r="G243">
        <f>IF($A243="","",IFERROR(INDEX('[AQ_2020.xlsx]原始数据'!$C:$C,MATCH($A243,'[AQ_2020.xlsx]原始数据'!$A:$A,0)),""))</f>
        <v/>
      </c>
      <c r="H243">
        <f>IF($A243="","",IFERROR(INDEX('[AQ_2021.xlsx]原始数据'!$C:$C,MATCH($A243,'[AQ_2021.xlsx]原始数据'!$A:$A,0)),""))</f>
        <v/>
      </c>
      <c r="I243">
        <f>IF($A243="","",IFERROR(INDEX('[AQ_2022.xlsx]原始数据'!$C:$C,MATCH($A243,'[AQ_2022.xlsx]原始数据'!$A:$A,0)),""))</f>
        <v/>
      </c>
      <c r="J243">
        <f>IF($A243="","",IFERROR(INDEX('[AQ_2023.xlsx]原始数据'!$C:$C,MATCH($A243,'[AQ_2023.xlsx]原始数据'!$A:$A,0)),""))</f>
        <v/>
      </c>
      <c r="K243">
        <f>IF($A243="","",IFERROR(INDEX('[AQ_2024.xlsx]原始数据'!$C:$C,MATCH($A243,'[AQ_2024.xlsx]原始数据'!$A:$A,0)),""))</f>
        <v/>
      </c>
      <c r="L243">
        <f>IF($A243="","",IFERROR(INDEX('[AQ_2020.xlsx]原始数据'!$D:$D,MATCH($A243,'[AQ_2020.xlsx]原始数据'!$A:$A,0)),""))</f>
        <v/>
      </c>
      <c r="M243">
        <f>IF($A243="","",IFERROR(INDEX('[AQ_2021.xlsx]原始数据'!$D:$D,MATCH($A243,'[AQ_2021.xlsx]原始数据'!$A:$A,0)),""))</f>
        <v/>
      </c>
      <c r="N243">
        <f>IF($A243="","",IFERROR(INDEX('[AQ_2022.xlsx]原始数据'!$D:$D,MATCH($A243,'[AQ_2022.xlsx]原始数据'!$A:$A,0)),""))</f>
        <v/>
      </c>
      <c r="O243">
        <f>IF($A243="","",IFERROR(INDEX('[AQ_2023.xlsx]原始数据'!$D:$D,MATCH($A243,'[AQ_2023.xlsx]原始数据'!$A:$A,0)),""))</f>
        <v/>
      </c>
      <c r="P243">
        <f>IF($A243="","",IFERROR(INDEX('[AQ_2024.xlsx]原始数据'!$D:$D,MATCH($A243,'[AQ_2024.xlsx]原始数据'!$A:$A,0)),""))</f>
        <v/>
      </c>
      <c r="Q243">
        <f>IF($A243="","",IFERROR(INDEX('[AQ_2020.xlsx]原始数据'!$E:$E,MATCH($A243,'[AQ_2020.xlsx]原始数据'!$A:$A,0)),""))</f>
        <v/>
      </c>
      <c r="R243">
        <f>IF($A243="","",IFERROR(INDEX('[AQ_2021.xlsx]原始数据'!$E:$E,MATCH($A243,'[AQ_2021.xlsx]原始数据'!$A:$A,0)),""))</f>
        <v/>
      </c>
      <c r="S243">
        <f>IF($A243="","",IFERROR(INDEX('[AQ_2022.xlsx]原始数据'!$E:$E,MATCH($A243,'[AQ_2022.xlsx]原始数据'!$A:$A,0)),""))</f>
        <v/>
      </c>
      <c r="T243">
        <f>IF($A243="","",IFERROR(INDEX('[AQ_2023.xlsx]原始数据'!$E:$E,MATCH($A243,'[AQ_2023.xlsx]原始数据'!$A:$A,0)),""))</f>
        <v/>
      </c>
      <c r="U243">
        <f>IF($A243="","",IFERROR(INDEX('[AQ_2024.xlsx]原始数据'!$E:$E,MATCH($A243,'[AQ_2024.xlsx]原始数据'!$A:$A,0)),""))</f>
        <v/>
      </c>
      <c r="V243">
        <f>IF($A243="","",IFERROR(INDEX('[AQ_2020.xlsx]原始数据'!$F:$F,MATCH($A243,'[AQ_2020.xlsx]原始数据'!$A:$A,0)),""))</f>
        <v/>
      </c>
      <c r="W243">
        <f>IF($A243="","",IFERROR(INDEX('[AQ_2021.xlsx]原始数据'!$F:$F,MATCH($A243,'[AQ_2021.xlsx]原始数据'!$A:$A,0)),""))</f>
        <v/>
      </c>
      <c r="X243">
        <f>IF($A243="","",IFERROR(INDEX('[AQ_2022.xlsx]原始数据'!$F:$F,MATCH($A243,'[AQ_2022.xlsx]原始数据'!$A:$A,0)),""))</f>
        <v/>
      </c>
      <c r="Y243">
        <f>IF($A243="","",IFERROR(INDEX('[AQ_2023.xlsx]原始数据'!$F:$F,MATCH($A243,'[AQ_2023.xlsx]原始数据'!$A:$A,0)),""))</f>
        <v/>
      </c>
      <c r="Z243">
        <f>IF($A243="","",IFERROR(INDEX('[AQ_2024.xlsx]原始数据'!$F:$F,MATCH($A243,'[AQ_2024.xlsx]原始数据'!$A:$A,0)),""))</f>
        <v/>
      </c>
      <c r="AA243" s="2">
        <f>IFERROR(G243/B243,"")</f>
        <v/>
      </c>
      <c r="AB243" s="2">
        <f>IFERROR(H243/C243,"")</f>
        <v/>
      </c>
      <c r="AC243" s="2">
        <f>IFERROR(I243/D243,"")</f>
        <v/>
      </c>
      <c r="AD243" s="2">
        <f>IFERROR(J243/E243,"")</f>
        <v/>
      </c>
      <c r="AE243" s="2">
        <f>IFERROR(K243/F243,"")</f>
        <v/>
      </c>
      <c r="AF243" s="2">
        <f>IFERROR(L243/B243,"")</f>
        <v/>
      </c>
      <c r="AG243" s="2">
        <f>IFERROR(M243/C243,"")</f>
        <v/>
      </c>
      <c r="AH243" s="2">
        <f>IFERROR(N243/D243,"")</f>
        <v/>
      </c>
      <c r="AI243" s="2">
        <f>IFERROR(O243/E243,"")</f>
        <v/>
      </c>
      <c r="AJ243" s="2">
        <f>IFERROR(P243/F243,"")</f>
        <v/>
      </c>
      <c r="AK243" s="2">
        <f>IFERROR(Q243/B243,"")</f>
        <v/>
      </c>
      <c r="AL243" s="2">
        <f>IFERROR(R243/C243,"")</f>
        <v/>
      </c>
      <c r="AM243" s="2">
        <f>IFERROR(S243/D243,"")</f>
        <v/>
      </c>
      <c r="AN243" s="2">
        <f>IFERROR(T243/E243,"")</f>
        <v/>
      </c>
      <c r="AO243" s="2">
        <f>IFERROR(U243/F243,"")</f>
        <v/>
      </c>
    </row>
    <row r="244">
      <c r="B244">
        <f>IF($A244="","",IFERROR(INDEX('[AQ_2020.xlsx]原始数据'!$B:$B,MATCH($A244,'[AQ_2020.xlsx]原始数据'!$A:$A,0)),""))</f>
        <v/>
      </c>
      <c r="C244">
        <f>IF($A244="","",IFERROR(INDEX('[AQ_2021.xlsx]原始数据'!$B:$B,MATCH($A244,'[AQ_2021.xlsx]原始数据'!$A:$A,0)),""))</f>
        <v/>
      </c>
      <c r="D244">
        <f>IF($A244="","",IFERROR(INDEX('[AQ_2022.xlsx]原始数据'!$B:$B,MATCH($A244,'[AQ_2022.xlsx]原始数据'!$A:$A,0)),""))</f>
        <v/>
      </c>
      <c r="E244">
        <f>IF($A244="","",IFERROR(INDEX('[AQ_2023.xlsx]原始数据'!$B:$B,MATCH($A244,'[AQ_2023.xlsx]原始数据'!$A:$A,0)),""))</f>
        <v/>
      </c>
      <c r="F244">
        <f>IF($A244="","",IFERROR(INDEX('[AQ_2024.xlsx]原始数据'!$B:$B,MATCH($A244,'[AQ_2024.xlsx]原始数据'!$A:$A,0)),""))</f>
        <v/>
      </c>
      <c r="G244">
        <f>IF($A244="","",IFERROR(INDEX('[AQ_2020.xlsx]原始数据'!$C:$C,MATCH($A244,'[AQ_2020.xlsx]原始数据'!$A:$A,0)),""))</f>
        <v/>
      </c>
      <c r="H244">
        <f>IF($A244="","",IFERROR(INDEX('[AQ_2021.xlsx]原始数据'!$C:$C,MATCH($A244,'[AQ_2021.xlsx]原始数据'!$A:$A,0)),""))</f>
        <v/>
      </c>
      <c r="I244">
        <f>IF($A244="","",IFERROR(INDEX('[AQ_2022.xlsx]原始数据'!$C:$C,MATCH($A244,'[AQ_2022.xlsx]原始数据'!$A:$A,0)),""))</f>
        <v/>
      </c>
      <c r="J244">
        <f>IF($A244="","",IFERROR(INDEX('[AQ_2023.xlsx]原始数据'!$C:$C,MATCH($A244,'[AQ_2023.xlsx]原始数据'!$A:$A,0)),""))</f>
        <v/>
      </c>
      <c r="K244">
        <f>IF($A244="","",IFERROR(INDEX('[AQ_2024.xlsx]原始数据'!$C:$C,MATCH($A244,'[AQ_2024.xlsx]原始数据'!$A:$A,0)),""))</f>
        <v/>
      </c>
      <c r="L244">
        <f>IF($A244="","",IFERROR(INDEX('[AQ_2020.xlsx]原始数据'!$D:$D,MATCH($A244,'[AQ_2020.xlsx]原始数据'!$A:$A,0)),""))</f>
        <v/>
      </c>
      <c r="M244">
        <f>IF($A244="","",IFERROR(INDEX('[AQ_2021.xlsx]原始数据'!$D:$D,MATCH($A244,'[AQ_2021.xlsx]原始数据'!$A:$A,0)),""))</f>
        <v/>
      </c>
      <c r="N244">
        <f>IF($A244="","",IFERROR(INDEX('[AQ_2022.xlsx]原始数据'!$D:$D,MATCH($A244,'[AQ_2022.xlsx]原始数据'!$A:$A,0)),""))</f>
        <v/>
      </c>
      <c r="O244">
        <f>IF($A244="","",IFERROR(INDEX('[AQ_2023.xlsx]原始数据'!$D:$D,MATCH($A244,'[AQ_2023.xlsx]原始数据'!$A:$A,0)),""))</f>
        <v/>
      </c>
      <c r="P244">
        <f>IF($A244="","",IFERROR(INDEX('[AQ_2024.xlsx]原始数据'!$D:$D,MATCH($A244,'[AQ_2024.xlsx]原始数据'!$A:$A,0)),""))</f>
        <v/>
      </c>
      <c r="Q244">
        <f>IF($A244="","",IFERROR(INDEX('[AQ_2020.xlsx]原始数据'!$E:$E,MATCH($A244,'[AQ_2020.xlsx]原始数据'!$A:$A,0)),""))</f>
        <v/>
      </c>
      <c r="R244">
        <f>IF($A244="","",IFERROR(INDEX('[AQ_2021.xlsx]原始数据'!$E:$E,MATCH($A244,'[AQ_2021.xlsx]原始数据'!$A:$A,0)),""))</f>
        <v/>
      </c>
      <c r="S244">
        <f>IF($A244="","",IFERROR(INDEX('[AQ_2022.xlsx]原始数据'!$E:$E,MATCH($A244,'[AQ_2022.xlsx]原始数据'!$A:$A,0)),""))</f>
        <v/>
      </c>
      <c r="T244">
        <f>IF($A244="","",IFERROR(INDEX('[AQ_2023.xlsx]原始数据'!$E:$E,MATCH($A244,'[AQ_2023.xlsx]原始数据'!$A:$A,0)),""))</f>
        <v/>
      </c>
      <c r="U244">
        <f>IF($A244="","",IFERROR(INDEX('[AQ_2024.xlsx]原始数据'!$E:$E,MATCH($A244,'[AQ_2024.xlsx]原始数据'!$A:$A,0)),""))</f>
        <v/>
      </c>
      <c r="V244">
        <f>IF($A244="","",IFERROR(INDEX('[AQ_2020.xlsx]原始数据'!$F:$F,MATCH($A244,'[AQ_2020.xlsx]原始数据'!$A:$A,0)),""))</f>
        <v/>
      </c>
      <c r="W244">
        <f>IF($A244="","",IFERROR(INDEX('[AQ_2021.xlsx]原始数据'!$F:$F,MATCH($A244,'[AQ_2021.xlsx]原始数据'!$A:$A,0)),""))</f>
        <v/>
      </c>
      <c r="X244">
        <f>IF($A244="","",IFERROR(INDEX('[AQ_2022.xlsx]原始数据'!$F:$F,MATCH($A244,'[AQ_2022.xlsx]原始数据'!$A:$A,0)),""))</f>
        <v/>
      </c>
      <c r="Y244">
        <f>IF($A244="","",IFERROR(INDEX('[AQ_2023.xlsx]原始数据'!$F:$F,MATCH($A244,'[AQ_2023.xlsx]原始数据'!$A:$A,0)),""))</f>
        <v/>
      </c>
      <c r="Z244">
        <f>IF($A244="","",IFERROR(INDEX('[AQ_2024.xlsx]原始数据'!$F:$F,MATCH($A244,'[AQ_2024.xlsx]原始数据'!$A:$A,0)),""))</f>
        <v/>
      </c>
      <c r="AA244" s="2">
        <f>IFERROR(G244/B244,"")</f>
        <v/>
      </c>
      <c r="AB244" s="2">
        <f>IFERROR(H244/C244,"")</f>
        <v/>
      </c>
      <c r="AC244" s="2">
        <f>IFERROR(I244/D244,"")</f>
        <v/>
      </c>
      <c r="AD244" s="2">
        <f>IFERROR(J244/E244,"")</f>
        <v/>
      </c>
      <c r="AE244" s="2">
        <f>IFERROR(K244/F244,"")</f>
        <v/>
      </c>
      <c r="AF244" s="2">
        <f>IFERROR(L244/B244,"")</f>
        <v/>
      </c>
      <c r="AG244" s="2">
        <f>IFERROR(M244/C244,"")</f>
        <v/>
      </c>
      <c r="AH244" s="2">
        <f>IFERROR(N244/D244,"")</f>
        <v/>
      </c>
      <c r="AI244" s="2">
        <f>IFERROR(O244/E244,"")</f>
        <v/>
      </c>
      <c r="AJ244" s="2">
        <f>IFERROR(P244/F244,"")</f>
        <v/>
      </c>
      <c r="AK244" s="2">
        <f>IFERROR(Q244/B244,"")</f>
        <v/>
      </c>
      <c r="AL244" s="2">
        <f>IFERROR(R244/C244,"")</f>
        <v/>
      </c>
      <c r="AM244" s="2">
        <f>IFERROR(S244/D244,"")</f>
        <v/>
      </c>
      <c r="AN244" s="2">
        <f>IFERROR(T244/E244,"")</f>
        <v/>
      </c>
      <c r="AO244" s="2">
        <f>IFERROR(U244/F244,"")</f>
        <v/>
      </c>
    </row>
    <row r="245">
      <c r="B245">
        <f>IF($A245="","",IFERROR(INDEX('[AQ_2020.xlsx]原始数据'!$B:$B,MATCH($A245,'[AQ_2020.xlsx]原始数据'!$A:$A,0)),""))</f>
        <v/>
      </c>
      <c r="C245">
        <f>IF($A245="","",IFERROR(INDEX('[AQ_2021.xlsx]原始数据'!$B:$B,MATCH($A245,'[AQ_2021.xlsx]原始数据'!$A:$A,0)),""))</f>
        <v/>
      </c>
      <c r="D245">
        <f>IF($A245="","",IFERROR(INDEX('[AQ_2022.xlsx]原始数据'!$B:$B,MATCH($A245,'[AQ_2022.xlsx]原始数据'!$A:$A,0)),""))</f>
        <v/>
      </c>
      <c r="E245">
        <f>IF($A245="","",IFERROR(INDEX('[AQ_2023.xlsx]原始数据'!$B:$B,MATCH($A245,'[AQ_2023.xlsx]原始数据'!$A:$A,0)),""))</f>
        <v/>
      </c>
      <c r="F245">
        <f>IF($A245="","",IFERROR(INDEX('[AQ_2024.xlsx]原始数据'!$B:$B,MATCH($A245,'[AQ_2024.xlsx]原始数据'!$A:$A,0)),""))</f>
        <v/>
      </c>
      <c r="G245">
        <f>IF($A245="","",IFERROR(INDEX('[AQ_2020.xlsx]原始数据'!$C:$C,MATCH($A245,'[AQ_2020.xlsx]原始数据'!$A:$A,0)),""))</f>
        <v/>
      </c>
      <c r="H245">
        <f>IF($A245="","",IFERROR(INDEX('[AQ_2021.xlsx]原始数据'!$C:$C,MATCH($A245,'[AQ_2021.xlsx]原始数据'!$A:$A,0)),""))</f>
        <v/>
      </c>
      <c r="I245">
        <f>IF($A245="","",IFERROR(INDEX('[AQ_2022.xlsx]原始数据'!$C:$C,MATCH($A245,'[AQ_2022.xlsx]原始数据'!$A:$A,0)),""))</f>
        <v/>
      </c>
      <c r="J245">
        <f>IF($A245="","",IFERROR(INDEX('[AQ_2023.xlsx]原始数据'!$C:$C,MATCH($A245,'[AQ_2023.xlsx]原始数据'!$A:$A,0)),""))</f>
        <v/>
      </c>
      <c r="K245">
        <f>IF($A245="","",IFERROR(INDEX('[AQ_2024.xlsx]原始数据'!$C:$C,MATCH($A245,'[AQ_2024.xlsx]原始数据'!$A:$A,0)),""))</f>
        <v/>
      </c>
      <c r="L245">
        <f>IF($A245="","",IFERROR(INDEX('[AQ_2020.xlsx]原始数据'!$D:$D,MATCH($A245,'[AQ_2020.xlsx]原始数据'!$A:$A,0)),""))</f>
        <v/>
      </c>
      <c r="M245">
        <f>IF($A245="","",IFERROR(INDEX('[AQ_2021.xlsx]原始数据'!$D:$D,MATCH($A245,'[AQ_2021.xlsx]原始数据'!$A:$A,0)),""))</f>
        <v/>
      </c>
      <c r="N245">
        <f>IF($A245="","",IFERROR(INDEX('[AQ_2022.xlsx]原始数据'!$D:$D,MATCH($A245,'[AQ_2022.xlsx]原始数据'!$A:$A,0)),""))</f>
        <v/>
      </c>
      <c r="O245">
        <f>IF($A245="","",IFERROR(INDEX('[AQ_2023.xlsx]原始数据'!$D:$D,MATCH($A245,'[AQ_2023.xlsx]原始数据'!$A:$A,0)),""))</f>
        <v/>
      </c>
      <c r="P245">
        <f>IF($A245="","",IFERROR(INDEX('[AQ_2024.xlsx]原始数据'!$D:$D,MATCH($A245,'[AQ_2024.xlsx]原始数据'!$A:$A,0)),""))</f>
        <v/>
      </c>
      <c r="Q245">
        <f>IF($A245="","",IFERROR(INDEX('[AQ_2020.xlsx]原始数据'!$E:$E,MATCH($A245,'[AQ_2020.xlsx]原始数据'!$A:$A,0)),""))</f>
        <v/>
      </c>
      <c r="R245">
        <f>IF($A245="","",IFERROR(INDEX('[AQ_2021.xlsx]原始数据'!$E:$E,MATCH($A245,'[AQ_2021.xlsx]原始数据'!$A:$A,0)),""))</f>
        <v/>
      </c>
      <c r="S245">
        <f>IF($A245="","",IFERROR(INDEX('[AQ_2022.xlsx]原始数据'!$E:$E,MATCH($A245,'[AQ_2022.xlsx]原始数据'!$A:$A,0)),""))</f>
        <v/>
      </c>
      <c r="T245">
        <f>IF($A245="","",IFERROR(INDEX('[AQ_2023.xlsx]原始数据'!$E:$E,MATCH($A245,'[AQ_2023.xlsx]原始数据'!$A:$A,0)),""))</f>
        <v/>
      </c>
      <c r="U245">
        <f>IF($A245="","",IFERROR(INDEX('[AQ_2024.xlsx]原始数据'!$E:$E,MATCH($A245,'[AQ_2024.xlsx]原始数据'!$A:$A,0)),""))</f>
        <v/>
      </c>
      <c r="V245">
        <f>IF($A245="","",IFERROR(INDEX('[AQ_2020.xlsx]原始数据'!$F:$F,MATCH($A245,'[AQ_2020.xlsx]原始数据'!$A:$A,0)),""))</f>
        <v/>
      </c>
      <c r="W245">
        <f>IF($A245="","",IFERROR(INDEX('[AQ_2021.xlsx]原始数据'!$F:$F,MATCH($A245,'[AQ_2021.xlsx]原始数据'!$A:$A,0)),""))</f>
        <v/>
      </c>
      <c r="X245">
        <f>IF($A245="","",IFERROR(INDEX('[AQ_2022.xlsx]原始数据'!$F:$F,MATCH($A245,'[AQ_2022.xlsx]原始数据'!$A:$A,0)),""))</f>
        <v/>
      </c>
      <c r="Y245">
        <f>IF($A245="","",IFERROR(INDEX('[AQ_2023.xlsx]原始数据'!$F:$F,MATCH($A245,'[AQ_2023.xlsx]原始数据'!$A:$A,0)),""))</f>
        <v/>
      </c>
      <c r="Z245">
        <f>IF($A245="","",IFERROR(INDEX('[AQ_2024.xlsx]原始数据'!$F:$F,MATCH($A245,'[AQ_2024.xlsx]原始数据'!$A:$A,0)),""))</f>
        <v/>
      </c>
      <c r="AA245" s="2">
        <f>IFERROR(G245/B245,"")</f>
        <v/>
      </c>
      <c r="AB245" s="2">
        <f>IFERROR(H245/C245,"")</f>
        <v/>
      </c>
      <c r="AC245" s="2">
        <f>IFERROR(I245/D245,"")</f>
        <v/>
      </c>
      <c r="AD245" s="2">
        <f>IFERROR(J245/E245,"")</f>
        <v/>
      </c>
      <c r="AE245" s="2">
        <f>IFERROR(K245/F245,"")</f>
        <v/>
      </c>
      <c r="AF245" s="2">
        <f>IFERROR(L245/B245,"")</f>
        <v/>
      </c>
      <c r="AG245" s="2">
        <f>IFERROR(M245/C245,"")</f>
        <v/>
      </c>
      <c r="AH245" s="2">
        <f>IFERROR(N245/D245,"")</f>
        <v/>
      </c>
      <c r="AI245" s="2">
        <f>IFERROR(O245/E245,"")</f>
        <v/>
      </c>
      <c r="AJ245" s="2">
        <f>IFERROR(P245/F245,"")</f>
        <v/>
      </c>
      <c r="AK245" s="2">
        <f>IFERROR(Q245/B245,"")</f>
        <v/>
      </c>
      <c r="AL245" s="2">
        <f>IFERROR(R245/C245,"")</f>
        <v/>
      </c>
      <c r="AM245" s="2">
        <f>IFERROR(S245/D245,"")</f>
        <v/>
      </c>
      <c r="AN245" s="2">
        <f>IFERROR(T245/E245,"")</f>
        <v/>
      </c>
      <c r="AO245" s="2">
        <f>IFERROR(U245/F245,"")</f>
        <v/>
      </c>
    </row>
    <row r="246">
      <c r="B246">
        <f>IF($A246="","",IFERROR(INDEX('[AQ_2020.xlsx]原始数据'!$B:$B,MATCH($A246,'[AQ_2020.xlsx]原始数据'!$A:$A,0)),""))</f>
        <v/>
      </c>
      <c r="C246">
        <f>IF($A246="","",IFERROR(INDEX('[AQ_2021.xlsx]原始数据'!$B:$B,MATCH($A246,'[AQ_2021.xlsx]原始数据'!$A:$A,0)),""))</f>
        <v/>
      </c>
      <c r="D246">
        <f>IF($A246="","",IFERROR(INDEX('[AQ_2022.xlsx]原始数据'!$B:$B,MATCH($A246,'[AQ_2022.xlsx]原始数据'!$A:$A,0)),""))</f>
        <v/>
      </c>
      <c r="E246">
        <f>IF($A246="","",IFERROR(INDEX('[AQ_2023.xlsx]原始数据'!$B:$B,MATCH($A246,'[AQ_2023.xlsx]原始数据'!$A:$A,0)),""))</f>
        <v/>
      </c>
      <c r="F246">
        <f>IF($A246="","",IFERROR(INDEX('[AQ_2024.xlsx]原始数据'!$B:$B,MATCH($A246,'[AQ_2024.xlsx]原始数据'!$A:$A,0)),""))</f>
        <v/>
      </c>
      <c r="G246">
        <f>IF($A246="","",IFERROR(INDEX('[AQ_2020.xlsx]原始数据'!$C:$C,MATCH($A246,'[AQ_2020.xlsx]原始数据'!$A:$A,0)),""))</f>
        <v/>
      </c>
      <c r="H246">
        <f>IF($A246="","",IFERROR(INDEX('[AQ_2021.xlsx]原始数据'!$C:$C,MATCH($A246,'[AQ_2021.xlsx]原始数据'!$A:$A,0)),""))</f>
        <v/>
      </c>
      <c r="I246">
        <f>IF($A246="","",IFERROR(INDEX('[AQ_2022.xlsx]原始数据'!$C:$C,MATCH($A246,'[AQ_2022.xlsx]原始数据'!$A:$A,0)),""))</f>
        <v/>
      </c>
      <c r="J246">
        <f>IF($A246="","",IFERROR(INDEX('[AQ_2023.xlsx]原始数据'!$C:$C,MATCH($A246,'[AQ_2023.xlsx]原始数据'!$A:$A,0)),""))</f>
        <v/>
      </c>
      <c r="K246">
        <f>IF($A246="","",IFERROR(INDEX('[AQ_2024.xlsx]原始数据'!$C:$C,MATCH($A246,'[AQ_2024.xlsx]原始数据'!$A:$A,0)),""))</f>
        <v/>
      </c>
      <c r="L246">
        <f>IF($A246="","",IFERROR(INDEX('[AQ_2020.xlsx]原始数据'!$D:$D,MATCH($A246,'[AQ_2020.xlsx]原始数据'!$A:$A,0)),""))</f>
        <v/>
      </c>
      <c r="M246">
        <f>IF($A246="","",IFERROR(INDEX('[AQ_2021.xlsx]原始数据'!$D:$D,MATCH($A246,'[AQ_2021.xlsx]原始数据'!$A:$A,0)),""))</f>
        <v/>
      </c>
      <c r="N246">
        <f>IF($A246="","",IFERROR(INDEX('[AQ_2022.xlsx]原始数据'!$D:$D,MATCH($A246,'[AQ_2022.xlsx]原始数据'!$A:$A,0)),""))</f>
        <v/>
      </c>
      <c r="O246">
        <f>IF($A246="","",IFERROR(INDEX('[AQ_2023.xlsx]原始数据'!$D:$D,MATCH($A246,'[AQ_2023.xlsx]原始数据'!$A:$A,0)),""))</f>
        <v/>
      </c>
      <c r="P246">
        <f>IF($A246="","",IFERROR(INDEX('[AQ_2024.xlsx]原始数据'!$D:$D,MATCH($A246,'[AQ_2024.xlsx]原始数据'!$A:$A,0)),""))</f>
        <v/>
      </c>
      <c r="Q246">
        <f>IF($A246="","",IFERROR(INDEX('[AQ_2020.xlsx]原始数据'!$E:$E,MATCH($A246,'[AQ_2020.xlsx]原始数据'!$A:$A,0)),""))</f>
        <v/>
      </c>
      <c r="R246">
        <f>IF($A246="","",IFERROR(INDEX('[AQ_2021.xlsx]原始数据'!$E:$E,MATCH($A246,'[AQ_2021.xlsx]原始数据'!$A:$A,0)),""))</f>
        <v/>
      </c>
      <c r="S246">
        <f>IF($A246="","",IFERROR(INDEX('[AQ_2022.xlsx]原始数据'!$E:$E,MATCH($A246,'[AQ_2022.xlsx]原始数据'!$A:$A,0)),""))</f>
        <v/>
      </c>
      <c r="T246">
        <f>IF($A246="","",IFERROR(INDEX('[AQ_2023.xlsx]原始数据'!$E:$E,MATCH($A246,'[AQ_2023.xlsx]原始数据'!$A:$A,0)),""))</f>
        <v/>
      </c>
      <c r="U246">
        <f>IF($A246="","",IFERROR(INDEX('[AQ_2024.xlsx]原始数据'!$E:$E,MATCH($A246,'[AQ_2024.xlsx]原始数据'!$A:$A,0)),""))</f>
        <v/>
      </c>
      <c r="V246">
        <f>IF($A246="","",IFERROR(INDEX('[AQ_2020.xlsx]原始数据'!$F:$F,MATCH($A246,'[AQ_2020.xlsx]原始数据'!$A:$A,0)),""))</f>
        <v/>
      </c>
      <c r="W246">
        <f>IF($A246="","",IFERROR(INDEX('[AQ_2021.xlsx]原始数据'!$F:$F,MATCH($A246,'[AQ_2021.xlsx]原始数据'!$A:$A,0)),""))</f>
        <v/>
      </c>
      <c r="X246">
        <f>IF($A246="","",IFERROR(INDEX('[AQ_2022.xlsx]原始数据'!$F:$F,MATCH($A246,'[AQ_2022.xlsx]原始数据'!$A:$A,0)),""))</f>
        <v/>
      </c>
      <c r="Y246">
        <f>IF($A246="","",IFERROR(INDEX('[AQ_2023.xlsx]原始数据'!$F:$F,MATCH($A246,'[AQ_2023.xlsx]原始数据'!$A:$A,0)),""))</f>
        <v/>
      </c>
      <c r="Z246">
        <f>IF($A246="","",IFERROR(INDEX('[AQ_2024.xlsx]原始数据'!$F:$F,MATCH($A246,'[AQ_2024.xlsx]原始数据'!$A:$A,0)),""))</f>
        <v/>
      </c>
      <c r="AA246" s="2">
        <f>IFERROR(G246/B246,"")</f>
        <v/>
      </c>
      <c r="AB246" s="2">
        <f>IFERROR(H246/C246,"")</f>
        <v/>
      </c>
      <c r="AC246" s="2">
        <f>IFERROR(I246/D246,"")</f>
        <v/>
      </c>
      <c r="AD246" s="2">
        <f>IFERROR(J246/E246,"")</f>
        <v/>
      </c>
      <c r="AE246" s="2">
        <f>IFERROR(K246/F246,"")</f>
        <v/>
      </c>
      <c r="AF246" s="2">
        <f>IFERROR(L246/B246,"")</f>
        <v/>
      </c>
      <c r="AG246" s="2">
        <f>IFERROR(M246/C246,"")</f>
        <v/>
      </c>
      <c r="AH246" s="2">
        <f>IFERROR(N246/D246,"")</f>
        <v/>
      </c>
      <c r="AI246" s="2">
        <f>IFERROR(O246/E246,"")</f>
        <v/>
      </c>
      <c r="AJ246" s="2">
        <f>IFERROR(P246/F246,"")</f>
        <v/>
      </c>
      <c r="AK246" s="2">
        <f>IFERROR(Q246/B246,"")</f>
        <v/>
      </c>
      <c r="AL246" s="2">
        <f>IFERROR(R246/C246,"")</f>
        <v/>
      </c>
      <c r="AM246" s="2">
        <f>IFERROR(S246/D246,"")</f>
        <v/>
      </c>
      <c r="AN246" s="2">
        <f>IFERROR(T246/E246,"")</f>
        <v/>
      </c>
      <c r="AO246" s="2">
        <f>IFERROR(U246/F246,"")</f>
        <v/>
      </c>
    </row>
    <row r="247">
      <c r="B247">
        <f>IF($A247="","",IFERROR(INDEX('[AQ_2020.xlsx]原始数据'!$B:$B,MATCH($A247,'[AQ_2020.xlsx]原始数据'!$A:$A,0)),""))</f>
        <v/>
      </c>
      <c r="C247">
        <f>IF($A247="","",IFERROR(INDEX('[AQ_2021.xlsx]原始数据'!$B:$B,MATCH($A247,'[AQ_2021.xlsx]原始数据'!$A:$A,0)),""))</f>
        <v/>
      </c>
      <c r="D247">
        <f>IF($A247="","",IFERROR(INDEX('[AQ_2022.xlsx]原始数据'!$B:$B,MATCH($A247,'[AQ_2022.xlsx]原始数据'!$A:$A,0)),""))</f>
        <v/>
      </c>
      <c r="E247">
        <f>IF($A247="","",IFERROR(INDEX('[AQ_2023.xlsx]原始数据'!$B:$B,MATCH($A247,'[AQ_2023.xlsx]原始数据'!$A:$A,0)),""))</f>
        <v/>
      </c>
      <c r="F247">
        <f>IF($A247="","",IFERROR(INDEX('[AQ_2024.xlsx]原始数据'!$B:$B,MATCH($A247,'[AQ_2024.xlsx]原始数据'!$A:$A,0)),""))</f>
        <v/>
      </c>
      <c r="G247">
        <f>IF($A247="","",IFERROR(INDEX('[AQ_2020.xlsx]原始数据'!$C:$C,MATCH($A247,'[AQ_2020.xlsx]原始数据'!$A:$A,0)),""))</f>
        <v/>
      </c>
      <c r="H247">
        <f>IF($A247="","",IFERROR(INDEX('[AQ_2021.xlsx]原始数据'!$C:$C,MATCH($A247,'[AQ_2021.xlsx]原始数据'!$A:$A,0)),""))</f>
        <v/>
      </c>
      <c r="I247">
        <f>IF($A247="","",IFERROR(INDEX('[AQ_2022.xlsx]原始数据'!$C:$C,MATCH($A247,'[AQ_2022.xlsx]原始数据'!$A:$A,0)),""))</f>
        <v/>
      </c>
      <c r="J247">
        <f>IF($A247="","",IFERROR(INDEX('[AQ_2023.xlsx]原始数据'!$C:$C,MATCH($A247,'[AQ_2023.xlsx]原始数据'!$A:$A,0)),""))</f>
        <v/>
      </c>
      <c r="K247">
        <f>IF($A247="","",IFERROR(INDEX('[AQ_2024.xlsx]原始数据'!$C:$C,MATCH($A247,'[AQ_2024.xlsx]原始数据'!$A:$A,0)),""))</f>
        <v/>
      </c>
      <c r="L247">
        <f>IF($A247="","",IFERROR(INDEX('[AQ_2020.xlsx]原始数据'!$D:$D,MATCH($A247,'[AQ_2020.xlsx]原始数据'!$A:$A,0)),""))</f>
        <v/>
      </c>
      <c r="M247">
        <f>IF($A247="","",IFERROR(INDEX('[AQ_2021.xlsx]原始数据'!$D:$D,MATCH($A247,'[AQ_2021.xlsx]原始数据'!$A:$A,0)),""))</f>
        <v/>
      </c>
      <c r="N247">
        <f>IF($A247="","",IFERROR(INDEX('[AQ_2022.xlsx]原始数据'!$D:$D,MATCH($A247,'[AQ_2022.xlsx]原始数据'!$A:$A,0)),""))</f>
        <v/>
      </c>
      <c r="O247">
        <f>IF($A247="","",IFERROR(INDEX('[AQ_2023.xlsx]原始数据'!$D:$D,MATCH($A247,'[AQ_2023.xlsx]原始数据'!$A:$A,0)),""))</f>
        <v/>
      </c>
      <c r="P247">
        <f>IF($A247="","",IFERROR(INDEX('[AQ_2024.xlsx]原始数据'!$D:$D,MATCH($A247,'[AQ_2024.xlsx]原始数据'!$A:$A,0)),""))</f>
        <v/>
      </c>
      <c r="Q247">
        <f>IF($A247="","",IFERROR(INDEX('[AQ_2020.xlsx]原始数据'!$E:$E,MATCH($A247,'[AQ_2020.xlsx]原始数据'!$A:$A,0)),""))</f>
        <v/>
      </c>
      <c r="R247">
        <f>IF($A247="","",IFERROR(INDEX('[AQ_2021.xlsx]原始数据'!$E:$E,MATCH($A247,'[AQ_2021.xlsx]原始数据'!$A:$A,0)),""))</f>
        <v/>
      </c>
      <c r="S247">
        <f>IF($A247="","",IFERROR(INDEX('[AQ_2022.xlsx]原始数据'!$E:$E,MATCH($A247,'[AQ_2022.xlsx]原始数据'!$A:$A,0)),""))</f>
        <v/>
      </c>
      <c r="T247">
        <f>IF($A247="","",IFERROR(INDEX('[AQ_2023.xlsx]原始数据'!$E:$E,MATCH($A247,'[AQ_2023.xlsx]原始数据'!$A:$A,0)),""))</f>
        <v/>
      </c>
      <c r="U247">
        <f>IF($A247="","",IFERROR(INDEX('[AQ_2024.xlsx]原始数据'!$E:$E,MATCH($A247,'[AQ_2024.xlsx]原始数据'!$A:$A,0)),""))</f>
        <v/>
      </c>
      <c r="V247">
        <f>IF($A247="","",IFERROR(INDEX('[AQ_2020.xlsx]原始数据'!$F:$F,MATCH($A247,'[AQ_2020.xlsx]原始数据'!$A:$A,0)),""))</f>
        <v/>
      </c>
      <c r="W247">
        <f>IF($A247="","",IFERROR(INDEX('[AQ_2021.xlsx]原始数据'!$F:$F,MATCH($A247,'[AQ_2021.xlsx]原始数据'!$A:$A,0)),""))</f>
        <v/>
      </c>
      <c r="X247">
        <f>IF($A247="","",IFERROR(INDEX('[AQ_2022.xlsx]原始数据'!$F:$F,MATCH($A247,'[AQ_2022.xlsx]原始数据'!$A:$A,0)),""))</f>
        <v/>
      </c>
      <c r="Y247">
        <f>IF($A247="","",IFERROR(INDEX('[AQ_2023.xlsx]原始数据'!$F:$F,MATCH($A247,'[AQ_2023.xlsx]原始数据'!$A:$A,0)),""))</f>
        <v/>
      </c>
      <c r="Z247">
        <f>IF($A247="","",IFERROR(INDEX('[AQ_2024.xlsx]原始数据'!$F:$F,MATCH($A247,'[AQ_2024.xlsx]原始数据'!$A:$A,0)),""))</f>
        <v/>
      </c>
      <c r="AA247" s="2">
        <f>IFERROR(G247/B247,"")</f>
        <v/>
      </c>
      <c r="AB247" s="2">
        <f>IFERROR(H247/C247,"")</f>
        <v/>
      </c>
      <c r="AC247" s="2">
        <f>IFERROR(I247/D247,"")</f>
        <v/>
      </c>
      <c r="AD247" s="2">
        <f>IFERROR(J247/E247,"")</f>
        <v/>
      </c>
      <c r="AE247" s="2">
        <f>IFERROR(K247/F247,"")</f>
        <v/>
      </c>
      <c r="AF247" s="2">
        <f>IFERROR(L247/B247,"")</f>
        <v/>
      </c>
      <c r="AG247" s="2">
        <f>IFERROR(M247/C247,"")</f>
        <v/>
      </c>
      <c r="AH247" s="2">
        <f>IFERROR(N247/D247,"")</f>
        <v/>
      </c>
      <c r="AI247" s="2">
        <f>IFERROR(O247/E247,"")</f>
        <v/>
      </c>
      <c r="AJ247" s="2">
        <f>IFERROR(P247/F247,"")</f>
        <v/>
      </c>
      <c r="AK247" s="2">
        <f>IFERROR(Q247/B247,"")</f>
        <v/>
      </c>
      <c r="AL247" s="2">
        <f>IFERROR(R247/C247,"")</f>
        <v/>
      </c>
      <c r="AM247" s="2">
        <f>IFERROR(S247/D247,"")</f>
        <v/>
      </c>
      <c r="AN247" s="2">
        <f>IFERROR(T247/E247,"")</f>
        <v/>
      </c>
      <c r="AO247" s="2">
        <f>IFERROR(U247/F247,"")</f>
        <v/>
      </c>
    </row>
    <row r="248">
      <c r="B248">
        <f>IF($A248="","",IFERROR(INDEX('[AQ_2020.xlsx]原始数据'!$B:$B,MATCH($A248,'[AQ_2020.xlsx]原始数据'!$A:$A,0)),""))</f>
        <v/>
      </c>
      <c r="C248">
        <f>IF($A248="","",IFERROR(INDEX('[AQ_2021.xlsx]原始数据'!$B:$B,MATCH($A248,'[AQ_2021.xlsx]原始数据'!$A:$A,0)),""))</f>
        <v/>
      </c>
      <c r="D248">
        <f>IF($A248="","",IFERROR(INDEX('[AQ_2022.xlsx]原始数据'!$B:$B,MATCH($A248,'[AQ_2022.xlsx]原始数据'!$A:$A,0)),""))</f>
        <v/>
      </c>
      <c r="E248">
        <f>IF($A248="","",IFERROR(INDEX('[AQ_2023.xlsx]原始数据'!$B:$B,MATCH($A248,'[AQ_2023.xlsx]原始数据'!$A:$A,0)),""))</f>
        <v/>
      </c>
      <c r="F248">
        <f>IF($A248="","",IFERROR(INDEX('[AQ_2024.xlsx]原始数据'!$B:$B,MATCH($A248,'[AQ_2024.xlsx]原始数据'!$A:$A,0)),""))</f>
        <v/>
      </c>
      <c r="G248">
        <f>IF($A248="","",IFERROR(INDEX('[AQ_2020.xlsx]原始数据'!$C:$C,MATCH($A248,'[AQ_2020.xlsx]原始数据'!$A:$A,0)),""))</f>
        <v/>
      </c>
      <c r="H248">
        <f>IF($A248="","",IFERROR(INDEX('[AQ_2021.xlsx]原始数据'!$C:$C,MATCH($A248,'[AQ_2021.xlsx]原始数据'!$A:$A,0)),""))</f>
        <v/>
      </c>
      <c r="I248">
        <f>IF($A248="","",IFERROR(INDEX('[AQ_2022.xlsx]原始数据'!$C:$C,MATCH($A248,'[AQ_2022.xlsx]原始数据'!$A:$A,0)),""))</f>
        <v/>
      </c>
      <c r="J248">
        <f>IF($A248="","",IFERROR(INDEX('[AQ_2023.xlsx]原始数据'!$C:$C,MATCH($A248,'[AQ_2023.xlsx]原始数据'!$A:$A,0)),""))</f>
        <v/>
      </c>
      <c r="K248">
        <f>IF($A248="","",IFERROR(INDEX('[AQ_2024.xlsx]原始数据'!$C:$C,MATCH($A248,'[AQ_2024.xlsx]原始数据'!$A:$A,0)),""))</f>
        <v/>
      </c>
      <c r="L248">
        <f>IF($A248="","",IFERROR(INDEX('[AQ_2020.xlsx]原始数据'!$D:$D,MATCH($A248,'[AQ_2020.xlsx]原始数据'!$A:$A,0)),""))</f>
        <v/>
      </c>
      <c r="M248">
        <f>IF($A248="","",IFERROR(INDEX('[AQ_2021.xlsx]原始数据'!$D:$D,MATCH($A248,'[AQ_2021.xlsx]原始数据'!$A:$A,0)),""))</f>
        <v/>
      </c>
      <c r="N248">
        <f>IF($A248="","",IFERROR(INDEX('[AQ_2022.xlsx]原始数据'!$D:$D,MATCH($A248,'[AQ_2022.xlsx]原始数据'!$A:$A,0)),""))</f>
        <v/>
      </c>
      <c r="O248">
        <f>IF($A248="","",IFERROR(INDEX('[AQ_2023.xlsx]原始数据'!$D:$D,MATCH($A248,'[AQ_2023.xlsx]原始数据'!$A:$A,0)),""))</f>
        <v/>
      </c>
      <c r="P248">
        <f>IF($A248="","",IFERROR(INDEX('[AQ_2024.xlsx]原始数据'!$D:$D,MATCH($A248,'[AQ_2024.xlsx]原始数据'!$A:$A,0)),""))</f>
        <v/>
      </c>
      <c r="Q248">
        <f>IF($A248="","",IFERROR(INDEX('[AQ_2020.xlsx]原始数据'!$E:$E,MATCH($A248,'[AQ_2020.xlsx]原始数据'!$A:$A,0)),""))</f>
        <v/>
      </c>
      <c r="R248">
        <f>IF($A248="","",IFERROR(INDEX('[AQ_2021.xlsx]原始数据'!$E:$E,MATCH($A248,'[AQ_2021.xlsx]原始数据'!$A:$A,0)),""))</f>
        <v/>
      </c>
      <c r="S248">
        <f>IF($A248="","",IFERROR(INDEX('[AQ_2022.xlsx]原始数据'!$E:$E,MATCH($A248,'[AQ_2022.xlsx]原始数据'!$A:$A,0)),""))</f>
        <v/>
      </c>
      <c r="T248">
        <f>IF($A248="","",IFERROR(INDEX('[AQ_2023.xlsx]原始数据'!$E:$E,MATCH($A248,'[AQ_2023.xlsx]原始数据'!$A:$A,0)),""))</f>
        <v/>
      </c>
      <c r="U248">
        <f>IF($A248="","",IFERROR(INDEX('[AQ_2024.xlsx]原始数据'!$E:$E,MATCH($A248,'[AQ_2024.xlsx]原始数据'!$A:$A,0)),""))</f>
        <v/>
      </c>
      <c r="V248">
        <f>IF($A248="","",IFERROR(INDEX('[AQ_2020.xlsx]原始数据'!$F:$F,MATCH($A248,'[AQ_2020.xlsx]原始数据'!$A:$A,0)),""))</f>
        <v/>
      </c>
      <c r="W248">
        <f>IF($A248="","",IFERROR(INDEX('[AQ_2021.xlsx]原始数据'!$F:$F,MATCH($A248,'[AQ_2021.xlsx]原始数据'!$A:$A,0)),""))</f>
        <v/>
      </c>
      <c r="X248">
        <f>IF($A248="","",IFERROR(INDEX('[AQ_2022.xlsx]原始数据'!$F:$F,MATCH($A248,'[AQ_2022.xlsx]原始数据'!$A:$A,0)),""))</f>
        <v/>
      </c>
      <c r="Y248">
        <f>IF($A248="","",IFERROR(INDEX('[AQ_2023.xlsx]原始数据'!$F:$F,MATCH($A248,'[AQ_2023.xlsx]原始数据'!$A:$A,0)),""))</f>
        <v/>
      </c>
      <c r="Z248">
        <f>IF($A248="","",IFERROR(INDEX('[AQ_2024.xlsx]原始数据'!$F:$F,MATCH($A248,'[AQ_2024.xlsx]原始数据'!$A:$A,0)),""))</f>
        <v/>
      </c>
      <c r="AA248" s="2">
        <f>IFERROR(G248/B248,"")</f>
        <v/>
      </c>
      <c r="AB248" s="2">
        <f>IFERROR(H248/C248,"")</f>
        <v/>
      </c>
      <c r="AC248" s="2">
        <f>IFERROR(I248/D248,"")</f>
        <v/>
      </c>
      <c r="AD248" s="2">
        <f>IFERROR(J248/E248,"")</f>
        <v/>
      </c>
      <c r="AE248" s="2">
        <f>IFERROR(K248/F248,"")</f>
        <v/>
      </c>
      <c r="AF248" s="2">
        <f>IFERROR(L248/B248,"")</f>
        <v/>
      </c>
      <c r="AG248" s="2">
        <f>IFERROR(M248/C248,"")</f>
        <v/>
      </c>
      <c r="AH248" s="2">
        <f>IFERROR(N248/D248,"")</f>
        <v/>
      </c>
      <c r="AI248" s="2">
        <f>IFERROR(O248/E248,"")</f>
        <v/>
      </c>
      <c r="AJ248" s="2">
        <f>IFERROR(P248/F248,"")</f>
        <v/>
      </c>
      <c r="AK248" s="2">
        <f>IFERROR(Q248/B248,"")</f>
        <v/>
      </c>
      <c r="AL248" s="2">
        <f>IFERROR(R248/C248,"")</f>
        <v/>
      </c>
      <c r="AM248" s="2">
        <f>IFERROR(S248/D248,"")</f>
        <v/>
      </c>
      <c r="AN248" s="2">
        <f>IFERROR(T248/E248,"")</f>
        <v/>
      </c>
      <c r="AO248" s="2">
        <f>IFERROR(U248/F248,"")</f>
        <v/>
      </c>
    </row>
    <row r="249">
      <c r="B249">
        <f>IF($A249="","",IFERROR(INDEX('[AQ_2020.xlsx]原始数据'!$B:$B,MATCH($A249,'[AQ_2020.xlsx]原始数据'!$A:$A,0)),""))</f>
        <v/>
      </c>
      <c r="C249">
        <f>IF($A249="","",IFERROR(INDEX('[AQ_2021.xlsx]原始数据'!$B:$B,MATCH($A249,'[AQ_2021.xlsx]原始数据'!$A:$A,0)),""))</f>
        <v/>
      </c>
      <c r="D249">
        <f>IF($A249="","",IFERROR(INDEX('[AQ_2022.xlsx]原始数据'!$B:$B,MATCH($A249,'[AQ_2022.xlsx]原始数据'!$A:$A,0)),""))</f>
        <v/>
      </c>
      <c r="E249">
        <f>IF($A249="","",IFERROR(INDEX('[AQ_2023.xlsx]原始数据'!$B:$B,MATCH($A249,'[AQ_2023.xlsx]原始数据'!$A:$A,0)),""))</f>
        <v/>
      </c>
      <c r="F249">
        <f>IF($A249="","",IFERROR(INDEX('[AQ_2024.xlsx]原始数据'!$B:$B,MATCH($A249,'[AQ_2024.xlsx]原始数据'!$A:$A,0)),""))</f>
        <v/>
      </c>
      <c r="G249">
        <f>IF($A249="","",IFERROR(INDEX('[AQ_2020.xlsx]原始数据'!$C:$C,MATCH($A249,'[AQ_2020.xlsx]原始数据'!$A:$A,0)),""))</f>
        <v/>
      </c>
      <c r="H249">
        <f>IF($A249="","",IFERROR(INDEX('[AQ_2021.xlsx]原始数据'!$C:$C,MATCH($A249,'[AQ_2021.xlsx]原始数据'!$A:$A,0)),""))</f>
        <v/>
      </c>
      <c r="I249">
        <f>IF($A249="","",IFERROR(INDEX('[AQ_2022.xlsx]原始数据'!$C:$C,MATCH($A249,'[AQ_2022.xlsx]原始数据'!$A:$A,0)),""))</f>
        <v/>
      </c>
      <c r="J249">
        <f>IF($A249="","",IFERROR(INDEX('[AQ_2023.xlsx]原始数据'!$C:$C,MATCH($A249,'[AQ_2023.xlsx]原始数据'!$A:$A,0)),""))</f>
        <v/>
      </c>
      <c r="K249">
        <f>IF($A249="","",IFERROR(INDEX('[AQ_2024.xlsx]原始数据'!$C:$C,MATCH($A249,'[AQ_2024.xlsx]原始数据'!$A:$A,0)),""))</f>
        <v/>
      </c>
      <c r="L249">
        <f>IF($A249="","",IFERROR(INDEX('[AQ_2020.xlsx]原始数据'!$D:$D,MATCH($A249,'[AQ_2020.xlsx]原始数据'!$A:$A,0)),""))</f>
        <v/>
      </c>
      <c r="M249">
        <f>IF($A249="","",IFERROR(INDEX('[AQ_2021.xlsx]原始数据'!$D:$D,MATCH($A249,'[AQ_2021.xlsx]原始数据'!$A:$A,0)),""))</f>
        <v/>
      </c>
      <c r="N249">
        <f>IF($A249="","",IFERROR(INDEX('[AQ_2022.xlsx]原始数据'!$D:$D,MATCH($A249,'[AQ_2022.xlsx]原始数据'!$A:$A,0)),""))</f>
        <v/>
      </c>
      <c r="O249">
        <f>IF($A249="","",IFERROR(INDEX('[AQ_2023.xlsx]原始数据'!$D:$D,MATCH($A249,'[AQ_2023.xlsx]原始数据'!$A:$A,0)),""))</f>
        <v/>
      </c>
      <c r="P249">
        <f>IF($A249="","",IFERROR(INDEX('[AQ_2024.xlsx]原始数据'!$D:$D,MATCH($A249,'[AQ_2024.xlsx]原始数据'!$A:$A,0)),""))</f>
        <v/>
      </c>
      <c r="Q249">
        <f>IF($A249="","",IFERROR(INDEX('[AQ_2020.xlsx]原始数据'!$E:$E,MATCH($A249,'[AQ_2020.xlsx]原始数据'!$A:$A,0)),""))</f>
        <v/>
      </c>
      <c r="R249">
        <f>IF($A249="","",IFERROR(INDEX('[AQ_2021.xlsx]原始数据'!$E:$E,MATCH($A249,'[AQ_2021.xlsx]原始数据'!$A:$A,0)),""))</f>
        <v/>
      </c>
      <c r="S249">
        <f>IF($A249="","",IFERROR(INDEX('[AQ_2022.xlsx]原始数据'!$E:$E,MATCH($A249,'[AQ_2022.xlsx]原始数据'!$A:$A,0)),""))</f>
        <v/>
      </c>
      <c r="T249">
        <f>IF($A249="","",IFERROR(INDEX('[AQ_2023.xlsx]原始数据'!$E:$E,MATCH($A249,'[AQ_2023.xlsx]原始数据'!$A:$A,0)),""))</f>
        <v/>
      </c>
      <c r="U249">
        <f>IF($A249="","",IFERROR(INDEX('[AQ_2024.xlsx]原始数据'!$E:$E,MATCH($A249,'[AQ_2024.xlsx]原始数据'!$A:$A,0)),""))</f>
        <v/>
      </c>
      <c r="V249">
        <f>IF($A249="","",IFERROR(INDEX('[AQ_2020.xlsx]原始数据'!$F:$F,MATCH($A249,'[AQ_2020.xlsx]原始数据'!$A:$A,0)),""))</f>
        <v/>
      </c>
      <c r="W249">
        <f>IF($A249="","",IFERROR(INDEX('[AQ_2021.xlsx]原始数据'!$F:$F,MATCH($A249,'[AQ_2021.xlsx]原始数据'!$A:$A,0)),""))</f>
        <v/>
      </c>
      <c r="X249">
        <f>IF($A249="","",IFERROR(INDEX('[AQ_2022.xlsx]原始数据'!$F:$F,MATCH($A249,'[AQ_2022.xlsx]原始数据'!$A:$A,0)),""))</f>
        <v/>
      </c>
      <c r="Y249">
        <f>IF($A249="","",IFERROR(INDEX('[AQ_2023.xlsx]原始数据'!$F:$F,MATCH($A249,'[AQ_2023.xlsx]原始数据'!$A:$A,0)),""))</f>
        <v/>
      </c>
      <c r="Z249">
        <f>IF($A249="","",IFERROR(INDEX('[AQ_2024.xlsx]原始数据'!$F:$F,MATCH($A249,'[AQ_2024.xlsx]原始数据'!$A:$A,0)),""))</f>
        <v/>
      </c>
      <c r="AA249" s="2">
        <f>IFERROR(G249/B249,"")</f>
        <v/>
      </c>
      <c r="AB249" s="2">
        <f>IFERROR(H249/C249,"")</f>
        <v/>
      </c>
      <c r="AC249" s="2">
        <f>IFERROR(I249/D249,"")</f>
        <v/>
      </c>
      <c r="AD249" s="2">
        <f>IFERROR(J249/E249,"")</f>
        <v/>
      </c>
      <c r="AE249" s="2">
        <f>IFERROR(K249/F249,"")</f>
        <v/>
      </c>
      <c r="AF249" s="2">
        <f>IFERROR(L249/B249,"")</f>
        <v/>
      </c>
      <c r="AG249" s="2">
        <f>IFERROR(M249/C249,"")</f>
        <v/>
      </c>
      <c r="AH249" s="2">
        <f>IFERROR(N249/D249,"")</f>
        <v/>
      </c>
      <c r="AI249" s="2">
        <f>IFERROR(O249/E249,"")</f>
        <v/>
      </c>
      <c r="AJ249" s="2">
        <f>IFERROR(P249/F249,"")</f>
        <v/>
      </c>
      <c r="AK249" s="2">
        <f>IFERROR(Q249/B249,"")</f>
        <v/>
      </c>
      <c r="AL249" s="2">
        <f>IFERROR(R249/C249,"")</f>
        <v/>
      </c>
      <c r="AM249" s="2">
        <f>IFERROR(S249/D249,"")</f>
        <v/>
      </c>
      <c r="AN249" s="2">
        <f>IFERROR(T249/E249,"")</f>
        <v/>
      </c>
      <c r="AO249" s="2">
        <f>IFERROR(U249/F249,"")</f>
        <v/>
      </c>
    </row>
    <row r="250">
      <c r="B250">
        <f>IF($A250="","",IFERROR(INDEX('[AQ_2020.xlsx]原始数据'!$B:$B,MATCH($A250,'[AQ_2020.xlsx]原始数据'!$A:$A,0)),""))</f>
        <v/>
      </c>
      <c r="C250">
        <f>IF($A250="","",IFERROR(INDEX('[AQ_2021.xlsx]原始数据'!$B:$B,MATCH($A250,'[AQ_2021.xlsx]原始数据'!$A:$A,0)),""))</f>
        <v/>
      </c>
      <c r="D250">
        <f>IF($A250="","",IFERROR(INDEX('[AQ_2022.xlsx]原始数据'!$B:$B,MATCH($A250,'[AQ_2022.xlsx]原始数据'!$A:$A,0)),""))</f>
        <v/>
      </c>
      <c r="E250">
        <f>IF($A250="","",IFERROR(INDEX('[AQ_2023.xlsx]原始数据'!$B:$B,MATCH($A250,'[AQ_2023.xlsx]原始数据'!$A:$A,0)),""))</f>
        <v/>
      </c>
      <c r="F250">
        <f>IF($A250="","",IFERROR(INDEX('[AQ_2024.xlsx]原始数据'!$B:$B,MATCH($A250,'[AQ_2024.xlsx]原始数据'!$A:$A,0)),""))</f>
        <v/>
      </c>
      <c r="G250">
        <f>IF($A250="","",IFERROR(INDEX('[AQ_2020.xlsx]原始数据'!$C:$C,MATCH($A250,'[AQ_2020.xlsx]原始数据'!$A:$A,0)),""))</f>
        <v/>
      </c>
      <c r="H250">
        <f>IF($A250="","",IFERROR(INDEX('[AQ_2021.xlsx]原始数据'!$C:$C,MATCH($A250,'[AQ_2021.xlsx]原始数据'!$A:$A,0)),""))</f>
        <v/>
      </c>
      <c r="I250">
        <f>IF($A250="","",IFERROR(INDEX('[AQ_2022.xlsx]原始数据'!$C:$C,MATCH($A250,'[AQ_2022.xlsx]原始数据'!$A:$A,0)),""))</f>
        <v/>
      </c>
      <c r="J250">
        <f>IF($A250="","",IFERROR(INDEX('[AQ_2023.xlsx]原始数据'!$C:$C,MATCH($A250,'[AQ_2023.xlsx]原始数据'!$A:$A,0)),""))</f>
        <v/>
      </c>
      <c r="K250">
        <f>IF($A250="","",IFERROR(INDEX('[AQ_2024.xlsx]原始数据'!$C:$C,MATCH($A250,'[AQ_2024.xlsx]原始数据'!$A:$A,0)),""))</f>
        <v/>
      </c>
      <c r="L250">
        <f>IF($A250="","",IFERROR(INDEX('[AQ_2020.xlsx]原始数据'!$D:$D,MATCH($A250,'[AQ_2020.xlsx]原始数据'!$A:$A,0)),""))</f>
        <v/>
      </c>
      <c r="M250">
        <f>IF($A250="","",IFERROR(INDEX('[AQ_2021.xlsx]原始数据'!$D:$D,MATCH($A250,'[AQ_2021.xlsx]原始数据'!$A:$A,0)),""))</f>
        <v/>
      </c>
      <c r="N250">
        <f>IF($A250="","",IFERROR(INDEX('[AQ_2022.xlsx]原始数据'!$D:$D,MATCH($A250,'[AQ_2022.xlsx]原始数据'!$A:$A,0)),""))</f>
        <v/>
      </c>
      <c r="O250">
        <f>IF($A250="","",IFERROR(INDEX('[AQ_2023.xlsx]原始数据'!$D:$D,MATCH($A250,'[AQ_2023.xlsx]原始数据'!$A:$A,0)),""))</f>
        <v/>
      </c>
      <c r="P250">
        <f>IF($A250="","",IFERROR(INDEX('[AQ_2024.xlsx]原始数据'!$D:$D,MATCH($A250,'[AQ_2024.xlsx]原始数据'!$A:$A,0)),""))</f>
        <v/>
      </c>
      <c r="Q250">
        <f>IF($A250="","",IFERROR(INDEX('[AQ_2020.xlsx]原始数据'!$E:$E,MATCH($A250,'[AQ_2020.xlsx]原始数据'!$A:$A,0)),""))</f>
        <v/>
      </c>
      <c r="R250">
        <f>IF($A250="","",IFERROR(INDEX('[AQ_2021.xlsx]原始数据'!$E:$E,MATCH($A250,'[AQ_2021.xlsx]原始数据'!$A:$A,0)),""))</f>
        <v/>
      </c>
      <c r="S250">
        <f>IF($A250="","",IFERROR(INDEX('[AQ_2022.xlsx]原始数据'!$E:$E,MATCH($A250,'[AQ_2022.xlsx]原始数据'!$A:$A,0)),""))</f>
        <v/>
      </c>
      <c r="T250">
        <f>IF($A250="","",IFERROR(INDEX('[AQ_2023.xlsx]原始数据'!$E:$E,MATCH($A250,'[AQ_2023.xlsx]原始数据'!$A:$A,0)),""))</f>
        <v/>
      </c>
      <c r="U250">
        <f>IF($A250="","",IFERROR(INDEX('[AQ_2024.xlsx]原始数据'!$E:$E,MATCH($A250,'[AQ_2024.xlsx]原始数据'!$A:$A,0)),""))</f>
        <v/>
      </c>
      <c r="V250">
        <f>IF($A250="","",IFERROR(INDEX('[AQ_2020.xlsx]原始数据'!$F:$F,MATCH($A250,'[AQ_2020.xlsx]原始数据'!$A:$A,0)),""))</f>
        <v/>
      </c>
      <c r="W250">
        <f>IF($A250="","",IFERROR(INDEX('[AQ_2021.xlsx]原始数据'!$F:$F,MATCH($A250,'[AQ_2021.xlsx]原始数据'!$A:$A,0)),""))</f>
        <v/>
      </c>
      <c r="X250">
        <f>IF($A250="","",IFERROR(INDEX('[AQ_2022.xlsx]原始数据'!$F:$F,MATCH($A250,'[AQ_2022.xlsx]原始数据'!$A:$A,0)),""))</f>
        <v/>
      </c>
      <c r="Y250">
        <f>IF($A250="","",IFERROR(INDEX('[AQ_2023.xlsx]原始数据'!$F:$F,MATCH($A250,'[AQ_2023.xlsx]原始数据'!$A:$A,0)),""))</f>
        <v/>
      </c>
      <c r="Z250">
        <f>IF($A250="","",IFERROR(INDEX('[AQ_2024.xlsx]原始数据'!$F:$F,MATCH($A250,'[AQ_2024.xlsx]原始数据'!$A:$A,0)),""))</f>
        <v/>
      </c>
      <c r="AA250" s="2">
        <f>IFERROR(G250/B250,"")</f>
        <v/>
      </c>
      <c r="AB250" s="2">
        <f>IFERROR(H250/C250,"")</f>
        <v/>
      </c>
      <c r="AC250" s="2">
        <f>IFERROR(I250/D250,"")</f>
        <v/>
      </c>
      <c r="AD250" s="2">
        <f>IFERROR(J250/E250,"")</f>
        <v/>
      </c>
      <c r="AE250" s="2">
        <f>IFERROR(K250/F250,"")</f>
        <v/>
      </c>
      <c r="AF250" s="2">
        <f>IFERROR(L250/B250,"")</f>
        <v/>
      </c>
      <c r="AG250" s="2">
        <f>IFERROR(M250/C250,"")</f>
        <v/>
      </c>
      <c r="AH250" s="2">
        <f>IFERROR(N250/D250,"")</f>
        <v/>
      </c>
      <c r="AI250" s="2">
        <f>IFERROR(O250/E250,"")</f>
        <v/>
      </c>
      <c r="AJ250" s="2">
        <f>IFERROR(P250/F250,"")</f>
        <v/>
      </c>
      <c r="AK250" s="2">
        <f>IFERROR(Q250/B250,"")</f>
        <v/>
      </c>
      <c r="AL250" s="2">
        <f>IFERROR(R250/C250,"")</f>
        <v/>
      </c>
      <c r="AM250" s="2">
        <f>IFERROR(S250/D250,"")</f>
        <v/>
      </c>
      <c r="AN250" s="2">
        <f>IFERROR(T250/E250,"")</f>
        <v/>
      </c>
      <c r="AO250" s="2">
        <f>IFERROR(U250/F250,"")</f>
        <v/>
      </c>
    </row>
    <row r="251">
      <c r="B251">
        <f>IF($A251="","",IFERROR(INDEX('[AQ_2020.xlsx]原始数据'!$B:$B,MATCH($A251,'[AQ_2020.xlsx]原始数据'!$A:$A,0)),""))</f>
        <v/>
      </c>
      <c r="C251">
        <f>IF($A251="","",IFERROR(INDEX('[AQ_2021.xlsx]原始数据'!$B:$B,MATCH($A251,'[AQ_2021.xlsx]原始数据'!$A:$A,0)),""))</f>
        <v/>
      </c>
      <c r="D251">
        <f>IF($A251="","",IFERROR(INDEX('[AQ_2022.xlsx]原始数据'!$B:$B,MATCH($A251,'[AQ_2022.xlsx]原始数据'!$A:$A,0)),""))</f>
        <v/>
      </c>
      <c r="E251">
        <f>IF($A251="","",IFERROR(INDEX('[AQ_2023.xlsx]原始数据'!$B:$B,MATCH($A251,'[AQ_2023.xlsx]原始数据'!$A:$A,0)),""))</f>
        <v/>
      </c>
      <c r="F251">
        <f>IF($A251="","",IFERROR(INDEX('[AQ_2024.xlsx]原始数据'!$B:$B,MATCH($A251,'[AQ_2024.xlsx]原始数据'!$A:$A,0)),""))</f>
        <v/>
      </c>
      <c r="G251">
        <f>IF($A251="","",IFERROR(INDEX('[AQ_2020.xlsx]原始数据'!$C:$C,MATCH($A251,'[AQ_2020.xlsx]原始数据'!$A:$A,0)),""))</f>
        <v/>
      </c>
      <c r="H251">
        <f>IF($A251="","",IFERROR(INDEX('[AQ_2021.xlsx]原始数据'!$C:$C,MATCH($A251,'[AQ_2021.xlsx]原始数据'!$A:$A,0)),""))</f>
        <v/>
      </c>
      <c r="I251">
        <f>IF($A251="","",IFERROR(INDEX('[AQ_2022.xlsx]原始数据'!$C:$C,MATCH($A251,'[AQ_2022.xlsx]原始数据'!$A:$A,0)),""))</f>
        <v/>
      </c>
      <c r="J251">
        <f>IF($A251="","",IFERROR(INDEX('[AQ_2023.xlsx]原始数据'!$C:$C,MATCH($A251,'[AQ_2023.xlsx]原始数据'!$A:$A,0)),""))</f>
        <v/>
      </c>
      <c r="K251">
        <f>IF($A251="","",IFERROR(INDEX('[AQ_2024.xlsx]原始数据'!$C:$C,MATCH($A251,'[AQ_2024.xlsx]原始数据'!$A:$A,0)),""))</f>
        <v/>
      </c>
      <c r="L251">
        <f>IF($A251="","",IFERROR(INDEX('[AQ_2020.xlsx]原始数据'!$D:$D,MATCH($A251,'[AQ_2020.xlsx]原始数据'!$A:$A,0)),""))</f>
        <v/>
      </c>
      <c r="M251">
        <f>IF($A251="","",IFERROR(INDEX('[AQ_2021.xlsx]原始数据'!$D:$D,MATCH($A251,'[AQ_2021.xlsx]原始数据'!$A:$A,0)),""))</f>
        <v/>
      </c>
      <c r="N251">
        <f>IF($A251="","",IFERROR(INDEX('[AQ_2022.xlsx]原始数据'!$D:$D,MATCH($A251,'[AQ_2022.xlsx]原始数据'!$A:$A,0)),""))</f>
        <v/>
      </c>
      <c r="O251">
        <f>IF($A251="","",IFERROR(INDEX('[AQ_2023.xlsx]原始数据'!$D:$D,MATCH($A251,'[AQ_2023.xlsx]原始数据'!$A:$A,0)),""))</f>
        <v/>
      </c>
      <c r="P251">
        <f>IF($A251="","",IFERROR(INDEX('[AQ_2024.xlsx]原始数据'!$D:$D,MATCH($A251,'[AQ_2024.xlsx]原始数据'!$A:$A,0)),""))</f>
        <v/>
      </c>
      <c r="Q251">
        <f>IF($A251="","",IFERROR(INDEX('[AQ_2020.xlsx]原始数据'!$E:$E,MATCH($A251,'[AQ_2020.xlsx]原始数据'!$A:$A,0)),""))</f>
        <v/>
      </c>
      <c r="R251">
        <f>IF($A251="","",IFERROR(INDEX('[AQ_2021.xlsx]原始数据'!$E:$E,MATCH($A251,'[AQ_2021.xlsx]原始数据'!$A:$A,0)),""))</f>
        <v/>
      </c>
      <c r="S251">
        <f>IF($A251="","",IFERROR(INDEX('[AQ_2022.xlsx]原始数据'!$E:$E,MATCH($A251,'[AQ_2022.xlsx]原始数据'!$A:$A,0)),""))</f>
        <v/>
      </c>
      <c r="T251">
        <f>IF($A251="","",IFERROR(INDEX('[AQ_2023.xlsx]原始数据'!$E:$E,MATCH($A251,'[AQ_2023.xlsx]原始数据'!$A:$A,0)),""))</f>
        <v/>
      </c>
      <c r="U251">
        <f>IF($A251="","",IFERROR(INDEX('[AQ_2024.xlsx]原始数据'!$E:$E,MATCH($A251,'[AQ_2024.xlsx]原始数据'!$A:$A,0)),""))</f>
        <v/>
      </c>
      <c r="V251">
        <f>IF($A251="","",IFERROR(INDEX('[AQ_2020.xlsx]原始数据'!$F:$F,MATCH($A251,'[AQ_2020.xlsx]原始数据'!$A:$A,0)),""))</f>
        <v/>
      </c>
      <c r="W251">
        <f>IF($A251="","",IFERROR(INDEX('[AQ_2021.xlsx]原始数据'!$F:$F,MATCH($A251,'[AQ_2021.xlsx]原始数据'!$A:$A,0)),""))</f>
        <v/>
      </c>
      <c r="X251">
        <f>IF($A251="","",IFERROR(INDEX('[AQ_2022.xlsx]原始数据'!$F:$F,MATCH($A251,'[AQ_2022.xlsx]原始数据'!$A:$A,0)),""))</f>
        <v/>
      </c>
      <c r="Y251">
        <f>IF($A251="","",IFERROR(INDEX('[AQ_2023.xlsx]原始数据'!$F:$F,MATCH($A251,'[AQ_2023.xlsx]原始数据'!$A:$A,0)),""))</f>
        <v/>
      </c>
      <c r="Z251">
        <f>IF($A251="","",IFERROR(INDEX('[AQ_2024.xlsx]原始数据'!$F:$F,MATCH($A251,'[AQ_2024.xlsx]原始数据'!$A:$A,0)),""))</f>
        <v/>
      </c>
      <c r="AA251" s="2">
        <f>IFERROR(G251/B251,"")</f>
        <v/>
      </c>
      <c r="AB251" s="2">
        <f>IFERROR(H251/C251,"")</f>
        <v/>
      </c>
      <c r="AC251" s="2">
        <f>IFERROR(I251/D251,"")</f>
        <v/>
      </c>
      <c r="AD251" s="2">
        <f>IFERROR(J251/E251,"")</f>
        <v/>
      </c>
      <c r="AE251" s="2">
        <f>IFERROR(K251/F251,"")</f>
        <v/>
      </c>
      <c r="AF251" s="2">
        <f>IFERROR(L251/B251,"")</f>
        <v/>
      </c>
      <c r="AG251" s="2">
        <f>IFERROR(M251/C251,"")</f>
        <v/>
      </c>
      <c r="AH251" s="2">
        <f>IFERROR(N251/D251,"")</f>
        <v/>
      </c>
      <c r="AI251" s="2">
        <f>IFERROR(O251/E251,"")</f>
        <v/>
      </c>
      <c r="AJ251" s="2">
        <f>IFERROR(P251/F251,"")</f>
        <v/>
      </c>
      <c r="AK251" s="2">
        <f>IFERROR(Q251/B251,"")</f>
        <v/>
      </c>
      <c r="AL251" s="2">
        <f>IFERROR(R251/C251,"")</f>
        <v/>
      </c>
      <c r="AM251" s="2">
        <f>IFERROR(S251/D251,"")</f>
        <v/>
      </c>
      <c r="AN251" s="2">
        <f>IFERROR(T251/E251,"")</f>
        <v/>
      </c>
      <c r="AO251" s="2">
        <f>IFERROR(U251/F251,"")</f>
        <v/>
      </c>
    </row>
    <row r="252">
      <c r="B252">
        <f>IF($A252="","",IFERROR(INDEX('[AQ_2020.xlsx]原始数据'!$B:$B,MATCH($A252,'[AQ_2020.xlsx]原始数据'!$A:$A,0)),""))</f>
        <v/>
      </c>
      <c r="C252">
        <f>IF($A252="","",IFERROR(INDEX('[AQ_2021.xlsx]原始数据'!$B:$B,MATCH($A252,'[AQ_2021.xlsx]原始数据'!$A:$A,0)),""))</f>
        <v/>
      </c>
      <c r="D252">
        <f>IF($A252="","",IFERROR(INDEX('[AQ_2022.xlsx]原始数据'!$B:$B,MATCH($A252,'[AQ_2022.xlsx]原始数据'!$A:$A,0)),""))</f>
        <v/>
      </c>
      <c r="E252">
        <f>IF($A252="","",IFERROR(INDEX('[AQ_2023.xlsx]原始数据'!$B:$B,MATCH($A252,'[AQ_2023.xlsx]原始数据'!$A:$A,0)),""))</f>
        <v/>
      </c>
      <c r="F252">
        <f>IF($A252="","",IFERROR(INDEX('[AQ_2024.xlsx]原始数据'!$B:$B,MATCH($A252,'[AQ_2024.xlsx]原始数据'!$A:$A,0)),""))</f>
        <v/>
      </c>
      <c r="G252">
        <f>IF($A252="","",IFERROR(INDEX('[AQ_2020.xlsx]原始数据'!$C:$C,MATCH($A252,'[AQ_2020.xlsx]原始数据'!$A:$A,0)),""))</f>
        <v/>
      </c>
      <c r="H252">
        <f>IF($A252="","",IFERROR(INDEX('[AQ_2021.xlsx]原始数据'!$C:$C,MATCH($A252,'[AQ_2021.xlsx]原始数据'!$A:$A,0)),""))</f>
        <v/>
      </c>
      <c r="I252">
        <f>IF($A252="","",IFERROR(INDEX('[AQ_2022.xlsx]原始数据'!$C:$C,MATCH($A252,'[AQ_2022.xlsx]原始数据'!$A:$A,0)),""))</f>
        <v/>
      </c>
      <c r="J252">
        <f>IF($A252="","",IFERROR(INDEX('[AQ_2023.xlsx]原始数据'!$C:$C,MATCH($A252,'[AQ_2023.xlsx]原始数据'!$A:$A,0)),""))</f>
        <v/>
      </c>
      <c r="K252">
        <f>IF($A252="","",IFERROR(INDEX('[AQ_2024.xlsx]原始数据'!$C:$C,MATCH($A252,'[AQ_2024.xlsx]原始数据'!$A:$A,0)),""))</f>
        <v/>
      </c>
      <c r="L252">
        <f>IF($A252="","",IFERROR(INDEX('[AQ_2020.xlsx]原始数据'!$D:$D,MATCH($A252,'[AQ_2020.xlsx]原始数据'!$A:$A,0)),""))</f>
        <v/>
      </c>
      <c r="M252">
        <f>IF($A252="","",IFERROR(INDEX('[AQ_2021.xlsx]原始数据'!$D:$D,MATCH($A252,'[AQ_2021.xlsx]原始数据'!$A:$A,0)),""))</f>
        <v/>
      </c>
      <c r="N252">
        <f>IF($A252="","",IFERROR(INDEX('[AQ_2022.xlsx]原始数据'!$D:$D,MATCH($A252,'[AQ_2022.xlsx]原始数据'!$A:$A,0)),""))</f>
        <v/>
      </c>
      <c r="O252">
        <f>IF($A252="","",IFERROR(INDEX('[AQ_2023.xlsx]原始数据'!$D:$D,MATCH($A252,'[AQ_2023.xlsx]原始数据'!$A:$A,0)),""))</f>
        <v/>
      </c>
      <c r="P252">
        <f>IF($A252="","",IFERROR(INDEX('[AQ_2024.xlsx]原始数据'!$D:$D,MATCH($A252,'[AQ_2024.xlsx]原始数据'!$A:$A,0)),""))</f>
        <v/>
      </c>
      <c r="Q252">
        <f>IF($A252="","",IFERROR(INDEX('[AQ_2020.xlsx]原始数据'!$E:$E,MATCH($A252,'[AQ_2020.xlsx]原始数据'!$A:$A,0)),""))</f>
        <v/>
      </c>
      <c r="R252">
        <f>IF($A252="","",IFERROR(INDEX('[AQ_2021.xlsx]原始数据'!$E:$E,MATCH($A252,'[AQ_2021.xlsx]原始数据'!$A:$A,0)),""))</f>
        <v/>
      </c>
      <c r="S252">
        <f>IF($A252="","",IFERROR(INDEX('[AQ_2022.xlsx]原始数据'!$E:$E,MATCH($A252,'[AQ_2022.xlsx]原始数据'!$A:$A,0)),""))</f>
        <v/>
      </c>
      <c r="T252">
        <f>IF($A252="","",IFERROR(INDEX('[AQ_2023.xlsx]原始数据'!$E:$E,MATCH($A252,'[AQ_2023.xlsx]原始数据'!$A:$A,0)),""))</f>
        <v/>
      </c>
      <c r="U252">
        <f>IF($A252="","",IFERROR(INDEX('[AQ_2024.xlsx]原始数据'!$E:$E,MATCH($A252,'[AQ_2024.xlsx]原始数据'!$A:$A,0)),""))</f>
        <v/>
      </c>
      <c r="V252">
        <f>IF($A252="","",IFERROR(INDEX('[AQ_2020.xlsx]原始数据'!$F:$F,MATCH($A252,'[AQ_2020.xlsx]原始数据'!$A:$A,0)),""))</f>
        <v/>
      </c>
      <c r="W252">
        <f>IF($A252="","",IFERROR(INDEX('[AQ_2021.xlsx]原始数据'!$F:$F,MATCH($A252,'[AQ_2021.xlsx]原始数据'!$A:$A,0)),""))</f>
        <v/>
      </c>
      <c r="X252">
        <f>IF($A252="","",IFERROR(INDEX('[AQ_2022.xlsx]原始数据'!$F:$F,MATCH($A252,'[AQ_2022.xlsx]原始数据'!$A:$A,0)),""))</f>
        <v/>
      </c>
      <c r="Y252">
        <f>IF($A252="","",IFERROR(INDEX('[AQ_2023.xlsx]原始数据'!$F:$F,MATCH($A252,'[AQ_2023.xlsx]原始数据'!$A:$A,0)),""))</f>
        <v/>
      </c>
      <c r="Z252">
        <f>IF($A252="","",IFERROR(INDEX('[AQ_2024.xlsx]原始数据'!$F:$F,MATCH($A252,'[AQ_2024.xlsx]原始数据'!$A:$A,0)),""))</f>
        <v/>
      </c>
      <c r="AA252" s="2">
        <f>IFERROR(G252/B252,"")</f>
        <v/>
      </c>
      <c r="AB252" s="2">
        <f>IFERROR(H252/C252,"")</f>
        <v/>
      </c>
      <c r="AC252" s="2">
        <f>IFERROR(I252/D252,"")</f>
        <v/>
      </c>
      <c r="AD252" s="2">
        <f>IFERROR(J252/E252,"")</f>
        <v/>
      </c>
      <c r="AE252" s="2">
        <f>IFERROR(K252/F252,"")</f>
        <v/>
      </c>
      <c r="AF252" s="2">
        <f>IFERROR(L252/B252,"")</f>
        <v/>
      </c>
      <c r="AG252" s="2">
        <f>IFERROR(M252/C252,"")</f>
        <v/>
      </c>
      <c r="AH252" s="2">
        <f>IFERROR(N252/D252,"")</f>
        <v/>
      </c>
      <c r="AI252" s="2">
        <f>IFERROR(O252/E252,"")</f>
        <v/>
      </c>
      <c r="AJ252" s="2">
        <f>IFERROR(P252/F252,"")</f>
        <v/>
      </c>
      <c r="AK252" s="2">
        <f>IFERROR(Q252/B252,"")</f>
        <v/>
      </c>
      <c r="AL252" s="2">
        <f>IFERROR(R252/C252,"")</f>
        <v/>
      </c>
      <c r="AM252" s="2">
        <f>IFERROR(S252/D252,"")</f>
        <v/>
      </c>
      <c r="AN252" s="2">
        <f>IFERROR(T252/E252,"")</f>
        <v/>
      </c>
      <c r="AO252" s="2">
        <f>IFERROR(U252/F252,"")</f>
        <v/>
      </c>
    </row>
    <row r="253">
      <c r="B253">
        <f>IF($A253="","",IFERROR(INDEX('[AQ_2020.xlsx]原始数据'!$B:$B,MATCH($A253,'[AQ_2020.xlsx]原始数据'!$A:$A,0)),""))</f>
        <v/>
      </c>
      <c r="C253">
        <f>IF($A253="","",IFERROR(INDEX('[AQ_2021.xlsx]原始数据'!$B:$B,MATCH($A253,'[AQ_2021.xlsx]原始数据'!$A:$A,0)),""))</f>
        <v/>
      </c>
      <c r="D253">
        <f>IF($A253="","",IFERROR(INDEX('[AQ_2022.xlsx]原始数据'!$B:$B,MATCH($A253,'[AQ_2022.xlsx]原始数据'!$A:$A,0)),""))</f>
        <v/>
      </c>
      <c r="E253">
        <f>IF($A253="","",IFERROR(INDEX('[AQ_2023.xlsx]原始数据'!$B:$B,MATCH($A253,'[AQ_2023.xlsx]原始数据'!$A:$A,0)),""))</f>
        <v/>
      </c>
      <c r="F253">
        <f>IF($A253="","",IFERROR(INDEX('[AQ_2024.xlsx]原始数据'!$B:$B,MATCH($A253,'[AQ_2024.xlsx]原始数据'!$A:$A,0)),""))</f>
        <v/>
      </c>
      <c r="G253">
        <f>IF($A253="","",IFERROR(INDEX('[AQ_2020.xlsx]原始数据'!$C:$C,MATCH($A253,'[AQ_2020.xlsx]原始数据'!$A:$A,0)),""))</f>
        <v/>
      </c>
      <c r="H253">
        <f>IF($A253="","",IFERROR(INDEX('[AQ_2021.xlsx]原始数据'!$C:$C,MATCH($A253,'[AQ_2021.xlsx]原始数据'!$A:$A,0)),""))</f>
        <v/>
      </c>
      <c r="I253">
        <f>IF($A253="","",IFERROR(INDEX('[AQ_2022.xlsx]原始数据'!$C:$C,MATCH($A253,'[AQ_2022.xlsx]原始数据'!$A:$A,0)),""))</f>
        <v/>
      </c>
      <c r="J253">
        <f>IF($A253="","",IFERROR(INDEX('[AQ_2023.xlsx]原始数据'!$C:$C,MATCH($A253,'[AQ_2023.xlsx]原始数据'!$A:$A,0)),""))</f>
        <v/>
      </c>
      <c r="K253">
        <f>IF($A253="","",IFERROR(INDEX('[AQ_2024.xlsx]原始数据'!$C:$C,MATCH($A253,'[AQ_2024.xlsx]原始数据'!$A:$A,0)),""))</f>
        <v/>
      </c>
      <c r="L253">
        <f>IF($A253="","",IFERROR(INDEX('[AQ_2020.xlsx]原始数据'!$D:$D,MATCH($A253,'[AQ_2020.xlsx]原始数据'!$A:$A,0)),""))</f>
        <v/>
      </c>
      <c r="M253">
        <f>IF($A253="","",IFERROR(INDEX('[AQ_2021.xlsx]原始数据'!$D:$D,MATCH($A253,'[AQ_2021.xlsx]原始数据'!$A:$A,0)),""))</f>
        <v/>
      </c>
      <c r="N253">
        <f>IF($A253="","",IFERROR(INDEX('[AQ_2022.xlsx]原始数据'!$D:$D,MATCH($A253,'[AQ_2022.xlsx]原始数据'!$A:$A,0)),""))</f>
        <v/>
      </c>
      <c r="O253">
        <f>IF($A253="","",IFERROR(INDEX('[AQ_2023.xlsx]原始数据'!$D:$D,MATCH($A253,'[AQ_2023.xlsx]原始数据'!$A:$A,0)),""))</f>
        <v/>
      </c>
      <c r="P253">
        <f>IF($A253="","",IFERROR(INDEX('[AQ_2024.xlsx]原始数据'!$D:$D,MATCH($A253,'[AQ_2024.xlsx]原始数据'!$A:$A,0)),""))</f>
        <v/>
      </c>
      <c r="Q253">
        <f>IF($A253="","",IFERROR(INDEX('[AQ_2020.xlsx]原始数据'!$E:$E,MATCH($A253,'[AQ_2020.xlsx]原始数据'!$A:$A,0)),""))</f>
        <v/>
      </c>
      <c r="R253">
        <f>IF($A253="","",IFERROR(INDEX('[AQ_2021.xlsx]原始数据'!$E:$E,MATCH($A253,'[AQ_2021.xlsx]原始数据'!$A:$A,0)),""))</f>
        <v/>
      </c>
      <c r="S253">
        <f>IF($A253="","",IFERROR(INDEX('[AQ_2022.xlsx]原始数据'!$E:$E,MATCH($A253,'[AQ_2022.xlsx]原始数据'!$A:$A,0)),""))</f>
        <v/>
      </c>
      <c r="T253">
        <f>IF($A253="","",IFERROR(INDEX('[AQ_2023.xlsx]原始数据'!$E:$E,MATCH($A253,'[AQ_2023.xlsx]原始数据'!$A:$A,0)),""))</f>
        <v/>
      </c>
      <c r="U253">
        <f>IF($A253="","",IFERROR(INDEX('[AQ_2024.xlsx]原始数据'!$E:$E,MATCH($A253,'[AQ_2024.xlsx]原始数据'!$A:$A,0)),""))</f>
        <v/>
      </c>
      <c r="V253">
        <f>IF($A253="","",IFERROR(INDEX('[AQ_2020.xlsx]原始数据'!$F:$F,MATCH($A253,'[AQ_2020.xlsx]原始数据'!$A:$A,0)),""))</f>
        <v/>
      </c>
      <c r="W253">
        <f>IF($A253="","",IFERROR(INDEX('[AQ_2021.xlsx]原始数据'!$F:$F,MATCH($A253,'[AQ_2021.xlsx]原始数据'!$A:$A,0)),""))</f>
        <v/>
      </c>
      <c r="X253">
        <f>IF($A253="","",IFERROR(INDEX('[AQ_2022.xlsx]原始数据'!$F:$F,MATCH($A253,'[AQ_2022.xlsx]原始数据'!$A:$A,0)),""))</f>
        <v/>
      </c>
      <c r="Y253">
        <f>IF($A253="","",IFERROR(INDEX('[AQ_2023.xlsx]原始数据'!$F:$F,MATCH($A253,'[AQ_2023.xlsx]原始数据'!$A:$A,0)),""))</f>
        <v/>
      </c>
      <c r="Z253">
        <f>IF($A253="","",IFERROR(INDEX('[AQ_2024.xlsx]原始数据'!$F:$F,MATCH($A253,'[AQ_2024.xlsx]原始数据'!$A:$A,0)),""))</f>
        <v/>
      </c>
      <c r="AA253" s="2">
        <f>IFERROR(G253/B253,"")</f>
        <v/>
      </c>
      <c r="AB253" s="2">
        <f>IFERROR(H253/C253,"")</f>
        <v/>
      </c>
      <c r="AC253" s="2">
        <f>IFERROR(I253/D253,"")</f>
        <v/>
      </c>
      <c r="AD253" s="2">
        <f>IFERROR(J253/E253,"")</f>
        <v/>
      </c>
      <c r="AE253" s="2">
        <f>IFERROR(K253/F253,"")</f>
        <v/>
      </c>
      <c r="AF253" s="2">
        <f>IFERROR(L253/B253,"")</f>
        <v/>
      </c>
      <c r="AG253" s="2">
        <f>IFERROR(M253/C253,"")</f>
        <v/>
      </c>
      <c r="AH253" s="2">
        <f>IFERROR(N253/D253,"")</f>
        <v/>
      </c>
      <c r="AI253" s="2">
        <f>IFERROR(O253/E253,"")</f>
        <v/>
      </c>
      <c r="AJ253" s="2">
        <f>IFERROR(P253/F253,"")</f>
        <v/>
      </c>
      <c r="AK253" s="2">
        <f>IFERROR(Q253/B253,"")</f>
        <v/>
      </c>
      <c r="AL253" s="2">
        <f>IFERROR(R253/C253,"")</f>
        <v/>
      </c>
      <c r="AM253" s="2">
        <f>IFERROR(S253/D253,"")</f>
        <v/>
      </c>
      <c r="AN253" s="2">
        <f>IFERROR(T253/E253,"")</f>
        <v/>
      </c>
      <c r="AO253" s="2">
        <f>IFERROR(U253/F253,"")</f>
        <v/>
      </c>
    </row>
    <row r="254">
      <c r="B254">
        <f>IF($A254="","",IFERROR(INDEX('[AQ_2020.xlsx]原始数据'!$B:$B,MATCH($A254,'[AQ_2020.xlsx]原始数据'!$A:$A,0)),""))</f>
        <v/>
      </c>
      <c r="C254">
        <f>IF($A254="","",IFERROR(INDEX('[AQ_2021.xlsx]原始数据'!$B:$B,MATCH($A254,'[AQ_2021.xlsx]原始数据'!$A:$A,0)),""))</f>
        <v/>
      </c>
      <c r="D254">
        <f>IF($A254="","",IFERROR(INDEX('[AQ_2022.xlsx]原始数据'!$B:$B,MATCH($A254,'[AQ_2022.xlsx]原始数据'!$A:$A,0)),""))</f>
        <v/>
      </c>
      <c r="E254">
        <f>IF($A254="","",IFERROR(INDEX('[AQ_2023.xlsx]原始数据'!$B:$B,MATCH($A254,'[AQ_2023.xlsx]原始数据'!$A:$A,0)),""))</f>
        <v/>
      </c>
      <c r="F254">
        <f>IF($A254="","",IFERROR(INDEX('[AQ_2024.xlsx]原始数据'!$B:$B,MATCH($A254,'[AQ_2024.xlsx]原始数据'!$A:$A,0)),""))</f>
        <v/>
      </c>
      <c r="G254">
        <f>IF($A254="","",IFERROR(INDEX('[AQ_2020.xlsx]原始数据'!$C:$C,MATCH($A254,'[AQ_2020.xlsx]原始数据'!$A:$A,0)),""))</f>
        <v/>
      </c>
      <c r="H254">
        <f>IF($A254="","",IFERROR(INDEX('[AQ_2021.xlsx]原始数据'!$C:$C,MATCH($A254,'[AQ_2021.xlsx]原始数据'!$A:$A,0)),""))</f>
        <v/>
      </c>
      <c r="I254">
        <f>IF($A254="","",IFERROR(INDEX('[AQ_2022.xlsx]原始数据'!$C:$C,MATCH($A254,'[AQ_2022.xlsx]原始数据'!$A:$A,0)),""))</f>
        <v/>
      </c>
      <c r="J254">
        <f>IF($A254="","",IFERROR(INDEX('[AQ_2023.xlsx]原始数据'!$C:$C,MATCH($A254,'[AQ_2023.xlsx]原始数据'!$A:$A,0)),""))</f>
        <v/>
      </c>
      <c r="K254">
        <f>IF($A254="","",IFERROR(INDEX('[AQ_2024.xlsx]原始数据'!$C:$C,MATCH($A254,'[AQ_2024.xlsx]原始数据'!$A:$A,0)),""))</f>
        <v/>
      </c>
      <c r="L254">
        <f>IF($A254="","",IFERROR(INDEX('[AQ_2020.xlsx]原始数据'!$D:$D,MATCH($A254,'[AQ_2020.xlsx]原始数据'!$A:$A,0)),""))</f>
        <v/>
      </c>
      <c r="M254">
        <f>IF($A254="","",IFERROR(INDEX('[AQ_2021.xlsx]原始数据'!$D:$D,MATCH($A254,'[AQ_2021.xlsx]原始数据'!$A:$A,0)),""))</f>
        <v/>
      </c>
      <c r="N254">
        <f>IF($A254="","",IFERROR(INDEX('[AQ_2022.xlsx]原始数据'!$D:$D,MATCH($A254,'[AQ_2022.xlsx]原始数据'!$A:$A,0)),""))</f>
        <v/>
      </c>
      <c r="O254">
        <f>IF($A254="","",IFERROR(INDEX('[AQ_2023.xlsx]原始数据'!$D:$D,MATCH($A254,'[AQ_2023.xlsx]原始数据'!$A:$A,0)),""))</f>
        <v/>
      </c>
      <c r="P254">
        <f>IF($A254="","",IFERROR(INDEX('[AQ_2024.xlsx]原始数据'!$D:$D,MATCH($A254,'[AQ_2024.xlsx]原始数据'!$A:$A,0)),""))</f>
        <v/>
      </c>
      <c r="Q254">
        <f>IF($A254="","",IFERROR(INDEX('[AQ_2020.xlsx]原始数据'!$E:$E,MATCH($A254,'[AQ_2020.xlsx]原始数据'!$A:$A,0)),""))</f>
        <v/>
      </c>
      <c r="R254">
        <f>IF($A254="","",IFERROR(INDEX('[AQ_2021.xlsx]原始数据'!$E:$E,MATCH($A254,'[AQ_2021.xlsx]原始数据'!$A:$A,0)),""))</f>
        <v/>
      </c>
      <c r="S254">
        <f>IF($A254="","",IFERROR(INDEX('[AQ_2022.xlsx]原始数据'!$E:$E,MATCH($A254,'[AQ_2022.xlsx]原始数据'!$A:$A,0)),""))</f>
        <v/>
      </c>
      <c r="T254">
        <f>IF($A254="","",IFERROR(INDEX('[AQ_2023.xlsx]原始数据'!$E:$E,MATCH($A254,'[AQ_2023.xlsx]原始数据'!$A:$A,0)),""))</f>
        <v/>
      </c>
      <c r="U254">
        <f>IF($A254="","",IFERROR(INDEX('[AQ_2024.xlsx]原始数据'!$E:$E,MATCH($A254,'[AQ_2024.xlsx]原始数据'!$A:$A,0)),""))</f>
        <v/>
      </c>
      <c r="V254">
        <f>IF($A254="","",IFERROR(INDEX('[AQ_2020.xlsx]原始数据'!$F:$F,MATCH($A254,'[AQ_2020.xlsx]原始数据'!$A:$A,0)),""))</f>
        <v/>
      </c>
      <c r="W254">
        <f>IF($A254="","",IFERROR(INDEX('[AQ_2021.xlsx]原始数据'!$F:$F,MATCH($A254,'[AQ_2021.xlsx]原始数据'!$A:$A,0)),""))</f>
        <v/>
      </c>
      <c r="X254">
        <f>IF($A254="","",IFERROR(INDEX('[AQ_2022.xlsx]原始数据'!$F:$F,MATCH($A254,'[AQ_2022.xlsx]原始数据'!$A:$A,0)),""))</f>
        <v/>
      </c>
      <c r="Y254">
        <f>IF($A254="","",IFERROR(INDEX('[AQ_2023.xlsx]原始数据'!$F:$F,MATCH($A254,'[AQ_2023.xlsx]原始数据'!$A:$A,0)),""))</f>
        <v/>
      </c>
      <c r="Z254">
        <f>IF($A254="","",IFERROR(INDEX('[AQ_2024.xlsx]原始数据'!$F:$F,MATCH($A254,'[AQ_2024.xlsx]原始数据'!$A:$A,0)),""))</f>
        <v/>
      </c>
      <c r="AA254" s="2">
        <f>IFERROR(G254/B254,"")</f>
        <v/>
      </c>
      <c r="AB254" s="2">
        <f>IFERROR(H254/C254,"")</f>
        <v/>
      </c>
      <c r="AC254" s="2">
        <f>IFERROR(I254/D254,"")</f>
        <v/>
      </c>
      <c r="AD254" s="2">
        <f>IFERROR(J254/E254,"")</f>
        <v/>
      </c>
      <c r="AE254" s="2">
        <f>IFERROR(K254/F254,"")</f>
        <v/>
      </c>
      <c r="AF254" s="2">
        <f>IFERROR(L254/B254,"")</f>
        <v/>
      </c>
      <c r="AG254" s="2">
        <f>IFERROR(M254/C254,"")</f>
        <v/>
      </c>
      <c r="AH254" s="2">
        <f>IFERROR(N254/D254,"")</f>
        <v/>
      </c>
      <c r="AI254" s="2">
        <f>IFERROR(O254/E254,"")</f>
        <v/>
      </c>
      <c r="AJ254" s="2">
        <f>IFERROR(P254/F254,"")</f>
        <v/>
      </c>
      <c r="AK254" s="2">
        <f>IFERROR(Q254/B254,"")</f>
        <v/>
      </c>
      <c r="AL254" s="2">
        <f>IFERROR(R254/C254,"")</f>
        <v/>
      </c>
      <c r="AM254" s="2">
        <f>IFERROR(S254/D254,"")</f>
        <v/>
      </c>
      <c r="AN254" s="2">
        <f>IFERROR(T254/E254,"")</f>
        <v/>
      </c>
      <c r="AO254" s="2">
        <f>IFERROR(U254/F254,"")</f>
        <v/>
      </c>
    </row>
    <row r="255">
      <c r="B255">
        <f>IF($A255="","",IFERROR(INDEX('[AQ_2020.xlsx]原始数据'!$B:$B,MATCH($A255,'[AQ_2020.xlsx]原始数据'!$A:$A,0)),""))</f>
        <v/>
      </c>
      <c r="C255">
        <f>IF($A255="","",IFERROR(INDEX('[AQ_2021.xlsx]原始数据'!$B:$B,MATCH($A255,'[AQ_2021.xlsx]原始数据'!$A:$A,0)),""))</f>
        <v/>
      </c>
      <c r="D255">
        <f>IF($A255="","",IFERROR(INDEX('[AQ_2022.xlsx]原始数据'!$B:$B,MATCH($A255,'[AQ_2022.xlsx]原始数据'!$A:$A,0)),""))</f>
        <v/>
      </c>
      <c r="E255">
        <f>IF($A255="","",IFERROR(INDEX('[AQ_2023.xlsx]原始数据'!$B:$B,MATCH($A255,'[AQ_2023.xlsx]原始数据'!$A:$A,0)),""))</f>
        <v/>
      </c>
      <c r="F255">
        <f>IF($A255="","",IFERROR(INDEX('[AQ_2024.xlsx]原始数据'!$B:$B,MATCH($A255,'[AQ_2024.xlsx]原始数据'!$A:$A,0)),""))</f>
        <v/>
      </c>
      <c r="G255">
        <f>IF($A255="","",IFERROR(INDEX('[AQ_2020.xlsx]原始数据'!$C:$C,MATCH($A255,'[AQ_2020.xlsx]原始数据'!$A:$A,0)),""))</f>
        <v/>
      </c>
      <c r="H255">
        <f>IF($A255="","",IFERROR(INDEX('[AQ_2021.xlsx]原始数据'!$C:$C,MATCH($A255,'[AQ_2021.xlsx]原始数据'!$A:$A,0)),""))</f>
        <v/>
      </c>
      <c r="I255">
        <f>IF($A255="","",IFERROR(INDEX('[AQ_2022.xlsx]原始数据'!$C:$C,MATCH($A255,'[AQ_2022.xlsx]原始数据'!$A:$A,0)),""))</f>
        <v/>
      </c>
      <c r="J255">
        <f>IF($A255="","",IFERROR(INDEX('[AQ_2023.xlsx]原始数据'!$C:$C,MATCH($A255,'[AQ_2023.xlsx]原始数据'!$A:$A,0)),""))</f>
        <v/>
      </c>
      <c r="K255">
        <f>IF($A255="","",IFERROR(INDEX('[AQ_2024.xlsx]原始数据'!$C:$C,MATCH($A255,'[AQ_2024.xlsx]原始数据'!$A:$A,0)),""))</f>
        <v/>
      </c>
      <c r="L255">
        <f>IF($A255="","",IFERROR(INDEX('[AQ_2020.xlsx]原始数据'!$D:$D,MATCH($A255,'[AQ_2020.xlsx]原始数据'!$A:$A,0)),""))</f>
        <v/>
      </c>
      <c r="M255">
        <f>IF($A255="","",IFERROR(INDEX('[AQ_2021.xlsx]原始数据'!$D:$D,MATCH($A255,'[AQ_2021.xlsx]原始数据'!$A:$A,0)),""))</f>
        <v/>
      </c>
      <c r="N255">
        <f>IF($A255="","",IFERROR(INDEX('[AQ_2022.xlsx]原始数据'!$D:$D,MATCH($A255,'[AQ_2022.xlsx]原始数据'!$A:$A,0)),""))</f>
        <v/>
      </c>
      <c r="O255">
        <f>IF($A255="","",IFERROR(INDEX('[AQ_2023.xlsx]原始数据'!$D:$D,MATCH($A255,'[AQ_2023.xlsx]原始数据'!$A:$A,0)),""))</f>
        <v/>
      </c>
      <c r="P255">
        <f>IF($A255="","",IFERROR(INDEX('[AQ_2024.xlsx]原始数据'!$D:$D,MATCH($A255,'[AQ_2024.xlsx]原始数据'!$A:$A,0)),""))</f>
        <v/>
      </c>
      <c r="Q255">
        <f>IF($A255="","",IFERROR(INDEX('[AQ_2020.xlsx]原始数据'!$E:$E,MATCH($A255,'[AQ_2020.xlsx]原始数据'!$A:$A,0)),""))</f>
        <v/>
      </c>
      <c r="R255">
        <f>IF($A255="","",IFERROR(INDEX('[AQ_2021.xlsx]原始数据'!$E:$E,MATCH($A255,'[AQ_2021.xlsx]原始数据'!$A:$A,0)),""))</f>
        <v/>
      </c>
      <c r="S255">
        <f>IF($A255="","",IFERROR(INDEX('[AQ_2022.xlsx]原始数据'!$E:$E,MATCH($A255,'[AQ_2022.xlsx]原始数据'!$A:$A,0)),""))</f>
        <v/>
      </c>
      <c r="T255">
        <f>IF($A255="","",IFERROR(INDEX('[AQ_2023.xlsx]原始数据'!$E:$E,MATCH($A255,'[AQ_2023.xlsx]原始数据'!$A:$A,0)),""))</f>
        <v/>
      </c>
      <c r="U255">
        <f>IF($A255="","",IFERROR(INDEX('[AQ_2024.xlsx]原始数据'!$E:$E,MATCH($A255,'[AQ_2024.xlsx]原始数据'!$A:$A,0)),""))</f>
        <v/>
      </c>
      <c r="V255">
        <f>IF($A255="","",IFERROR(INDEX('[AQ_2020.xlsx]原始数据'!$F:$F,MATCH($A255,'[AQ_2020.xlsx]原始数据'!$A:$A,0)),""))</f>
        <v/>
      </c>
      <c r="W255">
        <f>IF($A255="","",IFERROR(INDEX('[AQ_2021.xlsx]原始数据'!$F:$F,MATCH($A255,'[AQ_2021.xlsx]原始数据'!$A:$A,0)),""))</f>
        <v/>
      </c>
      <c r="X255">
        <f>IF($A255="","",IFERROR(INDEX('[AQ_2022.xlsx]原始数据'!$F:$F,MATCH($A255,'[AQ_2022.xlsx]原始数据'!$A:$A,0)),""))</f>
        <v/>
      </c>
      <c r="Y255">
        <f>IF($A255="","",IFERROR(INDEX('[AQ_2023.xlsx]原始数据'!$F:$F,MATCH($A255,'[AQ_2023.xlsx]原始数据'!$A:$A,0)),""))</f>
        <v/>
      </c>
      <c r="Z255">
        <f>IF($A255="","",IFERROR(INDEX('[AQ_2024.xlsx]原始数据'!$F:$F,MATCH($A255,'[AQ_2024.xlsx]原始数据'!$A:$A,0)),""))</f>
        <v/>
      </c>
      <c r="AA255" s="2">
        <f>IFERROR(G255/B255,"")</f>
        <v/>
      </c>
      <c r="AB255" s="2">
        <f>IFERROR(H255/C255,"")</f>
        <v/>
      </c>
      <c r="AC255" s="2">
        <f>IFERROR(I255/D255,"")</f>
        <v/>
      </c>
      <c r="AD255" s="2">
        <f>IFERROR(J255/E255,"")</f>
        <v/>
      </c>
      <c r="AE255" s="2">
        <f>IFERROR(K255/F255,"")</f>
        <v/>
      </c>
      <c r="AF255" s="2">
        <f>IFERROR(L255/B255,"")</f>
        <v/>
      </c>
      <c r="AG255" s="2">
        <f>IFERROR(M255/C255,"")</f>
        <v/>
      </c>
      <c r="AH255" s="2">
        <f>IFERROR(N255/D255,"")</f>
        <v/>
      </c>
      <c r="AI255" s="2">
        <f>IFERROR(O255/E255,"")</f>
        <v/>
      </c>
      <c r="AJ255" s="2">
        <f>IFERROR(P255/F255,"")</f>
        <v/>
      </c>
      <c r="AK255" s="2">
        <f>IFERROR(Q255/B255,"")</f>
        <v/>
      </c>
      <c r="AL255" s="2">
        <f>IFERROR(R255/C255,"")</f>
        <v/>
      </c>
      <c r="AM255" s="2">
        <f>IFERROR(S255/D255,"")</f>
        <v/>
      </c>
      <c r="AN255" s="2">
        <f>IFERROR(T255/E255,"")</f>
        <v/>
      </c>
      <c r="AO255" s="2">
        <f>IFERROR(U255/F255,"")</f>
        <v/>
      </c>
    </row>
    <row r="256">
      <c r="B256">
        <f>IF($A256="","",IFERROR(INDEX('[AQ_2020.xlsx]原始数据'!$B:$B,MATCH($A256,'[AQ_2020.xlsx]原始数据'!$A:$A,0)),""))</f>
        <v/>
      </c>
      <c r="C256">
        <f>IF($A256="","",IFERROR(INDEX('[AQ_2021.xlsx]原始数据'!$B:$B,MATCH($A256,'[AQ_2021.xlsx]原始数据'!$A:$A,0)),""))</f>
        <v/>
      </c>
      <c r="D256">
        <f>IF($A256="","",IFERROR(INDEX('[AQ_2022.xlsx]原始数据'!$B:$B,MATCH($A256,'[AQ_2022.xlsx]原始数据'!$A:$A,0)),""))</f>
        <v/>
      </c>
      <c r="E256">
        <f>IF($A256="","",IFERROR(INDEX('[AQ_2023.xlsx]原始数据'!$B:$B,MATCH($A256,'[AQ_2023.xlsx]原始数据'!$A:$A,0)),""))</f>
        <v/>
      </c>
      <c r="F256">
        <f>IF($A256="","",IFERROR(INDEX('[AQ_2024.xlsx]原始数据'!$B:$B,MATCH($A256,'[AQ_2024.xlsx]原始数据'!$A:$A,0)),""))</f>
        <v/>
      </c>
      <c r="G256">
        <f>IF($A256="","",IFERROR(INDEX('[AQ_2020.xlsx]原始数据'!$C:$C,MATCH($A256,'[AQ_2020.xlsx]原始数据'!$A:$A,0)),""))</f>
        <v/>
      </c>
      <c r="H256">
        <f>IF($A256="","",IFERROR(INDEX('[AQ_2021.xlsx]原始数据'!$C:$C,MATCH($A256,'[AQ_2021.xlsx]原始数据'!$A:$A,0)),""))</f>
        <v/>
      </c>
      <c r="I256">
        <f>IF($A256="","",IFERROR(INDEX('[AQ_2022.xlsx]原始数据'!$C:$C,MATCH($A256,'[AQ_2022.xlsx]原始数据'!$A:$A,0)),""))</f>
        <v/>
      </c>
      <c r="J256">
        <f>IF($A256="","",IFERROR(INDEX('[AQ_2023.xlsx]原始数据'!$C:$C,MATCH($A256,'[AQ_2023.xlsx]原始数据'!$A:$A,0)),""))</f>
        <v/>
      </c>
      <c r="K256">
        <f>IF($A256="","",IFERROR(INDEX('[AQ_2024.xlsx]原始数据'!$C:$C,MATCH($A256,'[AQ_2024.xlsx]原始数据'!$A:$A,0)),""))</f>
        <v/>
      </c>
      <c r="L256">
        <f>IF($A256="","",IFERROR(INDEX('[AQ_2020.xlsx]原始数据'!$D:$D,MATCH($A256,'[AQ_2020.xlsx]原始数据'!$A:$A,0)),""))</f>
        <v/>
      </c>
      <c r="M256">
        <f>IF($A256="","",IFERROR(INDEX('[AQ_2021.xlsx]原始数据'!$D:$D,MATCH($A256,'[AQ_2021.xlsx]原始数据'!$A:$A,0)),""))</f>
        <v/>
      </c>
      <c r="N256">
        <f>IF($A256="","",IFERROR(INDEX('[AQ_2022.xlsx]原始数据'!$D:$D,MATCH($A256,'[AQ_2022.xlsx]原始数据'!$A:$A,0)),""))</f>
        <v/>
      </c>
      <c r="O256">
        <f>IF($A256="","",IFERROR(INDEX('[AQ_2023.xlsx]原始数据'!$D:$D,MATCH($A256,'[AQ_2023.xlsx]原始数据'!$A:$A,0)),""))</f>
        <v/>
      </c>
      <c r="P256">
        <f>IF($A256="","",IFERROR(INDEX('[AQ_2024.xlsx]原始数据'!$D:$D,MATCH($A256,'[AQ_2024.xlsx]原始数据'!$A:$A,0)),""))</f>
        <v/>
      </c>
      <c r="Q256">
        <f>IF($A256="","",IFERROR(INDEX('[AQ_2020.xlsx]原始数据'!$E:$E,MATCH($A256,'[AQ_2020.xlsx]原始数据'!$A:$A,0)),""))</f>
        <v/>
      </c>
      <c r="R256">
        <f>IF($A256="","",IFERROR(INDEX('[AQ_2021.xlsx]原始数据'!$E:$E,MATCH($A256,'[AQ_2021.xlsx]原始数据'!$A:$A,0)),""))</f>
        <v/>
      </c>
      <c r="S256">
        <f>IF($A256="","",IFERROR(INDEX('[AQ_2022.xlsx]原始数据'!$E:$E,MATCH($A256,'[AQ_2022.xlsx]原始数据'!$A:$A,0)),""))</f>
        <v/>
      </c>
      <c r="T256">
        <f>IF($A256="","",IFERROR(INDEX('[AQ_2023.xlsx]原始数据'!$E:$E,MATCH($A256,'[AQ_2023.xlsx]原始数据'!$A:$A,0)),""))</f>
        <v/>
      </c>
      <c r="U256">
        <f>IF($A256="","",IFERROR(INDEX('[AQ_2024.xlsx]原始数据'!$E:$E,MATCH($A256,'[AQ_2024.xlsx]原始数据'!$A:$A,0)),""))</f>
        <v/>
      </c>
      <c r="V256">
        <f>IF($A256="","",IFERROR(INDEX('[AQ_2020.xlsx]原始数据'!$F:$F,MATCH($A256,'[AQ_2020.xlsx]原始数据'!$A:$A,0)),""))</f>
        <v/>
      </c>
      <c r="W256">
        <f>IF($A256="","",IFERROR(INDEX('[AQ_2021.xlsx]原始数据'!$F:$F,MATCH($A256,'[AQ_2021.xlsx]原始数据'!$A:$A,0)),""))</f>
        <v/>
      </c>
      <c r="X256">
        <f>IF($A256="","",IFERROR(INDEX('[AQ_2022.xlsx]原始数据'!$F:$F,MATCH($A256,'[AQ_2022.xlsx]原始数据'!$A:$A,0)),""))</f>
        <v/>
      </c>
      <c r="Y256">
        <f>IF($A256="","",IFERROR(INDEX('[AQ_2023.xlsx]原始数据'!$F:$F,MATCH($A256,'[AQ_2023.xlsx]原始数据'!$A:$A,0)),""))</f>
        <v/>
      </c>
      <c r="Z256">
        <f>IF($A256="","",IFERROR(INDEX('[AQ_2024.xlsx]原始数据'!$F:$F,MATCH($A256,'[AQ_2024.xlsx]原始数据'!$A:$A,0)),""))</f>
        <v/>
      </c>
      <c r="AA256" s="2">
        <f>IFERROR(G256/B256,"")</f>
        <v/>
      </c>
      <c r="AB256" s="2">
        <f>IFERROR(H256/C256,"")</f>
        <v/>
      </c>
      <c r="AC256" s="2">
        <f>IFERROR(I256/D256,"")</f>
        <v/>
      </c>
      <c r="AD256" s="2">
        <f>IFERROR(J256/E256,"")</f>
        <v/>
      </c>
      <c r="AE256" s="2">
        <f>IFERROR(K256/F256,"")</f>
        <v/>
      </c>
      <c r="AF256" s="2">
        <f>IFERROR(L256/B256,"")</f>
        <v/>
      </c>
      <c r="AG256" s="2">
        <f>IFERROR(M256/C256,"")</f>
        <v/>
      </c>
      <c r="AH256" s="2">
        <f>IFERROR(N256/D256,"")</f>
        <v/>
      </c>
      <c r="AI256" s="2">
        <f>IFERROR(O256/E256,"")</f>
        <v/>
      </c>
      <c r="AJ256" s="2">
        <f>IFERROR(P256/F256,"")</f>
        <v/>
      </c>
      <c r="AK256" s="2">
        <f>IFERROR(Q256/B256,"")</f>
        <v/>
      </c>
      <c r="AL256" s="2">
        <f>IFERROR(R256/C256,"")</f>
        <v/>
      </c>
      <c r="AM256" s="2">
        <f>IFERROR(S256/D256,"")</f>
        <v/>
      </c>
      <c r="AN256" s="2">
        <f>IFERROR(T256/E256,"")</f>
        <v/>
      </c>
      <c r="AO256" s="2">
        <f>IFERROR(U256/F256,"")</f>
        <v/>
      </c>
    </row>
    <row r="257">
      <c r="B257">
        <f>IF($A257="","",IFERROR(INDEX('[AQ_2020.xlsx]原始数据'!$B:$B,MATCH($A257,'[AQ_2020.xlsx]原始数据'!$A:$A,0)),""))</f>
        <v/>
      </c>
      <c r="C257">
        <f>IF($A257="","",IFERROR(INDEX('[AQ_2021.xlsx]原始数据'!$B:$B,MATCH($A257,'[AQ_2021.xlsx]原始数据'!$A:$A,0)),""))</f>
        <v/>
      </c>
      <c r="D257">
        <f>IF($A257="","",IFERROR(INDEX('[AQ_2022.xlsx]原始数据'!$B:$B,MATCH($A257,'[AQ_2022.xlsx]原始数据'!$A:$A,0)),""))</f>
        <v/>
      </c>
      <c r="E257">
        <f>IF($A257="","",IFERROR(INDEX('[AQ_2023.xlsx]原始数据'!$B:$B,MATCH($A257,'[AQ_2023.xlsx]原始数据'!$A:$A,0)),""))</f>
        <v/>
      </c>
      <c r="F257">
        <f>IF($A257="","",IFERROR(INDEX('[AQ_2024.xlsx]原始数据'!$B:$B,MATCH($A257,'[AQ_2024.xlsx]原始数据'!$A:$A,0)),""))</f>
        <v/>
      </c>
      <c r="G257">
        <f>IF($A257="","",IFERROR(INDEX('[AQ_2020.xlsx]原始数据'!$C:$C,MATCH($A257,'[AQ_2020.xlsx]原始数据'!$A:$A,0)),""))</f>
        <v/>
      </c>
      <c r="H257">
        <f>IF($A257="","",IFERROR(INDEX('[AQ_2021.xlsx]原始数据'!$C:$C,MATCH($A257,'[AQ_2021.xlsx]原始数据'!$A:$A,0)),""))</f>
        <v/>
      </c>
      <c r="I257">
        <f>IF($A257="","",IFERROR(INDEX('[AQ_2022.xlsx]原始数据'!$C:$C,MATCH($A257,'[AQ_2022.xlsx]原始数据'!$A:$A,0)),""))</f>
        <v/>
      </c>
      <c r="J257">
        <f>IF($A257="","",IFERROR(INDEX('[AQ_2023.xlsx]原始数据'!$C:$C,MATCH($A257,'[AQ_2023.xlsx]原始数据'!$A:$A,0)),""))</f>
        <v/>
      </c>
      <c r="K257">
        <f>IF($A257="","",IFERROR(INDEX('[AQ_2024.xlsx]原始数据'!$C:$C,MATCH($A257,'[AQ_2024.xlsx]原始数据'!$A:$A,0)),""))</f>
        <v/>
      </c>
      <c r="L257">
        <f>IF($A257="","",IFERROR(INDEX('[AQ_2020.xlsx]原始数据'!$D:$D,MATCH($A257,'[AQ_2020.xlsx]原始数据'!$A:$A,0)),""))</f>
        <v/>
      </c>
      <c r="M257">
        <f>IF($A257="","",IFERROR(INDEX('[AQ_2021.xlsx]原始数据'!$D:$D,MATCH($A257,'[AQ_2021.xlsx]原始数据'!$A:$A,0)),""))</f>
        <v/>
      </c>
      <c r="N257">
        <f>IF($A257="","",IFERROR(INDEX('[AQ_2022.xlsx]原始数据'!$D:$D,MATCH($A257,'[AQ_2022.xlsx]原始数据'!$A:$A,0)),""))</f>
        <v/>
      </c>
      <c r="O257">
        <f>IF($A257="","",IFERROR(INDEX('[AQ_2023.xlsx]原始数据'!$D:$D,MATCH($A257,'[AQ_2023.xlsx]原始数据'!$A:$A,0)),""))</f>
        <v/>
      </c>
      <c r="P257">
        <f>IF($A257="","",IFERROR(INDEX('[AQ_2024.xlsx]原始数据'!$D:$D,MATCH($A257,'[AQ_2024.xlsx]原始数据'!$A:$A,0)),""))</f>
        <v/>
      </c>
      <c r="Q257">
        <f>IF($A257="","",IFERROR(INDEX('[AQ_2020.xlsx]原始数据'!$E:$E,MATCH($A257,'[AQ_2020.xlsx]原始数据'!$A:$A,0)),""))</f>
        <v/>
      </c>
      <c r="R257">
        <f>IF($A257="","",IFERROR(INDEX('[AQ_2021.xlsx]原始数据'!$E:$E,MATCH($A257,'[AQ_2021.xlsx]原始数据'!$A:$A,0)),""))</f>
        <v/>
      </c>
      <c r="S257">
        <f>IF($A257="","",IFERROR(INDEX('[AQ_2022.xlsx]原始数据'!$E:$E,MATCH($A257,'[AQ_2022.xlsx]原始数据'!$A:$A,0)),""))</f>
        <v/>
      </c>
      <c r="T257">
        <f>IF($A257="","",IFERROR(INDEX('[AQ_2023.xlsx]原始数据'!$E:$E,MATCH($A257,'[AQ_2023.xlsx]原始数据'!$A:$A,0)),""))</f>
        <v/>
      </c>
      <c r="U257">
        <f>IF($A257="","",IFERROR(INDEX('[AQ_2024.xlsx]原始数据'!$E:$E,MATCH($A257,'[AQ_2024.xlsx]原始数据'!$A:$A,0)),""))</f>
        <v/>
      </c>
      <c r="V257">
        <f>IF($A257="","",IFERROR(INDEX('[AQ_2020.xlsx]原始数据'!$F:$F,MATCH($A257,'[AQ_2020.xlsx]原始数据'!$A:$A,0)),""))</f>
        <v/>
      </c>
      <c r="W257">
        <f>IF($A257="","",IFERROR(INDEX('[AQ_2021.xlsx]原始数据'!$F:$F,MATCH($A257,'[AQ_2021.xlsx]原始数据'!$A:$A,0)),""))</f>
        <v/>
      </c>
      <c r="X257">
        <f>IF($A257="","",IFERROR(INDEX('[AQ_2022.xlsx]原始数据'!$F:$F,MATCH($A257,'[AQ_2022.xlsx]原始数据'!$A:$A,0)),""))</f>
        <v/>
      </c>
      <c r="Y257">
        <f>IF($A257="","",IFERROR(INDEX('[AQ_2023.xlsx]原始数据'!$F:$F,MATCH($A257,'[AQ_2023.xlsx]原始数据'!$A:$A,0)),""))</f>
        <v/>
      </c>
      <c r="Z257">
        <f>IF($A257="","",IFERROR(INDEX('[AQ_2024.xlsx]原始数据'!$F:$F,MATCH($A257,'[AQ_2024.xlsx]原始数据'!$A:$A,0)),""))</f>
        <v/>
      </c>
      <c r="AA257" s="2">
        <f>IFERROR(G257/B257,"")</f>
        <v/>
      </c>
      <c r="AB257" s="2">
        <f>IFERROR(H257/C257,"")</f>
        <v/>
      </c>
      <c r="AC257" s="2">
        <f>IFERROR(I257/D257,"")</f>
        <v/>
      </c>
      <c r="AD257" s="2">
        <f>IFERROR(J257/E257,"")</f>
        <v/>
      </c>
      <c r="AE257" s="2">
        <f>IFERROR(K257/F257,"")</f>
        <v/>
      </c>
      <c r="AF257" s="2">
        <f>IFERROR(L257/B257,"")</f>
        <v/>
      </c>
      <c r="AG257" s="2">
        <f>IFERROR(M257/C257,"")</f>
        <v/>
      </c>
      <c r="AH257" s="2">
        <f>IFERROR(N257/D257,"")</f>
        <v/>
      </c>
      <c r="AI257" s="2">
        <f>IFERROR(O257/E257,"")</f>
        <v/>
      </c>
      <c r="AJ257" s="2">
        <f>IFERROR(P257/F257,"")</f>
        <v/>
      </c>
      <c r="AK257" s="2">
        <f>IFERROR(Q257/B257,"")</f>
        <v/>
      </c>
      <c r="AL257" s="2">
        <f>IFERROR(R257/C257,"")</f>
        <v/>
      </c>
      <c r="AM257" s="2">
        <f>IFERROR(S257/D257,"")</f>
        <v/>
      </c>
      <c r="AN257" s="2">
        <f>IFERROR(T257/E257,"")</f>
        <v/>
      </c>
      <c r="AO257" s="2">
        <f>IFERROR(U257/F257,"")</f>
        <v/>
      </c>
    </row>
    <row r="258">
      <c r="B258">
        <f>IF($A258="","",IFERROR(INDEX('[AQ_2020.xlsx]原始数据'!$B:$B,MATCH($A258,'[AQ_2020.xlsx]原始数据'!$A:$A,0)),""))</f>
        <v/>
      </c>
      <c r="C258">
        <f>IF($A258="","",IFERROR(INDEX('[AQ_2021.xlsx]原始数据'!$B:$B,MATCH($A258,'[AQ_2021.xlsx]原始数据'!$A:$A,0)),""))</f>
        <v/>
      </c>
      <c r="D258">
        <f>IF($A258="","",IFERROR(INDEX('[AQ_2022.xlsx]原始数据'!$B:$B,MATCH($A258,'[AQ_2022.xlsx]原始数据'!$A:$A,0)),""))</f>
        <v/>
      </c>
      <c r="E258">
        <f>IF($A258="","",IFERROR(INDEX('[AQ_2023.xlsx]原始数据'!$B:$B,MATCH($A258,'[AQ_2023.xlsx]原始数据'!$A:$A,0)),""))</f>
        <v/>
      </c>
      <c r="F258">
        <f>IF($A258="","",IFERROR(INDEX('[AQ_2024.xlsx]原始数据'!$B:$B,MATCH($A258,'[AQ_2024.xlsx]原始数据'!$A:$A,0)),""))</f>
        <v/>
      </c>
      <c r="G258">
        <f>IF($A258="","",IFERROR(INDEX('[AQ_2020.xlsx]原始数据'!$C:$C,MATCH($A258,'[AQ_2020.xlsx]原始数据'!$A:$A,0)),""))</f>
        <v/>
      </c>
      <c r="H258">
        <f>IF($A258="","",IFERROR(INDEX('[AQ_2021.xlsx]原始数据'!$C:$C,MATCH($A258,'[AQ_2021.xlsx]原始数据'!$A:$A,0)),""))</f>
        <v/>
      </c>
      <c r="I258">
        <f>IF($A258="","",IFERROR(INDEX('[AQ_2022.xlsx]原始数据'!$C:$C,MATCH($A258,'[AQ_2022.xlsx]原始数据'!$A:$A,0)),""))</f>
        <v/>
      </c>
      <c r="J258">
        <f>IF($A258="","",IFERROR(INDEX('[AQ_2023.xlsx]原始数据'!$C:$C,MATCH($A258,'[AQ_2023.xlsx]原始数据'!$A:$A,0)),""))</f>
        <v/>
      </c>
      <c r="K258">
        <f>IF($A258="","",IFERROR(INDEX('[AQ_2024.xlsx]原始数据'!$C:$C,MATCH($A258,'[AQ_2024.xlsx]原始数据'!$A:$A,0)),""))</f>
        <v/>
      </c>
      <c r="L258">
        <f>IF($A258="","",IFERROR(INDEX('[AQ_2020.xlsx]原始数据'!$D:$D,MATCH($A258,'[AQ_2020.xlsx]原始数据'!$A:$A,0)),""))</f>
        <v/>
      </c>
      <c r="M258">
        <f>IF($A258="","",IFERROR(INDEX('[AQ_2021.xlsx]原始数据'!$D:$D,MATCH($A258,'[AQ_2021.xlsx]原始数据'!$A:$A,0)),""))</f>
        <v/>
      </c>
      <c r="N258">
        <f>IF($A258="","",IFERROR(INDEX('[AQ_2022.xlsx]原始数据'!$D:$D,MATCH($A258,'[AQ_2022.xlsx]原始数据'!$A:$A,0)),""))</f>
        <v/>
      </c>
      <c r="O258">
        <f>IF($A258="","",IFERROR(INDEX('[AQ_2023.xlsx]原始数据'!$D:$D,MATCH($A258,'[AQ_2023.xlsx]原始数据'!$A:$A,0)),""))</f>
        <v/>
      </c>
      <c r="P258">
        <f>IF($A258="","",IFERROR(INDEX('[AQ_2024.xlsx]原始数据'!$D:$D,MATCH($A258,'[AQ_2024.xlsx]原始数据'!$A:$A,0)),""))</f>
        <v/>
      </c>
      <c r="Q258">
        <f>IF($A258="","",IFERROR(INDEX('[AQ_2020.xlsx]原始数据'!$E:$E,MATCH($A258,'[AQ_2020.xlsx]原始数据'!$A:$A,0)),""))</f>
        <v/>
      </c>
      <c r="R258">
        <f>IF($A258="","",IFERROR(INDEX('[AQ_2021.xlsx]原始数据'!$E:$E,MATCH($A258,'[AQ_2021.xlsx]原始数据'!$A:$A,0)),""))</f>
        <v/>
      </c>
      <c r="S258">
        <f>IF($A258="","",IFERROR(INDEX('[AQ_2022.xlsx]原始数据'!$E:$E,MATCH($A258,'[AQ_2022.xlsx]原始数据'!$A:$A,0)),""))</f>
        <v/>
      </c>
      <c r="T258">
        <f>IF($A258="","",IFERROR(INDEX('[AQ_2023.xlsx]原始数据'!$E:$E,MATCH($A258,'[AQ_2023.xlsx]原始数据'!$A:$A,0)),""))</f>
        <v/>
      </c>
      <c r="U258">
        <f>IF($A258="","",IFERROR(INDEX('[AQ_2024.xlsx]原始数据'!$E:$E,MATCH($A258,'[AQ_2024.xlsx]原始数据'!$A:$A,0)),""))</f>
        <v/>
      </c>
      <c r="V258">
        <f>IF($A258="","",IFERROR(INDEX('[AQ_2020.xlsx]原始数据'!$F:$F,MATCH($A258,'[AQ_2020.xlsx]原始数据'!$A:$A,0)),""))</f>
        <v/>
      </c>
      <c r="W258">
        <f>IF($A258="","",IFERROR(INDEX('[AQ_2021.xlsx]原始数据'!$F:$F,MATCH($A258,'[AQ_2021.xlsx]原始数据'!$A:$A,0)),""))</f>
        <v/>
      </c>
      <c r="X258">
        <f>IF($A258="","",IFERROR(INDEX('[AQ_2022.xlsx]原始数据'!$F:$F,MATCH($A258,'[AQ_2022.xlsx]原始数据'!$A:$A,0)),""))</f>
        <v/>
      </c>
      <c r="Y258">
        <f>IF($A258="","",IFERROR(INDEX('[AQ_2023.xlsx]原始数据'!$F:$F,MATCH($A258,'[AQ_2023.xlsx]原始数据'!$A:$A,0)),""))</f>
        <v/>
      </c>
      <c r="Z258">
        <f>IF($A258="","",IFERROR(INDEX('[AQ_2024.xlsx]原始数据'!$F:$F,MATCH($A258,'[AQ_2024.xlsx]原始数据'!$A:$A,0)),""))</f>
        <v/>
      </c>
      <c r="AA258" s="2">
        <f>IFERROR(G258/B258,"")</f>
        <v/>
      </c>
      <c r="AB258" s="2">
        <f>IFERROR(H258/C258,"")</f>
        <v/>
      </c>
      <c r="AC258" s="2">
        <f>IFERROR(I258/D258,"")</f>
        <v/>
      </c>
      <c r="AD258" s="2">
        <f>IFERROR(J258/E258,"")</f>
        <v/>
      </c>
      <c r="AE258" s="2">
        <f>IFERROR(K258/F258,"")</f>
        <v/>
      </c>
      <c r="AF258" s="2">
        <f>IFERROR(L258/B258,"")</f>
        <v/>
      </c>
      <c r="AG258" s="2">
        <f>IFERROR(M258/C258,"")</f>
        <v/>
      </c>
      <c r="AH258" s="2">
        <f>IFERROR(N258/D258,"")</f>
        <v/>
      </c>
      <c r="AI258" s="2">
        <f>IFERROR(O258/E258,"")</f>
        <v/>
      </c>
      <c r="AJ258" s="2">
        <f>IFERROR(P258/F258,"")</f>
        <v/>
      </c>
      <c r="AK258" s="2">
        <f>IFERROR(Q258/B258,"")</f>
        <v/>
      </c>
      <c r="AL258" s="2">
        <f>IFERROR(R258/C258,"")</f>
        <v/>
      </c>
      <c r="AM258" s="2">
        <f>IFERROR(S258/D258,"")</f>
        <v/>
      </c>
      <c r="AN258" s="2">
        <f>IFERROR(T258/E258,"")</f>
        <v/>
      </c>
      <c r="AO258" s="2">
        <f>IFERROR(U258/F258,"")</f>
        <v/>
      </c>
    </row>
    <row r="259">
      <c r="B259">
        <f>IF($A259="","",IFERROR(INDEX('[AQ_2020.xlsx]原始数据'!$B:$B,MATCH($A259,'[AQ_2020.xlsx]原始数据'!$A:$A,0)),""))</f>
        <v/>
      </c>
      <c r="C259">
        <f>IF($A259="","",IFERROR(INDEX('[AQ_2021.xlsx]原始数据'!$B:$B,MATCH($A259,'[AQ_2021.xlsx]原始数据'!$A:$A,0)),""))</f>
        <v/>
      </c>
      <c r="D259">
        <f>IF($A259="","",IFERROR(INDEX('[AQ_2022.xlsx]原始数据'!$B:$B,MATCH($A259,'[AQ_2022.xlsx]原始数据'!$A:$A,0)),""))</f>
        <v/>
      </c>
      <c r="E259">
        <f>IF($A259="","",IFERROR(INDEX('[AQ_2023.xlsx]原始数据'!$B:$B,MATCH($A259,'[AQ_2023.xlsx]原始数据'!$A:$A,0)),""))</f>
        <v/>
      </c>
      <c r="F259">
        <f>IF($A259="","",IFERROR(INDEX('[AQ_2024.xlsx]原始数据'!$B:$B,MATCH($A259,'[AQ_2024.xlsx]原始数据'!$A:$A,0)),""))</f>
        <v/>
      </c>
      <c r="G259">
        <f>IF($A259="","",IFERROR(INDEX('[AQ_2020.xlsx]原始数据'!$C:$C,MATCH($A259,'[AQ_2020.xlsx]原始数据'!$A:$A,0)),""))</f>
        <v/>
      </c>
      <c r="H259">
        <f>IF($A259="","",IFERROR(INDEX('[AQ_2021.xlsx]原始数据'!$C:$C,MATCH($A259,'[AQ_2021.xlsx]原始数据'!$A:$A,0)),""))</f>
        <v/>
      </c>
      <c r="I259">
        <f>IF($A259="","",IFERROR(INDEX('[AQ_2022.xlsx]原始数据'!$C:$C,MATCH($A259,'[AQ_2022.xlsx]原始数据'!$A:$A,0)),""))</f>
        <v/>
      </c>
      <c r="J259">
        <f>IF($A259="","",IFERROR(INDEX('[AQ_2023.xlsx]原始数据'!$C:$C,MATCH($A259,'[AQ_2023.xlsx]原始数据'!$A:$A,0)),""))</f>
        <v/>
      </c>
      <c r="K259">
        <f>IF($A259="","",IFERROR(INDEX('[AQ_2024.xlsx]原始数据'!$C:$C,MATCH($A259,'[AQ_2024.xlsx]原始数据'!$A:$A,0)),""))</f>
        <v/>
      </c>
      <c r="L259">
        <f>IF($A259="","",IFERROR(INDEX('[AQ_2020.xlsx]原始数据'!$D:$D,MATCH($A259,'[AQ_2020.xlsx]原始数据'!$A:$A,0)),""))</f>
        <v/>
      </c>
      <c r="M259">
        <f>IF($A259="","",IFERROR(INDEX('[AQ_2021.xlsx]原始数据'!$D:$D,MATCH($A259,'[AQ_2021.xlsx]原始数据'!$A:$A,0)),""))</f>
        <v/>
      </c>
      <c r="N259">
        <f>IF($A259="","",IFERROR(INDEX('[AQ_2022.xlsx]原始数据'!$D:$D,MATCH($A259,'[AQ_2022.xlsx]原始数据'!$A:$A,0)),""))</f>
        <v/>
      </c>
      <c r="O259">
        <f>IF($A259="","",IFERROR(INDEX('[AQ_2023.xlsx]原始数据'!$D:$D,MATCH($A259,'[AQ_2023.xlsx]原始数据'!$A:$A,0)),""))</f>
        <v/>
      </c>
      <c r="P259">
        <f>IF($A259="","",IFERROR(INDEX('[AQ_2024.xlsx]原始数据'!$D:$D,MATCH($A259,'[AQ_2024.xlsx]原始数据'!$A:$A,0)),""))</f>
        <v/>
      </c>
      <c r="Q259">
        <f>IF($A259="","",IFERROR(INDEX('[AQ_2020.xlsx]原始数据'!$E:$E,MATCH($A259,'[AQ_2020.xlsx]原始数据'!$A:$A,0)),""))</f>
        <v/>
      </c>
      <c r="R259">
        <f>IF($A259="","",IFERROR(INDEX('[AQ_2021.xlsx]原始数据'!$E:$E,MATCH($A259,'[AQ_2021.xlsx]原始数据'!$A:$A,0)),""))</f>
        <v/>
      </c>
      <c r="S259">
        <f>IF($A259="","",IFERROR(INDEX('[AQ_2022.xlsx]原始数据'!$E:$E,MATCH($A259,'[AQ_2022.xlsx]原始数据'!$A:$A,0)),""))</f>
        <v/>
      </c>
      <c r="T259">
        <f>IF($A259="","",IFERROR(INDEX('[AQ_2023.xlsx]原始数据'!$E:$E,MATCH($A259,'[AQ_2023.xlsx]原始数据'!$A:$A,0)),""))</f>
        <v/>
      </c>
      <c r="U259">
        <f>IF($A259="","",IFERROR(INDEX('[AQ_2024.xlsx]原始数据'!$E:$E,MATCH($A259,'[AQ_2024.xlsx]原始数据'!$A:$A,0)),""))</f>
        <v/>
      </c>
      <c r="V259">
        <f>IF($A259="","",IFERROR(INDEX('[AQ_2020.xlsx]原始数据'!$F:$F,MATCH($A259,'[AQ_2020.xlsx]原始数据'!$A:$A,0)),""))</f>
        <v/>
      </c>
      <c r="W259">
        <f>IF($A259="","",IFERROR(INDEX('[AQ_2021.xlsx]原始数据'!$F:$F,MATCH($A259,'[AQ_2021.xlsx]原始数据'!$A:$A,0)),""))</f>
        <v/>
      </c>
      <c r="X259">
        <f>IF($A259="","",IFERROR(INDEX('[AQ_2022.xlsx]原始数据'!$F:$F,MATCH($A259,'[AQ_2022.xlsx]原始数据'!$A:$A,0)),""))</f>
        <v/>
      </c>
      <c r="Y259">
        <f>IF($A259="","",IFERROR(INDEX('[AQ_2023.xlsx]原始数据'!$F:$F,MATCH($A259,'[AQ_2023.xlsx]原始数据'!$A:$A,0)),""))</f>
        <v/>
      </c>
      <c r="Z259">
        <f>IF($A259="","",IFERROR(INDEX('[AQ_2024.xlsx]原始数据'!$F:$F,MATCH($A259,'[AQ_2024.xlsx]原始数据'!$A:$A,0)),""))</f>
        <v/>
      </c>
      <c r="AA259" s="2">
        <f>IFERROR(G259/B259,"")</f>
        <v/>
      </c>
      <c r="AB259" s="2">
        <f>IFERROR(H259/C259,"")</f>
        <v/>
      </c>
      <c r="AC259" s="2">
        <f>IFERROR(I259/D259,"")</f>
        <v/>
      </c>
      <c r="AD259" s="2">
        <f>IFERROR(J259/E259,"")</f>
        <v/>
      </c>
      <c r="AE259" s="2">
        <f>IFERROR(K259/F259,"")</f>
        <v/>
      </c>
      <c r="AF259" s="2">
        <f>IFERROR(L259/B259,"")</f>
        <v/>
      </c>
      <c r="AG259" s="2">
        <f>IFERROR(M259/C259,"")</f>
        <v/>
      </c>
      <c r="AH259" s="2">
        <f>IFERROR(N259/D259,"")</f>
        <v/>
      </c>
      <c r="AI259" s="2">
        <f>IFERROR(O259/E259,"")</f>
        <v/>
      </c>
      <c r="AJ259" s="2">
        <f>IFERROR(P259/F259,"")</f>
        <v/>
      </c>
      <c r="AK259" s="2">
        <f>IFERROR(Q259/B259,"")</f>
        <v/>
      </c>
      <c r="AL259" s="2">
        <f>IFERROR(R259/C259,"")</f>
        <v/>
      </c>
      <c r="AM259" s="2">
        <f>IFERROR(S259/D259,"")</f>
        <v/>
      </c>
      <c r="AN259" s="2">
        <f>IFERROR(T259/E259,"")</f>
        <v/>
      </c>
      <c r="AO259" s="2">
        <f>IFERROR(U259/F259,"")</f>
        <v/>
      </c>
    </row>
    <row r="260">
      <c r="B260">
        <f>IF($A260="","",IFERROR(INDEX('[AQ_2020.xlsx]原始数据'!$B:$B,MATCH($A260,'[AQ_2020.xlsx]原始数据'!$A:$A,0)),""))</f>
        <v/>
      </c>
      <c r="C260">
        <f>IF($A260="","",IFERROR(INDEX('[AQ_2021.xlsx]原始数据'!$B:$B,MATCH($A260,'[AQ_2021.xlsx]原始数据'!$A:$A,0)),""))</f>
        <v/>
      </c>
      <c r="D260">
        <f>IF($A260="","",IFERROR(INDEX('[AQ_2022.xlsx]原始数据'!$B:$B,MATCH($A260,'[AQ_2022.xlsx]原始数据'!$A:$A,0)),""))</f>
        <v/>
      </c>
      <c r="E260">
        <f>IF($A260="","",IFERROR(INDEX('[AQ_2023.xlsx]原始数据'!$B:$B,MATCH($A260,'[AQ_2023.xlsx]原始数据'!$A:$A,0)),""))</f>
        <v/>
      </c>
      <c r="F260">
        <f>IF($A260="","",IFERROR(INDEX('[AQ_2024.xlsx]原始数据'!$B:$B,MATCH($A260,'[AQ_2024.xlsx]原始数据'!$A:$A,0)),""))</f>
        <v/>
      </c>
      <c r="G260">
        <f>IF($A260="","",IFERROR(INDEX('[AQ_2020.xlsx]原始数据'!$C:$C,MATCH($A260,'[AQ_2020.xlsx]原始数据'!$A:$A,0)),""))</f>
        <v/>
      </c>
      <c r="H260">
        <f>IF($A260="","",IFERROR(INDEX('[AQ_2021.xlsx]原始数据'!$C:$C,MATCH($A260,'[AQ_2021.xlsx]原始数据'!$A:$A,0)),""))</f>
        <v/>
      </c>
      <c r="I260">
        <f>IF($A260="","",IFERROR(INDEX('[AQ_2022.xlsx]原始数据'!$C:$C,MATCH($A260,'[AQ_2022.xlsx]原始数据'!$A:$A,0)),""))</f>
        <v/>
      </c>
      <c r="J260">
        <f>IF($A260="","",IFERROR(INDEX('[AQ_2023.xlsx]原始数据'!$C:$C,MATCH($A260,'[AQ_2023.xlsx]原始数据'!$A:$A,0)),""))</f>
        <v/>
      </c>
      <c r="K260">
        <f>IF($A260="","",IFERROR(INDEX('[AQ_2024.xlsx]原始数据'!$C:$C,MATCH($A260,'[AQ_2024.xlsx]原始数据'!$A:$A,0)),""))</f>
        <v/>
      </c>
      <c r="L260">
        <f>IF($A260="","",IFERROR(INDEX('[AQ_2020.xlsx]原始数据'!$D:$D,MATCH($A260,'[AQ_2020.xlsx]原始数据'!$A:$A,0)),""))</f>
        <v/>
      </c>
      <c r="M260">
        <f>IF($A260="","",IFERROR(INDEX('[AQ_2021.xlsx]原始数据'!$D:$D,MATCH($A260,'[AQ_2021.xlsx]原始数据'!$A:$A,0)),""))</f>
        <v/>
      </c>
      <c r="N260">
        <f>IF($A260="","",IFERROR(INDEX('[AQ_2022.xlsx]原始数据'!$D:$D,MATCH($A260,'[AQ_2022.xlsx]原始数据'!$A:$A,0)),""))</f>
        <v/>
      </c>
      <c r="O260">
        <f>IF($A260="","",IFERROR(INDEX('[AQ_2023.xlsx]原始数据'!$D:$D,MATCH($A260,'[AQ_2023.xlsx]原始数据'!$A:$A,0)),""))</f>
        <v/>
      </c>
      <c r="P260">
        <f>IF($A260="","",IFERROR(INDEX('[AQ_2024.xlsx]原始数据'!$D:$D,MATCH($A260,'[AQ_2024.xlsx]原始数据'!$A:$A,0)),""))</f>
        <v/>
      </c>
      <c r="Q260">
        <f>IF($A260="","",IFERROR(INDEX('[AQ_2020.xlsx]原始数据'!$E:$E,MATCH($A260,'[AQ_2020.xlsx]原始数据'!$A:$A,0)),""))</f>
        <v/>
      </c>
      <c r="R260">
        <f>IF($A260="","",IFERROR(INDEX('[AQ_2021.xlsx]原始数据'!$E:$E,MATCH($A260,'[AQ_2021.xlsx]原始数据'!$A:$A,0)),""))</f>
        <v/>
      </c>
      <c r="S260">
        <f>IF($A260="","",IFERROR(INDEX('[AQ_2022.xlsx]原始数据'!$E:$E,MATCH($A260,'[AQ_2022.xlsx]原始数据'!$A:$A,0)),""))</f>
        <v/>
      </c>
      <c r="T260">
        <f>IF($A260="","",IFERROR(INDEX('[AQ_2023.xlsx]原始数据'!$E:$E,MATCH($A260,'[AQ_2023.xlsx]原始数据'!$A:$A,0)),""))</f>
        <v/>
      </c>
      <c r="U260">
        <f>IF($A260="","",IFERROR(INDEX('[AQ_2024.xlsx]原始数据'!$E:$E,MATCH($A260,'[AQ_2024.xlsx]原始数据'!$A:$A,0)),""))</f>
        <v/>
      </c>
      <c r="V260">
        <f>IF($A260="","",IFERROR(INDEX('[AQ_2020.xlsx]原始数据'!$F:$F,MATCH($A260,'[AQ_2020.xlsx]原始数据'!$A:$A,0)),""))</f>
        <v/>
      </c>
      <c r="W260">
        <f>IF($A260="","",IFERROR(INDEX('[AQ_2021.xlsx]原始数据'!$F:$F,MATCH($A260,'[AQ_2021.xlsx]原始数据'!$A:$A,0)),""))</f>
        <v/>
      </c>
      <c r="X260">
        <f>IF($A260="","",IFERROR(INDEX('[AQ_2022.xlsx]原始数据'!$F:$F,MATCH($A260,'[AQ_2022.xlsx]原始数据'!$A:$A,0)),""))</f>
        <v/>
      </c>
      <c r="Y260">
        <f>IF($A260="","",IFERROR(INDEX('[AQ_2023.xlsx]原始数据'!$F:$F,MATCH($A260,'[AQ_2023.xlsx]原始数据'!$A:$A,0)),""))</f>
        <v/>
      </c>
      <c r="Z260">
        <f>IF($A260="","",IFERROR(INDEX('[AQ_2024.xlsx]原始数据'!$F:$F,MATCH($A260,'[AQ_2024.xlsx]原始数据'!$A:$A,0)),""))</f>
        <v/>
      </c>
      <c r="AA260" s="2">
        <f>IFERROR(G260/B260,"")</f>
        <v/>
      </c>
      <c r="AB260" s="2">
        <f>IFERROR(H260/C260,"")</f>
        <v/>
      </c>
      <c r="AC260" s="2">
        <f>IFERROR(I260/D260,"")</f>
        <v/>
      </c>
      <c r="AD260" s="2">
        <f>IFERROR(J260/E260,"")</f>
        <v/>
      </c>
      <c r="AE260" s="2">
        <f>IFERROR(K260/F260,"")</f>
        <v/>
      </c>
      <c r="AF260" s="2">
        <f>IFERROR(L260/B260,"")</f>
        <v/>
      </c>
      <c r="AG260" s="2">
        <f>IFERROR(M260/C260,"")</f>
        <v/>
      </c>
      <c r="AH260" s="2">
        <f>IFERROR(N260/D260,"")</f>
        <v/>
      </c>
      <c r="AI260" s="2">
        <f>IFERROR(O260/E260,"")</f>
        <v/>
      </c>
      <c r="AJ260" s="2">
        <f>IFERROR(P260/F260,"")</f>
        <v/>
      </c>
      <c r="AK260" s="2">
        <f>IFERROR(Q260/B260,"")</f>
        <v/>
      </c>
      <c r="AL260" s="2">
        <f>IFERROR(R260/C260,"")</f>
        <v/>
      </c>
      <c r="AM260" s="2">
        <f>IFERROR(S260/D260,"")</f>
        <v/>
      </c>
      <c r="AN260" s="2">
        <f>IFERROR(T260/E260,"")</f>
        <v/>
      </c>
      <c r="AO260" s="2">
        <f>IFERROR(U260/F260,"")</f>
        <v/>
      </c>
    </row>
    <row r="261">
      <c r="B261">
        <f>IF($A261="","",IFERROR(INDEX('[AQ_2020.xlsx]原始数据'!$B:$B,MATCH($A261,'[AQ_2020.xlsx]原始数据'!$A:$A,0)),""))</f>
        <v/>
      </c>
      <c r="C261">
        <f>IF($A261="","",IFERROR(INDEX('[AQ_2021.xlsx]原始数据'!$B:$B,MATCH($A261,'[AQ_2021.xlsx]原始数据'!$A:$A,0)),""))</f>
        <v/>
      </c>
      <c r="D261">
        <f>IF($A261="","",IFERROR(INDEX('[AQ_2022.xlsx]原始数据'!$B:$B,MATCH($A261,'[AQ_2022.xlsx]原始数据'!$A:$A,0)),""))</f>
        <v/>
      </c>
      <c r="E261">
        <f>IF($A261="","",IFERROR(INDEX('[AQ_2023.xlsx]原始数据'!$B:$B,MATCH($A261,'[AQ_2023.xlsx]原始数据'!$A:$A,0)),""))</f>
        <v/>
      </c>
      <c r="F261">
        <f>IF($A261="","",IFERROR(INDEX('[AQ_2024.xlsx]原始数据'!$B:$B,MATCH($A261,'[AQ_2024.xlsx]原始数据'!$A:$A,0)),""))</f>
        <v/>
      </c>
      <c r="G261">
        <f>IF($A261="","",IFERROR(INDEX('[AQ_2020.xlsx]原始数据'!$C:$C,MATCH($A261,'[AQ_2020.xlsx]原始数据'!$A:$A,0)),""))</f>
        <v/>
      </c>
      <c r="H261">
        <f>IF($A261="","",IFERROR(INDEX('[AQ_2021.xlsx]原始数据'!$C:$C,MATCH($A261,'[AQ_2021.xlsx]原始数据'!$A:$A,0)),""))</f>
        <v/>
      </c>
      <c r="I261">
        <f>IF($A261="","",IFERROR(INDEX('[AQ_2022.xlsx]原始数据'!$C:$C,MATCH($A261,'[AQ_2022.xlsx]原始数据'!$A:$A,0)),""))</f>
        <v/>
      </c>
      <c r="J261">
        <f>IF($A261="","",IFERROR(INDEX('[AQ_2023.xlsx]原始数据'!$C:$C,MATCH($A261,'[AQ_2023.xlsx]原始数据'!$A:$A,0)),""))</f>
        <v/>
      </c>
      <c r="K261">
        <f>IF($A261="","",IFERROR(INDEX('[AQ_2024.xlsx]原始数据'!$C:$C,MATCH($A261,'[AQ_2024.xlsx]原始数据'!$A:$A,0)),""))</f>
        <v/>
      </c>
      <c r="L261">
        <f>IF($A261="","",IFERROR(INDEX('[AQ_2020.xlsx]原始数据'!$D:$D,MATCH($A261,'[AQ_2020.xlsx]原始数据'!$A:$A,0)),""))</f>
        <v/>
      </c>
      <c r="M261">
        <f>IF($A261="","",IFERROR(INDEX('[AQ_2021.xlsx]原始数据'!$D:$D,MATCH($A261,'[AQ_2021.xlsx]原始数据'!$A:$A,0)),""))</f>
        <v/>
      </c>
      <c r="N261">
        <f>IF($A261="","",IFERROR(INDEX('[AQ_2022.xlsx]原始数据'!$D:$D,MATCH($A261,'[AQ_2022.xlsx]原始数据'!$A:$A,0)),""))</f>
        <v/>
      </c>
      <c r="O261">
        <f>IF($A261="","",IFERROR(INDEX('[AQ_2023.xlsx]原始数据'!$D:$D,MATCH($A261,'[AQ_2023.xlsx]原始数据'!$A:$A,0)),""))</f>
        <v/>
      </c>
      <c r="P261">
        <f>IF($A261="","",IFERROR(INDEX('[AQ_2024.xlsx]原始数据'!$D:$D,MATCH($A261,'[AQ_2024.xlsx]原始数据'!$A:$A,0)),""))</f>
        <v/>
      </c>
      <c r="Q261">
        <f>IF($A261="","",IFERROR(INDEX('[AQ_2020.xlsx]原始数据'!$E:$E,MATCH($A261,'[AQ_2020.xlsx]原始数据'!$A:$A,0)),""))</f>
        <v/>
      </c>
      <c r="R261">
        <f>IF($A261="","",IFERROR(INDEX('[AQ_2021.xlsx]原始数据'!$E:$E,MATCH($A261,'[AQ_2021.xlsx]原始数据'!$A:$A,0)),""))</f>
        <v/>
      </c>
      <c r="S261">
        <f>IF($A261="","",IFERROR(INDEX('[AQ_2022.xlsx]原始数据'!$E:$E,MATCH($A261,'[AQ_2022.xlsx]原始数据'!$A:$A,0)),""))</f>
        <v/>
      </c>
      <c r="T261">
        <f>IF($A261="","",IFERROR(INDEX('[AQ_2023.xlsx]原始数据'!$E:$E,MATCH($A261,'[AQ_2023.xlsx]原始数据'!$A:$A,0)),""))</f>
        <v/>
      </c>
      <c r="U261">
        <f>IF($A261="","",IFERROR(INDEX('[AQ_2024.xlsx]原始数据'!$E:$E,MATCH($A261,'[AQ_2024.xlsx]原始数据'!$A:$A,0)),""))</f>
        <v/>
      </c>
      <c r="V261">
        <f>IF($A261="","",IFERROR(INDEX('[AQ_2020.xlsx]原始数据'!$F:$F,MATCH($A261,'[AQ_2020.xlsx]原始数据'!$A:$A,0)),""))</f>
        <v/>
      </c>
      <c r="W261">
        <f>IF($A261="","",IFERROR(INDEX('[AQ_2021.xlsx]原始数据'!$F:$F,MATCH($A261,'[AQ_2021.xlsx]原始数据'!$A:$A,0)),""))</f>
        <v/>
      </c>
      <c r="X261">
        <f>IF($A261="","",IFERROR(INDEX('[AQ_2022.xlsx]原始数据'!$F:$F,MATCH($A261,'[AQ_2022.xlsx]原始数据'!$A:$A,0)),""))</f>
        <v/>
      </c>
      <c r="Y261">
        <f>IF($A261="","",IFERROR(INDEX('[AQ_2023.xlsx]原始数据'!$F:$F,MATCH($A261,'[AQ_2023.xlsx]原始数据'!$A:$A,0)),""))</f>
        <v/>
      </c>
      <c r="Z261">
        <f>IF($A261="","",IFERROR(INDEX('[AQ_2024.xlsx]原始数据'!$F:$F,MATCH($A261,'[AQ_2024.xlsx]原始数据'!$A:$A,0)),""))</f>
        <v/>
      </c>
      <c r="AA261" s="2">
        <f>IFERROR(G261/B261,"")</f>
        <v/>
      </c>
      <c r="AB261" s="2">
        <f>IFERROR(H261/C261,"")</f>
        <v/>
      </c>
      <c r="AC261" s="2">
        <f>IFERROR(I261/D261,"")</f>
        <v/>
      </c>
      <c r="AD261" s="2">
        <f>IFERROR(J261/E261,"")</f>
        <v/>
      </c>
      <c r="AE261" s="2">
        <f>IFERROR(K261/F261,"")</f>
        <v/>
      </c>
      <c r="AF261" s="2">
        <f>IFERROR(L261/B261,"")</f>
        <v/>
      </c>
      <c r="AG261" s="2">
        <f>IFERROR(M261/C261,"")</f>
        <v/>
      </c>
      <c r="AH261" s="2">
        <f>IFERROR(N261/D261,"")</f>
        <v/>
      </c>
      <c r="AI261" s="2">
        <f>IFERROR(O261/E261,"")</f>
        <v/>
      </c>
      <c r="AJ261" s="2">
        <f>IFERROR(P261/F261,"")</f>
        <v/>
      </c>
      <c r="AK261" s="2">
        <f>IFERROR(Q261/B261,"")</f>
        <v/>
      </c>
      <c r="AL261" s="2">
        <f>IFERROR(R261/C261,"")</f>
        <v/>
      </c>
      <c r="AM261" s="2">
        <f>IFERROR(S261/D261,"")</f>
        <v/>
      </c>
      <c r="AN261" s="2">
        <f>IFERROR(T261/E261,"")</f>
        <v/>
      </c>
      <c r="AO261" s="2">
        <f>IFERROR(U261/F261,"")</f>
        <v/>
      </c>
    </row>
    <row r="262">
      <c r="B262">
        <f>IF($A262="","",IFERROR(INDEX('[AQ_2020.xlsx]原始数据'!$B:$B,MATCH($A262,'[AQ_2020.xlsx]原始数据'!$A:$A,0)),""))</f>
        <v/>
      </c>
      <c r="C262">
        <f>IF($A262="","",IFERROR(INDEX('[AQ_2021.xlsx]原始数据'!$B:$B,MATCH($A262,'[AQ_2021.xlsx]原始数据'!$A:$A,0)),""))</f>
        <v/>
      </c>
      <c r="D262">
        <f>IF($A262="","",IFERROR(INDEX('[AQ_2022.xlsx]原始数据'!$B:$B,MATCH($A262,'[AQ_2022.xlsx]原始数据'!$A:$A,0)),""))</f>
        <v/>
      </c>
      <c r="E262">
        <f>IF($A262="","",IFERROR(INDEX('[AQ_2023.xlsx]原始数据'!$B:$B,MATCH($A262,'[AQ_2023.xlsx]原始数据'!$A:$A,0)),""))</f>
        <v/>
      </c>
      <c r="F262">
        <f>IF($A262="","",IFERROR(INDEX('[AQ_2024.xlsx]原始数据'!$B:$B,MATCH($A262,'[AQ_2024.xlsx]原始数据'!$A:$A,0)),""))</f>
        <v/>
      </c>
      <c r="G262">
        <f>IF($A262="","",IFERROR(INDEX('[AQ_2020.xlsx]原始数据'!$C:$C,MATCH($A262,'[AQ_2020.xlsx]原始数据'!$A:$A,0)),""))</f>
        <v/>
      </c>
      <c r="H262">
        <f>IF($A262="","",IFERROR(INDEX('[AQ_2021.xlsx]原始数据'!$C:$C,MATCH($A262,'[AQ_2021.xlsx]原始数据'!$A:$A,0)),""))</f>
        <v/>
      </c>
      <c r="I262">
        <f>IF($A262="","",IFERROR(INDEX('[AQ_2022.xlsx]原始数据'!$C:$C,MATCH($A262,'[AQ_2022.xlsx]原始数据'!$A:$A,0)),""))</f>
        <v/>
      </c>
      <c r="J262">
        <f>IF($A262="","",IFERROR(INDEX('[AQ_2023.xlsx]原始数据'!$C:$C,MATCH($A262,'[AQ_2023.xlsx]原始数据'!$A:$A,0)),""))</f>
        <v/>
      </c>
      <c r="K262">
        <f>IF($A262="","",IFERROR(INDEX('[AQ_2024.xlsx]原始数据'!$C:$C,MATCH($A262,'[AQ_2024.xlsx]原始数据'!$A:$A,0)),""))</f>
        <v/>
      </c>
      <c r="L262">
        <f>IF($A262="","",IFERROR(INDEX('[AQ_2020.xlsx]原始数据'!$D:$D,MATCH($A262,'[AQ_2020.xlsx]原始数据'!$A:$A,0)),""))</f>
        <v/>
      </c>
      <c r="M262">
        <f>IF($A262="","",IFERROR(INDEX('[AQ_2021.xlsx]原始数据'!$D:$D,MATCH($A262,'[AQ_2021.xlsx]原始数据'!$A:$A,0)),""))</f>
        <v/>
      </c>
      <c r="N262">
        <f>IF($A262="","",IFERROR(INDEX('[AQ_2022.xlsx]原始数据'!$D:$D,MATCH($A262,'[AQ_2022.xlsx]原始数据'!$A:$A,0)),""))</f>
        <v/>
      </c>
      <c r="O262">
        <f>IF($A262="","",IFERROR(INDEX('[AQ_2023.xlsx]原始数据'!$D:$D,MATCH($A262,'[AQ_2023.xlsx]原始数据'!$A:$A,0)),""))</f>
        <v/>
      </c>
      <c r="P262">
        <f>IF($A262="","",IFERROR(INDEX('[AQ_2024.xlsx]原始数据'!$D:$D,MATCH($A262,'[AQ_2024.xlsx]原始数据'!$A:$A,0)),""))</f>
        <v/>
      </c>
      <c r="Q262">
        <f>IF($A262="","",IFERROR(INDEX('[AQ_2020.xlsx]原始数据'!$E:$E,MATCH($A262,'[AQ_2020.xlsx]原始数据'!$A:$A,0)),""))</f>
        <v/>
      </c>
      <c r="R262">
        <f>IF($A262="","",IFERROR(INDEX('[AQ_2021.xlsx]原始数据'!$E:$E,MATCH($A262,'[AQ_2021.xlsx]原始数据'!$A:$A,0)),""))</f>
        <v/>
      </c>
      <c r="S262">
        <f>IF($A262="","",IFERROR(INDEX('[AQ_2022.xlsx]原始数据'!$E:$E,MATCH($A262,'[AQ_2022.xlsx]原始数据'!$A:$A,0)),""))</f>
        <v/>
      </c>
      <c r="T262">
        <f>IF($A262="","",IFERROR(INDEX('[AQ_2023.xlsx]原始数据'!$E:$E,MATCH($A262,'[AQ_2023.xlsx]原始数据'!$A:$A,0)),""))</f>
        <v/>
      </c>
      <c r="U262">
        <f>IF($A262="","",IFERROR(INDEX('[AQ_2024.xlsx]原始数据'!$E:$E,MATCH($A262,'[AQ_2024.xlsx]原始数据'!$A:$A,0)),""))</f>
        <v/>
      </c>
      <c r="V262">
        <f>IF($A262="","",IFERROR(INDEX('[AQ_2020.xlsx]原始数据'!$F:$F,MATCH($A262,'[AQ_2020.xlsx]原始数据'!$A:$A,0)),""))</f>
        <v/>
      </c>
      <c r="W262">
        <f>IF($A262="","",IFERROR(INDEX('[AQ_2021.xlsx]原始数据'!$F:$F,MATCH($A262,'[AQ_2021.xlsx]原始数据'!$A:$A,0)),""))</f>
        <v/>
      </c>
      <c r="X262">
        <f>IF($A262="","",IFERROR(INDEX('[AQ_2022.xlsx]原始数据'!$F:$F,MATCH($A262,'[AQ_2022.xlsx]原始数据'!$A:$A,0)),""))</f>
        <v/>
      </c>
      <c r="Y262">
        <f>IF($A262="","",IFERROR(INDEX('[AQ_2023.xlsx]原始数据'!$F:$F,MATCH($A262,'[AQ_2023.xlsx]原始数据'!$A:$A,0)),""))</f>
        <v/>
      </c>
      <c r="Z262">
        <f>IF($A262="","",IFERROR(INDEX('[AQ_2024.xlsx]原始数据'!$F:$F,MATCH($A262,'[AQ_2024.xlsx]原始数据'!$A:$A,0)),""))</f>
        <v/>
      </c>
      <c r="AA262" s="2">
        <f>IFERROR(G262/B262,"")</f>
        <v/>
      </c>
      <c r="AB262" s="2">
        <f>IFERROR(H262/C262,"")</f>
        <v/>
      </c>
      <c r="AC262" s="2">
        <f>IFERROR(I262/D262,"")</f>
        <v/>
      </c>
      <c r="AD262" s="2">
        <f>IFERROR(J262/E262,"")</f>
        <v/>
      </c>
      <c r="AE262" s="2">
        <f>IFERROR(K262/F262,"")</f>
        <v/>
      </c>
      <c r="AF262" s="2">
        <f>IFERROR(L262/B262,"")</f>
        <v/>
      </c>
      <c r="AG262" s="2">
        <f>IFERROR(M262/C262,"")</f>
        <v/>
      </c>
      <c r="AH262" s="2">
        <f>IFERROR(N262/D262,"")</f>
        <v/>
      </c>
      <c r="AI262" s="2">
        <f>IFERROR(O262/E262,"")</f>
        <v/>
      </c>
      <c r="AJ262" s="2">
        <f>IFERROR(P262/F262,"")</f>
        <v/>
      </c>
      <c r="AK262" s="2">
        <f>IFERROR(Q262/B262,"")</f>
        <v/>
      </c>
      <c r="AL262" s="2">
        <f>IFERROR(R262/C262,"")</f>
        <v/>
      </c>
      <c r="AM262" s="2">
        <f>IFERROR(S262/D262,"")</f>
        <v/>
      </c>
      <c r="AN262" s="2">
        <f>IFERROR(T262/E262,"")</f>
        <v/>
      </c>
      <c r="AO262" s="2">
        <f>IFERROR(U262/F262,"")</f>
        <v/>
      </c>
    </row>
    <row r="263">
      <c r="B263">
        <f>IF($A263="","",IFERROR(INDEX('[AQ_2020.xlsx]原始数据'!$B:$B,MATCH($A263,'[AQ_2020.xlsx]原始数据'!$A:$A,0)),""))</f>
        <v/>
      </c>
      <c r="C263">
        <f>IF($A263="","",IFERROR(INDEX('[AQ_2021.xlsx]原始数据'!$B:$B,MATCH($A263,'[AQ_2021.xlsx]原始数据'!$A:$A,0)),""))</f>
        <v/>
      </c>
      <c r="D263">
        <f>IF($A263="","",IFERROR(INDEX('[AQ_2022.xlsx]原始数据'!$B:$B,MATCH($A263,'[AQ_2022.xlsx]原始数据'!$A:$A,0)),""))</f>
        <v/>
      </c>
      <c r="E263">
        <f>IF($A263="","",IFERROR(INDEX('[AQ_2023.xlsx]原始数据'!$B:$B,MATCH($A263,'[AQ_2023.xlsx]原始数据'!$A:$A,0)),""))</f>
        <v/>
      </c>
      <c r="F263">
        <f>IF($A263="","",IFERROR(INDEX('[AQ_2024.xlsx]原始数据'!$B:$B,MATCH($A263,'[AQ_2024.xlsx]原始数据'!$A:$A,0)),""))</f>
        <v/>
      </c>
      <c r="G263">
        <f>IF($A263="","",IFERROR(INDEX('[AQ_2020.xlsx]原始数据'!$C:$C,MATCH($A263,'[AQ_2020.xlsx]原始数据'!$A:$A,0)),""))</f>
        <v/>
      </c>
      <c r="H263">
        <f>IF($A263="","",IFERROR(INDEX('[AQ_2021.xlsx]原始数据'!$C:$C,MATCH($A263,'[AQ_2021.xlsx]原始数据'!$A:$A,0)),""))</f>
        <v/>
      </c>
      <c r="I263">
        <f>IF($A263="","",IFERROR(INDEX('[AQ_2022.xlsx]原始数据'!$C:$C,MATCH($A263,'[AQ_2022.xlsx]原始数据'!$A:$A,0)),""))</f>
        <v/>
      </c>
      <c r="J263">
        <f>IF($A263="","",IFERROR(INDEX('[AQ_2023.xlsx]原始数据'!$C:$C,MATCH($A263,'[AQ_2023.xlsx]原始数据'!$A:$A,0)),""))</f>
        <v/>
      </c>
      <c r="K263">
        <f>IF($A263="","",IFERROR(INDEX('[AQ_2024.xlsx]原始数据'!$C:$C,MATCH($A263,'[AQ_2024.xlsx]原始数据'!$A:$A,0)),""))</f>
        <v/>
      </c>
      <c r="L263">
        <f>IF($A263="","",IFERROR(INDEX('[AQ_2020.xlsx]原始数据'!$D:$D,MATCH($A263,'[AQ_2020.xlsx]原始数据'!$A:$A,0)),""))</f>
        <v/>
      </c>
      <c r="M263">
        <f>IF($A263="","",IFERROR(INDEX('[AQ_2021.xlsx]原始数据'!$D:$D,MATCH($A263,'[AQ_2021.xlsx]原始数据'!$A:$A,0)),""))</f>
        <v/>
      </c>
      <c r="N263">
        <f>IF($A263="","",IFERROR(INDEX('[AQ_2022.xlsx]原始数据'!$D:$D,MATCH($A263,'[AQ_2022.xlsx]原始数据'!$A:$A,0)),""))</f>
        <v/>
      </c>
      <c r="O263">
        <f>IF($A263="","",IFERROR(INDEX('[AQ_2023.xlsx]原始数据'!$D:$D,MATCH($A263,'[AQ_2023.xlsx]原始数据'!$A:$A,0)),""))</f>
        <v/>
      </c>
      <c r="P263">
        <f>IF($A263="","",IFERROR(INDEX('[AQ_2024.xlsx]原始数据'!$D:$D,MATCH($A263,'[AQ_2024.xlsx]原始数据'!$A:$A,0)),""))</f>
        <v/>
      </c>
      <c r="Q263">
        <f>IF($A263="","",IFERROR(INDEX('[AQ_2020.xlsx]原始数据'!$E:$E,MATCH($A263,'[AQ_2020.xlsx]原始数据'!$A:$A,0)),""))</f>
        <v/>
      </c>
      <c r="R263">
        <f>IF($A263="","",IFERROR(INDEX('[AQ_2021.xlsx]原始数据'!$E:$E,MATCH($A263,'[AQ_2021.xlsx]原始数据'!$A:$A,0)),""))</f>
        <v/>
      </c>
      <c r="S263">
        <f>IF($A263="","",IFERROR(INDEX('[AQ_2022.xlsx]原始数据'!$E:$E,MATCH($A263,'[AQ_2022.xlsx]原始数据'!$A:$A,0)),""))</f>
        <v/>
      </c>
      <c r="T263">
        <f>IF($A263="","",IFERROR(INDEX('[AQ_2023.xlsx]原始数据'!$E:$E,MATCH($A263,'[AQ_2023.xlsx]原始数据'!$A:$A,0)),""))</f>
        <v/>
      </c>
      <c r="U263">
        <f>IF($A263="","",IFERROR(INDEX('[AQ_2024.xlsx]原始数据'!$E:$E,MATCH($A263,'[AQ_2024.xlsx]原始数据'!$A:$A,0)),""))</f>
        <v/>
      </c>
      <c r="V263">
        <f>IF($A263="","",IFERROR(INDEX('[AQ_2020.xlsx]原始数据'!$F:$F,MATCH($A263,'[AQ_2020.xlsx]原始数据'!$A:$A,0)),""))</f>
        <v/>
      </c>
      <c r="W263">
        <f>IF($A263="","",IFERROR(INDEX('[AQ_2021.xlsx]原始数据'!$F:$F,MATCH($A263,'[AQ_2021.xlsx]原始数据'!$A:$A,0)),""))</f>
        <v/>
      </c>
      <c r="X263">
        <f>IF($A263="","",IFERROR(INDEX('[AQ_2022.xlsx]原始数据'!$F:$F,MATCH($A263,'[AQ_2022.xlsx]原始数据'!$A:$A,0)),""))</f>
        <v/>
      </c>
      <c r="Y263">
        <f>IF($A263="","",IFERROR(INDEX('[AQ_2023.xlsx]原始数据'!$F:$F,MATCH($A263,'[AQ_2023.xlsx]原始数据'!$A:$A,0)),""))</f>
        <v/>
      </c>
      <c r="Z263">
        <f>IF($A263="","",IFERROR(INDEX('[AQ_2024.xlsx]原始数据'!$F:$F,MATCH($A263,'[AQ_2024.xlsx]原始数据'!$A:$A,0)),""))</f>
        <v/>
      </c>
      <c r="AA263" s="2">
        <f>IFERROR(G263/B263,"")</f>
        <v/>
      </c>
      <c r="AB263" s="2">
        <f>IFERROR(H263/C263,"")</f>
        <v/>
      </c>
      <c r="AC263" s="2">
        <f>IFERROR(I263/D263,"")</f>
        <v/>
      </c>
      <c r="AD263" s="2">
        <f>IFERROR(J263/E263,"")</f>
        <v/>
      </c>
      <c r="AE263" s="2">
        <f>IFERROR(K263/F263,"")</f>
        <v/>
      </c>
      <c r="AF263" s="2">
        <f>IFERROR(L263/B263,"")</f>
        <v/>
      </c>
      <c r="AG263" s="2">
        <f>IFERROR(M263/C263,"")</f>
        <v/>
      </c>
      <c r="AH263" s="2">
        <f>IFERROR(N263/D263,"")</f>
        <v/>
      </c>
      <c r="AI263" s="2">
        <f>IFERROR(O263/E263,"")</f>
        <v/>
      </c>
      <c r="AJ263" s="2">
        <f>IFERROR(P263/F263,"")</f>
        <v/>
      </c>
      <c r="AK263" s="2">
        <f>IFERROR(Q263/B263,"")</f>
        <v/>
      </c>
      <c r="AL263" s="2">
        <f>IFERROR(R263/C263,"")</f>
        <v/>
      </c>
      <c r="AM263" s="2">
        <f>IFERROR(S263/D263,"")</f>
        <v/>
      </c>
      <c r="AN263" s="2">
        <f>IFERROR(T263/E263,"")</f>
        <v/>
      </c>
      <c r="AO263" s="2">
        <f>IFERROR(U263/F263,"")</f>
        <v/>
      </c>
    </row>
    <row r="264">
      <c r="B264">
        <f>IF($A264="","",IFERROR(INDEX('[AQ_2020.xlsx]原始数据'!$B:$B,MATCH($A264,'[AQ_2020.xlsx]原始数据'!$A:$A,0)),""))</f>
        <v/>
      </c>
      <c r="C264">
        <f>IF($A264="","",IFERROR(INDEX('[AQ_2021.xlsx]原始数据'!$B:$B,MATCH($A264,'[AQ_2021.xlsx]原始数据'!$A:$A,0)),""))</f>
        <v/>
      </c>
      <c r="D264">
        <f>IF($A264="","",IFERROR(INDEX('[AQ_2022.xlsx]原始数据'!$B:$B,MATCH($A264,'[AQ_2022.xlsx]原始数据'!$A:$A,0)),""))</f>
        <v/>
      </c>
      <c r="E264">
        <f>IF($A264="","",IFERROR(INDEX('[AQ_2023.xlsx]原始数据'!$B:$B,MATCH($A264,'[AQ_2023.xlsx]原始数据'!$A:$A,0)),""))</f>
        <v/>
      </c>
      <c r="F264">
        <f>IF($A264="","",IFERROR(INDEX('[AQ_2024.xlsx]原始数据'!$B:$B,MATCH($A264,'[AQ_2024.xlsx]原始数据'!$A:$A,0)),""))</f>
        <v/>
      </c>
      <c r="G264">
        <f>IF($A264="","",IFERROR(INDEX('[AQ_2020.xlsx]原始数据'!$C:$C,MATCH($A264,'[AQ_2020.xlsx]原始数据'!$A:$A,0)),""))</f>
        <v/>
      </c>
      <c r="H264">
        <f>IF($A264="","",IFERROR(INDEX('[AQ_2021.xlsx]原始数据'!$C:$C,MATCH($A264,'[AQ_2021.xlsx]原始数据'!$A:$A,0)),""))</f>
        <v/>
      </c>
      <c r="I264">
        <f>IF($A264="","",IFERROR(INDEX('[AQ_2022.xlsx]原始数据'!$C:$C,MATCH($A264,'[AQ_2022.xlsx]原始数据'!$A:$A,0)),""))</f>
        <v/>
      </c>
      <c r="J264">
        <f>IF($A264="","",IFERROR(INDEX('[AQ_2023.xlsx]原始数据'!$C:$C,MATCH($A264,'[AQ_2023.xlsx]原始数据'!$A:$A,0)),""))</f>
        <v/>
      </c>
      <c r="K264">
        <f>IF($A264="","",IFERROR(INDEX('[AQ_2024.xlsx]原始数据'!$C:$C,MATCH($A264,'[AQ_2024.xlsx]原始数据'!$A:$A,0)),""))</f>
        <v/>
      </c>
      <c r="L264">
        <f>IF($A264="","",IFERROR(INDEX('[AQ_2020.xlsx]原始数据'!$D:$D,MATCH($A264,'[AQ_2020.xlsx]原始数据'!$A:$A,0)),""))</f>
        <v/>
      </c>
      <c r="M264">
        <f>IF($A264="","",IFERROR(INDEX('[AQ_2021.xlsx]原始数据'!$D:$D,MATCH($A264,'[AQ_2021.xlsx]原始数据'!$A:$A,0)),""))</f>
        <v/>
      </c>
      <c r="N264">
        <f>IF($A264="","",IFERROR(INDEX('[AQ_2022.xlsx]原始数据'!$D:$D,MATCH($A264,'[AQ_2022.xlsx]原始数据'!$A:$A,0)),""))</f>
        <v/>
      </c>
      <c r="O264">
        <f>IF($A264="","",IFERROR(INDEX('[AQ_2023.xlsx]原始数据'!$D:$D,MATCH($A264,'[AQ_2023.xlsx]原始数据'!$A:$A,0)),""))</f>
        <v/>
      </c>
      <c r="P264">
        <f>IF($A264="","",IFERROR(INDEX('[AQ_2024.xlsx]原始数据'!$D:$D,MATCH($A264,'[AQ_2024.xlsx]原始数据'!$A:$A,0)),""))</f>
        <v/>
      </c>
      <c r="Q264">
        <f>IF($A264="","",IFERROR(INDEX('[AQ_2020.xlsx]原始数据'!$E:$E,MATCH($A264,'[AQ_2020.xlsx]原始数据'!$A:$A,0)),""))</f>
        <v/>
      </c>
      <c r="R264">
        <f>IF($A264="","",IFERROR(INDEX('[AQ_2021.xlsx]原始数据'!$E:$E,MATCH($A264,'[AQ_2021.xlsx]原始数据'!$A:$A,0)),""))</f>
        <v/>
      </c>
      <c r="S264">
        <f>IF($A264="","",IFERROR(INDEX('[AQ_2022.xlsx]原始数据'!$E:$E,MATCH($A264,'[AQ_2022.xlsx]原始数据'!$A:$A,0)),""))</f>
        <v/>
      </c>
      <c r="T264">
        <f>IF($A264="","",IFERROR(INDEX('[AQ_2023.xlsx]原始数据'!$E:$E,MATCH($A264,'[AQ_2023.xlsx]原始数据'!$A:$A,0)),""))</f>
        <v/>
      </c>
      <c r="U264">
        <f>IF($A264="","",IFERROR(INDEX('[AQ_2024.xlsx]原始数据'!$E:$E,MATCH($A264,'[AQ_2024.xlsx]原始数据'!$A:$A,0)),""))</f>
        <v/>
      </c>
      <c r="V264">
        <f>IF($A264="","",IFERROR(INDEX('[AQ_2020.xlsx]原始数据'!$F:$F,MATCH($A264,'[AQ_2020.xlsx]原始数据'!$A:$A,0)),""))</f>
        <v/>
      </c>
      <c r="W264">
        <f>IF($A264="","",IFERROR(INDEX('[AQ_2021.xlsx]原始数据'!$F:$F,MATCH($A264,'[AQ_2021.xlsx]原始数据'!$A:$A,0)),""))</f>
        <v/>
      </c>
      <c r="X264">
        <f>IF($A264="","",IFERROR(INDEX('[AQ_2022.xlsx]原始数据'!$F:$F,MATCH($A264,'[AQ_2022.xlsx]原始数据'!$A:$A,0)),""))</f>
        <v/>
      </c>
      <c r="Y264">
        <f>IF($A264="","",IFERROR(INDEX('[AQ_2023.xlsx]原始数据'!$F:$F,MATCH($A264,'[AQ_2023.xlsx]原始数据'!$A:$A,0)),""))</f>
        <v/>
      </c>
      <c r="Z264">
        <f>IF($A264="","",IFERROR(INDEX('[AQ_2024.xlsx]原始数据'!$F:$F,MATCH($A264,'[AQ_2024.xlsx]原始数据'!$A:$A,0)),""))</f>
        <v/>
      </c>
      <c r="AA264" s="2">
        <f>IFERROR(G264/B264,"")</f>
        <v/>
      </c>
      <c r="AB264" s="2">
        <f>IFERROR(H264/C264,"")</f>
        <v/>
      </c>
      <c r="AC264" s="2">
        <f>IFERROR(I264/D264,"")</f>
        <v/>
      </c>
      <c r="AD264" s="2">
        <f>IFERROR(J264/E264,"")</f>
        <v/>
      </c>
      <c r="AE264" s="2">
        <f>IFERROR(K264/F264,"")</f>
        <v/>
      </c>
      <c r="AF264" s="2">
        <f>IFERROR(L264/B264,"")</f>
        <v/>
      </c>
      <c r="AG264" s="2">
        <f>IFERROR(M264/C264,"")</f>
        <v/>
      </c>
      <c r="AH264" s="2">
        <f>IFERROR(N264/D264,"")</f>
        <v/>
      </c>
      <c r="AI264" s="2">
        <f>IFERROR(O264/E264,"")</f>
        <v/>
      </c>
      <c r="AJ264" s="2">
        <f>IFERROR(P264/F264,"")</f>
        <v/>
      </c>
      <c r="AK264" s="2">
        <f>IFERROR(Q264/B264,"")</f>
        <v/>
      </c>
      <c r="AL264" s="2">
        <f>IFERROR(R264/C264,"")</f>
        <v/>
      </c>
      <c r="AM264" s="2">
        <f>IFERROR(S264/D264,"")</f>
        <v/>
      </c>
      <c r="AN264" s="2">
        <f>IFERROR(T264/E264,"")</f>
        <v/>
      </c>
      <c r="AO264" s="2">
        <f>IFERROR(U264/F264,"")</f>
        <v/>
      </c>
    </row>
    <row r="265">
      <c r="B265">
        <f>IF($A265="","",IFERROR(INDEX('[AQ_2020.xlsx]原始数据'!$B:$B,MATCH($A265,'[AQ_2020.xlsx]原始数据'!$A:$A,0)),""))</f>
        <v/>
      </c>
      <c r="C265">
        <f>IF($A265="","",IFERROR(INDEX('[AQ_2021.xlsx]原始数据'!$B:$B,MATCH($A265,'[AQ_2021.xlsx]原始数据'!$A:$A,0)),""))</f>
        <v/>
      </c>
      <c r="D265">
        <f>IF($A265="","",IFERROR(INDEX('[AQ_2022.xlsx]原始数据'!$B:$B,MATCH($A265,'[AQ_2022.xlsx]原始数据'!$A:$A,0)),""))</f>
        <v/>
      </c>
      <c r="E265">
        <f>IF($A265="","",IFERROR(INDEX('[AQ_2023.xlsx]原始数据'!$B:$B,MATCH($A265,'[AQ_2023.xlsx]原始数据'!$A:$A,0)),""))</f>
        <v/>
      </c>
      <c r="F265">
        <f>IF($A265="","",IFERROR(INDEX('[AQ_2024.xlsx]原始数据'!$B:$B,MATCH($A265,'[AQ_2024.xlsx]原始数据'!$A:$A,0)),""))</f>
        <v/>
      </c>
      <c r="G265">
        <f>IF($A265="","",IFERROR(INDEX('[AQ_2020.xlsx]原始数据'!$C:$C,MATCH($A265,'[AQ_2020.xlsx]原始数据'!$A:$A,0)),""))</f>
        <v/>
      </c>
      <c r="H265">
        <f>IF($A265="","",IFERROR(INDEX('[AQ_2021.xlsx]原始数据'!$C:$C,MATCH($A265,'[AQ_2021.xlsx]原始数据'!$A:$A,0)),""))</f>
        <v/>
      </c>
      <c r="I265">
        <f>IF($A265="","",IFERROR(INDEX('[AQ_2022.xlsx]原始数据'!$C:$C,MATCH($A265,'[AQ_2022.xlsx]原始数据'!$A:$A,0)),""))</f>
        <v/>
      </c>
      <c r="J265">
        <f>IF($A265="","",IFERROR(INDEX('[AQ_2023.xlsx]原始数据'!$C:$C,MATCH($A265,'[AQ_2023.xlsx]原始数据'!$A:$A,0)),""))</f>
        <v/>
      </c>
      <c r="K265">
        <f>IF($A265="","",IFERROR(INDEX('[AQ_2024.xlsx]原始数据'!$C:$C,MATCH($A265,'[AQ_2024.xlsx]原始数据'!$A:$A,0)),""))</f>
        <v/>
      </c>
      <c r="L265">
        <f>IF($A265="","",IFERROR(INDEX('[AQ_2020.xlsx]原始数据'!$D:$D,MATCH($A265,'[AQ_2020.xlsx]原始数据'!$A:$A,0)),""))</f>
        <v/>
      </c>
      <c r="M265">
        <f>IF($A265="","",IFERROR(INDEX('[AQ_2021.xlsx]原始数据'!$D:$D,MATCH($A265,'[AQ_2021.xlsx]原始数据'!$A:$A,0)),""))</f>
        <v/>
      </c>
      <c r="N265">
        <f>IF($A265="","",IFERROR(INDEX('[AQ_2022.xlsx]原始数据'!$D:$D,MATCH($A265,'[AQ_2022.xlsx]原始数据'!$A:$A,0)),""))</f>
        <v/>
      </c>
      <c r="O265">
        <f>IF($A265="","",IFERROR(INDEX('[AQ_2023.xlsx]原始数据'!$D:$D,MATCH($A265,'[AQ_2023.xlsx]原始数据'!$A:$A,0)),""))</f>
        <v/>
      </c>
      <c r="P265">
        <f>IF($A265="","",IFERROR(INDEX('[AQ_2024.xlsx]原始数据'!$D:$D,MATCH($A265,'[AQ_2024.xlsx]原始数据'!$A:$A,0)),""))</f>
        <v/>
      </c>
      <c r="Q265">
        <f>IF($A265="","",IFERROR(INDEX('[AQ_2020.xlsx]原始数据'!$E:$E,MATCH($A265,'[AQ_2020.xlsx]原始数据'!$A:$A,0)),""))</f>
        <v/>
      </c>
      <c r="R265">
        <f>IF($A265="","",IFERROR(INDEX('[AQ_2021.xlsx]原始数据'!$E:$E,MATCH($A265,'[AQ_2021.xlsx]原始数据'!$A:$A,0)),""))</f>
        <v/>
      </c>
      <c r="S265">
        <f>IF($A265="","",IFERROR(INDEX('[AQ_2022.xlsx]原始数据'!$E:$E,MATCH($A265,'[AQ_2022.xlsx]原始数据'!$A:$A,0)),""))</f>
        <v/>
      </c>
      <c r="T265">
        <f>IF($A265="","",IFERROR(INDEX('[AQ_2023.xlsx]原始数据'!$E:$E,MATCH($A265,'[AQ_2023.xlsx]原始数据'!$A:$A,0)),""))</f>
        <v/>
      </c>
      <c r="U265">
        <f>IF($A265="","",IFERROR(INDEX('[AQ_2024.xlsx]原始数据'!$E:$E,MATCH($A265,'[AQ_2024.xlsx]原始数据'!$A:$A,0)),""))</f>
        <v/>
      </c>
      <c r="V265">
        <f>IF($A265="","",IFERROR(INDEX('[AQ_2020.xlsx]原始数据'!$F:$F,MATCH($A265,'[AQ_2020.xlsx]原始数据'!$A:$A,0)),""))</f>
        <v/>
      </c>
      <c r="W265">
        <f>IF($A265="","",IFERROR(INDEX('[AQ_2021.xlsx]原始数据'!$F:$F,MATCH($A265,'[AQ_2021.xlsx]原始数据'!$A:$A,0)),""))</f>
        <v/>
      </c>
      <c r="X265">
        <f>IF($A265="","",IFERROR(INDEX('[AQ_2022.xlsx]原始数据'!$F:$F,MATCH($A265,'[AQ_2022.xlsx]原始数据'!$A:$A,0)),""))</f>
        <v/>
      </c>
      <c r="Y265">
        <f>IF($A265="","",IFERROR(INDEX('[AQ_2023.xlsx]原始数据'!$F:$F,MATCH($A265,'[AQ_2023.xlsx]原始数据'!$A:$A,0)),""))</f>
        <v/>
      </c>
      <c r="Z265">
        <f>IF($A265="","",IFERROR(INDEX('[AQ_2024.xlsx]原始数据'!$F:$F,MATCH($A265,'[AQ_2024.xlsx]原始数据'!$A:$A,0)),""))</f>
        <v/>
      </c>
      <c r="AA265" s="2">
        <f>IFERROR(G265/B265,"")</f>
        <v/>
      </c>
      <c r="AB265" s="2">
        <f>IFERROR(H265/C265,"")</f>
        <v/>
      </c>
      <c r="AC265" s="2">
        <f>IFERROR(I265/D265,"")</f>
        <v/>
      </c>
      <c r="AD265" s="2">
        <f>IFERROR(J265/E265,"")</f>
        <v/>
      </c>
      <c r="AE265" s="2">
        <f>IFERROR(K265/F265,"")</f>
        <v/>
      </c>
      <c r="AF265" s="2">
        <f>IFERROR(L265/B265,"")</f>
        <v/>
      </c>
      <c r="AG265" s="2">
        <f>IFERROR(M265/C265,"")</f>
        <v/>
      </c>
      <c r="AH265" s="2">
        <f>IFERROR(N265/D265,"")</f>
        <v/>
      </c>
      <c r="AI265" s="2">
        <f>IFERROR(O265/E265,"")</f>
        <v/>
      </c>
      <c r="AJ265" s="2">
        <f>IFERROR(P265/F265,"")</f>
        <v/>
      </c>
      <c r="AK265" s="2">
        <f>IFERROR(Q265/B265,"")</f>
        <v/>
      </c>
      <c r="AL265" s="2">
        <f>IFERROR(R265/C265,"")</f>
        <v/>
      </c>
      <c r="AM265" s="2">
        <f>IFERROR(S265/D265,"")</f>
        <v/>
      </c>
      <c r="AN265" s="2">
        <f>IFERROR(T265/E265,"")</f>
        <v/>
      </c>
      <c r="AO265" s="2">
        <f>IFERROR(U265/F265,"")</f>
        <v/>
      </c>
    </row>
    <row r="266">
      <c r="B266">
        <f>IF($A266="","",IFERROR(INDEX('[AQ_2020.xlsx]原始数据'!$B:$B,MATCH($A266,'[AQ_2020.xlsx]原始数据'!$A:$A,0)),""))</f>
        <v/>
      </c>
      <c r="C266">
        <f>IF($A266="","",IFERROR(INDEX('[AQ_2021.xlsx]原始数据'!$B:$B,MATCH($A266,'[AQ_2021.xlsx]原始数据'!$A:$A,0)),""))</f>
        <v/>
      </c>
      <c r="D266">
        <f>IF($A266="","",IFERROR(INDEX('[AQ_2022.xlsx]原始数据'!$B:$B,MATCH($A266,'[AQ_2022.xlsx]原始数据'!$A:$A,0)),""))</f>
        <v/>
      </c>
      <c r="E266">
        <f>IF($A266="","",IFERROR(INDEX('[AQ_2023.xlsx]原始数据'!$B:$B,MATCH($A266,'[AQ_2023.xlsx]原始数据'!$A:$A,0)),""))</f>
        <v/>
      </c>
      <c r="F266">
        <f>IF($A266="","",IFERROR(INDEX('[AQ_2024.xlsx]原始数据'!$B:$B,MATCH($A266,'[AQ_2024.xlsx]原始数据'!$A:$A,0)),""))</f>
        <v/>
      </c>
      <c r="G266">
        <f>IF($A266="","",IFERROR(INDEX('[AQ_2020.xlsx]原始数据'!$C:$C,MATCH($A266,'[AQ_2020.xlsx]原始数据'!$A:$A,0)),""))</f>
        <v/>
      </c>
      <c r="H266">
        <f>IF($A266="","",IFERROR(INDEX('[AQ_2021.xlsx]原始数据'!$C:$C,MATCH($A266,'[AQ_2021.xlsx]原始数据'!$A:$A,0)),""))</f>
        <v/>
      </c>
      <c r="I266">
        <f>IF($A266="","",IFERROR(INDEX('[AQ_2022.xlsx]原始数据'!$C:$C,MATCH($A266,'[AQ_2022.xlsx]原始数据'!$A:$A,0)),""))</f>
        <v/>
      </c>
      <c r="J266">
        <f>IF($A266="","",IFERROR(INDEX('[AQ_2023.xlsx]原始数据'!$C:$C,MATCH($A266,'[AQ_2023.xlsx]原始数据'!$A:$A,0)),""))</f>
        <v/>
      </c>
      <c r="K266">
        <f>IF($A266="","",IFERROR(INDEX('[AQ_2024.xlsx]原始数据'!$C:$C,MATCH($A266,'[AQ_2024.xlsx]原始数据'!$A:$A,0)),""))</f>
        <v/>
      </c>
      <c r="L266">
        <f>IF($A266="","",IFERROR(INDEX('[AQ_2020.xlsx]原始数据'!$D:$D,MATCH($A266,'[AQ_2020.xlsx]原始数据'!$A:$A,0)),""))</f>
        <v/>
      </c>
      <c r="M266">
        <f>IF($A266="","",IFERROR(INDEX('[AQ_2021.xlsx]原始数据'!$D:$D,MATCH($A266,'[AQ_2021.xlsx]原始数据'!$A:$A,0)),""))</f>
        <v/>
      </c>
      <c r="N266">
        <f>IF($A266="","",IFERROR(INDEX('[AQ_2022.xlsx]原始数据'!$D:$D,MATCH($A266,'[AQ_2022.xlsx]原始数据'!$A:$A,0)),""))</f>
        <v/>
      </c>
      <c r="O266">
        <f>IF($A266="","",IFERROR(INDEX('[AQ_2023.xlsx]原始数据'!$D:$D,MATCH($A266,'[AQ_2023.xlsx]原始数据'!$A:$A,0)),""))</f>
        <v/>
      </c>
      <c r="P266">
        <f>IF($A266="","",IFERROR(INDEX('[AQ_2024.xlsx]原始数据'!$D:$D,MATCH($A266,'[AQ_2024.xlsx]原始数据'!$A:$A,0)),""))</f>
        <v/>
      </c>
      <c r="Q266">
        <f>IF($A266="","",IFERROR(INDEX('[AQ_2020.xlsx]原始数据'!$E:$E,MATCH($A266,'[AQ_2020.xlsx]原始数据'!$A:$A,0)),""))</f>
        <v/>
      </c>
      <c r="R266">
        <f>IF($A266="","",IFERROR(INDEX('[AQ_2021.xlsx]原始数据'!$E:$E,MATCH($A266,'[AQ_2021.xlsx]原始数据'!$A:$A,0)),""))</f>
        <v/>
      </c>
      <c r="S266">
        <f>IF($A266="","",IFERROR(INDEX('[AQ_2022.xlsx]原始数据'!$E:$E,MATCH($A266,'[AQ_2022.xlsx]原始数据'!$A:$A,0)),""))</f>
        <v/>
      </c>
      <c r="T266">
        <f>IF($A266="","",IFERROR(INDEX('[AQ_2023.xlsx]原始数据'!$E:$E,MATCH($A266,'[AQ_2023.xlsx]原始数据'!$A:$A,0)),""))</f>
        <v/>
      </c>
      <c r="U266">
        <f>IF($A266="","",IFERROR(INDEX('[AQ_2024.xlsx]原始数据'!$E:$E,MATCH($A266,'[AQ_2024.xlsx]原始数据'!$A:$A,0)),""))</f>
        <v/>
      </c>
      <c r="V266">
        <f>IF($A266="","",IFERROR(INDEX('[AQ_2020.xlsx]原始数据'!$F:$F,MATCH($A266,'[AQ_2020.xlsx]原始数据'!$A:$A,0)),""))</f>
        <v/>
      </c>
      <c r="W266">
        <f>IF($A266="","",IFERROR(INDEX('[AQ_2021.xlsx]原始数据'!$F:$F,MATCH($A266,'[AQ_2021.xlsx]原始数据'!$A:$A,0)),""))</f>
        <v/>
      </c>
      <c r="X266">
        <f>IF($A266="","",IFERROR(INDEX('[AQ_2022.xlsx]原始数据'!$F:$F,MATCH($A266,'[AQ_2022.xlsx]原始数据'!$A:$A,0)),""))</f>
        <v/>
      </c>
      <c r="Y266">
        <f>IF($A266="","",IFERROR(INDEX('[AQ_2023.xlsx]原始数据'!$F:$F,MATCH($A266,'[AQ_2023.xlsx]原始数据'!$A:$A,0)),""))</f>
        <v/>
      </c>
      <c r="Z266">
        <f>IF($A266="","",IFERROR(INDEX('[AQ_2024.xlsx]原始数据'!$F:$F,MATCH($A266,'[AQ_2024.xlsx]原始数据'!$A:$A,0)),""))</f>
        <v/>
      </c>
      <c r="AA266" s="2">
        <f>IFERROR(G266/B266,"")</f>
        <v/>
      </c>
      <c r="AB266" s="2">
        <f>IFERROR(H266/C266,"")</f>
        <v/>
      </c>
      <c r="AC266" s="2">
        <f>IFERROR(I266/D266,"")</f>
        <v/>
      </c>
      <c r="AD266" s="2">
        <f>IFERROR(J266/E266,"")</f>
        <v/>
      </c>
      <c r="AE266" s="2">
        <f>IFERROR(K266/F266,"")</f>
        <v/>
      </c>
      <c r="AF266" s="2">
        <f>IFERROR(L266/B266,"")</f>
        <v/>
      </c>
      <c r="AG266" s="2">
        <f>IFERROR(M266/C266,"")</f>
        <v/>
      </c>
      <c r="AH266" s="2">
        <f>IFERROR(N266/D266,"")</f>
        <v/>
      </c>
      <c r="AI266" s="2">
        <f>IFERROR(O266/E266,"")</f>
        <v/>
      </c>
      <c r="AJ266" s="2">
        <f>IFERROR(P266/F266,"")</f>
        <v/>
      </c>
      <c r="AK266" s="2">
        <f>IFERROR(Q266/B266,"")</f>
        <v/>
      </c>
      <c r="AL266" s="2">
        <f>IFERROR(R266/C266,"")</f>
        <v/>
      </c>
      <c r="AM266" s="2">
        <f>IFERROR(S266/D266,"")</f>
        <v/>
      </c>
      <c r="AN266" s="2">
        <f>IFERROR(T266/E266,"")</f>
        <v/>
      </c>
      <c r="AO266" s="2">
        <f>IFERROR(U266/F266,"")</f>
        <v/>
      </c>
    </row>
    <row r="267">
      <c r="B267">
        <f>IF($A267="","",IFERROR(INDEX('[AQ_2020.xlsx]原始数据'!$B:$B,MATCH($A267,'[AQ_2020.xlsx]原始数据'!$A:$A,0)),""))</f>
        <v/>
      </c>
      <c r="C267">
        <f>IF($A267="","",IFERROR(INDEX('[AQ_2021.xlsx]原始数据'!$B:$B,MATCH($A267,'[AQ_2021.xlsx]原始数据'!$A:$A,0)),""))</f>
        <v/>
      </c>
      <c r="D267">
        <f>IF($A267="","",IFERROR(INDEX('[AQ_2022.xlsx]原始数据'!$B:$B,MATCH($A267,'[AQ_2022.xlsx]原始数据'!$A:$A,0)),""))</f>
        <v/>
      </c>
      <c r="E267">
        <f>IF($A267="","",IFERROR(INDEX('[AQ_2023.xlsx]原始数据'!$B:$B,MATCH($A267,'[AQ_2023.xlsx]原始数据'!$A:$A,0)),""))</f>
        <v/>
      </c>
      <c r="F267">
        <f>IF($A267="","",IFERROR(INDEX('[AQ_2024.xlsx]原始数据'!$B:$B,MATCH($A267,'[AQ_2024.xlsx]原始数据'!$A:$A,0)),""))</f>
        <v/>
      </c>
      <c r="G267">
        <f>IF($A267="","",IFERROR(INDEX('[AQ_2020.xlsx]原始数据'!$C:$C,MATCH($A267,'[AQ_2020.xlsx]原始数据'!$A:$A,0)),""))</f>
        <v/>
      </c>
      <c r="H267">
        <f>IF($A267="","",IFERROR(INDEX('[AQ_2021.xlsx]原始数据'!$C:$C,MATCH($A267,'[AQ_2021.xlsx]原始数据'!$A:$A,0)),""))</f>
        <v/>
      </c>
      <c r="I267">
        <f>IF($A267="","",IFERROR(INDEX('[AQ_2022.xlsx]原始数据'!$C:$C,MATCH($A267,'[AQ_2022.xlsx]原始数据'!$A:$A,0)),""))</f>
        <v/>
      </c>
      <c r="J267">
        <f>IF($A267="","",IFERROR(INDEX('[AQ_2023.xlsx]原始数据'!$C:$C,MATCH($A267,'[AQ_2023.xlsx]原始数据'!$A:$A,0)),""))</f>
        <v/>
      </c>
      <c r="K267">
        <f>IF($A267="","",IFERROR(INDEX('[AQ_2024.xlsx]原始数据'!$C:$C,MATCH($A267,'[AQ_2024.xlsx]原始数据'!$A:$A,0)),""))</f>
        <v/>
      </c>
      <c r="L267">
        <f>IF($A267="","",IFERROR(INDEX('[AQ_2020.xlsx]原始数据'!$D:$D,MATCH($A267,'[AQ_2020.xlsx]原始数据'!$A:$A,0)),""))</f>
        <v/>
      </c>
      <c r="M267">
        <f>IF($A267="","",IFERROR(INDEX('[AQ_2021.xlsx]原始数据'!$D:$D,MATCH($A267,'[AQ_2021.xlsx]原始数据'!$A:$A,0)),""))</f>
        <v/>
      </c>
      <c r="N267">
        <f>IF($A267="","",IFERROR(INDEX('[AQ_2022.xlsx]原始数据'!$D:$D,MATCH($A267,'[AQ_2022.xlsx]原始数据'!$A:$A,0)),""))</f>
        <v/>
      </c>
      <c r="O267">
        <f>IF($A267="","",IFERROR(INDEX('[AQ_2023.xlsx]原始数据'!$D:$D,MATCH($A267,'[AQ_2023.xlsx]原始数据'!$A:$A,0)),""))</f>
        <v/>
      </c>
      <c r="P267">
        <f>IF($A267="","",IFERROR(INDEX('[AQ_2024.xlsx]原始数据'!$D:$D,MATCH($A267,'[AQ_2024.xlsx]原始数据'!$A:$A,0)),""))</f>
        <v/>
      </c>
      <c r="Q267">
        <f>IF($A267="","",IFERROR(INDEX('[AQ_2020.xlsx]原始数据'!$E:$E,MATCH($A267,'[AQ_2020.xlsx]原始数据'!$A:$A,0)),""))</f>
        <v/>
      </c>
      <c r="R267">
        <f>IF($A267="","",IFERROR(INDEX('[AQ_2021.xlsx]原始数据'!$E:$E,MATCH($A267,'[AQ_2021.xlsx]原始数据'!$A:$A,0)),""))</f>
        <v/>
      </c>
      <c r="S267">
        <f>IF($A267="","",IFERROR(INDEX('[AQ_2022.xlsx]原始数据'!$E:$E,MATCH($A267,'[AQ_2022.xlsx]原始数据'!$A:$A,0)),""))</f>
        <v/>
      </c>
      <c r="T267">
        <f>IF($A267="","",IFERROR(INDEX('[AQ_2023.xlsx]原始数据'!$E:$E,MATCH($A267,'[AQ_2023.xlsx]原始数据'!$A:$A,0)),""))</f>
        <v/>
      </c>
      <c r="U267">
        <f>IF($A267="","",IFERROR(INDEX('[AQ_2024.xlsx]原始数据'!$E:$E,MATCH($A267,'[AQ_2024.xlsx]原始数据'!$A:$A,0)),""))</f>
        <v/>
      </c>
      <c r="V267">
        <f>IF($A267="","",IFERROR(INDEX('[AQ_2020.xlsx]原始数据'!$F:$F,MATCH($A267,'[AQ_2020.xlsx]原始数据'!$A:$A,0)),""))</f>
        <v/>
      </c>
      <c r="W267">
        <f>IF($A267="","",IFERROR(INDEX('[AQ_2021.xlsx]原始数据'!$F:$F,MATCH($A267,'[AQ_2021.xlsx]原始数据'!$A:$A,0)),""))</f>
        <v/>
      </c>
      <c r="X267">
        <f>IF($A267="","",IFERROR(INDEX('[AQ_2022.xlsx]原始数据'!$F:$F,MATCH($A267,'[AQ_2022.xlsx]原始数据'!$A:$A,0)),""))</f>
        <v/>
      </c>
      <c r="Y267">
        <f>IF($A267="","",IFERROR(INDEX('[AQ_2023.xlsx]原始数据'!$F:$F,MATCH($A267,'[AQ_2023.xlsx]原始数据'!$A:$A,0)),""))</f>
        <v/>
      </c>
      <c r="Z267">
        <f>IF($A267="","",IFERROR(INDEX('[AQ_2024.xlsx]原始数据'!$F:$F,MATCH($A267,'[AQ_2024.xlsx]原始数据'!$A:$A,0)),""))</f>
        <v/>
      </c>
      <c r="AA267" s="2">
        <f>IFERROR(G267/B267,"")</f>
        <v/>
      </c>
      <c r="AB267" s="2">
        <f>IFERROR(H267/C267,"")</f>
        <v/>
      </c>
      <c r="AC267" s="2">
        <f>IFERROR(I267/D267,"")</f>
        <v/>
      </c>
      <c r="AD267" s="2">
        <f>IFERROR(J267/E267,"")</f>
        <v/>
      </c>
      <c r="AE267" s="2">
        <f>IFERROR(K267/F267,"")</f>
        <v/>
      </c>
      <c r="AF267" s="2">
        <f>IFERROR(L267/B267,"")</f>
        <v/>
      </c>
      <c r="AG267" s="2">
        <f>IFERROR(M267/C267,"")</f>
        <v/>
      </c>
      <c r="AH267" s="2">
        <f>IFERROR(N267/D267,"")</f>
        <v/>
      </c>
      <c r="AI267" s="2">
        <f>IFERROR(O267/E267,"")</f>
        <v/>
      </c>
      <c r="AJ267" s="2">
        <f>IFERROR(P267/F267,"")</f>
        <v/>
      </c>
      <c r="AK267" s="2">
        <f>IFERROR(Q267/B267,"")</f>
        <v/>
      </c>
      <c r="AL267" s="2">
        <f>IFERROR(R267/C267,"")</f>
        <v/>
      </c>
      <c r="AM267" s="2">
        <f>IFERROR(S267/D267,"")</f>
        <v/>
      </c>
      <c r="AN267" s="2">
        <f>IFERROR(T267/E267,"")</f>
        <v/>
      </c>
      <c r="AO267" s="2">
        <f>IFERROR(U267/F267,"")</f>
        <v/>
      </c>
    </row>
    <row r="268">
      <c r="B268">
        <f>IF($A268="","",IFERROR(INDEX('[AQ_2020.xlsx]原始数据'!$B:$B,MATCH($A268,'[AQ_2020.xlsx]原始数据'!$A:$A,0)),""))</f>
        <v/>
      </c>
      <c r="C268">
        <f>IF($A268="","",IFERROR(INDEX('[AQ_2021.xlsx]原始数据'!$B:$B,MATCH($A268,'[AQ_2021.xlsx]原始数据'!$A:$A,0)),""))</f>
        <v/>
      </c>
      <c r="D268">
        <f>IF($A268="","",IFERROR(INDEX('[AQ_2022.xlsx]原始数据'!$B:$B,MATCH($A268,'[AQ_2022.xlsx]原始数据'!$A:$A,0)),""))</f>
        <v/>
      </c>
      <c r="E268">
        <f>IF($A268="","",IFERROR(INDEX('[AQ_2023.xlsx]原始数据'!$B:$B,MATCH($A268,'[AQ_2023.xlsx]原始数据'!$A:$A,0)),""))</f>
        <v/>
      </c>
      <c r="F268">
        <f>IF($A268="","",IFERROR(INDEX('[AQ_2024.xlsx]原始数据'!$B:$B,MATCH($A268,'[AQ_2024.xlsx]原始数据'!$A:$A,0)),""))</f>
        <v/>
      </c>
      <c r="G268">
        <f>IF($A268="","",IFERROR(INDEX('[AQ_2020.xlsx]原始数据'!$C:$C,MATCH($A268,'[AQ_2020.xlsx]原始数据'!$A:$A,0)),""))</f>
        <v/>
      </c>
      <c r="H268">
        <f>IF($A268="","",IFERROR(INDEX('[AQ_2021.xlsx]原始数据'!$C:$C,MATCH($A268,'[AQ_2021.xlsx]原始数据'!$A:$A,0)),""))</f>
        <v/>
      </c>
      <c r="I268">
        <f>IF($A268="","",IFERROR(INDEX('[AQ_2022.xlsx]原始数据'!$C:$C,MATCH($A268,'[AQ_2022.xlsx]原始数据'!$A:$A,0)),""))</f>
        <v/>
      </c>
      <c r="J268">
        <f>IF($A268="","",IFERROR(INDEX('[AQ_2023.xlsx]原始数据'!$C:$C,MATCH($A268,'[AQ_2023.xlsx]原始数据'!$A:$A,0)),""))</f>
        <v/>
      </c>
      <c r="K268">
        <f>IF($A268="","",IFERROR(INDEX('[AQ_2024.xlsx]原始数据'!$C:$C,MATCH($A268,'[AQ_2024.xlsx]原始数据'!$A:$A,0)),""))</f>
        <v/>
      </c>
      <c r="L268">
        <f>IF($A268="","",IFERROR(INDEX('[AQ_2020.xlsx]原始数据'!$D:$D,MATCH($A268,'[AQ_2020.xlsx]原始数据'!$A:$A,0)),""))</f>
        <v/>
      </c>
      <c r="M268">
        <f>IF($A268="","",IFERROR(INDEX('[AQ_2021.xlsx]原始数据'!$D:$D,MATCH($A268,'[AQ_2021.xlsx]原始数据'!$A:$A,0)),""))</f>
        <v/>
      </c>
      <c r="N268">
        <f>IF($A268="","",IFERROR(INDEX('[AQ_2022.xlsx]原始数据'!$D:$D,MATCH($A268,'[AQ_2022.xlsx]原始数据'!$A:$A,0)),""))</f>
        <v/>
      </c>
      <c r="O268">
        <f>IF($A268="","",IFERROR(INDEX('[AQ_2023.xlsx]原始数据'!$D:$D,MATCH($A268,'[AQ_2023.xlsx]原始数据'!$A:$A,0)),""))</f>
        <v/>
      </c>
      <c r="P268">
        <f>IF($A268="","",IFERROR(INDEX('[AQ_2024.xlsx]原始数据'!$D:$D,MATCH($A268,'[AQ_2024.xlsx]原始数据'!$A:$A,0)),""))</f>
        <v/>
      </c>
      <c r="Q268">
        <f>IF($A268="","",IFERROR(INDEX('[AQ_2020.xlsx]原始数据'!$E:$E,MATCH($A268,'[AQ_2020.xlsx]原始数据'!$A:$A,0)),""))</f>
        <v/>
      </c>
      <c r="R268">
        <f>IF($A268="","",IFERROR(INDEX('[AQ_2021.xlsx]原始数据'!$E:$E,MATCH($A268,'[AQ_2021.xlsx]原始数据'!$A:$A,0)),""))</f>
        <v/>
      </c>
      <c r="S268">
        <f>IF($A268="","",IFERROR(INDEX('[AQ_2022.xlsx]原始数据'!$E:$E,MATCH($A268,'[AQ_2022.xlsx]原始数据'!$A:$A,0)),""))</f>
        <v/>
      </c>
      <c r="T268">
        <f>IF($A268="","",IFERROR(INDEX('[AQ_2023.xlsx]原始数据'!$E:$E,MATCH($A268,'[AQ_2023.xlsx]原始数据'!$A:$A,0)),""))</f>
        <v/>
      </c>
      <c r="U268">
        <f>IF($A268="","",IFERROR(INDEX('[AQ_2024.xlsx]原始数据'!$E:$E,MATCH($A268,'[AQ_2024.xlsx]原始数据'!$A:$A,0)),""))</f>
        <v/>
      </c>
      <c r="V268">
        <f>IF($A268="","",IFERROR(INDEX('[AQ_2020.xlsx]原始数据'!$F:$F,MATCH($A268,'[AQ_2020.xlsx]原始数据'!$A:$A,0)),""))</f>
        <v/>
      </c>
      <c r="W268">
        <f>IF($A268="","",IFERROR(INDEX('[AQ_2021.xlsx]原始数据'!$F:$F,MATCH($A268,'[AQ_2021.xlsx]原始数据'!$A:$A,0)),""))</f>
        <v/>
      </c>
      <c r="X268">
        <f>IF($A268="","",IFERROR(INDEX('[AQ_2022.xlsx]原始数据'!$F:$F,MATCH($A268,'[AQ_2022.xlsx]原始数据'!$A:$A,0)),""))</f>
        <v/>
      </c>
      <c r="Y268">
        <f>IF($A268="","",IFERROR(INDEX('[AQ_2023.xlsx]原始数据'!$F:$F,MATCH($A268,'[AQ_2023.xlsx]原始数据'!$A:$A,0)),""))</f>
        <v/>
      </c>
      <c r="Z268">
        <f>IF($A268="","",IFERROR(INDEX('[AQ_2024.xlsx]原始数据'!$F:$F,MATCH($A268,'[AQ_2024.xlsx]原始数据'!$A:$A,0)),""))</f>
        <v/>
      </c>
      <c r="AA268" s="2">
        <f>IFERROR(G268/B268,"")</f>
        <v/>
      </c>
      <c r="AB268" s="2">
        <f>IFERROR(H268/C268,"")</f>
        <v/>
      </c>
      <c r="AC268" s="2">
        <f>IFERROR(I268/D268,"")</f>
        <v/>
      </c>
      <c r="AD268" s="2">
        <f>IFERROR(J268/E268,"")</f>
        <v/>
      </c>
      <c r="AE268" s="2">
        <f>IFERROR(K268/F268,"")</f>
        <v/>
      </c>
      <c r="AF268" s="2">
        <f>IFERROR(L268/B268,"")</f>
        <v/>
      </c>
      <c r="AG268" s="2">
        <f>IFERROR(M268/C268,"")</f>
        <v/>
      </c>
      <c r="AH268" s="2">
        <f>IFERROR(N268/D268,"")</f>
        <v/>
      </c>
      <c r="AI268" s="2">
        <f>IFERROR(O268/E268,"")</f>
        <v/>
      </c>
      <c r="AJ268" s="2">
        <f>IFERROR(P268/F268,"")</f>
        <v/>
      </c>
      <c r="AK268" s="2">
        <f>IFERROR(Q268/B268,"")</f>
        <v/>
      </c>
      <c r="AL268" s="2">
        <f>IFERROR(R268/C268,"")</f>
        <v/>
      </c>
      <c r="AM268" s="2">
        <f>IFERROR(S268/D268,"")</f>
        <v/>
      </c>
      <c r="AN268" s="2">
        <f>IFERROR(T268/E268,"")</f>
        <v/>
      </c>
      <c r="AO268" s="2">
        <f>IFERROR(U268/F268,"")</f>
        <v/>
      </c>
    </row>
    <row r="269">
      <c r="B269">
        <f>IF($A269="","",IFERROR(INDEX('[AQ_2020.xlsx]原始数据'!$B:$B,MATCH($A269,'[AQ_2020.xlsx]原始数据'!$A:$A,0)),""))</f>
        <v/>
      </c>
      <c r="C269">
        <f>IF($A269="","",IFERROR(INDEX('[AQ_2021.xlsx]原始数据'!$B:$B,MATCH($A269,'[AQ_2021.xlsx]原始数据'!$A:$A,0)),""))</f>
        <v/>
      </c>
      <c r="D269">
        <f>IF($A269="","",IFERROR(INDEX('[AQ_2022.xlsx]原始数据'!$B:$B,MATCH($A269,'[AQ_2022.xlsx]原始数据'!$A:$A,0)),""))</f>
        <v/>
      </c>
      <c r="E269">
        <f>IF($A269="","",IFERROR(INDEX('[AQ_2023.xlsx]原始数据'!$B:$B,MATCH($A269,'[AQ_2023.xlsx]原始数据'!$A:$A,0)),""))</f>
        <v/>
      </c>
      <c r="F269">
        <f>IF($A269="","",IFERROR(INDEX('[AQ_2024.xlsx]原始数据'!$B:$B,MATCH($A269,'[AQ_2024.xlsx]原始数据'!$A:$A,0)),""))</f>
        <v/>
      </c>
      <c r="G269">
        <f>IF($A269="","",IFERROR(INDEX('[AQ_2020.xlsx]原始数据'!$C:$C,MATCH($A269,'[AQ_2020.xlsx]原始数据'!$A:$A,0)),""))</f>
        <v/>
      </c>
      <c r="H269">
        <f>IF($A269="","",IFERROR(INDEX('[AQ_2021.xlsx]原始数据'!$C:$C,MATCH($A269,'[AQ_2021.xlsx]原始数据'!$A:$A,0)),""))</f>
        <v/>
      </c>
      <c r="I269">
        <f>IF($A269="","",IFERROR(INDEX('[AQ_2022.xlsx]原始数据'!$C:$C,MATCH($A269,'[AQ_2022.xlsx]原始数据'!$A:$A,0)),""))</f>
        <v/>
      </c>
      <c r="J269">
        <f>IF($A269="","",IFERROR(INDEX('[AQ_2023.xlsx]原始数据'!$C:$C,MATCH($A269,'[AQ_2023.xlsx]原始数据'!$A:$A,0)),""))</f>
        <v/>
      </c>
      <c r="K269">
        <f>IF($A269="","",IFERROR(INDEX('[AQ_2024.xlsx]原始数据'!$C:$C,MATCH($A269,'[AQ_2024.xlsx]原始数据'!$A:$A,0)),""))</f>
        <v/>
      </c>
      <c r="L269">
        <f>IF($A269="","",IFERROR(INDEX('[AQ_2020.xlsx]原始数据'!$D:$D,MATCH($A269,'[AQ_2020.xlsx]原始数据'!$A:$A,0)),""))</f>
        <v/>
      </c>
      <c r="M269">
        <f>IF($A269="","",IFERROR(INDEX('[AQ_2021.xlsx]原始数据'!$D:$D,MATCH($A269,'[AQ_2021.xlsx]原始数据'!$A:$A,0)),""))</f>
        <v/>
      </c>
      <c r="N269">
        <f>IF($A269="","",IFERROR(INDEX('[AQ_2022.xlsx]原始数据'!$D:$D,MATCH($A269,'[AQ_2022.xlsx]原始数据'!$A:$A,0)),""))</f>
        <v/>
      </c>
      <c r="O269">
        <f>IF($A269="","",IFERROR(INDEX('[AQ_2023.xlsx]原始数据'!$D:$D,MATCH($A269,'[AQ_2023.xlsx]原始数据'!$A:$A,0)),""))</f>
        <v/>
      </c>
      <c r="P269">
        <f>IF($A269="","",IFERROR(INDEX('[AQ_2024.xlsx]原始数据'!$D:$D,MATCH($A269,'[AQ_2024.xlsx]原始数据'!$A:$A,0)),""))</f>
        <v/>
      </c>
      <c r="Q269">
        <f>IF($A269="","",IFERROR(INDEX('[AQ_2020.xlsx]原始数据'!$E:$E,MATCH($A269,'[AQ_2020.xlsx]原始数据'!$A:$A,0)),""))</f>
        <v/>
      </c>
      <c r="R269">
        <f>IF($A269="","",IFERROR(INDEX('[AQ_2021.xlsx]原始数据'!$E:$E,MATCH($A269,'[AQ_2021.xlsx]原始数据'!$A:$A,0)),""))</f>
        <v/>
      </c>
      <c r="S269">
        <f>IF($A269="","",IFERROR(INDEX('[AQ_2022.xlsx]原始数据'!$E:$E,MATCH($A269,'[AQ_2022.xlsx]原始数据'!$A:$A,0)),""))</f>
        <v/>
      </c>
      <c r="T269">
        <f>IF($A269="","",IFERROR(INDEX('[AQ_2023.xlsx]原始数据'!$E:$E,MATCH($A269,'[AQ_2023.xlsx]原始数据'!$A:$A,0)),""))</f>
        <v/>
      </c>
      <c r="U269">
        <f>IF($A269="","",IFERROR(INDEX('[AQ_2024.xlsx]原始数据'!$E:$E,MATCH($A269,'[AQ_2024.xlsx]原始数据'!$A:$A,0)),""))</f>
        <v/>
      </c>
      <c r="V269">
        <f>IF($A269="","",IFERROR(INDEX('[AQ_2020.xlsx]原始数据'!$F:$F,MATCH($A269,'[AQ_2020.xlsx]原始数据'!$A:$A,0)),""))</f>
        <v/>
      </c>
      <c r="W269">
        <f>IF($A269="","",IFERROR(INDEX('[AQ_2021.xlsx]原始数据'!$F:$F,MATCH($A269,'[AQ_2021.xlsx]原始数据'!$A:$A,0)),""))</f>
        <v/>
      </c>
      <c r="X269">
        <f>IF($A269="","",IFERROR(INDEX('[AQ_2022.xlsx]原始数据'!$F:$F,MATCH($A269,'[AQ_2022.xlsx]原始数据'!$A:$A,0)),""))</f>
        <v/>
      </c>
      <c r="Y269">
        <f>IF($A269="","",IFERROR(INDEX('[AQ_2023.xlsx]原始数据'!$F:$F,MATCH($A269,'[AQ_2023.xlsx]原始数据'!$A:$A,0)),""))</f>
        <v/>
      </c>
      <c r="Z269">
        <f>IF($A269="","",IFERROR(INDEX('[AQ_2024.xlsx]原始数据'!$F:$F,MATCH($A269,'[AQ_2024.xlsx]原始数据'!$A:$A,0)),""))</f>
        <v/>
      </c>
      <c r="AA269" s="2">
        <f>IFERROR(G269/B269,"")</f>
        <v/>
      </c>
      <c r="AB269" s="2">
        <f>IFERROR(H269/C269,"")</f>
        <v/>
      </c>
      <c r="AC269" s="2">
        <f>IFERROR(I269/D269,"")</f>
        <v/>
      </c>
      <c r="AD269" s="2">
        <f>IFERROR(J269/E269,"")</f>
        <v/>
      </c>
      <c r="AE269" s="2">
        <f>IFERROR(K269/F269,"")</f>
        <v/>
      </c>
      <c r="AF269" s="2">
        <f>IFERROR(L269/B269,"")</f>
        <v/>
      </c>
      <c r="AG269" s="2">
        <f>IFERROR(M269/C269,"")</f>
        <v/>
      </c>
      <c r="AH269" s="2">
        <f>IFERROR(N269/D269,"")</f>
        <v/>
      </c>
      <c r="AI269" s="2">
        <f>IFERROR(O269/E269,"")</f>
        <v/>
      </c>
      <c r="AJ269" s="2">
        <f>IFERROR(P269/F269,"")</f>
        <v/>
      </c>
      <c r="AK269" s="2">
        <f>IFERROR(Q269/B269,"")</f>
        <v/>
      </c>
      <c r="AL269" s="2">
        <f>IFERROR(R269/C269,"")</f>
        <v/>
      </c>
      <c r="AM269" s="2">
        <f>IFERROR(S269/D269,"")</f>
        <v/>
      </c>
      <c r="AN269" s="2">
        <f>IFERROR(T269/E269,"")</f>
        <v/>
      </c>
      <c r="AO269" s="2">
        <f>IFERROR(U269/F269,"")</f>
        <v/>
      </c>
    </row>
    <row r="270">
      <c r="B270">
        <f>IF($A270="","",IFERROR(INDEX('[AQ_2020.xlsx]原始数据'!$B:$B,MATCH($A270,'[AQ_2020.xlsx]原始数据'!$A:$A,0)),""))</f>
        <v/>
      </c>
      <c r="C270">
        <f>IF($A270="","",IFERROR(INDEX('[AQ_2021.xlsx]原始数据'!$B:$B,MATCH($A270,'[AQ_2021.xlsx]原始数据'!$A:$A,0)),""))</f>
        <v/>
      </c>
      <c r="D270">
        <f>IF($A270="","",IFERROR(INDEX('[AQ_2022.xlsx]原始数据'!$B:$B,MATCH($A270,'[AQ_2022.xlsx]原始数据'!$A:$A,0)),""))</f>
        <v/>
      </c>
      <c r="E270">
        <f>IF($A270="","",IFERROR(INDEX('[AQ_2023.xlsx]原始数据'!$B:$B,MATCH($A270,'[AQ_2023.xlsx]原始数据'!$A:$A,0)),""))</f>
        <v/>
      </c>
      <c r="F270">
        <f>IF($A270="","",IFERROR(INDEX('[AQ_2024.xlsx]原始数据'!$B:$B,MATCH($A270,'[AQ_2024.xlsx]原始数据'!$A:$A,0)),""))</f>
        <v/>
      </c>
      <c r="G270">
        <f>IF($A270="","",IFERROR(INDEX('[AQ_2020.xlsx]原始数据'!$C:$C,MATCH($A270,'[AQ_2020.xlsx]原始数据'!$A:$A,0)),""))</f>
        <v/>
      </c>
      <c r="H270">
        <f>IF($A270="","",IFERROR(INDEX('[AQ_2021.xlsx]原始数据'!$C:$C,MATCH($A270,'[AQ_2021.xlsx]原始数据'!$A:$A,0)),""))</f>
        <v/>
      </c>
      <c r="I270">
        <f>IF($A270="","",IFERROR(INDEX('[AQ_2022.xlsx]原始数据'!$C:$C,MATCH($A270,'[AQ_2022.xlsx]原始数据'!$A:$A,0)),""))</f>
        <v/>
      </c>
      <c r="J270">
        <f>IF($A270="","",IFERROR(INDEX('[AQ_2023.xlsx]原始数据'!$C:$C,MATCH($A270,'[AQ_2023.xlsx]原始数据'!$A:$A,0)),""))</f>
        <v/>
      </c>
      <c r="K270">
        <f>IF($A270="","",IFERROR(INDEX('[AQ_2024.xlsx]原始数据'!$C:$C,MATCH($A270,'[AQ_2024.xlsx]原始数据'!$A:$A,0)),""))</f>
        <v/>
      </c>
      <c r="L270">
        <f>IF($A270="","",IFERROR(INDEX('[AQ_2020.xlsx]原始数据'!$D:$D,MATCH($A270,'[AQ_2020.xlsx]原始数据'!$A:$A,0)),""))</f>
        <v/>
      </c>
      <c r="M270">
        <f>IF($A270="","",IFERROR(INDEX('[AQ_2021.xlsx]原始数据'!$D:$D,MATCH($A270,'[AQ_2021.xlsx]原始数据'!$A:$A,0)),""))</f>
        <v/>
      </c>
      <c r="N270">
        <f>IF($A270="","",IFERROR(INDEX('[AQ_2022.xlsx]原始数据'!$D:$D,MATCH($A270,'[AQ_2022.xlsx]原始数据'!$A:$A,0)),""))</f>
        <v/>
      </c>
      <c r="O270">
        <f>IF($A270="","",IFERROR(INDEX('[AQ_2023.xlsx]原始数据'!$D:$D,MATCH($A270,'[AQ_2023.xlsx]原始数据'!$A:$A,0)),""))</f>
        <v/>
      </c>
      <c r="P270">
        <f>IF($A270="","",IFERROR(INDEX('[AQ_2024.xlsx]原始数据'!$D:$D,MATCH($A270,'[AQ_2024.xlsx]原始数据'!$A:$A,0)),""))</f>
        <v/>
      </c>
      <c r="Q270">
        <f>IF($A270="","",IFERROR(INDEX('[AQ_2020.xlsx]原始数据'!$E:$E,MATCH($A270,'[AQ_2020.xlsx]原始数据'!$A:$A,0)),""))</f>
        <v/>
      </c>
      <c r="R270">
        <f>IF($A270="","",IFERROR(INDEX('[AQ_2021.xlsx]原始数据'!$E:$E,MATCH($A270,'[AQ_2021.xlsx]原始数据'!$A:$A,0)),""))</f>
        <v/>
      </c>
      <c r="S270">
        <f>IF($A270="","",IFERROR(INDEX('[AQ_2022.xlsx]原始数据'!$E:$E,MATCH($A270,'[AQ_2022.xlsx]原始数据'!$A:$A,0)),""))</f>
        <v/>
      </c>
      <c r="T270">
        <f>IF($A270="","",IFERROR(INDEX('[AQ_2023.xlsx]原始数据'!$E:$E,MATCH($A270,'[AQ_2023.xlsx]原始数据'!$A:$A,0)),""))</f>
        <v/>
      </c>
      <c r="U270">
        <f>IF($A270="","",IFERROR(INDEX('[AQ_2024.xlsx]原始数据'!$E:$E,MATCH($A270,'[AQ_2024.xlsx]原始数据'!$A:$A,0)),""))</f>
        <v/>
      </c>
      <c r="V270">
        <f>IF($A270="","",IFERROR(INDEX('[AQ_2020.xlsx]原始数据'!$F:$F,MATCH($A270,'[AQ_2020.xlsx]原始数据'!$A:$A,0)),""))</f>
        <v/>
      </c>
      <c r="W270">
        <f>IF($A270="","",IFERROR(INDEX('[AQ_2021.xlsx]原始数据'!$F:$F,MATCH($A270,'[AQ_2021.xlsx]原始数据'!$A:$A,0)),""))</f>
        <v/>
      </c>
      <c r="X270">
        <f>IF($A270="","",IFERROR(INDEX('[AQ_2022.xlsx]原始数据'!$F:$F,MATCH($A270,'[AQ_2022.xlsx]原始数据'!$A:$A,0)),""))</f>
        <v/>
      </c>
      <c r="Y270">
        <f>IF($A270="","",IFERROR(INDEX('[AQ_2023.xlsx]原始数据'!$F:$F,MATCH($A270,'[AQ_2023.xlsx]原始数据'!$A:$A,0)),""))</f>
        <v/>
      </c>
      <c r="Z270">
        <f>IF($A270="","",IFERROR(INDEX('[AQ_2024.xlsx]原始数据'!$F:$F,MATCH($A270,'[AQ_2024.xlsx]原始数据'!$A:$A,0)),""))</f>
        <v/>
      </c>
      <c r="AA270" s="2">
        <f>IFERROR(G270/B270,"")</f>
        <v/>
      </c>
      <c r="AB270" s="2">
        <f>IFERROR(H270/C270,"")</f>
        <v/>
      </c>
      <c r="AC270" s="2">
        <f>IFERROR(I270/D270,"")</f>
        <v/>
      </c>
      <c r="AD270" s="2">
        <f>IFERROR(J270/E270,"")</f>
        <v/>
      </c>
      <c r="AE270" s="2">
        <f>IFERROR(K270/F270,"")</f>
        <v/>
      </c>
      <c r="AF270" s="2">
        <f>IFERROR(L270/B270,"")</f>
        <v/>
      </c>
      <c r="AG270" s="2">
        <f>IFERROR(M270/C270,"")</f>
        <v/>
      </c>
      <c r="AH270" s="2">
        <f>IFERROR(N270/D270,"")</f>
        <v/>
      </c>
      <c r="AI270" s="2">
        <f>IFERROR(O270/E270,"")</f>
        <v/>
      </c>
      <c r="AJ270" s="2">
        <f>IFERROR(P270/F270,"")</f>
        <v/>
      </c>
      <c r="AK270" s="2">
        <f>IFERROR(Q270/B270,"")</f>
        <v/>
      </c>
      <c r="AL270" s="2">
        <f>IFERROR(R270/C270,"")</f>
        <v/>
      </c>
      <c r="AM270" s="2">
        <f>IFERROR(S270/D270,"")</f>
        <v/>
      </c>
      <c r="AN270" s="2">
        <f>IFERROR(T270/E270,"")</f>
        <v/>
      </c>
      <c r="AO270" s="2">
        <f>IFERROR(U270/F270,"")</f>
        <v/>
      </c>
    </row>
    <row r="271">
      <c r="B271">
        <f>IF($A271="","",IFERROR(INDEX('[AQ_2020.xlsx]原始数据'!$B:$B,MATCH($A271,'[AQ_2020.xlsx]原始数据'!$A:$A,0)),""))</f>
        <v/>
      </c>
      <c r="C271">
        <f>IF($A271="","",IFERROR(INDEX('[AQ_2021.xlsx]原始数据'!$B:$B,MATCH($A271,'[AQ_2021.xlsx]原始数据'!$A:$A,0)),""))</f>
        <v/>
      </c>
      <c r="D271">
        <f>IF($A271="","",IFERROR(INDEX('[AQ_2022.xlsx]原始数据'!$B:$B,MATCH($A271,'[AQ_2022.xlsx]原始数据'!$A:$A,0)),""))</f>
        <v/>
      </c>
      <c r="E271">
        <f>IF($A271="","",IFERROR(INDEX('[AQ_2023.xlsx]原始数据'!$B:$B,MATCH($A271,'[AQ_2023.xlsx]原始数据'!$A:$A,0)),""))</f>
        <v/>
      </c>
      <c r="F271">
        <f>IF($A271="","",IFERROR(INDEX('[AQ_2024.xlsx]原始数据'!$B:$B,MATCH($A271,'[AQ_2024.xlsx]原始数据'!$A:$A,0)),""))</f>
        <v/>
      </c>
      <c r="G271">
        <f>IF($A271="","",IFERROR(INDEX('[AQ_2020.xlsx]原始数据'!$C:$C,MATCH($A271,'[AQ_2020.xlsx]原始数据'!$A:$A,0)),""))</f>
        <v/>
      </c>
      <c r="H271">
        <f>IF($A271="","",IFERROR(INDEX('[AQ_2021.xlsx]原始数据'!$C:$C,MATCH($A271,'[AQ_2021.xlsx]原始数据'!$A:$A,0)),""))</f>
        <v/>
      </c>
      <c r="I271">
        <f>IF($A271="","",IFERROR(INDEX('[AQ_2022.xlsx]原始数据'!$C:$C,MATCH($A271,'[AQ_2022.xlsx]原始数据'!$A:$A,0)),""))</f>
        <v/>
      </c>
      <c r="J271">
        <f>IF($A271="","",IFERROR(INDEX('[AQ_2023.xlsx]原始数据'!$C:$C,MATCH($A271,'[AQ_2023.xlsx]原始数据'!$A:$A,0)),""))</f>
        <v/>
      </c>
      <c r="K271">
        <f>IF($A271="","",IFERROR(INDEX('[AQ_2024.xlsx]原始数据'!$C:$C,MATCH($A271,'[AQ_2024.xlsx]原始数据'!$A:$A,0)),""))</f>
        <v/>
      </c>
      <c r="L271">
        <f>IF($A271="","",IFERROR(INDEX('[AQ_2020.xlsx]原始数据'!$D:$D,MATCH($A271,'[AQ_2020.xlsx]原始数据'!$A:$A,0)),""))</f>
        <v/>
      </c>
      <c r="M271">
        <f>IF($A271="","",IFERROR(INDEX('[AQ_2021.xlsx]原始数据'!$D:$D,MATCH($A271,'[AQ_2021.xlsx]原始数据'!$A:$A,0)),""))</f>
        <v/>
      </c>
      <c r="N271">
        <f>IF($A271="","",IFERROR(INDEX('[AQ_2022.xlsx]原始数据'!$D:$D,MATCH($A271,'[AQ_2022.xlsx]原始数据'!$A:$A,0)),""))</f>
        <v/>
      </c>
      <c r="O271">
        <f>IF($A271="","",IFERROR(INDEX('[AQ_2023.xlsx]原始数据'!$D:$D,MATCH($A271,'[AQ_2023.xlsx]原始数据'!$A:$A,0)),""))</f>
        <v/>
      </c>
      <c r="P271">
        <f>IF($A271="","",IFERROR(INDEX('[AQ_2024.xlsx]原始数据'!$D:$D,MATCH($A271,'[AQ_2024.xlsx]原始数据'!$A:$A,0)),""))</f>
        <v/>
      </c>
      <c r="Q271">
        <f>IF($A271="","",IFERROR(INDEX('[AQ_2020.xlsx]原始数据'!$E:$E,MATCH($A271,'[AQ_2020.xlsx]原始数据'!$A:$A,0)),""))</f>
        <v/>
      </c>
      <c r="R271">
        <f>IF($A271="","",IFERROR(INDEX('[AQ_2021.xlsx]原始数据'!$E:$E,MATCH($A271,'[AQ_2021.xlsx]原始数据'!$A:$A,0)),""))</f>
        <v/>
      </c>
      <c r="S271">
        <f>IF($A271="","",IFERROR(INDEX('[AQ_2022.xlsx]原始数据'!$E:$E,MATCH($A271,'[AQ_2022.xlsx]原始数据'!$A:$A,0)),""))</f>
        <v/>
      </c>
      <c r="T271">
        <f>IF($A271="","",IFERROR(INDEX('[AQ_2023.xlsx]原始数据'!$E:$E,MATCH($A271,'[AQ_2023.xlsx]原始数据'!$A:$A,0)),""))</f>
        <v/>
      </c>
      <c r="U271">
        <f>IF($A271="","",IFERROR(INDEX('[AQ_2024.xlsx]原始数据'!$E:$E,MATCH($A271,'[AQ_2024.xlsx]原始数据'!$A:$A,0)),""))</f>
        <v/>
      </c>
      <c r="V271">
        <f>IF($A271="","",IFERROR(INDEX('[AQ_2020.xlsx]原始数据'!$F:$F,MATCH($A271,'[AQ_2020.xlsx]原始数据'!$A:$A,0)),""))</f>
        <v/>
      </c>
      <c r="W271">
        <f>IF($A271="","",IFERROR(INDEX('[AQ_2021.xlsx]原始数据'!$F:$F,MATCH($A271,'[AQ_2021.xlsx]原始数据'!$A:$A,0)),""))</f>
        <v/>
      </c>
      <c r="X271">
        <f>IF($A271="","",IFERROR(INDEX('[AQ_2022.xlsx]原始数据'!$F:$F,MATCH($A271,'[AQ_2022.xlsx]原始数据'!$A:$A,0)),""))</f>
        <v/>
      </c>
      <c r="Y271">
        <f>IF($A271="","",IFERROR(INDEX('[AQ_2023.xlsx]原始数据'!$F:$F,MATCH($A271,'[AQ_2023.xlsx]原始数据'!$A:$A,0)),""))</f>
        <v/>
      </c>
      <c r="Z271">
        <f>IF($A271="","",IFERROR(INDEX('[AQ_2024.xlsx]原始数据'!$F:$F,MATCH($A271,'[AQ_2024.xlsx]原始数据'!$A:$A,0)),""))</f>
        <v/>
      </c>
      <c r="AA271" s="2">
        <f>IFERROR(G271/B271,"")</f>
        <v/>
      </c>
      <c r="AB271" s="2">
        <f>IFERROR(H271/C271,"")</f>
        <v/>
      </c>
      <c r="AC271" s="2">
        <f>IFERROR(I271/D271,"")</f>
        <v/>
      </c>
      <c r="AD271" s="2">
        <f>IFERROR(J271/E271,"")</f>
        <v/>
      </c>
      <c r="AE271" s="2">
        <f>IFERROR(K271/F271,"")</f>
        <v/>
      </c>
      <c r="AF271" s="2">
        <f>IFERROR(L271/B271,"")</f>
        <v/>
      </c>
      <c r="AG271" s="2">
        <f>IFERROR(M271/C271,"")</f>
        <v/>
      </c>
      <c r="AH271" s="2">
        <f>IFERROR(N271/D271,"")</f>
        <v/>
      </c>
      <c r="AI271" s="2">
        <f>IFERROR(O271/E271,"")</f>
        <v/>
      </c>
      <c r="AJ271" s="2">
        <f>IFERROR(P271/F271,"")</f>
        <v/>
      </c>
      <c r="AK271" s="2">
        <f>IFERROR(Q271/B271,"")</f>
        <v/>
      </c>
      <c r="AL271" s="2">
        <f>IFERROR(R271/C271,"")</f>
        <v/>
      </c>
      <c r="AM271" s="2">
        <f>IFERROR(S271/D271,"")</f>
        <v/>
      </c>
      <c r="AN271" s="2">
        <f>IFERROR(T271/E271,"")</f>
        <v/>
      </c>
      <c r="AO271" s="2">
        <f>IFERROR(U271/F271,"")</f>
        <v/>
      </c>
    </row>
    <row r="272">
      <c r="B272">
        <f>IF($A272="","",IFERROR(INDEX('[AQ_2020.xlsx]原始数据'!$B:$B,MATCH($A272,'[AQ_2020.xlsx]原始数据'!$A:$A,0)),""))</f>
        <v/>
      </c>
      <c r="C272">
        <f>IF($A272="","",IFERROR(INDEX('[AQ_2021.xlsx]原始数据'!$B:$B,MATCH($A272,'[AQ_2021.xlsx]原始数据'!$A:$A,0)),""))</f>
        <v/>
      </c>
      <c r="D272">
        <f>IF($A272="","",IFERROR(INDEX('[AQ_2022.xlsx]原始数据'!$B:$B,MATCH($A272,'[AQ_2022.xlsx]原始数据'!$A:$A,0)),""))</f>
        <v/>
      </c>
      <c r="E272">
        <f>IF($A272="","",IFERROR(INDEX('[AQ_2023.xlsx]原始数据'!$B:$B,MATCH($A272,'[AQ_2023.xlsx]原始数据'!$A:$A,0)),""))</f>
        <v/>
      </c>
      <c r="F272">
        <f>IF($A272="","",IFERROR(INDEX('[AQ_2024.xlsx]原始数据'!$B:$B,MATCH($A272,'[AQ_2024.xlsx]原始数据'!$A:$A,0)),""))</f>
        <v/>
      </c>
      <c r="G272">
        <f>IF($A272="","",IFERROR(INDEX('[AQ_2020.xlsx]原始数据'!$C:$C,MATCH($A272,'[AQ_2020.xlsx]原始数据'!$A:$A,0)),""))</f>
        <v/>
      </c>
      <c r="H272">
        <f>IF($A272="","",IFERROR(INDEX('[AQ_2021.xlsx]原始数据'!$C:$C,MATCH($A272,'[AQ_2021.xlsx]原始数据'!$A:$A,0)),""))</f>
        <v/>
      </c>
      <c r="I272">
        <f>IF($A272="","",IFERROR(INDEX('[AQ_2022.xlsx]原始数据'!$C:$C,MATCH($A272,'[AQ_2022.xlsx]原始数据'!$A:$A,0)),""))</f>
        <v/>
      </c>
      <c r="J272">
        <f>IF($A272="","",IFERROR(INDEX('[AQ_2023.xlsx]原始数据'!$C:$C,MATCH($A272,'[AQ_2023.xlsx]原始数据'!$A:$A,0)),""))</f>
        <v/>
      </c>
      <c r="K272">
        <f>IF($A272="","",IFERROR(INDEX('[AQ_2024.xlsx]原始数据'!$C:$C,MATCH($A272,'[AQ_2024.xlsx]原始数据'!$A:$A,0)),""))</f>
        <v/>
      </c>
      <c r="L272">
        <f>IF($A272="","",IFERROR(INDEX('[AQ_2020.xlsx]原始数据'!$D:$D,MATCH($A272,'[AQ_2020.xlsx]原始数据'!$A:$A,0)),""))</f>
        <v/>
      </c>
      <c r="M272">
        <f>IF($A272="","",IFERROR(INDEX('[AQ_2021.xlsx]原始数据'!$D:$D,MATCH($A272,'[AQ_2021.xlsx]原始数据'!$A:$A,0)),""))</f>
        <v/>
      </c>
      <c r="N272">
        <f>IF($A272="","",IFERROR(INDEX('[AQ_2022.xlsx]原始数据'!$D:$D,MATCH($A272,'[AQ_2022.xlsx]原始数据'!$A:$A,0)),""))</f>
        <v/>
      </c>
      <c r="O272">
        <f>IF($A272="","",IFERROR(INDEX('[AQ_2023.xlsx]原始数据'!$D:$D,MATCH($A272,'[AQ_2023.xlsx]原始数据'!$A:$A,0)),""))</f>
        <v/>
      </c>
      <c r="P272">
        <f>IF($A272="","",IFERROR(INDEX('[AQ_2024.xlsx]原始数据'!$D:$D,MATCH($A272,'[AQ_2024.xlsx]原始数据'!$A:$A,0)),""))</f>
        <v/>
      </c>
      <c r="Q272">
        <f>IF($A272="","",IFERROR(INDEX('[AQ_2020.xlsx]原始数据'!$E:$E,MATCH($A272,'[AQ_2020.xlsx]原始数据'!$A:$A,0)),""))</f>
        <v/>
      </c>
      <c r="R272">
        <f>IF($A272="","",IFERROR(INDEX('[AQ_2021.xlsx]原始数据'!$E:$E,MATCH($A272,'[AQ_2021.xlsx]原始数据'!$A:$A,0)),""))</f>
        <v/>
      </c>
      <c r="S272">
        <f>IF($A272="","",IFERROR(INDEX('[AQ_2022.xlsx]原始数据'!$E:$E,MATCH($A272,'[AQ_2022.xlsx]原始数据'!$A:$A,0)),""))</f>
        <v/>
      </c>
      <c r="T272">
        <f>IF($A272="","",IFERROR(INDEX('[AQ_2023.xlsx]原始数据'!$E:$E,MATCH($A272,'[AQ_2023.xlsx]原始数据'!$A:$A,0)),""))</f>
        <v/>
      </c>
      <c r="U272">
        <f>IF($A272="","",IFERROR(INDEX('[AQ_2024.xlsx]原始数据'!$E:$E,MATCH($A272,'[AQ_2024.xlsx]原始数据'!$A:$A,0)),""))</f>
        <v/>
      </c>
      <c r="V272">
        <f>IF($A272="","",IFERROR(INDEX('[AQ_2020.xlsx]原始数据'!$F:$F,MATCH($A272,'[AQ_2020.xlsx]原始数据'!$A:$A,0)),""))</f>
        <v/>
      </c>
      <c r="W272">
        <f>IF($A272="","",IFERROR(INDEX('[AQ_2021.xlsx]原始数据'!$F:$F,MATCH($A272,'[AQ_2021.xlsx]原始数据'!$A:$A,0)),""))</f>
        <v/>
      </c>
      <c r="X272">
        <f>IF($A272="","",IFERROR(INDEX('[AQ_2022.xlsx]原始数据'!$F:$F,MATCH($A272,'[AQ_2022.xlsx]原始数据'!$A:$A,0)),""))</f>
        <v/>
      </c>
      <c r="Y272">
        <f>IF($A272="","",IFERROR(INDEX('[AQ_2023.xlsx]原始数据'!$F:$F,MATCH($A272,'[AQ_2023.xlsx]原始数据'!$A:$A,0)),""))</f>
        <v/>
      </c>
      <c r="Z272">
        <f>IF($A272="","",IFERROR(INDEX('[AQ_2024.xlsx]原始数据'!$F:$F,MATCH($A272,'[AQ_2024.xlsx]原始数据'!$A:$A,0)),""))</f>
        <v/>
      </c>
      <c r="AA272" s="2">
        <f>IFERROR(G272/B272,"")</f>
        <v/>
      </c>
      <c r="AB272" s="2">
        <f>IFERROR(H272/C272,"")</f>
        <v/>
      </c>
      <c r="AC272" s="2">
        <f>IFERROR(I272/D272,"")</f>
        <v/>
      </c>
      <c r="AD272" s="2">
        <f>IFERROR(J272/E272,"")</f>
        <v/>
      </c>
      <c r="AE272" s="2">
        <f>IFERROR(K272/F272,"")</f>
        <v/>
      </c>
      <c r="AF272" s="2">
        <f>IFERROR(L272/B272,"")</f>
        <v/>
      </c>
      <c r="AG272" s="2">
        <f>IFERROR(M272/C272,"")</f>
        <v/>
      </c>
      <c r="AH272" s="2">
        <f>IFERROR(N272/D272,"")</f>
        <v/>
      </c>
      <c r="AI272" s="2">
        <f>IFERROR(O272/E272,"")</f>
        <v/>
      </c>
      <c r="AJ272" s="2">
        <f>IFERROR(P272/F272,"")</f>
        <v/>
      </c>
      <c r="AK272" s="2">
        <f>IFERROR(Q272/B272,"")</f>
        <v/>
      </c>
      <c r="AL272" s="2">
        <f>IFERROR(R272/C272,"")</f>
        <v/>
      </c>
      <c r="AM272" s="2">
        <f>IFERROR(S272/D272,"")</f>
        <v/>
      </c>
      <c r="AN272" s="2">
        <f>IFERROR(T272/E272,"")</f>
        <v/>
      </c>
      <c r="AO272" s="2">
        <f>IFERROR(U272/F272,"")</f>
        <v/>
      </c>
    </row>
    <row r="273">
      <c r="B273">
        <f>IF($A273="","",IFERROR(INDEX('[AQ_2020.xlsx]原始数据'!$B:$B,MATCH($A273,'[AQ_2020.xlsx]原始数据'!$A:$A,0)),""))</f>
        <v/>
      </c>
      <c r="C273">
        <f>IF($A273="","",IFERROR(INDEX('[AQ_2021.xlsx]原始数据'!$B:$B,MATCH($A273,'[AQ_2021.xlsx]原始数据'!$A:$A,0)),""))</f>
        <v/>
      </c>
      <c r="D273">
        <f>IF($A273="","",IFERROR(INDEX('[AQ_2022.xlsx]原始数据'!$B:$B,MATCH($A273,'[AQ_2022.xlsx]原始数据'!$A:$A,0)),""))</f>
        <v/>
      </c>
      <c r="E273">
        <f>IF($A273="","",IFERROR(INDEX('[AQ_2023.xlsx]原始数据'!$B:$B,MATCH($A273,'[AQ_2023.xlsx]原始数据'!$A:$A,0)),""))</f>
        <v/>
      </c>
      <c r="F273">
        <f>IF($A273="","",IFERROR(INDEX('[AQ_2024.xlsx]原始数据'!$B:$B,MATCH($A273,'[AQ_2024.xlsx]原始数据'!$A:$A,0)),""))</f>
        <v/>
      </c>
      <c r="G273">
        <f>IF($A273="","",IFERROR(INDEX('[AQ_2020.xlsx]原始数据'!$C:$C,MATCH($A273,'[AQ_2020.xlsx]原始数据'!$A:$A,0)),""))</f>
        <v/>
      </c>
      <c r="H273">
        <f>IF($A273="","",IFERROR(INDEX('[AQ_2021.xlsx]原始数据'!$C:$C,MATCH($A273,'[AQ_2021.xlsx]原始数据'!$A:$A,0)),""))</f>
        <v/>
      </c>
      <c r="I273">
        <f>IF($A273="","",IFERROR(INDEX('[AQ_2022.xlsx]原始数据'!$C:$C,MATCH($A273,'[AQ_2022.xlsx]原始数据'!$A:$A,0)),""))</f>
        <v/>
      </c>
      <c r="J273">
        <f>IF($A273="","",IFERROR(INDEX('[AQ_2023.xlsx]原始数据'!$C:$C,MATCH($A273,'[AQ_2023.xlsx]原始数据'!$A:$A,0)),""))</f>
        <v/>
      </c>
      <c r="K273">
        <f>IF($A273="","",IFERROR(INDEX('[AQ_2024.xlsx]原始数据'!$C:$C,MATCH($A273,'[AQ_2024.xlsx]原始数据'!$A:$A,0)),""))</f>
        <v/>
      </c>
      <c r="L273">
        <f>IF($A273="","",IFERROR(INDEX('[AQ_2020.xlsx]原始数据'!$D:$D,MATCH($A273,'[AQ_2020.xlsx]原始数据'!$A:$A,0)),""))</f>
        <v/>
      </c>
      <c r="M273">
        <f>IF($A273="","",IFERROR(INDEX('[AQ_2021.xlsx]原始数据'!$D:$D,MATCH($A273,'[AQ_2021.xlsx]原始数据'!$A:$A,0)),""))</f>
        <v/>
      </c>
      <c r="N273">
        <f>IF($A273="","",IFERROR(INDEX('[AQ_2022.xlsx]原始数据'!$D:$D,MATCH($A273,'[AQ_2022.xlsx]原始数据'!$A:$A,0)),""))</f>
        <v/>
      </c>
      <c r="O273">
        <f>IF($A273="","",IFERROR(INDEX('[AQ_2023.xlsx]原始数据'!$D:$D,MATCH($A273,'[AQ_2023.xlsx]原始数据'!$A:$A,0)),""))</f>
        <v/>
      </c>
      <c r="P273">
        <f>IF($A273="","",IFERROR(INDEX('[AQ_2024.xlsx]原始数据'!$D:$D,MATCH($A273,'[AQ_2024.xlsx]原始数据'!$A:$A,0)),""))</f>
        <v/>
      </c>
      <c r="Q273">
        <f>IF($A273="","",IFERROR(INDEX('[AQ_2020.xlsx]原始数据'!$E:$E,MATCH($A273,'[AQ_2020.xlsx]原始数据'!$A:$A,0)),""))</f>
        <v/>
      </c>
      <c r="R273">
        <f>IF($A273="","",IFERROR(INDEX('[AQ_2021.xlsx]原始数据'!$E:$E,MATCH($A273,'[AQ_2021.xlsx]原始数据'!$A:$A,0)),""))</f>
        <v/>
      </c>
      <c r="S273">
        <f>IF($A273="","",IFERROR(INDEX('[AQ_2022.xlsx]原始数据'!$E:$E,MATCH($A273,'[AQ_2022.xlsx]原始数据'!$A:$A,0)),""))</f>
        <v/>
      </c>
      <c r="T273">
        <f>IF($A273="","",IFERROR(INDEX('[AQ_2023.xlsx]原始数据'!$E:$E,MATCH($A273,'[AQ_2023.xlsx]原始数据'!$A:$A,0)),""))</f>
        <v/>
      </c>
      <c r="U273">
        <f>IF($A273="","",IFERROR(INDEX('[AQ_2024.xlsx]原始数据'!$E:$E,MATCH($A273,'[AQ_2024.xlsx]原始数据'!$A:$A,0)),""))</f>
        <v/>
      </c>
      <c r="V273">
        <f>IF($A273="","",IFERROR(INDEX('[AQ_2020.xlsx]原始数据'!$F:$F,MATCH($A273,'[AQ_2020.xlsx]原始数据'!$A:$A,0)),""))</f>
        <v/>
      </c>
      <c r="W273">
        <f>IF($A273="","",IFERROR(INDEX('[AQ_2021.xlsx]原始数据'!$F:$F,MATCH($A273,'[AQ_2021.xlsx]原始数据'!$A:$A,0)),""))</f>
        <v/>
      </c>
      <c r="X273">
        <f>IF($A273="","",IFERROR(INDEX('[AQ_2022.xlsx]原始数据'!$F:$F,MATCH($A273,'[AQ_2022.xlsx]原始数据'!$A:$A,0)),""))</f>
        <v/>
      </c>
      <c r="Y273">
        <f>IF($A273="","",IFERROR(INDEX('[AQ_2023.xlsx]原始数据'!$F:$F,MATCH($A273,'[AQ_2023.xlsx]原始数据'!$A:$A,0)),""))</f>
        <v/>
      </c>
      <c r="Z273">
        <f>IF($A273="","",IFERROR(INDEX('[AQ_2024.xlsx]原始数据'!$F:$F,MATCH($A273,'[AQ_2024.xlsx]原始数据'!$A:$A,0)),""))</f>
        <v/>
      </c>
      <c r="AA273" s="2">
        <f>IFERROR(G273/B273,"")</f>
        <v/>
      </c>
      <c r="AB273" s="2">
        <f>IFERROR(H273/C273,"")</f>
        <v/>
      </c>
      <c r="AC273" s="2">
        <f>IFERROR(I273/D273,"")</f>
        <v/>
      </c>
      <c r="AD273" s="2">
        <f>IFERROR(J273/E273,"")</f>
        <v/>
      </c>
      <c r="AE273" s="2">
        <f>IFERROR(K273/F273,"")</f>
        <v/>
      </c>
      <c r="AF273" s="2">
        <f>IFERROR(L273/B273,"")</f>
        <v/>
      </c>
      <c r="AG273" s="2">
        <f>IFERROR(M273/C273,"")</f>
        <v/>
      </c>
      <c r="AH273" s="2">
        <f>IFERROR(N273/D273,"")</f>
        <v/>
      </c>
      <c r="AI273" s="2">
        <f>IFERROR(O273/E273,"")</f>
        <v/>
      </c>
      <c r="AJ273" s="2">
        <f>IFERROR(P273/F273,"")</f>
        <v/>
      </c>
      <c r="AK273" s="2">
        <f>IFERROR(Q273/B273,"")</f>
        <v/>
      </c>
      <c r="AL273" s="2">
        <f>IFERROR(R273/C273,"")</f>
        <v/>
      </c>
      <c r="AM273" s="2">
        <f>IFERROR(S273/D273,"")</f>
        <v/>
      </c>
      <c r="AN273" s="2">
        <f>IFERROR(T273/E273,"")</f>
        <v/>
      </c>
      <c r="AO273" s="2">
        <f>IFERROR(U273/F273,"")</f>
        <v/>
      </c>
    </row>
    <row r="274">
      <c r="B274">
        <f>IF($A274="","",IFERROR(INDEX('[AQ_2020.xlsx]原始数据'!$B:$B,MATCH($A274,'[AQ_2020.xlsx]原始数据'!$A:$A,0)),""))</f>
        <v/>
      </c>
      <c r="C274">
        <f>IF($A274="","",IFERROR(INDEX('[AQ_2021.xlsx]原始数据'!$B:$B,MATCH($A274,'[AQ_2021.xlsx]原始数据'!$A:$A,0)),""))</f>
        <v/>
      </c>
      <c r="D274">
        <f>IF($A274="","",IFERROR(INDEX('[AQ_2022.xlsx]原始数据'!$B:$B,MATCH($A274,'[AQ_2022.xlsx]原始数据'!$A:$A,0)),""))</f>
        <v/>
      </c>
      <c r="E274">
        <f>IF($A274="","",IFERROR(INDEX('[AQ_2023.xlsx]原始数据'!$B:$B,MATCH($A274,'[AQ_2023.xlsx]原始数据'!$A:$A,0)),""))</f>
        <v/>
      </c>
      <c r="F274">
        <f>IF($A274="","",IFERROR(INDEX('[AQ_2024.xlsx]原始数据'!$B:$B,MATCH($A274,'[AQ_2024.xlsx]原始数据'!$A:$A,0)),""))</f>
        <v/>
      </c>
      <c r="G274">
        <f>IF($A274="","",IFERROR(INDEX('[AQ_2020.xlsx]原始数据'!$C:$C,MATCH($A274,'[AQ_2020.xlsx]原始数据'!$A:$A,0)),""))</f>
        <v/>
      </c>
      <c r="H274">
        <f>IF($A274="","",IFERROR(INDEX('[AQ_2021.xlsx]原始数据'!$C:$C,MATCH($A274,'[AQ_2021.xlsx]原始数据'!$A:$A,0)),""))</f>
        <v/>
      </c>
      <c r="I274">
        <f>IF($A274="","",IFERROR(INDEX('[AQ_2022.xlsx]原始数据'!$C:$C,MATCH($A274,'[AQ_2022.xlsx]原始数据'!$A:$A,0)),""))</f>
        <v/>
      </c>
      <c r="J274">
        <f>IF($A274="","",IFERROR(INDEX('[AQ_2023.xlsx]原始数据'!$C:$C,MATCH($A274,'[AQ_2023.xlsx]原始数据'!$A:$A,0)),""))</f>
        <v/>
      </c>
      <c r="K274">
        <f>IF($A274="","",IFERROR(INDEX('[AQ_2024.xlsx]原始数据'!$C:$C,MATCH($A274,'[AQ_2024.xlsx]原始数据'!$A:$A,0)),""))</f>
        <v/>
      </c>
      <c r="L274">
        <f>IF($A274="","",IFERROR(INDEX('[AQ_2020.xlsx]原始数据'!$D:$D,MATCH($A274,'[AQ_2020.xlsx]原始数据'!$A:$A,0)),""))</f>
        <v/>
      </c>
      <c r="M274">
        <f>IF($A274="","",IFERROR(INDEX('[AQ_2021.xlsx]原始数据'!$D:$D,MATCH($A274,'[AQ_2021.xlsx]原始数据'!$A:$A,0)),""))</f>
        <v/>
      </c>
      <c r="N274">
        <f>IF($A274="","",IFERROR(INDEX('[AQ_2022.xlsx]原始数据'!$D:$D,MATCH($A274,'[AQ_2022.xlsx]原始数据'!$A:$A,0)),""))</f>
        <v/>
      </c>
      <c r="O274">
        <f>IF($A274="","",IFERROR(INDEX('[AQ_2023.xlsx]原始数据'!$D:$D,MATCH($A274,'[AQ_2023.xlsx]原始数据'!$A:$A,0)),""))</f>
        <v/>
      </c>
      <c r="P274">
        <f>IF($A274="","",IFERROR(INDEX('[AQ_2024.xlsx]原始数据'!$D:$D,MATCH($A274,'[AQ_2024.xlsx]原始数据'!$A:$A,0)),""))</f>
        <v/>
      </c>
      <c r="Q274">
        <f>IF($A274="","",IFERROR(INDEX('[AQ_2020.xlsx]原始数据'!$E:$E,MATCH($A274,'[AQ_2020.xlsx]原始数据'!$A:$A,0)),""))</f>
        <v/>
      </c>
      <c r="R274">
        <f>IF($A274="","",IFERROR(INDEX('[AQ_2021.xlsx]原始数据'!$E:$E,MATCH($A274,'[AQ_2021.xlsx]原始数据'!$A:$A,0)),""))</f>
        <v/>
      </c>
      <c r="S274">
        <f>IF($A274="","",IFERROR(INDEX('[AQ_2022.xlsx]原始数据'!$E:$E,MATCH($A274,'[AQ_2022.xlsx]原始数据'!$A:$A,0)),""))</f>
        <v/>
      </c>
      <c r="T274">
        <f>IF($A274="","",IFERROR(INDEX('[AQ_2023.xlsx]原始数据'!$E:$E,MATCH($A274,'[AQ_2023.xlsx]原始数据'!$A:$A,0)),""))</f>
        <v/>
      </c>
      <c r="U274">
        <f>IF($A274="","",IFERROR(INDEX('[AQ_2024.xlsx]原始数据'!$E:$E,MATCH($A274,'[AQ_2024.xlsx]原始数据'!$A:$A,0)),""))</f>
        <v/>
      </c>
      <c r="V274">
        <f>IF($A274="","",IFERROR(INDEX('[AQ_2020.xlsx]原始数据'!$F:$F,MATCH($A274,'[AQ_2020.xlsx]原始数据'!$A:$A,0)),""))</f>
        <v/>
      </c>
      <c r="W274">
        <f>IF($A274="","",IFERROR(INDEX('[AQ_2021.xlsx]原始数据'!$F:$F,MATCH($A274,'[AQ_2021.xlsx]原始数据'!$A:$A,0)),""))</f>
        <v/>
      </c>
      <c r="X274">
        <f>IF($A274="","",IFERROR(INDEX('[AQ_2022.xlsx]原始数据'!$F:$F,MATCH($A274,'[AQ_2022.xlsx]原始数据'!$A:$A,0)),""))</f>
        <v/>
      </c>
      <c r="Y274">
        <f>IF($A274="","",IFERROR(INDEX('[AQ_2023.xlsx]原始数据'!$F:$F,MATCH($A274,'[AQ_2023.xlsx]原始数据'!$A:$A,0)),""))</f>
        <v/>
      </c>
      <c r="Z274">
        <f>IF($A274="","",IFERROR(INDEX('[AQ_2024.xlsx]原始数据'!$F:$F,MATCH($A274,'[AQ_2024.xlsx]原始数据'!$A:$A,0)),""))</f>
        <v/>
      </c>
      <c r="AA274" s="2">
        <f>IFERROR(G274/B274,"")</f>
        <v/>
      </c>
      <c r="AB274" s="2">
        <f>IFERROR(H274/C274,"")</f>
        <v/>
      </c>
      <c r="AC274" s="2">
        <f>IFERROR(I274/D274,"")</f>
        <v/>
      </c>
      <c r="AD274" s="2">
        <f>IFERROR(J274/E274,"")</f>
        <v/>
      </c>
      <c r="AE274" s="2">
        <f>IFERROR(K274/F274,"")</f>
        <v/>
      </c>
      <c r="AF274" s="2">
        <f>IFERROR(L274/B274,"")</f>
        <v/>
      </c>
      <c r="AG274" s="2">
        <f>IFERROR(M274/C274,"")</f>
        <v/>
      </c>
      <c r="AH274" s="2">
        <f>IFERROR(N274/D274,"")</f>
        <v/>
      </c>
      <c r="AI274" s="2">
        <f>IFERROR(O274/E274,"")</f>
        <v/>
      </c>
      <c r="AJ274" s="2">
        <f>IFERROR(P274/F274,"")</f>
        <v/>
      </c>
      <c r="AK274" s="2">
        <f>IFERROR(Q274/B274,"")</f>
        <v/>
      </c>
      <c r="AL274" s="2">
        <f>IFERROR(R274/C274,"")</f>
        <v/>
      </c>
      <c r="AM274" s="2">
        <f>IFERROR(S274/D274,"")</f>
        <v/>
      </c>
      <c r="AN274" s="2">
        <f>IFERROR(T274/E274,"")</f>
        <v/>
      </c>
      <c r="AO274" s="2">
        <f>IFERROR(U274/F274,"")</f>
        <v/>
      </c>
    </row>
    <row r="275">
      <c r="B275">
        <f>IF($A275="","",IFERROR(INDEX('[AQ_2020.xlsx]原始数据'!$B:$B,MATCH($A275,'[AQ_2020.xlsx]原始数据'!$A:$A,0)),""))</f>
        <v/>
      </c>
      <c r="C275">
        <f>IF($A275="","",IFERROR(INDEX('[AQ_2021.xlsx]原始数据'!$B:$B,MATCH($A275,'[AQ_2021.xlsx]原始数据'!$A:$A,0)),""))</f>
        <v/>
      </c>
      <c r="D275">
        <f>IF($A275="","",IFERROR(INDEX('[AQ_2022.xlsx]原始数据'!$B:$B,MATCH($A275,'[AQ_2022.xlsx]原始数据'!$A:$A,0)),""))</f>
        <v/>
      </c>
      <c r="E275">
        <f>IF($A275="","",IFERROR(INDEX('[AQ_2023.xlsx]原始数据'!$B:$B,MATCH($A275,'[AQ_2023.xlsx]原始数据'!$A:$A,0)),""))</f>
        <v/>
      </c>
      <c r="F275">
        <f>IF($A275="","",IFERROR(INDEX('[AQ_2024.xlsx]原始数据'!$B:$B,MATCH($A275,'[AQ_2024.xlsx]原始数据'!$A:$A,0)),""))</f>
        <v/>
      </c>
      <c r="G275">
        <f>IF($A275="","",IFERROR(INDEX('[AQ_2020.xlsx]原始数据'!$C:$C,MATCH($A275,'[AQ_2020.xlsx]原始数据'!$A:$A,0)),""))</f>
        <v/>
      </c>
      <c r="H275">
        <f>IF($A275="","",IFERROR(INDEX('[AQ_2021.xlsx]原始数据'!$C:$C,MATCH($A275,'[AQ_2021.xlsx]原始数据'!$A:$A,0)),""))</f>
        <v/>
      </c>
      <c r="I275">
        <f>IF($A275="","",IFERROR(INDEX('[AQ_2022.xlsx]原始数据'!$C:$C,MATCH($A275,'[AQ_2022.xlsx]原始数据'!$A:$A,0)),""))</f>
        <v/>
      </c>
      <c r="J275">
        <f>IF($A275="","",IFERROR(INDEX('[AQ_2023.xlsx]原始数据'!$C:$C,MATCH($A275,'[AQ_2023.xlsx]原始数据'!$A:$A,0)),""))</f>
        <v/>
      </c>
      <c r="K275">
        <f>IF($A275="","",IFERROR(INDEX('[AQ_2024.xlsx]原始数据'!$C:$C,MATCH($A275,'[AQ_2024.xlsx]原始数据'!$A:$A,0)),""))</f>
        <v/>
      </c>
      <c r="L275">
        <f>IF($A275="","",IFERROR(INDEX('[AQ_2020.xlsx]原始数据'!$D:$D,MATCH($A275,'[AQ_2020.xlsx]原始数据'!$A:$A,0)),""))</f>
        <v/>
      </c>
      <c r="M275">
        <f>IF($A275="","",IFERROR(INDEX('[AQ_2021.xlsx]原始数据'!$D:$D,MATCH($A275,'[AQ_2021.xlsx]原始数据'!$A:$A,0)),""))</f>
        <v/>
      </c>
      <c r="N275">
        <f>IF($A275="","",IFERROR(INDEX('[AQ_2022.xlsx]原始数据'!$D:$D,MATCH($A275,'[AQ_2022.xlsx]原始数据'!$A:$A,0)),""))</f>
        <v/>
      </c>
      <c r="O275">
        <f>IF($A275="","",IFERROR(INDEX('[AQ_2023.xlsx]原始数据'!$D:$D,MATCH($A275,'[AQ_2023.xlsx]原始数据'!$A:$A,0)),""))</f>
        <v/>
      </c>
      <c r="P275">
        <f>IF($A275="","",IFERROR(INDEX('[AQ_2024.xlsx]原始数据'!$D:$D,MATCH($A275,'[AQ_2024.xlsx]原始数据'!$A:$A,0)),""))</f>
        <v/>
      </c>
      <c r="Q275">
        <f>IF($A275="","",IFERROR(INDEX('[AQ_2020.xlsx]原始数据'!$E:$E,MATCH($A275,'[AQ_2020.xlsx]原始数据'!$A:$A,0)),""))</f>
        <v/>
      </c>
      <c r="R275">
        <f>IF($A275="","",IFERROR(INDEX('[AQ_2021.xlsx]原始数据'!$E:$E,MATCH($A275,'[AQ_2021.xlsx]原始数据'!$A:$A,0)),""))</f>
        <v/>
      </c>
      <c r="S275">
        <f>IF($A275="","",IFERROR(INDEX('[AQ_2022.xlsx]原始数据'!$E:$E,MATCH($A275,'[AQ_2022.xlsx]原始数据'!$A:$A,0)),""))</f>
        <v/>
      </c>
      <c r="T275">
        <f>IF($A275="","",IFERROR(INDEX('[AQ_2023.xlsx]原始数据'!$E:$E,MATCH($A275,'[AQ_2023.xlsx]原始数据'!$A:$A,0)),""))</f>
        <v/>
      </c>
      <c r="U275">
        <f>IF($A275="","",IFERROR(INDEX('[AQ_2024.xlsx]原始数据'!$E:$E,MATCH($A275,'[AQ_2024.xlsx]原始数据'!$A:$A,0)),""))</f>
        <v/>
      </c>
      <c r="V275">
        <f>IF($A275="","",IFERROR(INDEX('[AQ_2020.xlsx]原始数据'!$F:$F,MATCH($A275,'[AQ_2020.xlsx]原始数据'!$A:$A,0)),""))</f>
        <v/>
      </c>
      <c r="W275">
        <f>IF($A275="","",IFERROR(INDEX('[AQ_2021.xlsx]原始数据'!$F:$F,MATCH($A275,'[AQ_2021.xlsx]原始数据'!$A:$A,0)),""))</f>
        <v/>
      </c>
      <c r="X275">
        <f>IF($A275="","",IFERROR(INDEX('[AQ_2022.xlsx]原始数据'!$F:$F,MATCH($A275,'[AQ_2022.xlsx]原始数据'!$A:$A,0)),""))</f>
        <v/>
      </c>
      <c r="Y275">
        <f>IF($A275="","",IFERROR(INDEX('[AQ_2023.xlsx]原始数据'!$F:$F,MATCH($A275,'[AQ_2023.xlsx]原始数据'!$A:$A,0)),""))</f>
        <v/>
      </c>
      <c r="Z275">
        <f>IF($A275="","",IFERROR(INDEX('[AQ_2024.xlsx]原始数据'!$F:$F,MATCH($A275,'[AQ_2024.xlsx]原始数据'!$A:$A,0)),""))</f>
        <v/>
      </c>
      <c r="AA275" s="2">
        <f>IFERROR(G275/B275,"")</f>
        <v/>
      </c>
      <c r="AB275" s="2">
        <f>IFERROR(H275/C275,"")</f>
        <v/>
      </c>
      <c r="AC275" s="2">
        <f>IFERROR(I275/D275,"")</f>
        <v/>
      </c>
      <c r="AD275" s="2">
        <f>IFERROR(J275/E275,"")</f>
        <v/>
      </c>
      <c r="AE275" s="2">
        <f>IFERROR(K275/F275,"")</f>
        <v/>
      </c>
      <c r="AF275" s="2">
        <f>IFERROR(L275/B275,"")</f>
        <v/>
      </c>
      <c r="AG275" s="2">
        <f>IFERROR(M275/C275,"")</f>
        <v/>
      </c>
      <c r="AH275" s="2">
        <f>IFERROR(N275/D275,"")</f>
        <v/>
      </c>
      <c r="AI275" s="2">
        <f>IFERROR(O275/E275,"")</f>
        <v/>
      </c>
      <c r="AJ275" s="2">
        <f>IFERROR(P275/F275,"")</f>
        <v/>
      </c>
      <c r="AK275" s="2">
        <f>IFERROR(Q275/B275,"")</f>
        <v/>
      </c>
      <c r="AL275" s="2">
        <f>IFERROR(R275/C275,"")</f>
        <v/>
      </c>
      <c r="AM275" s="2">
        <f>IFERROR(S275/D275,"")</f>
        <v/>
      </c>
      <c r="AN275" s="2">
        <f>IFERROR(T275/E275,"")</f>
        <v/>
      </c>
      <c r="AO275" s="2">
        <f>IFERROR(U275/F275,"")</f>
        <v/>
      </c>
    </row>
    <row r="276">
      <c r="B276">
        <f>IF($A276="","",IFERROR(INDEX('[AQ_2020.xlsx]原始数据'!$B:$B,MATCH($A276,'[AQ_2020.xlsx]原始数据'!$A:$A,0)),""))</f>
        <v/>
      </c>
      <c r="C276">
        <f>IF($A276="","",IFERROR(INDEX('[AQ_2021.xlsx]原始数据'!$B:$B,MATCH($A276,'[AQ_2021.xlsx]原始数据'!$A:$A,0)),""))</f>
        <v/>
      </c>
      <c r="D276">
        <f>IF($A276="","",IFERROR(INDEX('[AQ_2022.xlsx]原始数据'!$B:$B,MATCH($A276,'[AQ_2022.xlsx]原始数据'!$A:$A,0)),""))</f>
        <v/>
      </c>
      <c r="E276">
        <f>IF($A276="","",IFERROR(INDEX('[AQ_2023.xlsx]原始数据'!$B:$B,MATCH($A276,'[AQ_2023.xlsx]原始数据'!$A:$A,0)),""))</f>
        <v/>
      </c>
      <c r="F276">
        <f>IF($A276="","",IFERROR(INDEX('[AQ_2024.xlsx]原始数据'!$B:$B,MATCH($A276,'[AQ_2024.xlsx]原始数据'!$A:$A,0)),""))</f>
        <v/>
      </c>
      <c r="G276">
        <f>IF($A276="","",IFERROR(INDEX('[AQ_2020.xlsx]原始数据'!$C:$C,MATCH($A276,'[AQ_2020.xlsx]原始数据'!$A:$A,0)),""))</f>
        <v/>
      </c>
      <c r="H276">
        <f>IF($A276="","",IFERROR(INDEX('[AQ_2021.xlsx]原始数据'!$C:$C,MATCH($A276,'[AQ_2021.xlsx]原始数据'!$A:$A,0)),""))</f>
        <v/>
      </c>
      <c r="I276">
        <f>IF($A276="","",IFERROR(INDEX('[AQ_2022.xlsx]原始数据'!$C:$C,MATCH($A276,'[AQ_2022.xlsx]原始数据'!$A:$A,0)),""))</f>
        <v/>
      </c>
      <c r="J276">
        <f>IF($A276="","",IFERROR(INDEX('[AQ_2023.xlsx]原始数据'!$C:$C,MATCH($A276,'[AQ_2023.xlsx]原始数据'!$A:$A,0)),""))</f>
        <v/>
      </c>
      <c r="K276">
        <f>IF($A276="","",IFERROR(INDEX('[AQ_2024.xlsx]原始数据'!$C:$C,MATCH($A276,'[AQ_2024.xlsx]原始数据'!$A:$A,0)),""))</f>
        <v/>
      </c>
      <c r="L276">
        <f>IF($A276="","",IFERROR(INDEX('[AQ_2020.xlsx]原始数据'!$D:$D,MATCH($A276,'[AQ_2020.xlsx]原始数据'!$A:$A,0)),""))</f>
        <v/>
      </c>
      <c r="M276">
        <f>IF($A276="","",IFERROR(INDEX('[AQ_2021.xlsx]原始数据'!$D:$D,MATCH($A276,'[AQ_2021.xlsx]原始数据'!$A:$A,0)),""))</f>
        <v/>
      </c>
      <c r="N276">
        <f>IF($A276="","",IFERROR(INDEX('[AQ_2022.xlsx]原始数据'!$D:$D,MATCH($A276,'[AQ_2022.xlsx]原始数据'!$A:$A,0)),""))</f>
        <v/>
      </c>
      <c r="O276">
        <f>IF($A276="","",IFERROR(INDEX('[AQ_2023.xlsx]原始数据'!$D:$D,MATCH($A276,'[AQ_2023.xlsx]原始数据'!$A:$A,0)),""))</f>
        <v/>
      </c>
      <c r="P276">
        <f>IF($A276="","",IFERROR(INDEX('[AQ_2024.xlsx]原始数据'!$D:$D,MATCH($A276,'[AQ_2024.xlsx]原始数据'!$A:$A,0)),""))</f>
        <v/>
      </c>
      <c r="Q276">
        <f>IF($A276="","",IFERROR(INDEX('[AQ_2020.xlsx]原始数据'!$E:$E,MATCH($A276,'[AQ_2020.xlsx]原始数据'!$A:$A,0)),""))</f>
        <v/>
      </c>
      <c r="R276">
        <f>IF($A276="","",IFERROR(INDEX('[AQ_2021.xlsx]原始数据'!$E:$E,MATCH($A276,'[AQ_2021.xlsx]原始数据'!$A:$A,0)),""))</f>
        <v/>
      </c>
      <c r="S276">
        <f>IF($A276="","",IFERROR(INDEX('[AQ_2022.xlsx]原始数据'!$E:$E,MATCH($A276,'[AQ_2022.xlsx]原始数据'!$A:$A,0)),""))</f>
        <v/>
      </c>
      <c r="T276">
        <f>IF($A276="","",IFERROR(INDEX('[AQ_2023.xlsx]原始数据'!$E:$E,MATCH($A276,'[AQ_2023.xlsx]原始数据'!$A:$A,0)),""))</f>
        <v/>
      </c>
      <c r="U276">
        <f>IF($A276="","",IFERROR(INDEX('[AQ_2024.xlsx]原始数据'!$E:$E,MATCH($A276,'[AQ_2024.xlsx]原始数据'!$A:$A,0)),""))</f>
        <v/>
      </c>
      <c r="V276">
        <f>IF($A276="","",IFERROR(INDEX('[AQ_2020.xlsx]原始数据'!$F:$F,MATCH($A276,'[AQ_2020.xlsx]原始数据'!$A:$A,0)),""))</f>
        <v/>
      </c>
      <c r="W276">
        <f>IF($A276="","",IFERROR(INDEX('[AQ_2021.xlsx]原始数据'!$F:$F,MATCH($A276,'[AQ_2021.xlsx]原始数据'!$A:$A,0)),""))</f>
        <v/>
      </c>
      <c r="X276">
        <f>IF($A276="","",IFERROR(INDEX('[AQ_2022.xlsx]原始数据'!$F:$F,MATCH($A276,'[AQ_2022.xlsx]原始数据'!$A:$A,0)),""))</f>
        <v/>
      </c>
      <c r="Y276">
        <f>IF($A276="","",IFERROR(INDEX('[AQ_2023.xlsx]原始数据'!$F:$F,MATCH($A276,'[AQ_2023.xlsx]原始数据'!$A:$A,0)),""))</f>
        <v/>
      </c>
      <c r="Z276">
        <f>IF($A276="","",IFERROR(INDEX('[AQ_2024.xlsx]原始数据'!$F:$F,MATCH($A276,'[AQ_2024.xlsx]原始数据'!$A:$A,0)),""))</f>
        <v/>
      </c>
      <c r="AA276" s="2">
        <f>IFERROR(G276/B276,"")</f>
        <v/>
      </c>
      <c r="AB276" s="2">
        <f>IFERROR(H276/C276,"")</f>
        <v/>
      </c>
      <c r="AC276" s="2">
        <f>IFERROR(I276/D276,"")</f>
        <v/>
      </c>
      <c r="AD276" s="2">
        <f>IFERROR(J276/E276,"")</f>
        <v/>
      </c>
      <c r="AE276" s="2">
        <f>IFERROR(K276/F276,"")</f>
        <v/>
      </c>
      <c r="AF276" s="2">
        <f>IFERROR(L276/B276,"")</f>
        <v/>
      </c>
      <c r="AG276" s="2">
        <f>IFERROR(M276/C276,"")</f>
        <v/>
      </c>
      <c r="AH276" s="2">
        <f>IFERROR(N276/D276,"")</f>
        <v/>
      </c>
      <c r="AI276" s="2">
        <f>IFERROR(O276/E276,"")</f>
        <v/>
      </c>
      <c r="AJ276" s="2">
        <f>IFERROR(P276/F276,"")</f>
        <v/>
      </c>
      <c r="AK276" s="2">
        <f>IFERROR(Q276/B276,"")</f>
        <v/>
      </c>
      <c r="AL276" s="2">
        <f>IFERROR(R276/C276,"")</f>
        <v/>
      </c>
      <c r="AM276" s="2">
        <f>IFERROR(S276/D276,"")</f>
        <v/>
      </c>
      <c r="AN276" s="2">
        <f>IFERROR(T276/E276,"")</f>
        <v/>
      </c>
      <c r="AO276" s="2">
        <f>IFERROR(U276/F276,"")</f>
        <v/>
      </c>
    </row>
    <row r="277">
      <c r="B277">
        <f>IF($A277="","",IFERROR(INDEX('[AQ_2020.xlsx]原始数据'!$B:$B,MATCH($A277,'[AQ_2020.xlsx]原始数据'!$A:$A,0)),""))</f>
        <v/>
      </c>
      <c r="C277">
        <f>IF($A277="","",IFERROR(INDEX('[AQ_2021.xlsx]原始数据'!$B:$B,MATCH($A277,'[AQ_2021.xlsx]原始数据'!$A:$A,0)),""))</f>
        <v/>
      </c>
      <c r="D277">
        <f>IF($A277="","",IFERROR(INDEX('[AQ_2022.xlsx]原始数据'!$B:$B,MATCH($A277,'[AQ_2022.xlsx]原始数据'!$A:$A,0)),""))</f>
        <v/>
      </c>
      <c r="E277">
        <f>IF($A277="","",IFERROR(INDEX('[AQ_2023.xlsx]原始数据'!$B:$B,MATCH($A277,'[AQ_2023.xlsx]原始数据'!$A:$A,0)),""))</f>
        <v/>
      </c>
      <c r="F277">
        <f>IF($A277="","",IFERROR(INDEX('[AQ_2024.xlsx]原始数据'!$B:$B,MATCH($A277,'[AQ_2024.xlsx]原始数据'!$A:$A,0)),""))</f>
        <v/>
      </c>
      <c r="G277">
        <f>IF($A277="","",IFERROR(INDEX('[AQ_2020.xlsx]原始数据'!$C:$C,MATCH($A277,'[AQ_2020.xlsx]原始数据'!$A:$A,0)),""))</f>
        <v/>
      </c>
      <c r="H277">
        <f>IF($A277="","",IFERROR(INDEX('[AQ_2021.xlsx]原始数据'!$C:$C,MATCH($A277,'[AQ_2021.xlsx]原始数据'!$A:$A,0)),""))</f>
        <v/>
      </c>
      <c r="I277">
        <f>IF($A277="","",IFERROR(INDEX('[AQ_2022.xlsx]原始数据'!$C:$C,MATCH($A277,'[AQ_2022.xlsx]原始数据'!$A:$A,0)),""))</f>
        <v/>
      </c>
      <c r="J277">
        <f>IF($A277="","",IFERROR(INDEX('[AQ_2023.xlsx]原始数据'!$C:$C,MATCH($A277,'[AQ_2023.xlsx]原始数据'!$A:$A,0)),""))</f>
        <v/>
      </c>
      <c r="K277">
        <f>IF($A277="","",IFERROR(INDEX('[AQ_2024.xlsx]原始数据'!$C:$C,MATCH($A277,'[AQ_2024.xlsx]原始数据'!$A:$A,0)),""))</f>
        <v/>
      </c>
      <c r="L277">
        <f>IF($A277="","",IFERROR(INDEX('[AQ_2020.xlsx]原始数据'!$D:$D,MATCH($A277,'[AQ_2020.xlsx]原始数据'!$A:$A,0)),""))</f>
        <v/>
      </c>
      <c r="M277">
        <f>IF($A277="","",IFERROR(INDEX('[AQ_2021.xlsx]原始数据'!$D:$D,MATCH($A277,'[AQ_2021.xlsx]原始数据'!$A:$A,0)),""))</f>
        <v/>
      </c>
      <c r="N277">
        <f>IF($A277="","",IFERROR(INDEX('[AQ_2022.xlsx]原始数据'!$D:$D,MATCH($A277,'[AQ_2022.xlsx]原始数据'!$A:$A,0)),""))</f>
        <v/>
      </c>
      <c r="O277">
        <f>IF($A277="","",IFERROR(INDEX('[AQ_2023.xlsx]原始数据'!$D:$D,MATCH($A277,'[AQ_2023.xlsx]原始数据'!$A:$A,0)),""))</f>
        <v/>
      </c>
      <c r="P277">
        <f>IF($A277="","",IFERROR(INDEX('[AQ_2024.xlsx]原始数据'!$D:$D,MATCH($A277,'[AQ_2024.xlsx]原始数据'!$A:$A,0)),""))</f>
        <v/>
      </c>
      <c r="Q277">
        <f>IF($A277="","",IFERROR(INDEX('[AQ_2020.xlsx]原始数据'!$E:$E,MATCH($A277,'[AQ_2020.xlsx]原始数据'!$A:$A,0)),""))</f>
        <v/>
      </c>
      <c r="R277">
        <f>IF($A277="","",IFERROR(INDEX('[AQ_2021.xlsx]原始数据'!$E:$E,MATCH($A277,'[AQ_2021.xlsx]原始数据'!$A:$A,0)),""))</f>
        <v/>
      </c>
      <c r="S277">
        <f>IF($A277="","",IFERROR(INDEX('[AQ_2022.xlsx]原始数据'!$E:$E,MATCH($A277,'[AQ_2022.xlsx]原始数据'!$A:$A,0)),""))</f>
        <v/>
      </c>
      <c r="T277">
        <f>IF($A277="","",IFERROR(INDEX('[AQ_2023.xlsx]原始数据'!$E:$E,MATCH($A277,'[AQ_2023.xlsx]原始数据'!$A:$A,0)),""))</f>
        <v/>
      </c>
      <c r="U277">
        <f>IF($A277="","",IFERROR(INDEX('[AQ_2024.xlsx]原始数据'!$E:$E,MATCH($A277,'[AQ_2024.xlsx]原始数据'!$A:$A,0)),""))</f>
        <v/>
      </c>
      <c r="V277">
        <f>IF($A277="","",IFERROR(INDEX('[AQ_2020.xlsx]原始数据'!$F:$F,MATCH($A277,'[AQ_2020.xlsx]原始数据'!$A:$A,0)),""))</f>
        <v/>
      </c>
      <c r="W277">
        <f>IF($A277="","",IFERROR(INDEX('[AQ_2021.xlsx]原始数据'!$F:$F,MATCH($A277,'[AQ_2021.xlsx]原始数据'!$A:$A,0)),""))</f>
        <v/>
      </c>
      <c r="X277">
        <f>IF($A277="","",IFERROR(INDEX('[AQ_2022.xlsx]原始数据'!$F:$F,MATCH($A277,'[AQ_2022.xlsx]原始数据'!$A:$A,0)),""))</f>
        <v/>
      </c>
      <c r="Y277">
        <f>IF($A277="","",IFERROR(INDEX('[AQ_2023.xlsx]原始数据'!$F:$F,MATCH($A277,'[AQ_2023.xlsx]原始数据'!$A:$A,0)),""))</f>
        <v/>
      </c>
      <c r="Z277">
        <f>IF($A277="","",IFERROR(INDEX('[AQ_2024.xlsx]原始数据'!$F:$F,MATCH($A277,'[AQ_2024.xlsx]原始数据'!$A:$A,0)),""))</f>
        <v/>
      </c>
      <c r="AA277" s="2">
        <f>IFERROR(G277/B277,"")</f>
        <v/>
      </c>
      <c r="AB277" s="2">
        <f>IFERROR(H277/C277,"")</f>
        <v/>
      </c>
      <c r="AC277" s="2">
        <f>IFERROR(I277/D277,"")</f>
        <v/>
      </c>
      <c r="AD277" s="2">
        <f>IFERROR(J277/E277,"")</f>
        <v/>
      </c>
      <c r="AE277" s="2">
        <f>IFERROR(K277/F277,"")</f>
        <v/>
      </c>
      <c r="AF277" s="2">
        <f>IFERROR(L277/B277,"")</f>
        <v/>
      </c>
      <c r="AG277" s="2">
        <f>IFERROR(M277/C277,"")</f>
        <v/>
      </c>
      <c r="AH277" s="2">
        <f>IFERROR(N277/D277,"")</f>
        <v/>
      </c>
      <c r="AI277" s="2">
        <f>IFERROR(O277/E277,"")</f>
        <v/>
      </c>
      <c r="AJ277" s="2">
        <f>IFERROR(P277/F277,"")</f>
        <v/>
      </c>
      <c r="AK277" s="2">
        <f>IFERROR(Q277/B277,"")</f>
        <v/>
      </c>
      <c r="AL277" s="2">
        <f>IFERROR(R277/C277,"")</f>
        <v/>
      </c>
      <c r="AM277" s="2">
        <f>IFERROR(S277/D277,"")</f>
        <v/>
      </c>
      <c r="AN277" s="2">
        <f>IFERROR(T277/E277,"")</f>
        <v/>
      </c>
      <c r="AO277" s="2">
        <f>IFERROR(U277/F277,"")</f>
        <v/>
      </c>
    </row>
    <row r="278">
      <c r="B278">
        <f>IF($A278="","",IFERROR(INDEX('[AQ_2020.xlsx]原始数据'!$B:$B,MATCH($A278,'[AQ_2020.xlsx]原始数据'!$A:$A,0)),""))</f>
        <v/>
      </c>
      <c r="C278">
        <f>IF($A278="","",IFERROR(INDEX('[AQ_2021.xlsx]原始数据'!$B:$B,MATCH($A278,'[AQ_2021.xlsx]原始数据'!$A:$A,0)),""))</f>
        <v/>
      </c>
      <c r="D278">
        <f>IF($A278="","",IFERROR(INDEX('[AQ_2022.xlsx]原始数据'!$B:$B,MATCH($A278,'[AQ_2022.xlsx]原始数据'!$A:$A,0)),""))</f>
        <v/>
      </c>
      <c r="E278">
        <f>IF($A278="","",IFERROR(INDEX('[AQ_2023.xlsx]原始数据'!$B:$B,MATCH($A278,'[AQ_2023.xlsx]原始数据'!$A:$A,0)),""))</f>
        <v/>
      </c>
      <c r="F278">
        <f>IF($A278="","",IFERROR(INDEX('[AQ_2024.xlsx]原始数据'!$B:$B,MATCH($A278,'[AQ_2024.xlsx]原始数据'!$A:$A,0)),""))</f>
        <v/>
      </c>
      <c r="G278">
        <f>IF($A278="","",IFERROR(INDEX('[AQ_2020.xlsx]原始数据'!$C:$C,MATCH($A278,'[AQ_2020.xlsx]原始数据'!$A:$A,0)),""))</f>
        <v/>
      </c>
      <c r="H278">
        <f>IF($A278="","",IFERROR(INDEX('[AQ_2021.xlsx]原始数据'!$C:$C,MATCH($A278,'[AQ_2021.xlsx]原始数据'!$A:$A,0)),""))</f>
        <v/>
      </c>
      <c r="I278">
        <f>IF($A278="","",IFERROR(INDEX('[AQ_2022.xlsx]原始数据'!$C:$C,MATCH($A278,'[AQ_2022.xlsx]原始数据'!$A:$A,0)),""))</f>
        <v/>
      </c>
      <c r="J278">
        <f>IF($A278="","",IFERROR(INDEX('[AQ_2023.xlsx]原始数据'!$C:$C,MATCH($A278,'[AQ_2023.xlsx]原始数据'!$A:$A,0)),""))</f>
        <v/>
      </c>
      <c r="K278">
        <f>IF($A278="","",IFERROR(INDEX('[AQ_2024.xlsx]原始数据'!$C:$C,MATCH($A278,'[AQ_2024.xlsx]原始数据'!$A:$A,0)),""))</f>
        <v/>
      </c>
      <c r="L278">
        <f>IF($A278="","",IFERROR(INDEX('[AQ_2020.xlsx]原始数据'!$D:$D,MATCH($A278,'[AQ_2020.xlsx]原始数据'!$A:$A,0)),""))</f>
        <v/>
      </c>
      <c r="M278">
        <f>IF($A278="","",IFERROR(INDEX('[AQ_2021.xlsx]原始数据'!$D:$D,MATCH($A278,'[AQ_2021.xlsx]原始数据'!$A:$A,0)),""))</f>
        <v/>
      </c>
      <c r="N278">
        <f>IF($A278="","",IFERROR(INDEX('[AQ_2022.xlsx]原始数据'!$D:$D,MATCH($A278,'[AQ_2022.xlsx]原始数据'!$A:$A,0)),""))</f>
        <v/>
      </c>
      <c r="O278">
        <f>IF($A278="","",IFERROR(INDEX('[AQ_2023.xlsx]原始数据'!$D:$D,MATCH($A278,'[AQ_2023.xlsx]原始数据'!$A:$A,0)),""))</f>
        <v/>
      </c>
      <c r="P278">
        <f>IF($A278="","",IFERROR(INDEX('[AQ_2024.xlsx]原始数据'!$D:$D,MATCH($A278,'[AQ_2024.xlsx]原始数据'!$A:$A,0)),""))</f>
        <v/>
      </c>
      <c r="Q278">
        <f>IF($A278="","",IFERROR(INDEX('[AQ_2020.xlsx]原始数据'!$E:$E,MATCH($A278,'[AQ_2020.xlsx]原始数据'!$A:$A,0)),""))</f>
        <v/>
      </c>
      <c r="R278">
        <f>IF($A278="","",IFERROR(INDEX('[AQ_2021.xlsx]原始数据'!$E:$E,MATCH($A278,'[AQ_2021.xlsx]原始数据'!$A:$A,0)),""))</f>
        <v/>
      </c>
      <c r="S278">
        <f>IF($A278="","",IFERROR(INDEX('[AQ_2022.xlsx]原始数据'!$E:$E,MATCH($A278,'[AQ_2022.xlsx]原始数据'!$A:$A,0)),""))</f>
        <v/>
      </c>
      <c r="T278">
        <f>IF($A278="","",IFERROR(INDEX('[AQ_2023.xlsx]原始数据'!$E:$E,MATCH($A278,'[AQ_2023.xlsx]原始数据'!$A:$A,0)),""))</f>
        <v/>
      </c>
      <c r="U278">
        <f>IF($A278="","",IFERROR(INDEX('[AQ_2024.xlsx]原始数据'!$E:$E,MATCH($A278,'[AQ_2024.xlsx]原始数据'!$A:$A,0)),""))</f>
        <v/>
      </c>
      <c r="V278">
        <f>IF($A278="","",IFERROR(INDEX('[AQ_2020.xlsx]原始数据'!$F:$F,MATCH($A278,'[AQ_2020.xlsx]原始数据'!$A:$A,0)),""))</f>
        <v/>
      </c>
      <c r="W278">
        <f>IF($A278="","",IFERROR(INDEX('[AQ_2021.xlsx]原始数据'!$F:$F,MATCH($A278,'[AQ_2021.xlsx]原始数据'!$A:$A,0)),""))</f>
        <v/>
      </c>
      <c r="X278">
        <f>IF($A278="","",IFERROR(INDEX('[AQ_2022.xlsx]原始数据'!$F:$F,MATCH($A278,'[AQ_2022.xlsx]原始数据'!$A:$A,0)),""))</f>
        <v/>
      </c>
      <c r="Y278">
        <f>IF($A278="","",IFERROR(INDEX('[AQ_2023.xlsx]原始数据'!$F:$F,MATCH($A278,'[AQ_2023.xlsx]原始数据'!$A:$A,0)),""))</f>
        <v/>
      </c>
      <c r="Z278">
        <f>IF($A278="","",IFERROR(INDEX('[AQ_2024.xlsx]原始数据'!$F:$F,MATCH($A278,'[AQ_2024.xlsx]原始数据'!$A:$A,0)),""))</f>
        <v/>
      </c>
      <c r="AA278" s="2">
        <f>IFERROR(G278/B278,"")</f>
        <v/>
      </c>
      <c r="AB278" s="2">
        <f>IFERROR(H278/C278,"")</f>
        <v/>
      </c>
      <c r="AC278" s="2">
        <f>IFERROR(I278/D278,"")</f>
        <v/>
      </c>
      <c r="AD278" s="2">
        <f>IFERROR(J278/E278,"")</f>
        <v/>
      </c>
      <c r="AE278" s="2">
        <f>IFERROR(K278/F278,"")</f>
        <v/>
      </c>
      <c r="AF278" s="2">
        <f>IFERROR(L278/B278,"")</f>
        <v/>
      </c>
      <c r="AG278" s="2">
        <f>IFERROR(M278/C278,"")</f>
        <v/>
      </c>
      <c r="AH278" s="2">
        <f>IFERROR(N278/D278,"")</f>
        <v/>
      </c>
      <c r="AI278" s="2">
        <f>IFERROR(O278/E278,"")</f>
        <v/>
      </c>
      <c r="AJ278" s="2">
        <f>IFERROR(P278/F278,"")</f>
        <v/>
      </c>
      <c r="AK278" s="2">
        <f>IFERROR(Q278/B278,"")</f>
        <v/>
      </c>
      <c r="AL278" s="2">
        <f>IFERROR(R278/C278,"")</f>
        <v/>
      </c>
      <c r="AM278" s="2">
        <f>IFERROR(S278/D278,"")</f>
        <v/>
      </c>
      <c r="AN278" s="2">
        <f>IFERROR(T278/E278,"")</f>
        <v/>
      </c>
      <c r="AO278" s="2">
        <f>IFERROR(U278/F278,"")</f>
        <v/>
      </c>
    </row>
    <row r="279">
      <c r="B279">
        <f>IF($A279="","",IFERROR(INDEX('[AQ_2020.xlsx]原始数据'!$B:$B,MATCH($A279,'[AQ_2020.xlsx]原始数据'!$A:$A,0)),""))</f>
        <v/>
      </c>
      <c r="C279">
        <f>IF($A279="","",IFERROR(INDEX('[AQ_2021.xlsx]原始数据'!$B:$B,MATCH($A279,'[AQ_2021.xlsx]原始数据'!$A:$A,0)),""))</f>
        <v/>
      </c>
      <c r="D279">
        <f>IF($A279="","",IFERROR(INDEX('[AQ_2022.xlsx]原始数据'!$B:$B,MATCH($A279,'[AQ_2022.xlsx]原始数据'!$A:$A,0)),""))</f>
        <v/>
      </c>
      <c r="E279">
        <f>IF($A279="","",IFERROR(INDEX('[AQ_2023.xlsx]原始数据'!$B:$B,MATCH($A279,'[AQ_2023.xlsx]原始数据'!$A:$A,0)),""))</f>
        <v/>
      </c>
      <c r="F279">
        <f>IF($A279="","",IFERROR(INDEX('[AQ_2024.xlsx]原始数据'!$B:$B,MATCH($A279,'[AQ_2024.xlsx]原始数据'!$A:$A,0)),""))</f>
        <v/>
      </c>
      <c r="G279">
        <f>IF($A279="","",IFERROR(INDEX('[AQ_2020.xlsx]原始数据'!$C:$C,MATCH($A279,'[AQ_2020.xlsx]原始数据'!$A:$A,0)),""))</f>
        <v/>
      </c>
      <c r="H279">
        <f>IF($A279="","",IFERROR(INDEX('[AQ_2021.xlsx]原始数据'!$C:$C,MATCH($A279,'[AQ_2021.xlsx]原始数据'!$A:$A,0)),""))</f>
        <v/>
      </c>
      <c r="I279">
        <f>IF($A279="","",IFERROR(INDEX('[AQ_2022.xlsx]原始数据'!$C:$C,MATCH($A279,'[AQ_2022.xlsx]原始数据'!$A:$A,0)),""))</f>
        <v/>
      </c>
      <c r="J279">
        <f>IF($A279="","",IFERROR(INDEX('[AQ_2023.xlsx]原始数据'!$C:$C,MATCH($A279,'[AQ_2023.xlsx]原始数据'!$A:$A,0)),""))</f>
        <v/>
      </c>
      <c r="K279">
        <f>IF($A279="","",IFERROR(INDEX('[AQ_2024.xlsx]原始数据'!$C:$C,MATCH($A279,'[AQ_2024.xlsx]原始数据'!$A:$A,0)),""))</f>
        <v/>
      </c>
      <c r="L279">
        <f>IF($A279="","",IFERROR(INDEX('[AQ_2020.xlsx]原始数据'!$D:$D,MATCH($A279,'[AQ_2020.xlsx]原始数据'!$A:$A,0)),""))</f>
        <v/>
      </c>
      <c r="M279">
        <f>IF($A279="","",IFERROR(INDEX('[AQ_2021.xlsx]原始数据'!$D:$D,MATCH($A279,'[AQ_2021.xlsx]原始数据'!$A:$A,0)),""))</f>
        <v/>
      </c>
      <c r="N279">
        <f>IF($A279="","",IFERROR(INDEX('[AQ_2022.xlsx]原始数据'!$D:$D,MATCH($A279,'[AQ_2022.xlsx]原始数据'!$A:$A,0)),""))</f>
        <v/>
      </c>
      <c r="O279">
        <f>IF($A279="","",IFERROR(INDEX('[AQ_2023.xlsx]原始数据'!$D:$D,MATCH($A279,'[AQ_2023.xlsx]原始数据'!$A:$A,0)),""))</f>
        <v/>
      </c>
      <c r="P279">
        <f>IF($A279="","",IFERROR(INDEX('[AQ_2024.xlsx]原始数据'!$D:$D,MATCH($A279,'[AQ_2024.xlsx]原始数据'!$A:$A,0)),""))</f>
        <v/>
      </c>
      <c r="Q279">
        <f>IF($A279="","",IFERROR(INDEX('[AQ_2020.xlsx]原始数据'!$E:$E,MATCH($A279,'[AQ_2020.xlsx]原始数据'!$A:$A,0)),""))</f>
        <v/>
      </c>
      <c r="R279">
        <f>IF($A279="","",IFERROR(INDEX('[AQ_2021.xlsx]原始数据'!$E:$E,MATCH($A279,'[AQ_2021.xlsx]原始数据'!$A:$A,0)),""))</f>
        <v/>
      </c>
      <c r="S279">
        <f>IF($A279="","",IFERROR(INDEX('[AQ_2022.xlsx]原始数据'!$E:$E,MATCH($A279,'[AQ_2022.xlsx]原始数据'!$A:$A,0)),""))</f>
        <v/>
      </c>
      <c r="T279">
        <f>IF($A279="","",IFERROR(INDEX('[AQ_2023.xlsx]原始数据'!$E:$E,MATCH($A279,'[AQ_2023.xlsx]原始数据'!$A:$A,0)),""))</f>
        <v/>
      </c>
      <c r="U279">
        <f>IF($A279="","",IFERROR(INDEX('[AQ_2024.xlsx]原始数据'!$E:$E,MATCH($A279,'[AQ_2024.xlsx]原始数据'!$A:$A,0)),""))</f>
        <v/>
      </c>
      <c r="V279">
        <f>IF($A279="","",IFERROR(INDEX('[AQ_2020.xlsx]原始数据'!$F:$F,MATCH($A279,'[AQ_2020.xlsx]原始数据'!$A:$A,0)),""))</f>
        <v/>
      </c>
      <c r="W279">
        <f>IF($A279="","",IFERROR(INDEX('[AQ_2021.xlsx]原始数据'!$F:$F,MATCH($A279,'[AQ_2021.xlsx]原始数据'!$A:$A,0)),""))</f>
        <v/>
      </c>
      <c r="X279">
        <f>IF($A279="","",IFERROR(INDEX('[AQ_2022.xlsx]原始数据'!$F:$F,MATCH($A279,'[AQ_2022.xlsx]原始数据'!$A:$A,0)),""))</f>
        <v/>
      </c>
      <c r="Y279">
        <f>IF($A279="","",IFERROR(INDEX('[AQ_2023.xlsx]原始数据'!$F:$F,MATCH($A279,'[AQ_2023.xlsx]原始数据'!$A:$A,0)),""))</f>
        <v/>
      </c>
      <c r="Z279">
        <f>IF($A279="","",IFERROR(INDEX('[AQ_2024.xlsx]原始数据'!$F:$F,MATCH($A279,'[AQ_2024.xlsx]原始数据'!$A:$A,0)),""))</f>
        <v/>
      </c>
      <c r="AA279" s="2">
        <f>IFERROR(G279/B279,"")</f>
        <v/>
      </c>
      <c r="AB279" s="2">
        <f>IFERROR(H279/C279,"")</f>
        <v/>
      </c>
      <c r="AC279" s="2">
        <f>IFERROR(I279/D279,"")</f>
        <v/>
      </c>
      <c r="AD279" s="2">
        <f>IFERROR(J279/E279,"")</f>
        <v/>
      </c>
      <c r="AE279" s="2">
        <f>IFERROR(K279/F279,"")</f>
        <v/>
      </c>
      <c r="AF279" s="2">
        <f>IFERROR(L279/B279,"")</f>
        <v/>
      </c>
      <c r="AG279" s="2">
        <f>IFERROR(M279/C279,"")</f>
        <v/>
      </c>
      <c r="AH279" s="2">
        <f>IFERROR(N279/D279,"")</f>
        <v/>
      </c>
      <c r="AI279" s="2">
        <f>IFERROR(O279/E279,"")</f>
        <v/>
      </c>
      <c r="AJ279" s="2">
        <f>IFERROR(P279/F279,"")</f>
        <v/>
      </c>
      <c r="AK279" s="2">
        <f>IFERROR(Q279/B279,"")</f>
        <v/>
      </c>
      <c r="AL279" s="2">
        <f>IFERROR(R279/C279,"")</f>
        <v/>
      </c>
      <c r="AM279" s="2">
        <f>IFERROR(S279/D279,"")</f>
        <v/>
      </c>
      <c r="AN279" s="2">
        <f>IFERROR(T279/E279,"")</f>
        <v/>
      </c>
      <c r="AO279" s="2">
        <f>IFERROR(U279/F279,"")</f>
        <v/>
      </c>
    </row>
    <row r="280">
      <c r="B280">
        <f>IF($A280="","",IFERROR(INDEX('[AQ_2020.xlsx]原始数据'!$B:$B,MATCH($A280,'[AQ_2020.xlsx]原始数据'!$A:$A,0)),""))</f>
        <v/>
      </c>
      <c r="C280">
        <f>IF($A280="","",IFERROR(INDEX('[AQ_2021.xlsx]原始数据'!$B:$B,MATCH($A280,'[AQ_2021.xlsx]原始数据'!$A:$A,0)),""))</f>
        <v/>
      </c>
      <c r="D280">
        <f>IF($A280="","",IFERROR(INDEX('[AQ_2022.xlsx]原始数据'!$B:$B,MATCH($A280,'[AQ_2022.xlsx]原始数据'!$A:$A,0)),""))</f>
        <v/>
      </c>
      <c r="E280">
        <f>IF($A280="","",IFERROR(INDEX('[AQ_2023.xlsx]原始数据'!$B:$B,MATCH($A280,'[AQ_2023.xlsx]原始数据'!$A:$A,0)),""))</f>
        <v/>
      </c>
      <c r="F280">
        <f>IF($A280="","",IFERROR(INDEX('[AQ_2024.xlsx]原始数据'!$B:$B,MATCH($A280,'[AQ_2024.xlsx]原始数据'!$A:$A,0)),""))</f>
        <v/>
      </c>
      <c r="G280">
        <f>IF($A280="","",IFERROR(INDEX('[AQ_2020.xlsx]原始数据'!$C:$C,MATCH($A280,'[AQ_2020.xlsx]原始数据'!$A:$A,0)),""))</f>
        <v/>
      </c>
      <c r="H280">
        <f>IF($A280="","",IFERROR(INDEX('[AQ_2021.xlsx]原始数据'!$C:$C,MATCH($A280,'[AQ_2021.xlsx]原始数据'!$A:$A,0)),""))</f>
        <v/>
      </c>
      <c r="I280">
        <f>IF($A280="","",IFERROR(INDEX('[AQ_2022.xlsx]原始数据'!$C:$C,MATCH($A280,'[AQ_2022.xlsx]原始数据'!$A:$A,0)),""))</f>
        <v/>
      </c>
      <c r="J280">
        <f>IF($A280="","",IFERROR(INDEX('[AQ_2023.xlsx]原始数据'!$C:$C,MATCH($A280,'[AQ_2023.xlsx]原始数据'!$A:$A,0)),""))</f>
        <v/>
      </c>
      <c r="K280">
        <f>IF($A280="","",IFERROR(INDEX('[AQ_2024.xlsx]原始数据'!$C:$C,MATCH($A280,'[AQ_2024.xlsx]原始数据'!$A:$A,0)),""))</f>
        <v/>
      </c>
      <c r="L280">
        <f>IF($A280="","",IFERROR(INDEX('[AQ_2020.xlsx]原始数据'!$D:$D,MATCH($A280,'[AQ_2020.xlsx]原始数据'!$A:$A,0)),""))</f>
        <v/>
      </c>
      <c r="M280">
        <f>IF($A280="","",IFERROR(INDEX('[AQ_2021.xlsx]原始数据'!$D:$D,MATCH($A280,'[AQ_2021.xlsx]原始数据'!$A:$A,0)),""))</f>
        <v/>
      </c>
      <c r="N280">
        <f>IF($A280="","",IFERROR(INDEX('[AQ_2022.xlsx]原始数据'!$D:$D,MATCH($A280,'[AQ_2022.xlsx]原始数据'!$A:$A,0)),""))</f>
        <v/>
      </c>
      <c r="O280">
        <f>IF($A280="","",IFERROR(INDEX('[AQ_2023.xlsx]原始数据'!$D:$D,MATCH($A280,'[AQ_2023.xlsx]原始数据'!$A:$A,0)),""))</f>
        <v/>
      </c>
      <c r="P280">
        <f>IF($A280="","",IFERROR(INDEX('[AQ_2024.xlsx]原始数据'!$D:$D,MATCH($A280,'[AQ_2024.xlsx]原始数据'!$A:$A,0)),""))</f>
        <v/>
      </c>
      <c r="Q280">
        <f>IF($A280="","",IFERROR(INDEX('[AQ_2020.xlsx]原始数据'!$E:$E,MATCH($A280,'[AQ_2020.xlsx]原始数据'!$A:$A,0)),""))</f>
        <v/>
      </c>
      <c r="R280">
        <f>IF($A280="","",IFERROR(INDEX('[AQ_2021.xlsx]原始数据'!$E:$E,MATCH($A280,'[AQ_2021.xlsx]原始数据'!$A:$A,0)),""))</f>
        <v/>
      </c>
      <c r="S280">
        <f>IF($A280="","",IFERROR(INDEX('[AQ_2022.xlsx]原始数据'!$E:$E,MATCH($A280,'[AQ_2022.xlsx]原始数据'!$A:$A,0)),""))</f>
        <v/>
      </c>
      <c r="T280">
        <f>IF($A280="","",IFERROR(INDEX('[AQ_2023.xlsx]原始数据'!$E:$E,MATCH($A280,'[AQ_2023.xlsx]原始数据'!$A:$A,0)),""))</f>
        <v/>
      </c>
      <c r="U280">
        <f>IF($A280="","",IFERROR(INDEX('[AQ_2024.xlsx]原始数据'!$E:$E,MATCH($A280,'[AQ_2024.xlsx]原始数据'!$A:$A,0)),""))</f>
        <v/>
      </c>
      <c r="V280">
        <f>IF($A280="","",IFERROR(INDEX('[AQ_2020.xlsx]原始数据'!$F:$F,MATCH($A280,'[AQ_2020.xlsx]原始数据'!$A:$A,0)),""))</f>
        <v/>
      </c>
      <c r="W280">
        <f>IF($A280="","",IFERROR(INDEX('[AQ_2021.xlsx]原始数据'!$F:$F,MATCH($A280,'[AQ_2021.xlsx]原始数据'!$A:$A,0)),""))</f>
        <v/>
      </c>
      <c r="X280">
        <f>IF($A280="","",IFERROR(INDEX('[AQ_2022.xlsx]原始数据'!$F:$F,MATCH($A280,'[AQ_2022.xlsx]原始数据'!$A:$A,0)),""))</f>
        <v/>
      </c>
      <c r="Y280">
        <f>IF($A280="","",IFERROR(INDEX('[AQ_2023.xlsx]原始数据'!$F:$F,MATCH($A280,'[AQ_2023.xlsx]原始数据'!$A:$A,0)),""))</f>
        <v/>
      </c>
      <c r="Z280">
        <f>IF($A280="","",IFERROR(INDEX('[AQ_2024.xlsx]原始数据'!$F:$F,MATCH($A280,'[AQ_2024.xlsx]原始数据'!$A:$A,0)),""))</f>
        <v/>
      </c>
      <c r="AA280" s="2">
        <f>IFERROR(G280/B280,"")</f>
        <v/>
      </c>
      <c r="AB280" s="2">
        <f>IFERROR(H280/C280,"")</f>
        <v/>
      </c>
      <c r="AC280" s="2">
        <f>IFERROR(I280/D280,"")</f>
        <v/>
      </c>
      <c r="AD280" s="2">
        <f>IFERROR(J280/E280,"")</f>
        <v/>
      </c>
      <c r="AE280" s="2">
        <f>IFERROR(K280/F280,"")</f>
        <v/>
      </c>
      <c r="AF280" s="2">
        <f>IFERROR(L280/B280,"")</f>
        <v/>
      </c>
      <c r="AG280" s="2">
        <f>IFERROR(M280/C280,"")</f>
        <v/>
      </c>
      <c r="AH280" s="2">
        <f>IFERROR(N280/D280,"")</f>
        <v/>
      </c>
      <c r="AI280" s="2">
        <f>IFERROR(O280/E280,"")</f>
        <v/>
      </c>
      <c r="AJ280" s="2">
        <f>IFERROR(P280/F280,"")</f>
        <v/>
      </c>
      <c r="AK280" s="2">
        <f>IFERROR(Q280/B280,"")</f>
        <v/>
      </c>
      <c r="AL280" s="2">
        <f>IFERROR(R280/C280,"")</f>
        <v/>
      </c>
      <c r="AM280" s="2">
        <f>IFERROR(S280/D280,"")</f>
        <v/>
      </c>
      <c r="AN280" s="2">
        <f>IFERROR(T280/E280,"")</f>
        <v/>
      </c>
      <c r="AO280" s="2">
        <f>IFERROR(U280/F280,"")</f>
        <v/>
      </c>
    </row>
    <row r="281">
      <c r="B281">
        <f>IF($A281="","",IFERROR(INDEX('[AQ_2020.xlsx]原始数据'!$B:$B,MATCH($A281,'[AQ_2020.xlsx]原始数据'!$A:$A,0)),""))</f>
        <v/>
      </c>
      <c r="C281">
        <f>IF($A281="","",IFERROR(INDEX('[AQ_2021.xlsx]原始数据'!$B:$B,MATCH($A281,'[AQ_2021.xlsx]原始数据'!$A:$A,0)),""))</f>
        <v/>
      </c>
      <c r="D281">
        <f>IF($A281="","",IFERROR(INDEX('[AQ_2022.xlsx]原始数据'!$B:$B,MATCH($A281,'[AQ_2022.xlsx]原始数据'!$A:$A,0)),""))</f>
        <v/>
      </c>
      <c r="E281">
        <f>IF($A281="","",IFERROR(INDEX('[AQ_2023.xlsx]原始数据'!$B:$B,MATCH($A281,'[AQ_2023.xlsx]原始数据'!$A:$A,0)),""))</f>
        <v/>
      </c>
      <c r="F281">
        <f>IF($A281="","",IFERROR(INDEX('[AQ_2024.xlsx]原始数据'!$B:$B,MATCH($A281,'[AQ_2024.xlsx]原始数据'!$A:$A,0)),""))</f>
        <v/>
      </c>
      <c r="G281">
        <f>IF($A281="","",IFERROR(INDEX('[AQ_2020.xlsx]原始数据'!$C:$C,MATCH($A281,'[AQ_2020.xlsx]原始数据'!$A:$A,0)),""))</f>
        <v/>
      </c>
      <c r="H281">
        <f>IF($A281="","",IFERROR(INDEX('[AQ_2021.xlsx]原始数据'!$C:$C,MATCH($A281,'[AQ_2021.xlsx]原始数据'!$A:$A,0)),""))</f>
        <v/>
      </c>
      <c r="I281">
        <f>IF($A281="","",IFERROR(INDEX('[AQ_2022.xlsx]原始数据'!$C:$C,MATCH($A281,'[AQ_2022.xlsx]原始数据'!$A:$A,0)),""))</f>
        <v/>
      </c>
      <c r="J281">
        <f>IF($A281="","",IFERROR(INDEX('[AQ_2023.xlsx]原始数据'!$C:$C,MATCH($A281,'[AQ_2023.xlsx]原始数据'!$A:$A,0)),""))</f>
        <v/>
      </c>
      <c r="K281">
        <f>IF($A281="","",IFERROR(INDEX('[AQ_2024.xlsx]原始数据'!$C:$C,MATCH($A281,'[AQ_2024.xlsx]原始数据'!$A:$A,0)),""))</f>
        <v/>
      </c>
      <c r="L281">
        <f>IF($A281="","",IFERROR(INDEX('[AQ_2020.xlsx]原始数据'!$D:$D,MATCH($A281,'[AQ_2020.xlsx]原始数据'!$A:$A,0)),""))</f>
        <v/>
      </c>
      <c r="M281">
        <f>IF($A281="","",IFERROR(INDEX('[AQ_2021.xlsx]原始数据'!$D:$D,MATCH($A281,'[AQ_2021.xlsx]原始数据'!$A:$A,0)),""))</f>
        <v/>
      </c>
      <c r="N281">
        <f>IF($A281="","",IFERROR(INDEX('[AQ_2022.xlsx]原始数据'!$D:$D,MATCH($A281,'[AQ_2022.xlsx]原始数据'!$A:$A,0)),""))</f>
        <v/>
      </c>
      <c r="O281">
        <f>IF($A281="","",IFERROR(INDEX('[AQ_2023.xlsx]原始数据'!$D:$D,MATCH($A281,'[AQ_2023.xlsx]原始数据'!$A:$A,0)),""))</f>
        <v/>
      </c>
      <c r="P281">
        <f>IF($A281="","",IFERROR(INDEX('[AQ_2024.xlsx]原始数据'!$D:$D,MATCH($A281,'[AQ_2024.xlsx]原始数据'!$A:$A,0)),""))</f>
        <v/>
      </c>
      <c r="Q281">
        <f>IF($A281="","",IFERROR(INDEX('[AQ_2020.xlsx]原始数据'!$E:$E,MATCH($A281,'[AQ_2020.xlsx]原始数据'!$A:$A,0)),""))</f>
        <v/>
      </c>
      <c r="R281">
        <f>IF($A281="","",IFERROR(INDEX('[AQ_2021.xlsx]原始数据'!$E:$E,MATCH($A281,'[AQ_2021.xlsx]原始数据'!$A:$A,0)),""))</f>
        <v/>
      </c>
      <c r="S281">
        <f>IF($A281="","",IFERROR(INDEX('[AQ_2022.xlsx]原始数据'!$E:$E,MATCH($A281,'[AQ_2022.xlsx]原始数据'!$A:$A,0)),""))</f>
        <v/>
      </c>
      <c r="T281">
        <f>IF($A281="","",IFERROR(INDEX('[AQ_2023.xlsx]原始数据'!$E:$E,MATCH($A281,'[AQ_2023.xlsx]原始数据'!$A:$A,0)),""))</f>
        <v/>
      </c>
      <c r="U281">
        <f>IF($A281="","",IFERROR(INDEX('[AQ_2024.xlsx]原始数据'!$E:$E,MATCH($A281,'[AQ_2024.xlsx]原始数据'!$A:$A,0)),""))</f>
        <v/>
      </c>
      <c r="V281">
        <f>IF($A281="","",IFERROR(INDEX('[AQ_2020.xlsx]原始数据'!$F:$F,MATCH($A281,'[AQ_2020.xlsx]原始数据'!$A:$A,0)),""))</f>
        <v/>
      </c>
      <c r="W281">
        <f>IF($A281="","",IFERROR(INDEX('[AQ_2021.xlsx]原始数据'!$F:$F,MATCH($A281,'[AQ_2021.xlsx]原始数据'!$A:$A,0)),""))</f>
        <v/>
      </c>
      <c r="X281">
        <f>IF($A281="","",IFERROR(INDEX('[AQ_2022.xlsx]原始数据'!$F:$F,MATCH($A281,'[AQ_2022.xlsx]原始数据'!$A:$A,0)),""))</f>
        <v/>
      </c>
      <c r="Y281">
        <f>IF($A281="","",IFERROR(INDEX('[AQ_2023.xlsx]原始数据'!$F:$F,MATCH($A281,'[AQ_2023.xlsx]原始数据'!$A:$A,0)),""))</f>
        <v/>
      </c>
      <c r="Z281">
        <f>IF($A281="","",IFERROR(INDEX('[AQ_2024.xlsx]原始数据'!$F:$F,MATCH($A281,'[AQ_2024.xlsx]原始数据'!$A:$A,0)),""))</f>
        <v/>
      </c>
      <c r="AA281" s="2">
        <f>IFERROR(G281/B281,"")</f>
        <v/>
      </c>
      <c r="AB281" s="2">
        <f>IFERROR(H281/C281,"")</f>
        <v/>
      </c>
      <c r="AC281" s="2">
        <f>IFERROR(I281/D281,"")</f>
        <v/>
      </c>
      <c r="AD281" s="2">
        <f>IFERROR(J281/E281,"")</f>
        <v/>
      </c>
      <c r="AE281" s="2">
        <f>IFERROR(K281/F281,"")</f>
        <v/>
      </c>
      <c r="AF281" s="2">
        <f>IFERROR(L281/B281,"")</f>
        <v/>
      </c>
      <c r="AG281" s="2">
        <f>IFERROR(M281/C281,"")</f>
        <v/>
      </c>
      <c r="AH281" s="2">
        <f>IFERROR(N281/D281,"")</f>
        <v/>
      </c>
      <c r="AI281" s="2">
        <f>IFERROR(O281/E281,"")</f>
        <v/>
      </c>
      <c r="AJ281" s="2">
        <f>IFERROR(P281/F281,"")</f>
        <v/>
      </c>
      <c r="AK281" s="2">
        <f>IFERROR(Q281/B281,"")</f>
        <v/>
      </c>
      <c r="AL281" s="2">
        <f>IFERROR(R281/C281,"")</f>
        <v/>
      </c>
      <c r="AM281" s="2">
        <f>IFERROR(S281/D281,"")</f>
        <v/>
      </c>
      <c r="AN281" s="2">
        <f>IFERROR(T281/E281,"")</f>
        <v/>
      </c>
      <c r="AO281" s="2">
        <f>IFERROR(U281/F281,"")</f>
        <v/>
      </c>
    </row>
    <row r="282">
      <c r="B282">
        <f>IF($A282="","",IFERROR(INDEX('[AQ_2020.xlsx]原始数据'!$B:$B,MATCH($A282,'[AQ_2020.xlsx]原始数据'!$A:$A,0)),""))</f>
        <v/>
      </c>
      <c r="C282">
        <f>IF($A282="","",IFERROR(INDEX('[AQ_2021.xlsx]原始数据'!$B:$B,MATCH($A282,'[AQ_2021.xlsx]原始数据'!$A:$A,0)),""))</f>
        <v/>
      </c>
      <c r="D282">
        <f>IF($A282="","",IFERROR(INDEX('[AQ_2022.xlsx]原始数据'!$B:$B,MATCH($A282,'[AQ_2022.xlsx]原始数据'!$A:$A,0)),""))</f>
        <v/>
      </c>
      <c r="E282">
        <f>IF($A282="","",IFERROR(INDEX('[AQ_2023.xlsx]原始数据'!$B:$B,MATCH($A282,'[AQ_2023.xlsx]原始数据'!$A:$A,0)),""))</f>
        <v/>
      </c>
      <c r="F282">
        <f>IF($A282="","",IFERROR(INDEX('[AQ_2024.xlsx]原始数据'!$B:$B,MATCH($A282,'[AQ_2024.xlsx]原始数据'!$A:$A,0)),""))</f>
        <v/>
      </c>
      <c r="G282">
        <f>IF($A282="","",IFERROR(INDEX('[AQ_2020.xlsx]原始数据'!$C:$C,MATCH($A282,'[AQ_2020.xlsx]原始数据'!$A:$A,0)),""))</f>
        <v/>
      </c>
      <c r="H282">
        <f>IF($A282="","",IFERROR(INDEX('[AQ_2021.xlsx]原始数据'!$C:$C,MATCH($A282,'[AQ_2021.xlsx]原始数据'!$A:$A,0)),""))</f>
        <v/>
      </c>
      <c r="I282">
        <f>IF($A282="","",IFERROR(INDEX('[AQ_2022.xlsx]原始数据'!$C:$C,MATCH($A282,'[AQ_2022.xlsx]原始数据'!$A:$A,0)),""))</f>
        <v/>
      </c>
      <c r="J282">
        <f>IF($A282="","",IFERROR(INDEX('[AQ_2023.xlsx]原始数据'!$C:$C,MATCH($A282,'[AQ_2023.xlsx]原始数据'!$A:$A,0)),""))</f>
        <v/>
      </c>
      <c r="K282">
        <f>IF($A282="","",IFERROR(INDEX('[AQ_2024.xlsx]原始数据'!$C:$C,MATCH($A282,'[AQ_2024.xlsx]原始数据'!$A:$A,0)),""))</f>
        <v/>
      </c>
      <c r="L282">
        <f>IF($A282="","",IFERROR(INDEX('[AQ_2020.xlsx]原始数据'!$D:$D,MATCH($A282,'[AQ_2020.xlsx]原始数据'!$A:$A,0)),""))</f>
        <v/>
      </c>
      <c r="M282">
        <f>IF($A282="","",IFERROR(INDEX('[AQ_2021.xlsx]原始数据'!$D:$D,MATCH($A282,'[AQ_2021.xlsx]原始数据'!$A:$A,0)),""))</f>
        <v/>
      </c>
      <c r="N282">
        <f>IF($A282="","",IFERROR(INDEX('[AQ_2022.xlsx]原始数据'!$D:$D,MATCH($A282,'[AQ_2022.xlsx]原始数据'!$A:$A,0)),""))</f>
        <v/>
      </c>
      <c r="O282">
        <f>IF($A282="","",IFERROR(INDEX('[AQ_2023.xlsx]原始数据'!$D:$D,MATCH($A282,'[AQ_2023.xlsx]原始数据'!$A:$A,0)),""))</f>
        <v/>
      </c>
      <c r="P282">
        <f>IF($A282="","",IFERROR(INDEX('[AQ_2024.xlsx]原始数据'!$D:$D,MATCH($A282,'[AQ_2024.xlsx]原始数据'!$A:$A,0)),""))</f>
        <v/>
      </c>
      <c r="Q282">
        <f>IF($A282="","",IFERROR(INDEX('[AQ_2020.xlsx]原始数据'!$E:$E,MATCH($A282,'[AQ_2020.xlsx]原始数据'!$A:$A,0)),""))</f>
        <v/>
      </c>
      <c r="R282">
        <f>IF($A282="","",IFERROR(INDEX('[AQ_2021.xlsx]原始数据'!$E:$E,MATCH($A282,'[AQ_2021.xlsx]原始数据'!$A:$A,0)),""))</f>
        <v/>
      </c>
      <c r="S282">
        <f>IF($A282="","",IFERROR(INDEX('[AQ_2022.xlsx]原始数据'!$E:$E,MATCH($A282,'[AQ_2022.xlsx]原始数据'!$A:$A,0)),""))</f>
        <v/>
      </c>
      <c r="T282">
        <f>IF($A282="","",IFERROR(INDEX('[AQ_2023.xlsx]原始数据'!$E:$E,MATCH($A282,'[AQ_2023.xlsx]原始数据'!$A:$A,0)),""))</f>
        <v/>
      </c>
      <c r="U282">
        <f>IF($A282="","",IFERROR(INDEX('[AQ_2024.xlsx]原始数据'!$E:$E,MATCH($A282,'[AQ_2024.xlsx]原始数据'!$A:$A,0)),""))</f>
        <v/>
      </c>
      <c r="V282">
        <f>IF($A282="","",IFERROR(INDEX('[AQ_2020.xlsx]原始数据'!$F:$F,MATCH($A282,'[AQ_2020.xlsx]原始数据'!$A:$A,0)),""))</f>
        <v/>
      </c>
      <c r="W282">
        <f>IF($A282="","",IFERROR(INDEX('[AQ_2021.xlsx]原始数据'!$F:$F,MATCH($A282,'[AQ_2021.xlsx]原始数据'!$A:$A,0)),""))</f>
        <v/>
      </c>
      <c r="X282">
        <f>IF($A282="","",IFERROR(INDEX('[AQ_2022.xlsx]原始数据'!$F:$F,MATCH($A282,'[AQ_2022.xlsx]原始数据'!$A:$A,0)),""))</f>
        <v/>
      </c>
      <c r="Y282">
        <f>IF($A282="","",IFERROR(INDEX('[AQ_2023.xlsx]原始数据'!$F:$F,MATCH($A282,'[AQ_2023.xlsx]原始数据'!$A:$A,0)),""))</f>
        <v/>
      </c>
      <c r="Z282">
        <f>IF($A282="","",IFERROR(INDEX('[AQ_2024.xlsx]原始数据'!$F:$F,MATCH($A282,'[AQ_2024.xlsx]原始数据'!$A:$A,0)),""))</f>
        <v/>
      </c>
      <c r="AA282" s="2">
        <f>IFERROR(G282/B282,"")</f>
        <v/>
      </c>
      <c r="AB282" s="2">
        <f>IFERROR(H282/C282,"")</f>
        <v/>
      </c>
      <c r="AC282" s="2">
        <f>IFERROR(I282/D282,"")</f>
        <v/>
      </c>
      <c r="AD282" s="2">
        <f>IFERROR(J282/E282,"")</f>
        <v/>
      </c>
      <c r="AE282" s="2">
        <f>IFERROR(K282/F282,"")</f>
        <v/>
      </c>
      <c r="AF282" s="2">
        <f>IFERROR(L282/B282,"")</f>
        <v/>
      </c>
      <c r="AG282" s="2">
        <f>IFERROR(M282/C282,"")</f>
        <v/>
      </c>
      <c r="AH282" s="2">
        <f>IFERROR(N282/D282,"")</f>
        <v/>
      </c>
      <c r="AI282" s="2">
        <f>IFERROR(O282/E282,"")</f>
        <v/>
      </c>
      <c r="AJ282" s="2">
        <f>IFERROR(P282/F282,"")</f>
        <v/>
      </c>
      <c r="AK282" s="2">
        <f>IFERROR(Q282/B282,"")</f>
        <v/>
      </c>
      <c r="AL282" s="2">
        <f>IFERROR(R282/C282,"")</f>
        <v/>
      </c>
      <c r="AM282" s="2">
        <f>IFERROR(S282/D282,"")</f>
        <v/>
      </c>
      <c r="AN282" s="2">
        <f>IFERROR(T282/E282,"")</f>
        <v/>
      </c>
      <c r="AO282" s="2">
        <f>IFERROR(U282/F282,"")</f>
        <v/>
      </c>
    </row>
    <row r="283">
      <c r="B283">
        <f>IF($A283="","",IFERROR(INDEX('[AQ_2020.xlsx]原始数据'!$B:$B,MATCH($A283,'[AQ_2020.xlsx]原始数据'!$A:$A,0)),""))</f>
        <v/>
      </c>
      <c r="C283">
        <f>IF($A283="","",IFERROR(INDEX('[AQ_2021.xlsx]原始数据'!$B:$B,MATCH($A283,'[AQ_2021.xlsx]原始数据'!$A:$A,0)),""))</f>
        <v/>
      </c>
      <c r="D283">
        <f>IF($A283="","",IFERROR(INDEX('[AQ_2022.xlsx]原始数据'!$B:$B,MATCH($A283,'[AQ_2022.xlsx]原始数据'!$A:$A,0)),""))</f>
        <v/>
      </c>
      <c r="E283">
        <f>IF($A283="","",IFERROR(INDEX('[AQ_2023.xlsx]原始数据'!$B:$B,MATCH($A283,'[AQ_2023.xlsx]原始数据'!$A:$A,0)),""))</f>
        <v/>
      </c>
      <c r="F283">
        <f>IF($A283="","",IFERROR(INDEX('[AQ_2024.xlsx]原始数据'!$B:$B,MATCH($A283,'[AQ_2024.xlsx]原始数据'!$A:$A,0)),""))</f>
        <v/>
      </c>
      <c r="G283">
        <f>IF($A283="","",IFERROR(INDEX('[AQ_2020.xlsx]原始数据'!$C:$C,MATCH($A283,'[AQ_2020.xlsx]原始数据'!$A:$A,0)),""))</f>
        <v/>
      </c>
      <c r="H283">
        <f>IF($A283="","",IFERROR(INDEX('[AQ_2021.xlsx]原始数据'!$C:$C,MATCH($A283,'[AQ_2021.xlsx]原始数据'!$A:$A,0)),""))</f>
        <v/>
      </c>
      <c r="I283">
        <f>IF($A283="","",IFERROR(INDEX('[AQ_2022.xlsx]原始数据'!$C:$C,MATCH($A283,'[AQ_2022.xlsx]原始数据'!$A:$A,0)),""))</f>
        <v/>
      </c>
      <c r="J283">
        <f>IF($A283="","",IFERROR(INDEX('[AQ_2023.xlsx]原始数据'!$C:$C,MATCH($A283,'[AQ_2023.xlsx]原始数据'!$A:$A,0)),""))</f>
        <v/>
      </c>
      <c r="K283">
        <f>IF($A283="","",IFERROR(INDEX('[AQ_2024.xlsx]原始数据'!$C:$C,MATCH($A283,'[AQ_2024.xlsx]原始数据'!$A:$A,0)),""))</f>
        <v/>
      </c>
      <c r="L283">
        <f>IF($A283="","",IFERROR(INDEX('[AQ_2020.xlsx]原始数据'!$D:$D,MATCH($A283,'[AQ_2020.xlsx]原始数据'!$A:$A,0)),""))</f>
        <v/>
      </c>
      <c r="M283">
        <f>IF($A283="","",IFERROR(INDEX('[AQ_2021.xlsx]原始数据'!$D:$D,MATCH($A283,'[AQ_2021.xlsx]原始数据'!$A:$A,0)),""))</f>
        <v/>
      </c>
      <c r="N283">
        <f>IF($A283="","",IFERROR(INDEX('[AQ_2022.xlsx]原始数据'!$D:$D,MATCH($A283,'[AQ_2022.xlsx]原始数据'!$A:$A,0)),""))</f>
        <v/>
      </c>
      <c r="O283">
        <f>IF($A283="","",IFERROR(INDEX('[AQ_2023.xlsx]原始数据'!$D:$D,MATCH($A283,'[AQ_2023.xlsx]原始数据'!$A:$A,0)),""))</f>
        <v/>
      </c>
      <c r="P283">
        <f>IF($A283="","",IFERROR(INDEX('[AQ_2024.xlsx]原始数据'!$D:$D,MATCH($A283,'[AQ_2024.xlsx]原始数据'!$A:$A,0)),""))</f>
        <v/>
      </c>
      <c r="Q283">
        <f>IF($A283="","",IFERROR(INDEX('[AQ_2020.xlsx]原始数据'!$E:$E,MATCH($A283,'[AQ_2020.xlsx]原始数据'!$A:$A,0)),""))</f>
        <v/>
      </c>
      <c r="R283">
        <f>IF($A283="","",IFERROR(INDEX('[AQ_2021.xlsx]原始数据'!$E:$E,MATCH($A283,'[AQ_2021.xlsx]原始数据'!$A:$A,0)),""))</f>
        <v/>
      </c>
      <c r="S283">
        <f>IF($A283="","",IFERROR(INDEX('[AQ_2022.xlsx]原始数据'!$E:$E,MATCH($A283,'[AQ_2022.xlsx]原始数据'!$A:$A,0)),""))</f>
        <v/>
      </c>
      <c r="T283">
        <f>IF($A283="","",IFERROR(INDEX('[AQ_2023.xlsx]原始数据'!$E:$E,MATCH($A283,'[AQ_2023.xlsx]原始数据'!$A:$A,0)),""))</f>
        <v/>
      </c>
      <c r="U283">
        <f>IF($A283="","",IFERROR(INDEX('[AQ_2024.xlsx]原始数据'!$E:$E,MATCH($A283,'[AQ_2024.xlsx]原始数据'!$A:$A,0)),""))</f>
        <v/>
      </c>
      <c r="V283">
        <f>IF($A283="","",IFERROR(INDEX('[AQ_2020.xlsx]原始数据'!$F:$F,MATCH($A283,'[AQ_2020.xlsx]原始数据'!$A:$A,0)),""))</f>
        <v/>
      </c>
      <c r="W283">
        <f>IF($A283="","",IFERROR(INDEX('[AQ_2021.xlsx]原始数据'!$F:$F,MATCH($A283,'[AQ_2021.xlsx]原始数据'!$A:$A,0)),""))</f>
        <v/>
      </c>
      <c r="X283">
        <f>IF($A283="","",IFERROR(INDEX('[AQ_2022.xlsx]原始数据'!$F:$F,MATCH($A283,'[AQ_2022.xlsx]原始数据'!$A:$A,0)),""))</f>
        <v/>
      </c>
      <c r="Y283">
        <f>IF($A283="","",IFERROR(INDEX('[AQ_2023.xlsx]原始数据'!$F:$F,MATCH($A283,'[AQ_2023.xlsx]原始数据'!$A:$A,0)),""))</f>
        <v/>
      </c>
      <c r="Z283">
        <f>IF($A283="","",IFERROR(INDEX('[AQ_2024.xlsx]原始数据'!$F:$F,MATCH($A283,'[AQ_2024.xlsx]原始数据'!$A:$A,0)),""))</f>
        <v/>
      </c>
      <c r="AA283" s="2">
        <f>IFERROR(G283/B283,"")</f>
        <v/>
      </c>
      <c r="AB283" s="2">
        <f>IFERROR(H283/C283,"")</f>
        <v/>
      </c>
      <c r="AC283" s="2">
        <f>IFERROR(I283/D283,"")</f>
        <v/>
      </c>
      <c r="AD283" s="2">
        <f>IFERROR(J283/E283,"")</f>
        <v/>
      </c>
      <c r="AE283" s="2">
        <f>IFERROR(K283/F283,"")</f>
        <v/>
      </c>
      <c r="AF283" s="2">
        <f>IFERROR(L283/B283,"")</f>
        <v/>
      </c>
      <c r="AG283" s="2">
        <f>IFERROR(M283/C283,"")</f>
        <v/>
      </c>
      <c r="AH283" s="2">
        <f>IFERROR(N283/D283,"")</f>
        <v/>
      </c>
      <c r="AI283" s="2">
        <f>IFERROR(O283/E283,"")</f>
        <v/>
      </c>
      <c r="AJ283" s="2">
        <f>IFERROR(P283/F283,"")</f>
        <v/>
      </c>
      <c r="AK283" s="2">
        <f>IFERROR(Q283/B283,"")</f>
        <v/>
      </c>
      <c r="AL283" s="2">
        <f>IFERROR(R283/C283,"")</f>
        <v/>
      </c>
      <c r="AM283" s="2">
        <f>IFERROR(S283/D283,"")</f>
        <v/>
      </c>
      <c r="AN283" s="2">
        <f>IFERROR(T283/E283,"")</f>
        <v/>
      </c>
      <c r="AO283" s="2">
        <f>IFERROR(U283/F283,"")</f>
        <v/>
      </c>
    </row>
    <row r="284">
      <c r="B284">
        <f>IF($A284="","",IFERROR(INDEX('[AQ_2020.xlsx]原始数据'!$B:$B,MATCH($A284,'[AQ_2020.xlsx]原始数据'!$A:$A,0)),""))</f>
        <v/>
      </c>
      <c r="C284">
        <f>IF($A284="","",IFERROR(INDEX('[AQ_2021.xlsx]原始数据'!$B:$B,MATCH($A284,'[AQ_2021.xlsx]原始数据'!$A:$A,0)),""))</f>
        <v/>
      </c>
      <c r="D284">
        <f>IF($A284="","",IFERROR(INDEX('[AQ_2022.xlsx]原始数据'!$B:$B,MATCH($A284,'[AQ_2022.xlsx]原始数据'!$A:$A,0)),""))</f>
        <v/>
      </c>
      <c r="E284">
        <f>IF($A284="","",IFERROR(INDEX('[AQ_2023.xlsx]原始数据'!$B:$B,MATCH($A284,'[AQ_2023.xlsx]原始数据'!$A:$A,0)),""))</f>
        <v/>
      </c>
      <c r="F284">
        <f>IF($A284="","",IFERROR(INDEX('[AQ_2024.xlsx]原始数据'!$B:$B,MATCH($A284,'[AQ_2024.xlsx]原始数据'!$A:$A,0)),""))</f>
        <v/>
      </c>
      <c r="G284">
        <f>IF($A284="","",IFERROR(INDEX('[AQ_2020.xlsx]原始数据'!$C:$C,MATCH($A284,'[AQ_2020.xlsx]原始数据'!$A:$A,0)),""))</f>
        <v/>
      </c>
      <c r="H284">
        <f>IF($A284="","",IFERROR(INDEX('[AQ_2021.xlsx]原始数据'!$C:$C,MATCH($A284,'[AQ_2021.xlsx]原始数据'!$A:$A,0)),""))</f>
        <v/>
      </c>
      <c r="I284">
        <f>IF($A284="","",IFERROR(INDEX('[AQ_2022.xlsx]原始数据'!$C:$C,MATCH($A284,'[AQ_2022.xlsx]原始数据'!$A:$A,0)),""))</f>
        <v/>
      </c>
      <c r="J284">
        <f>IF($A284="","",IFERROR(INDEX('[AQ_2023.xlsx]原始数据'!$C:$C,MATCH($A284,'[AQ_2023.xlsx]原始数据'!$A:$A,0)),""))</f>
        <v/>
      </c>
      <c r="K284">
        <f>IF($A284="","",IFERROR(INDEX('[AQ_2024.xlsx]原始数据'!$C:$C,MATCH($A284,'[AQ_2024.xlsx]原始数据'!$A:$A,0)),""))</f>
        <v/>
      </c>
      <c r="L284">
        <f>IF($A284="","",IFERROR(INDEX('[AQ_2020.xlsx]原始数据'!$D:$D,MATCH($A284,'[AQ_2020.xlsx]原始数据'!$A:$A,0)),""))</f>
        <v/>
      </c>
      <c r="M284">
        <f>IF($A284="","",IFERROR(INDEX('[AQ_2021.xlsx]原始数据'!$D:$D,MATCH($A284,'[AQ_2021.xlsx]原始数据'!$A:$A,0)),""))</f>
        <v/>
      </c>
      <c r="N284">
        <f>IF($A284="","",IFERROR(INDEX('[AQ_2022.xlsx]原始数据'!$D:$D,MATCH($A284,'[AQ_2022.xlsx]原始数据'!$A:$A,0)),""))</f>
        <v/>
      </c>
      <c r="O284">
        <f>IF($A284="","",IFERROR(INDEX('[AQ_2023.xlsx]原始数据'!$D:$D,MATCH($A284,'[AQ_2023.xlsx]原始数据'!$A:$A,0)),""))</f>
        <v/>
      </c>
      <c r="P284">
        <f>IF($A284="","",IFERROR(INDEX('[AQ_2024.xlsx]原始数据'!$D:$D,MATCH($A284,'[AQ_2024.xlsx]原始数据'!$A:$A,0)),""))</f>
        <v/>
      </c>
      <c r="Q284">
        <f>IF($A284="","",IFERROR(INDEX('[AQ_2020.xlsx]原始数据'!$E:$E,MATCH($A284,'[AQ_2020.xlsx]原始数据'!$A:$A,0)),""))</f>
        <v/>
      </c>
      <c r="R284">
        <f>IF($A284="","",IFERROR(INDEX('[AQ_2021.xlsx]原始数据'!$E:$E,MATCH($A284,'[AQ_2021.xlsx]原始数据'!$A:$A,0)),""))</f>
        <v/>
      </c>
      <c r="S284">
        <f>IF($A284="","",IFERROR(INDEX('[AQ_2022.xlsx]原始数据'!$E:$E,MATCH($A284,'[AQ_2022.xlsx]原始数据'!$A:$A,0)),""))</f>
        <v/>
      </c>
      <c r="T284">
        <f>IF($A284="","",IFERROR(INDEX('[AQ_2023.xlsx]原始数据'!$E:$E,MATCH($A284,'[AQ_2023.xlsx]原始数据'!$A:$A,0)),""))</f>
        <v/>
      </c>
      <c r="U284">
        <f>IF($A284="","",IFERROR(INDEX('[AQ_2024.xlsx]原始数据'!$E:$E,MATCH($A284,'[AQ_2024.xlsx]原始数据'!$A:$A,0)),""))</f>
        <v/>
      </c>
      <c r="V284">
        <f>IF($A284="","",IFERROR(INDEX('[AQ_2020.xlsx]原始数据'!$F:$F,MATCH($A284,'[AQ_2020.xlsx]原始数据'!$A:$A,0)),""))</f>
        <v/>
      </c>
      <c r="W284">
        <f>IF($A284="","",IFERROR(INDEX('[AQ_2021.xlsx]原始数据'!$F:$F,MATCH($A284,'[AQ_2021.xlsx]原始数据'!$A:$A,0)),""))</f>
        <v/>
      </c>
      <c r="X284">
        <f>IF($A284="","",IFERROR(INDEX('[AQ_2022.xlsx]原始数据'!$F:$F,MATCH($A284,'[AQ_2022.xlsx]原始数据'!$A:$A,0)),""))</f>
        <v/>
      </c>
      <c r="Y284">
        <f>IF($A284="","",IFERROR(INDEX('[AQ_2023.xlsx]原始数据'!$F:$F,MATCH($A284,'[AQ_2023.xlsx]原始数据'!$A:$A,0)),""))</f>
        <v/>
      </c>
      <c r="Z284">
        <f>IF($A284="","",IFERROR(INDEX('[AQ_2024.xlsx]原始数据'!$F:$F,MATCH($A284,'[AQ_2024.xlsx]原始数据'!$A:$A,0)),""))</f>
        <v/>
      </c>
      <c r="AA284" s="2">
        <f>IFERROR(G284/B284,"")</f>
        <v/>
      </c>
      <c r="AB284" s="2">
        <f>IFERROR(H284/C284,"")</f>
        <v/>
      </c>
      <c r="AC284" s="2">
        <f>IFERROR(I284/D284,"")</f>
        <v/>
      </c>
      <c r="AD284" s="2">
        <f>IFERROR(J284/E284,"")</f>
        <v/>
      </c>
      <c r="AE284" s="2">
        <f>IFERROR(K284/F284,"")</f>
        <v/>
      </c>
      <c r="AF284" s="2">
        <f>IFERROR(L284/B284,"")</f>
        <v/>
      </c>
      <c r="AG284" s="2">
        <f>IFERROR(M284/C284,"")</f>
        <v/>
      </c>
      <c r="AH284" s="2">
        <f>IFERROR(N284/D284,"")</f>
        <v/>
      </c>
      <c r="AI284" s="2">
        <f>IFERROR(O284/E284,"")</f>
        <v/>
      </c>
      <c r="AJ284" s="2">
        <f>IFERROR(P284/F284,"")</f>
        <v/>
      </c>
      <c r="AK284" s="2">
        <f>IFERROR(Q284/B284,"")</f>
        <v/>
      </c>
      <c r="AL284" s="2">
        <f>IFERROR(R284/C284,"")</f>
        <v/>
      </c>
      <c r="AM284" s="2">
        <f>IFERROR(S284/D284,"")</f>
        <v/>
      </c>
      <c r="AN284" s="2">
        <f>IFERROR(T284/E284,"")</f>
        <v/>
      </c>
      <c r="AO284" s="2">
        <f>IFERROR(U284/F284,"")</f>
        <v/>
      </c>
    </row>
    <row r="285">
      <c r="B285">
        <f>IF($A285="","",IFERROR(INDEX('[AQ_2020.xlsx]原始数据'!$B:$B,MATCH($A285,'[AQ_2020.xlsx]原始数据'!$A:$A,0)),""))</f>
        <v/>
      </c>
      <c r="C285">
        <f>IF($A285="","",IFERROR(INDEX('[AQ_2021.xlsx]原始数据'!$B:$B,MATCH($A285,'[AQ_2021.xlsx]原始数据'!$A:$A,0)),""))</f>
        <v/>
      </c>
      <c r="D285">
        <f>IF($A285="","",IFERROR(INDEX('[AQ_2022.xlsx]原始数据'!$B:$B,MATCH($A285,'[AQ_2022.xlsx]原始数据'!$A:$A,0)),""))</f>
        <v/>
      </c>
      <c r="E285">
        <f>IF($A285="","",IFERROR(INDEX('[AQ_2023.xlsx]原始数据'!$B:$B,MATCH($A285,'[AQ_2023.xlsx]原始数据'!$A:$A,0)),""))</f>
        <v/>
      </c>
      <c r="F285">
        <f>IF($A285="","",IFERROR(INDEX('[AQ_2024.xlsx]原始数据'!$B:$B,MATCH($A285,'[AQ_2024.xlsx]原始数据'!$A:$A,0)),""))</f>
        <v/>
      </c>
      <c r="G285">
        <f>IF($A285="","",IFERROR(INDEX('[AQ_2020.xlsx]原始数据'!$C:$C,MATCH($A285,'[AQ_2020.xlsx]原始数据'!$A:$A,0)),""))</f>
        <v/>
      </c>
      <c r="H285">
        <f>IF($A285="","",IFERROR(INDEX('[AQ_2021.xlsx]原始数据'!$C:$C,MATCH($A285,'[AQ_2021.xlsx]原始数据'!$A:$A,0)),""))</f>
        <v/>
      </c>
      <c r="I285">
        <f>IF($A285="","",IFERROR(INDEX('[AQ_2022.xlsx]原始数据'!$C:$C,MATCH($A285,'[AQ_2022.xlsx]原始数据'!$A:$A,0)),""))</f>
        <v/>
      </c>
      <c r="J285">
        <f>IF($A285="","",IFERROR(INDEX('[AQ_2023.xlsx]原始数据'!$C:$C,MATCH($A285,'[AQ_2023.xlsx]原始数据'!$A:$A,0)),""))</f>
        <v/>
      </c>
      <c r="K285">
        <f>IF($A285="","",IFERROR(INDEX('[AQ_2024.xlsx]原始数据'!$C:$C,MATCH($A285,'[AQ_2024.xlsx]原始数据'!$A:$A,0)),""))</f>
        <v/>
      </c>
      <c r="L285">
        <f>IF($A285="","",IFERROR(INDEX('[AQ_2020.xlsx]原始数据'!$D:$D,MATCH($A285,'[AQ_2020.xlsx]原始数据'!$A:$A,0)),""))</f>
        <v/>
      </c>
      <c r="M285">
        <f>IF($A285="","",IFERROR(INDEX('[AQ_2021.xlsx]原始数据'!$D:$D,MATCH($A285,'[AQ_2021.xlsx]原始数据'!$A:$A,0)),""))</f>
        <v/>
      </c>
      <c r="N285">
        <f>IF($A285="","",IFERROR(INDEX('[AQ_2022.xlsx]原始数据'!$D:$D,MATCH($A285,'[AQ_2022.xlsx]原始数据'!$A:$A,0)),""))</f>
        <v/>
      </c>
      <c r="O285">
        <f>IF($A285="","",IFERROR(INDEX('[AQ_2023.xlsx]原始数据'!$D:$D,MATCH($A285,'[AQ_2023.xlsx]原始数据'!$A:$A,0)),""))</f>
        <v/>
      </c>
      <c r="P285">
        <f>IF($A285="","",IFERROR(INDEX('[AQ_2024.xlsx]原始数据'!$D:$D,MATCH($A285,'[AQ_2024.xlsx]原始数据'!$A:$A,0)),""))</f>
        <v/>
      </c>
      <c r="Q285">
        <f>IF($A285="","",IFERROR(INDEX('[AQ_2020.xlsx]原始数据'!$E:$E,MATCH($A285,'[AQ_2020.xlsx]原始数据'!$A:$A,0)),""))</f>
        <v/>
      </c>
      <c r="R285">
        <f>IF($A285="","",IFERROR(INDEX('[AQ_2021.xlsx]原始数据'!$E:$E,MATCH($A285,'[AQ_2021.xlsx]原始数据'!$A:$A,0)),""))</f>
        <v/>
      </c>
      <c r="S285">
        <f>IF($A285="","",IFERROR(INDEX('[AQ_2022.xlsx]原始数据'!$E:$E,MATCH($A285,'[AQ_2022.xlsx]原始数据'!$A:$A,0)),""))</f>
        <v/>
      </c>
      <c r="T285">
        <f>IF($A285="","",IFERROR(INDEX('[AQ_2023.xlsx]原始数据'!$E:$E,MATCH($A285,'[AQ_2023.xlsx]原始数据'!$A:$A,0)),""))</f>
        <v/>
      </c>
      <c r="U285">
        <f>IF($A285="","",IFERROR(INDEX('[AQ_2024.xlsx]原始数据'!$E:$E,MATCH($A285,'[AQ_2024.xlsx]原始数据'!$A:$A,0)),""))</f>
        <v/>
      </c>
      <c r="V285">
        <f>IF($A285="","",IFERROR(INDEX('[AQ_2020.xlsx]原始数据'!$F:$F,MATCH($A285,'[AQ_2020.xlsx]原始数据'!$A:$A,0)),""))</f>
        <v/>
      </c>
      <c r="W285">
        <f>IF($A285="","",IFERROR(INDEX('[AQ_2021.xlsx]原始数据'!$F:$F,MATCH($A285,'[AQ_2021.xlsx]原始数据'!$A:$A,0)),""))</f>
        <v/>
      </c>
      <c r="X285">
        <f>IF($A285="","",IFERROR(INDEX('[AQ_2022.xlsx]原始数据'!$F:$F,MATCH($A285,'[AQ_2022.xlsx]原始数据'!$A:$A,0)),""))</f>
        <v/>
      </c>
      <c r="Y285">
        <f>IF($A285="","",IFERROR(INDEX('[AQ_2023.xlsx]原始数据'!$F:$F,MATCH($A285,'[AQ_2023.xlsx]原始数据'!$A:$A,0)),""))</f>
        <v/>
      </c>
      <c r="Z285">
        <f>IF($A285="","",IFERROR(INDEX('[AQ_2024.xlsx]原始数据'!$F:$F,MATCH($A285,'[AQ_2024.xlsx]原始数据'!$A:$A,0)),""))</f>
        <v/>
      </c>
      <c r="AA285" s="2">
        <f>IFERROR(G285/B285,"")</f>
        <v/>
      </c>
      <c r="AB285" s="2">
        <f>IFERROR(H285/C285,"")</f>
        <v/>
      </c>
      <c r="AC285" s="2">
        <f>IFERROR(I285/D285,"")</f>
        <v/>
      </c>
      <c r="AD285" s="2">
        <f>IFERROR(J285/E285,"")</f>
        <v/>
      </c>
      <c r="AE285" s="2">
        <f>IFERROR(K285/F285,"")</f>
        <v/>
      </c>
      <c r="AF285" s="2">
        <f>IFERROR(L285/B285,"")</f>
        <v/>
      </c>
      <c r="AG285" s="2">
        <f>IFERROR(M285/C285,"")</f>
        <v/>
      </c>
      <c r="AH285" s="2">
        <f>IFERROR(N285/D285,"")</f>
        <v/>
      </c>
      <c r="AI285" s="2">
        <f>IFERROR(O285/E285,"")</f>
        <v/>
      </c>
      <c r="AJ285" s="2">
        <f>IFERROR(P285/F285,"")</f>
        <v/>
      </c>
      <c r="AK285" s="2">
        <f>IFERROR(Q285/B285,"")</f>
        <v/>
      </c>
      <c r="AL285" s="2">
        <f>IFERROR(R285/C285,"")</f>
        <v/>
      </c>
      <c r="AM285" s="2">
        <f>IFERROR(S285/D285,"")</f>
        <v/>
      </c>
      <c r="AN285" s="2">
        <f>IFERROR(T285/E285,"")</f>
        <v/>
      </c>
      <c r="AO285" s="2">
        <f>IFERROR(U285/F285,"")</f>
        <v/>
      </c>
    </row>
    <row r="286">
      <c r="B286">
        <f>IF($A286="","",IFERROR(INDEX('[AQ_2020.xlsx]原始数据'!$B:$B,MATCH($A286,'[AQ_2020.xlsx]原始数据'!$A:$A,0)),""))</f>
        <v/>
      </c>
      <c r="C286">
        <f>IF($A286="","",IFERROR(INDEX('[AQ_2021.xlsx]原始数据'!$B:$B,MATCH($A286,'[AQ_2021.xlsx]原始数据'!$A:$A,0)),""))</f>
        <v/>
      </c>
      <c r="D286">
        <f>IF($A286="","",IFERROR(INDEX('[AQ_2022.xlsx]原始数据'!$B:$B,MATCH($A286,'[AQ_2022.xlsx]原始数据'!$A:$A,0)),""))</f>
        <v/>
      </c>
      <c r="E286">
        <f>IF($A286="","",IFERROR(INDEX('[AQ_2023.xlsx]原始数据'!$B:$B,MATCH($A286,'[AQ_2023.xlsx]原始数据'!$A:$A,0)),""))</f>
        <v/>
      </c>
      <c r="F286">
        <f>IF($A286="","",IFERROR(INDEX('[AQ_2024.xlsx]原始数据'!$B:$B,MATCH($A286,'[AQ_2024.xlsx]原始数据'!$A:$A,0)),""))</f>
        <v/>
      </c>
      <c r="G286">
        <f>IF($A286="","",IFERROR(INDEX('[AQ_2020.xlsx]原始数据'!$C:$C,MATCH($A286,'[AQ_2020.xlsx]原始数据'!$A:$A,0)),""))</f>
        <v/>
      </c>
      <c r="H286">
        <f>IF($A286="","",IFERROR(INDEX('[AQ_2021.xlsx]原始数据'!$C:$C,MATCH($A286,'[AQ_2021.xlsx]原始数据'!$A:$A,0)),""))</f>
        <v/>
      </c>
      <c r="I286">
        <f>IF($A286="","",IFERROR(INDEX('[AQ_2022.xlsx]原始数据'!$C:$C,MATCH($A286,'[AQ_2022.xlsx]原始数据'!$A:$A,0)),""))</f>
        <v/>
      </c>
      <c r="J286">
        <f>IF($A286="","",IFERROR(INDEX('[AQ_2023.xlsx]原始数据'!$C:$C,MATCH($A286,'[AQ_2023.xlsx]原始数据'!$A:$A,0)),""))</f>
        <v/>
      </c>
      <c r="K286">
        <f>IF($A286="","",IFERROR(INDEX('[AQ_2024.xlsx]原始数据'!$C:$C,MATCH($A286,'[AQ_2024.xlsx]原始数据'!$A:$A,0)),""))</f>
        <v/>
      </c>
      <c r="L286">
        <f>IF($A286="","",IFERROR(INDEX('[AQ_2020.xlsx]原始数据'!$D:$D,MATCH($A286,'[AQ_2020.xlsx]原始数据'!$A:$A,0)),""))</f>
        <v/>
      </c>
      <c r="M286">
        <f>IF($A286="","",IFERROR(INDEX('[AQ_2021.xlsx]原始数据'!$D:$D,MATCH($A286,'[AQ_2021.xlsx]原始数据'!$A:$A,0)),""))</f>
        <v/>
      </c>
      <c r="N286">
        <f>IF($A286="","",IFERROR(INDEX('[AQ_2022.xlsx]原始数据'!$D:$D,MATCH($A286,'[AQ_2022.xlsx]原始数据'!$A:$A,0)),""))</f>
        <v/>
      </c>
      <c r="O286">
        <f>IF($A286="","",IFERROR(INDEX('[AQ_2023.xlsx]原始数据'!$D:$D,MATCH($A286,'[AQ_2023.xlsx]原始数据'!$A:$A,0)),""))</f>
        <v/>
      </c>
      <c r="P286">
        <f>IF($A286="","",IFERROR(INDEX('[AQ_2024.xlsx]原始数据'!$D:$D,MATCH($A286,'[AQ_2024.xlsx]原始数据'!$A:$A,0)),""))</f>
        <v/>
      </c>
      <c r="Q286">
        <f>IF($A286="","",IFERROR(INDEX('[AQ_2020.xlsx]原始数据'!$E:$E,MATCH($A286,'[AQ_2020.xlsx]原始数据'!$A:$A,0)),""))</f>
        <v/>
      </c>
      <c r="R286">
        <f>IF($A286="","",IFERROR(INDEX('[AQ_2021.xlsx]原始数据'!$E:$E,MATCH($A286,'[AQ_2021.xlsx]原始数据'!$A:$A,0)),""))</f>
        <v/>
      </c>
      <c r="S286">
        <f>IF($A286="","",IFERROR(INDEX('[AQ_2022.xlsx]原始数据'!$E:$E,MATCH($A286,'[AQ_2022.xlsx]原始数据'!$A:$A,0)),""))</f>
        <v/>
      </c>
      <c r="T286">
        <f>IF($A286="","",IFERROR(INDEX('[AQ_2023.xlsx]原始数据'!$E:$E,MATCH($A286,'[AQ_2023.xlsx]原始数据'!$A:$A,0)),""))</f>
        <v/>
      </c>
      <c r="U286">
        <f>IF($A286="","",IFERROR(INDEX('[AQ_2024.xlsx]原始数据'!$E:$E,MATCH($A286,'[AQ_2024.xlsx]原始数据'!$A:$A,0)),""))</f>
        <v/>
      </c>
      <c r="V286">
        <f>IF($A286="","",IFERROR(INDEX('[AQ_2020.xlsx]原始数据'!$F:$F,MATCH($A286,'[AQ_2020.xlsx]原始数据'!$A:$A,0)),""))</f>
        <v/>
      </c>
      <c r="W286">
        <f>IF($A286="","",IFERROR(INDEX('[AQ_2021.xlsx]原始数据'!$F:$F,MATCH($A286,'[AQ_2021.xlsx]原始数据'!$A:$A,0)),""))</f>
        <v/>
      </c>
      <c r="X286">
        <f>IF($A286="","",IFERROR(INDEX('[AQ_2022.xlsx]原始数据'!$F:$F,MATCH($A286,'[AQ_2022.xlsx]原始数据'!$A:$A,0)),""))</f>
        <v/>
      </c>
      <c r="Y286">
        <f>IF($A286="","",IFERROR(INDEX('[AQ_2023.xlsx]原始数据'!$F:$F,MATCH($A286,'[AQ_2023.xlsx]原始数据'!$A:$A,0)),""))</f>
        <v/>
      </c>
      <c r="Z286">
        <f>IF($A286="","",IFERROR(INDEX('[AQ_2024.xlsx]原始数据'!$F:$F,MATCH($A286,'[AQ_2024.xlsx]原始数据'!$A:$A,0)),""))</f>
        <v/>
      </c>
      <c r="AA286" s="2">
        <f>IFERROR(G286/B286,"")</f>
        <v/>
      </c>
      <c r="AB286" s="2">
        <f>IFERROR(H286/C286,"")</f>
        <v/>
      </c>
      <c r="AC286" s="2">
        <f>IFERROR(I286/D286,"")</f>
        <v/>
      </c>
      <c r="AD286" s="2">
        <f>IFERROR(J286/E286,"")</f>
        <v/>
      </c>
      <c r="AE286" s="2">
        <f>IFERROR(K286/F286,"")</f>
        <v/>
      </c>
      <c r="AF286" s="2">
        <f>IFERROR(L286/B286,"")</f>
        <v/>
      </c>
      <c r="AG286" s="2">
        <f>IFERROR(M286/C286,"")</f>
        <v/>
      </c>
      <c r="AH286" s="2">
        <f>IFERROR(N286/D286,"")</f>
        <v/>
      </c>
      <c r="AI286" s="2">
        <f>IFERROR(O286/E286,"")</f>
        <v/>
      </c>
      <c r="AJ286" s="2">
        <f>IFERROR(P286/F286,"")</f>
        <v/>
      </c>
      <c r="AK286" s="2">
        <f>IFERROR(Q286/B286,"")</f>
        <v/>
      </c>
      <c r="AL286" s="2">
        <f>IFERROR(R286/C286,"")</f>
        <v/>
      </c>
      <c r="AM286" s="2">
        <f>IFERROR(S286/D286,"")</f>
        <v/>
      </c>
      <c r="AN286" s="2">
        <f>IFERROR(T286/E286,"")</f>
        <v/>
      </c>
      <c r="AO286" s="2">
        <f>IFERROR(U286/F286,"")</f>
        <v/>
      </c>
    </row>
    <row r="287">
      <c r="B287">
        <f>IF($A287="","",IFERROR(INDEX('[AQ_2020.xlsx]原始数据'!$B:$B,MATCH($A287,'[AQ_2020.xlsx]原始数据'!$A:$A,0)),""))</f>
        <v/>
      </c>
      <c r="C287">
        <f>IF($A287="","",IFERROR(INDEX('[AQ_2021.xlsx]原始数据'!$B:$B,MATCH($A287,'[AQ_2021.xlsx]原始数据'!$A:$A,0)),""))</f>
        <v/>
      </c>
      <c r="D287">
        <f>IF($A287="","",IFERROR(INDEX('[AQ_2022.xlsx]原始数据'!$B:$B,MATCH($A287,'[AQ_2022.xlsx]原始数据'!$A:$A,0)),""))</f>
        <v/>
      </c>
      <c r="E287">
        <f>IF($A287="","",IFERROR(INDEX('[AQ_2023.xlsx]原始数据'!$B:$B,MATCH($A287,'[AQ_2023.xlsx]原始数据'!$A:$A,0)),""))</f>
        <v/>
      </c>
      <c r="F287">
        <f>IF($A287="","",IFERROR(INDEX('[AQ_2024.xlsx]原始数据'!$B:$B,MATCH($A287,'[AQ_2024.xlsx]原始数据'!$A:$A,0)),""))</f>
        <v/>
      </c>
      <c r="G287">
        <f>IF($A287="","",IFERROR(INDEX('[AQ_2020.xlsx]原始数据'!$C:$C,MATCH($A287,'[AQ_2020.xlsx]原始数据'!$A:$A,0)),""))</f>
        <v/>
      </c>
      <c r="H287">
        <f>IF($A287="","",IFERROR(INDEX('[AQ_2021.xlsx]原始数据'!$C:$C,MATCH($A287,'[AQ_2021.xlsx]原始数据'!$A:$A,0)),""))</f>
        <v/>
      </c>
      <c r="I287">
        <f>IF($A287="","",IFERROR(INDEX('[AQ_2022.xlsx]原始数据'!$C:$C,MATCH($A287,'[AQ_2022.xlsx]原始数据'!$A:$A,0)),""))</f>
        <v/>
      </c>
      <c r="J287">
        <f>IF($A287="","",IFERROR(INDEX('[AQ_2023.xlsx]原始数据'!$C:$C,MATCH($A287,'[AQ_2023.xlsx]原始数据'!$A:$A,0)),""))</f>
        <v/>
      </c>
      <c r="K287">
        <f>IF($A287="","",IFERROR(INDEX('[AQ_2024.xlsx]原始数据'!$C:$C,MATCH($A287,'[AQ_2024.xlsx]原始数据'!$A:$A,0)),""))</f>
        <v/>
      </c>
      <c r="L287">
        <f>IF($A287="","",IFERROR(INDEX('[AQ_2020.xlsx]原始数据'!$D:$D,MATCH($A287,'[AQ_2020.xlsx]原始数据'!$A:$A,0)),""))</f>
        <v/>
      </c>
      <c r="M287">
        <f>IF($A287="","",IFERROR(INDEX('[AQ_2021.xlsx]原始数据'!$D:$D,MATCH($A287,'[AQ_2021.xlsx]原始数据'!$A:$A,0)),""))</f>
        <v/>
      </c>
      <c r="N287">
        <f>IF($A287="","",IFERROR(INDEX('[AQ_2022.xlsx]原始数据'!$D:$D,MATCH($A287,'[AQ_2022.xlsx]原始数据'!$A:$A,0)),""))</f>
        <v/>
      </c>
      <c r="O287">
        <f>IF($A287="","",IFERROR(INDEX('[AQ_2023.xlsx]原始数据'!$D:$D,MATCH($A287,'[AQ_2023.xlsx]原始数据'!$A:$A,0)),""))</f>
        <v/>
      </c>
      <c r="P287">
        <f>IF($A287="","",IFERROR(INDEX('[AQ_2024.xlsx]原始数据'!$D:$D,MATCH($A287,'[AQ_2024.xlsx]原始数据'!$A:$A,0)),""))</f>
        <v/>
      </c>
      <c r="Q287">
        <f>IF($A287="","",IFERROR(INDEX('[AQ_2020.xlsx]原始数据'!$E:$E,MATCH($A287,'[AQ_2020.xlsx]原始数据'!$A:$A,0)),""))</f>
        <v/>
      </c>
      <c r="R287">
        <f>IF($A287="","",IFERROR(INDEX('[AQ_2021.xlsx]原始数据'!$E:$E,MATCH($A287,'[AQ_2021.xlsx]原始数据'!$A:$A,0)),""))</f>
        <v/>
      </c>
      <c r="S287">
        <f>IF($A287="","",IFERROR(INDEX('[AQ_2022.xlsx]原始数据'!$E:$E,MATCH($A287,'[AQ_2022.xlsx]原始数据'!$A:$A,0)),""))</f>
        <v/>
      </c>
      <c r="T287">
        <f>IF($A287="","",IFERROR(INDEX('[AQ_2023.xlsx]原始数据'!$E:$E,MATCH($A287,'[AQ_2023.xlsx]原始数据'!$A:$A,0)),""))</f>
        <v/>
      </c>
      <c r="U287">
        <f>IF($A287="","",IFERROR(INDEX('[AQ_2024.xlsx]原始数据'!$E:$E,MATCH($A287,'[AQ_2024.xlsx]原始数据'!$A:$A,0)),""))</f>
        <v/>
      </c>
      <c r="V287">
        <f>IF($A287="","",IFERROR(INDEX('[AQ_2020.xlsx]原始数据'!$F:$F,MATCH($A287,'[AQ_2020.xlsx]原始数据'!$A:$A,0)),""))</f>
        <v/>
      </c>
      <c r="W287">
        <f>IF($A287="","",IFERROR(INDEX('[AQ_2021.xlsx]原始数据'!$F:$F,MATCH($A287,'[AQ_2021.xlsx]原始数据'!$A:$A,0)),""))</f>
        <v/>
      </c>
      <c r="X287">
        <f>IF($A287="","",IFERROR(INDEX('[AQ_2022.xlsx]原始数据'!$F:$F,MATCH($A287,'[AQ_2022.xlsx]原始数据'!$A:$A,0)),""))</f>
        <v/>
      </c>
      <c r="Y287">
        <f>IF($A287="","",IFERROR(INDEX('[AQ_2023.xlsx]原始数据'!$F:$F,MATCH($A287,'[AQ_2023.xlsx]原始数据'!$A:$A,0)),""))</f>
        <v/>
      </c>
      <c r="Z287">
        <f>IF($A287="","",IFERROR(INDEX('[AQ_2024.xlsx]原始数据'!$F:$F,MATCH($A287,'[AQ_2024.xlsx]原始数据'!$A:$A,0)),""))</f>
        <v/>
      </c>
      <c r="AA287" s="2">
        <f>IFERROR(G287/B287,"")</f>
        <v/>
      </c>
      <c r="AB287" s="2">
        <f>IFERROR(H287/C287,"")</f>
        <v/>
      </c>
      <c r="AC287" s="2">
        <f>IFERROR(I287/D287,"")</f>
        <v/>
      </c>
      <c r="AD287" s="2">
        <f>IFERROR(J287/E287,"")</f>
        <v/>
      </c>
      <c r="AE287" s="2">
        <f>IFERROR(K287/F287,"")</f>
        <v/>
      </c>
      <c r="AF287" s="2">
        <f>IFERROR(L287/B287,"")</f>
        <v/>
      </c>
      <c r="AG287" s="2">
        <f>IFERROR(M287/C287,"")</f>
        <v/>
      </c>
      <c r="AH287" s="2">
        <f>IFERROR(N287/D287,"")</f>
        <v/>
      </c>
      <c r="AI287" s="2">
        <f>IFERROR(O287/E287,"")</f>
        <v/>
      </c>
      <c r="AJ287" s="2">
        <f>IFERROR(P287/F287,"")</f>
        <v/>
      </c>
      <c r="AK287" s="2">
        <f>IFERROR(Q287/B287,"")</f>
        <v/>
      </c>
      <c r="AL287" s="2">
        <f>IFERROR(R287/C287,"")</f>
        <v/>
      </c>
      <c r="AM287" s="2">
        <f>IFERROR(S287/D287,"")</f>
        <v/>
      </c>
      <c r="AN287" s="2">
        <f>IFERROR(T287/E287,"")</f>
        <v/>
      </c>
      <c r="AO287" s="2">
        <f>IFERROR(U287/F287,"")</f>
        <v/>
      </c>
    </row>
    <row r="288">
      <c r="B288">
        <f>IF($A288="","",IFERROR(INDEX('[AQ_2020.xlsx]原始数据'!$B:$B,MATCH($A288,'[AQ_2020.xlsx]原始数据'!$A:$A,0)),""))</f>
        <v/>
      </c>
      <c r="C288">
        <f>IF($A288="","",IFERROR(INDEX('[AQ_2021.xlsx]原始数据'!$B:$B,MATCH($A288,'[AQ_2021.xlsx]原始数据'!$A:$A,0)),""))</f>
        <v/>
      </c>
      <c r="D288">
        <f>IF($A288="","",IFERROR(INDEX('[AQ_2022.xlsx]原始数据'!$B:$B,MATCH($A288,'[AQ_2022.xlsx]原始数据'!$A:$A,0)),""))</f>
        <v/>
      </c>
      <c r="E288">
        <f>IF($A288="","",IFERROR(INDEX('[AQ_2023.xlsx]原始数据'!$B:$B,MATCH($A288,'[AQ_2023.xlsx]原始数据'!$A:$A,0)),""))</f>
        <v/>
      </c>
      <c r="F288">
        <f>IF($A288="","",IFERROR(INDEX('[AQ_2024.xlsx]原始数据'!$B:$B,MATCH($A288,'[AQ_2024.xlsx]原始数据'!$A:$A,0)),""))</f>
        <v/>
      </c>
      <c r="G288">
        <f>IF($A288="","",IFERROR(INDEX('[AQ_2020.xlsx]原始数据'!$C:$C,MATCH($A288,'[AQ_2020.xlsx]原始数据'!$A:$A,0)),""))</f>
        <v/>
      </c>
      <c r="H288">
        <f>IF($A288="","",IFERROR(INDEX('[AQ_2021.xlsx]原始数据'!$C:$C,MATCH($A288,'[AQ_2021.xlsx]原始数据'!$A:$A,0)),""))</f>
        <v/>
      </c>
      <c r="I288">
        <f>IF($A288="","",IFERROR(INDEX('[AQ_2022.xlsx]原始数据'!$C:$C,MATCH($A288,'[AQ_2022.xlsx]原始数据'!$A:$A,0)),""))</f>
        <v/>
      </c>
      <c r="J288">
        <f>IF($A288="","",IFERROR(INDEX('[AQ_2023.xlsx]原始数据'!$C:$C,MATCH($A288,'[AQ_2023.xlsx]原始数据'!$A:$A,0)),""))</f>
        <v/>
      </c>
      <c r="K288">
        <f>IF($A288="","",IFERROR(INDEX('[AQ_2024.xlsx]原始数据'!$C:$C,MATCH($A288,'[AQ_2024.xlsx]原始数据'!$A:$A,0)),""))</f>
        <v/>
      </c>
      <c r="L288">
        <f>IF($A288="","",IFERROR(INDEX('[AQ_2020.xlsx]原始数据'!$D:$D,MATCH($A288,'[AQ_2020.xlsx]原始数据'!$A:$A,0)),""))</f>
        <v/>
      </c>
      <c r="M288">
        <f>IF($A288="","",IFERROR(INDEX('[AQ_2021.xlsx]原始数据'!$D:$D,MATCH($A288,'[AQ_2021.xlsx]原始数据'!$A:$A,0)),""))</f>
        <v/>
      </c>
      <c r="N288">
        <f>IF($A288="","",IFERROR(INDEX('[AQ_2022.xlsx]原始数据'!$D:$D,MATCH($A288,'[AQ_2022.xlsx]原始数据'!$A:$A,0)),""))</f>
        <v/>
      </c>
      <c r="O288">
        <f>IF($A288="","",IFERROR(INDEX('[AQ_2023.xlsx]原始数据'!$D:$D,MATCH($A288,'[AQ_2023.xlsx]原始数据'!$A:$A,0)),""))</f>
        <v/>
      </c>
      <c r="P288">
        <f>IF($A288="","",IFERROR(INDEX('[AQ_2024.xlsx]原始数据'!$D:$D,MATCH($A288,'[AQ_2024.xlsx]原始数据'!$A:$A,0)),""))</f>
        <v/>
      </c>
      <c r="Q288">
        <f>IF($A288="","",IFERROR(INDEX('[AQ_2020.xlsx]原始数据'!$E:$E,MATCH($A288,'[AQ_2020.xlsx]原始数据'!$A:$A,0)),""))</f>
        <v/>
      </c>
      <c r="R288">
        <f>IF($A288="","",IFERROR(INDEX('[AQ_2021.xlsx]原始数据'!$E:$E,MATCH($A288,'[AQ_2021.xlsx]原始数据'!$A:$A,0)),""))</f>
        <v/>
      </c>
      <c r="S288">
        <f>IF($A288="","",IFERROR(INDEX('[AQ_2022.xlsx]原始数据'!$E:$E,MATCH($A288,'[AQ_2022.xlsx]原始数据'!$A:$A,0)),""))</f>
        <v/>
      </c>
      <c r="T288">
        <f>IF($A288="","",IFERROR(INDEX('[AQ_2023.xlsx]原始数据'!$E:$E,MATCH($A288,'[AQ_2023.xlsx]原始数据'!$A:$A,0)),""))</f>
        <v/>
      </c>
      <c r="U288">
        <f>IF($A288="","",IFERROR(INDEX('[AQ_2024.xlsx]原始数据'!$E:$E,MATCH($A288,'[AQ_2024.xlsx]原始数据'!$A:$A,0)),""))</f>
        <v/>
      </c>
      <c r="V288">
        <f>IF($A288="","",IFERROR(INDEX('[AQ_2020.xlsx]原始数据'!$F:$F,MATCH($A288,'[AQ_2020.xlsx]原始数据'!$A:$A,0)),""))</f>
        <v/>
      </c>
      <c r="W288">
        <f>IF($A288="","",IFERROR(INDEX('[AQ_2021.xlsx]原始数据'!$F:$F,MATCH($A288,'[AQ_2021.xlsx]原始数据'!$A:$A,0)),""))</f>
        <v/>
      </c>
      <c r="X288">
        <f>IF($A288="","",IFERROR(INDEX('[AQ_2022.xlsx]原始数据'!$F:$F,MATCH($A288,'[AQ_2022.xlsx]原始数据'!$A:$A,0)),""))</f>
        <v/>
      </c>
      <c r="Y288">
        <f>IF($A288="","",IFERROR(INDEX('[AQ_2023.xlsx]原始数据'!$F:$F,MATCH($A288,'[AQ_2023.xlsx]原始数据'!$A:$A,0)),""))</f>
        <v/>
      </c>
      <c r="Z288">
        <f>IF($A288="","",IFERROR(INDEX('[AQ_2024.xlsx]原始数据'!$F:$F,MATCH($A288,'[AQ_2024.xlsx]原始数据'!$A:$A,0)),""))</f>
        <v/>
      </c>
      <c r="AA288" s="2">
        <f>IFERROR(G288/B288,"")</f>
        <v/>
      </c>
      <c r="AB288" s="2">
        <f>IFERROR(H288/C288,"")</f>
        <v/>
      </c>
      <c r="AC288" s="2">
        <f>IFERROR(I288/D288,"")</f>
        <v/>
      </c>
      <c r="AD288" s="2">
        <f>IFERROR(J288/E288,"")</f>
        <v/>
      </c>
      <c r="AE288" s="2">
        <f>IFERROR(K288/F288,"")</f>
        <v/>
      </c>
      <c r="AF288" s="2">
        <f>IFERROR(L288/B288,"")</f>
        <v/>
      </c>
      <c r="AG288" s="2">
        <f>IFERROR(M288/C288,"")</f>
        <v/>
      </c>
      <c r="AH288" s="2">
        <f>IFERROR(N288/D288,"")</f>
        <v/>
      </c>
      <c r="AI288" s="2">
        <f>IFERROR(O288/E288,"")</f>
        <v/>
      </c>
      <c r="AJ288" s="2">
        <f>IFERROR(P288/F288,"")</f>
        <v/>
      </c>
      <c r="AK288" s="2">
        <f>IFERROR(Q288/B288,"")</f>
        <v/>
      </c>
      <c r="AL288" s="2">
        <f>IFERROR(R288/C288,"")</f>
        <v/>
      </c>
      <c r="AM288" s="2">
        <f>IFERROR(S288/D288,"")</f>
        <v/>
      </c>
      <c r="AN288" s="2">
        <f>IFERROR(T288/E288,"")</f>
        <v/>
      </c>
      <c r="AO288" s="2">
        <f>IFERROR(U288/F288,"")</f>
        <v/>
      </c>
    </row>
    <row r="289">
      <c r="B289">
        <f>IF($A289="","",IFERROR(INDEX('[AQ_2020.xlsx]原始数据'!$B:$B,MATCH($A289,'[AQ_2020.xlsx]原始数据'!$A:$A,0)),""))</f>
        <v/>
      </c>
      <c r="C289">
        <f>IF($A289="","",IFERROR(INDEX('[AQ_2021.xlsx]原始数据'!$B:$B,MATCH($A289,'[AQ_2021.xlsx]原始数据'!$A:$A,0)),""))</f>
        <v/>
      </c>
      <c r="D289">
        <f>IF($A289="","",IFERROR(INDEX('[AQ_2022.xlsx]原始数据'!$B:$B,MATCH($A289,'[AQ_2022.xlsx]原始数据'!$A:$A,0)),""))</f>
        <v/>
      </c>
      <c r="E289">
        <f>IF($A289="","",IFERROR(INDEX('[AQ_2023.xlsx]原始数据'!$B:$B,MATCH($A289,'[AQ_2023.xlsx]原始数据'!$A:$A,0)),""))</f>
        <v/>
      </c>
      <c r="F289">
        <f>IF($A289="","",IFERROR(INDEX('[AQ_2024.xlsx]原始数据'!$B:$B,MATCH($A289,'[AQ_2024.xlsx]原始数据'!$A:$A,0)),""))</f>
        <v/>
      </c>
      <c r="G289">
        <f>IF($A289="","",IFERROR(INDEX('[AQ_2020.xlsx]原始数据'!$C:$C,MATCH($A289,'[AQ_2020.xlsx]原始数据'!$A:$A,0)),""))</f>
        <v/>
      </c>
      <c r="H289">
        <f>IF($A289="","",IFERROR(INDEX('[AQ_2021.xlsx]原始数据'!$C:$C,MATCH($A289,'[AQ_2021.xlsx]原始数据'!$A:$A,0)),""))</f>
        <v/>
      </c>
      <c r="I289">
        <f>IF($A289="","",IFERROR(INDEX('[AQ_2022.xlsx]原始数据'!$C:$C,MATCH($A289,'[AQ_2022.xlsx]原始数据'!$A:$A,0)),""))</f>
        <v/>
      </c>
      <c r="J289">
        <f>IF($A289="","",IFERROR(INDEX('[AQ_2023.xlsx]原始数据'!$C:$C,MATCH($A289,'[AQ_2023.xlsx]原始数据'!$A:$A,0)),""))</f>
        <v/>
      </c>
      <c r="K289">
        <f>IF($A289="","",IFERROR(INDEX('[AQ_2024.xlsx]原始数据'!$C:$C,MATCH($A289,'[AQ_2024.xlsx]原始数据'!$A:$A,0)),""))</f>
        <v/>
      </c>
      <c r="L289">
        <f>IF($A289="","",IFERROR(INDEX('[AQ_2020.xlsx]原始数据'!$D:$D,MATCH($A289,'[AQ_2020.xlsx]原始数据'!$A:$A,0)),""))</f>
        <v/>
      </c>
      <c r="M289">
        <f>IF($A289="","",IFERROR(INDEX('[AQ_2021.xlsx]原始数据'!$D:$D,MATCH($A289,'[AQ_2021.xlsx]原始数据'!$A:$A,0)),""))</f>
        <v/>
      </c>
      <c r="N289">
        <f>IF($A289="","",IFERROR(INDEX('[AQ_2022.xlsx]原始数据'!$D:$D,MATCH($A289,'[AQ_2022.xlsx]原始数据'!$A:$A,0)),""))</f>
        <v/>
      </c>
      <c r="O289">
        <f>IF($A289="","",IFERROR(INDEX('[AQ_2023.xlsx]原始数据'!$D:$D,MATCH($A289,'[AQ_2023.xlsx]原始数据'!$A:$A,0)),""))</f>
        <v/>
      </c>
      <c r="P289">
        <f>IF($A289="","",IFERROR(INDEX('[AQ_2024.xlsx]原始数据'!$D:$D,MATCH($A289,'[AQ_2024.xlsx]原始数据'!$A:$A,0)),""))</f>
        <v/>
      </c>
      <c r="Q289">
        <f>IF($A289="","",IFERROR(INDEX('[AQ_2020.xlsx]原始数据'!$E:$E,MATCH($A289,'[AQ_2020.xlsx]原始数据'!$A:$A,0)),""))</f>
        <v/>
      </c>
      <c r="R289">
        <f>IF($A289="","",IFERROR(INDEX('[AQ_2021.xlsx]原始数据'!$E:$E,MATCH($A289,'[AQ_2021.xlsx]原始数据'!$A:$A,0)),""))</f>
        <v/>
      </c>
      <c r="S289">
        <f>IF($A289="","",IFERROR(INDEX('[AQ_2022.xlsx]原始数据'!$E:$E,MATCH($A289,'[AQ_2022.xlsx]原始数据'!$A:$A,0)),""))</f>
        <v/>
      </c>
      <c r="T289">
        <f>IF($A289="","",IFERROR(INDEX('[AQ_2023.xlsx]原始数据'!$E:$E,MATCH($A289,'[AQ_2023.xlsx]原始数据'!$A:$A,0)),""))</f>
        <v/>
      </c>
      <c r="U289">
        <f>IF($A289="","",IFERROR(INDEX('[AQ_2024.xlsx]原始数据'!$E:$E,MATCH($A289,'[AQ_2024.xlsx]原始数据'!$A:$A,0)),""))</f>
        <v/>
      </c>
      <c r="V289">
        <f>IF($A289="","",IFERROR(INDEX('[AQ_2020.xlsx]原始数据'!$F:$F,MATCH($A289,'[AQ_2020.xlsx]原始数据'!$A:$A,0)),""))</f>
        <v/>
      </c>
      <c r="W289">
        <f>IF($A289="","",IFERROR(INDEX('[AQ_2021.xlsx]原始数据'!$F:$F,MATCH($A289,'[AQ_2021.xlsx]原始数据'!$A:$A,0)),""))</f>
        <v/>
      </c>
      <c r="X289">
        <f>IF($A289="","",IFERROR(INDEX('[AQ_2022.xlsx]原始数据'!$F:$F,MATCH($A289,'[AQ_2022.xlsx]原始数据'!$A:$A,0)),""))</f>
        <v/>
      </c>
      <c r="Y289">
        <f>IF($A289="","",IFERROR(INDEX('[AQ_2023.xlsx]原始数据'!$F:$F,MATCH($A289,'[AQ_2023.xlsx]原始数据'!$A:$A,0)),""))</f>
        <v/>
      </c>
      <c r="Z289">
        <f>IF($A289="","",IFERROR(INDEX('[AQ_2024.xlsx]原始数据'!$F:$F,MATCH($A289,'[AQ_2024.xlsx]原始数据'!$A:$A,0)),""))</f>
        <v/>
      </c>
      <c r="AA289" s="2">
        <f>IFERROR(G289/B289,"")</f>
        <v/>
      </c>
      <c r="AB289" s="2">
        <f>IFERROR(H289/C289,"")</f>
        <v/>
      </c>
      <c r="AC289" s="2">
        <f>IFERROR(I289/D289,"")</f>
        <v/>
      </c>
      <c r="AD289" s="2">
        <f>IFERROR(J289/E289,"")</f>
        <v/>
      </c>
      <c r="AE289" s="2">
        <f>IFERROR(K289/F289,"")</f>
        <v/>
      </c>
      <c r="AF289" s="2">
        <f>IFERROR(L289/B289,"")</f>
        <v/>
      </c>
      <c r="AG289" s="2">
        <f>IFERROR(M289/C289,"")</f>
        <v/>
      </c>
      <c r="AH289" s="2">
        <f>IFERROR(N289/D289,"")</f>
        <v/>
      </c>
      <c r="AI289" s="2">
        <f>IFERROR(O289/E289,"")</f>
        <v/>
      </c>
      <c r="AJ289" s="2">
        <f>IFERROR(P289/F289,"")</f>
        <v/>
      </c>
      <c r="AK289" s="2">
        <f>IFERROR(Q289/B289,"")</f>
        <v/>
      </c>
      <c r="AL289" s="2">
        <f>IFERROR(R289/C289,"")</f>
        <v/>
      </c>
      <c r="AM289" s="2">
        <f>IFERROR(S289/D289,"")</f>
        <v/>
      </c>
      <c r="AN289" s="2">
        <f>IFERROR(T289/E289,"")</f>
        <v/>
      </c>
      <c r="AO289" s="2">
        <f>IFERROR(U289/F289,"")</f>
        <v/>
      </c>
    </row>
    <row r="290">
      <c r="B290">
        <f>IF($A290="","",IFERROR(INDEX('[AQ_2020.xlsx]原始数据'!$B:$B,MATCH($A290,'[AQ_2020.xlsx]原始数据'!$A:$A,0)),""))</f>
        <v/>
      </c>
      <c r="C290">
        <f>IF($A290="","",IFERROR(INDEX('[AQ_2021.xlsx]原始数据'!$B:$B,MATCH($A290,'[AQ_2021.xlsx]原始数据'!$A:$A,0)),""))</f>
        <v/>
      </c>
      <c r="D290">
        <f>IF($A290="","",IFERROR(INDEX('[AQ_2022.xlsx]原始数据'!$B:$B,MATCH($A290,'[AQ_2022.xlsx]原始数据'!$A:$A,0)),""))</f>
        <v/>
      </c>
      <c r="E290">
        <f>IF($A290="","",IFERROR(INDEX('[AQ_2023.xlsx]原始数据'!$B:$B,MATCH($A290,'[AQ_2023.xlsx]原始数据'!$A:$A,0)),""))</f>
        <v/>
      </c>
      <c r="F290">
        <f>IF($A290="","",IFERROR(INDEX('[AQ_2024.xlsx]原始数据'!$B:$B,MATCH($A290,'[AQ_2024.xlsx]原始数据'!$A:$A,0)),""))</f>
        <v/>
      </c>
      <c r="G290">
        <f>IF($A290="","",IFERROR(INDEX('[AQ_2020.xlsx]原始数据'!$C:$C,MATCH($A290,'[AQ_2020.xlsx]原始数据'!$A:$A,0)),""))</f>
        <v/>
      </c>
      <c r="H290">
        <f>IF($A290="","",IFERROR(INDEX('[AQ_2021.xlsx]原始数据'!$C:$C,MATCH($A290,'[AQ_2021.xlsx]原始数据'!$A:$A,0)),""))</f>
        <v/>
      </c>
      <c r="I290">
        <f>IF($A290="","",IFERROR(INDEX('[AQ_2022.xlsx]原始数据'!$C:$C,MATCH($A290,'[AQ_2022.xlsx]原始数据'!$A:$A,0)),""))</f>
        <v/>
      </c>
      <c r="J290">
        <f>IF($A290="","",IFERROR(INDEX('[AQ_2023.xlsx]原始数据'!$C:$C,MATCH($A290,'[AQ_2023.xlsx]原始数据'!$A:$A,0)),""))</f>
        <v/>
      </c>
      <c r="K290">
        <f>IF($A290="","",IFERROR(INDEX('[AQ_2024.xlsx]原始数据'!$C:$C,MATCH($A290,'[AQ_2024.xlsx]原始数据'!$A:$A,0)),""))</f>
        <v/>
      </c>
      <c r="L290">
        <f>IF($A290="","",IFERROR(INDEX('[AQ_2020.xlsx]原始数据'!$D:$D,MATCH($A290,'[AQ_2020.xlsx]原始数据'!$A:$A,0)),""))</f>
        <v/>
      </c>
      <c r="M290">
        <f>IF($A290="","",IFERROR(INDEX('[AQ_2021.xlsx]原始数据'!$D:$D,MATCH($A290,'[AQ_2021.xlsx]原始数据'!$A:$A,0)),""))</f>
        <v/>
      </c>
      <c r="N290">
        <f>IF($A290="","",IFERROR(INDEX('[AQ_2022.xlsx]原始数据'!$D:$D,MATCH($A290,'[AQ_2022.xlsx]原始数据'!$A:$A,0)),""))</f>
        <v/>
      </c>
      <c r="O290">
        <f>IF($A290="","",IFERROR(INDEX('[AQ_2023.xlsx]原始数据'!$D:$D,MATCH($A290,'[AQ_2023.xlsx]原始数据'!$A:$A,0)),""))</f>
        <v/>
      </c>
      <c r="P290">
        <f>IF($A290="","",IFERROR(INDEX('[AQ_2024.xlsx]原始数据'!$D:$D,MATCH($A290,'[AQ_2024.xlsx]原始数据'!$A:$A,0)),""))</f>
        <v/>
      </c>
      <c r="Q290">
        <f>IF($A290="","",IFERROR(INDEX('[AQ_2020.xlsx]原始数据'!$E:$E,MATCH($A290,'[AQ_2020.xlsx]原始数据'!$A:$A,0)),""))</f>
        <v/>
      </c>
      <c r="R290">
        <f>IF($A290="","",IFERROR(INDEX('[AQ_2021.xlsx]原始数据'!$E:$E,MATCH($A290,'[AQ_2021.xlsx]原始数据'!$A:$A,0)),""))</f>
        <v/>
      </c>
      <c r="S290">
        <f>IF($A290="","",IFERROR(INDEX('[AQ_2022.xlsx]原始数据'!$E:$E,MATCH($A290,'[AQ_2022.xlsx]原始数据'!$A:$A,0)),""))</f>
        <v/>
      </c>
      <c r="T290">
        <f>IF($A290="","",IFERROR(INDEX('[AQ_2023.xlsx]原始数据'!$E:$E,MATCH($A290,'[AQ_2023.xlsx]原始数据'!$A:$A,0)),""))</f>
        <v/>
      </c>
      <c r="U290">
        <f>IF($A290="","",IFERROR(INDEX('[AQ_2024.xlsx]原始数据'!$E:$E,MATCH($A290,'[AQ_2024.xlsx]原始数据'!$A:$A,0)),""))</f>
        <v/>
      </c>
      <c r="V290">
        <f>IF($A290="","",IFERROR(INDEX('[AQ_2020.xlsx]原始数据'!$F:$F,MATCH($A290,'[AQ_2020.xlsx]原始数据'!$A:$A,0)),""))</f>
        <v/>
      </c>
      <c r="W290">
        <f>IF($A290="","",IFERROR(INDEX('[AQ_2021.xlsx]原始数据'!$F:$F,MATCH($A290,'[AQ_2021.xlsx]原始数据'!$A:$A,0)),""))</f>
        <v/>
      </c>
      <c r="X290">
        <f>IF($A290="","",IFERROR(INDEX('[AQ_2022.xlsx]原始数据'!$F:$F,MATCH($A290,'[AQ_2022.xlsx]原始数据'!$A:$A,0)),""))</f>
        <v/>
      </c>
      <c r="Y290">
        <f>IF($A290="","",IFERROR(INDEX('[AQ_2023.xlsx]原始数据'!$F:$F,MATCH($A290,'[AQ_2023.xlsx]原始数据'!$A:$A,0)),""))</f>
        <v/>
      </c>
      <c r="Z290">
        <f>IF($A290="","",IFERROR(INDEX('[AQ_2024.xlsx]原始数据'!$F:$F,MATCH($A290,'[AQ_2024.xlsx]原始数据'!$A:$A,0)),""))</f>
        <v/>
      </c>
      <c r="AA290" s="2">
        <f>IFERROR(G290/B290,"")</f>
        <v/>
      </c>
      <c r="AB290" s="2">
        <f>IFERROR(H290/C290,"")</f>
        <v/>
      </c>
      <c r="AC290" s="2">
        <f>IFERROR(I290/D290,"")</f>
        <v/>
      </c>
      <c r="AD290" s="2">
        <f>IFERROR(J290/E290,"")</f>
        <v/>
      </c>
      <c r="AE290" s="2">
        <f>IFERROR(K290/F290,"")</f>
        <v/>
      </c>
      <c r="AF290" s="2">
        <f>IFERROR(L290/B290,"")</f>
        <v/>
      </c>
      <c r="AG290" s="2">
        <f>IFERROR(M290/C290,"")</f>
        <v/>
      </c>
      <c r="AH290" s="2">
        <f>IFERROR(N290/D290,"")</f>
        <v/>
      </c>
      <c r="AI290" s="2">
        <f>IFERROR(O290/E290,"")</f>
        <v/>
      </c>
      <c r="AJ290" s="2">
        <f>IFERROR(P290/F290,"")</f>
        <v/>
      </c>
      <c r="AK290" s="2">
        <f>IFERROR(Q290/B290,"")</f>
        <v/>
      </c>
      <c r="AL290" s="2">
        <f>IFERROR(R290/C290,"")</f>
        <v/>
      </c>
      <c r="AM290" s="2">
        <f>IFERROR(S290/D290,"")</f>
        <v/>
      </c>
      <c r="AN290" s="2">
        <f>IFERROR(T290/E290,"")</f>
        <v/>
      </c>
      <c r="AO290" s="2">
        <f>IFERROR(U290/F290,"")</f>
        <v/>
      </c>
    </row>
    <row r="291">
      <c r="B291">
        <f>IF($A291="","",IFERROR(INDEX('[AQ_2020.xlsx]原始数据'!$B:$B,MATCH($A291,'[AQ_2020.xlsx]原始数据'!$A:$A,0)),""))</f>
        <v/>
      </c>
      <c r="C291">
        <f>IF($A291="","",IFERROR(INDEX('[AQ_2021.xlsx]原始数据'!$B:$B,MATCH($A291,'[AQ_2021.xlsx]原始数据'!$A:$A,0)),""))</f>
        <v/>
      </c>
      <c r="D291">
        <f>IF($A291="","",IFERROR(INDEX('[AQ_2022.xlsx]原始数据'!$B:$B,MATCH($A291,'[AQ_2022.xlsx]原始数据'!$A:$A,0)),""))</f>
        <v/>
      </c>
      <c r="E291">
        <f>IF($A291="","",IFERROR(INDEX('[AQ_2023.xlsx]原始数据'!$B:$B,MATCH($A291,'[AQ_2023.xlsx]原始数据'!$A:$A,0)),""))</f>
        <v/>
      </c>
      <c r="F291">
        <f>IF($A291="","",IFERROR(INDEX('[AQ_2024.xlsx]原始数据'!$B:$B,MATCH($A291,'[AQ_2024.xlsx]原始数据'!$A:$A,0)),""))</f>
        <v/>
      </c>
      <c r="G291">
        <f>IF($A291="","",IFERROR(INDEX('[AQ_2020.xlsx]原始数据'!$C:$C,MATCH($A291,'[AQ_2020.xlsx]原始数据'!$A:$A,0)),""))</f>
        <v/>
      </c>
      <c r="H291">
        <f>IF($A291="","",IFERROR(INDEX('[AQ_2021.xlsx]原始数据'!$C:$C,MATCH($A291,'[AQ_2021.xlsx]原始数据'!$A:$A,0)),""))</f>
        <v/>
      </c>
      <c r="I291">
        <f>IF($A291="","",IFERROR(INDEX('[AQ_2022.xlsx]原始数据'!$C:$C,MATCH($A291,'[AQ_2022.xlsx]原始数据'!$A:$A,0)),""))</f>
        <v/>
      </c>
      <c r="J291">
        <f>IF($A291="","",IFERROR(INDEX('[AQ_2023.xlsx]原始数据'!$C:$C,MATCH($A291,'[AQ_2023.xlsx]原始数据'!$A:$A,0)),""))</f>
        <v/>
      </c>
      <c r="K291">
        <f>IF($A291="","",IFERROR(INDEX('[AQ_2024.xlsx]原始数据'!$C:$C,MATCH($A291,'[AQ_2024.xlsx]原始数据'!$A:$A,0)),""))</f>
        <v/>
      </c>
      <c r="L291">
        <f>IF($A291="","",IFERROR(INDEX('[AQ_2020.xlsx]原始数据'!$D:$D,MATCH($A291,'[AQ_2020.xlsx]原始数据'!$A:$A,0)),""))</f>
        <v/>
      </c>
      <c r="M291">
        <f>IF($A291="","",IFERROR(INDEX('[AQ_2021.xlsx]原始数据'!$D:$D,MATCH($A291,'[AQ_2021.xlsx]原始数据'!$A:$A,0)),""))</f>
        <v/>
      </c>
      <c r="N291">
        <f>IF($A291="","",IFERROR(INDEX('[AQ_2022.xlsx]原始数据'!$D:$D,MATCH($A291,'[AQ_2022.xlsx]原始数据'!$A:$A,0)),""))</f>
        <v/>
      </c>
      <c r="O291">
        <f>IF($A291="","",IFERROR(INDEX('[AQ_2023.xlsx]原始数据'!$D:$D,MATCH($A291,'[AQ_2023.xlsx]原始数据'!$A:$A,0)),""))</f>
        <v/>
      </c>
      <c r="P291">
        <f>IF($A291="","",IFERROR(INDEX('[AQ_2024.xlsx]原始数据'!$D:$D,MATCH($A291,'[AQ_2024.xlsx]原始数据'!$A:$A,0)),""))</f>
        <v/>
      </c>
      <c r="Q291">
        <f>IF($A291="","",IFERROR(INDEX('[AQ_2020.xlsx]原始数据'!$E:$E,MATCH($A291,'[AQ_2020.xlsx]原始数据'!$A:$A,0)),""))</f>
        <v/>
      </c>
      <c r="R291">
        <f>IF($A291="","",IFERROR(INDEX('[AQ_2021.xlsx]原始数据'!$E:$E,MATCH($A291,'[AQ_2021.xlsx]原始数据'!$A:$A,0)),""))</f>
        <v/>
      </c>
      <c r="S291">
        <f>IF($A291="","",IFERROR(INDEX('[AQ_2022.xlsx]原始数据'!$E:$E,MATCH($A291,'[AQ_2022.xlsx]原始数据'!$A:$A,0)),""))</f>
        <v/>
      </c>
      <c r="T291">
        <f>IF($A291="","",IFERROR(INDEX('[AQ_2023.xlsx]原始数据'!$E:$E,MATCH($A291,'[AQ_2023.xlsx]原始数据'!$A:$A,0)),""))</f>
        <v/>
      </c>
      <c r="U291">
        <f>IF($A291="","",IFERROR(INDEX('[AQ_2024.xlsx]原始数据'!$E:$E,MATCH($A291,'[AQ_2024.xlsx]原始数据'!$A:$A,0)),""))</f>
        <v/>
      </c>
      <c r="V291">
        <f>IF($A291="","",IFERROR(INDEX('[AQ_2020.xlsx]原始数据'!$F:$F,MATCH($A291,'[AQ_2020.xlsx]原始数据'!$A:$A,0)),""))</f>
        <v/>
      </c>
      <c r="W291">
        <f>IF($A291="","",IFERROR(INDEX('[AQ_2021.xlsx]原始数据'!$F:$F,MATCH($A291,'[AQ_2021.xlsx]原始数据'!$A:$A,0)),""))</f>
        <v/>
      </c>
      <c r="X291">
        <f>IF($A291="","",IFERROR(INDEX('[AQ_2022.xlsx]原始数据'!$F:$F,MATCH($A291,'[AQ_2022.xlsx]原始数据'!$A:$A,0)),""))</f>
        <v/>
      </c>
      <c r="Y291">
        <f>IF($A291="","",IFERROR(INDEX('[AQ_2023.xlsx]原始数据'!$F:$F,MATCH($A291,'[AQ_2023.xlsx]原始数据'!$A:$A,0)),""))</f>
        <v/>
      </c>
      <c r="Z291">
        <f>IF($A291="","",IFERROR(INDEX('[AQ_2024.xlsx]原始数据'!$F:$F,MATCH($A291,'[AQ_2024.xlsx]原始数据'!$A:$A,0)),""))</f>
        <v/>
      </c>
      <c r="AA291" s="2">
        <f>IFERROR(G291/B291,"")</f>
        <v/>
      </c>
      <c r="AB291" s="2">
        <f>IFERROR(H291/C291,"")</f>
        <v/>
      </c>
      <c r="AC291" s="2">
        <f>IFERROR(I291/D291,"")</f>
        <v/>
      </c>
      <c r="AD291" s="2">
        <f>IFERROR(J291/E291,"")</f>
        <v/>
      </c>
      <c r="AE291" s="2">
        <f>IFERROR(K291/F291,"")</f>
        <v/>
      </c>
      <c r="AF291" s="2">
        <f>IFERROR(L291/B291,"")</f>
        <v/>
      </c>
      <c r="AG291" s="2">
        <f>IFERROR(M291/C291,"")</f>
        <v/>
      </c>
      <c r="AH291" s="2">
        <f>IFERROR(N291/D291,"")</f>
        <v/>
      </c>
      <c r="AI291" s="2">
        <f>IFERROR(O291/E291,"")</f>
        <v/>
      </c>
      <c r="AJ291" s="2">
        <f>IFERROR(P291/F291,"")</f>
        <v/>
      </c>
      <c r="AK291" s="2">
        <f>IFERROR(Q291/B291,"")</f>
        <v/>
      </c>
      <c r="AL291" s="2">
        <f>IFERROR(R291/C291,"")</f>
        <v/>
      </c>
      <c r="AM291" s="2">
        <f>IFERROR(S291/D291,"")</f>
        <v/>
      </c>
      <c r="AN291" s="2">
        <f>IFERROR(T291/E291,"")</f>
        <v/>
      </c>
      <c r="AO291" s="2">
        <f>IFERROR(U291/F291,"")</f>
        <v/>
      </c>
    </row>
    <row r="292">
      <c r="B292">
        <f>IF($A292="","",IFERROR(INDEX('[AQ_2020.xlsx]原始数据'!$B:$B,MATCH($A292,'[AQ_2020.xlsx]原始数据'!$A:$A,0)),""))</f>
        <v/>
      </c>
      <c r="C292">
        <f>IF($A292="","",IFERROR(INDEX('[AQ_2021.xlsx]原始数据'!$B:$B,MATCH($A292,'[AQ_2021.xlsx]原始数据'!$A:$A,0)),""))</f>
        <v/>
      </c>
      <c r="D292">
        <f>IF($A292="","",IFERROR(INDEX('[AQ_2022.xlsx]原始数据'!$B:$B,MATCH($A292,'[AQ_2022.xlsx]原始数据'!$A:$A,0)),""))</f>
        <v/>
      </c>
      <c r="E292">
        <f>IF($A292="","",IFERROR(INDEX('[AQ_2023.xlsx]原始数据'!$B:$B,MATCH($A292,'[AQ_2023.xlsx]原始数据'!$A:$A,0)),""))</f>
        <v/>
      </c>
      <c r="F292">
        <f>IF($A292="","",IFERROR(INDEX('[AQ_2024.xlsx]原始数据'!$B:$B,MATCH($A292,'[AQ_2024.xlsx]原始数据'!$A:$A,0)),""))</f>
        <v/>
      </c>
      <c r="G292">
        <f>IF($A292="","",IFERROR(INDEX('[AQ_2020.xlsx]原始数据'!$C:$C,MATCH($A292,'[AQ_2020.xlsx]原始数据'!$A:$A,0)),""))</f>
        <v/>
      </c>
      <c r="H292">
        <f>IF($A292="","",IFERROR(INDEX('[AQ_2021.xlsx]原始数据'!$C:$C,MATCH($A292,'[AQ_2021.xlsx]原始数据'!$A:$A,0)),""))</f>
        <v/>
      </c>
      <c r="I292">
        <f>IF($A292="","",IFERROR(INDEX('[AQ_2022.xlsx]原始数据'!$C:$C,MATCH($A292,'[AQ_2022.xlsx]原始数据'!$A:$A,0)),""))</f>
        <v/>
      </c>
      <c r="J292">
        <f>IF($A292="","",IFERROR(INDEX('[AQ_2023.xlsx]原始数据'!$C:$C,MATCH($A292,'[AQ_2023.xlsx]原始数据'!$A:$A,0)),""))</f>
        <v/>
      </c>
      <c r="K292">
        <f>IF($A292="","",IFERROR(INDEX('[AQ_2024.xlsx]原始数据'!$C:$C,MATCH($A292,'[AQ_2024.xlsx]原始数据'!$A:$A,0)),""))</f>
        <v/>
      </c>
      <c r="L292">
        <f>IF($A292="","",IFERROR(INDEX('[AQ_2020.xlsx]原始数据'!$D:$D,MATCH($A292,'[AQ_2020.xlsx]原始数据'!$A:$A,0)),""))</f>
        <v/>
      </c>
      <c r="M292">
        <f>IF($A292="","",IFERROR(INDEX('[AQ_2021.xlsx]原始数据'!$D:$D,MATCH($A292,'[AQ_2021.xlsx]原始数据'!$A:$A,0)),""))</f>
        <v/>
      </c>
      <c r="N292">
        <f>IF($A292="","",IFERROR(INDEX('[AQ_2022.xlsx]原始数据'!$D:$D,MATCH($A292,'[AQ_2022.xlsx]原始数据'!$A:$A,0)),""))</f>
        <v/>
      </c>
      <c r="O292">
        <f>IF($A292="","",IFERROR(INDEX('[AQ_2023.xlsx]原始数据'!$D:$D,MATCH($A292,'[AQ_2023.xlsx]原始数据'!$A:$A,0)),""))</f>
        <v/>
      </c>
      <c r="P292">
        <f>IF($A292="","",IFERROR(INDEX('[AQ_2024.xlsx]原始数据'!$D:$D,MATCH($A292,'[AQ_2024.xlsx]原始数据'!$A:$A,0)),""))</f>
        <v/>
      </c>
      <c r="Q292">
        <f>IF($A292="","",IFERROR(INDEX('[AQ_2020.xlsx]原始数据'!$E:$E,MATCH($A292,'[AQ_2020.xlsx]原始数据'!$A:$A,0)),""))</f>
        <v/>
      </c>
      <c r="R292">
        <f>IF($A292="","",IFERROR(INDEX('[AQ_2021.xlsx]原始数据'!$E:$E,MATCH($A292,'[AQ_2021.xlsx]原始数据'!$A:$A,0)),""))</f>
        <v/>
      </c>
      <c r="S292">
        <f>IF($A292="","",IFERROR(INDEX('[AQ_2022.xlsx]原始数据'!$E:$E,MATCH($A292,'[AQ_2022.xlsx]原始数据'!$A:$A,0)),""))</f>
        <v/>
      </c>
      <c r="T292">
        <f>IF($A292="","",IFERROR(INDEX('[AQ_2023.xlsx]原始数据'!$E:$E,MATCH($A292,'[AQ_2023.xlsx]原始数据'!$A:$A,0)),""))</f>
        <v/>
      </c>
      <c r="U292">
        <f>IF($A292="","",IFERROR(INDEX('[AQ_2024.xlsx]原始数据'!$E:$E,MATCH($A292,'[AQ_2024.xlsx]原始数据'!$A:$A,0)),""))</f>
        <v/>
      </c>
      <c r="V292">
        <f>IF($A292="","",IFERROR(INDEX('[AQ_2020.xlsx]原始数据'!$F:$F,MATCH($A292,'[AQ_2020.xlsx]原始数据'!$A:$A,0)),""))</f>
        <v/>
      </c>
      <c r="W292">
        <f>IF($A292="","",IFERROR(INDEX('[AQ_2021.xlsx]原始数据'!$F:$F,MATCH($A292,'[AQ_2021.xlsx]原始数据'!$A:$A,0)),""))</f>
        <v/>
      </c>
      <c r="X292">
        <f>IF($A292="","",IFERROR(INDEX('[AQ_2022.xlsx]原始数据'!$F:$F,MATCH($A292,'[AQ_2022.xlsx]原始数据'!$A:$A,0)),""))</f>
        <v/>
      </c>
      <c r="Y292">
        <f>IF($A292="","",IFERROR(INDEX('[AQ_2023.xlsx]原始数据'!$F:$F,MATCH($A292,'[AQ_2023.xlsx]原始数据'!$A:$A,0)),""))</f>
        <v/>
      </c>
      <c r="Z292">
        <f>IF($A292="","",IFERROR(INDEX('[AQ_2024.xlsx]原始数据'!$F:$F,MATCH($A292,'[AQ_2024.xlsx]原始数据'!$A:$A,0)),""))</f>
        <v/>
      </c>
      <c r="AA292" s="2">
        <f>IFERROR(G292/B292,"")</f>
        <v/>
      </c>
      <c r="AB292" s="2">
        <f>IFERROR(H292/C292,"")</f>
        <v/>
      </c>
      <c r="AC292" s="2">
        <f>IFERROR(I292/D292,"")</f>
        <v/>
      </c>
      <c r="AD292" s="2">
        <f>IFERROR(J292/E292,"")</f>
        <v/>
      </c>
      <c r="AE292" s="2">
        <f>IFERROR(K292/F292,"")</f>
        <v/>
      </c>
      <c r="AF292" s="2">
        <f>IFERROR(L292/B292,"")</f>
        <v/>
      </c>
      <c r="AG292" s="2">
        <f>IFERROR(M292/C292,"")</f>
        <v/>
      </c>
      <c r="AH292" s="2">
        <f>IFERROR(N292/D292,"")</f>
        <v/>
      </c>
      <c r="AI292" s="2">
        <f>IFERROR(O292/E292,"")</f>
        <v/>
      </c>
      <c r="AJ292" s="2">
        <f>IFERROR(P292/F292,"")</f>
        <v/>
      </c>
      <c r="AK292" s="2">
        <f>IFERROR(Q292/B292,"")</f>
        <v/>
      </c>
      <c r="AL292" s="2">
        <f>IFERROR(R292/C292,"")</f>
        <v/>
      </c>
      <c r="AM292" s="2">
        <f>IFERROR(S292/D292,"")</f>
        <v/>
      </c>
      <c r="AN292" s="2">
        <f>IFERROR(T292/E292,"")</f>
        <v/>
      </c>
      <c r="AO292" s="2">
        <f>IFERROR(U292/F292,"")</f>
        <v/>
      </c>
    </row>
    <row r="293">
      <c r="B293">
        <f>IF($A293="","",IFERROR(INDEX('[AQ_2020.xlsx]原始数据'!$B:$B,MATCH($A293,'[AQ_2020.xlsx]原始数据'!$A:$A,0)),""))</f>
        <v/>
      </c>
      <c r="C293">
        <f>IF($A293="","",IFERROR(INDEX('[AQ_2021.xlsx]原始数据'!$B:$B,MATCH($A293,'[AQ_2021.xlsx]原始数据'!$A:$A,0)),""))</f>
        <v/>
      </c>
      <c r="D293">
        <f>IF($A293="","",IFERROR(INDEX('[AQ_2022.xlsx]原始数据'!$B:$B,MATCH($A293,'[AQ_2022.xlsx]原始数据'!$A:$A,0)),""))</f>
        <v/>
      </c>
      <c r="E293">
        <f>IF($A293="","",IFERROR(INDEX('[AQ_2023.xlsx]原始数据'!$B:$B,MATCH($A293,'[AQ_2023.xlsx]原始数据'!$A:$A,0)),""))</f>
        <v/>
      </c>
      <c r="F293">
        <f>IF($A293="","",IFERROR(INDEX('[AQ_2024.xlsx]原始数据'!$B:$B,MATCH($A293,'[AQ_2024.xlsx]原始数据'!$A:$A,0)),""))</f>
        <v/>
      </c>
      <c r="G293">
        <f>IF($A293="","",IFERROR(INDEX('[AQ_2020.xlsx]原始数据'!$C:$C,MATCH($A293,'[AQ_2020.xlsx]原始数据'!$A:$A,0)),""))</f>
        <v/>
      </c>
      <c r="H293">
        <f>IF($A293="","",IFERROR(INDEX('[AQ_2021.xlsx]原始数据'!$C:$C,MATCH($A293,'[AQ_2021.xlsx]原始数据'!$A:$A,0)),""))</f>
        <v/>
      </c>
      <c r="I293">
        <f>IF($A293="","",IFERROR(INDEX('[AQ_2022.xlsx]原始数据'!$C:$C,MATCH($A293,'[AQ_2022.xlsx]原始数据'!$A:$A,0)),""))</f>
        <v/>
      </c>
      <c r="J293">
        <f>IF($A293="","",IFERROR(INDEX('[AQ_2023.xlsx]原始数据'!$C:$C,MATCH($A293,'[AQ_2023.xlsx]原始数据'!$A:$A,0)),""))</f>
        <v/>
      </c>
      <c r="K293">
        <f>IF($A293="","",IFERROR(INDEX('[AQ_2024.xlsx]原始数据'!$C:$C,MATCH($A293,'[AQ_2024.xlsx]原始数据'!$A:$A,0)),""))</f>
        <v/>
      </c>
      <c r="L293">
        <f>IF($A293="","",IFERROR(INDEX('[AQ_2020.xlsx]原始数据'!$D:$D,MATCH($A293,'[AQ_2020.xlsx]原始数据'!$A:$A,0)),""))</f>
        <v/>
      </c>
      <c r="M293">
        <f>IF($A293="","",IFERROR(INDEX('[AQ_2021.xlsx]原始数据'!$D:$D,MATCH($A293,'[AQ_2021.xlsx]原始数据'!$A:$A,0)),""))</f>
        <v/>
      </c>
      <c r="N293">
        <f>IF($A293="","",IFERROR(INDEX('[AQ_2022.xlsx]原始数据'!$D:$D,MATCH($A293,'[AQ_2022.xlsx]原始数据'!$A:$A,0)),""))</f>
        <v/>
      </c>
      <c r="O293">
        <f>IF($A293="","",IFERROR(INDEX('[AQ_2023.xlsx]原始数据'!$D:$D,MATCH($A293,'[AQ_2023.xlsx]原始数据'!$A:$A,0)),""))</f>
        <v/>
      </c>
      <c r="P293">
        <f>IF($A293="","",IFERROR(INDEX('[AQ_2024.xlsx]原始数据'!$D:$D,MATCH($A293,'[AQ_2024.xlsx]原始数据'!$A:$A,0)),""))</f>
        <v/>
      </c>
      <c r="Q293">
        <f>IF($A293="","",IFERROR(INDEX('[AQ_2020.xlsx]原始数据'!$E:$E,MATCH($A293,'[AQ_2020.xlsx]原始数据'!$A:$A,0)),""))</f>
        <v/>
      </c>
      <c r="R293">
        <f>IF($A293="","",IFERROR(INDEX('[AQ_2021.xlsx]原始数据'!$E:$E,MATCH($A293,'[AQ_2021.xlsx]原始数据'!$A:$A,0)),""))</f>
        <v/>
      </c>
      <c r="S293">
        <f>IF($A293="","",IFERROR(INDEX('[AQ_2022.xlsx]原始数据'!$E:$E,MATCH($A293,'[AQ_2022.xlsx]原始数据'!$A:$A,0)),""))</f>
        <v/>
      </c>
      <c r="T293">
        <f>IF($A293="","",IFERROR(INDEX('[AQ_2023.xlsx]原始数据'!$E:$E,MATCH($A293,'[AQ_2023.xlsx]原始数据'!$A:$A,0)),""))</f>
        <v/>
      </c>
      <c r="U293">
        <f>IF($A293="","",IFERROR(INDEX('[AQ_2024.xlsx]原始数据'!$E:$E,MATCH($A293,'[AQ_2024.xlsx]原始数据'!$A:$A,0)),""))</f>
        <v/>
      </c>
      <c r="V293">
        <f>IF($A293="","",IFERROR(INDEX('[AQ_2020.xlsx]原始数据'!$F:$F,MATCH($A293,'[AQ_2020.xlsx]原始数据'!$A:$A,0)),""))</f>
        <v/>
      </c>
      <c r="W293">
        <f>IF($A293="","",IFERROR(INDEX('[AQ_2021.xlsx]原始数据'!$F:$F,MATCH($A293,'[AQ_2021.xlsx]原始数据'!$A:$A,0)),""))</f>
        <v/>
      </c>
      <c r="X293">
        <f>IF($A293="","",IFERROR(INDEX('[AQ_2022.xlsx]原始数据'!$F:$F,MATCH($A293,'[AQ_2022.xlsx]原始数据'!$A:$A,0)),""))</f>
        <v/>
      </c>
      <c r="Y293">
        <f>IF($A293="","",IFERROR(INDEX('[AQ_2023.xlsx]原始数据'!$F:$F,MATCH($A293,'[AQ_2023.xlsx]原始数据'!$A:$A,0)),""))</f>
        <v/>
      </c>
      <c r="Z293">
        <f>IF($A293="","",IFERROR(INDEX('[AQ_2024.xlsx]原始数据'!$F:$F,MATCH($A293,'[AQ_2024.xlsx]原始数据'!$A:$A,0)),""))</f>
        <v/>
      </c>
      <c r="AA293" s="2">
        <f>IFERROR(G293/B293,"")</f>
        <v/>
      </c>
      <c r="AB293" s="2">
        <f>IFERROR(H293/C293,"")</f>
        <v/>
      </c>
      <c r="AC293" s="2">
        <f>IFERROR(I293/D293,"")</f>
        <v/>
      </c>
      <c r="AD293" s="2">
        <f>IFERROR(J293/E293,"")</f>
        <v/>
      </c>
      <c r="AE293" s="2">
        <f>IFERROR(K293/F293,"")</f>
        <v/>
      </c>
      <c r="AF293" s="2">
        <f>IFERROR(L293/B293,"")</f>
        <v/>
      </c>
      <c r="AG293" s="2">
        <f>IFERROR(M293/C293,"")</f>
        <v/>
      </c>
      <c r="AH293" s="2">
        <f>IFERROR(N293/D293,"")</f>
        <v/>
      </c>
      <c r="AI293" s="2">
        <f>IFERROR(O293/E293,"")</f>
        <v/>
      </c>
      <c r="AJ293" s="2">
        <f>IFERROR(P293/F293,"")</f>
        <v/>
      </c>
      <c r="AK293" s="2">
        <f>IFERROR(Q293/B293,"")</f>
        <v/>
      </c>
      <c r="AL293" s="2">
        <f>IFERROR(R293/C293,"")</f>
        <v/>
      </c>
      <c r="AM293" s="2">
        <f>IFERROR(S293/D293,"")</f>
        <v/>
      </c>
      <c r="AN293" s="2">
        <f>IFERROR(T293/E293,"")</f>
        <v/>
      </c>
      <c r="AO293" s="2">
        <f>IFERROR(U293/F293,"")</f>
        <v/>
      </c>
    </row>
    <row r="294">
      <c r="B294">
        <f>IF($A294="","",IFERROR(INDEX('[AQ_2020.xlsx]原始数据'!$B:$B,MATCH($A294,'[AQ_2020.xlsx]原始数据'!$A:$A,0)),""))</f>
        <v/>
      </c>
      <c r="C294">
        <f>IF($A294="","",IFERROR(INDEX('[AQ_2021.xlsx]原始数据'!$B:$B,MATCH($A294,'[AQ_2021.xlsx]原始数据'!$A:$A,0)),""))</f>
        <v/>
      </c>
      <c r="D294">
        <f>IF($A294="","",IFERROR(INDEX('[AQ_2022.xlsx]原始数据'!$B:$B,MATCH($A294,'[AQ_2022.xlsx]原始数据'!$A:$A,0)),""))</f>
        <v/>
      </c>
      <c r="E294">
        <f>IF($A294="","",IFERROR(INDEX('[AQ_2023.xlsx]原始数据'!$B:$B,MATCH($A294,'[AQ_2023.xlsx]原始数据'!$A:$A,0)),""))</f>
        <v/>
      </c>
      <c r="F294">
        <f>IF($A294="","",IFERROR(INDEX('[AQ_2024.xlsx]原始数据'!$B:$B,MATCH($A294,'[AQ_2024.xlsx]原始数据'!$A:$A,0)),""))</f>
        <v/>
      </c>
      <c r="G294">
        <f>IF($A294="","",IFERROR(INDEX('[AQ_2020.xlsx]原始数据'!$C:$C,MATCH($A294,'[AQ_2020.xlsx]原始数据'!$A:$A,0)),""))</f>
        <v/>
      </c>
      <c r="H294">
        <f>IF($A294="","",IFERROR(INDEX('[AQ_2021.xlsx]原始数据'!$C:$C,MATCH($A294,'[AQ_2021.xlsx]原始数据'!$A:$A,0)),""))</f>
        <v/>
      </c>
      <c r="I294">
        <f>IF($A294="","",IFERROR(INDEX('[AQ_2022.xlsx]原始数据'!$C:$C,MATCH($A294,'[AQ_2022.xlsx]原始数据'!$A:$A,0)),""))</f>
        <v/>
      </c>
      <c r="J294">
        <f>IF($A294="","",IFERROR(INDEX('[AQ_2023.xlsx]原始数据'!$C:$C,MATCH($A294,'[AQ_2023.xlsx]原始数据'!$A:$A,0)),""))</f>
        <v/>
      </c>
      <c r="K294">
        <f>IF($A294="","",IFERROR(INDEX('[AQ_2024.xlsx]原始数据'!$C:$C,MATCH($A294,'[AQ_2024.xlsx]原始数据'!$A:$A,0)),""))</f>
        <v/>
      </c>
      <c r="L294">
        <f>IF($A294="","",IFERROR(INDEX('[AQ_2020.xlsx]原始数据'!$D:$D,MATCH($A294,'[AQ_2020.xlsx]原始数据'!$A:$A,0)),""))</f>
        <v/>
      </c>
      <c r="M294">
        <f>IF($A294="","",IFERROR(INDEX('[AQ_2021.xlsx]原始数据'!$D:$D,MATCH($A294,'[AQ_2021.xlsx]原始数据'!$A:$A,0)),""))</f>
        <v/>
      </c>
      <c r="N294">
        <f>IF($A294="","",IFERROR(INDEX('[AQ_2022.xlsx]原始数据'!$D:$D,MATCH($A294,'[AQ_2022.xlsx]原始数据'!$A:$A,0)),""))</f>
        <v/>
      </c>
      <c r="O294">
        <f>IF($A294="","",IFERROR(INDEX('[AQ_2023.xlsx]原始数据'!$D:$D,MATCH($A294,'[AQ_2023.xlsx]原始数据'!$A:$A,0)),""))</f>
        <v/>
      </c>
      <c r="P294">
        <f>IF($A294="","",IFERROR(INDEX('[AQ_2024.xlsx]原始数据'!$D:$D,MATCH($A294,'[AQ_2024.xlsx]原始数据'!$A:$A,0)),""))</f>
        <v/>
      </c>
      <c r="Q294">
        <f>IF($A294="","",IFERROR(INDEX('[AQ_2020.xlsx]原始数据'!$E:$E,MATCH($A294,'[AQ_2020.xlsx]原始数据'!$A:$A,0)),""))</f>
        <v/>
      </c>
      <c r="R294">
        <f>IF($A294="","",IFERROR(INDEX('[AQ_2021.xlsx]原始数据'!$E:$E,MATCH($A294,'[AQ_2021.xlsx]原始数据'!$A:$A,0)),""))</f>
        <v/>
      </c>
      <c r="S294">
        <f>IF($A294="","",IFERROR(INDEX('[AQ_2022.xlsx]原始数据'!$E:$E,MATCH($A294,'[AQ_2022.xlsx]原始数据'!$A:$A,0)),""))</f>
        <v/>
      </c>
      <c r="T294">
        <f>IF($A294="","",IFERROR(INDEX('[AQ_2023.xlsx]原始数据'!$E:$E,MATCH($A294,'[AQ_2023.xlsx]原始数据'!$A:$A,0)),""))</f>
        <v/>
      </c>
      <c r="U294">
        <f>IF($A294="","",IFERROR(INDEX('[AQ_2024.xlsx]原始数据'!$E:$E,MATCH($A294,'[AQ_2024.xlsx]原始数据'!$A:$A,0)),""))</f>
        <v/>
      </c>
      <c r="V294">
        <f>IF($A294="","",IFERROR(INDEX('[AQ_2020.xlsx]原始数据'!$F:$F,MATCH($A294,'[AQ_2020.xlsx]原始数据'!$A:$A,0)),""))</f>
        <v/>
      </c>
      <c r="W294">
        <f>IF($A294="","",IFERROR(INDEX('[AQ_2021.xlsx]原始数据'!$F:$F,MATCH($A294,'[AQ_2021.xlsx]原始数据'!$A:$A,0)),""))</f>
        <v/>
      </c>
      <c r="X294">
        <f>IF($A294="","",IFERROR(INDEX('[AQ_2022.xlsx]原始数据'!$F:$F,MATCH($A294,'[AQ_2022.xlsx]原始数据'!$A:$A,0)),""))</f>
        <v/>
      </c>
      <c r="Y294">
        <f>IF($A294="","",IFERROR(INDEX('[AQ_2023.xlsx]原始数据'!$F:$F,MATCH($A294,'[AQ_2023.xlsx]原始数据'!$A:$A,0)),""))</f>
        <v/>
      </c>
      <c r="Z294">
        <f>IF($A294="","",IFERROR(INDEX('[AQ_2024.xlsx]原始数据'!$F:$F,MATCH($A294,'[AQ_2024.xlsx]原始数据'!$A:$A,0)),""))</f>
        <v/>
      </c>
      <c r="AA294" s="2">
        <f>IFERROR(G294/B294,"")</f>
        <v/>
      </c>
      <c r="AB294" s="2">
        <f>IFERROR(H294/C294,"")</f>
        <v/>
      </c>
      <c r="AC294" s="2">
        <f>IFERROR(I294/D294,"")</f>
        <v/>
      </c>
      <c r="AD294" s="2">
        <f>IFERROR(J294/E294,"")</f>
        <v/>
      </c>
      <c r="AE294" s="2">
        <f>IFERROR(K294/F294,"")</f>
        <v/>
      </c>
      <c r="AF294" s="2">
        <f>IFERROR(L294/B294,"")</f>
        <v/>
      </c>
      <c r="AG294" s="2">
        <f>IFERROR(M294/C294,"")</f>
        <v/>
      </c>
      <c r="AH294" s="2">
        <f>IFERROR(N294/D294,"")</f>
        <v/>
      </c>
      <c r="AI294" s="2">
        <f>IFERROR(O294/E294,"")</f>
        <v/>
      </c>
      <c r="AJ294" s="2">
        <f>IFERROR(P294/F294,"")</f>
        <v/>
      </c>
      <c r="AK294" s="2">
        <f>IFERROR(Q294/B294,"")</f>
        <v/>
      </c>
      <c r="AL294" s="2">
        <f>IFERROR(R294/C294,"")</f>
        <v/>
      </c>
      <c r="AM294" s="2">
        <f>IFERROR(S294/D294,"")</f>
        <v/>
      </c>
      <c r="AN294" s="2">
        <f>IFERROR(T294/E294,"")</f>
        <v/>
      </c>
      <c r="AO294" s="2">
        <f>IFERROR(U294/F294,"")</f>
        <v/>
      </c>
    </row>
    <row r="295">
      <c r="B295">
        <f>IF($A295="","",IFERROR(INDEX('[AQ_2020.xlsx]原始数据'!$B:$B,MATCH($A295,'[AQ_2020.xlsx]原始数据'!$A:$A,0)),""))</f>
        <v/>
      </c>
      <c r="C295">
        <f>IF($A295="","",IFERROR(INDEX('[AQ_2021.xlsx]原始数据'!$B:$B,MATCH($A295,'[AQ_2021.xlsx]原始数据'!$A:$A,0)),""))</f>
        <v/>
      </c>
      <c r="D295">
        <f>IF($A295="","",IFERROR(INDEX('[AQ_2022.xlsx]原始数据'!$B:$B,MATCH($A295,'[AQ_2022.xlsx]原始数据'!$A:$A,0)),""))</f>
        <v/>
      </c>
      <c r="E295">
        <f>IF($A295="","",IFERROR(INDEX('[AQ_2023.xlsx]原始数据'!$B:$B,MATCH($A295,'[AQ_2023.xlsx]原始数据'!$A:$A,0)),""))</f>
        <v/>
      </c>
      <c r="F295">
        <f>IF($A295="","",IFERROR(INDEX('[AQ_2024.xlsx]原始数据'!$B:$B,MATCH($A295,'[AQ_2024.xlsx]原始数据'!$A:$A,0)),""))</f>
        <v/>
      </c>
      <c r="G295">
        <f>IF($A295="","",IFERROR(INDEX('[AQ_2020.xlsx]原始数据'!$C:$C,MATCH($A295,'[AQ_2020.xlsx]原始数据'!$A:$A,0)),""))</f>
        <v/>
      </c>
      <c r="H295">
        <f>IF($A295="","",IFERROR(INDEX('[AQ_2021.xlsx]原始数据'!$C:$C,MATCH($A295,'[AQ_2021.xlsx]原始数据'!$A:$A,0)),""))</f>
        <v/>
      </c>
      <c r="I295">
        <f>IF($A295="","",IFERROR(INDEX('[AQ_2022.xlsx]原始数据'!$C:$C,MATCH($A295,'[AQ_2022.xlsx]原始数据'!$A:$A,0)),""))</f>
        <v/>
      </c>
      <c r="J295">
        <f>IF($A295="","",IFERROR(INDEX('[AQ_2023.xlsx]原始数据'!$C:$C,MATCH($A295,'[AQ_2023.xlsx]原始数据'!$A:$A,0)),""))</f>
        <v/>
      </c>
      <c r="K295">
        <f>IF($A295="","",IFERROR(INDEX('[AQ_2024.xlsx]原始数据'!$C:$C,MATCH($A295,'[AQ_2024.xlsx]原始数据'!$A:$A,0)),""))</f>
        <v/>
      </c>
      <c r="L295">
        <f>IF($A295="","",IFERROR(INDEX('[AQ_2020.xlsx]原始数据'!$D:$D,MATCH($A295,'[AQ_2020.xlsx]原始数据'!$A:$A,0)),""))</f>
        <v/>
      </c>
      <c r="M295">
        <f>IF($A295="","",IFERROR(INDEX('[AQ_2021.xlsx]原始数据'!$D:$D,MATCH($A295,'[AQ_2021.xlsx]原始数据'!$A:$A,0)),""))</f>
        <v/>
      </c>
      <c r="N295">
        <f>IF($A295="","",IFERROR(INDEX('[AQ_2022.xlsx]原始数据'!$D:$D,MATCH($A295,'[AQ_2022.xlsx]原始数据'!$A:$A,0)),""))</f>
        <v/>
      </c>
      <c r="O295">
        <f>IF($A295="","",IFERROR(INDEX('[AQ_2023.xlsx]原始数据'!$D:$D,MATCH($A295,'[AQ_2023.xlsx]原始数据'!$A:$A,0)),""))</f>
        <v/>
      </c>
      <c r="P295">
        <f>IF($A295="","",IFERROR(INDEX('[AQ_2024.xlsx]原始数据'!$D:$D,MATCH($A295,'[AQ_2024.xlsx]原始数据'!$A:$A,0)),""))</f>
        <v/>
      </c>
      <c r="Q295">
        <f>IF($A295="","",IFERROR(INDEX('[AQ_2020.xlsx]原始数据'!$E:$E,MATCH($A295,'[AQ_2020.xlsx]原始数据'!$A:$A,0)),""))</f>
        <v/>
      </c>
      <c r="R295">
        <f>IF($A295="","",IFERROR(INDEX('[AQ_2021.xlsx]原始数据'!$E:$E,MATCH($A295,'[AQ_2021.xlsx]原始数据'!$A:$A,0)),""))</f>
        <v/>
      </c>
      <c r="S295">
        <f>IF($A295="","",IFERROR(INDEX('[AQ_2022.xlsx]原始数据'!$E:$E,MATCH($A295,'[AQ_2022.xlsx]原始数据'!$A:$A,0)),""))</f>
        <v/>
      </c>
      <c r="T295">
        <f>IF($A295="","",IFERROR(INDEX('[AQ_2023.xlsx]原始数据'!$E:$E,MATCH($A295,'[AQ_2023.xlsx]原始数据'!$A:$A,0)),""))</f>
        <v/>
      </c>
      <c r="U295">
        <f>IF($A295="","",IFERROR(INDEX('[AQ_2024.xlsx]原始数据'!$E:$E,MATCH($A295,'[AQ_2024.xlsx]原始数据'!$A:$A,0)),""))</f>
        <v/>
      </c>
      <c r="V295">
        <f>IF($A295="","",IFERROR(INDEX('[AQ_2020.xlsx]原始数据'!$F:$F,MATCH($A295,'[AQ_2020.xlsx]原始数据'!$A:$A,0)),""))</f>
        <v/>
      </c>
      <c r="W295">
        <f>IF($A295="","",IFERROR(INDEX('[AQ_2021.xlsx]原始数据'!$F:$F,MATCH($A295,'[AQ_2021.xlsx]原始数据'!$A:$A,0)),""))</f>
        <v/>
      </c>
      <c r="X295">
        <f>IF($A295="","",IFERROR(INDEX('[AQ_2022.xlsx]原始数据'!$F:$F,MATCH($A295,'[AQ_2022.xlsx]原始数据'!$A:$A,0)),""))</f>
        <v/>
      </c>
      <c r="Y295">
        <f>IF($A295="","",IFERROR(INDEX('[AQ_2023.xlsx]原始数据'!$F:$F,MATCH($A295,'[AQ_2023.xlsx]原始数据'!$A:$A,0)),""))</f>
        <v/>
      </c>
      <c r="Z295">
        <f>IF($A295="","",IFERROR(INDEX('[AQ_2024.xlsx]原始数据'!$F:$F,MATCH($A295,'[AQ_2024.xlsx]原始数据'!$A:$A,0)),""))</f>
        <v/>
      </c>
      <c r="AA295" s="2">
        <f>IFERROR(G295/B295,"")</f>
        <v/>
      </c>
      <c r="AB295" s="2">
        <f>IFERROR(H295/C295,"")</f>
        <v/>
      </c>
      <c r="AC295" s="2">
        <f>IFERROR(I295/D295,"")</f>
        <v/>
      </c>
      <c r="AD295" s="2">
        <f>IFERROR(J295/E295,"")</f>
        <v/>
      </c>
      <c r="AE295" s="2">
        <f>IFERROR(K295/F295,"")</f>
        <v/>
      </c>
      <c r="AF295" s="2">
        <f>IFERROR(L295/B295,"")</f>
        <v/>
      </c>
      <c r="AG295" s="2">
        <f>IFERROR(M295/C295,"")</f>
        <v/>
      </c>
      <c r="AH295" s="2">
        <f>IFERROR(N295/D295,"")</f>
        <v/>
      </c>
      <c r="AI295" s="2">
        <f>IFERROR(O295/E295,"")</f>
        <v/>
      </c>
      <c r="AJ295" s="2">
        <f>IFERROR(P295/F295,"")</f>
        <v/>
      </c>
      <c r="AK295" s="2">
        <f>IFERROR(Q295/B295,"")</f>
        <v/>
      </c>
      <c r="AL295" s="2">
        <f>IFERROR(R295/C295,"")</f>
        <v/>
      </c>
      <c r="AM295" s="2">
        <f>IFERROR(S295/D295,"")</f>
        <v/>
      </c>
      <c r="AN295" s="2">
        <f>IFERROR(T295/E295,"")</f>
        <v/>
      </c>
      <c r="AO295" s="2">
        <f>IFERROR(U295/F295,"")</f>
        <v/>
      </c>
    </row>
    <row r="296">
      <c r="B296">
        <f>IF($A296="","",IFERROR(INDEX('[AQ_2020.xlsx]原始数据'!$B:$B,MATCH($A296,'[AQ_2020.xlsx]原始数据'!$A:$A,0)),""))</f>
        <v/>
      </c>
      <c r="C296">
        <f>IF($A296="","",IFERROR(INDEX('[AQ_2021.xlsx]原始数据'!$B:$B,MATCH($A296,'[AQ_2021.xlsx]原始数据'!$A:$A,0)),""))</f>
        <v/>
      </c>
      <c r="D296">
        <f>IF($A296="","",IFERROR(INDEX('[AQ_2022.xlsx]原始数据'!$B:$B,MATCH($A296,'[AQ_2022.xlsx]原始数据'!$A:$A,0)),""))</f>
        <v/>
      </c>
      <c r="E296">
        <f>IF($A296="","",IFERROR(INDEX('[AQ_2023.xlsx]原始数据'!$B:$B,MATCH($A296,'[AQ_2023.xlsx]原始数据'!$A:$A,0)),""))</f>
        <v/>
      </c>
      <c r="F296">
        <f>IF($A296="","",IFERROR(INDEX('[AQ_2024.xlsx]原始数据'!$B:$B,MATCH($A296,'[AQ_2024.xlsx]原始数据'!$A:$A,0)),""))</f>
        <v/>
      </c>
      <c r="G296">
        <f>IF($A296="","",IFERROR(INDEX('[AQ_2020.xlsx]原始数据'!$C:$C,MATCH($A296,'[AQ_2020.xlsx]原始数据'!$A:$A,0)),""))</f>
        <v/>
      </c>
      <c r="H296">
        <f>IF($A296="","",IFERROR(INDEX('[AQ_2021.xlsx]原始数据'!$C:$C,MATCH($A296,'[AQ_2021.xlsx]原始数据'!$A:$A,0)),""))</f>
        <v/>
      </c>
      <c r="I296">
        <f>IF($A296="","",IFERROR(INDEX('[AQ_2022.xlsx]原始数据'!$C:$C,MATCH($A296,'[AQ_2022.xlsx]原始数据'!$A:$A,0)),""))</f>
        <v/>
      </c>
      <c r="J296">
        <f>IF($A296="","",IFERROR(INDEX('[AQ_2023.xlsx]原始数据'!$C:$C,MATCH($A296,'[AQ_2023.xlsx]原始数据'!$A:$A,0)),""))</f>
        <v/>
      </c>
      <c r="K296">
        <f>IF($A296="","",IFERROR(INDEX('[AQ_2024.xlsx]原始数据'!$C:$C,MATCH($A296,'[AQ_2024.xlsx]原始数据'!$A:$A,0)),""))</f>
        <v/>
      </c>
      <c r="L296">
        <f>IF($A296="","",IFERROR(INDEX('[AQ_2020.xlsx]原始数据'!$D:$D,MATCH($A296,'[AQ_2020.xlsx]原始数据'!$A:$A,0)),""))</f>
        <v/>
      </c>
      <c r="M296">
        <f>IF($A296="","",IFERROR(INDEX('[AQ_2021.xlsx]原始数据'!$D:$D,MATCH($A296,'[AQ_2021.xlsx]原始数据'!$A:$A,0)),""))</f>
        <v/>
      </c>
      <c r="N296">
        <f>IF($A296="","",IFERROR(INDEX('[AQ_2022.xlsx]原始数据'!$D:$D,MATCH($A296,'[AQ_2022.xlsx]原始数据'!$A:$A,0)),""))</f>
        <v/>
      </c>
      <c r="O296">
        <f>IF($A296="","",IFERROR(INDEX('[AQ_2023.xlsx]原始数据'!$D:$D,MATCH($A296,'[AQ_2023.xlsx]原始数据'!$A:$A,0)),""))</f>
        <v/>
      </c>
      <c r="P296">
        <f>IF($A296="","",IFERROR(INDEX('[AQ_2024.xlsx]原始数据'!$D:$D,MATCH($A296,'[AQ_2024.xlsx]原始数据'!$A:$A,0)),""))</f>
        <v/>
      </c>
      <c r="Q296">
        <f>IF($A296="","",IFERROR(INDEX('[AQ_2020.xlsx]原始数据'!$E:$E,MATCH($A296,'[AQ_2020.xlsx]原始数据'!$A:$A,0)),""))</f>
        <v/>
      </c>
      <c r="R296">
        <f>IF($A296="","",IFERROR(INDEX('[AQ_2021.xlsx]原始数据'!$E:$E,MATCH($A296,'[AQ_2021.xlsx]原始数据'!$A:$A,0)),""))</f>
        <v/>
      </c>
      <c r="S296">
        <f>IF($A296="","",IFERROR(INDEX('[AQ_2022.xlsx]原始数据'!$E:$E,MATCH($A296,'[AQ_2022.xlsx]原始数据'!$A:$A,0)),""))</f>
        <v/>
      </c>
      <c r="T296">
        <f>IF($A296="","",IFERROR(INDEX('[AQ_2023.xlsx]原始数据'!$E:$E,MATCH($A296,'[AQ_2023.xlsx]原始数据'!$A:$A,0)),""))</f>
        <v/>
      </c>
      <c r="U296">
        <f>IF($A296="","",IFERROR(INDEX('[AQ_2024.xlsx]原始数据'!$E:$E,MATCH($A296,'[AQ_2024.xlsx]原始数据'!$A:$A,0)),""))</f>
        <v/>
      </c>
      <c r="V296">
        <f>IF($A296="","",IFERROR(INDEX('[AQ_2020.xlsx]原始数据'!$F:$F,MATCH($A296,'[AQ_2020.xlsx]原始数据'!$A:$A,0)),""))</f>
        <v/>
      </c>
      <c r="W296">
        <f>IF($A296="","",IFERROR(INDEX('[AQ_2021.xlsx]原始数据'!$F:$F,MATCH($A296,'[AQ_2021.xlsx]原始数据'!$A:$A,0)),""))</f>
        <v/>
      </c>
      <c r="X296">
        <f>IF($A296="","",IFERROR(INDEX('[AQ_2022.xlsx]原始数据'!$F:$F,MATCH($A296,'[AQ_2022.xlsx]原始数据'!$A:$A,0)),""))</f>
        <v/>
      </c>
      <c r="Y296">
        <f>IF($A296="","",IFERROR(INDEX('[AQ_2023.xlsx]原始数据'!$F:$F,MATCH($A296,'[AQ_2023.xlsx]原始数据'!$A:$A,0)),""))</f>
        <v/>
      </c>
      <c r="Z296">
        <f>IF($A296="","",IFERROR(INDEX('[AQ_2024.xlsx]原始数据'!$F:$F,MATCH($A296,'[AQ_2024.xlsx]原始数据'!$A:$A,0)),""))</f>
        <v/>
      </c>
      <c r="AA296" s="2">
        <f>IFERROR(G296/B296,"")</f>
        <v/>
      </c>
      <c r="AB296" s="2">
        <f>IFERROR(H296/C296,"")</f>
        <v/>
      </c>
      <c r="AC296" s="2">
        <f>IFERROR(I296/D296,"")</f>
        <v/>
      </c>
      <c r="AD296" s="2">
        <f>IFERROR(J296/E296,"")</f>
        <v/>
      </c>
      <c r="AE296" s="2">
        <f>IFERROR(K296/F296,"")</f>
        <v/>
      </c>
      <c r="AF296" s="2">
        <f>IFERROR(L296/B296,"")</f>
        <v/>
      </c>
      <c r="AG296" s="2">
        <f>IFERROR(M296/C296,"")</f>
        <v/>
      </c>
      <c r="AH296" s="2">
        <f>IFERROR(N296/D296,"")</f>
        <v/>
      </c>
      <c r="AI296" s="2">
        <f>IFERROR(O296/E296,"")</f>
        <v/>
      </c>
      <c r="AJ296" s="2">
        <f>IFERROR(P296/F296,"")</f>
        <v/>
      </c>
      <c r="AK296" s="2">
        <f>IFERROR(Q296/B296,"")</f>
        <v/>
      </c>
      <c r="AL296" s="2">
        <f>IFERROR(R296/C296,"")</f>
        <v/>
      </c>
      <c r="AM296" s="2">
        <f>IFERROR(S296/D296,"")</f>
        <v/>
      </c>
      <c r="AN296" s="2">
        <f>IFERROR(T296/E296,"")</f>
        <v/>
      </c>
      <c r="AO296" s="2">
        <f>IFERROR(U296/F296,"")</f>
        <v/>
      </c>
    </row>
    <row r="297">
      <c r="B297">
        <f>IF($A297="","",IFERROR(INDEX('[AQ_2020.xlsx]原始数据'!$B:$B,MATCH($A297,'[AQ_2020.xlsx]原始数据'!$A:$A,0)),""))</f>
        <v/>
      </c>
      <c r="C297">
        <f>IF($A297="","",IFERROR(INDEX('[AQ_2021.xlsx]原始数据'!$B:$B,MATCH($A297,'[AQ_2021.xlsx]原始数据'!$A:$A,0)),""))</f>
        <v/>
      </c>
      <c r="D297">
        <f>IF($A297="","",IFERROR(INDEX('[AQ_2022.xlsx]原始数据'!$B:$B,MATCH($A297,'[AQ_2022.xlsx]原始数据'!$A:$A,0)),""))</f>
        <v/>
      </c>
      <c r="E297">
        <f>IF($A297="","",IFERROR(INDEX('[AQ_2023.xlsx]原始数据'!$B:$B,MATCH($A297,'[AQ_2023.xlsx]原始数据'!$A:$A,0)),""))</f>
        <v/>
      </c>
      <c r="F297">
        <f>IF($A297="","",IFERROR(INDEX('[AQ_2024.xlsx]原始数据'!$B:$B,MATCH($A297,'[AQ_2024.xlsx]原始数据'!$A:$A,0)),""))</f>
        <v/>
      </c>
      <c r="G297">
        <f>IF($A297="","",IFERROR(INDEX('[AQ_2020.xlsx]原始数据'!$C:$C,MATCH($A297,'[AQ_2020.xlsx]原始数据'!$A:$A,0)),""))</f>
        <v/>
      </c>
      <c r="H297">
        <f>IF($A297="","",IFERROR(INDEX('[AQ_2021.xlsx]原始数据'!$C:$C,MATCH($A297,'[AQ_2021.xlsx]原始数据'!$A:$A,0)),""))</f>
        <v/>
      </c>
      <c r="I297">
        <f>IF($A297="","",IFERROR(INDEX('[AQ_2022.xlsx]原始数据'!$C:$C,MATCH($A297,'[AQ_2022.xlsx]原始数据'!$A:$A,0)),""))</f>
        <v/>
      </c>
      <c r="J297">
        <f>IF($A297="","",IFERROR(INDEX('[AQ_2023.xlsx]原始数据'!$C:$C,MATCH($A297,'[AQ_2023.xlsx]原始数据'!$A:$A,0)),""))</f>
        <v/>
      </c>
      <c r="K297">
        <f>IF($A297="","",IFERROR(INDEX('[AQ_2024.xlsx]原始数据'!$C:$C,MATCH($A297,'[AQ_2024.xlsx]原始数据'!$A:$A,0)),""))</f>
        <v/>
      </c>
      <c r="L297">
        <f>IF($A297="","",IFERROR(INDEX('[AQ_2020.xlsx]原始数据'!$D:$D,MATCH($A297,'[AQ_2020.xlsx]原始数据'!$A:$A,0)),""))</f>
        <v/>
      </c>
      <c r="M297">
        <f>IF($A297="","",IFERROR(INDEX('[AQ_2021.xlsx]原始数据'!$D:$D,MATCH($A297,'[AQ_2021.xlsx]原始数据'!$A:$A,0)),""))</f>
        <v/>
      </c>
      <c r="N297">
        <f>IF($A297="","",IFERROR(INDEX('[AQ_2022.xlsx]原始数据'!$D:$D,MATCH($A297,'[AQ_2022.xlsx]原始数据'!$A:$A,0)),""))</f>
        <v/>
      </c>
      <c r="O297">
        <f>IF($A297="","",IFERROR(INDEX('[AQ_2023.xlsx]原始数据'!$D:$D,MATCH($A297,'[AQ_2023.xlsx]原始数据'!$A:$A,0)),""))</f>
        <v/>
      </c>
      <c r="P297">
        <f>IF($A297="","",IFERROR(INDEX('[AQ_2024.xlsx]原始数据'!$D:$D,MATCH($A297,'[AQ_2024.xlsx]原始数据'!$A:$A,0)),""))</f>
        <v/>
      </c>
      <c r="Q297">
        <f>IF($A297="","",IFERROR(INDEX('[AQ_2020.xlsx]原始数据'!$E:$E,MATCH($A297,'[AQ_2020.xlsx]原始数据'!$A:$A,0)),""))</f>
        <v/>
      </c>
      <c r="R297">
        <f>IF($A297="","",IFERROR(INDEX('[AQ_2021.xlsx]原始数据'!$E:$E,MATCH($A297,'[AQ_2021.xlsx]原始数据'!$A:$A,0)),""))</f>
        <v/>
      </c>
      <c r="S297">
        <f>IF($A297="","",IFERROR(INDEX('[AQ_2022.xlsx]原始数据'!$E:$E,MATCH($A297,'[AQ_2022.xlsx]原始数据'!$A:$A,0)),""))</f>
        <v/>
      </c>
      <c r="T297">
        <f>IF($A297="","",IFERROR(INDEX('[AQ_2023.xlsx]原始数据'!$E:$E,MATCH($A297,'[AQ_2023.xlsx]原始数据'!$A:$A,0)),""))</f>
        <v/>
      </c>
      <c r="U297">
        <f>IF($A297="","",IFERROR(INDEX('[AQ_2024.xlsx]原始数据'!$E:$E,MATCH($A297,'[AQ_2024.xlsx]原始数据'!$A:$A,0)),""))</f>
        <v/>
      </c>
      <c r="V297">
        <f>IF($A297="","",IFERROR(INDEX('[AQ_2020.xlsx]原始数据'!$F:$F,MATCH($A297,'[AQ_2020.xlsx]原始数据'!$A:$A,0)),""))</f>
        <v/>
      </c>
      <c r="W297">
        <f>IF($A297="","",IFERROR(INDEX('[AQ_2021.xlsx]原始数据'!$F:$F,MATCH($A297,'[AQ_2021.xlsx]原始数据'!$A:$A,0)),""))</f>
        <v/>
      </c>
      <c r="X297">
        <f>IF($A297="","",IFERROR(INDEX('[AQ_2022.xlsx]原始数据'!$F:$F,MATCH($A297,'[AQ_2022.xlsx]原始数据'!$A:$A,0)),""))</f>
        <v/>
      </c>
      <c r="Y297">
        <f>IF($A297="","",IFERROR(INDEX('[AQ_2023.xlsx]原始数据'!$F:$F,MATCH($A297,'[AQ_2023.xlsx]原始数据'!$A:$A,0)),""))</f>
        <v/>
      </c>
      <c r="Z297">
        <f>IF($A297="","",IFERROR(INDEX('[AQ_2024.xlsx]原始数据'!$F:$F,MATCH($A297,'[AQ_2024.xlsx]原始数据'!$A:$A,0)),""))</f>
        <v/>
      </c>
      <c r="AA297" s="2">
        <f>IFERROR(G297/B297,"")</f>
        <v/>
      </c>
      <c r="AB297" s="2">
        <f>IFERROR(H297/C297,"")</f>
        <v/>
      </c>
      <c r="AC297" s="2">
        <f>IFERROR(I297/D297,"")</f>
        <v/>
      </c>
      <c r="AD297" s="2">
        <f>IFERROR(J297/E297,"")</f>
        <v/>
      </c>
      <c r="AE297" s="2">
        <f>IFERROR(K297/F297,"")</f>
        <v/>
      </c>
      <c r="AF297" s="2">
        <f>IFERROR(L297/B297,"")</f>
        <v/>
      </c>
      <c r="AG297" s="2">
        <f>IFERROR(M297/C297,"")</f>
        <v/>
      </c>
      <c r="AH297" s="2">
        <f>IFERROR(N297/D297,"")</f>
        <v/>
      </c>
      <c r="AI297" s="2">
        <f>IFERROR(O297/E297,"")</f>
        <v/>
      </c>
      <c r="AJ297" s="2">
        <f>IFERROR(P297/F297,"")</f>
        <v/>
      </c>
      <c r="AK297" s="2">
        <f>IFERROR(Q297/B297,"")</f>
        <v/>
      </c>
      <c r="AL297" s="2">
        <f>IFERROR(R297/C297,"")</f>
        <v/>
      </c>
      <c r="AM297" s="2">
        <f>IFERROR(S297/D297,"")</f>
        <v/>
      </c>
      <c r="AN297" s="2">
        <f>IFERROR(T297/E297,"")</f>
        <v/>
      </c>
      <c r="AO297" s="2">
        <f>IFERROR(U297/F297,"")</f>
        <v/>
      </c>
    </row>
    <row r="298">
      <c r="B298">
        <f>IF($A298="","",IFERROR(INDEX('[AQ_2020.xlsx]原始数据'!$B:$B,MATCH($A298,'[AQ_2020.xlsx]原始数据'!$A:$A,0)),""))</f>
        <v/>
      </c>
      <c r="C298">
        <f>IF($A298="","",IFERROR(INDEX('[AQ_2021.xlsx]原始数据'!$B:$B,MATCH($A298,'[AQ_2021.xlsx]原始数据'!$A:$A,0)),""))</f>
        <v/>
      </c>
      <c r="D298">
        <f>IF($A298="","",IFERROR(INDEX('[AQ_2022.xlsx]原始数据'!$B:$B,MATCH($A298,'[AQ_2022.xlsx]原始数据'!$A:$A,0)),""))</f>
        <v/>
      </c>
      <c r="E298">
        <f>IF($A298="","",IFERROR(INDEX('[AQ_2023.xlsx]原始数据'!$B:$B,MATCH($A298,'[AQ_2023.xlsx]原始数据'!$A:$A,0)),""))</f>
        <v/>
      </c>
      <c r="F298">
        <f>IF($A298="","",IFERROR(INDEX('[AQ_2024.xlsx]原始数据'!$B:$B,MATCH($A298,'[AQ_2024.xlsx]原始数据'!$A:$A,0)),""))</f>
        <v/>
      </c>
      <c r="G298">
        <f>IF($A298="","",IFERROR(INDEX('[AQ_2020.xlsx]原始数据'!$C:$C,MATCH($A298,'[AQ_2020.xlsx]原始数据'!$A:$A,0)),""))</f>
        <v/>
      </c>
      <c r="H298">
        <f>IF($A298="","",IFERROR(INDEX('[AQ_2021.xlsx]原始数据'!$C:$C,MATCH($A298,'[AQ_2021.xlsx]原始数据'!$A:$A,0)),""))</f>
        <v/>
      </c>
      <c r="I298">
        <f>IF($A298="","",IFERROR(INDEX('[AQ_2022.xlsx]原始数据'!$C:$C,MATCH($A298,'[AQ_2022.xlsx]原始数据'!$A:$A,0)),""))</f>
        <v/>
      </c>
      <c r="J298">
        <f>IF($A298="","",IFERROR(INDEX('[AQ_2023.xlsx]原始数据'!$C:$C,MATCH($A298,'[AQ_2023.xlsx]原始数据'!$A:$A,0)),""))</f>
        <v/>
      </c>
      <c r="K298">
        <f>IF($A298="","",IFERROR(INDEX('[AQ_2024.xlsx]原始数据'!$C:$C,MATCH($A298,'[AQ_2024.xlsx]原始数据'!$A:$A,0)),""))</f>
        <v/>
      </c>
      <c r="L298">
        <f>IF($A298="","",IFERROR(INDEX('[AQ_2020.xlsx]原始数据'!$D:$D,MATCH($A298,'[AQ_2020.xlsx]原始数据'!$A:$A,0)),""))</f>
        <v/>
      </c>
      <c r="M298">
        <f>IF($A298="","",IFERROR(INDEX('[AQ_2021.xlsx]原始数据'!$D:$D,MATCH($A298,'[AQ_2021.xlsx]原始数据'!$A:$A,0)),""))</f>
        <v/>
      </c>
      <c r="N298">
        <f>IF($A298="","",IFERROR(INDEX('[AQ_2022.xlsx]原始数据'!$D:$D,MATCH($A298,'[AQ_2022.xlsx]原始数据'!$A:$A,0)),""))</f>
        <v/>
      </c>
      <c r="O298">
        <f>IF($A298="","",IFERROR(INDEX('[AQ_2023.xlsx]原始数据'!$D:$D,MATCH($A298,'[AQ_2023.xlsx]原始数据'!$A:$A,0)),""))</f>
        <v/>
      </c>
      <c r="P298">
        <f>IF($A298="","",IFERROR(INDEX('[AQ_2024.xlsx]原始数据'!$D:$D,MATCH($A298,'[AQ_2024.xlsx]原始数据'!$A:$A,0)),""))</f>
        <v/>
      </c>
      <c r="Q298">
        <f>IF($A298="","",IFERROR(INDEX('[AQ_2020.xlsx]原始数据'!$E:$E,MATCH($A298,'[AQ_2020.xlsx]原始数据'!$A:$A,0)),""))</f>
        <v/>
      </c>
      <c r="R298">
        <f>IF($A298="","",IFERROR(INDEX('[AQ_2021.xlsx]原始数据'!$E:$E,MATCH($A298,'[AQ_2021.xlsx]原始数据'!$A:$A,0)),""))</f>
        <v/>
      </c>
      <c r="S298">
        <f>IF($A298="","",IFERROR(INDEX('[AQ_2022.xlsx]原始数据'!$E:$E,MATCH($A298,'[AQ_2022.xlsx]原始数据'!$A:$A,0)),""))</f>
        <v/>
      </c>
      <c r="T298">
        <f>IF($A298="","",IFERROR(INDEX('[AQ_2023.xlsx]原始数据'!$E:$E,MATCH($A298,'[AQ_2023.xlsx]原始数据'!$A:$A,0)),""))</f>
        <v/>
      </c>
      <c r="U298">
        <f>IF($A298="","",IFERROR(INDEX('[AQ_2024.xlsx]原始数据'!$E:$E,MATCH($A298,'[AQ_2024.xlsx]原始数据'!$A:$A,0)),""))</f>
        <v/>
      </c>
      <c r="V298">
        <f>IF($A298="","",IFERROR(INDEX('[AQ_2020.xlsx]原始数据'!$F:$F,MATCH($A298,'[AQ_2020.xlsx]原始数据'!$A:$A,0)),""))</f>
        <v/>
      </c>
      <c r="W298">
        <f>IF($A298="","",IFERROR(INDEX('[AQ_2021.xlsx]原始数据'!$F:$F,MATCH($A298,'[AQ_2021.xlsx]原始数据'!$A:$A,0)),""))</f>
        <v/>
      </c>
      <c r="X298">
        <f>IF($A298="","",IFERROR(INDEX('[AQ_2022.xlsx]原始数据'!$F:$F,MATCH($A298,'[AQ_2022.xlsx]原始数据'!$A:$A,0)),""))</f>
        <v/>
      </c>
      <c r="Y298">
        <f>IF($A298="","",IFERROR(INDEX('[AQ_2023.xlsx]原始数据'!$F:$F,MATCH($A298,'[AQ_2023.xlsx]原始数据'!$A:$A,0)),""))</f>
        <v/>
      </c>
      <c r="Z298">
        <f>IF($A298="","",IFERROR(INDEX('[AQ_2024.xlsx]原始数据'!$F:$F,MATCH($A298,'[AQ_2024.xlsx]原始数据'!$A:$A,0)),""))</f>
        <v/>
      </c>
      <c r="AA298" s="2">
        <f>IFERROR(G298/B298,"")</f>
        <v/>
      </c>
      <c r="AB298" s="2">
        <f>IFERROR(H298/C298,"")</f>
        <v/>
      </c>
      <c r="AC298" s="2">
        <f>IFERROR(I298/D298,"")</f>
        <v/>
      </c>
      <c r="AD298" s="2">
        <f>IFERROR(J298/E298,"")</f>
        <v/>
      </c>
      <c r="AE298" s="2">
        <f>IFERROR(K298/F298,"")</f>
        <v/>
      </c>
      <c r="AF298" s="2">
        <f>IFERROR(L298/B298,"")</f>
        <v/>
      </c>
      <c r="AG298" s="2">
        <f>IFERROR(M298/C298,"")</f>
        <v/>
      </c>
      <c r="AH298" s="2">
        <f>IFERROR(N298/D298,"")</f>
        <v/>
      </c>
      <c r="AI298" s="2">
        <f>IFERROR(O298/E298,"")</f>
        <v/>
      </c>
      <c r="AJ298" s="2">
        <f>IFERROR(P298/F298,"")</f>
        <v/>
      </c>
      <c r="AK298" s="2">
        <f>IFERROR(Q298/B298,"")</f>
        <v/>
      </c>
      <c r="AL298" s="2">
        <f>IFERROR(R298/C298,"")</f>
        <v/>
      </c>
      <c r="AM298" s="2">
        <f>IFERROR(S298/D298,"")</f>
        <v/>
      </c>
      <c r="AN298" s="2">
        <f>IFERROR(T298/E298,"")</f>
        <v/>
      </c>
      <c r="AO298" s="2">
        <f>IFERROR(U298/F298,"")</f>
        <v/>
      </c>
    </row>
    <row r="299">
      <c r="B299">
        <f>IF($A299="","",IFERROR(INDEX('[AQ_2020.xlsx]原始数据'!$B:$B,MATCH($A299,'[AQ_2020.xlsx]原始数据'!$A:$A,0)),""))</f>
        <v/>
      </c>
      <c r="C299">
        <f>IF($A299="","",IFERROR(INDEX('[AQ_2021.xlsx]原始数据'!$B:$B,MATCH($A299,'[AQ_2021.xlsx]原始数据'!$A:$A,0)),""))</f>
        <v/>
      </c>
      <c r="D299">
        <f>IF($A299="","",IFERROR(INDEX('[AQ_2022.xlsx]原始数据'!$B:$B,MATCH($A299,'[AQ_2022.xlsx]原始数据'!$A:$A,0)),""))</f>
        <v/>
      </c>
      <c r="E299">
        <f>IF($A299="","",IFERROR(INDEX('[AQ_2023.xlsx]原始数据'!$B:$B,MATCH($A299,'[AQ_2023.xlsx]原始数据'!$A:$A,0)),""))</f>
        <v/>
      </c>
      <c r="F299">
        <f>IF($A299="","",IFERROR(INDEX('[AQ_2024.xlsx]原始数据'!$B:$B,MATCH($A299,'[AQ_2024.xlsx]原始数据'!$A:$A,0)),""))</f>
        <v/>
      </c>
      <c r="G299">
        <f>IF($A299="","",IFERROR(INDEX('[AQ_2020.xlsx]原始数据'!$C:$C,MATCH($A299,'[AQ_2020.xlsx]原始数据'!$A:$A,0)),""))</f>
        <v/>
      </c>
      <c r="H299">
        <f>IF($A299="","",IFERROR(INDEX('[AQ_2021.xlsx]原始数据'!$C:$C,MATCH($A299,'[AQ_2021.xlsx]原始数据'!$A:$A,0)),""))</f>
        <v/>
      </c>
      <c r="I299">
        <f>IF($A299="","",IFERROR(INDEX('[AQ_2022.xlsx]原始数据'!$C:$C,MATCH($A299,'[AQ_2022.xlsx]原始数据'!$A:$A,0)),""))</f>
        <v/>
      </c>
      <c r="J299">
        <f>IF($A299="","",IFERROR(INDEX('[AQ_2023.xlsx]原始数据'!$C:$C,MATCH($A299,'[AQ_2023.xlsx]原始数据'!$A:$A,0)),""))</f>
        <v/>
      </c>
      <c r="K299">
        <f>IF($A299="","",IFERROR(INDEX('[AQ_2024.xlsx]原始数据'!$C:$C,MATCH($A299,'[AQ_2024.xlsx]原始数据'!$A:$A,0)),""))</f>
        <v/>
      </c>
      <c r="L299">
        <f>IF($A299="","",IFERROR(INDEX('[AQ_2020.xlsx]原始数据'!$D:$D,MATCH($A299,'[AQ_2020.xlsx]原始数据'!$A:$A,0)),""))</f>
        <v/>
      </c>
      <c r="M299">
        <f>IF($A299="","",IFERROR(INDEX('[AQ_2021.xlsx]原始数据'!$D:$D,MATCH($A299,'[AQ_2021.xlsx]原始数据'!$A:$A,0)),""))</f>
        <v/>
      </c>
      <c r="N299">
        <f>IF($A299="","",IFERROR(INDEX('[AQ_2022.xlsx]原始数据'!$D:$D,MATCH($A299,'[AQ_2022.xlsx]原始数据'!$A:$A,0)),""))</f>
        <v/>
      </c>
      <c r="O299">
        <f>IF($A299="","",IFERROR(INDEX('[AQ_2023.xlsx]原始数据'!$D:$D,MATCH($A299,'[AQ_2023.xlsx]原始数据'!$A:$A,0)),""))</f>
        <v/>
      </c>
      <c r="P299">
        <f>IF($A299="","",IFERROR(INDEX('[AQ_2024.xlsx]原始数据'!$D:$D,MATCH($A299,'[AQ_2024.xlsx]原始数据'!$A:$A,0)),""))</f>
        <v/>
      </c>
      <c r="Q299">
        <f>IF($A299="","",IFERROR(INDEX('[AQ_2020.xlsx]原始数据'!$E:$E,MATCH($A299,'[AQ_2020.xlsx]原始数据'!$A:$A,0)),""))</f>
        <v/>
      </c>
      <c r="R299">
        <f>IF($A299="","",IFERROR(INDEX('[AQ_2021.xlsx]原始数据'!$E:$E,MATCH($A299,'[AQ_2021.xlsx]原始数据'!$A:$A,0)),""))</f>
        <v/>
      </c>
      <c r="S299">
        <f>IF($A299="","",IFERROR(INDEX('[AQ_2022.xlsx]原始数据'!$E:$E,MATCH($A299,'[AQ_2022.xlsx]原始数据'!$A:$A,0)),""))</f>
        <v/>
      </c>
      <c r="T299">
        <f>IF($A299="","",IFERROR(INDEX('[AQ_2023.xlsx]原始数据'!$E:$E,MATCH($A299,'[AQ_2023.xlsx]原始数据'!$A:$A,0)),""))</f>
        <v/>
      </c>
      <c r="U299">
        <f>IF($A299="","",IFERROR(INDEX('[AQ_2024.xlsx]原始数据'!$E:$E,MATCH($A299,'[AQ_2024.xlsx]原始数据'!$A:$A,0)),""))</f>
        <v/>
      </c>
      <c r="V299">
        <f>IF($A299="","",IFERROR(INDEX('[AQ_2020.xlsx]原始数据'!$F:$F,MATCH($A299,'[AQ_2020.xlsx]原始数据'!$A:$A,0)),""))</f>
        <v/>
      </c>
      <c r="W299">
        <f>IF($A299="","",IFERROR(INDEX('[AQ_2021.xlsx]原始数据'!$F:$F,MATCH($A299,'[AQ_2021.xlsx]原始数据'!$A:$A,0)),""))</f>
        <v/>
      </c>
      <c r="X299">
        <f>IF($A299="","",IFERROR(INDEX('[AQ_2022.xlsx]原始数据'!$F:$F,MATCH($A299,'[AQ_2022.xlsx]原始数据'!$A:$A,0)),""))</f>
        <v/>
      </c>
      <c r="Y299">
        <f>IF($A299="","",IFERROR(INDEX('[AQ_2023.xlsx]原始数据'!$F:$F,MATCH($A299,'[AQ_2023.xlsx]原始数据'!$A:$A,0)),""))</f>
        <v/>
      </c>
      <c r="Z299">
        <f>IF($A299="","",IFERROR(INDEX('[AQ_2024.xlsx]原始数据'!$F:$F,MATCH($A299,'[AQ_2024.xlsx]原始数据'!$A:$A,0)),""))</f>
        <v/>
      </c>
      <c r="AA299" s="2">
        <f>IFERROR(G299/B299,"")</f>
        <v/>
      </c>
      <c r="AB299" s="2">
        <f>IFERROR(H299/C299,"")</f>
        <v/>
      </c>
      <c r="AC299" s="2">
        <f>IFERROR(I299/D299,"")</f>
        <v/>
      </c>
      <c r="AD299" s="2">
        <f>IFERROR(J299/E299,"")</f>
        <v/>
      </c>
      <c r="AE299" s="2">
        <f>IFERROR(K299/F299,"")</f>
        <v/>
      </c>
      <c r="AF299" s="2">
        <f>IFERROR(L299/B299,"")</f>
        <v/>
      </c>
      <c r="AG299" s="2">
        <f>IFERROR(M299/C299,"")</f>
        <v/>
      </c>
      <c r="AH299" s="2">
        <f>IFERROR(N299/D299,"")</f>
        <v/>
      </c>
      <c r="AI299" s="2">
        <f>IFERROR(O299/E299,"")</f>
        <v/>
      </c>
      <c r="AJ299" s="2">
        <f>IFERROR(P299/F299,"")</f>
        <v/>
      </c>
      <c r="AK299" s="2">
        <f>IFERROR(Q299/B299,"")</f>
        <v/>
      </c>
      <c r="AL299" s="2">
        <f>IFERROR(R299/C299,"")</f>
        <v/>
      </c>
      <c r="AM299" s="2">
        <f>IFERROR(S299/D299,"")</f>
        <v/>
      </c>
      <c r="AN299" s="2">
        <f>IFERROR(T299/E299,"")</f>
        <v/>
      </c>
      <c r="AO299" s="2">
        <f>IFERROR(U299/F299,"")</f>
        <v/>
      </c>
    </row>
    <row r="300">
      <c r="B300">
        <f>IF($A300="","",IFERROR(INDEX('[AQ_2020.xlsx]原始数据'!$B:$B,MATCH($A300,'[AQ_2020.xlsx]原始数据'!$A:$A,0)),""))</f>
        <v/>
      </c>
      <c r="C300">
        <f>IF($A300="","",IFERROR(INDEX('[AQ_2021.xlsx]原始数据'!$B:$B,MATCH($A300,'[AQ_2021.xlsx]原始数据'!$A:$A,0)),""))</f>
        <v/>
      </c>
      <c r="D300">
        <f>IF($A300="","",IFERROR(INDEX('[AQ_2022.xlsx]原始数据'!$B:$B,MATCH($A300,'[AQ_2022.xlsx]原始数据'!$A:$A,0)),""))</f>
        <v/>
      </c>
      <c r="E300">
        <f>IF($A300="","",IFERROR(INDEX('[AQ_2023.xlsx]原始数据'!$B:$B,MATCH($A300,'[AQ_2023.xlsx]原始数据'!$A:$A,0)),""))</f>
        <v/>
      </c>
      <c r="F300">
        <f>IF($A300="","",IFERROR(INDEX('[AQ_2024.xlsx]原始数据'!$B:$B,MATCH($A300,'[AQ_2024.xlsx]原始数据'!$A:$A,0)),""))</f>
        <v/>
      </c>
      <c r="G300">
        <f>IF($A300="","",IFERROR(INDEX('[AQ_2020.xlsx]原始数据'!$C:$C,MATCH($A300,'[AQ_2020.xlsx]原始数据'!$A:$A,0)),""))</f>
        <v/>
      </c>
      <c r="H300">
        <f>IF($A300="","",IFERROR(INDEX('[AQ_2021.xlsx]原始数据'!$C:$C,MATCH($A300,'[AQ_2021.xlsx]原始数据'!$A:$A,0)),""))</f>
        <v/>
      </c>
      <c r="I300">
        <f>IF($A300="","",IFERROR(INDEX('[AQ_2022.xlsx]原始数据'!$C:$C,MATCH($A300,'[AQ_2022.xlsx]原始数据'!$A:$A,0)),""))</f>
        <v/>
      </c>
      <c r="J300">
        <f>IF($A300="","",IFERROR(INDEX('[AQ_2023.xlsx]原始数据'!$C:$C,MATCH($A300,'[AQ_2023.xlsx]原始数据'!$A:$A,0)),""))</f>
        <v/>
      </c>
      <c r="K300">
        <f>IF($A300="","",IFERROR(INDEX('[AQ_2024.xlsx]原始数据'!$C:$C,MATCH($A300,'[AQ_2024.xlsx]原始数据'!$A:$A,0)),""))</f>
        <v/>
      </c>
      <c r="L300">
        <f>IF($A300="","",IFERROR(INDEX('[AQ_2020.xlsx]原始数据'!$D:$D,MATCH($A300,'[AQ_2020.xlsx]原始数据'!$A:$A,0)),""))</f>
        <v/>
      </c>
      <c r="M300">
        <f>IF($A300="","",IFERROR(INDEX('[AQ_2021.xlsx]原始数据'!$D:$D,MATCH($A300,'[AQ_2021.xlsx]原始数据'!$A:$A,0)),""))</f>
        <v/>
      </c>
      <c r="N300">
        <f>IF($A300="","",IFERROR(INDEX('[AQ_2022.xlsx]原始数据'!$D:$D,MATCH($A300,'[AQ_2022.xlsx]原始数据'!$A:$A,0)),""))</f>
        <v/>
      </c>
      <c r="O300">
        <f>IF($A300="","",IFERROR(INDEX('[AQ_2023.xlsx]原始数据'!$D:$D,MATCH($A300,'[AQ_2023.xlsx]原始数据'!$A:$A,0)),""))</f>
        <v/>
      </c>
      <c r="P300">
        <f>IF($A300="","",IFERROR(INDEX('[AQ_2024.xlsx]原始数据'!$D:$D,MATCH($A300,'[AQ_2024.xlsx]原始数据'!$A:$A,0)),""))</f>
        <v/>
      </c>
      <c r="Q300">
        <f>IF($A300="","",IFERROR(INDEX('[AQ_2020.xlsx]原始数据'!$E:$E,MATCH($A300,'[AQ_2020.xlsx]原始数据'!$A:$A,0)),""))</f>
        <v/>
      </c>
      <c r="R300">
        <f>IF($A300="","",IFERROR(INDEX('[AQ_2021.xlsx]原始数据'!$E:$E,MATCH($A300,'[AQ_2021.xlsx]原始数据'!$A:$A,0)),""))</f>
        <v/>
      </c>
      <c r="S300">
        <f>IF($A300="","",IFERROR(INDEX('[AQ_2022.xlsx]原始数据'!$E:$E,MATCH($A300,'[AQ_2022.xlsx]原始数据'!$A:$A,0)),""))</f>
        <v/>
      </c>
      <c r="T300">
        <f>IF($A300="","",IFERROR(INDEX('[AQ_2023.xlsx]原始数据'!$E:$E,MATCH($A300,'[AQ_2023.xlsx]原始数据'!$A:$A,0)),""))</f>
        <v/>
      </c>
      <c r="U300">
        <f>IF($A300="","",IFERROR(INDEX('[AQ_2024.xlsx]原始数据'!$E:$E,MATCH($A300,'[AQ_2024.xlsx]原始数据'!$A:$A,0)),""))</f>
        <v/>
      </c>
      <c r="V300">
        <f>IF($A300="","",IFERROR(INDEX('[AQ_2020.xlsx]原始数据'!$F:$F,MATCH($A300,'[AQ_2020.xlsx]原始数据'!$A:$A,0)),""))</f>
        <v/>
      </c>
      <c r="W300">
        <f>IF($A300="","",IFERROR(INDEX('[AQ_2021.xlsx]原始数据'!$F:$F,MATCH($A300,'[AQ_2021.xlsx]原始数据'!$A:$A,0)),""))</f>
        <v/>
      </c>
      <c r="X300">
        <f>IF($A300="","",IFERROR(INDEX('[AQ_2022.xlsx]原始数据'!$F:$F,MATCH($A300,'[AQ_2022.xlsx]原始数据'!$A:$A,0)),""))</f>
        <v/>
      </c>
      <c r="Y300">
        <f>IF($A300="","",IFERROR(INDEX('[AQ_2023.xlsx]原始数据'!$F:$F,MATCH($A300,'[AQ_2023.xlsx]原始数据'!$A:$A,0)),""))</f>
        <v/>
      </c>
      <c r="Z300">
        <f>IF($A300="","",IFERROR(INDEX('[AQ_2024.xlsx]原始数据'!$F:$F,MATCH($A300,'[AQ_2024.xlsx]原始数据'!$A:$A,0)),""))</f>
        <v/>
      </c>
      <c r="AA300" s="2">
        <f>IFERROR(G300/B300,"")</f>
        <v/>
      </c>
      <c r="AB300" s="2">
        <f>IFERROR(H300/C300,"")</f>
        <v/>
      </c>
      <c r="AC300" s="2">
        <f>IFERROR(I300/D300,"")</f>
        <v/>
      </c>
      <c r="AD300" s="2">
        <f>IFERROR(J300/E300,"")</f>
        <v/>
      </c>
      <c r="AE300" s="2">
        <f>IFERROR(K300/F300,"")</f>
        <v/>
      </c>
      <c r="AF300" s="2">
        <f>IFERROR(L300/B300,"")</f>
        <v/>
      </c>
      <c r="AG300" s="2">
        <f>IFERROR(M300/C300,"")</f>
        <v/>
      </c>
      <c r="AH300" s="2">
        <f>IFERROR(N300/D300,"")</f>
        <v/>
      </c>
      <c r="AI300" s="2">
        <f>IFERROR(O300/E300,"")</f>
        <v/>
      </c>
      <c r="AJ300" s="2">
        <f>IFERROR(P300/F300,"")</f>
        <v/>
      </c>
      <c r="AK300" s="2">
        <f>IFERROR(Q300/B300,"")</f>
        <v/>
      </c>
      <c r="AL300" s="2">
        <f>IFERROR(R300/C300,"")</f>
        <v/>
      </c>
      <c r="AM300" s="2">
        <f>IFERROR(S300/D300,"")</f>
        <v/>
      </c>
      <c r="AN300" s="2">
        <f>IFERROR(T300/E300,"")</f>
        <v/>
      </c>
      <c r="AO300" s="2">
        <f>IFERROR(U300/F300,"")</f>
        <v/>
      </c>
    </row>
    <row r="301">
      <c r="B301">
        <f>IF($A301="","",IFERROR(INDEX('[AQ_2020.xlsx]原始数据'!$B:$B,MATCH($A301,'[AQ_2020.xlsx]原始数据'!$A:$A,0)),""))</f>
        <v/>
      </c>
      <c r="C301">
        <f>IF($A301="","",IFERROR(INDEX('[AQ_2021.xlsx]原始数据'!$B:$B,MATCH($A301,'[AQ_2021.xlsx]原始数据'!$A:$A,0)),""))</f>
        <v/>
      </c>
      <c r="D301">
        <f>IF($A301="","",IFERROR(INDEX('[AQ_2022.xlsx]原始数据'!$B:$B,MATCH($A301,'[AQ_2022.xlsx]原始数据'!$A:$A,0)),""))</f>
        <v/>
      </c>
      <c r="E301">
        <f>IF($A301="","",IFERROR(INDEX('[AQ_2023.xlsx]原始数据'!$B:$B,MATCH($A301,'[AQ_2023.xlsx]原始数据'!$A:$A,0)),""))</f>
        <v/>
      </c>
      <c r="F301">
        <f>IF($A301="","",IFERROR(INDEX('[AQ_2024.xlsx]原始数据'!$B:$B,MATCH($A301,'[AQ_2024.xlsx]原始数据'!$A:$A,0)),""))</f>
        <v/>
      </c>
      <c r="G301">
        <f>IF($A301="","",IFERROR(INDEX('[AQ_2020.xlsx]原始数据'!$C:$C,MATCH($A301,'[AQ_2020.xlsx]原始数据'!$A:$A,0)),""))</f>
        <v/>
      </c>
      <c r="H301">
        <f>IF($A301="","",IFERROR(INDEX('[AQ_2021.xlsx]原始数据'!$C:$C,MATCH($A301,'[AQ_2021.xlsx]原始数据'!$A:$A,0)),""))</f>
        <v/>
      </c>
      <c r="I301">
        <f>IF($A301="","",IFERROR(INDEX('[AQ_2022.xlsx]原始数据'!$C:$C,MATCH($A301,'[AQ_2022.xlsx]原始数据'!$A:$A,0)),""))</f>
        <v/>
      </c>
      <c r="J301">
        <f>IF($A301="","",IFERROR(INDEX('[AQ_2023.xlsx]原始数据'!$C:$C,MATCH($A301,'[AQ_2023.xlsx]原始数据'!$A:$A,0)),""))</f>
        <v/>
      </c>
      <c r="K301">
        <f>IF($A301="","",IFERROR(INDEX('[AQ_2024.xlsx]原始数据'!$C:$C,MATCH($A301,'[AQ_2024.xlsx]原始数据'!$A:$A,0)),""))</f>
        <v/>
      </c>
      <c r="L301">
        <f>IF($A301="","",IFERROR(INDEX('[AQ_2020.xlsx]原始数据'!$D:$D,MATCH($A301,'[AQ_2020.xlsx]原始数据'!$A:$A,0)),""))</f>
        <v/>
      </c>
      <c r="M301">
        <f>IF($A301="","",IFERROR(INDEX('[AQ_2021.xlsx]原始数据'!$D:$D,MATCH($A301,'[AQ_2021.xlsx]原始数据'!$A:$A,0)),""))</f>
        <v/>
      </c>
      <c r="N301">
        <f>IF($A301="","",IFERROR(INDEX('[AQ_2022.xlsx]原始数据'!$D:$D,MATCH($A301,'[AQ_2022.xlsx]原始数据'!$A:$A,0)),""))</f>
        <v/>
      </c>
      <c r="O301">
        <f>IF($A301="","",IFERROR(INDEX('[AQ_2023.xlsx]原始数据'!$D:$D,MATCH($A301,'[AQ_2023.xlsx]原始数据'!$A:$A,0)),""))</f>
        <v/>
      </c>
      <c r="P301">
        <f>IF($A301="","",IFERROR(INDEX('[AQ_2024.xlsx]原始数据'!$D:$D,MATCH($A301,'[AQ_2024.xlsx]原始数据'!$A:$A,0)),""))</f>
        <v/>
      </c>
      <c r="Q301">
        <f>IF($A301="","",IFERROR(INDEX('[AQ_2020.xlsx]原始数据'!$E:$E,MATCH($A301,'[AQ_2020.xlsx]原始数据'!$A:$A,0)),""))</f>
        <v/>
      </c>
      <c r="R301">
        <f>IF($A301="","",IFERROR(INDEX('[AQ_2021.xlsx]原始数据'!$E:$E,MATCH($A301,'[AQ_2021.xlsx]原始数据'!$A:$A,0)),""))</f>
        <v/>
      </c>
      <c r="S301">
        <f>IF($A301="","",IFERROR(INDEX('[AQ_2022.xlsx]原始数据'!$E:$E,MATCH($A301,'[AQ_2022.xlsx]原始数据'!$A:$A,0)),""))</f>
        <v/>
      </c>
      <c r="T301">
        <f>IF($A301="","",IFERROR(INDEX('[AQ_2023.xlsx]原始数据'!$E:$E,MATCH($A301,'[AQ_2023.xlsx]原始数据'!$A:$A,0)),""))</f>
        <v/>
      </c>
      <c r="U301">
        <f>IF($A301="","",IFERROR(INDEX('[AQ_2024.xlsx]原始数据'!$E:$E,MATCH($A301,'[AQ_2024.xlsx]原始数据'!$A:$A,0)),""))</f>
        <v/>
      </c>
      <c r="V301">
        <f>IF($A301="","",IFERROR(INDEX('[AQ_2020.xlsx]原始数据'!$F:$F,MATCH($A301,'[AQ_2020.xlsx]原始数据'!$A:$A,0)),""))</f>
        <v/>
      </c>
      <c r="W301">
        <f>IF($A301="","",IFERROR(INDEX('[AQ_2021.xlsx]原始数据'!$F:$F,MATCH($A301,'[AQ_2021.xlsx]原始数据'!$A:$A,0)),""))</f>
        <v/>
      </c>
      <c r="X301">
        <f>IF($A301="","",IFERROR(INDEX('[AQ_2022.xlsx]原始数据'!$F:$F,MATCH($A301,'[AQ_2022.xlsx]原始数据'!$A:$A,0)),""))</f>
        <v/>
      </c>
      <c r="Y301">
        <f>IF($A301="","",IFERROR(INDEX('[AQ_2023.xlsx]原始数据'!$F:$F,MATCH($A301,'[AQ_2023.xlsx]原始数据'!$A:$A,0)),""))</f>
        <v/>
      </c>
      <c r="Z301">
        <f>IF($A301="","",IFERROR(INDEX('[AQ_2024.xlsx]原始数据'!$F:$F,MATCH($A301,'[AQ_2024.xlsx]原始数据'!$A:$A,0)),""))</f>
        <v/>
      </c>
      <c r="AA301" s="2">
        <f>IFERROR(G301/B301,"")</f>
        <v/>
      </c>
      <c r="AB301" s="2">
        <f>IFERROR(H301/C301,"")</f>
        <v/>
      </c>
      <c r="AC301" s="2">
        <f>IFERROR(I301/D301,"")</f>
        <v/>
      </c>
      <c r="AD301" s="2">
        <f>IFERROR(J301/E301,"")</f>
        <v/>
      </c>
      <c r="AE301" s="2">
        <f>IFERROR(K301/F301,"")</f>
        <v/>
      </c>
      <c r="AF301" s="2">
        <f>IFERROR(L301/B301,"")</f>
        <v/>
      </c>
      <c r="AG301" s="2">
        <f>IFERROR(M301/C301,"")</f>
        <v/>
      </c>
      <c r="AH301" s="2">
        <f>IFERROR(N301/D301,"")</f>
        <v/>
      </c>
      <c r="AI301" s="2">
        <f>IFERROR(O301/E301,"")</f>
        <v/>
      </c>
      <c r="AJ301" s="2">
        <f>IFERROR(P301/F301,"")</f>
        <v/>
      </c>
      <c r="AK301" s="2">
        <f>IFERROR(Q301/B301,"")</f>
        <v/>
      </c>
      <c r="AL301" s="2">
        <f>IFERROR(R301/C301,"")</f>
        <v/>
      </c>
      <c r="AM301" s="2">
        <f>IFERROR(S301/D301,"")</f>
        <v/>
      </c>
      <c r="AN301" s="2">
        <f>IFERROR(T301/E301,"")</f>
        <v/>
      </c>
      <c r="AO301" s="2">
        <f>IFERROR(U301/F301,"")</f>
        <v/>
      </c>
    </row>
    <row r="302">
      <c r="B302">
        <f>IF($A302="","",IFERROR(INDEX('[AQ_2020.xlsx]原始数据'!$B:$B,MATCH($A302,'[AQ_2020.xlsx]原始数据'!$A:$A,0)),""))</f>
        <v/>
      </c>
      <c r="C302">
        <f>IF($A302="","",IFERROR(INDEX('[AQ_2021.xlsx]原始数据'!$B:$B,MATCH($A302,'[AQ_2021.xlsx]原始数据'!$A:$A,0)),""))</f>
        <v/>
      </c>
      <c r="D302">
        <f>IF($A302="","",IFERROR(INDEX('[AQ_2022.xlsx]原始数据'!$B:$B,MATCH($A302,'[AQ_2022.xlsx]原始数据'!$A:$A,0)),""))</f>
        <v/>
      </c>
      <c r="E302">
        <f>IF($A302="","",IFERROR(INDEX('[AQ_2023.xlsx]原始数据'!$B:$B,MATCH($A302,'[AQ_2023.xlsx]原始数据'!$A:$A,0)),""))</f>
        <v/>
      </c>
      <c r="F302">
        <f>IF($A302="","",IFERROR(INDEX('[AQ_2024.xlsx]原始数据'!$B:$B,MATCH($A302,'[AQ_2024.xlsx]原始数据'!$A:$A,0)),""))</f>
        <v/>
      </c>
      <c r="G302">
        <f>IF($A302="","",IFERROR(INDEX('[AQ_2020.xlsx]原始数据'!$C:$C,MATCH($A302,'[AQ_2020.xlsx]原始数据'!$A:$A,0)),""))</f>
        <v/>
      </c>
      <c r="H302">
        <f>IF($A302="","",IFERROR(INDEX('[AQ_2021.xlsx]原始数据'!$C:$C,MATCH($A302,'[AQ_2021.xlsx]原始数据'!$A:$A,0)),""))</f>
        <v/>
      </c>
      <c r="I302">
        <f>IF($A302="","",IFERROR(INDEX('[AQ_2022.xlsx]原始数据'!$C:$C,MATCH($A302,'[AQ_2022.xlsx]原始数据'!$A:$A,0)),""))</f>
        <v/>
      </c>
      <c r="J302">
        <f>IF($A302="","",IFERROR(INDEX('[AQ_2023.xlsx]原始数据'!$C:$C,MATCH($A302,'[AQ_2023.xlsx]原始数据'!$A:$A,0)),""))</f>
        <v/>
      </c>
      <c r="K302">
        <f>IF($A302="","",IFERROR(INDEX('[AQ_2024.xlsx]原始数据'!$C:$C,MATCH($A302,'[AQ_2024.xlsx]原始数据'!$A:$A,0)),""))</f>
        <v/>
      </c>
      <c r="L302">
        <f>IF($A302="","",IFERROR(INDEX('[AQ_2020.xlsx]原始数据'!$D:$D,MATCH($A302,'[AQ_2020.xlsx]原始数据'!$A:$A,0)),""))</f>
        <v/>
      </c>
      <c r="M302">
        <f>IF($A302="","",IFERROR(INDEX('[AQ_2021.xlsx]原始数据'!$D:$D,MATCH($A302,'[AQ_2021.xlsx]原始数据'!$A:$A,0)),""))</f>
        <v/>
      </c>
      <c r="N302">
        <f>IF($A302="","",IFERROR(INDEX('[AQ_2022.xlsx]原始数据'!$D:$D,MATCH($A302,'[AQ_2022.xlsx]原始数据'!$A:$A,0)),""))</f>
        <v/>
      </c>
      <c r="O302">
        <f>IF($A302="","",IFERROR(INDEX('[AQ_2023.xlsx]原始数据'!$D:$D,MATCH($A302,'[AQ_2023.xlsx]原始数据'!$A:$A,0)),""))</f>
        <v/>
      </c>
      <c r="P302">
        <f>IF($A302="","",IFERROR(INDEX('[AQ_2024.xlsx]原始数据'!$D:$D,MATCH($A302,'[AQ_2024.xlsx]原始数据'!$A:$A,0)),""))</f>
        <v/>
      </c>
      <c r="Q302">
        <f>IF($A302="","",IFERROR(INDEX('[AQ_2020.xlsx]原始数据'!$E:$E,MATCH($A302,'[AQ_2020.xlsx]原始数据'!$A:$A,0)),""))</f>
        <v/>
      </c>
      <c r="R302">
        <f>IF($A302="","",IFERROR(INDEX('[AQ_2021.xlsx]原始数据'!$E:$E,MATCH($A302,'[AQ_2021.xlsx]原始数据'!$A:$A,0)),""))</f>
        <v/>
      </c>
      <c r="S302">
        <f>IF($A302="","",IFERROR(INDEX('[AQ_2022.xlsx]原始数据'!$E:$E,MATCH($A302,'[AQ_2022.xlsx]原始数据'!$A:$A,0)),""))</f>
        <v/>
      </c>
      <c r="T302">
        <f>IF($A302="","",IFERROR(INDEX('[AQ_2023.xlsx]原始数据'!$E:$E,MATCH($A302,'[AQ_2023.xlsx]原始数据'!$A:$A,0)),""))</f>
        <v/>
      </c>
      <c r="U302">
        <f>IF($A302="","",IFERROR(INDEX('[AQ_2024.xlsx]原始数据'!$E:$E,MATCH($A302,'[AQ_2024.xlsx]原始数据'!$A:$A,0)),""))</f>
        <v/>
      </c>
      <c r="V302">
        <f>IF($A302="","",IFERROR(INDEX('[AQ_2020.xlsx]原始数据'!$F:$F,MATCH($A302,'[AQ_2020.xlsx]原始数据'!$A:$A,0)),""))</f>
        <v/>
      </c>
      <c r="W302">
        <f>IF($A302="","",IFERROR(INDEX('[AQ_2021.xlsx]原始数据'!$F:$F,MATCH($A302,'[AQ_2021.xlsx]原始数据'!$A:$A,0)),""))</f>
        <v/>
      </c>
      <c r="X302">
        <f>IF($A302="","",IFERROR(INDEX('[AQ_2022.xlsx]原始数据'!$F:$F,MATCH($A302,'[AQ_2022.xlsx]原始数据'!$A:$A,0)),""))</f>
        <v/>
      </c>
      <c r="Y302">
        <f>IF($A302="","",IFERROR(INDEX('[AQ_2023.xlsx]原始数据'!$F:$F,MATCH($A302,'[AQ_2023.xlsx]原始数据'!$A:$A,0)),""))</f>
        <v/>
      </c>
      <c r="Z302">
        <f>IF($A302="","",IFERROR(INDEX('[AQ_2024.xlsx]原始数据'!$F:$F,MATCH($A302,'[AQ_2024.xlsx]原始数据'!$A:$A,0)),""))</f>
        <v/>
      </c>
      <c r="AA302" s="2">
        <f>IFERROR(G302/B302,"")</f>
        <v/>
      </c>
      <c r="AB302" s="2">
        <f>IFERROR(H302/C302,"")</f>
        <v/>
      </c>
      <c r="AC302" s="2">
        <f>IFERROR(I302/D302,"")</f>
        <v/>
      </c>
      <c r="AD302" s="2">
        <f>IFERROR(J302/E302,"")</f>
        <v/>
      </c>
      <c r="AE302" s="2">
        <f>IFERROR(K302/F302,"")</f>
        <v/>
      </c>
      <c r="AF302" s="2">
        <f>IFERROR(L302/B302,"")</f>
        <v/>
      </c>
      <c r="AG302" s="2">
        <f>IFERROR(M302/C302,"")</f>
        <v/>
      </c>
      <c r="AH302" s="2">
        <f>IFERROR(N302/D302,"")</f>
        <v/>
      </c>
      <c r="AI302" s="2">
        <f>IFERROR(O302/E302,"")</f>
        <v/>
      </c>
      <c r="AJ302" s="2">
        <f>IFERROR(P302/F302,"")</f>
        <v/>
      </c>
      <c r="AK302" s="2">
        <f>IFERROR(Q302/B302,"")</f>
        <v/>
      </c>
      <c r="AL302" s="2">
        <f>IFERROR(R302/C302,"")</f>
        <v/>
      </c>
      <c r="AM302" s="2">
        <f>IFERROR(S302/D302,"")</f>
        <v/>
      </c>
      <c r="AN302" s="2">
        <f>IFERROR(T302/E302,"")</f>
        <v/>
      </c>
      <c r="AO302" s="2">
        <f>IFERROR(U302/F302,"")</f>
        <v/>
      </c>
    </row>
    <row r="303">
      <c r="B303">
        <f>IF($A303="","",IFERROR(INDEX('[AQ_2020.xlsx]原始数据'!$B:$B,MATCH($A303,'[AQ_2020.xlsx]原始数据'!$A:$A,0)),""))</f>
        <v/>
      </c>
      <c r="C303">
        <f>IF($A303="","",IFERROR(INDEX('[AQ_2021.xlsx]原始数据'!$B:$B,MATCH($A303,'[AQ_2021.xlsx]原始数据'!$A:$A,0)),""))</f>
        <v/>
      </c>
      <c r="D303">
        <f>IF($A303="","",IFERROR(INDEX('[AQ_2022.xlsx]原始数据'!$B:$B,MATCH($A303,'[AQ_2022.xlsx]原始数据'!$A:$A,0)),""))</f>
        <v/>
      </c>
      <c r="E303">
        <f>IF($A303="","",IFERROR(INDEX('[AQ_2023.xlsx]原始数据'!$B:$B,MATCH($A303,'[AQ_2023.xlsx]原始数据'!$A:$A,0)),""))</f>
        <v/>
      </c>
      <c r="F303">
        <f>IF($A303="","",IFERROR(INDEX('[AQ_2024.xlsx]原始数据'!$B:$B,MATCH($A303,'[AQ_2024.xlsx]原始数据'!$A:$A,0)),""))</f>
        <v/>
      </c>
      <c r="G303">
        <f>IF($A303="","",IFERROR(INDEX('[AQ_2020.xlsx]原始数据'!$C:$C,MATCH($A303,'[AQ_2020.xlsx]原始数据'!$A:$A,0)),""))</f>
        <v/>
      </c>
      <c r="H303">
        <f>IF($A303="","",IFERROR(INDEX('[AQ_2021.xlsx]原始数据'!$C:$C,MATCH($A303,'[AQ_2021.xlsx]原始数据'!$A:$A,0)),""))</f>
        <v/>
      </c>
      <c r="I303">
        <f>IF($A303="","",IFERROR(INDEX('[AQ_2022.xlsx]原始数据'!$C:$C,MATCH($A303,'[AQ_2022.xlsx]原始数据'!$A:$A,0)),""))</f>
        <v/>
      </c>
      <c r="J303">
        <f>IF($A303="","",IFERROR(INDEX('[AQ_2023.xlsx]原始数据'!$C:$C,MATCH($A303,'[AQ_2023.xlsx]原始数据'!$A:$A,0)),""))</f>
        <v/>
      </c>
      <c r="K303">
        <f>IF($A303="","",IFERROR(INDEX('[AQ_2024.xlsx]原始数据'!$C:$C,MATCH($A303,'[AQ_2024.xlsx]原始数据'!$A:$A,0)),""))</f>
        <v/>
      </c>
      <c r="L303">
        <f>IF($A303="","",IFERROR(INDEX('[AQ_2020.xlsx]原始数据'!$D:$D,MATCH($A303,'[AQ_2020.xlsx]原始数据'!$A:$A,0)),""))</f>
        <v/>
      </c>
      <c r="M303">
        <f>IF($A303="","",IFERROR(INDEX('[AQ_2021.xlsx]原始数据'!$D:$D,MATCH($A303,'[AQ_2021.xlsx]原始数据'!$A:$A,0)),""))</f>
        <v/>
      </c>
      <c r="N303">
        <f>IF($A303="","",IFERROR(INDEX('[AQ_2022.xlsx]原始数据'!$D:$D,MATCH($A303,'[AQ_2022.xlsx]原始数据'!$A:$A,0)),""))</f>
        <v/>
      </c>
      <c r="O303">
        <f>IF($A303="","",IFERROR(INDEX('[AQ_2023.xlsx]原始数据'!$D:$D,MATCH($A303,'[AQ_2023.xlsx]原始数据'!$A:$A,0)),""))</f>
        <v/>
      </c>
      <c r="P303">
        <f>IF($A303="","",IFERROR(INDEX('[AQ_2024.xlsx]原始数据'!$D:$D,MATCH($A303,'[AQ_2024.xlsx]原始数据'!$A:$A,0)),""))</f>
        <v/>
      </c>
      <c r="Q303">
        <f>IF($A303="","",IFERROR(INDEX('[AQ_2020.xlsx]原始数据'!$E:$E,MATCH($A303,'[AQ_2020.xlsx]原始数据'!$A:$A,0)),""))</f>
        <v/>
      </c>
      <c r="R303">
        <f>IF($A303="","",IFERROR(INDEX('[AQ_2021.xlsx]原始数据'!$E:$E,MATCH($A303,'[AQ_2021.xlsx]原始数据'!$A:$A,0)),""))</f>
        <v/>
      </c>
      <c r="S303">
        <f>IF($A303="","",IFERROR(INDEX('[AQ_2022.xlsx]原始数据'!$E:$E,MATCH($A303,'[AQ_2022.xlsx]原始数据'!$A:$A,0)),""))</f>
        <v/>
      </c>
      <c r="T303">
        <f>IF($A303="","",IFERROR(INDEX('[AQ_2023.xlsx]原始数据'!$E:$E,MATCH($A303,'[AQ_2023.xlsx]原始数据'!$A:$A,0)),""))</f>
        <v/>
      </c>
      <c r="U303">
        <f>IF($A303="","",IFERROR(INDEX('[AQ_2024.xlsx]原始数据'!$E:$E,MATCH($A303,'[AQ_2024.xlsx]原始数据'!$A:$A,0)),""))</f>
        <v/>
      </c>
      <c r="V303">
        <f>IF($A303="","",IFERROR(INDEX('[AQ_2020.xlsx]原始数据'!$F:$F,MATCH($A303,'[AQ_2020.xlsx]原始数据'!$A:$A,0)),""))</f>
        <v/>
      </c>
      <c r="W303">
        <f>IF($A303="","",IFERROR(INDEX('[AQ_2021.xlsx]原始数据'!$F:$F,MATCH($A303,'[AQ_2021.xlsx]原始数据'!$A:$A,0)),""))</f>
        <v/>
      </c>
      <c r="X303">
        <f>IF($A303="","",IFERROR(INDEX('[AQ_2022.xlsx]原始数据'!$F:$F,MATCH($A303,'[AQ_2022.xlsx]原始数据'!$A:$A,0)),""))</f>
        <v/>
      </c>
      <c r="Y303">
        <f>IF($A303="","",IFERROR(INDEX('[AQ_2023.xlsx]原始数据'!$F:$F,MATCH($A303,'[AQ_2023.xlsx]原始数据'!$A:$A,0)),""))</f>
        <v/>
      </c>
      <c r="Z303">
        <f>IF($A303="","",IFERROR(INDEX('[AQ_2024.xlsx]原始数据'!$F:$F,MATCH($A303,'[AQ_2024.xlsx]原始数据'!$A:$A,0)),""))</f>
        <v/>
      </c>
      <c r="AA303" s="2">
        <f>IFERROR(G303/B303,"")</f>
        <v/>
      </c>
      <c r="AB303" s="2">
        <f>IFERROR(H303/C303,"")</f>
        <v/>
      </c>
      <c r="AC303" s="2">
        <f>IFERROR(I303/D303,"")</f>
        <v/>
      </c>
      <c r="AD303" s="2">
        <f>IFERROR(J303/E303,"")</f>
        <v/>
      </c>
      <c r="AE303" s="2">
        <f>IFERROR(K303/F303,"")</f>
        <v/>
      </c>
      <c r="AF303" s="2">
        <f>IFERROR(L303/B303,"")</f>
        <v/>
      </c>
      <c r="AG303" s="2">
        <f>IFERROR(M303/C303,"")</f>
        <v/>
      </c>
      <c r="AH303" s="2">
        <f>IFERROR(N303/D303,"")</f>
        <v/>
      </c>
      <c r="AI303" s="2">
        <f>IFERROR(O303/E303,"")</f>
        <v/>
      </c>
      <c r="AJ303" s="2">
        <f>IFERROR(P303/F303,"")</f>
        <v/>
      </c>
      <c r="AK303" s="2">
        <f>IFERROR(Q303/B303,"")</f>
        <v/>
      </c>
      <c r="AL303" s="2">
        <f>IFERROR(R303/C303,"")</f>
        <v/>
      </c>
      <c r="AM303" s="2">
        <f>IFERROR(S303/D303,"")</f>
        <v/>
      </c>
      <c r="AN303" s="2">
        <f>IFERROR(T303/E303,"")</f>
        <v/>
      </c>
      <c r="AO303" s="2">
        <f>IFERROR(U303/F303,"")</f>
        <v/>
      </c>
    </row>
    <row r="304">
      <c r="B304">
        <f>IF($A304="","",IFERROR(INDEX('[AQ_2020.xlsx]原始数据'!$B:$B,MATCH($A304,'[AQ_2020.xlsx]原始数据'!$A:$A,0)),""))</f>
        <v/>
      </c>
      <c r="C304">
        <f>IF($A304="","",IFERROR(INDEX('[AQ_2021.xlsx]原始数据'!$B:$B,MATCH($A304,'[AQ_2021.xlsx]原始数据'!$A:$A,0)),""))</f>
        <v/>
      </c>
      <c r="D304">
        <f>IF($A304="","",IFERROR(INDEX('[AQ_2022.xlsx]原始数据'!$B:$B,MATCH($A304,'[AQ_2022.xlsx]原始数据'!$A:$A,0)),""))</f>
        <v/>
      </c>
      <c r="E304">
        <f>IF($A304="","",IFERROR(INDEX('[AQ_2023.xlsx]原始数据'!$B:$B,MATCH($A304,'[AQ_2023.xlsx]原始数据'!$A:$A,0)),""))</f>
        <v/>
      </c>
      <c r="F304">
        <f>IF($A304="","",IFERROR(INDEX('[AQ_2024.xlsx]原始数据'!$B:$B,MATCH($A304,'[AQ_2024.xlsx]原始数据'!$A:$A,0)),""))</f>
        <v/>
      </c>
      <c r="G304">
        <f>IF($A304="","",IFERROR(INDEX('[AQ_2020.xlsx]原始数据'!$C:$C,MATCH($A304,'[AQ_2020.xlsx]原始数据'!$A:$A,0)),""))</f>
        <v/>
      </c>
      <c r="H304">
        <f>IF($A304="","",IFERROR(INDEX('[AQ_2021.xlsx]原始数据'!$C:$C,MATCH($A304,'[AQ_2021.xlsx]原始数据'!$A:$A,0)),""))</f>
        <v/>
      </c>
      <c r="I304">
        <f>IF($A304="","",IFERROR(INDEX('[AQ_2022.xlsx]原始数据'!$C:$C,MATCH($A304,'[AQ_2022.xlsx]原始数据'!$A:$A,0)),""))</f>
        <v/>
      </c>
      <c r="J304">
        <f>IF($A304="","",IFERROR(INDEX('[AQ_2023.xlsx]原始数据'!$C:$C,MATCH($A304,'[AQ_2023.xlsx]原始数据'!$A:$A,0)),""))</f>
        <v/>
      </c>
      <c r="K304">
        <f>IF($A304="","",IFERROR(INDEX('[AQ_2024.xlsx]原始数据'!$C:$C,MATCH($A304,'[AQ_2024.xlsx]原始数据'!$A:$A,0)),""))</f>
        <v/>
      </c>
      <c r="L304">
        <f>IF($A304="","",IFERROR(INDEX('[AQ_2020.xlsx]原始数据'!$D:$D,MATCH($A304,'[AQ_2020.xlsx]原始数据'!$A:$A,0)),""))</f>
        <v/>
      </c>
      <c r="M304">
        <f>IF($A304="","",IFERROR(INDEX('[AQ_2021.xlsx]原始数据'!$D:$D,MATCH($A304,'[AQ_2021.xlsx]原始数据'!$A:$A,0)),""))</f>
        <v/>
      </c>
      <c r="N304">
        <f>IF($A304="","",IFERROR(INDEX('[AQ_2022.xlsx]原始数据'!$D:$D,MATCH($A304,'[AQ_2022.xlsx]原始数据'!$A:$A,0)),""))</f>
        <v/>
      </c>
      <c r="O304">
        <f>IF($A304="","",IFERROR(INDEX('[AQ_2023.xlsx]原始数据'!$D:$D,MATCH($A304,'[AQ_2023.xlsx]原始数据'!$A:$A,0)),""))</f>
        <v/>
      </c>
      <c r="P304">
        <f>IF($A304="","",IFERROR(INDEX('[AQ_2024.xlsx]原始数据'!$D:$D,MATCH($A304,'[AQ_2024.xlsx]原始数据'!$A:$A,0)),""))</f>
        <v/>
      </c>
      <c r="Q304">
        <f>IF($A304="","",IFERROR(INDEX('[AQ_2020.xlsx]原始数据'!$E:$E,MATCH($A304,'[AQ_2020.xlsx]原始数据'!$A:$A,0)),""))</f>
        <v/>
      </c>
      <c r="R304">
        <f>IF($A304="","",IFERROR(INDEX('[AQ_2021.xlsx]原始数据'!$E:$E,MATCH($A304,'[AQ_2021.xlsx]原始数据'!$A:$A,0)),""))</f>
        <v/>
      </c>
      <c r="S304">
        <f>IF($A304="","",IFERROR(INDEX('[AQ_2022.xlsx]原始数据'!$E:$E,MATCH($A304,'[AQ_2022.xlsx]原始数据'!$A:$A,0)),""))</f>
        <v/>
      </c>
      <c r="T304">
        <f>IF($A304="","",IFERROR(INDEX('[AQ_2023.xlsx]原始数据'!$E:$E,MATCH($A304,'[AQ_2023.xlsx]原始数据'!$A:$A,0)),""))</f>
        <v/>
      </c>
      <c r="U304">
        <f>IF($A304="","",IFERROR(INDEX('[AQ_2024.xlsx]原始数据'!$E:$E,MATCH($A304,'[AQ_2024.xlsx]原始数据'!$A:$A,0)),""))</f>
        <v/>
      </c>
      <c r="V304">
        <f>IF($A304="","",IFERROR(INDEX('[AQ_2020.xlsx]原始数据'!$F:$F,MATCH($A304,'[AQ_2020.xlsx]原始数据'!$A:$A,0)),""))</f>
        <v/>
      </c>
      <c r="W304">
        <f>IF($A304="","",IFERROR(INDEX('[AQ_2021.xlsx]原始数据'!$F:$F,MATCH($A304,'[AQ_2021.xlsx]原始数据'!$A:$A,0)),""))</f>
        <v/>
      </c>
      <c r="X304">
        <f>IF($A304="","",IFERROR(INDEX('[AQ_2022.xlsx]原始数据'!$F:$F,MATCH($A304,'[AQ_2022.xlsx]原始数据'!$A:$A,0)),""))</f>
        <v/>
      </c>
      <c r="Y304">
        <f>IF($A304="","",IFERROR(INDEX('[AQ_2023.xlsx]原始数据'!$F:$F,MATCH($A304,'[AQ_2023.xlsx]原始数据'!$A:$A,0)),""))</f>
        <v/>
      </c>
      <c r="Z304">
        <f>IF($A304="","",IFERROR(INDEX('[AQ_2024.xlsx]原始数据'!$F:$F,MATCH($A304,'[AQ_2024.xlsx]原始数据'!$A:$A,0)),""))</f>
        <v/>
      </c>
      <c r="AA304" s="2">
        <f>IFERROR(G304/B304,"")</f>
        <v/>
      </c>
      <c r="AB304" s="2">
        <f>IFERROR(H304/C304,"")</f>
        <v/>
      </c>
      <c r="AC304" s="2">
        <f>IFERROR(I304/D304,"")</f>
        <v/>
      </c>
      <c r="AD304" s="2">
        <f>IFERROR(J304/E304,"")</f>
        <v/>
      </c>
      <c r="AE304" s="2">
        <f>IFERROR(K304/F304,"")</f>
        <v/>
      </c>
      <c r="AF304" s="2">
        <f>IFERROR(L304/B304,"")</f>
        <v/>
      </c>
      <c r="AG304" s="2">
        <f>IFERROR(M304/C304,"")</f>
        <v/>
      </c>
      <c r="AH304" s="2">
        <f>IFERROR(N304/D304,"")</f>
        <v/>
      </c>
      <c r="AI304" s="2">
        <f>IFERROR(O304/E304,"")</f>
        <v/>
      </c>
      <c r="AJ304" s="2">
        <f>IFERROR(P304/F304,"")</f>
        <v/>
      </c>
      <c r="AK304" s="2">
        <f>IFERROR(Q304/B304,"")</f>
        <v/>
      </c>
      <c r="AL304" s="2">
        <f>IFERROR(R304/C304,"")</f>
        <v/>
      </c>
      <c r="AM304" s="2">
        <f>IFERROR(S304/D304,"")</f>
        <v/>
      </c>
      <c r="AN304" s="2">
        <f>IFERROR(T304/E304,"")</f>
        <v/>
      </c>
      <c r="AO304" s="2">
        <f>IFERROR(U304/F304,"")</f>
        <v/>
      </c>
    </row>
    <row r="305">
      <c r="B305">
        <f>IF($A305="","",IFERROR(INDEX('[AQ_2020.xlsx]原始数据'!$B:$B,MATCH($A305,'[AQ_2020.xlsx]原始数据'!$A:$A,0)),""))</f>
        <v/>
      </c>
      <c r="C305">
        <f>IF($A305="","",IFERROR(INDEX('[AQ_2021.xlsx]原始数据'!$B:$B,MATCH($A305,'[AQ_2021.xlsx]原始数据'!$A:$A,0)),""))</f>
        <v/>
      </c>
      <c r="D305">
        <f>IF($A305="","",IFERROR(INDEX('[AQ_2022.xlsx]原始数据'!$B:$B,MATCH($A305,'[AQ_2022.xlsx]原始数据'!$A:$A,0)),""))</f>
        <v/>
      </c>
      <c r="E305">
        <f>IF($A305="","",IFERROR(INDEX('[AQ_2023.xlsx]原始数据'!$B:$B,MATCH($A305,'[AQ_2023.xlsx]原始数据'!$A:$A,0)),""))</f>
        <v/>
      </c>
      <c r="F305">
        <f>IF($A305="","",IFERROR(INDEX('[AQ_2024.xlsx]原始数据'!$B:$B,MATCH($A305,'[AQ_2024.xlsx]原始数据'!$A:$A,0)),""))</f>
        <v/>
      </c>
      <c r="G305">
        <f>IF($A305="","",IFERROR(INDEX('[AQ_2020.xlsx]原始数据'!$C:$C,MATCH($A305,'[AQ_2020.xlsx]原始数据'!$A:$A,0)),""))</f>
        <v/>
      </c>
      <c r="H305">
        <f>IF($A305="","",IFERROR(INDEX('[AQ_2021.xlsx]原始数据'!$C:$C,MATCH($A305,'[AQ_2021.xlsx]原始数据'!$A:$A,0)),""))</f>
        <v/>
      </c>
      <c r="I305">
        <f>IF($A305="","",IFERROR(INDEX('[AQ_2022.xlsx]原始数据'!$C:$C,MATCH($A305,'[AQ_2022.xlsx]原始数据'!$A:$A,0)),""))</f>
        <v/>
      </c>
      <c r="J305">
        <f>IF($A305="","",IFERROR(INDEX('[AQ_2023.xlsx]原始数据'!$C:$C,MATCH($A305,'[AQ_2023.xlsx]原始数据'!$A:$A,0)),""))</f>
        <v/>
      </c>
      <c r="K305">
        <f>IF($A305="","",IFERROR(INDEX('[AQ_2024.xlsx]原始数据'!$C:$C,MATCH($A305,'[AQ_2024.xlsx]原始数据'!$A:$A,0)),""))</f>
        <v/>
      </c>
      <c r="L305">
        <f>IF($A305="","",IFERROR(INDEX('[AQ_2020.xlsx]原始数据'!$D:$D,MATCH($A305,'[AQ_2020.xlsx]原始数据'!$A:$A,0)),""))</f>
        <v/>
      </c>
      <c r="M305">
        <f>IF($A305="","",IFERROR(INDEX('[AQ_2021.xlsx]原始数据'!$D:$D,MATCH($A305,'[AQ_2021.xlsx]原始数据'!$A:$A,0)),""))</f>
        <v/>
      </c>
      <c r="N305">
        <f>IF($A305="","",IFERROR(INDEX('[AQ_2022.xlsx]原始数据'!$D:$D,MATCH($A305,'[AQ_2022.xlsx]原始数据'!$A:$A,0)),""))</f>
        <v/>
      </c>
      <c r="O305">
        <f>IF($A305="","",IFERROR(INDEX('[AQ_2023.xlsx]原始数据'!$D:$D,MATCH($A305,'[AQ_2023.xlsx]原始数据'!$A:$A,0)),""))</f>
        <v/>
      </c>
      <c r="P305">
        <f>IF($A305="","",IFERROR(INDEX('[AQ_2024.xlsx]原始数据'!$D:$D,MATCH($A305,'[AQ_2024.xlsx]原始数据'!$A:$A,0)),""))</f>
        <v/>
      </c>
      <c r="Q305">
        <f>IF($A305="","",IFERROR(INDEX('[AQ_2020.xlsx]原始数据'!$E:$E,MATCH($A305,'[AQ_2020.xlsx]原始数据'!$A:$A,0)),""))</f>
        <v/>
      </c>
      <c r="R305">
        <f>IF($A305="","",IFERROR(INDEX('[AQ_2021.xlsx]原始数据'!$E:$E,MATCH($A305,'[AQ_2021.xlsx]原始数据'!$A:$A,0)),""))</f>
        <v/>
      </c>
      <c r="S305">
        <f>IF($A305="","",IFERROR(INDEX('[AQ_2022.xlsx]原始数据'!$E:$E,MATCH($A305,'[AQ_2022.xlsx]原始数据'!$A:$A,0)),""))</f>
        <v/>
      </c>
      <c r="T305">
        <f>IF($A305="","",IFERROR(INDEX('[AQ_2023.xlsx]原始数据'!$E:$E,MATCH($A305,'[AQ_2023.xlsx]原始数据'!$A:$A,0)),""))</f>
        <v/>
      </c>
      <c r="U305">
        <f>IF($A305="","",IFERROR(INDEX('[AQ_2024.xlsx]原始数据'!$E:$E,MATCH($A305,'[AQ_2024.xlsx]原始数据'!$A:$A,0)),""))</f>
        <v/>
      </c>
      <c r="V305">
        <f>IF($A305="","",IFERROR(INDEX('[AQ_2020.xlsx]原始数据'!$F:$F,MATCH($A305,'[AQ_2020.xlsx]原始数据'!$A:$A,0)),""))</f>
        <v/>
      </c>
      <c r="W305">
        <f>IF($A305="","",IFERROR(INDEX('[AQ_2021.xlsx]原始数据'!$F:$F,MATCH($A305,'[AQ_2021.xlsx]原始数据'!$A:$A,0)),""))</f>
        <v/>
      </c>
      <c r="X305">
        <f>IF($A305="","",IFERROR(INDEX('[AQ_2022.xlsx]原始数据'!$F:$F,MATCH($A305,'[AQ_2022.xlsx]原始数据'!$A:$A,0)),""))</f>
        <v/>
      </c>
      <c r="Y305">
        <f>IF($A305="","",IFERROR(INDEX('[AQ_2023.xlsx]原始数据'!$F:$F,MATCH($A305,'[AQ_2023.xlsx]原始数据'!$A:$A,0)),""))</f>
        <v/>
      </c>
      <c r="Z305">
        <f>IF($A305="","",IFERROR(INDEX('[AQ_2024.xlsx]原始数据'!$F:$F,MATCH($A305,'[AQ_2024.xlsx]原始数据'!$A:$A,0)),""))</f>
        <v/>
      </c>
      <c r="AA305" s="2">
        <f>IFERROR(G305/B305,"")</f>
        <v/>
      </c>
      <c r="AB305" s="2">
        <f>IFERROR(H305/C305,"")</f>
        <v/>
      </c>
      <c r="AC305" s="2">
        <f>IFERROR(I305/D305,"")</f>
        <v/>
      </c>
      <c r="AD305" s="2">
        <f>IFERROR(J305/E305,"")</f>
        <v/>
      </c>
      <c r="AE305" s="2">
        <f>IFERROR(K305/F305,"")</f>
        <v/>
      </c>
      <c r="AF305" s="2">
        <f>IFERROR(L305/B305,"")</f>
        <v/>
      </c>
      <c r="AG305" s="2">
        <f>IFERROR(M305/C305,"")</f>
        <v/>
      </c>
      <c r="AH305" s="2">
        <f>IFERROR(N305/D305,"")</f>
        <v/>
      </c>
      <c r="AI305" s="2">
        <f>IFERROR(O305/E305,"")</f>
        <v/>
      </c>
      <c r="AJ305" s="2">
        <f>IFERROR(P305/F305,"")</f>
        <v/>
      </c>
      <c r="AK305" s="2">
        <f>IFERROR(Q305/B305,"")</f>
        <v/>
      </c>
      <c r="AL305" s="2">
        <f>IFERROR(R305/C305,"")</f>
        <v/>
      </c>
      <c r="AM305" s="2">
        <f>IFERROR(S305/D305,"")</f>
        <v/>
      </c>
      <c r="AN305" s="2">
        <f>IFERROR(T305/E305,"")</f>
        <v/>
      </c>
      <c r="AO305" s="2">
        <f>IFERROR(U305/F305,"")</f>
        <v/>
      </c>
    </row>
    <row r="306">
      <c r="B306">
        <f>IF($A306="","",IFERROR(INDEX('[AQ_2020.xlsx]原始数据'!$B:$B,MATCH($A306,'[AQ_2020.xlsx]原始数据'!$A:$A,0)),""))</f>
        <v/>
      </c>
      <c r="C306">
        <f>IF($A306="","",IFERROR(INDEX('[AQ_2021.xlsx]原始数据'!$B:$B,MATCH($A306,'[AQ_2021.xlsx]原始数据'!$A:$A,0)),""))</f>
        <v/>
      </c>
      <c r="D306">
        <f>IF($A306="","",IFERROR(INDEX('[AQ_2022.xlsx]原始数据'!$B:$B,MATCH($A306,'[AQ_2022.xlsx]原始数据'!$A:$A,0)),""))</f>
        <v/>
      </c>
      <c r="E306">
        <f>IF($A306="","",IFERROR(INDEX('[AQ_2023.xlsx]原始数据'!$B:$B,MATCH($A306,'[AQ_2023.xlsx]原始数据'!$A:$A,0)),""))</f>
        <v/>
      </c>
      <c r="F306">
        <f>IF($A306="","",IFERROR(INDEX('[AQ_2024.xlsx]原始数据'!$B:$B,MATCH($A306,'[AQ_2024.xlsx]原始数据'!$A:$A,0)),""))</f>
        <v/>
      </c>
      <c r="G306">
        <f>IF($A306="","",IFERROR(INDEX('[AQ_2020.xlsx]原始数据'!$C:$C,MATCH($A306,'[AQ_2020.xlsx]原始数据'!$A:$A,0)),""))</f>
        <v/>
      </c>
      <c r="H306">
        <f>IF($A306="","",IFERROR(INDEX('[AQ_2021.xlsx]原始数据'!$C:$C,MATCH($A306,'[AQ_2021.xlsx]原始数据'!$A:$A,0)),""))</f>
        <v/>
      </c>
      <c r="I306">
        <f>IF($A306="","",IFERROR(INDEX('[AQ_2022.xlsx]原始数据'!$C:$C,MATCH($A306,'[AQ_2022.xlsx]原始数据'!$A:$A,0)),""))</f>
        <v/>
      </c>
      <c r="J306">
        <f>IF($A306="","",IFERROR(INDEX('[AQ_2023.xlsx]原始数据'!$C:$C,MATCH($A306,'[AQ_2023.xlsx]原始数据'!$A:$A,0)),""))</f>
        <v/>
      </c>
      <c r="K306">
        <f>IF($A306="","",IFERROR(INDEX('[AQ_2024.xlsx]原始数据'!$C:$C,MATCH($A306,'[AQ_2024.xlsx]原始数据'!$A:$A,0)),""))</f>
        <v/>
      </c>
      <c r="L306">
        <f>IF($A306="","",IFERROR(INDEX('[AQ_2020.xlsx]原始数据'!$D:$D,MATCH($A306,'[AQ_2020.xlsx]原始数据'!$A:$A,0)),""))</f>
        <v/>
      </c>
      <c r="M306">
        <f>IF($A306="","",IFERROR(INDEX('[AQ_2021.xlsx]原始数据'!$D:$D,MATCH($A306,'[AQ_2021.xlsx]原始数据'!$A:$A,0)),""))</f>
        <v/>
      </c>
      <c r="N306">
        <f>IF($A306="","",IFERROR(INDEX('[AQ_2022.xlsx]原始数据'!$D:$D,MATCH($A306,'[AQ_2022.xlsx]原始数据'!$A:$A,0)),""))</f>
        <v/>
      </c>
      <c r="O306">
        <f>IF($A306="","",IFERROR(INDEX('[AQ_2023.xlsx]原始数据'!$D:$D,MATCH($A306,'[AQ_2023.xlsx]原始数据'!$A:$A,0)),""))</f>
        <v/>
      </c>
      <c r="P306">
        <f>IF($A306="","",IFERROR(INDEX('[AQ_2024.xlsx]原始数据'!$D:$D,MATCH($A306,'[AQ_2024.xlsx]原始数据'!$A:$A,0)),""))</f>
        <v/>
      </c>
      <c r="Q306">
        <f>IF($A306="","",IFERROR(INDEX('[AQ_2020.xlsx]原始数据'!$E:$E,MATCH($A306,'[AQ_2020.xlsx]原始数据'!$A:$A,0)),""))</f>
        <v/>
      </c>
      <c r="R306">
        <f>IF($A306="","",IFERROR(INDEX('[AQ_2021.xlsx]原始数据'!$E:$E,MATCH($A306,'[AQ_2021.xlsx]原始数据'!$A:$A,0)),""))</f>
        <v/>
      </c>
      <c r="S306">
        <f>IF($A306="","",IFERROR(INDEX('[AQ_2022.xlsx]原始数据'!$E:$E,MATCH($A306,'[AQ_2022.xlsx]原始数据'!$A:$A,0)),""))</f>
        <v/>
      </c>
      <c r="T306">
        <f>IF($A306="","",IFERROR(INDEX('[AQ_2023.xlsx]原始数据'!$E:$E,MATCH($A306,'[AQ_2023.xlsx]原始数据'!$A:$A,0)),""))</f>
        <v/>
      </c>
      <c r="U306">
        <f>IF($A306="","",IFERROR(INDEX('[AQ_2024.xlsx]原始数据'!$E:$E,MATCH($A306,'[AQ_2024.xlsx]原始数据'!$A:$A,0)),""))</f>
        <v/>
      </c>
      <c r="V306">
        <f>IF($A306="","",IFERROR(INDEX('[AQ_2020.xlsx]原始数据'!$F:$F,MATCH($A306,'[AQ_2020.xlsx]原始数据'!$A:$A,0)),""))</f>
        <v/>
      </c>
      <c r="W306">
        <f>IF($A306="","",IFERROR(INDEX('[AQ_2021.xlsx]原始数据'!$F:$F,MATCH($A306,'[AQ_2021.xlsx]原始数据'!$A:$A,0)),""))</f>
        <v/>
      </c>
      <c r="X306">
        <f>IF($A306="","",IFERROR(INDEX('[AQ_2022.xlsx]原始数据'!$F:$F,MATCH($A306,'[AQ_2022.xlsx]原始数据'!$A:$A,0)),""))</f>
        <v/>
      </c>
      <c r="Y306">
        <f>IF($A306="","",IFERROR(INDEX('[AQ_2023.xlsx]原始数据'!$F:$F,MATCH($A306,'[AQ_2023.xlsx]原始数据'!$A:$A,0)),""))</f>
        <v/>
      </c>
      <c r="Z306">
        <f>IF($A306="","",IFERROR(INDEX('[AQ_2024.xlsx]原始数据'!$F:$F,MATCH($A306,'[AQ_2024.xlsx]原始数据'!$A:$A,0)),""))</f>
        <v/>
      </c>
      <c r="AA306" s="2">
        <f>IFERROR(G306/B306,"")</f>
        <v/>
      </c>
      <c r="AB306" s="2">
        <f>IFERROR(H306/C306,"")</f>
        <v/>
      </c>
      <c r="AC306" s="2">
        <f>IFERROR(I306/D306,"")</f>
        <v/>
      </c>
      <c r="AD306" s="2">
        <f>IFERROR(J306/E306,"")</f>
        <v/>
      </c>
      <c r="AE306" s="2">
        <f>IFERROR(K306/F306,"")</f>
        <v/>
      </c>
      <c r="AF306" s="2">
        <f>IFERROR(L306/B306,"")</f>
        <v/>
      </c>
      <c r="AG306" s="2">
        <f>IFERROR(M306/C306,"")</f>
        <v/>
      </c>
      <c r="AH306" s="2">
        <f>IFERROR(N306/D306,"")</f>
        <v/>
      </c>
      <c r="AI306" s="2">
        <f>IFERROR(O306/E306,"")</f>
        <v/>
      </c>
      <c r="AJ306" s="2">
        <f>IFERROR(P306/F306,"")</f>
        <v/>
      </c>
      <c r="AK306" s="2">
        <f>IFERROR(Q306/B306,"")</f>
        <v/>
      </c>
      <c r="AL306" s="2">
        <f>IFERROR(R306/C306,"")</f>
        <v/>
      </c>
      <c r="AM306" s="2">
        <f>IFERROR(S306/D306,"")</f>
        <v/>
      </c>
      <c r="AN306" s="2">
        <f>IFERROR(T306/E306,"")</f>
        <v/>
      </c>
      <c r="AO306" s="2">
        <f>IFERROR(U306/F306,"")</f>
        <v/>
      </c>
    </row>
    <row r="307">
      <c r="B307">
        <f>IF($A307="","",IFERROR(INDEX('[AQ_2020.xlsx]原始数据'!$B:$B,MATCH($A307,'[AQ_2020.xlsx]原始数据'!$A:$A,0)),""))</f>
        <v/>
      </c>
      <c r="C307">
        <f>IF($A307="","",IFERROR(INDEX('[AQ_2021.xlsx]原始数据'!$B:$B,MATCH($A307,'[AQ_2021.xlsx]原始数据'!$A:$A,0)),""))</f>
        <v/>
      </c>
      <c r="D307">
        <f>IF($A307="","",IFERROR(INDEX('[AQ_2022.xlsx]原始数据'!$B:$B,MATCH($A307,'[AQ_2022.xlsx]原始数据'!$A:$A,0)),""))</f>
        <v/>
      </c>
      <c r="E307">
        <f>IF($A307="","",IFERROR(INDEX('[AQ_2023.xlsx]原始数据'!$B:$B,MATCH($A307,'[AQ_2023.xlsx]原始数据'!$A:$A,0)),""))</f>
        <v/>
      </c>
      <c r="F307">
        <f>IF($A307="","",IFERROR(INDEX('[AQ_2024.xlsx]原始数据'!$B:$B,MATCH($A307,'[AQ_2024.xlsx]原始数据'!$A:$A,0)),""))</f>
        <v/>
      </c>
      <c r="G307">
        <f>IF($A307="","",IFERROR(INDEX('[AQ_2020.xlsx]原始数据'!$C:$C,MATCH($A307,'[AQ_2020.xlsx]原始数据'!$A:$A,0)),""))</f>
        <v/>
      </c>
      <c r="H307">
        <f>IF($A307="","",IFERROR(INDEX('[AQ_2021.xlsx]原始数据'!$C:$C,MATCH($A307,'[AQ_2021.xlsx]原始数据'!$A:$A,0)),""))</f>
        <v/>
      </c>
      <c r="I307">
        <f>IF($A307="","",IFERROR(INDEX('[AQ_2022.xlsx]原始数据'!$C:$C,MATCH($A307,'[AQ_2022.xlsx]原始数据'!$A:$A,0)),""))</f>
        <v/>
      </c>
      <c r="J307">
        <f>IF($A307="","",IFERROR(INDEX('[AQ_2023.xlsx]原始数据'!$C:$C,MATCH($A307,'[AQ_2023.xlsx]原始数据'!$A:$A,0)),""))</f>
        <v/>
      </c>
      <c r="K307">
        <f>IF($A307="","",IFERROR(INDEX('[AQ_2024.xlsx]原始数据'!$C:$C,MATCH($A307,'[AQ_2024.xlsx]原始数据'!$A:$A,0)),""))</f>
        <v/>
      </c>
      <c r="L307">
        <f>IF($A307="","",IFERROR(INDEX('[AQ_2020.xlsx]原始数据'!$D:$D,MATCH($A307,'[AQ_2020.xlsx]原始数据'!$A:$A,0)),""))</f>
        <v/>
      </c>
      <c r="M307">
        <f>IF($A307="","",IFERROR(INDEX('[AQ_2021.xlsx]原始数据'!$D:$D,MATCH($A307,'[AQ_2021.xlsx]原始数据'!$A:$A,0)),""))</f>
        <v/>
      </c>
      <c r="N307">
        <f>IF($A307="","",IFERROR(INDEX('[AQ_2022.xlsx]原始数据'!$D:$D,MATCH($A307,'[AQ_2022.xlsx]原始数据'!$A:$A,0)),""))</f>
        <v/>
      </c>
      <c r="O307">
        <f>IF($A307="","",IFERROR(INDEX('[AQ_2023.xlsx]原始数据'!$D:$D,MATCH($A307,'[AQ_2023.xlsx]原始数据'!$A:$A,0)),""))</f>
        <v/>
      </c>
      <c r="P307">
        <f>IF($A307="","",IFERROR(INDEX('[AQ_2024.xlsx]原始数据'!$D:$D,MATCH($A307,'[AQ_2024.xlsx]原始数据'!$A:$A,0)),""))</f>
        <v/>
      </c>
      <c r="Q307">
        <f>IF($A307="","",IFERROR(INDEX('[AQ_2020.xlsx]原始数据'!$E:$E,MATCH($A307,'[AQ_2020.xlsx]原始数据'!$A:$A,0)),""))</f>
        <v/>
      </c>
      <c r="R307">
        <f>IF($A307="","",IFERROR(INDEX('[AQ_2021.xlsx]原始数据'!$E:$E,MATCH($A307,'[AQ_2021.xlsx]原始数据'!$A:$A,0)),""))</f>
        <v/>
      </c>
      <c r="S307">
        <f>IF($A307="","",IFERROR(INDEX('[AQ_2022.xlsx]原始数据'!$E:$E,MATCH($A307,'[AQ_2022.xlsx]原始数据'!$A:$A,0)),""))</f>
        <v/>
      </c>
      <c r="T307">
        <f>IF($A307="","",IFERROR(INDEX('[AQ_2023.xlsx]原始数据'!$E:$E,MATCH($A307,'[AQ_2023.xlsx]原始数据'!$A:$A,0)),""))</f>
        <v/>
      </c>
      <c r="U307">
        <f>IF($A307="","",IFERROR(INDEX('[AQ_2024.xlsx]原始数据'!$E:$E,MATCH($A307,'[AQ_2024.xlsx]原始数据'!$A:$A,0)),""))</f>
        <v/>
      </c>
      <c r="V307">
        <f>IF($A307="","",IFERROR(INDEX('[AQ_2020.xlsx]原始数据'!$F:$F,MATCH($A307,'[AQ_2020.xlsx]原始数据'!$A:$A,0)),""))</f>
        <v/>
      </c>
      <c r="W307">
        <f>IF($A307="","",IFERROR(INDEX('[AQ_2021.xlsx]原始数据'!$F:$F,MATCH($A307,'[AQ_2021.xlsx]原始数据'!$A:$A,0)),""))</f>
        <v/>
      </c>
      <c r="X307">
        <f>IF($A307="","",IFERROR(INDEX('[AQ_2022.xlsx]原始数据'!$F:$F,MATCH($A307,'[AQ_2022.xlsx]原始数据'!$A:$A,0)),""))</f>
        <v/>
      </c>
      <c r="Y307">
        <f>IF($A307="","",IFERROR(INDEX('[AQ_2023.xlsx]原始数据'!$F:$F,MATCH($A307,'[AQ_2023.xlsx]原始数据'!$A:$A,0)),""))</f>
        <v/>
      </c>
      <c r="Z307">
        <f>IF($A307="","",IFERROR(INDEX('[AQ_2024.xlsx]原始数据'!$F:$F,MATCH($A307,'[AQ_2024.xlsx]原始数据'!$A:$A,0)),""))</f>
        <v/>
      </c>
      <c r="AA307" s="2">
        <f>IFERROR(G307/B307,"")</f>
        <v/>
      </c>
      <c r="AB307" s="2">
        <f>IFERROR(H307/C307,"")</f>
        <v/>
      </c>
      <c r="AC307" s="2">
        <f>IFERROR(I307/D307,"")</f>
        <v/>
      </c>
      <c r="AD307" s="2">
        <f>IFERROR(J307/E307,"")</f>
        <v/>
      </c>
      <c r="AE307" s="2">
        <f>IFERROR(K307/F307,"")</f>
        <v/>
      </c>
      <c r="AF307" s="2">
        <f>IFERROR(L307/B307,"")</f>
        <v/>
      </c>
      <c r="AG307" s="2">
        <f>IFERROR(M307/C307,"")</f>
        <v/>
      </c>
      <c r="AH307" s="2">
        <f>IFERROR(N307/D307,"")</f>
        <v/>
      </c>
      <c r="AI307" s="2">
        <f>IFERROR(O307/E307,"")</f>
        <v/>
      </c>
      <c r="AJ307" s="2">
        <f>IFERROR(P307/F307,"")</f>
        <v/>
      </c>
      <c r="AK307" s="2">
        <f>IFERROR(Q307/B307,"")</f>
        <v/>
      </c>
      <c r="AL307" s="2">
        <f>IFERROR(R307/C307,"")</f>
        <v/>
      </c>
      <c r="AM307" s="2">
        <f>IFERROR(S307/D307,"")</f>
        <v/>
      </c>
      <c r="AN307" s="2">
        <f>IFERROR(T307/E307,"")</f>
        <v/>
      </c>
      <c r="AO307" s="2">
        <f>IFERROR(U307/F307,"")</f>
        <v/>
      </c>
    </row>
    <row r="308">
      <c r="B308">
        <f>IF($A308="","",IFERROR(INDEX('[AQ_2020.xlsx]原始数据'!$B:$B,MATCH($A308,'[AQ_2020.xlsx]原始数据'!$A:$A,0)),""))</f>
        <v/>
      </c>
      <c r="C308">
        <f>IF($A308="","",IFERROR(INDEX('[AQ_2021.xlsx]原始数据'!$B:$B,MATCH($A308,'[AQ_2021.xlsx]原始数据'!$A:$A,0)),""))</f>
        <v/>
      </c>
      <c r="D308">
        <f>IF($A308="","",IFERROR(INDEX('[AQ_2022.xlsx]原始数据'!$B:$B,MATCH($A308,'[AQ_2022.xlsx]原始数据'!$A:$A,0)),""))</f>
        <v/>
      </c>
      <c r="E308">
        <f>IF($A308="","",IFERROR(INDEX('[AQ_2023.xlsx]原始数据'!$B:$B,MATCH($A308,'[AQ_2023.xlsx]原始数据'!$A:$A,0)),""))</f>
        <v/>
      </c>
      <c r="F308">
        <f>IF($A308="","",IFERROR(INDEX('[AQ_2024.xlsx]原始数据'!$B:$B,MATCH($A308,'[AQ_2024.xlsx]原始数据'!$A:$A,0)),""))</f>
        <v/>
      </c>
      <c r="G308">
        <f>IF($A308="","",IFERROR(INDEX('[AQ_2020.xlsx]原始数据'!$C:$C,MATCH($A308,'[AQ_2020.xlsx]原始数据'!$A:$A,0)),""))</f>
        <v/>
      </c>
      <c r="H308">
        <f>IF($A308="","",IFERROR(INDEX('[AQ_2021.xlsx]原始数据'!$C:$C,MATCH($A308,'[AQ_2021.xlsx]原始数据'!$A:$A,0)),""))</f>
        <v/>
      </c>
      <c r="I308">
        <f>IF($A308="","",IFERROR(INDEX('[AQ_2022.xlsx]原始数据'!$C:$C,MATCH($A308,'[AQ_2022.xlsx]原始数据'!$A:$A,0)),""))</f>
        <v/>
      </c>
      <c r="J308">
        <f>IF($A308="","",IFERROR(INDEX('[AQ_2023.xlsx]原始数据'!$C:$C,MATCH($A308,'[AQ_2023.xlsx]原始数据'!$A:$A,0)),""))</f>
        <v/>
      </c>
      <c r="K308">
        <f>IF($A308="","",IFERROR(INDEX('[AQ_2024.xlsx]原始数据'!$C:$C,MATCH($A308,'[AQ_2024.xlsx]原始数据'!$A:$A,0)),""))</f>
        <v/>
      </c>
      <c r="L308">
        <f>IF($A308="","",IFERROR(INDEX('[AQ_2020.xlsx]原始数据'!$D:$D,MATCH($A308,'[AQ_2020.xlsx]原始数据'!$A:$A,0)),""))</f>
        <v/>
      </c>
      <c r="M308">
        <f>IF($A308="","",IFERROR(INDEX('[AQ_2021.xlsx]原始数据'!$D:$D,MATCH($A308,'[AQ_2021.xlsx]原始数据'!$A:$A,0)),""))</f>
        <v/>
      </c>
      <c r="N308">
        <f>IF($A308="","",IFERROR(INDEX('[AQ_2022.xlsx]原始数据'!$D:$D,MATCH($A308,'[AQ_2022.xlsx]原始数据'!$A:$A,0)),""))</f>
        <v/>
      </c>
      <c r="O308">
        <f>IF($A308="","",IFERROR(INDEX('[AQ_2023.xlsx]原始数据'!$D:$D,MATCH($A308,'[AQ_2023.xlsx]原始数据'!$A:$A,0)),""))</f>
        <v/>
      </c>
      <c r="P308">
        <f>IF($A308="","",IFERROR(INDEX('[AQ_2024.xlsx]原始数据'!$D:$D,MATCH($A308,'[AQ_2024.xlsx]原始数据'!$A:$A,0)),""))</f>
        <v/>
      </c>
      <c r="Q308">
        <f>IF($A308="","",IFERROR(INDEX('[AQ_2020.xlsx]原始数据'!$E:$E,MATCH($A308,'[AQ_2020.xlsx]原始数据'!$A:$A,0)),""))</f>
        <v/>
      </c>
      <c r="R308">
        <f>IF($A308="","",IFERROR(INDEX('[AQ_2021.xlsx]原始数据'!$E:$E,MATCH($A308,'[AQ_2021.xlsx]原始数据'!$A:$A,0)),""))</f>
        <v/>
      </c>
      <c r="S308">
        <f>IF($A308="","",IFERROR(INDEX('[AQ_2022.xlsx]原始数据'!$E:$E,MATCH($A308,'[AQ_2022.xlsx]原始数据'!$A:$A,0)),""))</f>
        <v/>
      </c>
      <c r="T308">
        <f>IF($A308="","",IFERROR(INDEX('[AQ_2023.xlsx]原始数据'!$E:$E,MATCH($A308,'[AQ_2023.xlsx]原始数据'!$A:$A,0)),""))</f>
        <v/>
      </c>
      <c r="U308">
        <f>IF($A308="","",IFERROR(INDEX('[AQ_2024.xlsx]原始数据'!$E:$E,MATCH($A308,'[AQ_2024.xlsx]原始数据'!$A:$A,0)),""))</f>
        <v/>
      </c>
      <c r="V308">
        <f>IF($A308="","",IFERROR(INDEX('[AQ_2020.xlsx]原始数据'!$F:$F,MATCH($A308,'[AQ_2020.xlsx]原始数据'!$A:$A,0)),""))</f>
        <v/>
      </c>
      <c r="W308">
        <f>IF($A308="","",IFERROR(INDEX('[AQ_2021.xlsx]原始数据'!$F:$F,MATCH($A308,'[AQ_2021.xlsx]原始数据'!$A:$A,0)),""))</f>
        <v/>
      </c>
      <c r="X308">
        <f>IF($A308="","",IFERROR(INDEX('[AQ_2022.xlsx]原始数据'!$F:$F,MATCH($A308,'[AQ_2022.xlsx]原始数据'!$A:$A,0)),""))</f>
        <v/>
      </c>
      <c r="Y308">
        <f>IF($A308="","",IFERROR(INDEX('[AQ_2023.xlsx]原始数据'!$F:$F,MATCH($A308,'[AQ_2023.xlsx]原始数据'!$A:$A,0)),""))</f>
        <v/>
      </c>
      <c r="Z308">
        <f>IF($A308="","",IFERROR(INDEX('[AQ_2024.xlsx]原始数据'!$F:$F,MATCH($A308,'[AQ_2024.xlsx]原始数据'!$A:$A,0)),""))</f>
        <v/>
      </c>
      <c r="AA308" s="2">
        <f>IFERROR(G308/B308,"")</f>
        <v/>
      </c>
      <c r="AB308" s="2">
        <f>IFERROR(H308/C308,"")</f>
        <v/>
      </c>
      <c r="AC308" s="2">
        <f>IFERROR(I308/D308,"")</f>
        <v/>
      </c>
      <c r="AD308" s="2">
        <f>IFERROR(J308/E308,"")</f>
        <v/>
      </c>
      <c r="AE308" s="2">
        <f>IFERROR(K308/F308,"")</f>
        <v/>
      </c>
      <c r="AF308" s="2">
        <f>IFERROR(L308/B308,"")</f>
        <v/>
      </c>
      <c r="AG308" s="2">
        <f>IFERROR(M308/C308,"")</f>
        <v/>
      </c>
      <c r="AH308" s="2">
        <f>IFERROR(N308/D308,"")</f>
        <v/>
      </c>
      <c r="AI308" s="2">
        <f>IFERROR(O308/E308,"")</f>
        <v/>
      </c>
      <c r="AJ308" s="2">
        <f>IFERROR(P308/F308,"")</f>
        <v/>
      </c>
      <c r="AK308" s="2">
        <f>IFERROR(Q308/B308,"")</f>
        <v/>
      </c>
      <c r="AL308" s="2">
        <f>IFERROR(R308/C308,"")</f>
        <v/>
      </c>
      <c r="AM308" s="2">
        <f>IFERROR(S308/D308,"")</f>
        <v/>
      </c>
      <c r="AN308" s="2">
        <f>IFERROR(T308/E308,"")</f>
        <v/>
      </c>
      <c r="AO308" s="2">
        <f>IFERROR(U308/F308,"")</f>
        <v/>
      </c>
    </row>
    <row r="309">
      <c r="B309">
        <f>IF($A309="","",IFERROR(INDEX('[AQ_2020.xlsx]原始数据'!$B:$B,MATCH($A309,'[AQ_2020.xlsx]原始数据'!$A:$A,0)),""))</f>
        <v/>
      </c>
      <c r="C309">
        <f>IF($A309="","",IFERROR(INDEX('[AQ_2021.xlsx]原始数据'!$B:$B,MATCH($A309,'[AQ_2021.xlsx]原始数据'!$A:$A,0)),""))</f>
        <v/>
      </c>
      <c r="D309">
        <f>IF($A309="","",IFERROR(INDEX('[AQ_2022.xlsx]原始数据'!$B:$B,MATCH($A309,'[AQ_2022.xlsx]原始数据'!$A:$A,0)),""))</f>
        <v/>
      </c>
      <c r="E309">
        <f>IF($A309="","",IFERROR(INDEX('[AQ_2023.xlsx]原始数据'!$B:$B,MATCH($A309,'[AQ_2023.xlsx]原始数据'!$A:$A,0)),""))</f>
        <v/>
      </c>
      <c r="F309">
        <f>IF($A309="","",IFERROR(INDEX('[AQ_2024.xlsx]原始数据'!$B:$B,MATCH($A309,'[AQ_2024.xlsx]原始数据'!$A:$A,0)),""))</f>
        <v/>
      </c>
      <c r="G309">
        <f>IF($A309="","",IFERROR(INDEX('[AQ_2020.xlsx]原始数据'!$C:$C,MATCH($A309,'[AQ_2020.xlsx]原始数据'!$A:$A,0)),""))</f>
        <v/>
      </c>
      <c r="H309">
        <f>IF($A309="","",IFERROR(INDEX('[AQ_2021.xlsx]原始数据'!$C:$C,MATCH($A309,'[AQ_2021.xlsx]原始数据'!$A:$A,0)),""))</f>
        <v/>
      </c>
      <c r="I309">
        <f>IF($A309="","",IFERROR(INDEX('[AQ_2022.xlsx]原始数据'!$C:$C,MATCH($A309,'[AQ_2022.xlsx]原始数据'!$A:$A,0)),""))</f>
        <v/>
      </c>
      <c r="J309">
        <f>IF($A309="","",IFERROR(INDEX('[AQ_2023.xlsx]原始数据'!$C:$C,MATCH($A309,'[AQ_2023.xlsx]原始数据'!$A:$A,0)),""))</f>
        <v/>
      </c>
      <c r="K309">
        <f>IF($A309="","",IFERROR(INDEX('[AQ_2024.xlsx]原始数据'!$C:$C,MATCH($A309,'[AQ_2024.xlsx]原始数据'!$A:$A,0)),""))</f>
        <v/>
      </c>
      <c r="L309">
        <f>IF($A309="","",IFERROR(INDEX('[AQ_2020.xlsx]原始数据'!$D:$D,MATCH($A309,'[AQ_2020.xlsx]原始数据'!$A:$A,0)),""))</f>
        <v/>
      </c>
      <c r="M309">
        <f>IF($A309="","",IFERROR(INDEX('[AQ_2021.xlsx]原始数据'!$D:$D,MATCH($A309,'[AQ_2021.xlsx]原始数据'!$A:$A,0)),""))</f>
        <v/>
      </c>
      <c r="N309">
        <f>IF($A309="","",IFERROR(INDEX('[AQ_2022.xlsx]原始数据'!$D:$D,MATCH($A309,'[AQ_2022.xlsx]原始数据'!$A:$A,0)),""))</f>
        <v/>
      </c>
      <c r="O309">
        <f>IF($A309="","",IFERROR(INDEX('[AQ_2023.xlsx]原始数据'!$D:$D,MATCH($A309,'[AQ_2023.xlsx]原始数据'!$A:$A,0)),""))</f>
        <v/>
      </c>
      <c r="P309">
        <f>IF($A309="","",IFERROR(INDEX('[AQ_2024.xlsx]原始数据'!$D:$D,MATCH($A309,'[AQ_2024.xlsx]原始数据'!$A:$A,0)),""))</f>
        <v/>
      </c>
      <c r="Q309">
        <f>IF($A309="","",IFERROR(INDEX('[AQ_2020.xlsx]原始数据'!$E:$E,MATCH($A309,'[AQ_2020.xlsx]原始数据'!$A:$A,0)),""))</f>
        <v/>
      </c>
      <c r="R309">
        <f>IF($A309="","",IFERROR(INDEX('[AQ_2021.xlsx]原始数据'!$E:$E,MATCH($A309,'[AQ_2021.xlsx]原始数据'!$A:$A,0)),""))</f>
        <v/>
      </c>
      <c r="S309">
        <f>IF($A309="","",IFERROR(INDEX('[AQ_2022.xlsx]原始数据'!$E:$E,MATCH($A309,'[AQ_2022.xlsx]原始数据'!$A:$A,0)),""))</f>
        <v/>
      </c>
      <c r="T309">
        <f>IF($A309="","",IFERROR(INDEX('[AQ_2023.xlsx]原始数据'!$E:$E,MATCH($A309,'[AQ_2023.xlsx]原始数据'!$A:$A,0)),""))</f>
        <v/>
      </c>
      <c r="U309">
        <f>IF($A309="","",IFERROR(INDEX('[AQ_2024.xlsx]原始数据'!$E:$E,MATCH($A309,'[AQ_2024.xlsx]原始数据'!$A:$A,0)),""))</f>
        <v/>
      </c>
      <c r="V309">
        <f>IF($A309="","",IFERROR(INDEX('[AQ_2020.xlsx]原始数据'!$F:$F,MATCH($A309,'[AQ_2020.xlsx]原始数据'!$A:$A,0)),""))</f>
        <v/>
      </c>
      <c r="W309">
        <f>IF($A309="","",IFERROR(INDEX('[AQ_2021.xlsx]原始数据'!$F:$F,MATCH($A309,'[AQ_2021.xlsx]原始数据'!$A:$A,0)),""))</f>
        <v/>
      </c>
      <c r="X309">
        <f>IF($A309="","",IFERROR(INDEX('[AQ_2022.xlsx]原始数据'!$F:$F,MATCH($A309,'[AQ_2022.xlsx]原始数据'!$A:$A,0)),""))</f>
        <v/>
      </c>
      <c r="Y309">
        <f>IF($A309="","",IFERROR(INDEX('[AQ_2023.xlsx]原始数据'!$F:$F,MATCH($A309,'[AQ_2023.xlsx]原始数据'!$A:$A,0)),""))</f>
        <v/>
      </c>
      <c r="Z309">
        <f>IF($A309="","",IFERROR(INDEX('[AQ_2024.xlsx]原始数据'!$F:$F,MATCH($A309,'[AQ_2024.xlsx]原始数据'!$A:$A,0)),""))</f>
        <v/>
      </c>
      <c r="AA309" s="2">
        <f>IFERROR(G309/B309,"")</f>
        <v/>
      </c>
      <c r="AB309" s="2">
        <f>IFERROR(H309/C309,"")</f>
        <v/>
      </c>
      <c r="AC309" s="2">
        <f>IFERROR(I309/D309,"")</f>
        <v/>
      </c>
      <c r="AD309" s="2">
        <f>IFERROR(J309/E309,"")</f>
        <v/>
      </c>
      <c r="AE309" s="2">
        <f>IFERROR(K309/F309,"")</f>
        <v/>
      </c>
      <c r="AF309" s="2">
        <f>IFERROR(L309/B309,"")</f>
        <v/>
      </c>
      <c r="AG309" s="2">
        <f>IFERROR(M309/C309,"")</f>
        <v/>
      </c>
      <c r="AH309" s="2">
        <f>IFERROR(N309/D309,"")</f>
        <v/>
      </c>
      <c r="AI309" s="2">
        <f>IFERROR(O309/E309,"")</f>
        <v/>
      </c>
      <c r="AJ309" s="2">
        <f>IFERROR(P309/F309,"")</f>
        <v/>
      </c>
      <c r="AK309" s="2">
        <f>IFERROR(Q309/B309,"")</f>
        <v/>
      </c>
      <c r="AL309" s="2">
        <f>IFERROR(R309/C309,"")</f>
        <v/>
      </c>
      <c r="AM309" s="2">
        <f>IFERROR(S309/D309,"")</f>
        <v/>
      </c>
      <c r="AN309" s="2">
        <f>IFERROR(T309/E309,"")</f>
        <v/>
      </c>
      <c r="AO309" s="2">
        <f>IFERROR(U309/F309,"")</f>
        <v/>
      </c>
    </row>
    <row r="310">
      <c r="B310">
        <f>IF($A310="","",IFERROR(INDEX('[AQ_2020.xlsx]原始数据'!$B:$B,MATCH($A310,'[AQ_2020.xlsx]原始数据'!$A:$A,0)),""))</f>
        <v/>
      </c>
      <c r="C310">
        <f>IF($A310="","",IFERROR(INDEX('[AQ_2021.xlsx]原始数据'!$B:$B,MATCH($A310,'[AQ_2021.xlsx]原始数据'!$A:$A,0)),""))</f>
        <v/>
      </c>
      <c r="D310">
        <f>IF($A310="","",IFERROR(INDEX('[AQ_2022.xlsx]原始数据'!$B:$B,MATCH($A310,'[AQ_2022.xlsx]原始数据'!$A:$A,0)),""))</f>
        <v/>
      </c>
      <c r="E310">
        <f>IF($A310="","",IFERROR(INDEX('[AQ_2023.xlsx]原始数据'!$B:$B,MATCH($A310,'[AQ_2023.xlsx]原始数据'!$A:$A,0)),""))</f>
        <v/>
      </c>
      <c r="F310">
        <f>IF($A310="","",IFERROR(INDEX('[AQ_2024.xlsx]原始数据'!$B:$B,MATCH($A310,'[AQ_2024.xlsx]原始数据'!$A:$A,0)),""))</f>
        <v/>
      </c>
      <c r="G310">
        <f>IF($A310="","",IFERROR(INDEX('[AQ_2020.xlsx]原始数据'!$C:$C,MATCH($A310,'[AQ_2020.xlsx]原始数据'!$A:$A,0)),""))</f>
        <v/>
      </c>
      <c r="H310">
        <f>IF($A310="","",IFERROR(INDEX('[AQ_2021.xlsx]原始数据'!$C:$C,MATCH($A310,'[AQ_2021.xlsx]原始数据'!$A:$A,0)),""))</f>
        <v/>
      </c>
      <c r="I310">
        <f>IF($A310="","",IFERROR(INDEX('[AQ_2022.xlsx]原始数据'!$C:$C,MATCH($A310,'[AQ_2022.xlsx]原始数据'!$A:$A,0)),""))</f>
        <v/>
      </c>
      <c r="J310">
        <f>IF($A310="","",IFERROR(INDEX('[AQ_2023.xlsx]原始数据'!$C:$C,MATCH($A310,'[AQ_2023.xlsx]原始数据'!$A:$A,0)),""))</f>
        <v/>
      </c>
      <c r="K310">
        <f>IF($A310="","",IFERROR(INDEX('[AQ_2024.xlsx]原始数据'!$C:$C,MATCH($A310,'[AQ_2024.xlsx]原始数据'!$A:$A,0)),""))</f>
        <v/>
      </c>
      <c r="L310">
        <f>IF($A310="","",IFERROR(INDEX('[AQ_2020.xlsx]原始数据'!$D:$D,MATCH($A310,'[AQ_2020.xlsx]原始数据'!$A:$A,0)),""))</f>
        <v/>
      </c>
      <c r="M310">
        <f>IF($A310="","",IFERROR(INDEX('[AQ_2021.xlsx]原始数据'!$D:$D,MATCH($A310,'[AQ_2021.xlsx]原始数据'!$A:$A,0)),""))</f>
        <v/>
      </c>
      <c r="N310">
        <f>IF($A310="","",IFERROR(INDEX('[AQ_2022.xlsx]原始数据'!$D:$D,MATCH($A310,'[AQ_2022.xlsx]原始数据'!$A:$A,0)),""))</f>
        <v/>
      </c>
      <c r="O310">
        <f>IF($A310="","",IFERROR(INDEX('[AQ_2023.xlsx]原始数据'!$D:$D,MATCH($A310,'[AQ_2023.xlsx]原始数据'!$A:$A,0)),""))</f>
        <v/>
      </c>
      <c r="P310">
        <f>IF($A310="","",IFERROR(INDEX('[AQ_2024.xlsx]原始数据'!$D:$D,MATCH($A310,'[AQ_2024.xlsx]原始数据'!$A:$A,0)),""))</f>
        <v/>
      </c>
      <c r="Q310">
        <f>IF($A310="","",IFERROR(INDEX('[AQ_2020.xlsx]原始数据'!$E:$E,MATCH($A310,'[AQ_2020.xlsx]原始数据'!$A:$A,0)),""))</f>
        <v/>
      </c>
      <c r="R310">
        <f>IF($A310="","",IFERROR(INDEX('[AQ_2021.xlsx]原始数据'!$E:$E,MATCH($A310,'[AQ_2021.xlsx]原始数据'!$A:$A,0)),""))</f>
        <v/>
      </c>
      <c r="S310">
        <f>IF($A310="","",IFERROR(INDEX('[AQ_2022.xlsx]原始数据'!$E:$E,MATCH($A310,'[AQ_2022.xlsx]原始数据'!$A:$A,0)),""))</f>
        <v/>
      </c>
      <c r="T310">
        <f>IF($A310="","",IFERROR(INDEX('[AQ_2023.xlsx]原始数据'!$E:$E,MATCH($A310,'[AQ_2023.xlsx]原始数据'!$A:$A,0)),""))</f>
        <v/>
      </c>
      <c r="U310">
        <f>IF($A310="","",IFERROR(INDEX('[AQ_2024.xlsx]原始数据'!$E:$E,MATCH($A310,'[AQ_2024.xlsx]原始数据'!$A:$A,0)),""))</f>
        <v/>
      </c>
      <c r="V310">
        <f>IF($A310="","",IFERROR(INDEX('[AQ_2020.xlsx]原始数据'!$F:$F,MATCH($A310,'[AQ_2020.xlsx]原始数据'!$A:$A,0)),""))</f>
        <v/>
      </c>
      <c r="W310">
        <f>IF($A310="","",IFERROR(INDEX('[AQ_2021.xlsx]原始数据'!$F:$F,MATCH($A310,'[AQ_2021.xlsx]原始数据'!$A:$A,0)),""))</f>
        <v/>
      </c>
      <c r="X310">
        <f>IF($A310="","",IFERROR(INDEX('[AQ_2022.xlsx]原始数据'!$F:$F,MATCH($A310,'[AQ_2022.xlsx]原始数据'!$A:$A,0)),""))</f>
        <v/>
      </c>
      <c r="Y310">
        <f>IF($A310="","",IFERROR(INDEX('[AQ_2023.xlsx]原始数据'!$F:$F,MATCH($A310,'[AQ_2023.xlsx]原始数据'!$A:$A,0)),""))</f>
        <v/>
      </c>
      <c r="Z310">
        <f>IF($A310="","",IFERROR(INDEX('[AQ_2024.xlsx]原始数据'!$F:$F,MATCH($A310,'[AQ_2024.xlsx]原始数据'!$A:$A,0)),""))</f>
        <v/>
      </c>
      <c r="AA310" s="2">
        <f>IFERROR(G310/B310,"")</f>
        <v/>
      </c>
      <c r="AB310" s="2">
        <f>IFERROR(H310/C310,"")</f>
        <v/>
      </c>
      <c r="AC310" s="2">
        <f>IFERROR(I310/D310,"")</f>
        <v/>
      </c>
      <c r="AD310" s="2">
        <f>IFERROR(J310/E310,"")</f>
        <v/>
      </c>
      <c r="AE310" s="2">
        <f>IFERROR(K310/F310,"")</f>
        <v/>
      </c>
      <c r="AF310" s="2">
        <f>IFERROR(L310/B310,"")</f>
        <v/>
      </c>
      <c r="AG310" s="2">
        <f>IFERROR(M310/C310,"")</f>
        <v/>
      </c>
      <c r="AH310" s="2">
        <f>IFERROR(N310/D310,"")</f>
        <v/>
      </c>
      <c r="AI310" s="2">
        <f>IFERROR(O310/E310,"")</f>
        <v/>
      </c>
      <c r="AJ310" s="2">
        <f>IFERROR(P310/F310,"")</f>
        <v/>
      </c>
      <c r="AK310" s="2">
        <f>IFERROR(Q310/B310,"")</f>
        <v/>
      </c>
      <c r="AL310" s="2">
        <f>IFERROR(R310/C310,"")</f>
        <v/>
      </c>
      <c r="AM310" s="2">
        <f>IFERROR(S310/D310,"")</f>
        <v/>
      </c>
      <c r="AN310" s="2">
        <f>IFERROR(T310/E310,"")</f>
        <v/>
      </c>
      <c r="AO310" s="2">
        <f>IFERROR(U310/F310,"")</f>
        <v/>
      </c>
    </row>
    <row r="311">
      <c r="B311">
        <f>IF($A311="","",IFERROR(INDEX('[AQ_2020.xlsx]原始数据'!$B:$B,MATCH($A311,'[AQ_2020.xlsx]原始数据'!$A:$A,0)),""))</f>
        <v/>
      </c>
      <c r="C311">
        <f>IF($A311="","",IFERROR(INDEX('[AQ_2021.xlsx]原始数据'!$B:$B,MATCH($A311,'[AQ_2021.xlsx]原始数据'!$A:$A,0)),""))</f>
        <v/>
      </c>
      <c r="D311">
        <f>IF($A311="","",IFERROR(INDEX('[AQ_2022.xlsx]原始数据'!$B:$B,MATCH($A311,'[AQ_2022.xlsx]原始数据'!$A:$A,0)),""))</f>
        <v/>
      </c>
      <c r="E311">
        <f>IF($A311="","",IFERROR(INDEX('[AQ_2023.xlsx]原始数据'!$B:$B,MATCH($A311,'[AQ_2023.xlsx]原始数据'!$A:$A,0)),""))</f>
        <v/>
      </c>
      <c r="F311">
        <f>IF($A311="","",IFERROR(INDEX('[AQ_2024.xlsx]原始数据'!$B:$B,MATCH($A311,'[AQ_2024.xlsx]原始数据'!$A:$A,0)),""))</f>
        <v/>
      </c>
      <c r="G311">
        <f>IF($A311="","",IFERROR(INDEX('[AQ_2020.xlsx]原始数据'!$C:$C,MATCH($A311,'[AQ_2020.xlsx]原始数据'!$A:$A,0)),""))</f>
        <v/>
      </c>
      <c r="H311">
        <f>IF($A311="","",IFERROR(INDEX('[AQ_2021.xlsx]原始数据'!$C:$C,MATCH($A311,'[AQ_2021.xlsx]原始数据'!$A:$A,0)),""))</f>
        <v/>
      </c>
      <c r="I311">
        <f>IF($A311="","",IFERROR(INDEX('[AQ_2022.xlsx]原始数据'!$C:$C,MATCH($A311,'[AQ_2022.xlsx]原始数据'!$A:$A,0)),""))</f>
        <v/>
      </c>
      <c r="J311">
        <f>IF($A311="","",IFERROR(INDEX('[AQ_2023.xlsx]原始数据'!$C:$C,MATCH($A311,'[AQ_2023.xlsx]原始数据'!$A:$A,0)),""))</f>
        <v/>
      </c>
      <c r="K311">
        <f>IF($A311="","",IFERROR(INDEX('[AQ_2024.xlsx]原始数据'!$C:$C,MATCH($A311,'[AQ_2024.xlsx]原始数据'!$A:$A,0)),""))</f>
        <v/>
      </c>
      <c r="L311">
        <f>IF($A311="","",IFERROR(INDEX('[AQ_2020.xlsx]原始数据'!$D:$D,MATCH($A311,'[AQ_2020.xlsx]原始数据'!$A:$A,0)),""))</f>
        <v/>
      </c>
      <c r="M311">
        <f>IF($A311="","",IFERROR(INDEX('[AQ_2021.xlsx]原始数据'!$D:$D,MATCH($A311,'[AQ_2021.xlsx]原始数据'!$A:$A,0)),""))</f>
        <v/>
      </c>
      <c r="N311">
        <f>IF($A311="","",IFERROR(INDEX('[AQ_2022.xlsx]原始数据'!$D:$D,MATCH($A311,'[AQ_2022.xlsx]原始数据'!$A:$A,0)),""))</f>
        <v/>
      </c>
      <c r="O311">
        <f>IF($A311="","",IFERROR(INDEX('[AQ_2023.xlsx]原始数据'!$D:$D,MATCH($A311,'[AQ_2023.xlsx]原始数据'!$A:$A,0)),""))</f>
        <v/>
      </c>
      <c r="P311">
        <f>IF($A311="","",IFERROR(INDEX('[AQ_2024.xlsx]原始数据'!$D:$D,MATCH($A311,'[AQ_2024.xlsx]原始数据'!$A:$A,0)),""))</f>
        <v/>
      </c>
      <c r="Q311">
        <f>IF($A311="","",IFERROR(INDEX('[AQ_2020.xlsx]原始数据'!$E:$E,MATCH($A311,'[AQ_2020.xlsx]原始数据'!$A:$A,0)),""))</f>
        <v/>
      </c>
      <c r="R311">
        <f>IF($A311="","",IFERROR(INDEX('[AQ_2021.xlsx]原始数据'!$E:$E,MATCH($A311,'[AQ_2021.xlsx]原始数据'!$A:$A,0)),""))</f>
        <v/>
      </c>
      <c r="S311">
        <f>IF($A311="","",IFERROR(INDEX('[AQ_2022.xlsx]原始数据'!$E:$E,MATCH($A311,'[AQ_2022.xlsx]原始数据'!$A:$A,0)),""))</f>
        <v/>
      </c>
      <c r="T311">
        <f>IF($A311="","",IFERROR(INDEX('[AQ_2023.xlsx]原始数据'!$E:$E,MATCH($A311,'[AQ_2023.xlsx]原始数据'!$A:$A,0)),""))</f>
        <v/>
      </c>
      <c r="U311">
        <f>IF($A311="","",IFERROR(INDEX('[AQ_2024.xlsx]原始数据'!$E:$E,MATCH($A311,'[AQ_2024.xlsx]原始数据'!$A:$A,0)),""))</f>
        <v/>
      </c>
      <c r="V311">
        <f>IF($A311="","",IFERROR(INDEX('[AQ_2020.xlsx]原始数据'!$F:$F,MATCH($A311,'[AQ_2020.xlsx]原始数据'!$A:$A,0)),""))</f>
        <v/>
      </c>
      <c r="W311">
        <f>IF($A311="","",IFERROR(INDEX('[AQ_2021.xlsx]原始数据'!$F:$F,MATCH($A311,'[AQ_2021.xlsx]原始数据'!$A:$A,0)),""))</f>
        <v/>
      </c>
      <c r="X311">
        <f>IF($A311="","",IFERROR(INDEX('[AQ_2022.xlsx]原始数据'!$F:$F,MATCH($A311,'[AQ_2022.xlsx]原始数据'!$A:$A,0)),""))</f>
        <v/>
      </c>
      <c r="Y311">
        <f>IF($A311="","",IFERROR(INDEX('[AQ_2023.xlsx]原始数据'!$F:$F,MATCH($A311,'[AQ_2023.xlsx]原始数据'!$A:$A,0)),""))</f>
        <v/>
      </c>
      <c r="Z311">
        <f>IF($A311="","",IFERROR(INDEX('[AQ_2024.xlsx]原始数据'!$F:$F,MATCH($A311,'[AQ_2024.xlsx]原始数据'!$A:$A,0)),""))</f>
        <v/>
      </c>
      <c r="AA311" s="2">
        <f>IFERROR(G311/B311,"")</f>
        <v/>
      </c>
      <c r="AB311" s="2">
        <f>IFERROR(H311/C311,"")</f>
        <v/>
      </c>
      <c r="AC311" s="2">
        <f>IFERROR(I311/D311,"")</f>
        <v/>
      </c>
      <c r="AD311" s="2">
        <f>IFERROR(J311/E311,"")</f>
        <v/>
      </c>
      <c r="AE311" s="2">
        <f>IFERROR(K311/F311,"")</f>
        <v/>
      </c>
      <c r="AF311" s="2">
        <f>IFERROR(L311/B311,"")</f>
        <v/>
      </c>
      <c r="AG311" s="2">
        <f>IFERROR(M311/C311,"")</f>
        <v/>
      </c>
      <c r="AH311" s="2">
        <f>IFERROR(N311/D311,"")</f>
        <v/>
      </c>
      <c r="AI311" s="2">
        <f>IFERROR(O311/E311,"")</f>
        <v/>
      </c>
      <c r="AJ311" s="2">
        <f>IFERROR(P311/F311,"")</f>
        <v/>
      </c>
      <c r="AK311" s="2">
        <f>IFERROR(Q311/B311,"")</f>
        <v/>
      </c>
      <c r="AL311" s="2">
        <f>IFERROR(R311/C311,"")</f>
        <v/>
      </c>
      <c r="AM311" s="2">
        <f>IFERROR(S311/D311,"")</f>
        <v/>
      </c>
      <c r="AN311" s="2">
        <f>IFERROR(T311/E311,"")</f>
        <v/>
      </c>
      <c r="AO311" s="2">
        <f>IFERROR(U311/F311,"")</f>
        <v/>
      </c>
    </row>
    <row r="312">
      <c r="B312">
        <f>IF($A312="","",IFERROR(INDEX('[AQ_2020.xlsx]原始数据'!$B:$B,MATCH($A312,'[AQ_2020.xlsx]原始数据'!$A:$A,0)),""))</f>
        <v/>
      </c>
      <c r="C312">
        <f>IF($A312="","",IFERROR(INDEX('[AQ_2021.xlsx]原始数据'!$B:$B,MATCH($A312,'[AQ_2021.xlsx]原始数据'!$A:$A,0)),""))</f>
        <v/>
      </c>
      <c r="D312">
        <f>IF($A312="","",IFERROR(INDEX('[AQ_2022.xlsx]原始数据'!$B:$B,MATCH($A312,'[AQ_2022.xlsx]原始数据'!$A:$A,0)),""))</f>
        <v/>
      </c>
      <c r="E312">
        <f>IF($A312="","",IFERROR(INDEX('[AQ_2023.xlsx]原始数据'!$B:$B,MATCH($A312,'[AQ_2023.xlsx]原始数据'!$A:$A,0)),""))</f>
        <v/>
      </c>
      <c r="F312">
        <f>IF($A312="","",IFERROR(INDEX('[AQ_2024.xlsx]原始数据'!$B:$B,MATCH($A312,'[AQ_2024.xlsx]原始数据'!$A:$A,0)),""))</f>
        <v/>
      </c>
      <c r="G312">
        <f>IF($A312="","",IFERROR(INDEX('[AQ_2020.xlsx]原始数据'!$C:$C,MATCH($A312,'[AQ_2020.xlsx]原始数据'!$A:$A,0)),""))</f>
        <v/>
      </c>
      <c r="H312">
        <f>IF($A312="","",IFERROR(INDEX('[AQ_2021.xlsx]原始数据'!$C:$C,MATCH($A312,'[AQ_2021.xlsx]原始数据'!$A:$A,0)),""))</f>
        <v/>
      </c>
      <c r="I312">
        <f>IF($A312="","",IFERROR(INDEX('[AQ_2022.xlsx]原始数据'!$C:$C,MATCH($A312,'[AQ_2022.xlsx]原始数据'!$A:$A,0)),""))</f>
        <v/>
      </c>
      <c r="J312">
        <f>IF($A312="","",IFERROR(INDEX('[AQ_2023.xlsx]原始数据'!$C:$C,MATCH($A312,'[AQ_2023.xlsx]原始数据'!$A:$A,0)),""))</f>
        <v/>
      </c>
      <c r="K312">
        <f>IF($A312="","",IFERROR(INDEX('[AQ_2024.xlsx]原始数据'!$C:$C,MATCH($A312,'[AQ_2024.xlsx]原始数据'!$A:$A,0)),""))</f>
        <v/>
      </c>
      <c r="L312">
        <f>IF($A312="","",IFERROR(INDEX('[AQ_2020.xlsx]原始数据'!$D:$D,MATCH($A312,'[AQ_2020.xlsx]原始数据'!$A:$A,0)),""))</f>
        <v/>
      </c>
      <c r="M312">
        <f>IF($A312="","",IFERROR(INDEX('[AQ_2021.xlsx]原始数据'!$D:$D,MATCH($A312,'[AQ_2021.xlsx]原始数据'!$A:$A,0)),""))</f>
        <v/>
      </c>
      <c r="N312">
        <f>IF($A312="","",IFERROR(INDEX('[AQ_2022.xlsx]原始数据'!$D:$D,MATCH($A312,'[AQ_2022.xlsx]原始数据'!$A:$A,0)),""))</f>
        <v/>
      </c>
      <c r="O312">
        <f>IF($A312="","",IFERROR(INDEX('[AQ_2023.xlsx]原始数据'!$D:$D,MATCH($A312,'[AQ_2023.xlsx]原始数据'!$A:$A,0)),""))</f>
        <v/>
      </c>
      <c r="P312">
        <f>IF($A312="","",IFERROR(INDEX('[AQ_2024.xlsx]原始数据'!$D:$D,MATCH($A312,'[AQ_2024.xlsx]原始数据'!$A:$A,0)),""))</f>
        <v/>
      </c>
      <c r="Q312">
        <f>IF($A312="","",IFERROR(INDEX('[AQ_2020.xlsx]原始数据'!$E:$E,MATCH($A312,'[AQ_2020.xlsx]原始数据'!$A:$A,0)),""))</f>
        <v/>
      </c>
      <c r="R312">
        <f>IF($A312="","",IFERROR(INDEX('[AQ_2021.xlsx]原始数据'!$E:$E,MATCH($A312,'[AQ_2021.xlsx]原始数据'!$A:$A,0)),""))</f>
        <v/>
      </c>
      <c r="S312">
        <f>IF($A312="","",IFERROR(INDEX('[AQ_2022.xlsx]原始数据'!$E:$E,MATCH($A312,'[AQ_2022.xlsx]原始数据'!$A:$A,0)),""))</f>
        <v/>
      </c>
      <c r="T312">
        <f>IF($A312="","",IFERROR(INDEX('[AQ_2023.xlsx]原始数据'!$E:$E,MATCH($A312,'[AQ_2023.xlsx]原始数据'!$A:$A,0)),""))</f>
        <v/>
      </c>
      <c r="U312">
        <f>IF($A312="","",IFERROR(INDEX('[AQ_2024.xlsx]原始数据'!$E:$E,MATCH($A312,'[AQ_2024.xlsx]原始数据'!$A:$A,0)),""))</f>
        <v/>
      </c>
      <c r="V312">
        <f>IF($A312="","",IFERROR(INDEX('[AQ_2020.xlsx]原始数据'!$F:$F,MATCH($A312,'[AQ_2020.xlsx]原始数据'!$A:$A,0)),""))</f>
        <v/>
      </c>
      <c r="W312">
        <f>IF($A312="","",IFERROR(INDEX('[AQ_2021.xlsx]原始数据'!$F:$F,MATCH($A312,'[AQ_2021.xlsx]原始数据'!$A:$A,0)),""))</f>
        <v/>
      </c>
      <c r="X312">
        <f>IF($A312="","",IFERROR(INDEX('[AQ_2022.xlsx]原始数据'!$F:$F,MATCH($A312,'[AQ_2022.xlsx]原始数据'!$A:$A,0)),""))</f>
        <v/>
      </c>
      <c r="Y312">
        <f>IF($A312="","",IFERROR(INDEX('[AQ_2023.xlsx]原始数据'!$F:$F,MATCH($A312,'[AQ_2023.xlsx]原始数据'!$A:$A,0)),""))</f>
        <v/>
      </c>
      <c r="Z312">
        <f>IF($A312="","",IFERROR(INDEX('[AQ_2024.xlsx]原始数据'!$F:$F,MATCH($A312,'[AQ_2024.xlsx]原始数据'!$A:$A,0)),""))</f>
        <v/>
      </c>
      <c r="AA312" s="2">
        <f>IFERROR(G312/B312,"")</f>
        <v/>
      </c>
      <c r="AB312" s="2">
        <f>IFERROR(H312/C312,"")</f>
        <v/>
      </c>
      <c r="AC312" s="2">
        <f>IFERROR(I312/D312,"")</f>
        <v/>
      </c>
      <c r="AD312" s="2">
        <f>IFERROR(J312/E312,"")</f>
        <v/>
      </c>
      <c r="AE312" s="2">
        <f>IFERROR(K312/F312,"")</f>
        <v/>
      </c>
      <c r="AF312" s="2">
        <f>IFERROR(L312/B312,"")</f>
        <v/>
      </c>
      <c r="AG312" s="2">
        <f>IFERROR(M312/C312,"")</f>
        <v/>
      </c>
      <c r="AH312" s="2">
        <f>IFERROR(N312/D312,"")</f>
        <v/>
      </c>
      <c r="AI312" s="2">
        <f>IFERROR(O312/E312,"")</f>
        <v/>
      </c>
      <c r="AJ312" s="2">
        <f>IFERROR(P312/F312,"")</f>
        <v/>
      </c>
      <c r="AK312" s="2">
        <f>IFERROR(Q312/B312,"")</f>
        <v/>
      </c>
      <c r="AL312" s="2">
        <f>IFERROR(R312/C312,"")</f>
        <v/>
      </c>
      <c r="AM312" s="2">
        <f>IFERROR(S312/D312,"")</f>
        <v/>
      </c>
      <c r="AN312" s="2">
        <f>IFERROR(T312/E312,"")</f>
        <v/>
      </c>
      <c r="AO312" s="2">
        <f>IFERROR(U312/F312,"")</f>
        <v/>
      </c>
    </row>
    <row r="313">
      <c r="B313">
        <f>IF($A313="","",IFERROR(INDEX('[AQ_2020.xlsx]原始数据'!$B:$B,MATCH($A313,'[AQ_2020.xlsx]原始数据'!$A:$A,0)),""))</f>
        <v/>
      </c>
      <c r="C313">
        <f>IF($A313="","",IFERROR(INDEX('[AQ_2021.xlsx]原始数据'!$B:$B,MATCH($A313,'[AQ_2021.xlsx]原始数据'!$A:$A,0)),""))</f>
        <v/>
      </c>
      <c r="D313">
        <f>IF($A313="","",IFERROR(INDEX('[AQ_2022.xlsx]原始数据'!$B:$B,MATCH($A313,'[AQ_2022.xlsx]原始数据'!$A:$A,0)),""))</f>
        <v/>
      </c>
      <c r="E313">
        <f>IF($A313="","",IFERROR(INDEX('[AQ_2023.xlsx]原始数据'!$B:$B,MATCH($A313,'[AQ_2023.xlsx]原始数据'!$A:$A,0)),""))</f>
        <v/>
      </c>
      <c r="F313">
        <f>IF($A313="","",IFERROR(INDEX('[AQ_2024.xlsx]原始数据'!$B:$B,MATCH($A313,'[AQ_2024.xlsx]原始数据'!$A:$A,0)),""))</f>
        <v/>
      </c>
      <c r="G313">
        <f>IF($A313="","",IFERROR(INDEX('[AQ_2020.xlsx]原始数据'!$C:$C,MATCH($A313,'[AQ_2020.xlsx]原始数据'!$A:$A,0)),""))</f>
        <v/>
      </c>
      <c r="H313">
        <f>IF($A313="","",IFERROR(INDEX('[AQ_2021.xlsx]原始数据'!$C:$C,MATCH($A313,'[AQ_2021.xlsx]原始数据'!$A:$A,0)),""))</f>
        <v/>
      </c>
      <c r="I313">
        <f>IF($A313="","",IFERROR(INDEX('[AQ_2022.xlsx]原始数据'!$C:$C,MATCH($A313,'[AQ_2022.xlsx]原始数据'!$A:$A,0)),""))</f>
        <v/>
      </c>
      <c r="J313">
        <f>IF($A313="","",IFERROR(INDEX('[AQ_2023.xlsx]原始数据'!$C:$C,MATCH($A313,'[AQ_2023.xlsx]原始数据'!$A:$A,0)),""))</f>
        <v/>
      </c>
      <c r="K313">
        <f>IF($A313="","",IFERROR(INDEX('[AQ_2024.xlsx]原始数据'!$C:$C,MATCH($A313,'[AQ_2024.xlsx]原始数据'!$A:$A,0)),""))</f>
        <v/>
      </c>
      <c r="L313">
        <f>IF($A313="","",IFERROR(INDEX('[AQ_2020.xlsx]原始数据'!$D:$D,MATCH($A313,'[AQ_2020.xlsx]原始数据'!$A:$A,0)),""))</f>
        <v/>
      </c>
      <c r="M313">
        <f>IF($A313="","",IFERROR(INDEX('[AQ_2021.xlsx]原始数据'!$D:$D,MATCH($A313,'[AQ_2021.xlsx]原始数据'!$A:$A,0)),""))</f>
        <v/>
      </c>
      <c r="N313">
        <f>IF($A313="","",IFERROR(INDEX('[AQ_2022.xlsx]原始数据'!$D:$D,MATCH($A313,'[AQ_2022.xlsx]原始数据'!$A:$A,0)),""))</f>
        <v/>
      </c>
      <c r="O313">
        <f>IF($A313="","",IFERROR(INDEX('[AQ_2023.xlsx]原始数据'!$D:$D,MATCH($A313,'[AQ_2023.xlsx]原始数据'!$A:$A,0)),""))</f>
        <v/>
      </c>
      <c r="P313">
        <f>IF($A313="","",IFERROR(INDEX('[AQ_2024.xlsx]原始数据'!$D:$D,MATCH($A313,'[AQ_2024.xlsx]原始数据'!$A:$A,0)),""))</f>
        <v/>
      </c>
      <c r="Q313">
        <f>IF($A313="","",IFERROR(INDEX('[AQ_2020.xlsx]原始数据'!$E:$E,MATCH($A313,'[AQ_2020.xlsx]原始数据'!$A:$A,0)),""))</f>
        <v/>
      </c>
      <c r="R313">
        <f>IF($A313="","",IFERROR(INDEX('[AQ_2021.xlsx]原始数据'!$E:$E,MATCH($A313,'[AQ_2021.xlsx]原始数据'!$A:$A,0)),""))</f>
        <v/>
      </c>
      <c r="S313">
        <f>IF($A313="","",IFERROR(INDEX('[AQ_2022.xlsx]原始数据'!$E:$E,MATCH($A313,'[AQ_2022.xlsx]原始数据'!$A:$A,0)),""))</f>
        <v/>
      </c>
      <c r="T313">
        <f>IF($A313="","",IFERROR(INDEX('[AQ_2023.xlsx]原始数据'!$E:$E,MATCH($A313,'[AQ_2023.xlsx]原始数据'!$A:$A,0)),""))</f>
        <v/>
      </c>
      <c r="U313">
        <f>IF($A313="","",IFERROR(INDEX('[AQ_2024.xlsx]原始数据'!$E:$E,MATCH($A313,'[AQ_2024.xlsx]原始数据'!$A:$A,0)),""))</f>
        <v/>
      </c>
      <c r="V313">
        <f>IF($A313="","",IFERROR(INDEX('[AQ_2020.xlsx]原始数据'!$F:$F,MATCH($A313,'[AQ_2020.xlsx]原始数据'!$A:$A,0)),""))</f>
        <v/>
      </c>
      <c r="W313">
        <f>IF($A313="","",IFERROR(INDEX('[AQ_2021.xlsx]原始数据'!$F:$F,MATCH($A313,'[AQ_2021.xlsx]原始数据'!$A:$A,0)),""))</f>
        <v/>
      </c>
      <c r="X313">
        <f>IF($A313="","",IFERROR(INDEX('[AQ_2022.xlsx]原始数据'!$F:$F,MATCH($A313,'[AQ_2022.xlsx]原始数据'!$A:$A,0)),""))</f>
        <v/>
      </c>
      <c r="Y313">
        <f>IF($A313="","",IFERROR(INDEX('[AQ_2023.xlsx]原始数据'!$F:$F,MATCH($A313,'[AQ_2023.xlsx]原始数据'!$A:$A,0)),""))</f>
        <v/>
      </c>
      <c r="Z313">
        <f>IF($A313="","",IFERROR(INDEX('[AQ_2024.xlsx]原始数据'!$F:$F,MATCH($A313,'[AQ_2024.xlsx]原始数据'!$A:$A,0)),""))</f>
        <v/>
      </c>
      <c r="AA313" s="2">
        <f>IFERROR(G313/B313,"")</f>
        <v/>
      </c>
      <c r="AB313" s="2">
        <f>IFERROR(H313/C313,"")</f>
        <v/>
      </c>
      <c r="AC313" s="2">
        <f>IFERROR(I313/D313,"")</f>
        <v/>
      </c>
      <c r="AD313" s="2">
        <f>IFERROR(J313/E313,"")</f>
        <v/>
      </c>
      <c r="AE313" s="2">
        <f>IFERROR(K313/F313,"")</f>
        <v/>
      </c>
      <c r="AF313" s="2">
        <f>IFERROR(L313/B313,"")</f>
        <v/>
      </c>
      <c r="AG313" s="2">
        <f>IFERROR(M313/C313,"")</f>
        <v/>
      </c>
      <c r="AH313" s="2">
        <f>IFERROR(N313/D313,"")</f>
        <v/>
      </c>
      <c r="AI313" s="2">
        <f>IFERROR(O313/E313,"")</f>
        <v/>
      </c>
      <c r="AJ313" s="2">
        <f>IFERROR(P313/F313,"")</f>
        <v/>
      </c>
      <c r="AK313" s="2">
        <f>IFERROR(Q313/B313,"")</f>
        <v/>
      </c>
      <c r="AL313" s="2">
        <f>IFERROR(R313/C313,"")</f>
        <v/>
      </c>
      <c r="AM313" s="2">
        <f>IFERROR(S313/D313,"")</f>
        <v/>
      </c>
      <c r="AN313" s="2">
        <f>IFERROR(T313/E313,"")</f>
        <v/>
      </c>
      <c r="AO313" s="2">
        <f>IFERROR(U313/F313,"")</f>
        <v/>
      </c>
    </row>
    <row r="314">
      <c r="B314">
        <f>IF($A314="","",IFERROR(INDEX('[AQ_2020.xlsx]原始数据'!$B:$B,MATCH($A314,'[AQ_2020.xlsx]原始数据'!$A:$A,0)),""))</f>
        <v/>
      </c>
      <c r="C314">
        <f>IF($A314="","",IFERROR(INDEX('[AQ_2021.xlsx]原始数据'!$B:$B,MATCH($A314,'[AQ_2021.xlsx]原始数据'!$A:$A,0)),""))</f>
        <v/>
      </c>
      <c r="D314">
        <f>IF($A314="","",IFERROR(INDEX('[AQ_2022.xlsx]原始数据'!$B:$B,MATCH($A314,'[AQ_2022.xlsx]原始数据'!$A:$A,0)),""))</f>
        <v/>
      </c>
      <c r="E314">
        <f>IF($A314="","",IFERROR(INDEX('[AQ_2023.xlsx]原始数据'!$B:$B,MATCH($A314,'[AQ_2023.xlsx]原始数据'!$A:$A,0)),""))</f>
        <v/>
      </c>
      <c r="F314">
        <f>IF($A314="","",IFERROR(INDEX('[AQ_2024.xlsx]原始数据'!$B:$B,MATCH($A314,'[AQ_2024.xlsx]原始数据'!$A:$A,0)),""))</f>
        <v/>
      </c>
      <c r="G314">
        <f>IF($A314="","",IFERROR(INDEX('[AQ_2020.xlsx]原始数据'!$C:$C,MATCH($A314,'[AQ_2020.xlsx]原始数据'!$A:$A,0)),""))</f>
        <v/>
      </c>
      <c r="H314">
        <f>IF($A314="","",IFERROR(INDEX('[AQ_2021.xlsx]原始数据'!$C:$C,MATCH($A314,'[AQ_2021.xlsx]原始数据'!$A:$A,0)),""))</f>
        <v/>
      </c>
      <c r="I314">
        <f>IF($A314="","",IFERROR(INDEX('[AQ_2022.xlsx]原始数据'!$C:$C,MATCH($A314,'[AQ_2022.xlsx]原始数据'!$A:$A,0)),""))</f>
        <v/>
      </c>
      <c r="J314">
        <f>IF($A314="","",IFERROR(INDEX('[AQ_2023.xlsx]原始数据'!$C:$C,MATCH($A314,'[AQ_2023.xlsx]原始数据'!$A:$A,0)),""))</f>
        <v/>
      </c>
      <c r="K314">
        <f>IF($A314="","",IFERROR(INDEX('[AQ_2024.xlsx]原始数据'!$C:$C,MATCH($A314,'[AQ_2024.xlsx]原始数据'!$A:$A,0)),""))</f>
        <v/>
      </c>
      <c r="L314">
        <f>IF($A314="","",IFERROR(INDEX('[AQ_2020.xlsx]原始数据'!$D:$D,MATCH($A314,'[AQ_2020.xlsx]原始数据'!$A:$A,0)),""))</f>
        <v/>
      </c>
      <c r="M314">
        <f>IF($A314="","",IFERROR(INDEX('[AQ_2021.xlsx]原始数据'!$D:$D,MATCH($A314,'[AQ_2021.xlsx]原始数据'!$A:$A,0)),""))</f>
        <v/>
      </c>
      <c r="N314">
        <f>IF($A314="","",IFERROR(INDEX('[AQ_2022.xlsx]原始数据'!$D:$D,MATCH($A314,'[AQ_2022.xlsx]原始数据'!$A:$A,0)),""))</f>
        <v/>
      </c>
      <c r="O314">
        <f>IF($A314="","",IFERROR(INDEX('[AQ_2023.xlsx]原始数据'!$D:$D,MATCH($A314,'[AQ_2023.xlsx]原始数据'!$A:$A,0)),""))</f>
        <v/>
      </c>
      <c r="P314">
        <f>IF($A314="","",IFERROR(INDEX('[AQ_2024.xlsx]原始数据'!$D:$D,MATCH($A314,'[AQ_2024.xlsx]原始数据'!$A:$A,0)),""))</f>
        <v/>
      </c>
      <c r="Q314">
        <f>IF($A314="","",IFERROR(INDEX('[AQ_2020.xlsx]原始数据'!$E:$E,MATCH($A314,'[AQ_2020.xlsx]原始数据'!$A:$A,0)),""))</f>
        <v/>
      </c>
      <c r="R314">
        <f>IF($A314="","",IFERROR(INDEX('[AQ_2021.xlsx]原始数据'!$E:$E,MATCH($A314,'[AQ_2021.xlsx]原始数据'!$A:$A,0)),""))</f>
        <v/>
      </c>
      <c r="S314">
        <f>IF($A314="","",IFERROR(INDEX('[AQ_2022.xlsx]原始数据'!$E:$E,MATCH($A314,'[AQ_2022.xlsx]原始数据'!$A:$A,0)),""))</f>
        <v/>
      </c>
      <c r="T314">
        <f>IF($A314="","",IFERROR(INDEX('[AQ_2023.xlsx]原始数据'!$E:$E,MATCH($A314,'[AQ_2023.xlsx]原始数据'!$A:$A,0)),""))</f>
        <v/>
      </c>
      <c r="U314">
        <f>IF($A314="","",IFERROR(INDEX('[AQ_2024.xlsx]原始数据'!$E:$E,MATCH($A314,'[AQ_2024.xlsx]原始数据'!$A:$A,0)),""))</f>
        <v/>
      </c>
      <c r="V314">
        <f>IF($A314="","",IFERROR(INDEX('[AQ_2020.xlsx]原始数据'!$F:$F,MATCH($A314,'[AQ_2020.xlsx]原始数据'!$A:$A,0)),""))</f>
        <v/>
      </c>
      <c r="W314">
        <f>IF($A314="","",IFERROR(INDEX('[AQ_2021.xlsx]原始数据'!$F:$F,MATCH($A314,'[AQ_2021.xlsx]原始数据'!$A:$A,0)),""))</f>
        <v/>
      </c>
      <c r="X314">
        <f>IF($A314="","",IFERROR(INDEX('[AQ_2022.xlsx]原始数据'!$F:$F,MATCH($A314,'[AQ_2022.xlsx]原始数据'!$A:$A,0)),""))</f>
        <v/>
      </c>
      <c r="Y314">
        <f>IF($A314="","",IFERROR(INDEX('[AQ_2023.xlsx]原始数据'!$F:$F,MATCH($A314,'[AQ_2023.xlsx]原始数据'!$A:$A,0)),""))</f>
        <v/>
      </c>
      <c r="Z314">
        <f>IF($A314="","",IFERROR(INDEX('[AQ_2024.xlsx]原始数据'!$F:$F,MATCH($A314,'[AQ_2024.xlsx]原始数据'!$A:$A,0)),""))</f>
        <v/>
      </c>
      <c r="AA314" s="2">
        <f>IFERROR(G314/B314,"")</f>
        <v/>
      </c>
      <c r="AB314" s="2">
        <f>IFERROR(H314/C314,"")</f>
        <v/>
      </c>
      <c r="AC314" s="2">
        <f>IFERROR(I314/D314,"")</f>
        <v/>
      </c>
      <c r="AD314" s="2">
        <f>IFERROR(J314/E314,"")</f>
        <v/>
      </c>
      <c r="AE314" s="2">
        <f>IFERROR(K314/F314,"")</f>
        <v/>
      </c>
      <c r="AF314" s="2">
        <f>IFERROR(L314/B314,"")</f>
        <v/>
      </c>
      <c r="AG314" s="2">
        <f>IFERROR(M314/C314,"")</f>
        <v/>
      </c>
      <c r="AH314" s="2">
        <f>IFERROR(N314/D314,"")</f>
        <v/>
      </c>
      <c r="AI314" s="2">
        <f>IFERROR(O314/E314,"")</f>
        <v/>
      </c>
      <c r="AJ314" s="2">
        <f>IFERROR(P314/F314,"")</f>
        <v/>
      </c>
      <c r="AK314" s="2">
        <f>IFERROR(Q314/B314,"")</f>
        <v/>
      </c>
      <c r="AL314" s="2">
        <f>IFERROR(R314/C314,"")</f>
        <v/>
      </c>
      <c r="AM314" s="2">
        <f>IFERROR(S314/D314,"")</f>
        <v/>
      </c>
      <c r="AN314" s="2">
        <f>IFERROR(T314/E314,"")</f>
        <v/>
      </c>
      <c r="AO314" s="2">
        <f>IFERROR(U314/F314,"")</f>
        <v/>
      </c>
    </row>
    <row r="315">
      <c r="B315">
        <f>IF($A315="","",IFERROR(INDEX('[AQ_2020.xlsx]原始数据'!$B:$B,MATCH($A315,'[AQ_2020.xlsx]原始数据'!$A:$A,0)),""))</f>
        <v/>
      </c>
      <c r="C315">
        <f>IF($A315="","",IFERROR(INDEX('[AQ_2021.xlsx]原始数据'!$B:$B,MATCH($A315,'[AQ_2021.xlsx]原始数据'!$A:$A,0)),""))</f>
        <v/>
      </c>
      <c r="D315">
        <f>IF($A315="","",IFERROR(INDEX('[AQ_2022.xlsx]原始数据'!$B:$B,MATCH($A315,'[AQ_2022.xlsx]原始数据'!$A:$A,0)),""))</f>
        <v/>
      </c>
      <c r="E315">
        <f>IF($A315="","",IFERROR(INDEX('[AQ_2023.xlsx]原始数据'!$B:$B,MATCH($A315,'[AQ_2023.xlsx]原始数据'!$A:$A,0)),""))</f>
        <v/>
      </c>
      <c r="F315">
        <f>IF($A315="","",IFERROR(INDEX('[AQ_2024.xlsx]原始数据'!$B:$B,MATCH($A315,'[AQ_2024.xlsx]原始数据'!$A:$A,0)),""))</f>
        <v/>
      </c>
      <c r="G315">
        <f>IF($A315="","",IFERROR(INDEX('[AQ_2020.xlsx]原始数据'!$C:$C,MATCH($A315,'[AQ_2020.xlsx]原始数据'!$A:$A,0)),""))</f>
        <v/>
      </c>
      <c r="H315">
        <f>IF($A315="","",IFERROR(INDEX('[AQ_2021.xlsx]原始数据'!$C:$C,MATCH($A315,'[AQ_2021.xlsx]原始数据'!$A:$A,0)),""))</f>
        <v/>
      </c>
      <c r="I315">
        <f>IF($A315="","",IFERROR(INDEX('[AQ_2022.xlsx]原始数据'!$C:$C,MATCH($A315,'[AQ_2022.xlsx]原始数据'!$A:$A,0)),""))</f>
        <v/>
      </c>
      <c r="J315">
        <f>IF($A315="","",IFERROR(INDEX('[AQ_2023.xlsx]原始数据'!$C:$C,MATCH($A315,'[AQ_2023.xlsx]原始数据'!$A:$A,0)),""))</f>
        <v/>
      </c>
      <c r="K315">
        <f>IF($A315="","",IFERROR(INDEX('[AQ_2024.xlsx]原始数据'!$C:$C,MATCH($A315,'[AQ_2024.xlsx]原始数据'!$A:$A,0)),""))</f>
        <v/>
      </c>
      <c r="L315">
        <f>IF($A315="","",IFERROR(INDEX('[AQ_2020.xlsx]原始数据'!$D:$D,MATCH($A315,'[AQ_2020.xlsx]原始数据'!$A:$A,0)),""))</f>
        <v/>
      </c>
      <c r="M315">
        <f>IF($A315="","",IFERROR(INDEX('[AQ_2021.xlsx]原始数据'!$D:$D,MATCH($A315,'[AQ_2021.xlsx]原始数据'!$A:$A,0)),""))</f>
        <v/>
      </c>
      <c r="N315">
        <f>IF($A315="","",IFERROR(INDEX('[AQ_2022.xlsx]原始数据'!$D:$D,MATCH($A315,'[AQ_2022.xlsx]原始数据'!$A:$A,0)),""))</f>
        <v/>
      </c>
      <c r="O315">
        <f>IF($A315="","",IFERROR(INDEX('[AQ_2023.xlsx]原始数据'!$D:$D,MATCH($A315,'[AQ_2023.xlsx]原始数据'!$A:$A,0)),""))</f>
        <v/>
      </c>
      <c r="P315">
        <f>IF($A315="","",IFERROR(INDEX('[AQ_2024.xlsx]原始数据'!$D:$D,MATCH($A315,'[AQ_2024.xlsx]原始数据'!$A:$A,0)),""))</f>
        <v/>
      </c>
      <c r="Q315">
        <f>IF($A315="","",IFERROR(INDEX('[AQ_2020.xlsx]原始数据'!$E:$E,MATCH($A315,'[AQ_2020.xlsx]原始数据'!$A:$A,0)),""))</f>
        <v/>
      </c>
      <c r="R315">
        <f>IF($A315="","",IFERROR(INDEX('[AQ_2021.xlsx]原始数据'!$E:$E,MATCH($A315,'[AQ_2021.xlsx]原始数据'!$A:$A,0)),""))</f>
        <v/>
      </c>
      <c r="S315">
        <f>IF($A315="","",IFERROR(INDEX('[AQ_2022.xlsx]原始数据'!$E:$E,MATCH($A315,'[AQ_2022.xlsx]原始数据'!$A:$A,0)),""))</f>
        <v/>
      </c>
      <c r="T315">
        <f>IF($A315="","",IFERROR(INDEX('[AQ_2023.xlsx]原始数据'!$E:$E,MATCH($A315,'[AQ_2023.xlsx]原始数据'!$A:$A,0)),""))</f>
        <v/>
      </c>
      <c r="U315">
        <f>IF($A315="","",IFERROR(INDEX('[AQ_2024.xlsx]原始数据'!$E:$E,MATCH($A315,'[AQ_2024.xlsx]原始数据'!$A:$A,0)),""))</f>
        <v/>
      </c>
      <c r="V315">
        <f>IF($A315="","",IFERROR(INDEX('[AQ_2020.xlsx]原始数据'!$F:$F,MATCH($A315,'[AQ_2020.xlsx]原始数据'!$A:$A,0)),""))</f>
        <v/>
      </c>
      <c r="W315">
        <f>IF($A315="","",IFERROR(INDEX('[AQ_2021.xlsx]原始数据'!$F:$F,MATCH($A315,'[AQ_2021.xlsx]原始数据'!$A:$A,0)),""))</f>
        <v/>
      </c>
      <c r="X315">
        <f>IF($A315="","",IFERROR(INDEX('[AQ_2022.xlsx]原始数据'!$F:$F,MATCH($A315,'[AQ_2022.xlsx]原始数据'!$A:$A,0)),""))</f>
        <v/>
      </c>
      <c r="Y315">
        <f>IF($A315="","",IFERROR(INDEX('[AQ_2023.xlsx]原始数据'!$F:$F,MATCH($A315,'[AQ_2023.xlsx]原始数据'!$A:$A,0)),""))</f>
        <v/>
      </c>
      <c r="Z315">
        <f>IF($A315="","",IFERROR(INDEX('[AQ_2024.xlsx]原始数据'!$F:$F,MATCH($A315,'[AQ_2024.xlsx]原始数据'!$A:$A,0)),""))</f>
        <v/>
      </c>
      <c r="AA315" s="2">
        <f>IFERROR(G315/B315,"")</f>
        <v/>
      </c>
      <c r="AB315" s="2">
        <f>IFERROR(H315/C315,"")</f>
        <v/>
      </c>
      <c r="AC315" s="2">
        <f>IFERROR(I315/D315,"")</f>
        <v/>
      </c>
      <c r="AD315" s="2">
        <f>IFERROR(J315/E315,"")</f>
        <v/>
      </c>
      <c r="AE315" s="2">
        <f>IFERROR(K315/F315,"")</f>
        <v/>
      </c>
      <c r="AF315" s="2">
        <f>IFERROR(L315/B315,"")</f>
        <v/>
      </c>
      <c r="AG315" s="2">
        <f>IFERROR(M315/C315,"")</f>
        <v/>
      </c>
      <c r="AH315" s="2">
        <f>IFERROR(N315/D315,"")</f>
        <v/>
      </c>
      <c r="AI315" s="2">
        <f>IFERROR(O315/E315,"")</f>
        <v/>
      </c>
      <c r="AJ315" s="2">
        <f>IFERROR(P315/F315,"")</f>
        <v/>
      </c>
      <c r="AK315" s="2">
        <f>IFERROR(Q315/B315,"")</f>
        <v/>
      </c>
      <c r="AL315" s="2">
        <f>IFERROR(R315/C315,"")</f>
        <v/>
      </c>
      <c r="AM315" s="2">
        <f>IFERROR(S315/D315,"")</f>
        <v/>
      </c>
      <c r="AN315" s="2">
        <f>IFERROR(T315/E315,"")</f>
        <v/>
      </c>
      <c r="AO315" s="2">
        <f>IFERROR(U315/F315,"")</f>
        <v/>
      </c>
    </row>
    <row r="316">
      <c r="B316">
        <f>IF($A316="","",IFERROR(INDEX('[AQ_2020.xlsx]原始数据'!$B:$B,MATCH($A316,'[AQ_2020.xlsx]原始数据'!$A:$A,0)),""))</f>
        <v/>
      </c>
      <c r="C316">
        <f>IF($A316="","",IFERROR(INDEX('[AQ_2021.xlsx]原始数据'!$B:$B,MATCH($A316,'[AQ_2021.xlsx]原始数据'!$A:$A,0)),""))</f>
        <v/>
      </c>
      <c r="D316">
        <f>IF($A316="","",IFERROR(INDEX('[AQ_2022.xlsx]原始数据'!$B:$B,MATCH($A316,'[AQ_2022.xlsx]原始数据'!$A:$A,0)),""))</f>
        <v/>
      </c>
      <c r="E316">
        <f>IF($A316="","",IFERROR(INDEX('[AQ_2023.xlsx]原始数据'!$B:$B,MATCH($A316,'[AQ_2023.xlsx]原始数据'!$A:$A,0)),""))</f>
        <v/>
      </c>
      <c r="F316">
        <f>IF($A316="","",IFERROR(INDEX('[AQ_2024.xlsx]原始数据'!$B:$B,MATCH($A316,'[AQ_2024.xlsx]原始数据'!$A:$A,0)),""))</f>
        <v/>
      </c>
      <c r="G316">
        <f>IF($A316="","",IFERROR(INDEX('[AQ_2020.xlsx]原始数据'!$C:$C,MATCH($A316,'[AQ_2020.xlsx]原始数据'!$A:$A,0)),""))</f>
        <v/>
      </c>
      <c r="H316">
        <f>IF($A316="","",IFERROR(INDEX('[AQ_2021.xlsx]原始数据'!$C:$C,MATCH($A316,'[AQ_2021.xlsx]原始数据'!$A:$A,0)),""))</f>
        <v/>
      </c>
      <c r="I316">
        <f>IF($A316="","",IFERROR(INDEX('[AQ_2022.xlsx]原始数据'!$C:$C,MATCH($A316,'[AQ_2022.xlsx]原始数据'!$A:$A,0)),""))</f>
        <v/>
      </c>
      <c r="J316">
        <f>IF($A316="","",IFERROR(INDEX('[AQ_2023.xlsx]原始数据'!$C:$C,MATCH($A316,'[AQ_2023.xlsx]原始数据'!$A:$A,0)),""))</f>
        <v/>
      </c>
      <c r="K316">
        <f>IF($A316="","",IFERROR(INDEX('[AQ_2024.xlsx]原始数据'!$C:$C,MATCH($A316,'[AQ_2024.xlsx]原始数据'!$A:$A,0)),""))</f>
        <v/>
      </c>
      <c r="L316">
        <f>IF($A316="","",IFERROR(INDEX('[AQ_2020.xlsx]原始数据'!$D:$D,MATCH($A316,'[AQ_2020.xlsx]原始数据'!$A:$A,0)),""))</f>
        <v/>
      </c>
      <c r="M316">
        <f>IF($A316="","",IFERROR(INDEX('[AQ_2021.xlsx]原始数据'!$D:$D,MATCH($A316,'[AQ_2021.xlsx]原始数据'!$A:$A,0)),""))</f>
        <v/>
      </c>
      <c r="N316">
        <f>IF($A316="","",IFERROR(INDEX('[AQ_2022.xlsx]原始数据'!$D:$D,MATCH($A316,'[AQ_2022.xlsx]原始数据'!$A:$A,0)),""))</f>
        <v/>
      </c>
      <c r="O316">
        <f>IF($A316="","",IFERROR(INDEX('[AQ_2023.xlsx]原始数据'!$D:$D,MATCH($A316,'[AQ_2023.xlsx]原始数据'!$A:$A,0)),""))</f>
        <v/>
      </c>
      <c r="P316">
        <f>IF($A316="","",IFERROR(INDEX('[AQ_2024.xlsx]原始数据'!$D:$D,MATCH($A316,'[AQ_2024.xlsx]原始数据'!$A:$A,0)),""))</f>
        <v/>
      </c>
      <c r="Q316">
        <f>IF($A316="","",IFERROR(INDEX('[AQ_2020.xlsx]原始数据'!$E:$E,MATCH($A316,'[AQ_2020.xlsx]原始数据'!$A:$A,0)),""))</f>
        <v/>
      </c>
      <c r="R316">
        <f>IF($A316="","",IFERROR(INDEX('[AQ_2021.xlsx]原始数据'!$E:$E,MATCH($A316,'[AQ_2021.xlsx]原始数据'!$A:$A,0)),""))</f>
        <v/>
      </c>
      <c r="S316">
        <f>IF($A316="","",IFERROR(INDEX('[AQ_2022.xlsx]原始数据'!$E:$E,MATCH($A316,'[AQ_2022.xlsx]原始数据'!$A:$A,0)),""))</f>
        <v/>
      </c>
      <c r="T316">
        <f>IF($A316="","",IFERROR(INDEX('[AQ_2023.xlsx]原始数据'!$E:$E,MATCH($A316,'[AQ_2023.xlsx]原始数据'!$A:$A,0)),""))</f>
        <v/>
      </c>
      <c r="U316">
        <f>IF($A316="","",IFERROR(INDEX('[AQ_2024.xlsx]原始数据'!$E:$E,MATCH($A316,'[AQ_2024.xlsx]原始数据'!$A:$A,0)),""))</f>
        <v/>
      </c>
      <c r="V316">
        <f>IF($A316="","",IFERROR(INDEX('[AQ_2020.xlsx]原始数据'!$F:$F,MATCH($A316,'[AQ_2020.xlsx]原始数据'!$A:$A,0)),""))</f>
        <v/>
      </c>
      <c r="W316">
        <f>IF($A316="","",IFERROR(INDEX('[AQ_2021.xlsx]原始数据'!$F:$F,MATCH($A316,'[AQ_2021.xlsx]原始数据'!$A:$A,0)),""))</f>
        <v/>
      </c>
      <c r="X316">
        <f>IF($A316="","",IFERROR(INDEX('[AQ_2022.xlsx]原始数据'!$F:$F,MATCH($A316,'[AQ_2022.xlsx]原始数据'!$A:$A,0)),""))</f>
        <v/>
      </c>
      <c r="Y316">
        <f>IF($A316="","",IFERROR(INDEX('[AQ_2023.xlsx]原始数据'!$F:$F,MATCH($A316,'[AQ_2023.xlsx]原始数据'!$A:$A,0)),""))</f>
        <v/>
      </c>
      <c r="Z316">
        <f>IF($A316="","",IFERROR(INDEX('[AQ_2024.xlsx]原始数据'!$F:$F,MATCH($A316,'[AQ_2024.xlsx]原始数据'!$A:$A,0)),""))</f>
        <v/>
      </c>
      <c r="AA316" s="2">
        <f>IFERROR(G316/B316,"")</f>
        <v/>
      </c>
      <c r="AB316" s="2">
        <f>IFERROR(H316/C316,"")</f>
        <v/>
      </c>
      <c r="AC316" s="2">
        <f>IFERROR(I316/D316,"")</f>
        <v/>
      </c>
      <c r="AD316" s="2">
        <f>IFERROR(J316/E316,"")</f>
        <v/>
      </c>
      <c r="AE316" s="2">
        <f>IFERROR(K316/F316,"")</f>
        <v/>
      </c>
      <c r="AF316" s="2">
        <f>IFERROR(L316/B316,"")</f>
        <v/>
      </c>
      <c r="AG316" s="2">
        <f>IFERROR(M316/C316,"")</f>
        <v/>
      </c>
      <c r="AH316" s="2">
        <f>IFERROR(N316/D316,"")</f>
        <v/>
      </c>
      <c r="AI316" s="2">
        <f>IFERROR(O316/E316,"")</f>
        <v/>
      </c>
      <c r="AJ316" s="2">
        <f>IFERROR(P316/F316,"")</f>
        <v/>
      </c>
      <c r="AK316" s="2">
        <f>IFERROR(Q316/B316,"")</f>
        <v/>
      </c>
      <c r="AL316" s="2">
        <f>IFERROR(R316/C316,"")</f>
        <v/>
      </c>
      <c r="AM316" s="2">
        <f>IFERROR(S316/D316,"")</f>
        <v/>
      </c>
      <c r="AN316" s="2">
        <f>IFERROR(T316/E316,"")</f>
        <v/>
      </c>
      <c r="AO316" s="2">
        <f>IFERROR(U316/F316,"")</f>
        <v/>
      </c>
    </row>
    <row r="317">
      <c r="B317">
        <f>IF($A317="","",IFERROR(INDEX('[AQ_2020.xlsx]原始数据'!$B:$B,MATCH($A317,'[AQ_2020.xlsx]原始数据'!$A:$A,0)),""))</f>
        <v/>
      </c>
      <c r="C317">
        <f>IF($A317="","",IFERROR(INDEX('[AQ_2021.xlsx]原始数据'!$B:$B,MATCH($A317,'[AQ_2021.xlsx]原始数据'!$A:$A,0)),""))</f>
        <v/>
      </c>
      <c r="D317">
        <f>IF($A317="","",IFERROR(INDEX('[AQ_2022.xlsx]原始数据'!$B:$B,MATCH($A317,'[AQ_2022.xlsx]原始数据'!$A:$A,0)),""))</f>
        <v/>
      </c>
      <c r="E317">
        <f>IF($A317="","",IFERROR(INDEX('[AQ_2023.xlsx]原始数据'!$B:$B,MATCH($A317,'[AQ_2023.xlsx]原始数据'!$A:$A,0)),""))</f>
        <v/>
      </c>
      <c r="F317">
        <f>IF($A317="","",IFERROR(INDEX('[AQ_2024.xlsx]原始数据'!$B:$B,MATCH($A317,'[AQ_2024.xlsx]原始数据'!$A:$A,0)),""))</f>
        <v/>
      </c>
      <c r="G317">
        <f>IF($A317="","",IFERROR(INDEX('[AQ_2020.xlsx]原始数据'!$C:$C,MATCH($A317,'[AQ_2020.xlsx]原始数据'!$A:$A,0)),""))</f>
        <v/>
      </c>
      <c r="H317">
        <f>IF($A317="","",IFERROR(INDEX('[AQ_2021.xlsx]原始数据'!$C:$C,MATCH($A317,'[AQ_2021.xlsx]原始数据'!$A:$A,0)),""))</f>
        <v/>
      </c>
      <c r="I317">
        <f>IF($A317="","",IFERROR(INDEX('[AQ_2022.xlsx]原始数据'!$C:$C,MATCH($A317,'[AQ_2022.xlsx]原始数据'!$A:$A,0)),""))</f>
        <v/>
      </c>
      <c r="J317">
        <f>IF($A317="","",IFERROR(INDEX('[AQ_2023.xlsx]原始数据'!$C:$C,MATCH($A317,'[AQ_2023.xlsx]原始数据'!$A:$A,0)),""))</f>
        <v/>
      </c>
      <c r="K317">
        <f>IF($A317="","",IFERROR(INDEX('[AQ_2024.xlsx]原始数据'!$C:$C,MATCH($A317,'[AQ_2024.xlsx]原始数据'!$A:$A,0)),""))</f>
        <v/>
      </c>
      <c r="L317">
        <f>IF($A317="","",IFERROR(INDEX('[AQ_2020.xlsx]原始数据'!$D:$D,MATCH($A317,'[AQ_2020.xlsx]原始数据'!$A:$A,0)),""))</f>
        <v/>
      </c>
      <c r="M317">
        <f>IF($A317="","",IFERROR(INDEX('[AQ_2021.xlsx]原始数据'!$D:$D,MATCH($A317,'[AQ_2021.xlsx]原始数据'!$A:$A,0)),""))</f>
        <v/>
      </c>
      <c r="N317">
        <f>IF($A317="","",IFERROR(INDEX('[AQ_2022.xlsx]原始数据'!$D:$D,MATCH($A317,'[AQ_2022.xlsx]原始数据'!$A:$A,0)),""))</f>
        <v/>
      </c>
      <c r="O317">
        <f>IF($A317="","",IFERROR(INDEX('[AQ_2023.xlsx]原始数据'!$D:$D,MATCH($A317,'[AQ_2023.xlsx]原始数据'!$A:$A,0)),""))</f>
        <v/>
      </c>
      <c r="P317">
        <f>IF($A317="","",IFERROR(INDEX('[AQ_2024.xlsx]原始数据'!$D:$D,MATCH($A317,'[AQ_2024.xlsx]原始数据'!$A:$A,0)),""))</f>
        <v/>
      </c>
      <c r="Q317">
        <f>IF($A317="","",IFERROR(INDEX('[AQ_2020.xlsx]原始数据'!$E:$E,MATCH($A317,'[AQ_2020.xlsx]原始数据'!$A:$A,0)),""))</f>
        <v/>
      </c>
      <c r="R317">
        <f>IF($A317="","",IFERROR(INDEX('[AQ_2021.xlsx]原始数据'!$E:$E,MATCH($A317,'[AQ_2021.xlsx]原始数据'!$A:$A,0)),""))</f>
        <v/>
      </c>
      <c r="S317">
        <f>IF($A317="","",IFERROR(INDEX('[AQ_2022.xlsx]原始数据'!$E:$E,MATCH($A317,'[AQ_2022.xlsx]原始数据'!$A:$A,0)),""))</f>
        <v/>
      </c>
      <c r="T317">
        <f>IF($A317="","",IFERROR(INDEX('[AQ_2023.xlsx]原始数据'!$E:$E,MATCH($A317,'[AQ_2023.xlsx]原始数据'!$A:$A,0)),""))</f>
        <v/>
      </c>
      <c r="U317">
        <f>IF($A317="","",IFERROR(INDEX('[AQ_2024.xlsx]原始数据'!$E:$E,MATCH($A317,'[AQ_2024.xlsx]原始数据'!$A:$A,0)),""))</f>
        <v/>
      </c>
      <c r="V317">
        <f>IF($A317="","",IFERROR(INDEX('[AQ_2020.xlsx]原始数据'!$F:$F,MATCH($A317,'[AQ_2020.xlsx]原始数据'!$A:$A,0)),""))</f>
        <v/>
      </c>
      <c r="W317">
        <f>IF($A317="","",IFERROR(INDEX('[AQ_2021.xlsx]原始数据'!$F:$F,MATCH($A317,'[AQ_2021.xlsx]原始数据'!$A:$A,0)),""))</f>
        <v/>
      </c>
      <c r="X317">
        <f>IF($A317="","",IFERROR(INDEX('[AQ_2022.xlsx]原始数据'!$F:$F,MATCH($A317,'[AQ_2022.xlsx]原始数据'!$A:$A,0)),""))</f>
        <v/>
      </c>
      <c r="Y317">
        <f>IF($A317="","",IFERROR(INDEX('[AQ_2023.xlsx]原始数据'!$F:$F,MATCH($A317,'[AQ_2023.xlsx]原始数据'!$A:$A,0)),""))</f>
        <v/>
      </c>
      <c r="Z317">
        <f>IF($A317="","",IFERROR(INDEX('[AQ_2024.xlsx]原始数据'!$F:$F,MATCH($A317,'[AQ_2024.xlsx]原始数据'!$A:$A,0)),""))</f>
        <v/>
      </c>
      <c r="AA317" s="2">
        <f>IFERROR(G317/B317,"")</f>
        <v/>
      </c>
      <c r="AB317" s="2">
        <f>IFERROR(H317/C317,"")</f>
        <v/>
      </c>
      <c r="AC317" s="2">
        <f>IFERROR(I317/D317,"")</f>
        <v/>
      </c>
      <c r="AD317" s="2">
        <f>IFERROR(J317/E317,"")</f>
        <v/>
      </c>
      <c r="AE317" s="2">
        <f>IFERROR(K317/F317,"")</f>
        <v/>
      </c>
      <c r="AF317" s="2">
        <f>IFERROR(L317/B317,"")</f>
        <v/>
      </c>
      <c r="AG317" s="2">
        <f>IFERROR(M317/C317,"")</f>
        <v/>
      </c>
      <c r="AH317" s="2">
        <f>IFERROR(N317/D317,"")</f>
        <v/>
      </c>
      <c r="AI317" s="2">
        <f>IFERROR(O317/E317,"")</f>
        <v/>
      </c>
      <c r="AJ317" s="2">
        <f>IFERROR(P317/F317,"")</f>
        <v/>
      </c>
      <c r="AK317" s="2">
        <f>IFERROR(Q317/B317,"")</f>
        <v/>
      </c>
      <c r="AL317" s="2">
        <f>IFERROR(R317/C317,"")</f>
        <v/>
      </c>
      <c r="AM317" s="2">
        <f>IFERROR(S317/D317,"")</f>
        <v/>
      </c>
      <c r="AN317" s="2">
        <f>IFERROR(T317/E317,"")</f>
        <v/>
      </c>
      <c r="AO317" s="2">
        <f>IFERROR(U317/F317,"")</f>
        <v/>
      </c>
    </row>
    <row r="318">
      <c r="B318">
        <f>IF($A318="","",IFERROR(INDEX('[AQ_2020.xlsx]原始数据'!$B:$B,MATCH($A318,'[AQ_2020.xlsx]原始数据'!$A:$A,0)),""))</f>
        <v/>
      </c>
      <c r="C318">
        <f>IF($A318="","",IFERROR(INDEX('[AQ_2021.xlsx]原始数据'!$B:$B,MATCH($A318,'[AQ_2021.xlsx]原始数据'!$A:$A,0)),""))</f>
        <v/>
      </c>
      <c r="D318">
        <f>IF($A318="","",IFERROR(INDEX('[AQ_2022.xlsx]原始数据'!$B:$B,MATCH($A318,'[AQ_2022.xlsx]原始数据'!$A:$A,0)),""))</f>
        <v/>
      </c>
      <c r="E318">
        <f>IF($A318="","",IFERROR(INDEX('[AQ_2023.xlsx]原始数据'!$B:$B,MATCH($A318,'[AQ_2023.xlsx]原始数据'!$A:$A,0)),""))</f>
        <v/>
      </c>
      <c r="F318">
        <f>IF($A318="","",IFERROR(INDEX('[AQ_2024.xlsx]原始数据'!$B:$B,MATCH($A318,'[AQ_2024.xlsx]原始数据'!$A:$A,0)),""))</f>
        <v/>
      </c>
      <c r="G318">
        <f>IF($A318="","",IFERROR(INDEX('[AQ_2020.xlsx]原始数据'!$C:$C,MATCH($A318,'[AQ_2020.xlsx]原始数据'!$A:$A,0)),""))</f>
        <v/>
      </c>
      <c r="H318">
        <f>IF($A318="","",IFERROR(INDEX('[AQ_2021.xlsx]原始数据'!$C:$C,MATCH($A318,'[AQ_2021.xlsx]原始数据'!$A:$A,0)),""))</f>
        <v/>
      </c>
      <c r="I318">
        <f>IF($A318="","",IFERROR(INDEX('[AQ_2022.xlsx]原始数据'!$C:$C,MATCH($A318,'[AQ_2022.xlsx]原始数据'!$A:$A,0)),""))</f>
        <v/>
      </c>
      <c r="J318">
        <f>IF($A318="","",IFERROR(INDEX('[AQ_2023.xlsx]原始数据'!$C:$C,MATCH($A318,'[AQ_2023.xlsx]原始数据'!$A:$A,0)),""))</f>
        <v/>
      </c>
      <c r="K318">
        <f>IF($A318="","",IFERROR(INDEX('[AQ_2024.xlsx]原始数据'!$C:$C,MATCH($A318,'[AQ_2024.xlsx]原始数据'!$A:$A,0)),""))</f>
        <v/>
      </c>
      <c r="L318">
        <f>IF($A318="","",IFERROR(INDEX('[AQ_2020.xlsx]原始数据'!$D:$D,MATCH($A318,'[AQ_2020.xlsx]原始数据'!$A:$A,0)),""))</f>
        <v/>
      </c>
      <c r="M318">
        <f>IF($A318="","",IFERROR(INDEX('[AQ_2021.xlsx]原始数据'!$D:$D,MATCH($A318,'[AQ_2021.xlsx]原始数据'!$A:$A,0)),""))</f>
        <v/>
      </c>
      <c r="N318">
        <f>IF($A318="","",IFERROR(INDEX('[AQ_2022.xlsx]原始数据'!$D:$D,MATCH($A318,'[AQ_2022.xlsx]原始数据'!$A:$A,0)),""))</f>
        <v/>
      </c>
      <c r="O318">
        <f>IF($A318="","",IFERROR(INDEX('[AQ_2023.xlsx]原始数据'!$D:$D,MATCH($A318,'[AQ_2023.xlsx]原始数据'!$A:$A,0)),""))</f>
        <v/>
      </c>
      <c r="P318">
        <f>IF($A318="","",IFERROR(INDEX('[AQ_2024.xlsx]原始数据'!$D:$D,MATCH($A318,'[AQ_2024.xlsx]原始数据'!$A:$A,0)),""))</f>
        <v/>
      </c>
      <c r="Q318">
        <f>IF($A318="","",IFERROR(INDEX('[AQ_2020.xlsx]原始数据'!$E:$E,MATCH($A318,'[AQ_2020.xlsx]原始数据'!$A:$A,0)),""))</f>
        <v/>
      </c>
      <c r="R318">
        <f>IF($A318="","",IFERROR(INDEX('[AQ_2021.xlsx]原始数据'!$E:$E,MATCH($A318,'[AQ_2021.xlsx]原始数据'!$A:$A,0)),""))</f>
        <v/>
      </c>
      <c r="S318">
        <f>IF($A318="","",IFERROR(INDEX('[AQ_2022.xlsx]原始数据'!$E:$E,MATCH($A318,'[AQ_2022.xlsx]原始数据'!$A:$A,0)),""))</f>
        <v/>
      </c>
      <c r="T318">
        <f>IF($A318="","",IFERROR(INDEX('[AQ_2023.xlsx]原始数据'!$E:$E,MATCH($A318,'[AQ_2023.xlsx]原始数据'!$A:$A,0)),""))</f>
        <v/>
      </c>
      <c r="U318">
        <f>IF($A318="","",IFERROR(INDEX('[AQ_2024.xlsx]原始数据'!$E:$E,MATCH($A318,'[AQ_2024.xlsx]原始数据'!$A:$A,0)),""))</f>
        <v/>
      </c>
      <c r="V318">
        <f>IF($A318="","",IFERROR(INDEX('[AQ_2020.xlsx]原始数据'!$F:$F,MATCH($A318,'[AQ_2020.xlsx]原始数据'!$A:$A,0)),""))</f>
        <v/>
      </c>
      <c r="W318">
        <f>IF($A318="","",IFERROR(INDEX('[AQ_2021.xlsx]原始数据'!$F:$F,MATCH($A318,'[AQ_2021.xlsx]原始数据'!$A:$A,0)),""))</f>
        <v/>
      </c>
      <c r="X318">
        <f>IF($A318="","",IFERROR(INDEX('[AQ_2022.xlsx]原始数据'!$F:$F,MATCH($A318,'[AQ_2022.xlsx]原始数据'!$A:$A,0)),""))</f>
        <v/>
      </c>
      <c r="Y318">
        <f>IF($A318="","",IFERROR(INDEX('[AQ_2023.xlsx]原始数据'!$F:$F,MATCH($A318,'[AQ_2023.xlsx]原始数据'!$A:$A,0)),""))</f>
        <v/>
      </c>
      <c r="Z318">
        <f>IF($A318="","",IFERROR(INDEX('[AQ_2024.xlsx]原始数据'!$F:$F,MATCH($A318,'[AQ_2024.xlsx]原始数据'!$A:$A,0)),""))</f>
        <v/>
      </c>
      <c r="AA318" s="2">
        <f>IFERROR(G318/B318,"")</f>
        <v/>
      </c>
      <c r="AB318" s="2">
        <f>IFERROR(H318/C318,"")</f>
        <v/>
      </c>
      <c r="AC318" s="2">
        <f>IFERROR(I318/D318,"")</f>
        <v/>
      </c>
      <c r="AD318" s="2">
        <f>IFERROR(J318/E318,"")</f>
        <v/>
      </c>
      <c r="AE318" s="2">
        <f>IFERROR(K318/F318,"")</f>
        <v/>
      </c>
      <c r="AF318" s="2">
        <f>IFERROR(L318/B318,"")</f>
        <v/>
      </c>
      <c r="AG318" s="2">
        <f>IFERROR(M318/C318,"")</f>
        <v/>
      </c>
      <c r="AH318" s="2">
        <f>IFERROR(N318/D318,"")</f>
        <v/>
      </c>
      <c r="AI318" s="2">
        <f>IFERROR(O318/E318,"")</f>
        <v/>
      </c>
      <c r="AJ318" s="2">
        <f>IFERROR(P318/F318,"")</f>
        <v/>
      </c>
      <c r="AK318" s="2">
        <f>IFERROR(Q318/B318,"")</f>
        <v/>
      </c>
      <c r="AL318" s="2">
        <f>IFERROR(R318/C318,"")</f>
        <v/>
      </c>
      <c r="AM318" s="2">
        <f>IFERROR(S318/D318,"")</f>
        <v/>
      </c>
      <c r="AN318" s="2">
        <f>IFERROR(T318/E318,"")</f>
        <v/>
      </c>
      <c r="AO318" s="2">
        <f>IFERROR(U318/F318,"")</f>
        <v/>
      </c>
    </row>
    <row r="319">
      <c r="B319">
        <f>IF($A319="","",IFERROR(INDEX('[AQ_2020.xlsx]原始数据'!$B:$B,MATCH($A319,'[AQ_2020.xlsx]原始数据'!$A:$A,0)),""))</f>
        <v/>
      </c>
      <c r="C319">
        <f>IF($A319="","",IFERROR(INDEX('[AQ_2021.xlsx]原始数据'!$B:$B,MATCH($A319,'[AQ_2021.xlsx]原始数据'!$A:$A,0)),""))</f>
        <v/>
      </c>
      <c r="D319">
        <f>IF($A319="","",IFERROR(INDEX('[AQ_2022.xlsx]原始数据'!$B:$B,MATCH($A319,'[AQ_2022.xlsx]原始数据'!$A:$A,0)),""))</f>
        <v/>
      </c>
      <c r="E319">
        <f>IF($A319="","",IFERROR(INDEX('[AQ_2023.xlsx]原始数据'!$B:$B,MATCH($A319,'[AQ_2023.xlsx]原始数据'!$A:$A,0)),""))</f>
        <v/>
      </c>
      <c r="F319">
        <f>IF($A319="","",IFERROR(INDEX('[AQ_2024.xlsx]原始数据'!$B:$B,MATCH($A319,'[AQ_2024.xlsx]原始数据'!$A:$A,0)),""))</f>
        <v/>
      </c>
      <c r="G319">
        <f>IF($A319="","",IFERROR(INDEX('[AQ_2020.xlsx]原始数据'!$C:$C,MATCH($A319,'[AQ_2020.xlsx]原始数据'!$A:$A,0)),""))</f>
        <v/>
      </c>
      <c r="H319">
        <f>IF($A319="","",IFERROR(INDEX('[AQ_2021.xlsx]原始数据'!$C:$C,MATCH($A319,'[AQ_2021.xlsx]原始数据'!$A:$A,0)),""))</f>
        <v/>
      </c>
      <c r="I319">
        <f>IF($A319="","",IFERROR(INDEX('[AQ_2022.xlsx]原始数据'!$C:$C,MATCH($A319,'[AQ_2022.xlsx]原始数据'!$A:$A,0)),""))</f>
        <v/>
      </c>
      <c r="J319">
        <f>IF($A319="","",IFERROR(INDEX('[AQ_2023.xlsx]原始数据'!$C:$C,MATCH($A319,'[AQ_2023.xlsx]原始数据'!$A:$A,0)),""))</f>
        <v/>
      </c>
      <c r="K319">
        <f>IF($A319="","",IFERROR(INDEX('[AQ_2024.xlsx]原始数据'!$C:$C,MATCH($A319,'[AQ_2024.xlsx]原始数据'!$A:$A,0)),""))</f>
        <v/>
      </c>
      <c r="L319">
        <f>IF($A319="","",IFERROR(INDEX('[AQ_2020.xlsx]原始数据'!$D:$D,MATCH($A319,'[AQ_2020.xlsx]原始数据'!$A:$A,0)),""))</f>
        <v/>
      </c>
      <c r="M319">
        <f>IF($A319="","",IFERROR(INDEX('[AQ_2021.xlsx]原始数据'!$D:$D,MATCH($A319,'[AQ_2021.xlsx]原始数据'!$A:$A,0)),""))</f>
        <v/>
      </c>
      <c r="N319">
        <f>IF($A319="","",IFERROR(INDEX('[AQ_2022.xlsx]原始数据'!$D:$D,MATCH($A319,'[AQ_2022.xlsx]原始数据'!$A:$A,0)),""))</f>
        <v/>
      </c>
      <c r="O319">
        <f>IF($A319="","",IFERROR(INDEX('[AQ_2023.xlsx]原始数据'!$D:$D,MATCH($A319,'[AQ_2023.xlsx]原始数据'!$A:$A,0)),""))</f>
        <v/>
      </c>
      <c r="P319">
        <f>IF($A319="","",IFERROR(INDEX('[AQ_2024.xlsx]原始数据'!$D:$D,MATCH($A319,'[AQ_2024.xlsx]原始数据'!$A:$A,0)),""))</f>
        <v/>
      </c>
      <c r="Q319">
        <f>IF($A319="","",IFERROR(INDEX('[AQ_2020.xlsx]原始数据'!$E:$E,MATCH($A319,'[AQ_2020.xlsx]原始数据'!$A:$A,0)),""))</f>
        <v/>
      </c>
      <c r="R319">
        <f>IF($A319="","",IFERROR(INDEX('[AQ_2021.xlsx]原始数据'!$E:$E,MATCH($A319,'[AQ_2021.xlsx]原始数据'!$A:$A,0)),""))</f>
        <v/>
      </c>
      <c r="S319">
        <f>IF($A319="","",IFERROR(INDEX('[AQ_2022.xlsx]原始数据'!$E:$E,MATCH($A319,'[AQ_2022.xlsx]原始数据'!$A:$A,0)),""))</f>
        <v/>
      </c>
      <c r="T319">
        <f>IF($A319="","",IFERROR(INDEX('[AQ_2023.xlsx]原始数据'!$E:$E,MATCH($A319,'[AQ_2023.xlsx]原始数据'!$A:$A,0)),""))</f>
        <v/>
      </c>
      <c r="U319">
        <f>IF($A319="","",IFERROR(INDEX('[AQ_2024.xlsx]原始数据'!$E:$E,MATCH($A319,'[AQ_2024.xlsx]原始数据'!$A:$A,0)),""))</f>
        <v/>
      </c>
      <c r="V319">
        <f>IF($A319="","",IFERROR(INDEX('[AQ_2020.xlsx]原始数据'!$F:$F,MATCH($A319,'[AQ_2020.xlsx]原始数据'!$A:$A,0)),""))</f>
        <v/>
      </c>
      <c r="W319">
        <f>IF($A319="","",IFERROR(INDEX('[AQ_2021.xlsx]原始数据'!$F:$F,MATCH($A319,'[AQ_2021.xlsx]原始数据'!$A:$A,0)),""))</f>
        <v/>
      </c>
      <c r="X319">
        <f>IF($A319="","",IFERROR(INDEX('[AQ_2022.xlsx]原始数据'!$F:$F,MATCH($A319,'[AQ_2022.xlsx]原始数据'!$A:$A,0)),""))</f>
        <v/>
      </c>
      <c r="Y319">
        <f>IF($A319="","",IFERROR(INDEX('[AQ_2023.xlsx]原始数据'!$F:$F,MATCH($A319,'[AQ_2023.xlsx]原始数据'!$A:$A,0)),""))</f>
        <v/>
      </c>
      <c r="Z319">
        <f>IF($A319="","",IFERROR(INDEX('[AQ_2024.xlsx]原始数据'!$F:$F,MATCH($A319,'[AQ_2024.xlsx]原始数据'!$A:$A,0)),""))</f>
        <v/>
      </c>
      <c r="AA319" s="2">
        <f>IFERROR(G319/B319,"")</f>
        <v/>
      </c>
      <c r="AB319" s="2">
        <f>IFERROR(H319/C319,"")</f>
        <v/>
      </c>
      <c r="AC319" s="2">
        <f>IFERROR(I319/D319,"")</f>
        <v/>
      </c>
      <c r="AD319" s="2">
        <f>IFERROR(J319/E319,"")</f>
        <v/>
      </c>
      <c r="AE319" s="2">
        <f>IFERROR(K319/F319,"")</f>
        <v/>
      </c>
      <c r="AF319" s="2">
        <f>IFERROR(L319/B319,"")</f>
        <v/>
      </c>
      <c r="AG319" s="2">
        <f>IFERROR(M319/C319,"")</f>
        <v/>
      </c>
      <c r="AH319" s="2">
        <f>IFERROR(N319/D319,"")</f>
        <v/>
      </c>
      <c r="AI319" s="2">
        <f>IFERROR(O319/E319,"")</f>
        <v/>
      </c>
      <c r="AJ319" s="2">
        <f>IFERROR(P319/F319,"")</f>
        <v/>
      </c>
      <c r="AK319" s="2">
        <f>IFERROR(Q319/B319,"")</f>
        <v/>
      </c>
      <c r="AL319" s="2">
        <f>IFERROR(R319/C319,"")</f>
        <v/>
      </c>
      <c r="AM319" s="2">
        <f>IFERROR(S319/D319,"")</f>
        <v/>
      </c>
      <c r="AN319" s="2">
        <f>IFERROR(T319/E319,"")</f>
        <v/>
      </c>
      <c r="AO319" s="2">
        <f>IFERROR(U319/F319,"")</f>
        <v/>
      </c>
    </row>
    <row r="320">
      <c r="B320">
        <f>IF($A320="","",IFERROR(INDEX('[AQ_2020.xlsx]原始数据'!$B:$B,MATCH($A320,'[AQ_2020.xlsx]原始数据'!$A:$A,0)),""))</f>
        <v/>
      </c>
      <c r="C320">
        <f>IF($A320="","",IFERROR(INDEX('[AQ_2021.xlsx]原始数据'!$B:$B,MATCH($A320,'[AQ_2021.xlsx]原始数据'!$A:$A,0)),""))</f>
        <v/>
      </c>
      <c r="D320">
        <f>IF($A320="","",IFERROR(INDEX('[AQ_2022.xlsx]原始数据'!$B:$B,MATCH($A320,'[AQ_2022.xlsx]原始数据'!$A:$A,0)),""))</f>
        <v/>
      </c>
      <c r="E320">
        <f>IF($A320="","",IFERROR(INDEX('[AQ_2023.xlsx]原始数据'!$B:$B,MATCH($A320,'[AQ_2023.xlsx]原始数据'!$A:$A,0)),""))</f>
        <v/>
      </c>
      <c r="F320">
        <f>IF($A320="","",IFERROR(INDEX('[AQ_2024.xlsx]原始数据'!$B:$B,MATCH($A320,'[AQ_2024.xlsx]原始数据'!$A:$A,0)),""))</f>
        <v/>
      </c>
      <c r="G320">
        <f>IF($A320="","",IFERROR(INDEX('[AQ_2020.xlsx]原始数据'!$C:$C,MATCH($A320,'[AQ_2020.xlsx]原始数据'!$A:$A,0)),""))</f>
        <v/>
      </c>
      <c r="H320">
        <f>IF($A320="","",IFERROR(INDEX('[AQ_2021.xlsx]原始数据'!$C:$C,MATCH($A320,'[AQ_2021.xlsx]原始数据'!$A:$A,0)),""))</f>
        <v/>
      </c>
      <c r="I320">
        <f>IF($A320="","",IFERROR(INDEX('[AQ_2022.xlsx]原始数据'!$C:$C,MATCH($A320,'[AQ_2022.xlsx]原始数据'!$A:$A,0)),""))</f>
        <v/>
      </c>
      <c r="J320">
        <f>IF($A320="","",IFERROR(INDEX('[AQ_2023.xlsx]原始数据'!$C:$C,MATCH($A320,'[AQ_2023.xlsx]原始数据'!$A:$A,0)),""))</f>
        <v/>
      </c>
      <c r="K320">
        <f>IF($A320="","",IFERROR(INDEX('[AQ_2024.xlsx]原始数据'!$C:$C,MATCH($A320,'[AQ_2024.xlsx]原始数据'!$A:$A,0)),""))</f>
        <v/>
      </c>
      <c r="L320">
        <f>IF($A320="","",IFERROR(INDEX('[AQ_2020.xlsx]原始数据'!$D:$D,MATCH($A320,'[AQ_2020.xlsx]原始数据'!$A:$A,0)),""))</f>
        <v/>
      </c>
      <c r="M320">
        <f>IF($A320="","",IFERROR(INDEX('[AQ_2021.xlsx]原始数据'!$D:$D,MATCH($A320,'[AQ_2021.xlsx]原始数据'!$A:$A,0)),""))</f>
        <v/>
      </c>
      <c r="N320">
        <f>IF($A320="","",IFERROR(INDEX('[AQ_2022.xlsx]原始数据'!$D:$D,MATCH($A320,'[AQ_2022.xlsx]原始数据'!$A:$A,0)),""))</f>
        <v/>
      </c>
      <c r="O320">
        <f>IF($A320="","",IFERROR(INDEX('[AQ_2023.xlsx]原始数据'!$D:$D,MATCH($A320,'[AQ_2023.xlsx]原始数据'!$A:$A,0)),""))</f>
        <v/>
      </c>
      <c r="P320">
        <f>IF($A320="","",IFERROR(INDEX('[AQ_2024.xlsx]原始数据'!$D:$D,MATCH($A320,'[AQ_2024.xlsx]原始数据'!$A:$A,0)),""))</f>
        <v/>
      </c>
      <c r="Q320">
        <f>IF($A320="","",IFERROR(INDEX('[AQ_2020.xlsx]原始数据'!$E:$E,MATCH($A320,'[AQ_2020.xlsx]原始数据'!$A:$A,0)),""))</f>
        <v/>
      </c>
      <c r="R320">
        <f>IF($A320="","",IFERROR(INDEX('[AQ_2021.xlsx]原始数据'!$E:$E,MATCH($A320,'[AQ_2021.xlsx]原始数据'!$A:$A,0)),""))</f>
        <v/>
      </c>
      <c r="S320">
        <f>IF($A320="","",IFERROR(INDEX('[AQ_2022.xlsx]原始数据'!$E:$E,MATCH($A320,'[AQ_2022.xlsx]原始数据'!$A:$A,0)),""))</f>
        <v/>
      </c>
      <c r="T320">
        <f>IF($A320="","",IFERROR(INDEX('[AQ_2023.xlsx]原始数据'!$E:$E,MATCH($A320,'[AQ_2023.xlsx]原始数据'!$A:$A,0)),""))</f>
        <v/>
      </c>
      <c r="U320">
        <f>IF($A320="","",IFERROR(INDEX('[AQ_2024.xlsx]原始数据'!$E:$E,MATCH($A320,'[AQ_2024.xlsx]原始数据'!$A:$A,0)),""))</f>
        <v/>
      </c>
      <c r="V320">
        <f>IF($A320="","",IFERROR(INDEX('[AQ_2020.xlsx]原始数据'!$F:$F,MATCH($A320,'[AQ_2020.xlsx]原始数据'!$A:$A,0)),""))</f>
        <v/>
      </c>
      <c r="W320">
        <f>IF($A320="","",IFERROR(INDEX('[AQ_2021.xlsx]原始数据'!$F:$F,MATCH($A320,'[AQ_2021.xlsx]原始数据'!$A:$A,0)),""))</f>
        <v/>
      </c>
      <c r="X320">
        <f>IF($A320="","",IFERROR(INDEX('[AQ_2022.xlsx]原始数据'!$F:$F,MATCH($A320,'[AQ_2022.xlsx]原始数据'!$A:$A,0)),""))</f>
        <v/>
      </c>
      <c r="Y320">
        <f>IF($A320="","",IFERROR(INDEX('[AQ_2023.xlsx]原始数据'!$F:$F,MATCH($A320,'[AQ_2023.xlsx]原始数据'!$A:$A,0)),""))</f>
        <v/>
      </c>
      <c r="Z320">
        <f>IF($A320="","",IFERROR(INDEX('[AQ_2024.xlsx]原始数据'!$F:$F,MATCH($A320,'[AQ_2024.xlsx]原始数据'!$A:$A,0)),""))</f>
        <v/>
      </c>
      <c r="AA320" s="2">
        <f>IFERROR(G320/B320,"")</f>
        <v/>
      </c>
      <c r="AB320" s="2">
        <f>IFERROR(H320/C320,"")</f>
        <v/>
      </c>
      <c r="AC320" s="2">
        <f>IFERROR(I320/D320,"")</f>
        <v/>
      </c>
      <c r="AD320" s="2">
        <f>IFERROR(J320/E320,"")</f>
        <v/>
      </c>
      <c r="AE320" s="2">
        <f>IFERROR(K320/F320,"")</f>
        <v/>
      </c>
      <c r="AF320" s="2">
        <f>IFERROR(L320/B320,"")</f>
        <v/>
      </c>
      <c r="AG320" s="2">
        <f>IFERROR(M320/C320,"")</f>
        <v/>
      </c>
      <c r="AH320" s="2">
        <f>IFERROR(N320/D320,"")</f>
        <v/>
      </c>
      <c r="AI320" s="2">
        <f>IFERROR(O320/E320,"")</f>
        <v/>
      </c>
      <c r="AJ320" s="2">
        <f>IFERROR(P320/F320,"")</f>
        <v/>
      </c>
      <c r="AK320" s="2">
        <f>IFERROR(Q320/B320,"")</f>
        <v/>
      </c>
      <c r="AL320" s="2">
        <f>IFERROR(R320/C320,"")</f>
        <v/>
      </c>
      <c r="AM320" s="2">
        <f>IFERROR(S320/D320,"")</f>
        <v/>
      </c>
      <c r="AN320" s="2">
        <f>IFERROR(T320/E320,"")</f>
        <v/>
      </c>
      <c r="AO320" s="2">
        <f>IFERROR(U320/F320,"")</f>
        <v/>
      </c>
    </row>
    <row r="321">
      <c r="B321">
        <f>IF($A321="","",IFERROR(INDEX('[AQ_2020.xlsx]原始数据'!$B:$B,MATCH($A321,'[AQ_2020.xlsx]原始数据'!$A:$A,0)),""))</f>
        <v/>
      </c>
      <c r="C321">
        <f>IF($A321="","",IFERROR(INDEX('[AQ_2021.xlsx]原始数据'!$B:$B,MATCH($A321,'[AQ_2021.xlsx]原始数据'!$A:$A,0)),""))</f>
        <v/>
      </c>
      <c r="D321">
        <f>IF($A321="","",IFERROR(INDEX('[AQ_2022.xlsx]原始数据'!$B:$B,MATCH($A321,'[AQ_2022.xlsx]原始数据'!$A:$A,0)),""))</f>
        <v/>
      </c>
      <c r="E321">
        <f>IF($A321="","",IFERROR(INDEX('[AQ_2023.xlsx]原始数据'!$B:$B,MATCH($A321,'[AQ_2023.xlsx]原始数据'!$A:$A,0)),""))</f>
        <v/>
      </c>
      <c r="F321">
        <f>IF($A321="","",IFERROR(INDEX('[AQ_2024.xlsx]原始数据'!$B:$B,MATCH($A321,'[AQ_2024.xlsx]原始数据'!$A:$A,0)),""))</f>
        <v/>
      </c>
      <c r="G321">
        <f>IF($A321="","",IFERROR(INDEX('[AQ_2020.xlsx]原始数据'!$C:$C,MATCH($A321,'[AQ_2020.xlsx]原始数据'!$A:$A,0)),""))</f>
        <v/>
      </c>
      <c r="H321">
        <f>IF($A321="","",IFERROR(INDEX('[AQ_2021.xlsx]原始数据'!$C:$C,MATCH($A321,'[AQ_2021.xlsx]原始数据'!$A:$A,0)),""))</f>
        <v/>
      </c>
      <c r="I321">
        <f>IF($A321="","",IFERROR(INDEX('[AQ_2022.xlsx]原始数据'!$C:$C,MATCH($A321,'[AQ_2022.xlsx]原始数据'!$A:$A,0)),""))</f>
        <v/>
      </c>
      <c r="J321">
        <f>IF($A321="","",IFERROR(INDEX('[AQ_2023.xlsx]原始数据'!$C:$C,MATCH($A321,'[AQ_2023.xlsx]原始数据'!$A:$A,0)),""))</f>
        <v/>
      </c>
      <c r="K321">
        <f>IF($A321="","",IFERROR(INDEX('[AQ_2024.xlsx]原始数据'!$C:$C,MATCH($A321,'[AQ_2024.xlsx]原始数据'!$A:$A,0)),""))</f>
        <v/>
      </c>
      <c r="L321">
        <f>IF($A321="","",IFERROR(INDEX('[AQ_2020.xlsx]原始数据'!$D:$D,MATCH($A321,'[AQ_2020.xlsx]原始数据'!$A:$A,0)),""))</f>
        <v/>
      </c>
      <c r="M321">
        <f>IF($A321="","",IFERROR(INDEX('[AQ_2021.xlsx]原始数据'!$D:$D,MATCH($A321,'[AQ_2021.xlsx]原始数据'!$A:$A,0)),""))</f>
        <v/>
      </c>
      <c r="N321">
        <f>IF($A321="","",IFERROR(INDEX('[AQ_2022.xlsx]原始数据'!$D:$D,MATCH($A321,'[AQ_2022.xlsx]原始数据'!$A:$A,0)),""))</f>
        <v/>
      </c>
      <c r="O321">
        <f>IF($A321="","",IFERROR(INDEX('[AQ_2023.xlsx]原始数据'!$D:$D,MATCH($A321,'[AQ_2023.xlsx]原始数据'!$A:$A,0)),""))</f>
        <v/>
      </c>
      <c r="P321">
        <f>IF($A321="","",IFERROR(INDEX('[AQ_2024.xlsx]原始数据'!$D:$D,MATCH($A321,'[AQ_2024.xlsx]原始数据'!$A:$A,0)),""))</f>
        <v/>
      </c>
      <c r="Q321">
        <f>IF($A321="","",IFERROR(INDEX('[AQ_2020.xlsx]原始数据'!$E:$E,MATCH($A321,'[AQ_2020.xlsx]原始数据'!$A:$A,0)),""))</f>
        <v/>
      </c>
      <c r="R321">
        <f>IF($A321="","",IFERROR(INDEX('[AQ_2021.xlsx]原始数据'!$E:$E,MATCH($A321,'[AQ_2021.xlsx]原始数据'!$A:$A,0)),""))</f>
        <v/>
      </c>
      <c r="S321">
        <f>IF($A321="","",IFERROR(INDEX('[AQ_2022.xlsx]原始数据'!$E:$E,MATCH($A321,'[AQ_2022.xlsx]原始数据'!$A:$A,0)),""))</f>
        <v/>
      </c>
      <c r="T321">
        <f>IF($A321="","",IFERROR(INDEX('[AQ_2023.xlsx]原始数据'!$E:$E,MATCH($A321,'[AQ_2023.xlsx]原始数据'!$A:$A,0)),""))</f>
        <v/>
      </c>
      <c r="U321">
        <f>IF($A321="","",IFERROR(INDEX('[AQ_2024.xlsx]原始数据'!$E:$E,MATCH($A321,'[AQ_2024.xlsx]原始数据'!$A:$A,0)),""))</f>
        <v/>
      </c>
      <c r="V321">
        <f>IF($A321="","",IFERROR(INDEX('[AQ_2020.xlsx]原始数据'!$F:$F,MATCH($A321,'[AQ_2020.xlsx]原始数据'!$A:$A,0)),""))</f>
        <v/>
      </c>
      <c r="W321">
        <f>IF($A321="","",IFERROR(INDEX('[AQ_2021.xlsx]原始数据'!$F:$F,MATCH($A321,'[AQ_2021.xlsx]原始数据'!$A:$A,0)),""))</f>
        <v/>
      </c>
      <c r="X321">
        <f>IF($A321="","",IFERROR(INDEX('[AQ_2022.xlsx]原始数据'!$F:$F,MATCH($A321,'[AQ_2022.xlsx]原始数据'!$A:$A,0)),""))</f>
        <v/>
      </c>
      <c r="Y321">
        <f>IF($A321="","",IFERROR(INDEX('[AQ_2023.xlsx]原始数据'!$F:$F,MATCH($A321,'[AQ_2023.xlsx]原始数据'!$A:$A,0)),""))</f>
        <v/>
      </c>
      <c r="Z321">
        <f>IF($A321="","",IFERROR(INDEX('[AQ_2024.xlsx]原始数据'!$F:$F,MATCH($A321,'[AQ_2024.xlsx]原始数据'!$A:$A,0)),""))</f>
        <v/>
      </c>
      <c r="AA321" s="2">
        <f>IFERROR(G321/B321,"")</f>
        <v/>
      </c>
      <c r="AB321" s="2">
        <f>IFERROR(H321/C321,"")</f>
        <v/>
      </c>
      <c r="AC321" s="2">
        <f>IFERROR(I321/D321,"")</f>
        <v/>
      </c>
      <c r="AD321" s="2">
        <f>IFERROR(J321/E321,"")</f>
        <v/>
      </c>
      <c r="AE321" s="2">
        <f>IFERROR(K321/F321,"")</f>
        <v/>
      </c>
      <c r="AF321" s="2">
        <f>IFERROR(L321/B321,"")</f>
        <v/>
      </c>
      <c r="AG321" s="2">
        <f>IFERROR(M321/C321,"")</f>
        <v/>
      </c>
      <c r="AH321" s="2">
        <f>IFERROR(N321/D321,"")</f>
        <v/>
      </c>
      <c r="AI321" s="2">
        <f>IFERROR(O321/E321,"")</f>
        <v/>
      </c>
      <c r="AJ321" s="2">
        <f>IFERROR(P321/F321,"")</f>
        <v/>
      </c>
      <c r="AK321" s="2">
        <f>IFERROR(Q321/B321,"")</f>
        <v/>
      </c>
      <c r="AL321" s="2">
        <f>IFERROR(R321/C321,"")</f>
        <v/>
      </c>
      <c r="AM321" s="2">
        <f>IFERROR(S321/D321,"")</f>
        <v/>
      </c>
      <c r="AN321" s="2">
        <f>IFERROR(T321/E321,"")</f>
        <v/>
      </c>
      <c r="AO321" s="2">
        <f>IFERROR(U321/F321,"")</f>
        <v/>
      </c>
    </row>
    <row r="322">
      <c r="B322">
        <f>IF($A322="","",IFERROR(INDEX('[AQ_2020.xlsx]原始数据'!$B:$B,MATCH($A322,'[AQ_2020.xlsx]原始数据'!$A:$A,0)),""))</f>
        <v/>
      </c>
      <c r="C322">
        <f>IF($A322="","",IFERROR(INDEX('[AQ_2021.xlsx]原始数据'!$B:$B,MATCH($A322,'[AQ_2021.xlsx]原始数据'!$A:$A,0)),""))</f>
        <v/>
      </c>
      <c r="D322">
        <f>IF($A322="","",IFERROR(INDEX('[AQ_2022.xlsx]原始数据'!$B:$B,MATCH($A322,'[AQ_2022.xlsx]原始数据'!$A:$A,0)),""))</f>
        <v/>
      </c>
      <c r="E322">
        <f>IF($A322="","",IFERROR(INDEX('[AQ_2023.xlsx]原始数据'!$B:$B,MATCH($A322,'[AQ_2023.xlsx]原始数据'!$A:$A,0)),""))</f>
        <v/>
      </c>
      <c r="F322">
        <f>IF($A322="","",IFERROR(INDEX('[AQ_2024.xlsx]原始数据'!$B:$B,MATCH($A322,'[AQ_2024.xlsx]原始数据'!$A:$A,0)),""))</f>
        <v/>
      </c>
      <c r="G322">
        <f>IF($A322="","",IFERROR(INDEX('[AQ_2020.xlsx]原始数据'!$C:$C,MATCH($A322,'[AQ_2020.xlsx]原始数据'!$A:$A,0)),""))</f>
        <v/>
      </c>
      <c r="H322">
        <f>IF($A322="","",IFERROR(INDEX('[AQ_2021.xlsx]原始数据'!$C:$C,MATCH($A322,'[AQ_2021.xlsx]原始数据'!$A:$A,0)),""))</f>
        <v/>
      </c>
      <c r="I322">
        <f>IF($A322="","",IFERROR(INDEX('[AQ_2022.xlsx]原始数据'!$C:$C,MATCH($A322,'[AQ_2022.xlsx]原始数据'!$A:$A,0)),""))</f>
        <v/>
      </c>
      <c r="J322">
        <f>IF($A322="","",IFERROR(INDEX('[AQ_2023.xlsx]原始数据'!$C:$C,MATCH($A322,'[AQ_2023.xlsx]原始数据'!$A:$A,0)),""))</f>
        <v/>
      </c>
      <c r="K322">
        <f>IF($A322="","",IFERROR(INDEX('[AQ_2024.xlsx]原始数据'!$C:$C,MATCH($A322,'[AQ_2024.xlsx]原始数据'!$A:$A,0)),""))</f>
        <v/>
      </c>
      <c r="L322">
        <f>IF($A322="","",IFERROR(INDEX('[AQ_2020.xlsx]原始数据'!$D:$D,MATCH($A322,'[AQ_2020.xlsx]原始数据'!$A:$A,0)),""))</f>
        <v/>
      </c>
      <c r="M322">
        <f>IF($A322="","",IFERROR(INDEX('[AQ_2021.xlsx]原始数据'!$D:$D,MATCH($A322,'[AQ_2021.xlsx]原始数据'!$A:$A,0)),""))</f>
        <v/>
      </c>
      <c r="N322">
        <f>IF($A322="","",IFERROR(INDEX('[AQ_2022.xlsx]原始数据'!$D:$D,MATCH($A322,'[AQ_2022.xlsx]原始数据'!$A:$A,0)),""))</f>
        <v/>
      </c>
      <c r="O322">
        <f>IF($A322="","",IFERROR(INDEX('[AQ_2023.xlsx]原始数据'!$D:$D,MATCH($A322,'[AQ_2023.xlsx]原始数据'!$A:$A,0)),""))</f>
        <v/>
      </c>
      <c r="P322">
        <f>IF($A322="","",IFERROR(INDEX('[AQ_2024.xlsx]原始数据'!$D:$D,MATCH($A322,'[AQ_2024.xlsx]原始数据'!$A:$A,0)),""))</f>
        <v/>
      </c>
      <c r="Q322">
        <f>IF($A322="","",IFERROR(INDEX('[AQ_2020.xlsx]原始数据'!$E:$E,MATCH($A322,'[AQ_2020.xlsx]原始数据'!$A:$A,0)),""))</f>
        <v/>
      </c>
      <c r="R322">
        <f>IF($A322="","",IFERROR(INDEX('[AQ_2021.xlsx]原始数据'!$E:$E,MATCH($A322,'[AQ_2021.xlsx]原始数据'!$A:$A,0)),""))</f>
        <v/>
      </c>
      <c r="S322">
        <f>IF($A322="","",IFERROR(INDEX('[AQ_2022.xlsx]原始数据'!$E:$E,MATCH($A322,'[AQ_2022.xlsx]原始数据'!$A:$A,0)),""))</f>
        <v/>
      </c>
      <c r="T322">
        <f>IF($A322="","",IFERROR(INDEX('[AQ_2023.xlsx]原始数据'!$E:$E,MATCH($A322,'[AQ_2023.xlsx]原始数据'!$A:$A,0)),""))</f>
        <v/>
      </c>
      <c r="U322">
        <f>IF($A322="","",IFERROR(INDEX('[AQ_2024.xlsx]原始数据'!$E:$E,MATCH($A322,'[AQ_2024.xlsx]原始数据'!$A:$A,0)),""))</f>
        <v/>
      </c>
      <c r="V322">
        <f>IF($A322="","",IFERROR(INDEX('[AQ_2020.xlsx]原始数据'!$F:$F,MATCH($A322,'[AQ_2020.xlsx]原始数据'!$A:$A,0)),""))</f>
        <v/>
      </c>
      <c r="W322">
        <f>IF($A322="","",IFERROR(INDEX('[AQ_2021.xlsx]原始数据'!$F:$F,MATCH($A322,'[AQ_2021.xlsx]原始数据'!$A:$A,0)),""))</f>
        <v/>
      </c>
      <c r="X322">
        <f>IF($A322="","",IFERROR(INDEX('[AQ_2022.xlsx]原始数据'!$F:$F,MATCH($A322,'[AQ_2022.xlsx]原始数据'!$A:$A,0)),""))</f>
        <v/>
      </c>
      <c r="Y322">
        <f>IF($A322="","",IFERROR(INDEX('[AQ_2023.xlsx]原始数据'!$F:$F,MATCH($A322,'[AQ_2023.xlsx]原始数据'!$A:$A,0)),""))</f>
        <v/>
      </c>
      <c r="Z322">
        <f>IF($A322="","",IFERROR(INDEX('[AQ_2024.xlsx]原始数据'!$F:$F,MATCH($A322,'[AQ_2024.xlsx]原始数据'!$A:$A,0)),""))</f>
        <v/>
      </c>
      <c r="AA322" s="2">
        <f>IFERROR(G322/B322,"")</f>
        <v/>
      </c>
      <c r="AB322" s="2">
        <f>IFERROR(H322/C322,"")</f>
        <v/>
      </c>
      <c r="AC322" s="2">
        <f>IFERROR(I322/D322,"")</f>
        <v/>
      </c>
      <c r="AD322" s="2">
        <f>IFERROR(J322/E322,"")</f>
        <v/>
      </c>
      <c r="AE322" s="2">
        <f>IFERROR(K322/F322,"")</f>
        <v/>
      </c>
      <c r="AF322" s="2">
        <f>IFERROR(L322/B322,"")</f>
        <v/>
      </c>
      <c r="AG322" s="2">
        <f>IFERROR(M322/C322,"")</f>
        <v/>
      </c>
      <c r="AH322" s="2">
        <f>IFERROR(N322/D322,"")</f>
        <v/>
      </c>
      <c r="AI322" s="2">
        <f>IFERROR(O322/E322,"")</f>
        <v/>
      </c>
      <c r="AJ322" s="2">
        <f>IFERROR(P322/F322,"")</f>
        <v/>
      </c>
      <c r="AK322" s="2">
        <f>IFERROR(Q322/B322,"")</f>
        <v/>
      </c>
      <c r="AL322" s="2">
        <f>IFERROR(R322/C322,"")</f>
        <v/>
      </c>
      <c r="AM322" s="2">
        <f>IFERROR(S322/D322,"")</f>
        <v/>
      </c>
      <c r="AN322" s="2">
        <f>IFERROR(T322/E322,"")</f>
        <v/>
      </c>
      <c r="AO322" s="2">
        <f>IFERROR(U322/F322,"")</f>
        <v/>
      </c>
    </row>
    <row r="323">
      <c r="B323">
        <f>IF($A323="","",IFERROR(INDEX('[AQ_2020.xlsx]原始数据'!$B:$B,MATCH($A323,'[AQ_2020.xlsx]原始数据'!$A:$A,0)),""))</f>
        <v/>
      </c>
      <c r="C323">
        <f>IF($A323="","",IFERROR(INDEX('[AQ_2021.xlsx]原始数据'!$B:$B,MATCH($A323,'[AQ_2021.xlsx]原始数据'!$A:$A,0)),""))</f>
        <v/>
      </c>
      <c r="D323">
        <f>IF($A323="","",IFERROR(INDEX('[AQ_2022.xlsx]原始数据'!$B:$B,MATCH($A323,'[AQ_2022.xlsx]原始数据'!$A:$A,0)),""))</f>
        <v/>
      </c>
      <c r="E323">
        <f>IF($A323="","",IFERROR(INDEX('[AQ_2023.xlsx]原始数据'!$B:$B,MATCH($A323,'[AQ_2023.xlsx]原始数据'!$A:$A,0)),""))</f>
        <v/>
      </c>
      <c r="F323">
        <f>IF($A323="","",IFERROR(INDEX('[AQ_2024.xlsx]原始数据'!$B:$B,MATCH($A323,'[AQ_2024.xlsx]原始数据'!$A:$A,0)),""))</f>
        <v/>
      </c>
      <c r="G323">
        <f>IF($A323="","",IFERROR(INDEX('[AQ_2020.xlsx]原始数据'!$C:$C,MATCH($A323,'[AQ_2020.xlsx]原始数据'!$A:$A,0)),""))</f>
        <v/>
      </c>
      <c r="H323">
        <f>IF($A323="","",IFERROR(INDEX('[AQ_2021.xlsx]原始数据'!$C:$C,MATCH($A323,'[AQ_2021.xlsx]原始数据'!$A:$A,0)),""))</f>
        <v/>
      </c>
      <c r="I323">
        <f>IF($A323="","",IFERROR(INDEX('[AQ_2022.xlsx]原始数据'!$C:$C,MATCH($A323,'[AQ_2022.xlsx]原始数据'!$A:$A,0)),""))</f>
        <v/>
      </c>
      <c r="J323">
        <f>IF($A323="","",IFERROR(INDEX('[AQ_2023.xlsx]原始数据'!$C:$C,MATCH($A323,'[AQ_2023.xlsx]原始数据'!$A:$A,0)),""))</f>
        <v/>
      </c>
      <c r="K323">
        <f>IF($A323="","",IFERROR(INDEX('[AQ_2024.xlsx]原始数据'!$C:$C,MATCH($A323,'[AQ_2024.xlsx]原始数据'!$A:$A,0)),""))</f>
        <v/>
      </c>
      <c r="L323">
        <f>IF($A323="","",IFERROR(INDEX('[AQ_2020.xlsx]原始数据'!$D:$D,MATCH($A323,'[AQ_2020.xlsx]原始数据'!$A:$A,0)),""))</f>
        <v/>
      </c>
      <c r="M323">
        <f>IF($A323="","",IFERROR(INDEX('[AQ_2021.xlsx]原始数据'!$D:$D,MATCH($A323,'[AQ_2021.xlsx]原始数据'!$A:$A,0)),""))</f>
        <v/>
      </c>
      <c r="N323">
        <f>IF($A323="","",IFERROR(INDEX('[AQ_2022.xlsx]原始数据'!$D:$D,MATCH($A323,'[AQ_2022.xlsx]原始数据'!$A:$A,0)),""))</f>
        <v/>
      </c>
      <c r="O323">
        <f>IF($A323="","",IFERROR(INDEX('[AQ_2023.xlsx]原始数据'!$D:$D,MATCH($A323,'[AQ_2023.xlsx]原始数据'!$A:$A,0)),""))</f>
        <v/>
      </c>
      <c r="P323">
        <f>IF($A323="","",IFERROR(INDEX('[AQ_2024.xlsx]原始数据'!$D:$D,MATCH($A323,'[AQ_2024.xlsx]原始数据'!$A:$A,0)),""))</f>
        <v/>
      </c>
      <c r="Q323">
        <f>IF($A323="","",IFERROR(INDEX('[AQ_2020.xlsx]原始数据'!$E:$E,MATCH($A323,'[AQ_2020.xlsx]原始数据'!$A:$A,0)),""))</f>
        <v/>
      </c>
      <c r="R323">
        <f>IF($A323="","",IFERROR(INDEX('[AQ_2021.xlsx]原始数据'!$E:$E,MATCH($A323,'[AQ_2021.xlsx]原始数据'!$A:$A,0)),""))</f>
        <v/>
      </c>
      <c r="S323">
        <f>IF($A323="","",IFERROR(INDEX('[AQ_2022.xlsx]原始数据'!$E:$E,MATCH($A323,'[AQ_2022.xlsx]原始数据'!$A:$A,0)),""))</f>
        <v/>
      </c>
      <c r="T323">
        <f>IF($A323="","",IFERROR(INDEX('[AQ_2023.xlsx]原始数据'!$E:$E,MATCH($A323,'[AQ_2023.xlsx]原始数据'!$A:$A,0)),""))</f>
        <v/>
      </c>
      <c r="U323">
        <f>IF($A323="","",IFERROR(INDEX('[AQ_2024.xlsx]原始数据'!$E:$E,MATCH($A323,'[AQ_2024.xlsx]原始数据'!$A:$A,0)),""))</f>
        <v/>
      </c>
      <c r="V323">
        <f>IF($A323="","",IFERROR(INDEX('[AQ_2020.xlsx]原始数据'!$F:$F,MATCH($A323,'[AQ_2020.xlsx]原始数据'!$A:$A,0)),""))</f>
        <v/>
      </c>
      <c r="W323">
        <f>IF($A323="","",IFERROR(INDEX('[AQ_2021.xlsx]原始数据'!$F:$F,MATCH($A323,'[AQ_2021.xlsx]原始数据'!$A:$A,0)),""))</f>
        <v/>
      </c>
      <c r="X323">
        <f>IF($A323="","",IFERROR(INDEX('[AQ_2022.xlsx]原始数据'!$F:$F,MATCH($A323,'[AQ_2022.xlsx]原始数据'!$A:$A,0)),""))</f>
        <v/>
      </c>
      <c r="Y323">
        <f>IF($A323="","",IFERROR(INDEX('[AQ_2023.xlsx]原始数据'!$F:$F,MATCH($A323,'[AQ_2023.xlsx]原始数据'!$A:$A,0)),""))</f>
        <v/>
      </c>
      <c r="Z323">
        <f>IF($A323="","",IFERROR(INDEX('[AQ_2024.xlsx]原始数据'!$F:$F,MATCH($A323,'[AQ_2024.xlsx]原始数据'!$A:$A,0)),""))</f>
        <v/>
      </c>
      <c r="AA323" s="2">
        <f>IFERROR(G323/B323,"")</f>
        <v/>
      </c>
      <c r="AB323" s="2">
        <f>IFERROR(H323/C323,"")</f>
        <v/>
      </c>
      <c r="AC323" s="2">
        <f>IFERROR(I323/D323,"")</f>
        <v/>
      </c>
      <c r="AD323" s="2">
        <f>IFERROR(J323/E323,"")</f>
        <v/>
      </c>
      <c r="AE323" s="2">
        <f>IFERROR(K323/F323,"")</f>
        <v/>
      </c>
      <c r="AF323" s="2">
        <f>IFERROR(L323/B323,"")</f>
        <v/>
      </c>
      <c r="AG323" s="2">
        <f>IFERROR(M323/C323,"")</f>
        <v/>
      </c>
      <c r="AH323" s="2">
        <f>IFERROR(N323/D323,"")</f>
        <v/>
      </c>
      <c r="AI323" s="2">
        <f>IFERROR(O323/E323,"")</f>
        <v/>
      </c>
      <c r="AJ323" s="2">
        <f>IFERROR(P323/F323,"")</f>
        <v/>
      </c>
      <c r="AK323" s="2">
        <f>IFERROR(Q323/B323,"")</f>
        <v/>
      </c>
      <c r="AL323" s="2">
        <f>IFERROR(R323/C323,"")</f>
        <v/>
      </c>
      <c r="AM323" s="2">
        <f>IFERROR(S323/D323,"")</f>
        <v/>
      </c>
      <c r="AN323" s="2">
        <f>IFERROR(T323/E323,"")</f>
        <v/>
      </c>
      <c r="AO323" s="2">
        <f>IFERROR(U323/F323,"")</f>
        <v/>
      </c>
    </row>
    <row r="324">
      <c r="B324">
        <f>IF($A324="","",IFERROR(INDEX('[AQ_2020.xlsx]原始数据'!$B:$B,MATCH($A324,'[AQ_2020.xlsx]原始数据'!$A:$A,0)),""))</f>
        <v/>
      </c>
      <c r="C324">
        <f>IF($A324="","",IFERROR(INDEX('[AQ_2021.xlsx]原始数据'!$B:$B,MATCH($A324,'[AQ_2021.xlsx]原始数据'!$A:$A,0)),""))</f>
        <v/>
      </c>
      <c r="D324">
        <f>IF($A324="","",IFERROR(INDEX('[AQ_2022.xlsx]原始数据'!$B:$B,MATCH($A324,'[AQ_2022.xlsx]原始数据'!$A:$A,0)),""))</f>
        <v/>
      </c>
      <c r="E324">
        <f>IF($A324="","",IFERROR(INDEX('[AQ_2023.xlsx]原始数据'!$B:$B,MATCH($A324,'[AQ_2023.xlsx]原始数据'!$A:$A,0)),""))</f>
        <v/>
      </c>
      <c r="F324">
        <f>IF($A324="","",IFERROR(INDEX('[AQ_2024.xlsx]原始数据'!$B:$B,MATCH($A324,'[AQ_2024.xlsx]原始数据'!$A:$A,0)),""))</f>
        <v/>
      </c>
      <c r="G324">
        <f>IF($A324="","",IFERROR(INDEX('[AQ_2020.xlsx]原始数据'!$C:$C,MATCH($A324,'[AQ_2020.xlsx]原始数据'!$A:$A,0)),""))</f>
        <v/>
      </c>
      <c r="H324">
        <f>IF($A324="","",IFERROR(INDEX('[AQ_2021.xlsx]原始数据'!$C:$C,MATCH($A324,'[AQ_2021.xlsx]原始数据'!$A:$A,0)),""))</f>
        <v/>
      </c>
      <c r="I324">
        <f>IF($A324="","",IFERROR(INDEX('[AQ_2022.xlsx]原始数据'!$C:$C,MATCH($A324,'[AQ_2022.xlsx]原始数据'!$A:$A,0)),""))</f>
        <v/>
      </c>
      <c r="J324">
        <f>IF($A324="","",IFERROR(INDEX('[AQ_2023.xlsx]原始数据'!$C:$C,MATCH($A324,'[AQ_2023.xlsx]原始数据'!$A:$A,0)),""))</f>
        <v/>
      </c>
      <c r="K324">
        <f>IF($A324="","",IFERROR(INDEX('[AQ_2024.xlsx]原始数据'!$C:$C,MATCH($A324,'[AQ_2024.xlsx]原始数据'!$A:$A,0)),""))</f>
        <v/>
      </c>
      <c r="L324">
        <f>IF($A324="","",IFERROR(INDEX('[AQ_2020.xlsx]原始数据'!$D:$D,MATCH($A324,'[AQ_2020.xlsx]原始数据'!$A:$A,0)),""))</f>
        <v/>
      </c>
      <c r="M324">
        <f>IF($A324="","",IFERROR(INDEX('[AQ_2021.xlsx]原始数据'!$D:$D,MATCH($A324,'[AQ_2021.xlsx]原始数据'!$A:$A,0)),""))</f>
        <v/>
      </c>
      <c r="N324">
        <f>IF($A324="","",IFERROR(INDEX('[AQ_2022.xlsx]原始数据'!$D:$D,MATCH($A324,'[AQ_2022.xlsx]原始数据'!$A:$A,0)),""))</f>
        <v/>
      </c>
      <c r="O324">
        <f>IF($A324="","",IFERROR(INDEX('[AQ_2023.xlsx]原始数据'!$D:$D,MATCH($A324,'[AQ_2023.xlsx]原始数据'!$A:$A,0)),""))</f>
        <v/>
      </c>
      <c r="P324">
        <f>IF($A324="","",IFERROR(INDEX('[AQ_2024.xlsx]原始数据'!$D:$D,MATCH($A324,'[AQ_2024.xlsx]原始数据'!$A:$A,0)),""))</f>
        <v/>
      </c>
      <c r="Q324">
        <f>IF($A324="","",IFERROR(INDEX('[AQ_2020.xlsx]原始数据'!$E:$E,MATCH($A324,'[AQ_2020.xlsx]原始数据'!$A:$A,0)),""))</f>
        <v/>
      </c>
      <c r="R324">
        <f>IF($A324="","",IFERROR(INDEX('[AQ_2021.xlsx]原始数据'!$E:$E,MATCH($A324,'[AQ_2021.xlsx]原始数据'!$A:$A,0)),""))</f>
        <v/>
      </c>
      <c r="S324">
        <f>IF($A324="","",IFERROR(INDEX('[AQ_2022.xlsx]原始数据'!$E:$E,MATCH($A324,'[AQ_2022.xlsx]原始数据'!$A:$A,0)),""))</f>
        <v/>
      </c>
      <c r="T324">
        <f>IF($A324="","",IFERROR(INDEX('[AQ_2023.xlsx]原始数据'!$E:$E,MATCH($A324,'[AQ_2023.xlsx]原始数据'!$A:$A,0)),""))</f>
        <v/>
      </c>
      <c r="U324">
        <f>IF($A324="","",IFERROR(INDEX('[AQ_2024.xlsx]原始数据'!$E:$E,MATCH($A324,'[AQ_2024.xlsx]原始数据'!$A:$A,0)),""))</f>
        <v/>
      </c>
      <c r="V324">
        <f>IF($A324="","",IFERROR(INDEX('[AQ_2020.xlsx]原始数据'!$F:$F,MATCH($A324,'[AQ_2020.xlsx]原始数据'!$A:$A,0)),""))</f>
        <v/>
      </c>
      <c r="W324">
        <f>IF($A324="","",IFERROR(INDEX('[AQ_2021.xlsx]原始数据'!$F:$F,MATCH($A324,'[AQ_2021.xlsx]原始数据'!$A:$A,0)),""))</f>
        <v/>
      </c>
      <c r="X324">
        <f>IF($A324="","",IFERROR(INDEX('[AQ_2022.xlsx]原始数据'!$F:$F,MATCH($A324,'[AQ_2022.xlsx]原始数据'!$A:$A,0)),""))</f>
        <v/>
      </c>
      <c r="Y324">
        <f>IF($A324="","",IFERROR(INDEX('[AQ_2023.xlsx]原始数据'!$F:$F,MATCH($A324,'[AQ_2023.xlsx]原始数据'!$A:$A,0)),""))</f>
        <v/>
      </c>
      <c r="Z324">
        <f>IF($A324="","",IFERROR(INDEX('[AQ_2024.xlsx]原始数据'!$F:$F,MATCH($A324,'[AQ_2024.xlsx]原始数据'!$A:$A,0)),""))</f>
        <v/>
      </c>
      <c r="AA324" s="2">
        <f>IFERROR(G324/B324,"")</f>
        <v/>
      </c>
      <c r="AB324" s="2">
        <f>IFERROR(H324/C324,"")</f>
        <v/>
      </c>
      <c r="AC324" s="2">
        <f>IFERROR(I324/D324,"")</f>
        <v/>
      </c>
      <c r="AD324" s="2">
        <f>IFERROR(J324/E324,"")</f>
        <v/>
      </c>
      <c r="AE324" s="2">
        <f>IFERROR(K324/F324,"")</f>
        <v/>
      </c>
      <c r="AF324" s="2">
        <f>IFERROR(L324/B324,"")</f>
        <v/>
      </c>
      <c r="AG324" s="2">
        <f>IFERROR(M324/C324,"")</f>
        <v/>
      </c>
      <c r="AH324" s="2">
        <f>IFERROR(N324/D324,"")</f>
        <v/>
      </c>
      <c r="AI324" s="2">
        <f>IFERROR(O324/E324,"")</f>
        <v/>
      </c>
      <c r="AJ324" s="2">
        <f>IFERROR(P324/F324,"")</f>
        <v/>
      </c>
      <c r="AK324" s="2">
        <f>IFERROR(Q324/B324,"")</f>
        <v/>
      </c>
      <c r="AL324" s="2">
        <f>IFERROR(R324/C324,"")</f>
        <v/>
      </c>
      <c r="AM324" s="2">
        <f>IFERROR(S324/D324,"")</f>
        <v/>
      </c>
      <c r="AN324" s="2">
        <f>IFERROR(T324/E324,"")</f>
        <v/>
      </c>
      <c r="AO324" s="2">
        <f>IFERROR(U324/F324,"")</f>
        <v/>
      </c>
    </row>
    <row r="325">
      <c r="B325">
        <f>IF($A325="","",IFERROR(INDEX('[AQ_2020.xlsx]原始数据'!$B:$B,MATCH($A325,'[AQ_2020.xlsx]原始数据'!$A:$A,0)),""))</f>
        <v/>
      </c>
      <c r="C325">
        <f>IF($A325="","",IFERROR(INDEX('[AQ_2021.xlsx]原始数据'!$B:$B,MATCH($A325,'[AQ_2021.xlsx]原始数据'!$A:$A,0)),""))</f>
        <v/>
      </c>
      <c r="D325">
        <f>IF($A325="","",IFERROR(INDEX('[AQ_2022.xlsx]原始数据'!$B:$B,MATCH($A325,'[AQ_2022.xlsx]原始数据'!$A:$A,0)),""))</f>
        <v/>
      </c>
      <c r="E325">
        <f>IF($A325="","",IFERROR(INDEX('[AQ_2023.xlsx]原始数据'!$B:$B,MATCH($A325,'[AQ_2023.xlsx]原始数据'!$A:$A,0)),""))</f>
        <v/>
      </c>
      <c r="F325">
        <f>IF($A325="","",IFERROR(INDEX('[AQ_2024.xlsx]原始数据'!$B:$B,MATCH($A325,'[AQ_2024.xlsx]原始数据'!$A:$A,0)),""))</f>
        <v/>
      </c>
      <c r="G325">
        <f>IF($A325="","",IFERROR(INDEX('[AQ_2020.xlsx]原始数据'!$C:$C,MATCH($A325,'[AQ_2020.xlsx]原始数据'!$A:$A,0)),""))</f>
        <v/>
      </c>
      <c r="H325">
        <f>IF($A325="","",IFERROR(INDEX('[AQ_2021.xlsx]原始数据'!$C:$C,MATCH($A325,'[AQ_2021.xlsx]原始数据'!$A:$A,0)),""))</f>
        <v/>
      </c>
      <c r="I325">
        <f>IF($A325="","",IFERROR(INDEX('[AQ_2022.xlsx]原始数据'!$C:$C,MATCH($A325,'[AQ_2022.xlsx]原始数据'!$A:$A,0)),""))</f>
        <v/>
      </c>
      <c r="J325">
        <f>IF($A325="","",IFERROR(INDEX('[AQ_2023.xlsx]原始数据'!$C:$C,MATCH($A325,'[AQ_2023.xlsx]原始数据'!$A:$A,0)),""))</f>
        <v/>
      </c>
      <c r="K325">
        <f>IF($A325="","",IFERROR(INDEX('[AQ_2024.xlsx]原始数据'!$C:$C,MATCH($A325,'[AQ_2024.xlsx]原始数据'!$A:$A,0)),""))</f>
        <v/>
      </c>
      <c r="L325">
        <f>IF($A325="","",IFERROR(INDEX('[AQ_2020.xlsx]原始数据'!$D:$D,MATCH($A325,'[AQ_2020.xlsx]原始数据'!$A:$A,0)),""))</f>
        <v/>
      </c>
      <c r="M325">
        <f>IF($A325="","",IFERROR(INDEX('[AQ_2021.xlsx]原始数据'!$D:$D,MATCH($A325,'[AQ_2021.xlsx]原始数据'!$A:$A,0)),""))</f>
        <v/>
      </c>
      <c r="N325">
        <f>IF($A325="","",IFERROR(INDEX('[AQ_2022.xlsx]原始数据'!$D:$D,MATCH($A325,'[AQ_2022.xlsx]原始数据'!$A:$A,0)),""))</f>
        <v/>
      </c>
      <c r="O325">
        <f>IF($A325="","",IFERROR(INDEX('[AQ_2023.xlsx]原始数据'!$D:$D,MATCH($A325,'[AQ_2023.xlsx]原始数据'!$A:$A,0)),""))</f>
        <v/>
      </c>
      <c r="P325">
        <f>IF($A325="","",IFERROR(INDEX('[AQ_2024.xlsx]原始数据'!$D:$D,MATCH($A325,'[AQ_2024.xlsx]原始数据'!$A:$A,0)),""))</f>
        <v/>
      </c>
      <c r="Q325">
        <f>IF($A325="","",IFERROR(INDEX('[AQ_2020.xlsx]原始数据'!$E:$E,MATCH($A325,'[AQ_2020.xlsx]原始数据'!$A:$A,0)),""))</f>
        <v/>
      </c>
      <c r="R325">
        <f>IF($A325="","",IFERROR(INDEX('[AQ_2021.xlsx]原始数据'!$E:$E,MATCH($A325,'[AQ_2021.xlsx]原始数据'!$A:$A,0)),""))</f>
        <v/>
      </c>
      <c r="S325">
        <f>IF($A325="","",IFERROR(INDEX('[AQ_2022.xlsx]原始数据'!$E:$E,MATCH($A325,'[AQ_2022.xlsx]原始数据'!$A:$A,0)),""))</f>
        <v/>
      </c>
      <c r="T325">
        <f>IF($A325="","",IFERROR(INDEX('[AQ_2023.xlsx]原始数据'!$E:$E,MATCH($A325,'[AQ_2023.xlsx]原始数据'!$A:$A,0)),""))</f>
        <v/>
      </c>
      <c r="U325">
        <f>IF($A325="","",IFERROR(INDEX('[AQ_2024.xlsx]原始数据'!$E:$E,MATCH($A325,'[AQ_2024.xlsx]原始数据'!$A:$A,0)),""))</f>
        <v/>
      </c>
      <c r="V325">
        <f>IF($A325="","",IFERROR(INDEX('[AQ_2020.xlsx]原始数据'!$F:$F,MATCH($A325,'[AQ_2020.xlsx]原始数据'!$A:$A,0)),""))</f>
        <v/>
      </c>
      <c r="W325">
        <f>IF($A325="","",IFERROR(INDEX('[AQ_2021.xlsx]原始数据'!$F:$F,MATCH($A325,'[AQ_2021.xlsx]原始数据'!$A:$A,0)),""))</f>
        <v/>
      </c>
      <c r="X325">
        <f>IF($A325="","",IFERROR(INDEX('[AQ_2022.xlsx]原始数据'!$F:$F,MATCH($A325,'[AQ_2022.xlsx]原始数据'!$A:$A,0)),""))</f>
        <v/>
      </c>
      <c r="Y325">
        <f>IF($A325="","",IFERROR(INDEX('[AQ_2023.xlsx]原始数据'!$F:$F,MATCH($A325,'[AQ_2023.xlsx]原始数据'!$A:$A,0)),""))</f>
        <v/>
      </c>
      <c r="Z325">
        <f>IF($A325="","",IFERROR(INDEX('[AQ_2024.xlsx]原始数据'!$F:$F,MATCH($A325,'[AQ_2024.xlsx]原始数据'!$A:$A,0)),""))</f>
        <v/>
      </c>
      <c r="AA325" s="2">
        <f>IFERROR(G325/B325,"")</f>
        <v/>
      </c>
      <c r="AB325" s="2">
        <f>IFERROR(H325/C325,"")</f>
        <v/>
      </c>
      <c r="AC325" s="2">
        <f>IFERROR(I325/D325,"")</f>
        <v/>
      </c>
      <c r="AD325" s="2">
        <f>IFERROR(J325/E325,"")</f>
        <v/>
      </c>
      <c r="AE325" s="2">
        <f>IFERROR(K325/F325,"")</f>
        <v/>
      </c>
      <c r="AF325" s="2">
        <f>IFERROR(L325/B325,"")</f>
        <v/>
      </c>
      <c r="AG325" s="2">
        <f>IFERROR(M325/C325,"")</f>
        <v/>
      </c>
      <c r="AH325" s="2">
        <f>IFERROR(N325/D325,"")</f>
        <v/>
      </c>
      <c r="AI325" s="2">
        <f>IFERROR(O325/E325,"")</f>
        <v/>
      </c>
      <c r="AJ325" s="2">
        <f>IFERROR(P325/F325,"")</f>
        <v/>
      </c>
      <c r="AK325" s="2">
        <f>IFERROR(Q325/B325,"")</f>
        <v/>
      </c>
      <c r="AL325" s="2">
        <f>IFERROR(R325/C325,"")</f>
        <v/>
      </c>
      <c r="AM325" s="2">
        <f>IFERROR(S325/D325,"")</f>
        <v/>
      </c>
      <c r="AN325" s="2">
        <f>IFERROR(T325/E325,"")</f>
        <v/>
      </c>
      <c r="AO325" s="2">
        <f>IFERROR(U325/F325,"")</f>
        <v/>
      </c>
    </row>
    <row r="326">
      <c r="B326">
        <f>IF($A326="","",IFERROR(INDEX('[AQ_2020.xlsx]原始数据'!$B:$B,MATCH($A326,'[AQ_2020.xlsx]原始数据'!$A:$A,0)),""))</f>
        <v/>
      </c>
      <c r="C326">
        <f>IF($A326="","",IFERROR(INDEX('[AQ_2021.xlsx]原始数据'!$B:$B,MATCH($A326,'[AQ_2021.xlsx]原始数据'!$A:$A,0)),""))</f>
        <v/>
      </c>
      <c r="D326">
        <f>IF($A326="","",IFERROR(INDEX('[AQ_2022.xlsx]原始数据'!$B:$B,MATCH($A326,'[AQ_2022.xlsx]原始数据'!$A:$A,0)),""))</f>
        <v/>
      </c>
      <c r="E326">
        <f>IF($A326="","",IFERROR(INDEX('[AQ_2023.xlsx]原始数据'!$B:$B,MATCH($A326,'[AQ_2023.xlsx]原始数据'!$A:$A,0)),""))</f>
        <v/>
      </c>
      <c r="F326">
        <f>IF($A326="","",IFERROR(INDEX('[AQ_2024.xlsx]原始数据'!$B:$B,MATCH($A326,'[AQ_2024.xlsx]原始数据'!$A:$A,0)),""))</f>
        <v/>
      </c>
      <c r="G326">
        <f>IF($A326="","",IFERROR(INDEX('[AQ_2020.xlsx]原始数据'!$C:$C,MATCH($A326,'[AQ_2020.xlsx]原始数据'!$A:$A,0)),""))</f>
        <v/>
      </c>
      <c r="H326">
        <f>IF($A326="","",IFERROR(INDEX('[AQ_2021.xlsx]原始数据'!$C:$C,MATCH($A326,'[AQ_2021.xlsx]原始数据'!$A:$A,0)),""))</f>
        <v/>
      </c>
      <c r="I326">
        <f>IF($A326="","",IFERROR(INDEX('[AQ_2022.xlsx]原始数据'!$C:$C,MATCH($A326,'[AQ_2022.xlsx]原始数据'!$A:$A,0)),""))</f>
        <v/>
      </c>
      <c r="J326">
        <f>IF($A326="","",IFERROR(INDEX('[AQ_2023.xlsx]原始数据'!$C:$C,MATCH($A326,'[AQ_2023.xlsx]原始数据'!$A:$A,0)),""))</f>
        <v/>
      </c>
      <c r="K326">
        <f>IF($A326="","",IFERROR(INDEX('[AQ_2024.xlsx]原始数据'!$C:$C,MATCH($A326,'[AQ_2024.xlsx]原始数据'!$A:$A,0)),""))</f>
        <v/>
      </c>
      <c r="L326">
        <f>IF($A326="","",IFERROR(INDEX('[AQ_2020.xlsx]原始数据'!$D:$D,MATCH($A326,'[AQ_2020.xlsx]原始数据'!$A:$A,0)),""))</f>
        <v/>
      </c>
      <c r="M326">
        <f>IF($A326="","",IFERROR(INDEX('[AQ_2021.xlsx]原始数据'!$D:$D,MATCH($A326,'[AQ_2021.xlsx]原始数据'!$A:$A,0)),""))</f>
        <v/>
      </c>
      <c r="N326">
        <f>IF($A326="","",IFERROR(INDEX('[AQ_2022.xlsx]原始数据'!$D:$D,MATCH($A326,'[AQ_2022.xlsx]原始数据'!$A:$A,0)),""))</f>
        <v/>
      </c>
      <c r="O326">
        <f>IF($A326="","",IFERROR(INDEX('[AQ_2023.xlsx]原始数据'!$D:$D,MATCH($A326,'[AQ_2023.xlsx]原始数据'!$A:$A,0)),""))</f>
        <v/>
      </c>
      <c r="P326">
        <f>IF($A326="","",IFERROR(INDEX('[AQ_2024.xlsx]原始数据'!$D:$D,MATCH($A326,'[AQ_2024.xlsx]原始数据'!$A:$A,0)),""))</f>
        <v/>
      </c>
      <c r="Q326">
        <f>IF($A326="","",IFERROR(INDEX('[AQ_2020.xlsx]原始数据'!$E:$E,MATCH($A326,'[AQ_2020.xlsx]原始数据'!$A:$A,0)),""))</f>
        <v/>
      </c>
      <c r="R326">
        <f>IF($A326="","",IFERROR(INDEX('[AQ_2021.xlsx]原始数据'!$E:$E,MATCH($A326,'[AQ_2021.xlsx]原始数据'!$A:$A,0)),""))</f>
        <v/>
      </c>
      <c r="S326">
        <f>IF($A326="","",IFERROR(INDEX('[AQ_2022.xlsx]原始数据'!$E:$E,MATCH($A326,'[AQ_2022.xlsx]原始数据'!$A:$A,0)),""))</f>
        <v/>
      </c>
      <c r="T326">
        <f>IF($A326="","",IFERROR(INDEX('[AQ_2023.xlsx]原始数据'!$E:$E,MATCH($A326,'[AQ_2023.xlsx]原始数据'!$A:$A,0)),""))</f>
        <v/>
      </c>
      <c r="U326">
        <f>IF($A326="","",IFERROR(INDEX('[AQ_2024.xlsx]原始数据'!$E:$E,MATCH($A326,'[AQ_2024.xlsx]原始数据'!$A:$A,0)),""))</f>
        <v/>
      </c>
      <c r="V326">
        <f>IF($A326="","",IFERROR(INDEX('[AQ_2020.xlsx]原始数据'!$F:$F,MATCH($A326,'[AQ_2020.xlsx]原始数据'!$A:$A,0)),""))</f>
        <v/>
      </c>
      <c r="W326">
        <f>IF($A326="","",IFERROR(INDEX('[AQ_2021.xlsx]原始数据'!$F:$F,MATCH($A326,'[AQ_2021.xlsx]原始数据'!$A:$A,0)),""))</f>
        <v/>
      </c>
      <c r="X326">
        <f>IF($A326="","",IFERROR(INDEX('[AQ_2022.xlsx]原始数据'!$F:$F,MATCH($A326,'[AQ_2022.xlsx]原始数据'!$A:$A,0)),""))</f>
        <v/>
      </c>
      <c r="Y326">
        <f>IF($A326="","",IFERROR(INDEX('[AQ_2023.xlsx]原始数据'!$F:$F,MATCH($A326,'[AQ_2023.xlsx]原始数据'!$A:$A,0)),""))</f>
        <v/>
      </c>
      <c r="Z326">
        <f>IF($A326="","",IFERROR(INDEX('[AQ_2024.xlsx]原始数据'!$F:$F,MATCH($A326,'[AQ_2024.xlsx]原始数据'!$A:$A,0)),""))</f>
        <v/>
      </c>
      <c r="AA326" s="2">
        <f>IFERROR(G326/B326,"")</f>
        <v/>
      </c>
      <c r="AB326" s="2">
        <f>IFERROR(H326/C326,"")</f>
        <v/>
      </c>
      <c r="AC326" s="2">
        <f>IFERROR(I326/D326,"")</f>
        <v/>
      </c>
      <c r="AD326" s="2">
        <f>IFERROR(J326/E326,"")</f>
        <v/>
      </c>
      <c r="AE326" s="2">
        <f>IFERROR(K326/F326,"")</f>
        <v/>
      </c>
      <c r="AF326" s="2">
        <f>IFERROR(L326/B326,"")</f>
        <v/>
      </c>
      <c r="AG326" s="2">
        <f>IFERROR(M326/C326,"")</f>
        <v/>
      </c>
      <c r="AH326" s="2">
        <f>IFERROR(N326/D326,"")</f>
        <v/>
      </c>
      <c r="AI326" s="2">
        <f>IFERROR(O326/E326,"")</f>
        <v/>
      </c>
      <c r="AJ326" s="2">
        <f>IFERROR(P326/F326,"")</f>
        <v/>
      </c>
      <c r="AK326" s="2">
        <f>IFERROR(Q326/B326,"")</f>
        <v/>
      </c>
      <c r="AL326" s="2">
        <f>IFERROR(R326/C326,"")</f>
        <v/>
      </c>
      <c r="AM326" s="2">
        <f>IFERROR(S326/D326,"")</f>
        <v/>
      </c>
      <c r="AN326" s="2">
        <f>IFERROR(T326/E326,"")</f>
        <v/>
      </c>
      <c r="AO326" s="2">
        <f>IFERROR(U326/F326,"")</f>
        <v/>
      </c>
    </row>
    <row r="327">
      <c r="B327">
        <f>IF($A327="","",IFERROR(INDEX('[AQ_2020.xlsx]原始数据'!$B:$B,MATCH($A327,'[AQ_2020.xlsx]原始数据'!$A:$A,0)),""))</f>
        <v/>
      </c>
      <c r="C327">
        <f>IF($A327="","",IFERROR(INDEX('[AQ_2021.xlsx]原始数据'!$B:$B,MATCH($A327,'[AQ_2021.xlsx]原始数据'!$A:$A,0)),""))</f>
        <v/>
      </c>
      <c r="D327">
        <f>IF($A327="","",IFERROR(INDEX('[AQ_2022.xlsx]原始数据'!$B:$B,MATCH($A327,'[AQ_2022.xlsx]原始数据'!$A:$A,0)),""))</f>
        <v/>
      </c>
      <c r="E327">
        <f>IF($A327="","",IFERROR(INDEX('[AQ_2023.xlsx]原始数据'!$B:$B,MATCH($A327,'[AQ_2023.xlsx]原始数据'!$A:$A,0)),""))</f>
        <v/>
      </c>
      <c r="F327">
        <f>IF($A327="","",IFERROR(INDEX('[AQ_2024.xlsx]原始数据'!$B:$B,MATCH($A327,'[AQ_2024.xlsx]原始数据'!$A:$A,0)),""))</f>
        <v/>
      </c>
      <c r="G327">
        <f>IF($A327="","",IFERROR(INDEX('[AQ_2020.xlsx]原始数据'!$C:$C,MATCH($A327,'[AQ_2020.xlsx]原始数据'!$A:$A,0)),""))</f>
        <v/>
      </c>
      <c r="H327">
        <f>IF($A327="","",IFERROR(INDEX('[AQ_2021.xlsx]原始数据'!$C:$C,MATCH($A327,'[AQ_2021.xlsx]原始数据'!$A:$A,0)),""))</f>
        <v/>
      </c>
      <c r="I327">
        <f>IF($A327="","",IFERROR(INDEX('[AQ_2022.xlsx]原始数据'!$C:$C,MATCH($A327,'[AQ_2022.xlsx]原始数据'!$A:$A,0)),""))</f>
        <v/>
      </c>
      <c r="J327">
        <f>IF($A327="","",IFERROR(INDEX('[AQ_2023.xlsx]原始数据'!$C:$C,MATCH($A327,'[AQ_2023.xlsx]原始数据'!$A:$A,0)),""))</f>
        <v/>
      </c>
      <c r="K327">
        <f>IF($A327="","",IFERROR(INDEX('[AQ_2024.xlsx]原始数据'!$C:$C,MATCH($A327,'[AQ_2024.xlsx]原始数据'!$A:$A,0)),""))</f>
        <v/>
      </c>
      <c r="L327">
        <f>IF($A327="","",IFERROR(INDEX('[AQ_2020.xlsx]原始数据'!$D:$D,MATCH($A327,'[AQ_2020.xlsx]原始数据'!$A:$A,0)),""))</f>
        <v/>
      </c>
      <c r="M327">
        <f>IF($A327="","",IFERROR(INDEX('[AQ_2021.xlsx]原始数据'!$D:$D,MATCH($A327,'[AQ_2021.xlsx]原始数据'!$A:$A,0)),""))</f>
        <v/>
      </c>
      <c r="N327">
        <f>IF($A327="","",IFERROR(INDEX('[AQ_2022.xlsx]原始数据'!$D:$D,MATCH($A327,'[AQ_2022.xlsx]原始数据'!$A:$A,0)),""))</f>
        <v/>
      </c>
      <c r="O327">
        <f>IF($A327="","",IFERROR(INDEX('[AQ_2023.xlsx]原始数据'!$D:$D,MATCH($A327,'[AQ_2023.xlsx]原始数据'!$A:$A,0)),""))</f>
        <v/>
      </c>
      <c r="P327">
        <f>IF($A327="","",IFERROR(INDEX('[AQ_2024.xlsx]原始数据'!$D:$D,MATCH($A327,'[AQ_2024.xlsx]原始数据'!$A:$A,0)),""))</f>
        <v/>
      </c>
      <c r="Q327">
        <f>IF($A327="","",IFERROR(INDEX('[AQ_2020.xlsx]原始数据'!$E:$E,MATCH($A327,'[AQ_2020.xlsx]原始数据'!$A:$A,0)),""))</f>
        <v/>
      </c>
      <c r="R327">
        <f>IF($A327="","",IFERROR(INDEX('[AQ_2021.xlsx]原始数据'!$E:$E,MATCH($A327,'[AQ_2021.xlsx]原始数据'!$A:$A,0)),""))</f>
        <v/>
      </c>
      <c r="S327">
        <f>IF($A327="","",IFERROR(INDEX('[AQ_2022.xlsx]原始数据'!$E:$E,MATCH($A327,'[AQ_2022.xlsx]原始数据'!$A:$A,0)),""))</f>
        <v/>
      </c>
      <c r="T327">
        <f>IF($A327="","",IFERROR(INDEX('[AQ_2023.xlsx]原始数据'!$E:$E,MATCH($A327,'[AQ_2023.xlsx]原始数据'!$A:$A,0)),""))</f>
        <v/>
      </c>
      <c r="U327">
        <f>IF($A327="","",IFERROR(INDEX('[AQ_2024.xlsx]原始数据'!$E:$E,MATCH($A327,'[AQ_2024.xlsx]原始数据'!$A:$A,0)),""))</f>
        <v/>
      </c>
      <c r="V327">
        <f>IF($A327="","",IFERROR(INDEX('[AQ_2020.xlsx]原始数据'!$F:$F,MATCH($A327,'[AQ_2020.xlsx]原始数据'!$A:$A,0)),""))</f>
        <v/>
      </c>
      <c r="W327">
        <f>IF($A327="","",IFERROR(INDEX('[AQ_2021.xlsx]原始数据'!$F:$F,MATCH($A327,'[AQ_2021.xlsx]原始数据'!$A:$A,0)),""))</f>
        <v/>
      </c>
      <c r="X327">
        <f>IF($A327="","",IFERROR(INDEX('[AQ_2022.xlsx]原始数据'!$F:$F,MATCH($A327,'[AQ_2022.xlsx]原始数据'!$A:$A,0)),""))</f>
        <v/>
      </c>
      <c r="Y327">
        <f>IF($A327="","",IFERROR(INDEX('[AQ_2023.xlsx]原始数据'!$F:$F,MATCH($A327,'[AQ_2023.xlsx]原始数据'!$A:$A,0)),""))</f>
        <v/>
      </c>
      <c r="Z327">
        <f>IF($A327="","",IFERROR(INDEX('[AQ_2024.xlsx]原始数据'!$F:$F,MATCH($A327,'[AQ_2024.xlsx]原始数据'!$A:$A,0)),""))</f>
        <v/>
      </c>
      <c r="AA327" s="2">
        <f>IFERROR(G327/B327,"")</f>
        <v/>
      </c>
      <c r="AB327" s="2">
        <f>IFERROR(H327/C327,"")</f>
        <v/>
      </c>
      <c r="AC327" s="2">
        <f>IFERROR(I327/D327,"")</f>
        <v/>
      </c>
      <c r="AD327" s="2">
        <f>IFERROR(J327/E327,"")</f>
        <v/>
      </c>
      <c r="AE327" s="2">
        <f>IFERROR(K327/F327,"")</f>
        <v/>
      </c>
      <c r="AF327" s="2">
        <f>IFERROR(L327/B327,"")</f>
        <v/>
      </c>
      <c r="AG327" s="2">
        <f>IFERROR(M327/C327,"")</f>
        <v/>
      </c>
      <c r="AH327" s="2">
        <f>IFERROR(N327/D327,"")</f>
        <v/>
      </c>
      <c r="AI327" s="2">
        <f>IFERROR(O327/E327,"")</f>
        <v/>
      </c>
      <c r="AJ327" s="2">
        <f>IFERROR(P327/F327,"")</f>
        <v/>
      </c>
      <c r="AK327" s="2">
        <f>IFERROR(Q327/B327,"")</f>
        <v/>
      </c>
      <c r="AL327" s="2">
        <f>IFERROR(R327/C327,"")</f>
        <v/>
      </c>
      <c r="AM327" s="2">
        <f>IFERROR(S327/D327,"")</f>
        <v/>
      </c>
      <c r="AN327" s="2">
        <f>IFERROR(T327/E327,"")</f>
        <v/>
      </c>
      <c r="AO327" s="2">
        <f>IFERROR(U327/F327,"")</f>
        <v/>
      </c>
    </row>
    <row r="328">
      <c r="B328">
        <f>IF($A328="","",IFERROR(INDEX('[AQ_2020.xlsx]原始数据'!$B:$B,MATCH($A328,'[AQ_2020.xlsx]原始数据'!$A:$A,0)),""))</f>
        <v/>
      </c>
      <c r="C328">
        <f>IF($A328="","",IFERROR(INDEX('[AQ_2021.xlsx]原始数据'!$B:$B,MATCH($A328,'[AQ_2021.xlsx]原始数据'!$A:$A,0)),""))</f>
        <v/>
      </c>
      <c r="D328">
        <f>IF($A328="","",IFERROR(INDEX('[AQ_2022.xlsx]原始数据'!$B:$B,MATCH($A328,'[AQ_2022.xlsx]原始数据'!$A:$A,0)),""))</f>
        <v/>
      </c>
      <c r="E328">
        <f>IF($A328="","",IFERROR(INDEX('[AQ_2023.xlsx]原始数据'!$B:$B,MATCH($A328,'[AQ_2023.xlsx]原始数据'!$A:$A,0)),""))</f>
        <v/>
      </c>
      <c r="F328">
        <f>IF($A328="","",IFERROR(INDEX('[AQ_2024.xlsx]原始数据'!$B:$B,MATCH($A328,'[AQ_2024.xlsx]原始数据'!$A:$A,0)),""))</f>
        <v/>
      </c>
      <c r="G328">
        <f>IF($A328="","",IFERROR(INDEX('[AQ_2020.xlsx]原始数据'!$C:$C,MATCH($A328,'[AQ_2020.xlsx]原始数据'!$A:$A,0)),""))</f>
        <v/>
      </c>
      <c r="H328">
        <f>IF($A328="","",IFERROR(INDEX('[AQ_2021.xlsx]原始数据'!$C:$C,MATCH($A328,'[AQ_2021.xlsx]原始数据'!$A:$A,0)),""))</f>
        <v/>
      </c>
      <c r="I328">
        <f>IF($A328="","",IFERROR(INDEX('[AQ_2022.xlsx]原始数据'!$C:$C,MATCH($A328,'[AQ_2022.xlsx]原始数据'!$A:$A,0)),""))</f>
        <v/>
      </c>
      <c r="J328">
        <f>IF($A328="","",IFERROR(INDEX('[AQ_2023.xlsx]原始数据'!$C:$C,MATCH($A328,'[AQ_2023.xlsx]原始数据'!$A:$A,0)),""))</f>
        <v/>
      </c>
      <c r="K328">
        <f>IF($A328="","",IFERROR(INDEX('[AQ_2024.xlsx]原始数据'!$C:$C,MATCH($A328,'[AQ_2024.xlsx]原始数据'!$A:$A,0)),""))</f>
        <v/>
      </c>
      <c r="L328">
        <f>IF($A328="","",IFERROR(INDEX('[AQ_2020.xlsx]原始数据'!$D:$D,MATCH($A328,'[AQ_2020.xlsx]原始数据'!$A:$A,0)),""))</f>
        <v/>
      </c>
      <c r="M328">
        <f>IF($A328="","",IFERROR(INDEX('[AQ_2021.xlsx]原始数据'!$D:$D,MATCH($A328,'[AQ_2021.xlsx]原始数据'!$A:$A,0)),""))</f>
        <v/>
      </c>
      <c r="N328">
        <f>IF($A328="","",IFERROR(INDEX('[AQ_2022.xlsx]原始数据'!$D:$D,MATCH($A328,'[AQ_2022.xlsx]原始数据'!$A:$A,0)),""))</f>
        <v/>
      </c>
      <c r="O328">
        <f>IF($A328="","",IFERROR(INDEX('[AQ_2023.xlsx]原始数据'!$D:$D,MATCH($A328,'[AQ_2023.xlsx]原始数据'!$A:$A,0)),""))</f>
        <v/>
      </c>
      <c r="P328">
        <f>IF($A328="","",IFERROR(INDEX('[AQ_2024.xlsx]原始数据'!$D:$D,MATCH($A328,'[AQ_2024.xlsx]原始数据'!$A:$A,0)),""))</f>
        <v/>
      </c>
      <c r="Q328">
        <f>IF($A328="","",IFERROR(INDEX('[AQ_2020.xlsx]原始数据'!$E:$E,MATCH($A328,'[AQ_2020.xlsx]原始数据'!$A:$A,0)),""))</f>
        <v/>
      </c>
      <c r="R328">
        <f>IF($A328="","",IFERROR(INDEX('[AQ_2021.xlsx]原始数据'!$E:$E,MATCH($A328,'[AQ_2021.xlsx]原始数据'!$A:$A,0)),""))</f>
        <v/>
      </c>
      <c r="S328">
        <f>IF($A328="","",IFERROR(INDEX('[AQ_2022.xlsx]原始数据'!$E:$E,MATCH($A328,'[AQ_2022.xlsx]原始数据'!$A:$A,0)),""))</f>
        <v/>
      </c>
      <c r="T328">
        <f>IF($A328="","",IFERROR(INDEX('[AQ_2023.xlsx]原始数据'!$E:$E,MATCH($A328,'[AQ_2023.xlsx]原始数据'!$A:$A,0)),""))</f>
        <v/>
      </c>
      <c r="U328">
        <f>IF($A328="","",IFERROR(INDEX('[AQ_2024.xlsx]原始数据'!$E:$E,MATCH($A328,'[AQ_2024.xlsx]原始数据'!$A:$A,0)),""))</f>
        <v/>
      </c>
      <c r="V328">
        <f>IF($A328="","",IFERROR(INDEX('[AQ_2020.xlsx]原始数据'!$F:$F,MATCH($A328,'[AQ_2020.xlsx]原始数据'!$A:$A,0)),""))</f>
        <v/>
      </c>
      <c r="W328">
        <f>IF($A328="","",IFERROR(INDEX('[AQ_2021.xlsx]原始数据'!$F:$F,MATCH($A328,'[AQ_2021.xlsx]原始数据'!$A:$A,0)),""))</f>
        <v/>
      </c>
      <c r="X328">
        <f>IF($A328="","",IFERROR(INDEX('[AQ_2022.xlsx]原始数据'!$F:$F,MATCH($A328,'[AQ_2022.xlsx]原始数据'!$A:$A,0)),""))</f>
        <v/>
      </c>
      <c r="Y328">
        <f>IF($A328="","",IFERROR(INDEX('[AQ_2023.xlsx]原始数据'!$F:$F,MATCH($A328,'[AQ_2023.xlsx]原始数据'!$A:$A,0)),""))</f>
        <v/>
      </c>
      <c r="Z328">
        <f>IF($A328="","",IFERROR(INDEX('[AQ_2024.xlsx]原始数据'!$F:$F,MATCH($A328,'[AQ_2024.xlsx]原始数据'!$A:$A,0)),""))</f>
        <v/>
      </c>
      <c r="AA328" s="2">
        <f>IFERROR(G328/B328,"")</f>
        <v/>
      </c>
      <c r="AB328" s="2">
        <f>IFERROR(H328/C328,"")</f>
        <v/>
      </c>
      <c r="AC328" s="2">
        <f>IFERROR(I328/D328,"")</f>
        <v/>
      </c>
      <c r="AD328" s="2">
        <f>IFERROR(J328/E328,"")</f>
        <v/>
      </c>
      <c r="AE328" s="2">
        <f>IFERROR(K328/F328,"")</f>
        <v/>
      </c>
      <c r="AF328" s="2">
        <f>IFERROR(L328/B328,"")</f>
        <v/>
      </c>
      <c r="AG328" s="2">
        <f>IFERROR(M328/C328,"")</f>
        <v/>
      </c>
      <c r="AH328" s="2">
        <f>IFERROR(N328/D328,"")</f>
        <v/>
      </c>
      <c r="AI328" s="2">
        <f>IFERROR(O328/E328,"")</f>
        <v/>
      </c>
      <c r="AJ328" s="2">
        <f>IFERROR(P328/F328,"")</f>
        <v/>
      </c>
      <c r="AK328" s="2">
        <f>IFERROR(Q328/B328,"")</f>
        <v/>
      </c>
      <c r="AL328" s="2">
        <f>IFERROR(R328/C328,"")</f>
        <v/>
      </c>
      <c r="AM328" s="2">
        <f>IFERROR(S328/D328,"")</f>
        <v/>
      </c>
      <c r="AN328" s="2">
        <f>IFERROR(T328/E328,"")</f>
        <v/>
      </c>
      <c r="AO328" s="2">
        <f>IFERROR(U328/F328,"")</f>
        <v/>
      </c>
    </row>
    <row r="329">
      <c r="B329">
        <f>IF($A329="","",IFERROR(INDEX('[AQ_2020.xlsx]原始数据'!$B:$B,MATCH($A329,'[AQ_2020.xlsx]原始数据'!$A:$A,0)),""))</f>
        <v/>
      </c>
      <c r="C329">
        <f>IF($A329="","",IFERROR(INDEX('[AQ_2021.xlsx]原始数据'!$B:$B,MATCH($A329,'[AQ_2021.xlsx]原始数据'!$A:$A,0)),""))</f>
        <v/>
      </c>
      <c r="D329">
        <f>IF($A329="","",IFERROR(INDEX('[AQ_2022.xlsx]原始数据'!$B:$B,MATCH($A329,'[AQ_2022.xlsx]原始数据'!$A:$A,0)),""))</f>
        <v/>
      </c>
      <c r="E329">
        <f>IF($A329="","",IFERROR(INDEX('[AQ_2023.xlsx]原始数据'!$B:$B,MATCH($A329,'[AQ_2023.xlsx]原始数据'!$A:$A,0)),""))</f>
        <v/>
      </c>
      <c r="F329">
        <f>IF($A329="","",IFERROR(INDEX('[AQ_2024.xlsx]原始数据'!$B:$B,MATCH($A329,'[AQ_2024.xlsx]原始数据'!$A:$A,0)),""))</f>
        <v/>
      </c>
      <c r="G329">
        <f>IF($A329="","",IFERROR(INDEX('[AQ_2020.xlsx]原始数据'!$C:$C,MATCH($A329,'[AQ_2020.xlsx]原始数据'!$A:$A,0)),""))</f>
        <v/>
      </c>
      <c r="H329">
        <f>IF($A329="","",IFERROR(INDEX('[AQ_2021.xlsx]原始数据'!$C:$C,MATCH($A329,'[AQ_2021.xlsx]原始数据'!$A:$A,0)),""))</f>
        <v/>
      </c>
      <c r="I329">
        <f>IF($A329="","",IFERROR(INDEX('[AQ_2022.xlsx]原始数据'!$C:$C,MATCH($A329,'[AQ_2022.xlsx]原始数据'!$A:$A,0)),""))</f>
        <v/>
      </c>
      <c r="J329">
        <f>IF($A329="","",IFERROR(INDEX('[AQ_2023.xlsx]原始数据'!$C:$C,MATCH($A329,'[AQ_2023.xlsx]原始数据'!$A:$A,0)),""))</f>
        <v/>
      </c>
      <c r="K329">
        <f>IF($A329="","",IFERROR(INDEX('[AQ_2024.xlsx]原始数据'!$C:$C,MATCH($A329,'[AQ_2024.xlsx]原始数据'!$A:$A,0)),""))</f>
        <v/>
      </c>
      <c r="L329">
        <f>IF($A329="","",IFERROR(INDEX('[AQ_2020.xlsx]原始数据'!$D:$D,MATCH($A329,'[AQ_2020.xlsx]原始数据'!$A:$A,0)),""))</f>
        <v/>
      </c>
      <c r="M329">
        <f>IF($A329="","",IFERROR(INDEX('[AQ_2021.xlsx]原始数据'!$D:$D,MATCH($A329,'[AQ_2021.xlsx]原始数据'!$A:$A,0)),""))</f>
        <v/>
      </c>
      <c r="N329">
        <f>IF($A329="","",IFERROR(INDEX('[AQ_2022.xlsx]原始数据'!$D:$D,MATCH($A329,'[AQ_2022.xlsx]原始数据'!$A:$A,0)),""))</f>
        <v/>
      </c>
      <c r="O329">
        <f>IF($A329="","",IFERROR(INDEX('[AQ_2023.xlsx]原始数据'!$D:$D,MATCH($A329,'[AQ_2023.xlsx]原始数据'!$A:$A,0)),""))</f>
        <v/>
      </c>
      <c r="P329">
        <f>IF($A329="","",IFERROR(INDEX('[AQ_2024.xlsx]原始数据'!$D:$D,MATCH($A329,'[AQ_2024.xlsx]原始数据'!$A:$A,0)),""))</f>
        <v/>
      </c>
      <c r="Q329">
        <f>IF($A329="","",IFERROR(INDEX('[AQ_2020.xlsx]原始数据'!$E:$E,MATCH($A329,'[AQ_2020.xlsx]原始数据'!$A:$A,0)),""))</f>
        <v/>
      </c>
      <c r="R329">
        <f>IF($A329="","",IFERROR(INDEX('[AQ_2021.xlsx]原始数据'!$E:$E,MATCH($A329,'[AQ_2021.xlsx]原始数据'!$A:$A,0)),""))</f>
        <v/>
      </c>
      <c r="S329">
        <f>IF($A329="","",IFERROR(INDEX('[AQ_2022.xlsx]原始数据'!$E:$E,MATCH($A329,'[AQ_2022.xlsx]原始数据'!$A:$A,0)),""))</f>
        <v/>
      </c>
      <c r="T329">
        <f>IF($A329="","",IFERROR(INDEX('[AQ_2023.xlsx]原始数据'!$E:$E,MATCH($A329,'[AQ_2023.xlsx]原始数据'!$A:$A,0)),""))</f>
        <v/>
      </c>
      <c r="U329">
        <f>IF($A329="","",IFERROR(INDEX('[AQ_2024.xlsx]原始数据'!$E:$E,MATCH($A329,'[AQ_2024.xlsx]原始数据'!$A:$A,0)),""))</f>
        <v/>
      </c>
      <c r="V329">
        <f>IF($A329="","",IFERROR(INDEX('[AQ_2020.xlsx]原始数据'!$F:$F,MATCH($A329,'[AQ_2020.xlsx]原始数据'!$A:$A,0)),""))</f>
        <v/>
      </c>
      <c r="W329">
        <f>IF($A329="","",IFERROR(INDEX('[AQ_2021.xlsx]原始数据'!$F:$F,MATCH($A329,'[AQ_2021.xlsx]原始数据'!$A:$A,0)),""))</f>
        <v/>
      </c>
      <c r="X329">
        <f>IF($A329="","",IFERROR(INDEX('[AQ_2022.xlsx]原始数据'!$F:$F,MATCH($A329,'[AQ_2022.xlsx]原始数据'!$A:$A,0)),""))</f>
        <v/>
      </c>
      <c r="Y329">
        <f>IF($A329="","",IFERROR(INDEX('[AQ_2023.xlsx]原始数据'!$F:$F,MATCH($A329,'[AQ_2023.xlsx]原始数据'!$A:$A,0)),""))</f>
        <v/>
      </c>
      <c r="Z329">
        <f>IF($A329="","",IFERROR(INDEX('[AQ_2024.xlsx]原始数据'!$F:$F,MATCH($A329,'[AQ_2024.xlsx]原始数据'!$A:$A,0)),""))</f>
        <v/>
      </c>
      <c r="AA329" s="2">
        <f>IFERROR(G329/B329,"")</f>
        <v/>
      </c>
      <c r="AB329" s="2">
        <f>IFERROR(H329/C329,"")</f>
        <v/>
      </c>
      <c r="AC329" s="2">
        <f>IFERROR(I329/D329,"")</f>
        <v/>
      </c>
      <c r="AD329" s="2">
        <f>IFERROR(J329/E329,"")</f>
        <v/>
      </c>
      <c r="AE329" s="2">
        <f>IFERROR(K329/F329,"")</f>
        <v/>
      </c>
      <c r="AF329" s="2">
        <f>IFERROR(L329/B329,"")</f>
        <v/>
      </c>
      <c r="AG329" s="2">
        <f>IFERROR(M329/C329,"")</f>
        <v/>
      </c>
      <c r="AH329" s="2">
        <f>IFERROR(N329/D329,"")</f>
        <v/>
      </c>
      <c r="AI329" s="2">
        <f>IFERROR(O329/E329,"")</f>
        <v/>
      </c>
      <c r="AJ329" s="2">
        <f>IFERROR(P329/F329,"")</f>
        <v/>
      </c>
      <c r="AK329" s="2">
        <f>IFERROR(Q329/B329,"")</f>
        <v/>
      </c>
      <c r="AL329" s="2">
        <f>IFERROR(R329/C329,"")</f>
        <v/>
      </c>
      <c r="AM329" s="2">
        <f>IFERROR(S329/D329,"")</f>
        <v/>
      </c>
      <c r="AN329" s="2">
        <f>IFERROR(T329/E329,"")</f>
        <v/>
      </c>
      <c r="AO329" s="2">
        <f>IFERROR(U329/F329,"")</f>
        <v/>
      </c>
    </row>
    <row r="330">
      <c r="B330">
        <f>IF($A330="","",IFERROR(INDEX('[AQ_2020.xlsx]原始数据'!$B:$B,MATCH($A330,'[AQ_2020.xlsx]原始数据'!$A:$A,0)),""))</f>
        <v/>
      </c>
      <c r="C330">
        <f>IF($A330="","",IFERROR(INDEX('[AQ_2021.xlsx]原始数据'!$B:$B,MATCH($A330,'[AQ_2021.xlsx]原始数据'!$A:$A,0)),""))</f>
        <v/>
      </c>
      <c r="D330">
        <f>IF($A330="","",IFERROR(INDEX('[AQ_2022.xlsx]原始数据'!$B:$B,MATCH($A330,'[AQ_2022.xlsx]原始数据'!$A:$A,0)),""))</f>
        <v/>
      </c>
      <c r="E330">
        <f>IF($A330="","",IFERROR(INDEX('[AQ_2023.xlsx]原始数据'!$B:$B,MATCH($A330,'[AQ_2023.xlsx]原始数据'!$A:$A,0)),""))</f>
        <v/>
      </c>
      <c r="F330">
        <f>IF($A330="","",IFERROR(INDEX('[AQ_2024.xlsx]原始数据'!$B:$B,MATCH($A330,'[AQ_2024.xlsx]原始数据'!$A:$A,0)),""))</f>
        <v/>
      </c>
      <c r="G330">
        <f>IF($A330="","",IFERROR(INDEX('[AQ_2020.xlsx]原始数据'!$C:$C,MATCH($A330,'[AQ_2020.xlsx]原始数据'!$A:$A,0)),""))</f>
        <v/>
      </c>
      <c r="H330">
        <f>IF($A330="","",IFERROR(INDEX('[AQ_2021.xlsx]原始数据'!$C:$C,MATCH($A330,'[AQ_2021.xlsx]原始数据'!$A:$A,0)),""))</f>
        <v/>
      </c>
      <c r="I330">
        <f>IF($A330="","",IFERROR(INDEX('[AQ_2022.xlsx]原始数据'!$C:$C,MATCH($A330,'[AQ_2022.xlsx]原始数据'!$A:$A,0)),""))</f>
        <v/>
      </c>
      <c r="J330">
        <f>IF($A330="","",IFERROR(INDEX('[AQ_2023.xlsx]原始数据'!$C:$C,MATCH($A330,'[AQ_2023.xlsx]原始数据'!$A:$A,0)),""))</f>
        <v/>
      </c>
      <c r="K330">
        <f>IF($A330="","",IFERROR(INDEX('[AQ_2024.xlsx]原始数据'!$C:$C,MATCH($A330,'[AQ_2024.xlsx]原始数据'!$A:$A,0)),""))</f>
        <v/>
      </c>
      <c r="L330">
        <f>IF($A330="","",IFERROR(INDEX('[AQ_2020.xlsx]原始数据'!$D:$D,MATCH($A330,'[AQ_2020.xlsx]原始数据'!$A:$A,0)),""))</f>
        <v/>
      </c>
      <c r="M330">
        <f>IF($A330="","",IFERROR(INDEX('[AQ_2021.xlsx]原始数据'!$D:$D,MATCH($A330,'[AQ_2021.xlsx]原始数据'!$A:$A,0)),""))</f>
        <v/>
      </c>
      <c r="N330">
        <f>IF($A330="","",IFERROR(INDEX('[AQ_2022.xlsx]原始数据'!$D:$D,MATCH($A330,'[AQ_2022.xlsx]原始数据'!$A:$A,0)),""))</f>
        <v/>
      </c>
      <c r="O330">
        <f>IF($A330="","",IFERROR(INDEX('[AQ_2023.xlsx]原始数据'!$D:$D,MATCH($A330,'[AQ_2023.xlsx]原始数据'!$A:$A,0)),""))</f>
        <v/>
      </c>
      <c r="P330">
        <f>IF($A330="","",IFERROR(INDEX('[AQ_2024.xlsx]原始数据'!$D:$D,MATCH($A330,'[AQ_2024.xlsx]原始数据'!$A:$A,0)),""))</f>
        <v/>
      </c>
      <c r="Q330">
        <f>IF($A330="","",IFERROR(INDEX('[AQ_2020.xlsx]原始数据'!$E:$E,MATCH($A330,'[AQ_2020.xlsx]原始数据'!$A:$A,0)),""))</f>
        <v/>
      </c>
      <c r="R330">
        <f>IF($A330="","",IFERROR(INDEX('[AQ_2021.xlsx]原始数据'!$E:$E,MATCH($A330,'[AQ_2021.xlsx]原始数据'!$A:$A,0)),""))</f>
        <v/>
      </c>
      <c r="S330">
        <f>IF($A330="","",IFERROR(INDEX('[AQ_2022.xlsx]原始数据'!$E:$E,MATCH($A330,'[AQ_2022.xlsx]原始数据'!$A:$A,0)),""))</f>
        <v/>
      </c>
      <c r="T330">
        <f>IF($A330="","",IFERROR(INDEX('[AQ_2023.xlsx]原始数据'!$E:$E,MATCH($A330,'[AQ_2023.xlsx]原始数据'!$A:$A,0)),""))</f>
        <v/>
      </c>
      <c r="U330">
        <f>IF($A330="","",IFERROR(INDEX('[AQ_2024.xlsx]原始数据'!$E:$E,MATCH($A330,'[AQ_2024.xlsx]原始数据'!$A:$A,0)),""))</f>
        <v/>
      </c>
      <c r="V330">
        <f>IF($A330="","",IFERROR(INDEX('[AQ_2020.xlsx]原始数据'!$F:$F,MATCH($A330,'[AQ_2020.xlsx]原始数据'!$A:$A,0)),""))</f>
        <v/>
      </c>
      <c r="W330">
        <f>IF($A330="","",IFERROR(INDEX('[AQ_2021.xlsx]原始数据'!$F:$F,MATCH($A330,'[AQ_2021.xlsx]原始数据'!$A:$A,0)),""))</f>
        <v/>
      </c>
      <c r="X330">
        <f>IF($A330="","",IFERROR(INDEX('[AQ_2022.xlsx]原始数据'!$F:$F,MATCH($A330,'[AQ_2022.xlsx]原始数据'!$A:$A,0)),""))</f>
        <v/>
      </c>
      <c r="Y330">
        <f>IF($A330="","",IFERROR(INDEX('[AQ_2023.xlsx]原始数据'!$F:$F,MATCH($A330,'[AQ_2023.xlsx]原始数据'!$A:$A,0)),""))</f>
        <v/>
      </c>
      <c r="Z330">
        <f>IF($A330="","",IFERROR(INDEX('[AQ_2024.xlsx]原始数据'!$F:$F,MATCH($A330,'[AQ_2024.xlsx]原始数据'!$A:$A,0)),""))</f>
        <v/>
      </c>
      <c r="AA330" s="2">
        <f>IFERROR(G330/B330,"")</f>
        <v/>
      </c>
      <c r="AB330" s="2">
        <f>IFERROR(H330/C330,"")</f>
        <v/>
      </c>
      <c r="AC330" s="2">
        <f>IFERROR(I330/D330,"")</f>
        <v/>
      </c>
      <c r="AD330" s="2">
        <f>IFERROR(J330/E330,"")</f>
        <v/>
      </c>
      <c r="AE330" s="2">
        <f>IFERROR(K330/F330,"")</f>
        <v/>
      </c>
      <c r="AF330" s="2">
        <f>IFERROR(L330/B330,"")</f>
        <v/>
      </c>
      <c r="AG330" s="2">
        <f>IFERROR(M330/C330,"")</f>
        <v/>
      </c>
      <c r="AH330" s="2">
        <f>IFERROR(N330/D330,"")</f>
        <v/>
      </c>
      <c r="AI330" s="2">
        <f>IFERROR(O330/E330,"")</f>
        <v/>
      </c>
      <c r="AJ330" s="2">
        <f>IFERROR(P330/F330,"")</f>
        <v/>
      </c>
      <c r="AK330" s="2">
        <f>IFERROR(Q330/B330,"")</f>
        <v/>
      </c>
      <c r="AL330" s="2">
        <f>IFERROR(R330/C330,"")</f>
        <v/>
      </c>
      <c r="AM330" s="2">
        <f>IFERROR(S330/D330,"")</f>
        <v/>
      </c>
      <c r="AN330" s="2">
        <f>IFERROR(T330/E330,"")</f>
        <v/>
      </c>
      <c r="AO330" s="2">
        <f>IFERROR(U330/F330,"")</f>
        <v/>
      </c>
    </row>
    <row r="331">
      <c r="B331">
        <f>IF($A331="","",IFERROR(INDEX('[AQ_2020.xlsx]原始数据'!$B:$B,MATCH($A331,'[AQ_2020.xlsx]原始数据'!$A:$A,0)),""))</f>
        <v/>
      </c>
      <c r="C331">
        <f>IF($A331="","",IFERROR(INDEX('[AQ_2021.xlsx]原始数据'!$B:$B,MATCH($A331,'[AQ_2021.xlsx]原始数据'!$A:$A,0)),""))</f>
        <v/>
      </c>
      <c r="D331">
        <f>IF($A331="","",IFERROR(INDEX('[AQ_2022.xlsx]原始数据'!$B:$B,MATCH($A331,'[AQ_2022.xlsx]原始数据'!$A:$A,0)),""))</f>
        <v/>
      </c>
      <c r="E331">
        <f>IF($A331="","",IFERROR(INDEX('[AQ_2023.xlsx]原始数据'!$B:$B,MATCH($A331,'[AQ_2023.xlsx]原始数据'!$A:$A,0)),""))</f>
        <v/>
      </c>
      <c r="F331">
        <f>IF($A331="","",IFERROR(INDEX('[AQ_2024.xlsx]原始数据'!$B:$B,MATCH($A331,'[AQ_2024.xlsx]原始数据'!$A:$A,0)),""))</f>
        <v/>
      </c>
      <c r="G331">
        <f>IF($A331="","",IFERROR(INDEX('[AQ_2020.xlsx]原始数据'!$C:$C,MATCH($A331,'[AQ_2020.xlsx]原始数据'!$A:$A,0)),""))</f>
        <v/>
      </c>
      <c r="H331">
        <f>IF($A331="","",IFERROR(INDEX('[AQ_2021.xlsx]原始数据'!$C:$C,MATCH($A331,'[AQ_2021.xlsx]原始数据'!$A:$A,0)),""))</f>
        <v/>
      </c>
      <c r="I331">
        <f>IF($A331="","",IFERROR(INDEX('[AQ_2022.xlsx]原始数据'!$C:$C,MATCH($A331,'[AQ_2022.xlsx]原始数据'!$A:$A,0)),""))</f>
        <v/>
      </c>
      <c r="J331">
        <f>IF($A331="","",IFERROR(INDEX('[AQ_2023.xlsx]原始数据'!$C:$C,MATCH($A331,'[AQ_2023.xlsx]原始数据'!$A:$A,0)),""))</f>
        <v/>
      </c>
      <c r="K331">
        <f>IF($A331="","",IFERROR(INDEX('[AQ_2024.xlsx]原始数据'!$C:$C,MATCH($A331,'[AQ_2024.xlsx]原始数据'!$A:$A,0)),""))</f>
        <v/>
      </c>
      <c r="L331">
        <f>IF($A331="","",IFERROR(INDEX('[AQ_2020.xlsx]原始数据'!$D:$D,MATCH($A331,'[AQ_2020.xlsx]原始数据'!$A:$A,0)),""))</f>
        <v/>
      </c>
      <c r="M331">
        <f>IF($A331="","",IFERROR(INDEX('[AQ_2021.xlsx]原始数据'!$D:$D,MATCH($A331,'[AQ_2021.xlsx]原始数据'!$A:$A,0)),""))</f>
        <v/>
      </c>
      <c r="N331">
        <f>IF($A331="","",IFERROR(INDEX('[AQ_2022.xlsx]原始数据'!$D:$D,MATCH($A331,'[AQ_2022.xlsx]原始数据'!$A:$A,0)),""))</f>
        <v/>
      </c>
      <c r="O331">
        <f>IF($A331="","",IFERROR(INDEX('[AQ_2023.xlsx]原始数据'!$D:$D,MATCH($A331,'[AQ_2023.xlsx]原始数据'!$A:$A,0)),""))</f>
        <v/>
      </c>
      <c r="P331">
        <f>IF($A331="","",IFERROR(INDEX('[AQ_2024.xlsx]原始数据'!$D:$D,MATCH($A331,'[AQ_2024.xlsx]原始数据'!$A:$A,0)),""))</f>
        <v/>
      </c>
      <c r="Q331">
        <f>IF($A331="","",IFERROR(INDEX('[AQ_2020.xlsx]原始数据'!$E:$E,MATCH($A331,'[AQ_2020.xlsx]原始数据'!$A:$A,0)),""))</f>
        <v/>
      </c>
      <c r="R331">
        <f>IF($A331="","",IFERROR(INDEX('[AQ_2021.xlsx]原始数据'!$E:$E,MATCH($A331,'[AQ_2021.xlsx]原始数据'!$A:$A,0)),""))</f>
        <v/>
      </c>
      <c r="S331">
        <f>IF($A331="","",IFERROR(INDEX('[AQ_2022.xlsx]原始数据'!$E:$E,MATCH($A331,'[AQ_2022.xlsx]原始数据'!$A:$A,0)),""))</f>
        <v/>
      </c>
      <c r="T331">
        <f>IF($A331="","",IFERROR(INDEX('[AQ_2023.xlsx]原始数据'!$E:$E,MATCH($A331,'[AQ_2023.xlsx]原始数据'!$A:$A,0)),""))</f>
        <v/>
      </c>
      <c r="U331">
        <f>IF($A331="","",IFERROR(INDEX('[AQ_2024.xlsx]原始数据'!$E:$E,MATCH($A331,'[AQ_2024.xlsx]原始数据'!$A:$A,0)),""))</f>
        <v/>
      </c>
      <c r="V331">
        <f>IF($A331="","",IFERROR(INDEX('[AQ_2020.xlsx]原始数据'!$F:$F,MATCH($A331,'[AQ_2020.xlsx]原始数据'!$A:$A,0)),""))</f>
        <v/>
      </c>
      <c r="W331">
        <f>IF($A331="","",IFERROR(INDEX('[AQ_2021.xlsx]原始数据'!$F:$F,MATCH($A331,'[AQ_2021.xlsx]原始数据'!$A:$A,0)),""))</f>
        <v/>
      </c>
      <c r="X331">
        <f>IF($A331="","",IFERROR(INDEX('[AQ_2022.xlsx]原始数据'!$F:$F,MATCH($A331,'[AQ_2022.xlsx]原始数据'!$A:$A,0)),""))</f>
        <v/>
      </c>
      <c r="Y331">
        <f>IF($A331="","",IFERROR(INDEX('[AQ_2023.xlsx]原始数据'!$F:$F,MATCH($A331,'[AQ_2023.xlsx]原始数据'!$A:$A,0)),""))</f>
        <v/>
      </c>
      <c r="Z331">
        <f>IF($A331="","",IFERROR(INDEX('[AQ_2024.xlsx]原始数据'!$F:$F,MATCH($A331,'[AQ_2024.xlsx]原始数据'!$A:$A,0)),""))</f>
        <v/>
      </c>
      <c r="AA331" s="2">
        <f>IFERROR(G331/B331,"")</f>
        <v/>
      </c>
      <c r="AB331" s="2">
        <f>IFERROR(H331/C331,"")</f>
        <v/>
      </c>
      <c r="AC331" s="2">
        <f>IFERROR(I331/D331,"")</f>
        <v/>
      </c>
      <c r="AD331" s="2">
        <f>IFERROR(J331/E331,"")</f>
        <v/>
      </c>
      <c r="AE331" s="2">
        <f>IFERROR(K331/F331,"")</f>
        <v/>
      </c>
      <c r="AF331" s="2">
        <f>IFERROR(L331/B331,"")</f>
        <v/>
      </c>
      <c r="AG331" s="2">
        <f>IFERROR(M331/C331,"")</f>
        <v/>
      </c>
      <c r="AH331" s="2">
        <f>IFERROR(N331/D331,"")</f>
        <v/>
      </c>
      <c r="AI331" s="2">
        <f>IFERROR(O331/E331,"")</f>
        <v/>
      </c>
      <c r="AJ331" s="2">
        <f>IFERROR(P331/F331,"")</f>
        <v/>
      </c>
      <c r="AK331" s="2">
        <f>IFERROR(Q331/B331,"")</f>
        <v/>
      </c>
      <c r="AL331" s="2">
        <f>IFERROR(R331/C331,"")</f>
        <v/>
      </c>
      <c r="AM331" s="2">
        <f>IFERROR(S331/D331,"")</f>
        <v/>
      </c>
      <c r="AN331" s="2">
        <f>IFERROR(T331/E331,"")</f>
        <v/>
      </c>
      <c r="AO331" s="2">
        <f>IFERROR(U331/F331,"")</f>
        <v/>
      </c>
    </row>
    <row r="332">
      <c r="B332">
        <f>IF($A332="","",IFERROR(INDEX('[AQ_2020.xlsx]原始数据'!$B:$B,MATCH($A332,'[AQ_2020.xlsx]原始数据'!$A:$A,0)),""))</f>
        <v/>
      </c>
      <c r="C332">
        <f>IF($A332="","",IFERROR(INDEX('[AQ_2021.xlsx]原始数据'!$B:$B,MATCH($A332,'[AQ_2021.xlsx]原始数据'!$A:$A,0)),""))</f>
        <v/>
      </c>
      <c r="D332">
        <f>IF($A332="","",IFERROR(INDEX('[AQ_2022.xlsx]原始数据'!$B:$B,MATCH($A332,'[AQ_2022.xlsx]原始数据'!$A:$A,0)),""))</f>
        <v/>
      </c>
      <c r="E332">
        <f>IF($A332="","",IFERROR(INDEX('[AQ_2023.xlsx]原始数据'!$B:$B,MATCH($A332,'[AQ_2023.xlsx]原始数据'!$A:$A,0)),""))</f>
        <v/>
      </c>
      <c r="F332">
        <f>IF($A332="","",IFERROR(INDEX('[AQ_2024.xlsx]原始数据'!$B:$B,MATCH($A332,'[AQ_2024.xlsx]原始数据'!$A:$A,0)),""))</f>
        <v/>
      </c>
      <c r="G332">
        <f>IF($A332="","",IFERROR(INDEX('[AQ_2020.xlsx]原始数据'!$C:$C,MATCH($A332,'[AQ_2020.xlsx]原始数据'!$A:$A,0)),""))</f>
        <v/>
      </c>
      <c r="H332">
        <f>IF($A332="","",IFERROR(INDEX('[AQ_2021.xlsx]原始数据'!$C:$C,MATCH($A332,'[AQ_2021.xlsx]原始数据'!$A:$A,0)),""))</f>
        <v/>
      </c>
      <c r="I332">
        <f>IF($A332="","",IFERROR(INDEX('[AQ_2022.xlsx]原始数据'!$C:$C,MATCH($A332,'[AQ_2022.xlsx]原始数据'!$A:$A,0)),""))</f>
        <v/>
      </c>
      <c r="J332">
        <f>IF($A332="","",IFERROR(INDEX('[AQ_2023.xlsx]原始数据'!$C:$C,MATCH($A332,'[AQ_2023.xlsx]原始数据'!$A:$A,0)),""))</f>
        <v/>
      </c>
      <c r="K332">
        <f>IF($A332="","",IFERROR(INDEX('[AQ_2024.xlsx]原始数据'!$C:$C,MATCH($A332,'[AQ_2024.xlsx]原始数据'!$A:$A,0)),""))</f>
        <v/>
      </c>
      <c r="L332">
        <f>IF($A332="","",IFERROR(INDEX('[AQ_2020.xlsx]原始数据'!$D:$D,MATCH($A332,'[AQ_2020.xlsx]原始数据'!$A:$A,0)),""))</f>
        <v/>
      </c>
      <c r="M332">
        <f>IF($A332="","",IFERROR(INDEX('[AQ_2021.xlsx]原始数据'!$D:$D,MATCH($A332,'[AQ_2021.xlsx]原始数据'!$A:$A,0)),""))</f>
        <v/>
      </c>
      <c r="N332">
        <f>IF($A332="","",IFERROR(INDEX('[AQ_2022.xlsx]原始数据'!$D:$D,MATCH($A332,'[AQ_2022.xlsx]原始数据'!$A:$A,0)),""))</f>
        <v/>
      </c>
      <c r="O332">
        <f>IF($A332="","",IFERROR(INDEX('[AQ_2023.xlsx]原始数据'!$D:$D,MATCH($A332,'[AQ_2023.xlsx]原始数据'!$A:$A,0)),""))</f>
        <v/>
      </c>
      <c r="P332">
        <f>IF($A332="","",IFERROR(INDEX('[AQ_2024.xlsx]原始数据'!$D:$D,MATCH($A332,'[AQ_2024.xlsx]原始数据'!$A:$A,0)),""))</f>
        <v/>
      </c>
      <c r="Q332">
        <f>IF($A332="","",IFERROR(INDEX('[AQ_2020.xlsx]原始数据'!$E:$E,MATCH($A332,'[AQ_2020.xlsx]原始数据'!$A:$A,0)),""))</f>
        <v/>
      </c>
      <c r="R332">
        <f>IF($A332="","",IFERROR(INDEX('[AQ_2021.xlsx]原始数据'!$E:$E,MATCH($A332,'[AQ_2021.xlsx]原始数据'!$A:$A,0)),""))</f>
        <v/>
      </c>
      <c r="S332">
        <f>IF($A332="","",IFERROR(INDEX('[AQ_2022.xlsx]原始数据'!$E:$E,MATCH($A332,'[AQ_2022.xlsx]原始数据'!$A:$A,0)),""))</f>
        <v/>
      </c>
      <c r="T332">
        <f>IF($A332="","",IFERROR(INDEX('[AQ_2023.xlsx]原始数据'!$E:$E,MATCH($A332,'[AQ_2023.xlsx]原始数据'!$A:$A,0)),""))</f>
        <v/>
      </c>
      <c r="U332">
        <f>IF($A332="","",IFERROR(INDEX('[AQ_2024.xlsx]原始数据'!$E:$E,MATCH($A332,'[AQ_2024.xlsx]原始数据'!$A:$A,0)),""))</f>
        <v/>
      </c>
      <c r="V332">
        <f>IF($A332="","",IFERROR(INDEX('[AQ_2020.xlsx]原始数据'!$F:$F,MATCH($A332,'[AQ_2020.xlsx]原始数据'!$A:$A,0)),""))</f>
        <v/>
      </c>
      <c r="W332">
        <f>IF($A332="","",IFERROR(INDEX('[AQ_2021.xlsx]原始数据'!$F:$F,MATCH($A332,'[AQ_2021.xlsx]原始数据'!$A:$A,0)),""))</f>
        <v/>
      </c>
      <c r="X332">
        <f>IF($A332="","",IFERROR(INDEX('[AQ_2022.xlsx]原始数据'!$F:$F,MATCH($A332,'[AQ_2022.xlsx]原始数据'!$A:$A,0)),""))</f>
        <v/>
      </c>
      <c r="Y332">
        <f>IF($A332="","",IFERROR(INDEX('[AQ_2023.xlsx]原始数据'!$F:$F,MATCH($A332,'[AQ_2023.xlsx]原始数据'!$A:$A,0)),""))</f>
        <v/>
      </c>
      <c r="Z332">
        <f>IF($A332="","",IFERROR(INDEX('[AQ_2024.xlsx]原始数据'!$F:$F,MATCH($A332,'[AQ_2024.xlsx]原始数据'!$A:$A,0)),""))</f>
        <v/>
      </c>
      <c r="AA332" s="2">
        <f>IFERROR(G332/B332,"")</f>
        <v/>
      </c>
      <c r="AB332" s="2">
        <f>IFERROR(H332/C332,"")</f>
        <v/>
      </c>
      <c r="AC332" s="2">
        <f>IFERROR(I332/D332,"")</f>
        <v/>
      </c>
      <c r="AD332" s="2">
        <f>IFERROR(J332/E332,"")</f>
        <v/>
      </c>
      <c r="AE332" s="2">
        <f>IFERROR(K332/F332,"")</f>
        <v/>
      </c>
      <c r="AF332" s="2">
        <f>IFERROR(L332/B332,"")</f>
        <v/>
      </c>
      <c r="AG332" s="2">
        <f>IFERROR(M332/C332,"")</f>
        <v/>
      </c>
      <c r="AH332" s="2">
        <f>IFERROR(N332/D332,"")</f>
        <v/>
      </c>
      <c r="AI332" s="2">
        <f>IFERROR(O332/E332,"")</f>
        <v/>
      </c>
      <c r="AJ332" s="2">
        <f>IFERROR(P332/F332,"")</f>
        <v/>
      </c>
      <c r="AK332" s="2">
        <f>IFERROR(Q332/B332,"")</f>
        <v/>
      </c>
      <c r="AL332" s="2">
        <f>IFERROR(R332/C332,"")</f>
        <v/>
      </c>
      <c r="AM332" s="2">
        <f>IFERROR(S332/D332,"")</f>
        <v/>
      </c>
      <c r="AN332" s="2">
        <f>IFERROR(T332/E332,"")</f>
        <v/>
      </c>
      <c r="AO332" s="2">
        <f>IFERROR(U332/F332,"")</f>
        <v/>
      </c>
    </row>
    <row r="333">
      <c r="B333">
        <f>IF($A333="","",IFERROR(INDEX('[AQ_2020.xlsx]原始数据'!$B:$B,MATCH($A333,'[AQ_2020.xlsx]原始数据'!$A:$A,0)),""))</f>
        <v/>
      </c>
      <c r="C333">
        <f>IF($A333="","",IFERROR(INDEX('[AQ_2021.xlsx]原始数据'!$B:$B,MATCH($A333,'[AQ_2021.xlsx]原始数据'!$A:$A,0)),""))</f>
        <v/>
      </c>
      <c r="D333">
        <f>IF($A333="","",IFERROR(INDEX('[AQ_2022.xlsx]原始数据'!$B:$B,MATCH($A333,'[AQ_2022.xlsx]原始数据'!$A:$A,0)),""))</f>
        <v/>
      </c>
      <c r="E333">
        <f>IF($A333="","",IFERROR(INDEX('[AQ_2023.xlsx]原始数据'!$B:$B,MATCH($A333,'[AQ_2023.xlsx]原始数据'!$A:$A,0)),""))</f>
        <v/>
      </c>
      <c r="F333">
        <f>IF($A333="","",IFERROR(INDEX('[AQ_2024.xlsx]原始数据'!$B:$B,MATCH($A333,'[AQ_2024.xlsx]原始数据'!$A:$A,0)),""))</f>
        <v/>
      </c>
      <c r="G333">
        <f>IF($A333="","",IFERROR(INDEX('[AQ_2020.xlsx]原始数据'!$C:$C,MATCH($A333,'[AQ_2020.xlsx]原始数据'!$A:$A,0)),""))</f>
        <v/>
      </c>
      <c r="H333">
        <f>IF($A333="","",IFERROR(INDEX('[AQ_2021.xlsx]原始数据'!$C:$C,MATCH($A333,'[AQ_2021.xlsx]原始数据'!$A:$A,0)),""))</f>
        <v/>
      </c>
      <c r="I333">
        <f>IF($A333="","",IFERROR(INDEX('[AQ_2022.xlsx]原始数据'!$C:$C,MATCH($A333,'[AQ_2022.xlsx]原始数据'!$A:$A,0)),""))</f>
        <v/>
      </c>
      <c r="J333">
        <f>IF($A333="","",IFERROR(INDEX('[AQ_2023.xlsx]原始数据'!$C:$C,MATCH($A333,'[AQ_2023.xlsx]原始数据'!$A:$A,0)),""))</f>
        <v/>
      </c>
      <c r="K333">
        <f>IF($A333="","",IFERROR(INDEX('[AQ_2024.xlsx]原始数据'!$C:$C,MATCH($A333,'[AQ_2024.xlsx]原始数据'!$A:$A,0)),""))</f>
        <v/>
      </c>
      <c r="L333">
        <f>IF($A333="","",IFERROR(INDEX('[AQ_2020.xlsx]原始数据'!$D:$D,MATCH($A333,'[AQ_2020.xlsx]原始数据'!$A:$A,0)),""))</f>
        <v/>
      </c>
      <c r="M333">
        <f>IF($A333="","",IFERROR(INDEX('[AQ_2021.xlsx]原始数据'!$D:$D,MATCH($A333,'[AQ_2021.xlsx]原始数据'!$A:$A,0)),""))</f>
        <v/>
      </c>
      <c r="N333">
        <f>IF($A333="","",IFERROR(INDEX('[AQ_2022.xlsx]原始数据'!$D:$D,MATCH($A333,'[AQ_2022.xlsx]原始数据'!$A:$A,0)),""))</f>
        <v/>
      </c>
      <c r="O333">
        <f>IF($A333="","",IFERROR(INDEX('[AQ_2023.xlsx]原始数据'!$D:$D,MATCH($A333,'[AQ_2023.xlsx]原始数据'!$A:$A,0)),""))</f>
        <v/>
      </c>
      <c r="P333">
        <f>IF($A333="","",IFERROR(INDEX('[AQ_2024.xlsx]原始数据'!$D:$D,MATCH($A333,'[AQ_2024.xlsx]原始数据'!$A:$A,0)),""))</f>
        <v/>
      </c>
      <c r="Q333">
        <f>IF($A333="","",IFERROR(INDEX('[AQ_2020.xlsx]原始数据'!$E:$E,MATCH($A333,'[AQ_2020.xlsx]原始数据'!$A:$A,0)),""))</f>
        <v/>
      </c>
      <c r="R333">
        <f>IF($A333="","",IFERROR(INDEX('[AQ_2021.xlsx]原始数据'!$E:$E,MATCH($A333,'[AQ_2021.xlsx]原始数据'!$A:$A,0)),""))</f>
        <v/>
      </c>
      <c r="S333">
        <f>IF($A333="","",IFERROR(INDEX('[AQ_2022.xlsx]原始数据'!$E:$E,MATCH($A333,'[AQ_2022.xlsx]原始数据'!$A:$A,0)),""))</f>
        <v/>
      </c>
      <c r="T333">
        <f>IF($A333="","",IFERROR(INDEX('[AQ_2023.xlsx]原始数据'!$E:$E,MATCH($A333,'[AQ_2023.xlsx]原始数据'!$A:$A,0)),""))</f>
        <v/>
      </c>
      <c r="U333">
        <f>IF($A333="","",IFERROR(INDEX('[AQ_2024.xlsx]原始数据'!$E:$E,MATCH($A333,'[AQ_2024.xlsx]原始数据'!$A:$A,0)),""))</f>
        <v/>
      </c>
      <c r="V333">
        <f>IF($A333="","",IFERROR(INDEX('[AQ_2020.xlsx]原始数据'!$F:$F,MATCH($A333,'[AQ_2020.xlsx]原始数据'!$A:$A,0)),""))</f>
        <v/>
      </c>
      <c r="W333">
        <f>IF($A333="","",IFERROR(INDEX('[AQ_2021.xlsx]原始数据'!$F:$F,MATCH($A333,'[AQ_2021.xlsx]原始数据'!$A:$A,0)),""))</f>
        <v/>
      </c>
      <c r="X333">
        <f>IF($A333="","",IFERROR(INDEX('[AQ_2022.xlsx]原始数据'!$F:$F,MATCH($A333,'[AQ_2022.xlsx]原始数据'!$A:$A,0)),""))</f>
        <v/>
      </c>
      <c r="Y333">
        <f>IF($A333="","",IFERROR(INDEX('[AQ_2023.xlsx]原始数据'!$F:$F,MATCH($A333,'[AQ_2023.xlsx]原始数据'!$A:$A,0)),""))</f>
        <v/>
      </c>
      <c r="Z333">
        <f>IF($A333="","",IFERROR(INDEX('[AQ_2024.xlsx]原始数据'!$F:$F,MATCH($A333,'[AQ_2024.xlsx]原始数据'!$A:$A,0)),""))</f>
        <v/>
      </c>
      <c r="AA333" s="2">
        <f>IFERROR(G333/B333,"")</f>
        <v/>
      </c>
      <c r="AB333" s="2">
        <f>IFERROR(H333/C333,"")</f>
        <v/>
      </c>
      <c r="AC333" s="2">
        <f>IFERROR(I333/D333,"")</f>
        <v/>
      </c>
      <c r="AD333" s="2">
        <f>IFERROR(J333/E333,"")</f>
        <v/>
      </c>
      <c r="AE333" s="2">
        <f>IFERROR(K333/F333,"")</f>
        <v/>
      </c>
      <c r="AF333" s="2">
        <f>IFERROR(L333/B333,"")</f>
        <v/>
      </c>
      <c r="AG333" s="2">
        <f>IFERROR(M333/C333,"")</f>
        <v/>
      </c>
      <c r="AH333" s="2">
        <f>IFERROR(N333/D333,"")</f>
        <v/>
      </c>
      <c r="AI333" s="2">
        <f>IFERROR(O333/E333,"")</f>
        <v/>
      </c>
      <c r="AJ333" s="2">
        <f>IFERROR(P333/F333,"")</f>
        <v/>
      </c>
      <c r="AK333" s="2">
        <f>IFERROR(Q333/B333,"")</f>
        <v/>
      </c>
      <c r="AL333" s="2">
        <f>IFERROR(R333/C333,"")</f>
        <v/>
      </c>
      <c r="AM333" s="2">
        <f>IFERROR(S333/D333,"")</f>
        <v/>
      </c>
      <c r="AN333" s="2">
        <f>IFERROR(T333/E333,"")</f>
        <v/>
      </c>
      <c r="AO333" s="2">
        <f>IFERROR(U333/F333,"")</f>
        <v/>
      </c>
    </row>
    <row r="334">
      <c r="B334">
        <f>IF($A334="","",IFERROR(INDEX('[AQ_2020.xlsx]原始数据'!$B:$B,MATCH($A334,'[AQ_2020.xlsx]原始数据'!$A:$A,0)),""))</f>
        <v/>
      </c>
      <c r="C334">
        <f>IF($A334="","",IFERROR(INDEX('[AQ_2021.xlsx]原始数据'!$B:$B,MATCH($A334,'[AQ_2021.xlsx]原始数据'!$A:$A,0)),""))</f>
        <v/>
      </c>
      <c r="D334">
        <f>IF($A334="","",IFERROR(INDEX('[AQ_2022.xlsx]原始数据'!$B:$B,MATCH($A334,'[AQ_2022.xlsx]原始数据'!$A:$A,0)),""))</f>
        <v/>
      </c>
      <c r="E334">
        <f>IF($A334="","",IFERROR(INDEX('[AQ_2023.xlsx]原始数据'!$B:$B,MATCH($A334,'[AQ_2023.xlsx]原始数据'!$A:$A,0)),""))</f>
        <v/>
      </c>
      <c r="F334">
        <f>IF($A334="","",IFERROR(INDEX('[AQ_2024.xlsx]原始数据'!$B:$B,MATCH($A334,'[AQ_2024.xlsx]原始数据'!$A:$A,0)),""))</f>
        <v/>
      </c>
      <c r="G334">
        <f>IF($A334="","",IFERROR(INDEX('[AQ_2020.xlsx]原始数据'!$C:$C,MATCH($A334,'[AQ_2020.xlsx]原始数据'!$A:$A,0)),""))</f>
        <v/>
      </c>
      <c r="H334">
        <f>IF($A334="","",IFERROR(INDEX('[AQ_2021.xlsx]原始数据'!$C:$C,MATCH($A334,'[AQ_2021.xlsx]原始数据'!$A:$A,0)),""))</f>
        <v/>
      </c>
      <c r="I334">
        <f>IF($A334="","",IFERROR(INDEX('[AQ_2022.xlsx]原始数据'!$C:$C,MATCH($A334,'[AQ_2022.xlsx]原始数据'!$A:$A,0)),""))</f>
        <v/>
      </c>
      <c r="J334">
        <f>IF($A334="","",IFERROR(INDEX('[AQ_2023.xlsx]原始数据'!$C:$C,MATCH($A334,'[AQ_2023.xlsx]原始数据'!$A:$A,0)),""))</f>
        <v/>
      </c>
      <c r="K334">
        <f>IF($A334="","",IFERROR(INDEX('[AQ_2024.xlsx]原始数据'!$C:$C,MATCH($A334,'[AQ_2024.xlsx]原始数据'!$A:$A,0)),""))</f>
        <v/>
      </c>
      <c r="L334">
        <f>IF($A334="","",IFERROR(INDEX('[AQ_2020.xlsx]原始数据'!$D:$D,MATCH($A334,'[AQ_2020.xlsx]原始数据'!$A:$A,0)),""))</f>
        <v/>
      </c>
      <c r="M334">
        <f>IF($A334="","",IFERROR(INDEX('[AQ_2021.xlsx]原始数据'!$D:$D,MATCH($A334,'[AQ_2021.xlsx]原始数据'!$A:$A,0)),""))</f>
        <v/>
      </c>
      <c r="N334">
        <f>IF($A334="","",IFERROR(INDEX('[AQ_2022.xlsx]原始数据'!$D:$D,MATCH($A334,'[AQ_2022.xlsx]原始数据'!$A:$A,0)),""))</f>
        <v/>
      </c>
      <c r="O334">
        <f>IF($A334="","",IFERROR(INDEX('[AQ_2023.xlsx]原始数据'!$D:$D,MATCH($A334,'[AQ_2023.xlsx]原始数据'!$A:$A,0)),""))</f>
        <v/>
      </c>
      <c r="P334">
        <f>IF($A334="","",IFERROR(INDEX('[AQ_2024.xlsx]原始数据'!$D:$D,MATCH($A334,'[AQ_2024.xlsx]原始数据'!$A:$A,0)),""))</f>
        <v/>
      </c>
      <c r="Q334">
        <f>IF($A334="","",IFERROR(INDEX('[AQ_2020.xlsx]原始数据'!$E:$E,MATCH($A334,'[AQ_2020.xlsx]原始数据'!$A:$A,0)),""))</f>
        <v/>
      </c>
      <c r="R334">
        <f>IF($A334="","",IFERROR(INDEX('[AQ_2021.xlsx]原始数据'!$E:$E,MATCH($A334,'[AQ_2021.xlsx]原始数据'!$A:$A,0)),""))</f>
        <v/>
      </c>
      <c r="S334">
        <f>IF($A334="","",IFERROR(INDEX('[AQ_2022.xlsx]原始数据'!$E:$E,MATCH($A334,'[AQ_2022.xlsx]原始数据'!$A:$A,0)),""))</f>
        <v/>
      </c>
      <c r="T334">
        <f>IF($A334="","",IFERROR(INDEX('[AQ_2023.xlsx]原始数据'!$E:$E,MATCH($A334,'[AQ_2023.xlsx]原始数据'!$A:$A,0)),""))</f>
        <v/>
      </c>
      <c r="U334">
        <f>IF($A334="","",IFERROR(INDEX('[AQ_2024.xlsx]原始数据'!$E:$E,MATCH($A334,'[AQ_2024.xlsx]原始数据'!$A:$A,0)),""))</f>
        <v/>
      </c>
      <c r="V334">
        <f>IF($A334="","",IFERROR(INDEX('[AQ_2020.xlsx]原始数据'!$F:$F,MATCH($A334,'[AQ_2020.xlsx]原始数据'!$A:$A,0)),""))</f>
        <v/>
      </c>
      <c r="W334">
        <f>IF($A334="","",IFERROR(INDEX('[AQ_2021.xlsx]原始数据'!$F:$F,MATCH($A334,'[AQ_2021.xlsx]原始数据'!$A:$A,0)),""))</f>
        <v/>
      </c>
      <c r="X334">
        <f>IF($A334="","",IFERROR(INDEX('[AQ_2022.xlsx]原始数据'!$F:$F,MATCH($A334,'[AQ_2022.xlsx]原始数据'!$A:$A,0)),""))</f>
        <v/>
      </c>
      <c r="Y334">
        <f>IF($A334="","",IFERROR(INDEX('[AQ_2023.xlsx]原始数据'!$F:$F,MATCH($A334,'[AQ_2023.xlsx]原始数据'!$A:$A,0)),""))</f>
        <v/>
      </c>
      <c r="Z334">
        <f>IF($A334="","",IFERROR(INDEX('[AQ_2024.xlsx]原始数据'!$F:$F,MATCH($A334,'[AQ_2024.xlsx]原始数据'!$A:$A,0)),""))</f>
        <v/>
      </c>
      <c r="AA334" s="2">
        <f>IFERROR(G334/B334,"")</f>
        <v/>
      </c>
      <c r="AB334" s="2">
        <f>IFERROR(H334/C334,"")</f>
        <v/>
      </c>
      <c r="AC334" s="2">
        <f>IFERROR(I334/D334,"")</f>
        <v/>
      </c>
      <c r="AD334" s="2">
        <f>IFERROR(J334/E334,"")</f>
        <v/>
      </c>
      <c r="AE334" s="2">
        <f>IFERROR(K334/F334,"")</f>
        <v/>
      </c>
      <c r="AF334" s="2">
        <f>IFERROR(L334/B334,"")</f>
        <v/>
      </c>
      <c r="AG334" s="2">
        <f>IFERROR(M334/C334,"")</f>
        <v/>
      </c>
      <c r="AH334" s="2">
        <f>IFERROR(N334/D334,"")</f>
        <v/>
      </c>
      <c r="AI334" s="2">
        <f>IFERROR(O334/E334,"")</f>
        <v/>
      </c>
      <c r="AJ334" s="2">
        <f>IFERROR(P334/F334,"")</f>
        <v/>
      </c>
      <c r="AK334" s="2">
        <f>IFERROR(Q334/B334,"")</f>
        <v/>
      </c>
      <c r="AL334" s="2">
        <f>IFERROR(R334/C334,"")</f>
        <v/>
      </c>
      <c r="AM334" s="2">
        <f>IFERROR(S334/D334,"")</f>
        <v/>
      </c>
      <c r="AN334" s="2">
        <f>IFERROR(T334/E334,"")</f>
        <v/>
      </c>
      <c r="AO334" s="2">
        <f>IFERROR(U334/F334,"")</f>
        <v/>
      </c>
    </row>
    <row r="335">
      <c r="B335">
        <f>IF($A335="","",IFERROR(INDEX('[AQ_2020.xlsx]原始数据'!$B:$B,MATCH($A335,'[AQ_2020.xlsx]原始数据'!$A:$A,0)),""))</f>
        <v/>
      </c>
      <c r="C335">
        <f>IF($A335="","",IFERROR(INDEX('[AQ_2021.xlsx]原始数据'!$B:$B,MATCH($A335,'[AQ_2021.xlsx]原始数据'!$A:$A,0)),""))</f>
        <v/>
      </c>
      <c r="D335">
        <f>IF($A335="","",IFERROR(INDEX('[AQ_2022.xlsx]原始数据'!$B:$B,MATCH($A335,'[AQ_2022.xlsx]原始数据'!$A:$A,0)),""))</f>
        <v/>
      </c>
      <c r="E335">
        <f>IF($A335="","",IFERROR(INDEX('[AQ_2023.xlsx]原始数据'!$B:$B,MATCH($A335,'[AQ_2023.xlsx]原始数据'!$A:$A,0)),""))</f>
        <v/>
      </c>
      <c r="F335">
        <f>IF($A335="","",IFERROR(INDEX('[AQ_2024.xlsx]原始数据'!$B:$B,MATCH($A335,'[AQ_2024.xlsx]原始数据'!$A:$A,0)),""))</f>
        <v/>
      </c>
      <c r="G335">
        <f>IF($A335="","",IFERROR(INDEX('[AQ_2020.xlsx]原始数据'!$C:$C,MATCH($A335,'[AQ_2020.xlsx]原始数据'!$A:$A,0)),""))</f>
        <v/>
      </c>
      <c r="H335">
        <f>IF($A335="","",IFERROR(INDEX('[AQ_2021.xlsx]原始数据'!$C:$C,MATCH($A335,'[AQ_2021.xlsx]原始数据'!$A:$A,0)),""))</f>
        <v/>
      </c>
      <c r="I335">
        <f>IF($A335="","",IFERROR(INDEX('[AQ_2022.xlsx]原始数据'!$C:$C,MATCH($A335,'[AQ_2022.xlsx]原始数据'!$A:$A,0)),""))</f>
        <v/>
      </c>
      <c r="J335">
        <f>IF($A335="","",IFERROR(INDEX('[AQ_2023.xlsx]原始数据'!$C:$C,MATCH($A335,'[AQ_2023.xlsx]原始数据'!$A:$A,0)),""))</f>
        <v/>
      </c>
      <c r="K335">
        <f>IF($A335="","",IFERROR(INDEX('[AQ_2024.xlsx]原始数据'!$C:$C,MATCH($A335,'[AQ_2024.xlsx]原始数据'!$A:$A,0)),""))</f>
        <v/>
      </c>
      <c r="L335">
        <f>IF($A335="","",IFERROR(INDEX('[AQ_2020.xlsx]原始数据'!$D:$D,MATCH($A335,'[AQ_2020.xlsx]原始数据'!$A:$A,0)),""))</f>
        <v/>
      </c>
      <c r="M335">
        <f>IF($A335="","",IFERROR(INDEX('[AQ_2021.xlsx]原始数据'!$D:$D,MATCH($A335,'[AQ_2021.xlsx]原始数据'!$A:$A,0)),""))</f>
        <v/>
      </c>
      <c r="N335">
        <f>IF($A335="","",IFERROR(INDEX('[AQ_2022.xlsx]原始数据'!$D:$D,MATCH($A335,'[AQ_2022.xlsx]原始数据'!$A:$A,0)),""))</f>
        <v/>
      </c>
      <c r="O335">
        <f>IF($A335="","",IFERROR(INDEX('[AQ_2023.xlsx]原始数据'!$D:$D,MATCH($A335,'[AQ_2023.xlsx]原始数据'!$A:$A,0)),""))</f>
        <v/>
      </c>
      <c r="P335">
        <f>IF($A335="","",IFERROR(INDEX('[AQ_2024.xlsx]原始数据'!$D:$D,MATCH($A335,'[AQ_2024.xlsx]原始数据'!$A:$A,0)),""))</f>
        <v/>
      </c>
      <c r="Q335">
        <f>IF($A335="","",IFERROR(INDEX('[AQ_2020.xlsx]原始数据'!$E:$E,MATCH($A335,'[AQ_2020.xlsx]原始数据'!$A:$A,0)),""))</f>
        <v/>
      </c>
      <c r="R335">
        <f>IF($A335="","",IFERROR(INDEX('[AQ_2021.xlsx]原始数据'!$E:$E,MATCH($A335,'[AQ_2021.xlsx]原始数据'!$A:$A,0)),""))</f>
        <v/>
      </c>
      <c r="S335">
        <f>IF($A335="","",IFERROR(INDEX('[AQ_2022.xlsx]原始数据'!$E:$E,MATCH($A335,'[AQ_2022.xlsx]原始数据'!$A:$A,0)),""))</f>
        <v/>
      </c>
      <c r="T335">
        <f>IF($A335="","",IFERROR(INDEX('[AQ_2023.xlsx]原始数据'!$E:$E,MATCH($A335,'[AQ_2023.xlsx]原始数据'!$A:$A,0)),""))</f>
        <v/>
      </c>
      <c r="U335">
        <f>IF($A335="","",IFERROR(INDEX('[AQ_2024.xlsx]原始数据'!$E:$E,MATCH($A335,'[AQ_2024.xlsx]原始数据'!$A:$A,0)),""))</f>
        <v/>
      </c>
      <c r="V335">
        <f>IF($A335="","",IFERROR(INDEX('[AQ_2020.xlsx]原始数据'!$F:$F,MATCH($A335,'[AQ_2020.xlsx]原始数据'!$A:$A,0)),""))</f>
        <v/>
      </c>
      <c r="W335">
        <f>IF($A335="","",IFERROR(INDEX('[AQ_2021.xlsx]原始数据'!$F:$F,MATCH($A335,'[AQ_2021.xlsx]原始数据'!$A:$A,0)),""))</f>
        <v/>
      </c>
      <c r="X335">
        <f>IF($A335="","",IFERROR(INDEX('[AQ_2022.xlsx]原始数据'!$F:$F,MATCH($A335,'[AQ_2022.xlsx]原始数据'!$A:$A,0)),""))</f>
        <v/>
      </c>
      <c r="Y335">
        <f>IF($A335="","",IFERROR(INDEX('[AQ_2023.xlsx]原始数据'!$F:$F,MATCH($A335,'[AQ_2023.xlsx]原始数据'!$A:$A,0)),""))</f>
        <v/>
      </c>
      <c r="Z335">
        <f>IF($A335="","",IFERROR(INDEX('[AQ_2024.xlsx]原始数据'!$F:$F,MATCH($A335,'[AQ_2024.xlsx]原始数据'!$A:$A,0)),""))</f>
        <v/>
      </c>
      <c r="AA335" s="2">
        <f>IFERROR(G335/B335,"")</f>
        <v/>
      </c>
      <c r="AB335" s="2">
        <f>IFERROR(H335/C335,"")</f>
        <v/>
      </c>
      <c r="AC335" s="2">
        <f>IFERROR(I335/D335,"")</f>
        <v/>
      </c>
      <c r="AD335" s="2">
        <f>IFERROR(J335/E335,"")</f>
        <v/>
      </c>
      <c r="AE335" s="2">
        <f>IFERROR(K335/F335,"")</f>
        <v/>
      </c>
      <c r="AF335" s="2">
        <f>IFERROR(L335/B335,"")</f>
        <v/>
      </c>
      <c r="AG335" s="2">
        <f>IFERROR(M335/C335,"")</f>
        <v/>
      </c>
      <c r="AH335" s="2">
        <f>IFERROR(N335/D335,"")</f>
        <v/>
      </c>
      <c r="AI335" s="2">
        <f>IFERROR(O335/E335,"")</f>
        <v/>
      </c>
      <c r="AJ335" s="2">
        <f>IFERROR(P335/F335,"")</f>
        <v/>
      </c>
      <c r="AK335" s="2">
        <f>IFERROR(Q335/B335,"")</f>
        <v/>
      </c>
      <c r="AL335" s="2">
        <f>IFERROR(R335/C335,"")</f>
        <v/>
      </c>
      <c r="AM335" s="2">
        <f>IFERROR(S335/D335,"")</f>
        <v/>
      </c>
      <c r="AN335" s="2">
        <f>IFERROR(T335/E335,"")</f>
        <v/>
      </c>
      <c r="AO335" s="2">
        <f>IFERROR(U335/F335,"")</f>
        <v/>
      </c>
    </row>
    <row r="336">
      <c r="B336">
        <f>IF($A336="","",IFERROR(INDEX('[AQ_2020.xlsx]原始数据'!$B:$B,MATCH($A336,'[AQ_2020.xlsx]原始数据'!$A:$A,0)),""))</f>
        <v/>
      </c>
      <c r="C336">
        <f>IF($A336="","",IFERROR(INDEX('[AQ_2021.xlsx]原始数据'!$B:$B,MATCH($A336,'[AQ_2021.xlsx]原始数据'!$A:$A,0)),""))</f>
        <v/>
      </c>
      <c r="D336">
        <f>IF($A336="","",IFERROR(INDEX('[AQ_2022.xlsx]原始数据'!$B:$B,MATCH($A336,'[AQ_2022.xlsx]原始数据'!$A:$A,0)),""))</f>
        <v/>
      </c>
      <c r="E336">
        <f>IF($A336="","",IFERROR(INDEX('[AQ_2023.xlsx]原始数据'!$B:$B,MATCH($A336,'[AQ_2023.xlsx]原始数据'!$A:$A,0)),""))</f>
        <v/>
      </c>
      <c r="F336">
        <f>IF($A336="","",IFERROR(INDEX('[AQ_2024.xlsx]原始数据'!$B:$B,MATCH($A336,'[AQ_2024.xlsx]原始数据'!$A:$A,0)),""))</f>
        <v/>
      </c>
      <c r="G336">
        <f>IF($A336="","",IFERROR(INDEX('[AQ_2020.xlsx]原始数据'!$C:$C,MATCH($A336,'[AQ_2020.xlsx]原始数据'!$A:$A,0)),""))</f>
        <v/>
      </c>
      <c r="H336">
        <f>IF($A336="","",IFERROR(INDEX('[AQ_2021.xlsx]原始数据'!$C:$C,MATCH($A336,'[AQ_2021.xlsx]原始数据'!$A:$A,0)),""))</f>
        <v/>
      </c>
      <c r="I336">
        <f>IF($A336="","",IFERROR(INDEX('[AQ_2022.xlsx]原始数据'!$C:$C,MATCH($A336,'[AQ_2022.xlsx]原始数据'!$A:$A,0)),""))</f>
        <v/>
      </c>
      <c r="J336">
        <f>IF($A336="","",IFERROR(INDEX('[AQ_2023.xlsx]原始数据'!$C:$C,MATCH($A336,'[AQ_2023.xlsx]原始数据'!$A:$A,0)),""))</f>
        <v/>
      </c>
      <c r="K336">
        <f>IF($A336="","",IFERROR(INDEX('[AQ_2024.xlsx]原始数据'!$C:$C,MATCH($A336,'[AQ_2024.xlsx]原始数据'!$A:$A,0)),""))</f>
        <v/>
      </c>
      <c r="L336">
        <f>IF($A336="","",IFERROR(INDEX('[AQ_2020.xlsx]原始数据'!$D:$D,MATCH($A336,'[AQ_2020.xlsx]原始数据'!$A:$A,0)),""))</f>
        <v/>
      </c>
      <c r="M336">
        <f>IF($A336="","",IFERROR(INDEX('[AQ_2021.xlsx]原始数据'!$D:$D,MATCH($A336,'[AQ_2021.xlsx]原始数据'!$A:$A,0)),""))</f>
        <v/>
      </c>
      <c r="N336">
        <f>IF($A336="","",IFERROR(INDEX('[AQ_2022.xlsx]原始数据'!$D:$D,MATCH($A336,'[AQ_2022.xlsx]原始数据'!$A:$A,0)),""))</f>
        <v/>
      </c>
      <c r="O336">
        <f>IF($A336="","",IFERROR(INDEX('[AQ_2023.xlsx]原始数据'!$D:$D,MATCH($A336,'[AQ_2023.xlsx]原始数据'!$A:$A,0)),""))</f>
        <v/>
      </c>
      <c r="P336">
        <f>IF($A336="","",IFERROR(INDEX('[AQ_2024.xlsx]原始数据'!$D:$D,MATCH($A336,'[AQ_2024.xlsx]原始数据'!$A:$A,0)),""))</f>
        <v/>
      </c>
      <c r="Q336">
        <f>IF($A336="","",IFERROR(INDEX('[AQ_2020.xlsx]原始数据'!$E:$E,MATCH($A336,'[AQ_2020.xlsx]原始数据'!$A:$A,0)),""))</f>
        <v/>
      </c>
      <c r="R336">
        <f>IF($A336="","",IFERROR(INDEX('[AQ_2021.xlsx]原始数据'!$E:$E,MATCH($A336,'[AQ_2021.xlsx]原始数据'!$A:$A,0)),""))</f>
        <v/>
      </c>
      <c r="S336">
        <f>IF($A336="","",IFERROR(INDEX('[AQ_2022.xlsx]原始数据'!$E:$E,MATCH($A336,'[AQ_2022.xlsx]原始数据'!$A:$A,0)),""))</f>
        <v/>
      </c>
      <c r="T336">
        <f>IF($A336="","",IFERROR(INDEX('[AQ_2023.xlsx]原始数据'!$E:$E,MATCH($A336,'[AQ_2023.xlsx]原始数据'!$A:$A,0)),""))</f>
        <v/>
      </c>
      <c r="U336">
        <f>IF($A336="","",IFERROR(INDEX('[AQ_2024.xlsx]原始数据'!$E:$E,MATCH($A336,'[AQ_2024.xlsx]原始数据'!$A:$A,0)),""))</f>
        <v/>
      </c>
      <c r="V336">
        <f>IF($A336="","",IFERROR(INDEX('[AQ_2020.xlsx]原始数据'!$F:$F,MATCH($A336,'[AQ_2020.xlsx]原始数据'!$A:$A,0)),""))</f>
        <v/>
      </c>
      <c r="W336">
        <f>IF($A336="","",IFERROR(INDEX('[AQ_2021.xlsx]原始数据'!$F:$F,MATCH($A336,'[AQ_2021.xlsx]原始数据'!$A:$A,0)),""))</f>
        <v/>
      </c>
      <c r="X336">
        <f>IF($A336="","",IFERROR(INDEX('[AQ_2022.xlsx]原始数据'!$F:$F,MATCH($A336,'[AQ_2022.xlsx]原始数据'!$A:$A,0)),""))</f>
        <v/>
      </c>
      <c r="Y336">
        <f>IF($A336="","",IFERROR(INDEX('[AQ_2023.xlsx]原始数据'!$F:$F,MATCH($A336,'[AQ_2023.xlsx]原始数据'!$A:$A,0)),""))</f>
        <v/>
      </c>
      <c r="Z336">
        <f>IF($A336="","",IFERROR(INDEX('[AQ_2024.xlsx]原始数据'!$F:$F,MATCH($A336,'[AQ_2024.xlsx]原始数据'!$A:$A,0)),""))</f>
        <v/>
      </c>
      <c r="AA336" s="2">
        <f>IFERROR(G336/B336,"")</f>
        <v/>
      </c>
      <c r="AB336" s="2">
        <f>IFERROR(H336/C336,"")</f>
        <v/>
      </c>
      <c r="AC336" s="2">
        <f>IFERROR(I336/D336,"")</f>
        <v/>
      </c>
      <c r="AD336" s="2">
        <f>IFERROR(J336/E336,"")</f>
        <v/>
      </c>
      <c r="AE336" s="2">
        <f>IFERROR(K336/F336,"")</f>
        <v/>
      </c>
      <c r="AF336" s="2">
        <f>IFERROR(L336/B336,"")</f>
        <v/>
      </c>
      <c r="AG336" s="2">
        <f>IFERROR(M336/C336,"")</f>
        <v/>
      </c>
      <c r="AH336" s="2">
        <f>IFERROR(N336/D336,"")</f>
        <v/>
      </c>
      <c r="AI336" s="2">
        <f>IFERROR(O336/E336,"")</f>
        <v/>
      </c>
      <c r="AJ336" s="2">
        <f>IFERROR(P336/F336,"")</f>
        <v/>
      </c>
      <c r="AK336" s="2">
        <f>IFERROR(Q336/B336,"")</f>
        <v/>
      </c>
      <c r="AL336" s="2">
        <f>IFERROR(R336/C336,"")</f>
        <v/>
      </c>
      <c r="AM336" s="2">
        <f>IFERROR(S336/D336,"")</f>
        <v/>
      </c>
      <c r="AN336" s="2">
        <f>IFERROR(T336/E336,"")</f>
        <v/>
      </c>
      <c r="AO336" s="2">
        <f>IFERROR(U336/F336,"")</f>
        <v/>
      </c>
    </row>
    <row r="337">
      <c r="B337">
        <f>IF($A337="","",IFERROR(INDEX('[AQ_2020.xlsx]原始数据'!$B:$B,MATCH($A337,'[AQ_2020.xlsx]原始数据'!$A:$A,0)),""))</f>
        <v/>
      </c>
      <c r="C337">
        <f>IF($A337="","",IFERROR(INDEX('[AQ_2021.xlsx]原始数据'!$B:$B,MATCH($A337,'[AQ_2021.xlsx]原始数据'!$A:$A,0)),""))</f>
        <v/>
      </c>
      <c r="D337">
        <f>IF($A337="","",IFERROR(INDEX('[AQ_2022.xlsx]原始数据'!$B:$B,MATCH($A337,'[AQ_2022.xlsx]原始数据'!$A:$A,0)),""))</f>
        <v/>
      </c>
      <c r="E337">
        <f>IF($A337="","",IFERROR(INDEX('[AQ_2023.xlsx]原始数据'!$B:$B,MATCH($A337,'[AQ_2023.xlsx]原始数据'!$A:$A,0)),""))</f>
        <v/>
      </c>
      <c r="F337">
        <f>IF($A337="","",IFERROR(INDEX('[AQ_2024.xlsx]原始数据'!$B:$B,MATCH($A337,'[AQ_2024.xlsx]原始数据'!$A:$A,0)),""))</f>
        <v/>
      </c>
      <c r="G337">
        <f>IF($A337="","",IFERROR(INDEX('[AQ_2020.xlsx]原始数据'!$C:$C,MATCH($A337,'[AQ_2020.xlsx]原始数据'!$A:$A,0)),""))</f>
        <v/>
      </c>
      <c r="H337">
        <f>IF($A337="","",IFERROR(INDEX('[AQ_2021.xlsx]原始数据'!$C:$C,MATCH($A337,'[AQ_2021.xlsx]原始数据'!$A:$A,0)),""))</f>
        <v/>
      </c>
      <c r="I337">
        <f>IF($A337="","",IFERROR(INDEX('[AQ_2022.xlsx]原始数据'!$C:$C,MATCH($A337,'[AQ_2022.xlsx]原始数据'!$A:$A,0)),""))</f>
        <v/>
      </c>
      <c r="J337">
        <f>IF($A337="","",IFERROR(INDEX('[AQ_2023.xlsx]原始数据'!$C:$C,MATCH($A337,'[AQ_2023.xlsx]原始数据'!$A:$A,0)),""))</f>
        <v/>
      </c>
      <c r="K337">
        <f>IF($A337="","",IFERROR(INDEX('[AQ_2024.xlsx]原始数据'!$C:$C,MATCH($A337,'[AQ_2024.xlsx]原始数据'!$A:$A,0)),""))</f>
        <v/>
      </c>
      <c r="L337">
        <f>IF($A337="","",IFERROR(INDEX('[AQ_2020.xlsx]原始数据'!$D:$D,MATCH($A337,'[AQ_2020.xlsx]原始数据'!$A:$A,0)),""))</f>
        <v/>
      </c>
      <c r="M337">
        <f>IF($A337="","",IFERROR(INDEX('[AQ_2021.xlsx]原始数据'!$D:$D,MATCH($A337,'[AQ_2021.xlsx]原始数据'!$A:$A,0)),""))</f>
        <v/>
      </c>
      <c r="N337">
        <f>IF($A337="","",IFERROR(INDEX('[AQ_2022.xlsx]原始数据'!$D:$D,MATCH($A337,'[AQ_2022.xlsx]原始数据'!$A:$A,0)),""))</f>
        <v/>
      </c>
      <c r="O337">
        <f>IF($A337="","",IFERROR(INDEX('[AQ_2023.xlsx]原始数据'!$D:$D,MATCH($A337,'[AQ_2023.xlsx]原始数据'!$A:$A,0)),""))</f>
        <v/>
      </c>
      <c r="P337">
        <f>IF($A337="","",IFERROR(INDEX('[AQ_2024.xlsx]原始数据'!$D:$D,MATCH($A337,'[AQ_2024.xlsx]原始数据'!$A:$A,0)),""))</f>
        <v/>
      </c>
      <c r="Q337">
        <f>IF($A337="","",IFERROR(INDEX('[AQ_2020.xlsx]原始数据'!$E:$E,MATCH($A337,'[AQ_2020.xlsx]原始数据'!$A:$A,0)),""))</f>
        <v/>
      </c>
      <c r="R337">
        <f>IF($A337="","",IFERROR(INDEX('[AQ_2021.xlsx]原始数据'!$E:$E,MATCH($A337,'[AQ_2021.xlsx]原始数据'!$A:$A,0)),""))</f>
        <v/>
      </c>
      <c r="S337">
        <f>IF($A337="","",IFERROR(INDEX('[AQ_2022.xlsx]原始数据'!$E:$E,MATCH($A337,'[AQ_2022.xlsx]原始数据'!$A:$A,0)),""))</f>
        <v/>
      </c>
      <c r="T337">
        <f>IF($A337="","",IFERROR(INDEX('[AQ_2023.xlsx]原始数据'!$E:$E,MATCH($A337,'[AQ_2023.xlsx]原始数据'!$A:$A,0)),""))</f>
        <v/>
      </c>
      <c r="U337">
        <f>IF($A337="","",IFERROR(INDEX('[AQ_2024.xlsx]原始数据'!$E:$E,MATCH($A337,'[AQ_2024.xlsx]原始数据'!$A:$A,0)),""))</f>
        <v/>
      </c>
      <c r="V337">
        <f>IF($A337="","",IFERROR(INDEX('[AQ_2020.xlsx]原始数据'!$F:$F,MATCH($A337,'[AQ_2020.xlsx]原始数据'!$A:$A,0)),""))</f>
        <v/>
      </c>
      <c r="W337">
        <f>IF($A337="","",IFERROR(INDEX('[AQ_2021.xlsx]原始数据'!$F:$F,MATCH($A337,'[AQ_2021.xlsx]原始数据'!$A:$A,0)),""))</f>
        <v/>
      </c>
      <c r="X337">
        <f>IF($A337="","",IFERROR(INDEX('[AQ_2022.xlsx]原始数据'!$F:$F,MATCH($A337,'[AQ_2022.xlsx]原始数据'!$A:$A,0)),""))</f>
        <v/>
      </c>
      <c r="Y337">
        <f>IF($A337="","",IFERROR(INDEX('[AQ_2023.xlsx]原始数据'!$F:$F,MATCH($A337,'[AQ_2023.xlsx]原始数据'!$A:$A,0)),""))</f>
        <v/>
      </c>
      <c r="Z337">
        <f>IF($A337="","",IFERROR(INDEX('[AQ_2024.xlsx]原始数据'!$F:$F,MATCH($A337,'[AQ_2024.xlsx]原始数据'!$A:$A,0)),""))</f>
        <v/>
      </c>
      <c r="AA337" s="2">
        <f>IFERROR(G337/B337,"")</f>
        <v/>
      </c>
      <c r="AB337" s="2">
        <f>IFERROR(H337/C337,"")</f>
        <v/>
      </c>
      <c r="AC337" s="2">
        <f>IFERROR(I337/D337,"")</f>
        <v/>
      </c>
      <c r="AD337" s="2">
        <f>IFERROR(J337/E337,"")</f>
        <v/>
      </c>
      <c r="AE337" s="2">
        <f>IFERROR(K337/F337,"")</f>
        <v/>
      </c>
      <c r="AF337" s="2">
        <f>IFERROR(L337/B337,"")</f>
        <v/>
      </c>
      <c r="AG337" s="2">
        <f>IFERROR(M337/C337,"")</f>
        <v/>
      </c>
      <c r="AH337" s="2">
        <f>IFERROR(N337/D337,"")</f>
        <v/>
      </c>
      <c r="AI337" s="2">
        <f>IFERROR(O337/E337,"")</f>
        <v/>
      </c>
      <c r="AJ337" s="2">
        <f>IFERROR(P337/F337,"")</f>
        <v/>
      </c>
      <c r="AK337" s="2">
        <f>IFERROR(Q337/B337,"")</f>
        <v/>
      </c>
      <c r="AL337" s="2">
        <f>IFERROR(R337/C337,"")</f>
        <v/>
      </c>
      <c r="AM337" s="2">
        <f>IFERROR(S337/D337,"")</f>
        <v/>
      </c>
      <c r="AN337" s="2">
        <f>IFERROR(T337/E337,"")</f>
        <v/>
      </c>
      <c r="AO337" s="2">
        <f>IFERROR(U337/F337,"")</f>
        <v/>
      </c>
    </row>
    <row r="338">
      <c r="B338">
        <f>IF($A338="","",IFERROR(INDEX('[AQ_2020.xlsx]原始数据'!$B:$B,MATCH($A338,'[AQ_2020.xlsx]原始数据'!$A:$A,0)),""))</f>
        <v/>
      </c>
      <c r="C338">
        <f>IF($A338="","",IFERROR(INDEX('[AQ_2021.xlsx]原始数据'!$B:$B,MATCH($A338,'[AQ_2021.xlsx]原始数据'!$A:$A,0)),""))</f>
        <v/>
      </c>
      <c r="D338">
        <f>IF($A338="","",IFERROR(INDEX('[AQ_2022.xlsx]原始数据'!$B:$B,MATCH($A338,'[AQ_2022.xlsx]原始数据'!$A:$A,0)),""))</f>
        <v/>
      </c>
      <c r="E338">
        <f>IF($A338="","",IFERROR(INDEX('[AQ_2023.xlsx]原始数据'!$B:$B,MATCH($A338,'[AQ_2023.xlsx]原始数据'!$A:$A,0)),""))</f>
        <v/>
      </c>
      <c r="F338">
        <f>IF($A338="","",IFERROR(INDEX('[AQ_2024.xlsx]原始数据'!$B:$B,MATCH($A338,'[AQ_2024.xlsx]原始数据'!$A:$A,0)),""))</f>
        <v/>
      </c>
      <c r="G338">
        <f>IF($A338="","",IFERROR(INDEX('[AQ_2020.xlsx]原始数据'!$C:$C,MATCH($A338,'[AQ_2020.xlsx]原始数据'!$A:$A,0)),""))</f>
        <v/>
      </c>
      <c r="H338">
        <f>IF($A338="","",IFERROR(INDEX('[AQ_2021.xlsx]原始数据'!$C:$C,MATCH($A338,'[AQ_2021.xlsx]原始数据'!$A:$A,0)),""))</f>
        <v/>
      </c>
      <c r="I338">
        <f>IF($A338="","",IFERROR(INDEX('[AQ_2022.xlsx]原始数据'!$C:$C,MATCH($A338,'[AQ_2022.xlsx]原始数据'!$A:$A,0)),""))</f>
        <v/>
      </c>
      <c r="J338">
        <f>IF($A338="","",IFERROR(INDEX('[AQ_2023.xlsx]原始数据'!$C:$C,MATCH($A338,'[AQ_2023.xlsx]原始数据'!$A:$A,0)),""))</f>
        <v/>
      </c>
      <c r="K338">
        <f>IF($A338="","",IFERROR(INDEX('[AQ_2024.xlsx]原始数据'!$C:$C,MATCH($A338,'[AQ_2024.xlsx]原始数据'!$A:$A,0)),""))</f>
        <v/>
      </c>
      <c r="L338">
        <f>IF($A338="","",IFERROR(INDEX('[AQ_2020.xlsx]原始数据'!$D:$D,MATCH($A338,'[AQ_2020.xlsx]原始数据'!$A:$A,0)),""))</f>
        <v/>
      </c>
      <c r="M338">
        <f>IF($A338="","",IFERROR(INDEX('[AQ_2021.xlsx]原始数据'!$D:$D,MATCH($A338,'[AQ_2021.xlsx]原始数据'!$A:$A,0)),""))</f>
        <v/>
      </c>
      <c r="N338">
        <f>IF($A338="","",IFERROR(INDEX('[AQ_2022.xlsx]原始数据'!$D:$D,MATCH($A338,'[AQ_2022.xlsx]原始数据'!$A:$A,0)),""))</f>
        <v/>
      </c>
      <c r="O338">
        <f>IF($A338="","",IFERROR(INDEX('[AQ_2023.xlsx]原始数据'!$D:$D,MATCH($A338,'[AQ_2023.xlsx]原始数据'!$A:$A,0)),""))</f>
        <v/>
      </c>
      <c r="P338">
        <f>IF($A338="","",IFERROR(INDEX('[AQ_2024.xlsx]原始数据'!$D:$D,MATCH($A338,'[AQ_2024.xlsx]原始数据'!$A:$A,0)),""))</f>
        <v/>
      </c>
      <c r="Q338">
        <f>IF($A338="","",IFERROR(INDEX('[AQ_2020.xlsx]原始数据'!$E:$E,MATCH($A338,'[AQ_2020.xlsx]原始数据'!$A:$A,0)),""))</f>
        <v/>
      </c>
      <c r="R338">
        <f>IF($A338="","",IFERROR(INDEX('[AQ_2021.xlsx]原始数据'!$E:$E,MATCH($A338,'[AQ_2021.xlsx]原始数据'!$A:$A,0)),""))</f>
        <v/>
      </c>
      <c r="S338">
        <f>IF($A338="","",IFERROR(INDEX('[AQ_2022.xlsx]原始数据'!$E:$E,MATCH($A338,'[AQ_2022.xlsx]原始数据'!$A:$A,0)),""))</f>
        <v/>
      </c>
      <c r="T338">
        <f>IF($A338="","",IFERROR(INDEX('[AQ_2023.xlsx]原始数据'!$E:$E,MATCH($A338,'[AQ_2023.xlsx]原始数据'!$A:$A,0)),""))</f>
        <v/>
      </c>
      <c r="U338">
        <f>IF($A338="","",IFERROR(INDEX('[AQ_2024.xlsx]原始数据'!$E:$E,MATCH($A338,'[AQ_2024.xlsx]原始数据'!$A:$A,0)),""))</f>
        <v/>
      </c>
      <c r="V338">
        <f>IF($A338="","",IFERROR(INDEX('[AQ_2020.xlsx]原始数据'!$F:$F,MATCH($A338,'[AQ_2020.xlsx]原始数据'!$A:$A,0)),""))</f>
        <v/>
      </c>
      <c r="W338">
        <f>IF($A338="","",IFERROR(INDEX('[AQ_2021.xlsx]原始数据'!$F:$F,MATCH($A338,'[AQ_2021.xlsx]原始数据'!$A:$A,0)),""))</f>
        <v/>
      </c>
      <c r="X338">
        <f>IF($A338="","",IFERROR(INDEX('[AQ_2022.xlsx]原始数据'!$F:$F,MATCH($A338,'[AQ_2022.xlsx]原始数据'!$A:$A,0)),""))</f>
        <v/>
      </c>
      <c r="Y338">
        <f>IF($A338="","",IFERROR(INDEX('[AQ_2023.xlsx]原始数据'!$F:$F,MATCH($A338,'[AQ_2023.xlsx]原始数据'!$A:$A,0)),""))</f>
        <v/>
      </c>
      <c r="Z338">
        <f>IF($A338="","",IFERROR(INDEX('[AQ_2024.xlsx]原始数据'!$F:$F,MATCH($A338,'[AQ_2024.xlsx]原始数据'!$A:$A,0)),""))</f>
        <v/>
      </c>
      <c r="AA338" s="2">
        <f>IFERROR(G338/B338,"")</f>
        <v/>
      </c>
      <c r="AB338" s="2">
        <f>IFERROR(H338/C338,"")</f>
        <v/>
      </c>
      <c r="AC338" s="2">
        <f>IFERROR(I338/D338,"")</f>
        <v/>
      </c>
      <c r="AD338" s="2">
        <f>IFERROR(J338/E338,"")</f>
        <v/>
      </c>
      <c r="AE338" s="2">
        <f>IFERROR(K338/F338,"")</f>
        <v/>
      </c>
      <c r="AF338" s="2">
        <f>IFERROR(L338/B338,"")</f>
        <v/>
      </c>
      <c r="AG338" s="2">
        <f>IFERROR(M338/C338,"")</f>
        <v/>
      </c>
      <c r="AH338" s="2">
        <f>IFERROR(N338/D338,"")</f>
        <v/>
      </c>
      <c r="AI338" s="2">
        <f>IFERROR(O338/E338,"")</f>
        <v/>
      </c>
      <c r="AJ338" s="2">
        <f>IFERROR(P338/F338,"")</f>
        <v/>
      </c>
      <c r="AK338" s="2">
        <f>IFERROR(Q338/B338,"")</f>
        <v/>
      </c>
      <c r="AL338" s="2">
        <f>IFERROR(R338/C338,"")</f>
        <v/>
      </c>
      <c r="AM338" s="2">
        <f>IFERROR(S338/D338,"")</f>
        <v/>
      </c>
      <c r="AN338" s="2">
        <f>IFERROR(T338/E338,"")</f>
        <v/>
      </c>
      <c r="AO338" s="2">
        <f>IFERROR(U338/F338,"")</f>
        <v/>
      </c>
    </row>
    <row r="339">
      <c r="B339">
        <f>IF($A339="","",IFERROR(INDEX('[AQ_2020.xlsx]原始数据'!$B:$B,MATCH($A339,'[AQ_2020.xlsx]原始数据'!$A:$A,0)),""))</f>
        <v/>
      </c>
      <c r="C339">
        <f>IF($A339="","",IFERROR(INDEX('[AQ_2021.xlsx]原始数据'!$B:$B,MATCH($A339,'[AQ_2021.xlsx]原始数据'!$A:$A,0)),""))</f>
        <v/>
      </c>
      <c r="D339">
        <f>IF($A339="","",IFERROR(INDEX('[AQ_2022.xlsx]原始数据'!$B:$B,MATCH($A339,'[AQ_2022.xlsx]原始数据'!$A:$A,0)),""))</f>
        <v/>
      </c>
      <c r="E339">
        <f>IF($A339="","",IFERROR(INDEX('[AQ_2023.xlsx]原始数据'!$B:$B,MATCH($A339,'[AQ_2023.xlsx]原始数据'!$A:$A,0)),""))</f>
        <v/>
      </c>
      <c r="F339">
        <f>IF($A339="","",IFERROR(INDEX('[AQ_2024.xlsx]原始数据'!$B:$B,MATCH($A339,'[AQ_2024.xlsx]原始数据'!$A:$A,0)),""))</f>
        <v/>
      </c>
      <c r="G339">
        <f>IF($A339="","",IFERROR(INDEX('[AQ_2020.xlsx]原始数据'!$C:$C,MATCH($A339,'[AQ_2020.xlsx]原始数据'!$A:$A,0)),""))</f>
        <v/>
      </c>
      <c r="H339">
        <f>IF($A339="","",IFERROR(INDEX('[AQ_2021.xlsx]原始数据'!$C:$C,MATCH($A339,'[AQ_2021.xlsx]原始数据'!$A:$A,0)),""))</f>
        <v/>
      </c>
      <c r="I339">
        <f>IF($A339="","",IFERROR(INDEX('[AQ_2022.xlsx]原始数据'!$C:$C,MATCH($A339,'[AQ_2022.xlsx]原始数据'!$A:$A,0)),""))</f>
        <v/>
      </c>
      <c r="J339">
        <f>IF($A339="","",IFERROR(INDEX('[AQ_2023.xlsx]原始数据'!$C:$C,MATCH($A339,'[AQ_2023.xlsx]原始数据'!$A:$A,0)),""))</f>
        <v/>
      </c>
      <c r="K339">
        <f>IF($A339="","",IFERROR(INDEX('[AQ_2024.xlsx]原始数据'!$C:$C,MATCH($A339,'[AQ_2024.xlsx]原始数据'!$A:$A,0)),""))</f>
        <v/>
      </c>
      <c r="L339">
        <f>IF($A339="","",IFERROR(INDEX('[AQ_2020.xlsx]原始数据'!$D:$D,MATCH($A339,'[AQ_2020.xlsx]原始数据'!$A:$A,0)),""))</f>
        <v/>
      </c>
      <c r="M339">
        <f>IF($A339="","",IFERROR(INDEX('[AQ_2021.xlsx]原始数据'!$D:$D,MATCH($A339,'[AQ_2021.xlsx]原始数据'!$A:$A,0)),""))</f>
        <v/>
      </c>
      <c r="N339">
        <f>IF($A339="","",IFERROR(INDEX('[AQ_2022.xlsx]原始数据'!$D:$D,MATCH($A339,'[AQ_2022.xlsx]原始数据'!$A:$A,0)),""))</f>
        <v/>
      </c>
      <c r="O339">
        <f>IF($A339="","",IFERROR(INDEX('[AQ_2023.xlsx]原始数据'!$D:$D,MATCH($A339,'[AQ_2023.xlsx]原始数据'!$A:$A,0)),""))</f>
        <v/>
      </c>
      <c r="P339">
        <f>IF($A339="","",IFERROR(INDEX('[AQ_2024.xlsx]原始数据'!$D:$D,MATCH($A339,'[AQ_2024.xlsx]原始数据'!$A:$A,0)),""))</f>
        <v/>
      </c>
      <c r="Q339">
        <f>IF($A339="","",IFERROR(INDEX('[AQ_2020.xlsx]原始数据'!$E:$E,MATCH($A339,'[AQ_2020.xlsx]原始数据'!$A:$A,0)),""))</f>
        <v/>
      </c>
      <c r="R339">
        <f>IF($A339="","",IFERROR(INDEX('[AQ_2021.xlsx]原始数据'!$E:$E,MATCH($A339,'[AQ_2021.xlsx]原始数据'!$A:$A,0)),""))</f>
        <v/>
      </c>
      <c r="S339">
        <f>IF($A339="","",IFERROR(INDEX('[AQ_2022.xlsx]原始数据'!$E:$E,MATCH($A339,'[AQ_2022.xlsx]原始数据'!$A:$A,0)),""))</f>
        <v/>
      </c>
      <c r="T339">
        <f>IF($A339="","",IFERROR(INDEX('[AQ_2023.xlsx]原始数据'!$E:$E,MATCH($A339,'[AQ_2023.xlsx]原始数据'!$A:$A,0)),""))</f>
        <v/>
      </c>
      <c r="U339">
        <f>IF($A339="","",IFERROR(INDEX('[AQ_2024.xlsx]原始数据'!$E:$E,MATCH($A339,'[AQ_2024.xlsx]原始数据'!$A:$A,0)),""))</f>
        <v/>
      </c>
      <c r="V339">
        <f>IF($A339="","",IFERROR(INDEX('[AQ_2020.xlsx]原始数据'!$F:$F,MATCH($A339,'[AQ_2020.xlsx]原始数据'!$A:$A,0)),""))</f>
        <v/>
      </c>
      <c r="W339">
        <f>IF($A339="","",IFERROR(INDEX('[AQ_2021.xlsx]原始数据'!$F:$F,MATCH($A339,'[AQ_2021.xlsx]原始数据'!$A:$A,0)),""))</f>
        <v/>
      </c>
      <c r="X339">
        <f>IF($A339="","",IFERROR(INDEX('[AQ_2022.xlsx]原始数据'!$F:$F,MATCH($A339,'[AQ_2022.xlsx]原始数据'!$A:$A,0)),""))</f>
        <v/>
      </c>
      <c r="Y339">
        <f>IF($A339="","",IFERROR(INDEX('[AQ_2023.xlsx]原始数据'!$F:$F,MATCH($A339,'[AQ_2023.xlsx]原始数据'!$A:$A,0)),""))</f>
        <v/>
      </c>
      <c r="Z339">
        <f>IF($A339="","",IFERROR(INDEX('[AQ_2024.xlsx]原始数据'!$F:$F,MATCH($A339,'[AQ_2024.xlsx]原始数据'!$A:$A,0)),""))</f>
        <v/>
      </c>
      <c r="AA339" s="2">
        <f>IFERROR(G339/B339,"")</f>
        <v/>
      </c>
      <c r="AB339" s="2">
        <f>IFERROR(H339/C339,"")</f>
        <v/>
      </c>
      <c r="AC339" s="2">
        <f>IFERROR(I339/D339,"")</f>
        <v/>
      </c>
      <c r="AD339" s="2">
        <f>IFERROR(J339/E339,"")</f>
        <v/>
      </c>
      <c r="AE339" s="2">
        <f>IFERROR(K339/F339,"")</f>
        <v/>
      </c>
      <c r="AF339" s="2">
        <f>IFERROR(L339/B339,"")</f>
        <v/>
      </c>
      <c r="AG339" s="2">
        <f>IFERROR(M339/C339,"")</f>
        <v/>
      </c>
      <c r="AH339" s="2">
        <f>IFERROR(N339/D339,"")</f>
        <v/>
      </c>
      <c r="AI339" s="2">
        <f>IFERROR(O339/E339,"")</f>
        <v/>
      </c>
      <c r="AJ339" s="2">
        <f>IFERROR(P339/F339,"")</f>
        <v/>
      </c>
      <c r="AK339" s="2">
        <f>IFERROR(Q339/B339,"")</f>
        <v/>
      </c>
      <c r="AL339" s="2">
        <f>IFERROR(R339/C339,"")</f>
        <v/>
      </c>
      <c r="AM339" s="2">
        <f>IFERROR(S339/D339,"")</f>
        <v/>
      </c>
      <c r="AN339" s="2">
        <f>IFERROR(T339/E339,"")</f>
        <v/>
      </c>
      <c r="AO339" s="2">
        <f>IFERROR(U339/F339,"")</f>
        <v/>
      </c>
    </row>
    <row r="340">
      <c r="B340">
        <f>IF($A340="","",IFERROR(INDEX('[AQ_2020.xlsx]原始数据'!$B:$B,MATCH($A340,'[AQ_2020.xlsx]原始数据'!$A:$A,0)),""))</f>
        <v/>
      </c>
      <c r="C340">
        <f>IF($A340="","",IFERROR(INDEX('[AQ_2021.xlsx]原始数据'!$B:$B,MATCH($A340,'[AQ_2021.xlsx]原始数据'!$A:$A,0)),""))</f>
        <v/>
      </c>
      <c r="D340">
        <f>IF($A340="","",IFERROR(INDEX('[AQ_2022.xlsx]原始数据'!$B:$B,MATCH($A340,'[AQ_2022.xlsx]原始数据'!$A:$A,0)),""))</f>
        <v/>
      </c>
      <c r="E340">
        <f>IF($A340="","",IFERROR(INDEX('[AQ_2023.xlsx]原始数据'!$B:$B,MATCH($A340,'[AQ_2023.xlsx]原始数据'!$A:$A,0)),""))</f>
        <v/>
      </c>
      <c r="F340">
        <f>IF($A340="","",IFERROR(INDEX('[AQ_2024.xlsx]原始数据'!$B:$B,MATCH($A340,'[AQ_2024.xlsx]原始数据'!$A:$A,0)),""))</f>
        <v/>
      </c>
      <c r="G340">
        <f>IF($A340="","",IFERROR(INDEX('[AQ_2020.xlsx]原始数据'!$C:$C,MATCH($A340,'[AQ_2020.xlsx]原始数据'!$A:$A,0)),""))</f>
        <v/>
      </c>
      <c r="H340">
        <f>IF($A340="","",IFERROR(INDEX('[AQ_2021.xlsx]原始数据'!$C:$C,MATCH($A340,'[AQ_2021.xlsx]原始数据'!$A:$A,0)),""))</f>
        <v/>
      </c>
      <c r="I340">
        <f>IF($A340="","",IFERROR(INDEX('[AQ_2022.xlsx]原始数据'!$C:$C,MATCH($A340,'[AQ_2022.xlsx]原始数据'!$A:$A,0)),""))</f>
        <v/>
      </c>
      <c r="J340">
        <f>IF($A340="","",IFERROR(INDEX('[AQ_2023.xlsx]原始数据'!$C:$C,MATCH($A340,'[AQ_2023.xlsx]原始数据'!$A:$A,0)),""))</f>
        <v/>
      </c>
      <c r="K340">
        <f>IF($A340="","",IFERROR(INDEX('[AQ_2024.xlsx]原始数据'!$C:$C,MATCH($A340,'[AQ_2024.xlsx]原始数据'!$A:$A,0)),""))</f>
        <v/>
      </c>
      <c r="L340">
        <f>IF($A340="","",IFERROR(INDEX('[AQ_2020.xlsx]原始数据'!$D:$D,MATCH($A340,'[AQ_2020.xlsx]原始数据'!$A:$A,0)),""))</f>
        <v/>
      </c>
      <c r="M340">
        <f>IF($A340="","",IFERROR(INDEX('[AQ_2021.xlsx]原始数据'!$D:$D,MATCH($A340,'[AQ_2021.xlsx]原始数据'!$A:$A,0)),""))</f>
        <v/>
      </c>
      <c r="N340">
        <f>IF($A340="","",IFERROR(INDEX('[AQ_2022.xlsx]原始数据'!$D:$D,MATCH($A340,'[AQ_2022.xlsx]原始数据'!$A:$A,0)),""))</f>
        <v/>
      </c>
      <c r="O340">
        <f>IF($A340="","",IFERROR(INDEX('[AQ_2023.xlsx]原始数据'!$D:$D,MATCH($A340,'[AQ_2023.xlsx]原始数据'!$A:$A,0)),""))</f>
        <v/>
      </c>
      <c r="P340">
        <f>IF($A340="","",IFERROR(INDEX('[AQ_2024.xlsx]原始数据'!$D:$D,MATCH($A340,'[AQ_2024.xlsx]原始数据'!$A:$A,0)),""))</f>
        <v/>
      </c>
      <c r="Q340">
        <f>IF($A340="","",IFERROR(INDEX('[AQ_2020.xlsx]原始数据'!$E:$E,MATCH($A340,'[AQ_2020.xlsx]原始数据'!$A:$A,0)),""))</f>
        <v/>
      </c>
      <c r="R340">
        <f>IF($A340="","",IFERROR(INDEX('[AQ_2021.xlsx]原始数据'!$E:$E,MATCH($A340,'[AQ_2021.xlsx]原始数据'!$A:$A,0)),""))</f>
        <v/>
      </c>
      <c r="S340">
        <f>IF($A340="","",IFERROR(INDEX('[AQ_2022.xlsx]原始数据'!$E:$E,MATCH($A340,'[AQ_2022.xlsx]原始数据'!$A:$A,0)),""))</f>
        <v/>
      </c>
      <c r="T340">
        <f>IF($A340="","",IFERROR(INDEX('[AQ_2023.xlsx]原始数据'!$E:$E,MATCH($A340,'[AQ_2023.xlsx]原始数据'!$A:$A,0)),""))</f>
        <v/>
      </c>
      <c r="U340">
        <f>IF($A340="","",IFERROR(INDEX('[AQ_2024.xlsx]原始数据'!$E:$E,MATCH($A340,'[AQ_2024.xlsx]原始数据'!$A:$A,0)),""))</f>
        <v/>
      </c>
      <c r="V340">
        <f>IF($A340="","",IFERROR(INDEX('[AQ_2020.xlsx]原始数据'!$F:$F,MATCH($A340,'[AQ_2020.xlsx]原始数据'!$A:$A,0)),""))</f>
        <v/>
      </c>
      <c r="W340">
        <f>IF($A340="","",IFERROR(INDEX('[AQ_2021.xlsx]原始数据'!$F:$F,MATCH($A340,'[AQ_2021.xlsx]原始数据'!$A:$A,0)),""))</f>
        <v/>
      </c>
      <c r="X340">
        <f>IF($A340="","",IFERROR(INDEX('[AQ_2022.xlsx]原始数据'!$F:$F,MATCH($A340,'[AQ_2022.xlsx]原始数据'!$A:$A,0)),""))</f>
        <v/>
      </c>
      <c r="Y340">
        <f>IF($A340="","",IFERROR(INDEX('[AQ_2023.xlsx]原始数据'!$F:$F,MATCH($A340,'[AQ_2023.xlsx]原始数据'!$A:$A,0)),""))</f>
        <v/>
      </c>
      <c r="Z340">
        <f>IF($A340="","",IFERROR(INDEX('[AQ_2024.xlsx]原始数据'!$F:$F,MATCH($A340,'[AQ_2024.xlsx]原始数据'!$A:$A,0)),""))</f>
        <v/>
      </c>
      <c r="AA340" s="2">
        <f>IFERROR(G340/B340,"")</f>
        <v/>
      </c>
      <c r="AB340" s="2">
        <f>IFERROR(H340/C340,"")</f>
        <v/>
      </c>
      <c r="AC340" s="2">
        <f>IFERROR(I340/D340,"")</f>
        <v/>
      </c>
      <c r="AD340" s="2">
        <f>IFERROR(J340/E340,"")</f>
        <v/>
      </c>
      <c r="AE340" s="2">
        <f>IFERROR(K340/F340,"")</f>
        <v/>
      </c>
      <c r="AF340" s="2">
        <f>IFERROR(L340/B340,"")</f>
        <v/>
      </c>
      <c r="AG340" s="2">
        <f>IFERROR(M340/C340,"")</f>
        <v/>
      </c>
      <c r="AH340" s="2">
        <f>IFERROR(N340/D340,"")</f>
        <v/>
      </c>
      <c r="AI340" s="2">
        <f>IFERROR(O340/E340,"")</f>
        <v/>
      </c>
      <c r="AJ340" s="2">
        <f>IFERROR(P340/F340,"")</f>
        <v/>
      </c>
      <c r="AK340" s="2">
        <f>IFERROR(Q340/B340,"")</f>
        <v/>
      </c>
      <c r="AL340" s="2">
        <f>IFERROR(R340/C340,"")</f>
        <v/>
      </c>
      <c r="AM340" s="2">
        <f>IFERROR(S340/D340,"")</f>
        <v/>
      </c>
      <c r="AN340" s="2">
        <f>IFERROR(T340/E340,"")</f>
        <v/>
      </c>
      <c r="AO340" s="2">
        <f>IFERROR(U340/F340,"")</f>
        <v/>
      </c>
    </row>
    <row r="341">
      <c r="B341">
        <f>IF($A341="","",IFERROR(INDEX('[AQ_2020.xlsx]原始数据'!$B:$B,MATCH($A341,'[AQ_2020.xlsx]原始数据'!$A:$A,0)),""))</f>
        <v/>
      </c>
      <c r="C341">
        <f>IF($A341="","",IFERROR(INDEX('[AQ_2021.xlsx]原始数据'!$B:$B,MATCH($A341,'[AQ_2021.xlsx]原始数据'!$A:$A,0)),""))</f>
        <v/>
      </c>
      <c r="D341">
        <f>IF($A341="","",IFERROR(INDEX('[AQ_2022.xlsx]原始数据'!$B:$B,MATCH($A341,'[AQ_2022.xlsx]原始数据'!$A:$A,0)),""))</f>
        <v/>
      </c>
      <c r="E341">
        <f>IF($A341="","",IFERROR(INDEX('[AQ_2023.xlsx]原始数据'!$B:$B,MATCH($A341,'[AQ_2023.xlsx]原始数据'!$A:$A,0)),""))</f>
        <v/>
      </c>
      <c r="F341">
        <f>IF($A341="","",IFERROR(INDEX('[AQ_2024.xlsx]原始数据'!$B:$B,MATCH($A341,'[AQ_2024.xlsx]原始数据'!$A:$A,0)),""))</f>
        <v/>
      </c>
      <c r="G341">
        <f>IF($A341="","",IFERROR(INDEX('[AQ_2020.xlsx]原始数据'!$C:$C,MATCH($A341,'[AQ_2020.xlsx]原始数据'!$A:$A,0)),""))</f>
        <v/>
      </c>
      <c r="H341">
        <f>IF($A341="","",IFERROR(INDEX('[AQ_2021.xlsx]原始数据'!$C:$C,MATCH($A341,'[AQ_2021.xlsx]原始数据'!$A:$A,0)),""))</f>
        <v/>
      </c>
      <c r="I341">
        <f>IF($A341="","",IFERROR(INDEX('[AQ_2022.xlsx]原始数据'!$C:$C,MATCH($A341,'[AQ_2022.xlsx]原始数据'!$A:$A,0)),""))</f>
        <v/>
      </c>
      <c r="J341">
        <f>IF($A341="","",IFERROR(INDEX('[AQ_2023.xlsx]原始数据'!$C:$C,MATCH($A341,'[AQ_2023.xlsx]原始数据'!$A:$A,0)),""))</f>
        <v/>
      </c>
      <c r="K341">
        <f>IF($A341="","",IFERROR(INDEX('[AQ_2024.xlsx]原始数据'!$C:$C,MATCH($A341,'[AQ_2024.xlsx]原始数据'!$A:$A,0)),""))</f>
        <v/>
      </c>
      <c r="L341">
        <f>IF($A341="","",IFERROR(INDEX('[AQ_2020.xlsx]原始数据'!$D:$D,MATCH($A341,'[AQ_2020.xlsx]原始数据'!$A:$A,0)),""))</f>
        <v/>
      </c>
      <c r="M341">
        <f>IF($A341="","",IFERROR(INDEX('[AQ_2021.xlsx]原始数据'!$D:$D,MATCH($A341,'[AQ_2021.xlsx]原始数据'!$A:$A,0)),""))</f>
        <v/>
      </c>
      <c r="N341">
        <f>IF($A341="","",IFERROR(INDEX('[AQ_2022.xlsx]原始数据'!$D:$D,MATCH($A341,'[AQ_2022.xlsx]原始数据'!$A:$A,0)),""))</f>
        <v/>
      </c>
      <c r="O341">
        <f>IF($A341="","",IFERROR(INDEX('[AQ_2023.xlsx]原始数据'!$D:$D,MATCH($A341,'[AQ_2023.xlsx]原始数据'!$A:$A,0)),""))</f>
        <v/>
      </c>
      <c r="P341">
        <f>IF($A341="","",IFERROR(INDEX('[AQ_2024.xlsx]原始数据'!$D:$D,MATCH($A341,'[AQ_2024.xlsx]原始数据'!$A:$A,0)),""))</f>
        <v/>
      </c>
      <c r="Q341">
        <f>IF($A341="","",IFERROR(INDEX('[AQ_2020.xlsx]原始数据'!$E:$E,MATCH($A341,'[AQ_2020.xlsx]原始数据'!$A:$A,0)),""))</f>
        <v/>
      </c>
      <c r="R341">
        <f>IF($A341="","",IFERROR(INDEX('[AQ_2021.xlsx]原始数据'!$E:$E,MATCH($A341,'[AQ_2021.xlsx]原始数据'!$A:$A,0)),""))</f>
        <v/>
      </c>
      <c r="S341">
        <f>IF($A341="","",IFERROR(INDEX('[AQ_2022.xlsx]原始数据'!$E:$E,MATCH($A341,'[AQ_2022.xlsx]原始数据'!$A:$A,0)),""))</f>
        <v/>
      </c>
      <c r="T341">
        <f>IF($A341="","",IFERROR(INDEX('[AQ_2023.xlsx]原始数据'!$E:$E,MATCH($A341,'[AQ_2023.xlsx]原始数据'!$A:$A,0)),""))</f>
        <v/>
      </c>
      <c r="U341">
        <f>IF($A341="","",IFERROR(INDEX('[AQ_2024.xlsx]原始数据'!$E:$E,MATCH($A341,'[AQ_2024.xlsx]原始数据'!$A:$A,0)),""))</f>
        <v/>
      </c>
      <c r="V341">
        <f>IF($A341="","",IFERROR(INDEX('[AQ_2020.xlsx]原始数据'!$F:$F,MATCH($A341,'[AQ_2020.xlsx]原始数据'!$A:$A,0)),""))</f>
        <v/>
      </c>
      <c r="W341">
        <f>IF($A341="","",IFERROR(INDEX('[AQ_2021.xlsx]原始数据'!$F:$F,MATCH($A341,'[AQ_2021.xlsx]原始数据'!$A:$A,0)),""))</f>
        <v/>
      </c>
      <c r="X341">
        <f>IF($A341="","",IFERROR(INDEX('[AQ_2022.xlsx]原始数据'!$F:$F,MATCH($A341,'[AQ_2022.xlsx]原始数据'!$A:$A,0)),""))</f>
        <v/>
      </c>
      <c r="Y341">
        <f>IF($A341="","",IFERROR(INDEX('[AQ_2023.xlsx]原始数据'!$F:$F,MATCH($A341,'[AQ_2023.xlsx]原始数据'!$A:$A,0)),""))</f>
        <v/>
      </c>
      <c r="Z341">
        <f>IF($A341="","",IFERROR(INDEX('[AQ_2024.xlsx]原始数据'!$F:$F,MATCH($A341,'[AQ_2024.xlsx]原始数据'!$A:$A,0)),""))</f>
        <v/>
      </c>
      <c r="AA341" s="2">
        <f>IFERROR(G341/B341,"")</f>
        <v/>
      </c>
      <c r="AB341" s="2">
        <f>IFERROR(H341/C341,"")</f>
        <v/>
      </c>
      <c r="AC341" s="2">
        <f>IFERROR(I341/D341,"")</f>
        <v/>
      </c>
      <c r="AD341" s="2">
        <f>IFERROR(J341/E341,"")</f>
        <v/>
      </c>
      <c r="AE341" s="2">
        <f>IFERROR(K341/F341,"")</f>
        <v/>
      </c>
      <c r="AF341" s="2">
        <f>IFERROR(L341/B341,"")</f>
        <v/>
      </c>
      <c r="AG341" s="2">
        <f>IFERROR(M341/C341,"")</f>
        <v/>
      </c>
      <c r="AH341" s="2">
        <f>IFERROR(N341/D341,"")</f>
        <v/>
      </c>
      <c r="AI341" s="2">
        <f>IFERROR(O341/E341,"")</f>
        <v/>
      </c>
      <c r="AJ341" s="2">
        <f>IFERROR(P341/F341,"")</f>
        <v/>
      </c>
      <c r="AK341" s="2">
        <f>IFERROR(Q341/B341,"")</f>
        <v/>
      </c>
      <c r="AL341" s="2">
        <f>IFERROR(R341/C341,"")</f>
        <v/>
      </c>
      <c r="AM341" s="2">
        <f>IFERROR(S341/D341,"")</f>
        <v/>
      </c>
      <c r="AN341" s="2">
        <f>IFERROR(T341/E341,"")</f>
        <v/>
      </c>
      <c r="AO341" s="2">
        <f>IFERROR(U341/F341,"")</f>
        <v/>
      </c>
    </row>
    <row r="342">
      <c r="B342">
        <f>IF($A342="","",IFERROR(INDEX('[AQ_2020.xlsx]原始数据'!$B:$B,MATCH($A342,'[AQ_2020.xlsx]原始数据'!$A:$A,0)),""))</f>
        <v/>
      </c>
      <c r="C342">
        <f>IF($A342="","",IFERROR(INDEX('[AQ_2021.xlsx]原始数据'!$B:$B,MATCH($A342,'[AQ_2021.xlsx]原始数据'!$A:$A,0)),""))</f>
        <v/>
      </c>
      <c r="D342">
        <f>IF($A342="","",IFERROR(INDEX('[AQ_2022.xlsx]原始数据'!$B:$B,MATCH($A342,'[AQ_2022.xlsx]原始数据'!$A:$A,0)),""))</f>
        <v/>
      </c>
      <c r="E342">
        <f>IF($A342="","",IFERROR(INDEX('[AQ_2023.xlsx]原始数据'!$B:$B,MATCH($A342,'[AQ_2023.xlsx]原始数据'!$A:$A,0)),""))</f>
        <v/>
      </c>
      <c r="F342">
        <f>IF($A342="","",IFERROR(INDEX('[AQ_2024.xlsx]原始数据'!$B:$B,MATCH($A342,'[AQ_2024.xlsx]原始数据'!$A:$A,0)),""))</f>
        <v/>
      </c>
      <c r="G342">
        <f>IF($A342="","",IFERROR(INDEX('[AQ_2020.xlsx]原始数据'!$C:$C,MATCH($A342,'[AQ_2020.xlsx]原始数据'!$A:$A,0)),""))</f>
        <v/>
      </c>
      <c r="H342">
        <f>IF($A342="","",IFERROR(INDEX('[AQ_2021.xlsx]原始数据'!$C:$C,MATCH($A342,'[AQ_2021.xlsx]原始数据'!$A:$A,0)),""))</f>
        <v/>
      </c>
      <c r="I342">
        <f>IF($A342="","",IFERROR(INDEX('[AQ_2022.xlsx]原始数据'!$C:$C,MATCH($A342,'[AQ_2022.xlsx]原始数据'!$A:$A,0)),""))</f>
        <v/>
      </c>
      <c r="J342">
        <f>IF($A342="","",IFERROR(INDEX('[AQ_2023.xlsx]原始数据'!$C:$C,MATCH($A342,'[AQ_2023.xlsx]原始数据'!$A:$A,0)),""))</f>
        <v/>
      </c>
      <c r="K342">
        <f>IF($A342="","",IFERROR(INDEX('[AQ_2024.xlsx]原始数据'!$C:$C,MATCH($A342,'[AQ_2024.xlsx]原始数据'!$A:$A,0)),""))</f>
        <v/>
      </c>
      <c r="L342">
        <f>IF($A342="","",IFERROR(INDEX('[AQ_2020.xlsx]原始数据'!$D:$D,MATCH($A342,'[AQ_2020.xlsx]原始数据'!$A:$A,0)),""))</f>
        <v/>
      </c>
      <c r="M342">
        <f>IF($A342="","",IFERROR(INDEX('[AQ_2021.xlsx]原始数据'!$D:$D,MATCH($A342,'[AQ_2021.xlsx]原始数据'!$A:$A,0)),""))</f>
        <v/>
      </c>
      <c r="N342">
        <f>IF($A342="","",IFERROR(INDEX('[AQ_2022.xlsx]原始数据'!$D:$D,MATCH($A342,'[AQ_2022.xlsx]原始数据'!$A:$A,0)),""))</f>
        <v/>
      </c>
      <c r="O342">
        <f>IF($A342="","",IFERROR(INDEX('[AQ_2023.xlsx]原始数据'!$D:$D,MATCH($A342,'[AQ_2023.xlsx]原始数据'!$A:$A,0)),""))</f>
        <v/>
      </c>
      <c r="P342">
        <f>IF($A342="","",IFERROR(INDEX('[AQ_2024.xlsx]原始数据'!$D:$D,MATCH($A342,'[AQ_2024.xlsx]原始数据'!$A:$A,0)),""))</f>
        <v/>
      </c>
      <c r="Q342">
        <f>IF($A342="","",IFERROR(INDEX('[AQ_2020.xlsx]原始数据'!$E:$E,MATCH($A342,'[AQ_2020.xlsx]原始数据'!$A:$A,0)),""))</f>
        <v/>
      </c>
      <c r="R342">
        <f>IF($A342="","",IFERROR(INDEX('[AQ_2021.xlsx]原始数据'!$E:$E,MATCH($A342,'[AQ_2021.xlsx]原始数据'!$A:$A,0)),""))</f>
        <v/>
      </c>
      <c r="S342">
        <f>IF($A342="","",IFERROR(INDEX('[AQ_2022.xlsx]原始数据'!$E:$E,MATCH($A342,'[AQ_2022.xlsx]原始数据'!$A:$A,0)),""))</f>
        <v/>
      </c>
      <c r="T342">
        <f>IF($A342="","",IFERROR(INDEX('[AQ_2023.xlsx]原始数据'!$E:$E,MATCH($A342,'[AQ_2023.xlsx]原始数据'!$A:$A,0)),""))</f>
        <v/>
      </c>
      <c r="U342">
        <f>IF($A342="","",IFERROR(INDEX('[AQ_2024.xlsx]原始数据'!$E:$E,MATCH($A342,'[AQ_2024.xlsx]原始数据'!$A:$A,0)),""))</f>
        <v/>
      </c>
      <c r="V342">
        <f>IF($A342="","",IFERROR(INDEX('[AQ_2020.xlsx]原始数据'!$F:$F,MATCH($A342,'[AQ_2020.xlsx]原始数据'!$A:$A,0)),""))</f>
        <v/>
      </c>
      <c r="W342">
        <f>IF($A342="","",IFERROR(INDEX('[AQ_2021.xlsx]原始数据'!$F:$F,MATCH($A342,'[AQ_2021.xlsx]原始数据'!$A:$A,0)),""))</f>
        <v/>
      </c>
      <c r="X342">
        <f>IF($A342="","",IFERROR(INDEX('[AQ_2022.xlsx]原始数据'!$F:$F,MATCH($A342,'[AQ_2022.xlsx]原始数据'!$A:$A,0)),""))</f>
        <v/>
      </c>
      <c r="Y342">
        <f>IF($A342="","",IFERROR(INDEX('[AQ_2023.xlsx]原始数据'!$F:$F,MATCH($A342,'[AQ_2023.xlsx]原始数据'!$A:$A,0)),""))</f>
        <v/>
      </c>
      <c r="Z342">
        <f>IF($A342="","",IFERROR(INDEX('[AQ_2024.xlsx]原始数据'!$F:$F,MATCH($A342,'[AQ_2024.xlsx]原始数据'!$A:$A,0)),""))</f>
        <v/>
      </c>
      <c r="AA342" s="2">
        <f>IFERROR(G342/B342,"")</f>
        <v/>
      </c>
      <c r="AB342" s="2">
        <f>IFERROR(H342/C342,"")</f>
        <v/>
      </c>
      <c r="AC342" s="2">
        <f>IFERROR(I342/D342,"")</f>
        <v/>
      </c>
      <c r="AD342" s="2">
        <f>IFERROR(J342/E342,"")</f>
        <v/>
      </c>
      <c r="AE342" s="2">
        <f>IFERROR(K342/F342,"")</f>
        <v/>
      </c>
      <c r="AF342" s="2">
        <f>IFERROR(L342/B342,"")</f>
        <v/>
      </c>
      <c r="AG342" s="2">
        <f>IFERROR(M342/C342,"")</f>
        <v/>
      </c>
      <c r="AH342" s="2">
        <f>IFERROR(N342/D342,"")</f>
        <v/>
      </c>
      <c r="AI342" s="2">
        <f>IFERROR(O342/E342,"")</f>
        <v/>
      </c>
      <c r="AJ342" s="2">
        <f>IFERROR(P342/F342,"")</f>
        <v/>
      </c>
      <c r="AK342" s="2">
        <f>IFERROR(Q342/B342,"")</f>
        <v/>
      </c>
      <c r="AL342" s="2">
        <f>IFERROR(R342/C342,"")</f>
        <v/>
      </c>
      <c r="AM342" s="2">
        <f>IFERROR(S342/D342,"")</f>
        <v/>
      </c>
      <c r="AN342" s="2">
        <f>IFERROR(T342/E342,"")</f>
        <v/>
      </c>
      <c r="AO342" s="2">
        <f>IFERROR(U342/F342,"")</f>
        <v/>
      </c>
    </row>
    <row r="343">
      <c r="B343">
        <f>IF($A343="","",IFERROR(INDEX('[AQ_2020.xlsx]原始数据'!$B:$B,MATCH($A343,'[AQ_2020.xlsx]原始数据'!$A:$A,0)),""))</f>
        <v/>
      </c>
      <c r="C343">
        <f>IF($A343="","",IFERROR(INDEX('[AQ_2021.xlsx]原始数据'!$B:$B,MATCH($A343,'[AQ_2021.xlsx]原始数据'!$A:$A,0)),""))</f>
        <v/>
      </c>
      <c r="D343">
        <f>IF($A343="","",IFERROR(INDEX('[AQ_2022.xlsx]原始数据'!$B:$B,MATCH($A343,'[AQ_2022.xlsx]原始数据'!$A:$A,0)),""))</f>
        <v/>
      </c>
      <c r="E343">
        <f>IF($A343="","",IFERROR(INDEX('[AQ_2023.xlsx]原始数据'!$B:$B,MATCH($A343,'[AQ_2023.xlsx]原始数据'!$A:$A,0)),""))</f>
        <v/>
      </c>
      <c r="F343">
        <f>IF($A343="","",IFERROR(INDEX('[AQ_2024.xlsx]原始数据'!$B:$B,MATCH($A343,'[AQ_2024.xlsx]原始数据'!$A:$A,0)),""))</f>
        <v/>
      </c>
      <c r="G343">
        <f>IF($A343="","",IFERROR(INDEX('[AQ_2020.xlsx]原始数据'!$C:$C,MATCH($A343,'[AQ_2020.xlsx]原始数据'!$A:$A,0)),""))</f>
        <v/>
      </c>
      <c r="H343">
        <f>IF($A343="","",IFERROR(INDEX('[AQ_2021.xlsx]原始数据'!$C:$C,MATCH($A343,'[AQ_2021.xlsx]原始数据'!$A:$A,0)),""))</f>
        <v/>
      </c>
      <c r="I343">
        <f>IF($A343="","",IFERROR(INDEX('[AQ_2022.xlsx]原始数据'!$C:$C,MATCH($A343,'[AQ_2022.xlsx]原始数据'!$A:$A,0)),""))</f>
        <v/>
      </c>
      <c r="J343">
        <f>IF($A343="","",IFERROR(INDEX('[AQ_2023.xlsx]原始数据'!$C:$C,MATCH($A343,'[AQ_2023.xlsx]原始数据'!$A:$A,0)),""))</f>
        <v/>
      </c>
      <c r="K343">
        <f>IF($A343="","",IFERROR(INDEX('[AQ_2024.xlsx]原始数据'!$C:$C,MATCH($A343,'[AQ_2024.xlsx]原始数据'!$A:$A,0)),""))</f>
        <v/>
      </c>
      <c r="L343">
        <f>IF($A343="","",IFERROR(INDEX('[AQ_2020.xlsx]原始数据'!$D:$D,MATCH($A343,'[AQ_2020.xlsx]原始数据'!$A:$A,0)),""))</f>
        <v/>
      </c>
      <c r="M343">
        <f>IF($A343="","",IFERROR(INDEX('[AQ_2021.xlsx]原始数据'!$D:$D,MATCH($A343,'[AQ_2021.xlsx]原始数据'!$A:$A,0)),""))</f>
        <v/>
      </c>
      <c r="N343">
        <f>IF($A343="","",IFERROR(INDEX('[AQ_2022.xlsx]原始数据'!$D:$D,MATCH($A343,'[AQ_2022.xlsx]原始数据'!$A:$A,0)),""))</f>
        <v/>
      </c>
      <c r="O343">
        <f>IF($A343="","",IFERROR(INDEX('[AQ_2023.xlsx]原始数据'!$D:$D,MATCH($A343,'[AQ_2023.xlsx]原始数据'!$A:$A,0)),""))</f>
        <v/>
      </c>
      <c r="P343">
        <f>IF($A343="","",IFERROR(INDEX('[AQ_2024.xlsx]原始数据'!$D:$D,MATCH($A343,'[AQ_2024.xlsx]原始数据'!$A:$A,0)),""))</f>
        <v/>
      </c>
      <c r="Q343">
        <f>IF($A343="","",IFERROR(INDEX('[AQ_2020.xlsx]原始数据'!$E:$E,MATCH($A343,'[AQ_2020.xlsx]原始数据'!$A:$A,0)),""))</f>
        <v/>
      </c>
      <c r="R343">
        <f>IF($A343="","",IFERROR(INDEX('[AQ_2021.xlsx]原始数据'!$E:$E,MATCH($A343,'[AQ_2021.xlsx]原始数据'!$A:$A,0)),""))</f>
        <v/>
      </c>
      <c r="S343">
        <f>IF($A343="","",IFERROR(INDEX('[AQ_2022.xlsx]原始数据'!$E:$E,MATCH($A343,'[AQ_2022.xlsx]原始数据'!$A:$A,0)),""))</f>
        <v/>
      </c>
      <c r="T343">
        <f>IF($A343="","",IFERROR(INDEX('[AQ_2023.xlsx]原始数据'!$E:$E,MATCH($A343,'[AQ_2023.xlsx]原始数据'!$A:$A,0)),""))</f>
        <v/>
      </c>
      <c r="U343">
        <f>IF($A343="","",IFERROR(INDEX('[AQ_2024.xlsx]原始数据'!$E:$E,MATCH($A343,'[AQ_2024.xlsx]原始数据'!$A:$A,0)),""))</f>
        <v/>
      </c>
      <c r="V343">
        <f>IF($A343="","",IFERROR(INDEX('[AQ_2020.xlsx]原始数据'!$F:$F,MATCH($A343,'[AQ_2020.xlsx]原始数据'!$A:$A,0)),""))</f>
        <v/>
      </c>
      <c r="W343">
        <f>IF($A343="","",IFERROR(INDEX('[AQ_2021.xlsx]原始数据'!$F:$F,MATCH($A343,'[AQ_2021.xlsx]原始数据'!$A:$A,0)),""))</f>
        <v/>
      </c>
      <c r="X343">
        <f>IF($A343="","",IFERROR(INDEX('[AQ_2022.xlsx]原始数据'!$F:$F,MATCH($A343,'[AQ_2022.xlsx]原始数据'!$A:$A,0)),""))</f>
        <v/>
      </c>
      <c r="Y343">
        <f>IF($A343="","",IFERROR(INDEX('[AQ_2023.xlsx]原始数据'!$F:$F,MATCH($A343,'[AQ_2023.xlsx]原始数据'!$A:$A,0)),""))</f>
        <v/>
      </c>
      <c r="Z343">
        <f>IF($A343="","",IFERROR(INDEX('[AQ_2024.xlsx]原始数据'!$F:$F,MATCH($A343,'[AQ_2024.xlsx]原始数据'!$A:$A,0)),""))</f>
        <v/>
      </c>
      <c r="AA343" s="2">
        <f>IFERROR(G343/B343,"")</f>
        <v/>
      </c>
      <c r="AB343" s="2">
        <f>IFERROR(H343/C343,"")</f>
        <v/>
      </c>
      <c r="AC343" s="2">
        <f>IFERROR(I343/D343,"")</f>
        <v/>
      </c>
      <c r="AD343" s="2">
        <f>IFERROR(J343/E343,"")</f>
        <v/>
      </c>
      <c r="AE343" s="2">
        <f>IFERROR(K343/F343,"")</f>
        <v/>
      </c>
      <c r="AF343" s="2">
        <f>IFERROR(L343/B343,"")</f>
        <v/>
      </c>
      <c r="AG343" s="2">
        <f>IFERROR(M343/C343,"")</f>
        <v/>
      </c>
      <c r="AH343" s="2">
        <f>IFERROR(N343/D343,"")</f>
        <v/>
      </c>
      <c r="AI343" s="2">
        <f>IFERROR(O343/E343,"")</f>
        <v/>
      </c>
      <c r="AJ343" s="2">
        <f>IFERROR(P343/F343,"")</f>
        <v/>
      </c>
      <c r="AK343" s="2">
        <f>IFERROR(Q343/B343,"")</f>
        <v/>
      </c>
      <c r="AL343" s="2">
        <f>IFERROR(R343/C343,"")</f>
        <v/>
      </c>
      <c r="AM343" s="2">
        <f>IFERROR(S343/D343,"")</f>
        <v/>
      </c>
      <c r="AN343" s="2">
        <f>IFERROR(T343/E343,"")</f>
        <v/>
      </c>
      <c r="AO343" s="2">
        <f>IFERROR(U343/F343,"")</f>
        <v/>
      </c>
    </row>
    <row r="344">
      <c r="B344">
        <f>IF($A344="","",IFERROR(INDEX('[AQ_2020.xlsx]原始数据'!$B:$B,MATCH($A344,'[AQ_2020.xlsx]原始数据'!$A:$A,0)),""))</f>
        <v/>
      </c>
      <c r="C344">
        <f>IF($A344="","",IFERROR(INDEX('[AQ_2021.xlsx]原始数据'!$B:$B,MATCH($A344,'[AQ_2021.xlsx]原始数据'!$A:$A,0)),""))</f>
        <v/>
      </c>
      <c r="D344">
        <f>IF($A344="","",IFERROR(INDEX('[AQ_2022.xlsx]原始数据'!$B:$B,MATCH($A344,'[AQ_2022.xlsx]原始数据'!$A:$A,0)),""))</f>
        <v/>
      </c>
      <c r="E344">
        <f>IF($A344="","",IFERROR(INDEX('[AQ_2023.xlsx]原始数据'!$B:$B,MATCH($A344,'[AQ_2023.xlsx]原始数据'!$A:$A,0)),""))</f>
        <v/>
      </c>
      <c r="F344">
        <f>IF($A344="","",IFERROR(INDEX('[AQ_2024.xlsx]原始数据'!$B:$B,MATCH($A344,'[AQ_2024.xlsx]原始数据'!$A:$A,0)),""))</f>
        <v/>
      </c>
      <c r="G344">
        <f>IF($A344="","",IFERROR(INDEX('[AQ_2020.xlsx]原始数据'!$C:$C,MATCH($A344,'[AQ_2020.xlsx]原始数据'!$A:$A,0)),""))</f>
        <v/>
      </c>
      <c r="H344">
        <f>IF($A344="","",IFERROR(INDEX('[AQ_2021.xlsx]原始数据'!$C:$C,MATCH($A344,'[AQ_2021.xlsx]原始数据'!$A:$A,0)),""))</f>
        <v/>
      </c>
      <c r="I344">
        <f>IF($A344="","",IFERROR(INDEX('[AQ_2022.xlsx]原始数据'!$C:$C,MATCH($A344,'[AQ_2022.xlsx]原始数据'!$A:$A,0)),""))</f>
        <v/>
      </c>
      <c r="J344">
        <f>IF($A344="","",IFERROR(INDEX('[AQ_2023.xlsx]原始数据'!$C:$C,MATCH($A344,'[AQ_2023.xlsx]原始数据'!$A:$A,0)),""))</f>
        <v/>
      </c>
      <c r="K344">
        <f>IF($A344="","",IFERROR(INDEX('[AQ_2024.xlsx]原始数据'!$C:$C,MATCH($A344,'[AQ_2024.xlsx]原始数据'!$A:$A,0)),""))</f>
        <v/>
      </c>
      <c r="L344">
        <f>IF($A344="","",IFERROR(INDEX('[AQ_2020.xlsx]原始数据'!$D:$D,MATCH($A344,'[AQ_2020.xlsx]原始数据'!$A:$A,0)),""))</f>
        <v/>
      </c>
      <c r="M344">
        <f>IF($A344="","",IFERROR(INDEX('[AQ_2021.xlsx]原始数据'!$D:$D,MATCH($A344,'[AQ_2021.xlsx]原始数据'!$A:$A,0)),""))</f>
        <v/>
      </c>
      <c r="N344">
        <f>IF($A344="","",IFERROR(INDEX('[AQ_2022.xlsx]原始数据'!$D:$D,MATCH($A344,'[AQ_2022.xlsx]原始数据'!$A:$A,0)),""))</f>
        <v/>
      </c>
      <c r="O344">
        <f>IF($A344="","",IFERROR(INDEX('[AQ_2023.xlsx]原始数据'!$D:$D,MATCH($A344,'[AQ_2023.xlsx]原始数据'!$A:$A,0)),""))</f>
        <v/>
      </c>
      <c r="P344">
        <f>IF($A344="","",IFERROR(INDEX('[AQ_2024.xlsx]原始数据'!$D:$D,MATCH($A344,'[AQ_2024.xlsx]原始数据'!$A:$A,0)),""))</f>
        <v/>
      </c>
      <c r="Q344">
        <f>IF($A344="","",IFERROR(INDEX('[AQ_2020.xlsx]原始数据'!$E:$E,MATCH($A344,'[AQ_2020.xlsx]原始数据'!$A:$A,0)),""))</f>
        <v/>
      </c>
      <c r="R344">
        <f>IF($A344="","",IFERROR(INDEX('[AQ_2021.xlsx]原始数据'!$E:$E,MATCH($A344,'[AQ_2021.xlsx]原始数据'!$A:$A,0)),""))</f>
        <v/>
      </c>
      <c r="S344">
        <f>IF($A344="","",IFERROR(INDEX('[AQ_2022.xlsx]原始数据'!$E:$E,MATCH($A344,'[AQ_2022.xlsx]原始数据'!$A:$A,0)),""))</f>
        <v/>
      </c>
      <c r="T344">
        <f>IF($A344="","",IFERROR(INDEX('[AQ_2023.xlsx]原始数据'!$E:$E,MATCH($A344,'[AQ_2023.xlsx]原始数据'!$A:$A,0)),""))</f>
        <v/>
      </c>
      <c r="U344">
        <f>IF($A344="","",IFERROR(INDEX('[AQ_2024.xlsx]原始数据'!$E:$E,MATCH($A344,'[AQ_2024.xlsx]原始数据'!$A:$A,0)),""))</f>
        <v/>
      </c>
      <c r="V344">
        <f>IF($A344="","",IFERROR(INDEX('[AQ_2020.xlsx]原始数据'!$F:$F,MATCH($A344,'[AQ_2020.xlsx]原始数据'!$A:$A,0)),""))</f>
        <v/>
      </c>
      <c r="W344">
        <f>IF($A344="","",IFERROR(INDEX('[AQ_2021.xlsx]原始数据'!$F:$F,MATCH($A344,'[AQ_2021.xlsx]原始数据'!$A:$A,0)),""))</f>
        <v/>
      </c>
      <c r="X344">
        <f>IF($A344="","",IFERROR(INDEX('[AQ_2022.xlsx]原始数据'!$F:$F,MATCH($A344,'[AQ_2022.xlsx]原始数据'!$A:$A,0)),""))</f>
        <v/>
      </c>
      <c r="Y344">
        <f>IF($A344="","",IFERROR(INDEX('[AQ_2023.xlsx]原始数据'!$F:$F,MATCH($A344,'[AQ_2023.xlsx]原始数据'!$A:$A,0)),""))</f>
        <v/>
      </c>
      <c r="Z344">
        <f>IF($A344="","",IFERROR(INDEX('[AQ_2024.xlsx]原始数据'!$F:$F,MATCH($A344,'[AQ_2024.xlsx]原始数据'!$A:$A,0)),""))</f>
        <v/>
      </c>
      <c r="AA344" s="2">
        <f>IFERROR(G344/B344,"")</f>
        <v/>
      </c>
      <c r="AB344" s="2">
        <f>IFERROR(H344/C344,"")</f>
        <v/>
      </c>
      <c r="AC344" s="2">
        <f>IFERROR(I344/D344,"")</f>
        <v/>
      </c>
      <c r="AD344" s="2">
        <f>IFERROR(J344/E344,"")</f>
        <v/>
      </c>
      <c r="AE344" s="2">
        <f>IFERROR(K344/F344,"")</f>
        <v/>
      </c>
      <c r="AF344" s="2">
        <f>IFERROR(L344/B344,"")</f>
        <v/>
      </c>
      <c r="AG344" s="2">
        <f>IFERROR(M344/C344,"")</f>
        <v/>
      </c>
      <c r="AH344" s="2">
        <f>IFERROR(N344/D344,"")</f>
        <v/>
      </c>
      <c r="AI344" s="2">
        <f>IFERROR(O344/E344,"")</f>
        <v/>
      </c>
      <c r="AJ344" s="2">
        <f>IFERROR(P344/F344,"")</f>
        <v/>
      </c>
      <c r="AK344" s="2">
        <f>IFERROR(Q344/B344,"")</f>
        <v/>
      </c>
      <c r="AL344" s="2">
        <f>IFERROR(R344/C344,"")</f>
        <v/>
      </c>
      <c r="AM344" s="2">
        <f>IFERROR(S344/D344,"")</f>
        <v/>
      </c>
      <c r="AN344" s="2">
        <f>IFERROR(T344/E344,"")</f>
        <v/>
      </c>
      <c r="AO344" s="2">
        <f>IFERROR(U344/F344,"")</f>
        <v/>
      </c>
    </row>
    <row r="345">
      <c r="B345">
        <f>IF($A345="","",IFERROR(INDEX('[AQ_2020.xlsx]原始数据'!$B:$B,MATCH($A345,'[AQ_2020.xlsx]原始数据'!$A:$A,0)),""))</f>
        <v/>
      </c>
      <c r="C345">
        <f>IF($A345="","",IFERROR(INDEX('[AQ_2021.xlsx]原始数据'!$B:$B,MATCH($A345,'[AQ_2021.xlsx]原始数据'!$A:$A,0)),""))</f>
        <v/>
      </c>
      <c r="D345">
        <f>IF($A345="","",IFERROR(INDEX('[AQ_2022.xlsx]原始数据'!$B:$B,MATCH($A345,'[AQ_2022.xlsx]原始数据'!$A:$A,0)),""))</f>
        <v/>
      </c>
      <c r="E345">
        <f>IF($A345="","",IFERROR(INDEX('[AQ_2023.xlsx]原始数据'!$B:$B,MATCH($A345,'[AQ_2023.xlsx]原始数据'!$A:$A,0)),""))</f>
        <v/>
      </c>
      <c r="F345">
        <f>IF($A345="","",IFERROR(INDEX('[AQ_2024.xlsx]原始数据'!$B:$B,MATCH($A345,'[AQ_2024.xlsx]原始数据'!$A:$A,0)),""))</f>
        <v/>
      </c>
      <c r="G345">
        <f>IF($A345="","",IFERROR(INDEX('[AQ_2020.xlsx]原始数据'!$C:$C,MATCH($A345,'[AQ_2020.xlsx]原始数据'!$A:$A,0)),""))</f>
        <v/>
      </c>
      <c r="H345">
        <f>IF($A345="","",IFERROR(INDEX('[AQ_2021.xlsx]原始数据'!$C:$C,MATCH($A345,'[AQ_2021.xlsx]原始数据'!$A:$A,0)),""))</f>
        <v/>
      </c>
      <c r="I345">
        <f>IF($A345="","",IFERROR(INDEX('[AQ_2022.xlsx]原始数据'!$C:$C,MATCH($A345,'[AQ_2022.xlsx]原始数据'!$A:$A,0)),""))</f>
        <v/>
      </c>
      <c r="J345">
        <f>IF($A345="","",IFERROR(INDEX('[AQ_2023.xlsx]原始数据'!$C:$C,MATCH($A345,'[AQ_2023.xlsx]原始数据'!$A:$A,0)),""))</f>
        <v/>
      </c>
      <c r="K345">
        <f>IF($A345="","",IFERROR(INDEX('[AQ_2024.xlsx]原始数据'!$C:$C,MATCH($A345,'[AQ_2024.xlsx]原始数据'!$A:$A,0)),""))</f>
        <v/>
      </c>
      <c r="L345">
        <f>IF($A345="","",IFERROR(INDEX('[AQ_2020.xlsx]原始数据'!$D:$D,MATCH($A345,'[AQ_2020.xlsx]原始数据'!$A:$A,0)),""))</f>
        <v/>
      </c>
      <c r="M345">
        <f>IF($A345="","",IFERROR(INDEX('[AQ_2021.xlsx]原始数据'!$D:$D,MATCH($A345,'[AQ_2021.xlsx]原始数据'!$A:$A,0)),""))</f>
        <v/>
      </c>
      <c r="N345">
        <f>IF($A345="","",IFERROR(INDEX('[AQ_2022.xlsx]原始数据'!$D:$D,MATCH($A345,'[AQ_2022.xlsx]原始数据'!$A:$A,0)),""))</f>
        <v/>
      </c>
      <c r="O345">
        <f>IF($A345="","",IFERROR(INDEX('[AQ_2023.xlsx]原始数据'!$D:$D,MATCH($A345,'[AQ_2023.xlsx]原始数据'!$A:$A,0)),""))</f>
        <v/>
      </c>
      <c r="P345">
        <f>IF($A345="","",IFERROR(INDEX('[AQ_2024.xlsx]原始数据'!$D:$D,MATCH($A345,'[AQ_2024.xlsx]原始数据'!$A:$A,0)),""))</f>
        <v/>
      </c>
      <c r="Q345">
        <f>IF($A345="","",IFERROR(INDEX('[AQ_2020.xlsx]原始数据'!$E:$E,MATCH($A345,'[AQ_2020.xlsx]原始数据'!$A:$A,0)),""))</f>
        <v/>
      </c>
      <c r="R345">
        <f>IF($A345="","",IFERROR(INDEX('[AQ_2021.xlsx]原始数据'!$E:$E,MATCH($A345,'[AQ_2021.xlsx]原始数据'!$A:$A,0)),""))</f>
        <v/>
      </c>
      <c r="S345">
        <f>IF($A345="","",IFERROR(INDEX('[AQ_2022.xlsx]原始数据'!$E:$E,MATCH($A345,'[AQ_2022.xlsx]原始数据'!$A:$A,0)),""))</f>
        <v/>
      </c>
      <c r="T345">
        <f>IF($A345="","",IFERROR(INDEX('[AQ_2023.xlsx]原始数据'!$E:$E,MATCH($A345,'[AQ_2023.xlsx]原始数据'!$A:$A,0)),""))</f>
        <v/>
      </c>
      <c r="U345">
        <f>IF($A345="","",IFERROR(INDEX('[AQ_2024.xlsx]原始数据'!$E:$E,MATCH($A345,'[AQ_2024.xlsx]原始数据'!$A:$A,0)),""))</f>
        <v/>
      </c>
      <c r="V345">
        <f>IF($A345="","",IFERROR(INDEX('[AQ_2020.xlsx]原始数据'!$F:$F,MATCH($A345,'[AQ_2020.xlsx]原始数据'!$A:$A,0)),""))</f>
        <v/>
      </c>
      <c r="W345">
        <f>IF($A345="","",IFERROR(INDEX('[AQ_2021.xlsx]原始数据'!$F:$F,MATCH($A345,'[AQ_2021.xlsx]原始数据'!$A:$A,0)),""))</f>
        <v/>
      </c>
      <c r="X345">
        <f>IF($A345="","",IFERROR(INDEX('[AQ_2022.xlsx]原始数据'!$F:$F,MATCH($A345,'[AQ_2022.xlsx]原始数据'!$A:$A,0)),""))</f>
        <v/>
      </c>
      <c r="Y345">
        <f>IF($A345="","",IFERROR(INDEX('[AQ_2023.xlsx]原始数据'!$F:$F,MATCH($A345,'[AQ_2023.xlsx]原始数据'!$A:$A,0)),""))</f>
        <v/>
      </c>
      <c r="Z345">
        <f>IF($A345="","",IFERROR(INDEX('[AQ_2024.xlsx]原始数据'!$F:$F,MATCH($A345,'[AQ_2024.xlsx]原始数据'!$A:$A,0)),""))</f>
        <v/>
      </c>
      <c r="AA345" s="2">
        <f>IFERROR(G345/B345,"")</f>
        <v/>
      </c>
      <c r="AB345" s="2">
        <f>IFERROR(H345/C345,"")</f>
        <v/>
      </c>
      <c r="AC345" s="2">
        <f>IFERROR(I345/D345,"")</f>
        <v/>
      </c>
      <c r="AD345" s="2">
        <f>IFERROR(J345/E345,"")</f>
        <v/>
      </c>
      <c r="AE345" s="2">
        <f>IFERROR(K345/F345,"")</f>
        <v/>
      </c>
      <c r="AF345" s="2">
        <f>IFERROR(L345/B345,"")</f>
        <v/>
      </c>
      <c r="AG345" s="2">
        <f>IFERROR(M345/C345,"")</f>
        <v/>
      </c>
      <c r="AH345" s="2">
        <f>IFERROR(N345/D345,"")</f>
        <v/>
      </c>
      <c r="AI345" s="2">
        <f>IFERROR(O345/E345,"")</f>
        <v/>
      </c>
      <c r="AJ345" s="2">
        <f>IFERROR(P345/F345,"")</f>
        <v/>
      </c>
      <c r="AK345" s="2">
        <f>IFERROR(Q345/B345,"")</f>
        <v/>
      </c>
      <c r="AL345" s="2">
        <f>IFERROR(R345/C345,"")</f>
        <v/>
      </c>
      <c r="AM345" s="2">
        <f>IFERROR(S345/D345,"")</f>
        <v/>
      </c>
      <c r="AN345" s="2">
        <f>IFERROR(T345/E345,"")</f>
        <v/>
      </c>
      <c r="AO345" s="2">
        <f>IFERROR(U345/F345,"")</f>
        <v/>
      </c>
    </row>
    <row r="346">
      <c r="B346">
        <f>IF($A346="","",IFERROR(INDEX('[AQ_2020.xlsx]原始数据'!$B:$B,MATCH($A346,'[AQ_2020.xlsx]原始数据'!$A:$A,0)),""))</f>
        <v/>
      </c>
      <c r="C346">
        <f>IF($A346="","",IFERROR(INDEX('[AQ_2021.xlsx]原始数据'!$B:$B,MATCH($A346,'[AQ_2021.xlsx]原始数据'!$A:$A,0)),""))</f>
        <v/>
      </c>
      <c r="D346">
        <f>IF($A346="","",IFERROR(INDEX('[AQ_2022.xlsx]原始数据'!$B:$B,MATCH($A346,'[AQ_2022.xlsx]原始数据'!$A:$A,0)),""))</f>
        <v/>
      </c>
      <c r="E346">
        <f>IF($A346="","",IFERROR(INDEX('[AQ_2023.xlsx]原始数据'!$B:$B,MATCH($A346,'[AQ_2023.xlsx]原始数据'!$A:$A,0)),""))</f>
        <v/>
      </c>
      <c r="F346">
        <f>IF($A346="","",IFERROR(INDEX('[AQ_2024.xlsx]原始数据'!$B:$B,MATCH($A346,'[AQ_2024.xlsx]原始数据'!$A:$A,0)),""))</f>
        <v/>
      </c>
      <c r="G346">
        <f>IF($A346="","",IFERROR(INDEX('[AQ_2020.xlsx]原始数据'!$C:$C,MATCH($A346,'[AQ_2020.xlsx]原始数据'!$A:$A,0)),""))</f>
        <v/>
      </c>
      <c r="H346">
        <f>IF($A346="","",IFERROR(INDEX('[AQ_2021.xlsx]原始数据'!$C:$C,MATCH($A346,'[AQ_2021.xlsx]原始数据'!$A:$A,0)),""))</f>
        <v/>
      </c>
      <c r="I346">
        <f>IF($A346="","",IFERROR(INDEX('[AQ_2022.xlsx]原始数据'!$C:$C,MATCH($A346,'[AQ_2022.xlsx]原始数据'!$A:$A,0)),""))</f>
        <v/>
      </c>
      <c r="J346">
        <f>IF($A346="","",IFERROR(INDEX('[AQ_2023.xlsx]原始数据'!$C:$C,MATCH($A346,'[AQ_2023.xlsx]原始数据'!$A:$A,0)),""))</f>
        <v/>
      </c>
      <c r="K346">
        <f>IF($A346="","",IFERROR(INDEX('[AQ_2024.xlsx]原始数据'!$C:$C,MATCH($A346,'[AQ_2024.xlsx]原始数据'!$A:$A,0)),""))</f>
        <v/>
      </c>
      <c r="L346">
        <f>IF($A346="","",IFERROR(INDEX('[AQ_2020.xlsx]原始数据'!$D:$D,MATCH($A346,'[AQ_2020.xlsx]原始数据'!$A:$A,0)),""))</f>
        <v/>
      </c>
      <c r="M346">
        <f>IF($A346="","",IFERROR(INDEX('[AQ_2021.xlsx]原始数据'!$D:$D,MATCH($A346,'[AQ_2021.xlsx]原始数据'!$A:$A,0)),""))</f>
        <v/>
      </c>
      <c r="N346">
        <f>IF($A346="","",IFERROR(INDEX('[AQ_2022.xlsx]原始数据'!$D:$D,MATCH($A346,'[AQ_2022.xlsx]原始数据'!$A:$A,0)),""))</f>
        <v/>
      </c>
      <c r="O346">
        <f>IF($A346="","",IFERROR(INDEX('[AQ_2023.xlsx]原始数据'!$D:$D,MATCH($A346,'[AQ_2023.xlsx]原始数据'!$A:$A,0)),""))</f>
        <v/>
      </c>
      <c r="P346">
        <f>IF($A346="","",IFERROR(INDEX('[AQ_2024.xlsx]原始数据'!$D:$D,MATCH($A346,'[AQ_2024.xlsx]原始数据'!$A:$A,0)),""))</f>
        <v/>
      </c>
      <c r="Q346">
        <f>IF($A346="","",IFERROR(INDEX('[AQ_2020.xlsx]原始数据'!$E:$E,MATCH($A346,'[AQ_2020.xlsx]原始数据'!$A:$A,0)),""))</f>
        <v/>
      </c>
      <c r="R346">
        <f>IF($A346="","",IFERROR(INDEX('[AQ_2021.xlsx]原始数据'!$E:$E,MATCH($A346,'[AQ_2021.xlsx]原始数据'!$A:$A,0)),""))</f>
        <v/>
      </c>
      <c r="S346">
        <f>IF($A346="","",IFERROR(INDEX('[AQ_2022.xlsx]原始数据'!$E:$E,MATCH($A346,'[AQ_2022.xlsx]原始数据'!$A:$A,0)),""))</f>
        <v/>
      </c>
      <c r="T346">
        <f>IF($A346="","",IFERROR(INDEX('[AQ_2023.xlsx]原始数据'!$E:$E,MATCH($A346,'[AQ_2023.xlsx]原始数据'!$A:$A,0)),""))</f>
        <v/>
      </c>
      <c r="U346">
        <f>IF($A346="","",IFERROR(INDEX('[AQ_2024.xlsx]原始数据'!$E:$E,MATCH($A346,'[AQ_2024.xlsx]原始数据'!$A:$A,0)),""))</f>
        <v/>
      </c>
      <c r="V346">
        <f>IF($A346="","",IFERROR(INDEX('[AQ_2020.xlsx]原始数据'!$F:$F,MATCH($A346,'[AQ_2020.xlsx]原始数据'!$A:$A,0)),""))</f>
        <v/>
      </c>
      <c r="W346">
        <f>IF($A346="","",IFERROR(INDEX('[AQ_2021.xlsx]原始数据'!$F:$F,MATCH($A346,'[AQ_2021.xlsx]原始数据'!$A:$A,0)),""))</f>
        <v/>
      </c>
      <c r="X346">
        <f>IF($A346="","",IFERROR(INDEX('[AQ_2022.xlsx]原始数据'!$F:$F,MATCH($A346,'[AQ_2022.xlsx]原始数据'!$A:$A,0)),""))</f>
        <v/>
      </c>
      <c r="Y346">
        <f>IF($A346="","",IFERROR(INDEX('[AQ_2023.xlsx]原始数据'!$F:$F,MATCH($A346,'[AQ_2023.xlsx]原始数据'!$A:$A,0)),""))</f>
        <v/>
      </c>
      <c r="Z346">
        <f>IF($A346="","",IFERROR(INDEX('[AQ_2024.xlsx]原始数据'!$F:$F,MATCH($A346,'[AQ_2024.xlsx]原始数据'!$A:$A,0)),""))</f>
        <v/>
      </c>
      <c r="AA346" s="2">
        <f>IFERROR(G346/B346,"")</f>
        <v/>
      </c>
      <c r="AB346" s="2">
        <f>IFERROR(H346/C346,"")</f>
        <v/>
      </c>
      <c r="AC346" s="2">
        <f>IFERROR(I346/D346,"")</f>
        <v/>
      </c>
      <c r="AD346" s="2">
        <f>IFERROR(J346/E346,"")</f>
        <v/>
      </c>
      <c r="AE346" s="2">
        <f>IFERROR(K346/F346,"")</f>
        <v/>
      </c>
      <c r="AF346" s="2">
        <f>IFERROR(L346/B346,"")</f>
        <v/>
      </c>
      <c r="AG346" s="2">
        <f>IFERROR(M346/C346,"")</f>
        <v/>
      </c>
      <c r="AH346" s="2">
        <f>IFERROR(N346/D346,"")</f>
        <v/>
      </c>
      <c r="AI346" s="2">
        <f>IFERROR(O346/E346,"")</f>
        <v/>
      </c>
      <c r="AJ346" s="2">
        <f>IFERROR(P346/F346,"")</f>
        <v/>
      </c>
      <c r="AK346" s="2">
        <f>IFERROR(Q346/B346,"")</f>
        <v/>
      </c>
      <c r="AL346" s="2">
        <f>IFERROR(R346/C346,"")</f>
        <v/>
      </c>
      <c r="AM346" s="2">
        <f>IFERROR(S346/D346,"")</f>
        <v/>
      </c>
      <c r="AN346" s="2">
        <f>IFERROR(T346/E346,"")</f>
        <v/>
      </c>
      <c r="AO346" s="2">
        <f>IFERROR(U346/F346,"")</f>
        <v/>
      </c>
    </row>
    <row r="347">
      <c r="B347">
        <f>IF($A347="","",IFERROR(INDEX('[AQ_2020.xlsx]原始数据'!$B:$B,MATCH($A347,'[AQ_2020.xlsx]原始数据'!$A:$A,0)),""))</f>
        <v/>
      </c>
      <c r="C347">
        <f>IF($A347="","",IFERROR(INDEX('[AQ_2021.xlsx]原始数据'!$B:$B,MATCH($A347,'[AQ_2021.xlsx]原始数据'!$A:$A,0)),""))</f>
        <v/>
      </c>
      <c r="D347">
        <f>IF($A347="","",IFERROR(INDEX('[AQ_2022.xlsx]原始数据'!$B:$B,MATCH($A347,'[AQ_2022.xlsx]原始数据'!$A:$A,0)),""))</f>
        <v/>
      </c>
      <c r="E347">
        <f>IF($A347="","",IFERROR(INDEX('[AQ_2023.xlsx]原始数据'!$B:$B,MATCH($A347,'[AQ_2023.xlsx]原始数据'!$A:$A,0)),""))</f>
        <v/>
      </c>
      <c r="F347">
        <f>IF($A347="","",IFERROR(INDEX('[AQ_2024.xlsx]原始数据'!$B:$B,MATCH($A347,'[AQ_2024.xlsx]原始数据'!$A:$A,0)),""))</f>
        <v/>
      </c>
      <c r="G347">
        <f>IF($A347="","",IFERROR(INDEX('[AQ_2020.xlsx]原始数据'!$C:$C,MATCH($A347,'[AQ_2020.xlsx]原始数据'!$A:$A,0)),""))</f>
        <v/>
      </c>
      <c r="H347">
        <f>IF($A347="","",IFERROR(INDEX('[AQ_2021.xlsx]原始数据'!$C:$C,MATCH($A347,'[AQ_2021.xlsx]原始数据'!$A:$A,0)),""))</f>
        <v/>
      </c>
      <c r="I347">
        <f>IF($A347="","",IFERROR(INDEX('[AQ_2022.xlsx]原始数据'!$C:$C,MATCH($A347,'[AQ_2022.xlsx]原始数据'!$A:$A,0)),""))</f>
        <v/>
      </c>
      <c r="J347">
        <f>IF($A347="","",IFERROR(INDEX('[AQ_2023.xlsx]原始数据'!$C:$C,MATCH($A347,'[AQ_2023.xlsx]原始数据'!$A:$A,0)),""))</f>
        <v/>
      </c>
      <c r="K347">
        <f>IF($A347="","",IFERROR(INDEX('[AQ_2024.xlsx]原始数据'!$C:$C,MATCH($A347,'[AQ_2024.xlsx]原始数据'!$A:$A,0)),""))</f>
        <v/>
      </c>
      <c r="L347">
        <f>IF($A347="","",IFERROR(INDEX('[AQ_2020.xlsx]原始数据'!$D:$D,MATCH($A347,'[AQ_2020.xlsx]原始数据'!$A:$A,0)),""))</f>
        <v/>
      </c>
      <c r="M347">
        <f>IF($A347="","",IFERROR(INDEX('[AQ_2021.xlsx]原始数据'!$D:$D,MATCH($A347,'[AQ_2021.xlsx]原始数据'!$A:$A,0)),""))</f>
        <v/>
      </c>
      <c r="N347">
        <f>IF($A347="","",IFERROR(INDEX('[AQ_2022.xlsx]原始数据'!$D:$D,MATCH($A347,'[AQ_2022.xlsx]原始数据'!$A:$A,0)),""))</f>
        <v/>
      </c>
      <c r="O347">
        <f>IF($A347="","",IFERROR(INDEX('[AQ_2023.xlsx]原始数据'!$D:$D,MATCH($A347,'[AQ_2023.xlsx]原始数据'!$A:$A,0)),""))</f>
        <v/>
      </c>
      <c r="P347">
        <f>IF($A347="","",IFERROR(INDEX('[AQ_2024.xlsx]原始数据'!$D:$D,MATCH($A347,'[AQ_2024.xlsx]原始数据'!$A:$A,0)),""))</f>
        <v/>
      </c>
      <c r="Q347">
        <f>IF($A347="","",IFERROR(INDEX('[AQ_2020.xlsx]原始数据'!$E:$E,MATCH($A347,'[AQ_2020.xlsx]原始数据'!$A:$A,0)),""))</f>
        <v/>
      </c>
      <c r="R347">
        <f>IF($A347="","",IFERROR(INDEX('[AQ_2021.xlsx]原始数据'!$E:$E,MATCH($A347,'[AQ_2021.xlsx]原始数据'!$A:$A,0)),""))</f>
        <v/>
      </c>
      <c r="S347">
        <f>IF($A347="","",IFERROR(INDEX('[AQ_2022.xlsx]原始数据'!$E:$E,MATCH($A347,'[AQ_2022.xlsx]原始数据'!$A:$A,0)),""))</f>
        <v/>
      </c>
      <c r="T347">
        <f>IF($A347="","",IFERROR(INDEX('[AQ_2023.xlsx]原始数据'!$E:$E,MATCH($A347,'[AQ_2023.xlsx]原始数据'!$A:$A,0)),""))</f>
        <v/>
      </c>
      <c r="U347">
        <f>IF($A347="","",IFERROR(INDEX('[AQ_2024.xlsx]原始数据'!$E:$E,MATCH($A347,'[AQ_2024.xlsx]原始数据'!$A:$A,0)),""))</f>
        <v/>
      </c>
      <c r="V347">
        <f>IF($A347="","",IFERROR(INDEX('[AQ_2020.xlsx]原始数据'!$F:$F,MATCH($A347,'[AQ_2020.xlsx]原始数据'!$A:$A,0)),""))</f>
        <v/>
      </c>
      <c r="W347">
        <f>IF($A347="","",IFERROR(INDEX('[AQ_2021.xlsx]原始数据'!$F:$F,MATCH($A347,'[AQ_2021.xlsx]原始数据'!$A:$A,0)),""))</f>
        <v/>
      </c>
      <c r="X347">
        <f>IF($A347="","",IFERROR(INDEX('[AQ_2022.xlsx]原始数据'!$F:$F,MATCH($A347,'[AQ_2022.xlsx]原始数据'!$A:$A,0)),""))</f>
        <v/>
      </c>
      <c r="Y347">
        <f>IF($A347="","",IFERROR(INDEX('[AQ_2023.xlsx]原始数据'!$F:$F,MATCH($A347,'[AQ_2023.xlsx]原始数据'!$A:$A,0)),""))</f>
        <v/>
      </c>
      <c r="Z347">
        <f>IF($A347="","",IFERROR(INDEX('[AQ_2024.xlsx]原始数据'!$F:$F,MATCH($A347,'[AQ_2024.xlsx]原始数据'!$A:$A,0)),""))</f>
        <v/>
      </c>
      <c r="AA347" s="2">
        <f>IFERROR(G347/B347,"")</f>
        <v/>
      </c>
      <c r="AB347" s="2">
        <f>IFERROR(H347/C347,"")</f>
        <v/>
      </c>
      <c r="AC347" s="2">
        <f>IFERROR(I347/D347,"")</f>
        <v/>
      </c>
      <c r="AD347" s="2">
        <f>IFERROR(J347/E347,"")</f>
        <v/>
      </c>
      <c r="AE347" s="2">
        <f>IFERROR(K347/F347,"")</f>
        <v/>
      </c>
      <c r="AF347" s="2">
        <f>IFERROR(L347/B347,"")</f>
        <v/>
      </c>
      <c r="AG347" s="2">
        <f>IFERROR(M347/C347,"")</f>
        <v/>
      </c>
      <c r="AH347" s="2">
        <f>IFERROR(N347/D347,"")</f>
        <v/>
      </c>
      <c r="AI347" s="2">
        <f>IFERROR(O347/E347,"")</f>
        <v/>
      </c>
      <c r="AJ347" s="2">
        <f>IFERROR(P347/F347,"")</f>
        <v/>
      </c>
      <c r="AK347" s="2">
        <f>IFERROR(Q347/B347,"")</f>
        <v/>
      </c>
      <c r="AL347" s="2">
        <f>IFERROR(R347/C347,"")</f>
        <v/>
      </c>
      <c r="AM347" s="2">
        <f>IFERROR(S347/D347,"")</f>
        <v/>
      </c>
      <c r="AN347" s="2">
        <f>IFERROR(T347/E347,"")</f>
        <v/>
      </c>
      <c r="AO347" s="2">
        <f>IFERROR(U347/F347,"")</f>
        <v/>
      </c>
    </row>
    <row r="348">
      <c r="B348">
        <f>IF($A348="","",IFERROR(INDEX('[AQ_2020.xlsx]原始数据'!$B:$B,MATCH($A348,'[AQ_2020.xlsx]原始数据'!$A:$A,0)),""))</f>
        <v/>
      </c>
      <c r="C348">
        <f>IF($A348="","",IFERROR(INDEX('[AQ_2021.xlsx]原始数据'!$B:$B,MATCH($A348,'[AQ_2021.xlsx]原始数据'!$A:$A,0)),""))</f>
        <v/>
      </c>
      <c r="D348">
        <f>IF($A348="","",IFERROR(INDEX('[AQ_2022.xlsx]原始数据'!$B:$B,MATCH($A348,'[AQ_2022.xlsx]原始数据'!$A:$A,0)),""))</f>
        <v/>
      </c>
      <c r="E348">
        <f>IF($A348="","",IFERROR(INDEX('[AQ_2023.xlsx]原始数据'!$B:$B,MATCH($A348,'[AQ_2023.xlsx]原始数据'!$A:$A,0)),""))</f>
        <v/>
      </c>
      <c r="F348">
        <f>IF($A348="","",IFERROR(INDEX('[AQ_2024.xlsx]原始数据'!$B:$B,MATCH($A348,'[AQ_2024.xlsx]原始数据'!$A:$A,0)),""))</f>
        <v/>
      </c>
      <c r="G348">
        <f>IF($A348="","",IFERROR(INDEX('[AQ_2020.xlsx]原始数据'!$C:$C,MATCH($A348,'[AQ_2020.xlsx]原始数据'!$A:$A,0)),""))</f>
        <v/>
      </c>
      <c r="H348">
        <f>IF($A348="","",IFERROR(INDEX('[AQ_2021.xlsx]原始数据'!$C:$C,MATCH($A348,'[AQ_2021.xlsx]原始数据'!$A:$A,0)),""))</f>
        <v/>
      </c>
      <c r="I348">
        <f>IF($A348="","",IFERROR(INDEX('[AQ_2022.xlsx]原始数据'!$C:$C,MATCH($A348,'[AQ_2022.xlsx]原始数据'!$A:$A,0)),""))</f>
        <v/>
      </c>
      <c r="J348">
        <f>IF($A348="","",IFERROR(INDEX('[AQ_2023.xlsx]原始数据'!$C:$C,MATCH($A348,'[AQ_2023.xlsx]原始数据'!$A:$A,0)),""))</f>
        <v/>
      </c>
      <c r="K348">
        <f>IF($A348="","",IFERROR(INDEX('[AQ_2024.xlsx]原始数据'!$C:$C,MATCH($A348,'[AQ_2024.xlsx]原始数据'!$A:$A,0)),""))</f>
        <v/>
      </c>
      <c r="L348">
        <f>IF($A348="","",IFERROR(INDEX('[AQ_2020.xlsx]原始数据'!$D:$D,MATCH($A348,'[AQ_2020.xlsx]原始数据'!$A:$A,0)),""))</f>
        <v/>
      </c>
      <c r="M348">
        <f>IF($A348="","",IFERROR(INDEX('[AQ_2021.xlsx]原始数据'!$D:$D,MATCH($A348,'[AQ_2021.xlsx]原始数据'!$A:$A,0)),""))</f>
        <v/>
      </c>
      <c r="N348">
        <f>IF($A348="","",IFERROR(INDEX('[AQ_2022.xlsx]原始数据'!$D:$D,MATCH($A348,'[AQ_2022.xlsx]原始数据'!$A:$A,0)),""))</f>
        <v/>
      </c>
      <c r="O348">
        <f>IF($A348="","",IFERROR(INDEX('[AQ_2023.xlsx]原始数据'!$D:$D,MATCH($A348,'[AQ_2023.xlsx]原始数据'!$A:$A,0)),""))</f>
        <v/>
      </c>
      <c r="P348">
        <f>IF($A348="","",IFERROR(INDEX('[AQ_2024.xlsx]原始数据'!$D:$D,MATCH($A348,'[AQ_2024.xlsx]原始数据'!$A:$A,0)),""))</f>
        <v/>
      </c>
      <c r="Q348">
        <f>IF($A348="","",IFERROR(INDEX('[AQ_2020.xlsx]原始数据'!$E:$E,MATCH($A348,'[AQ_2020.xlsx]原始数据'!$A:$A,0)),""))</f>
        <v/>
      </c>
      <c r="R348">
        <f>IF($A348="","",IFERROR(INDEX('[AQ_2021.xlsx]原始数据'!$E:$E,MATCH($A348,'[AQ_2021.xlsx]原始数据'!$A:$A,0)),""))</f>
        <v/>
      </c>
      <c r="S348">
        <f>IF($A348="","",IFERROR(INDEX('[AQ_2022.xlsx]原始数据'!$E:$E,MATCH($A348,'[AQ_2022.xlsx]原始数据'!$A:$A,0)),""))</f>
        <v/>
      </c>
      <c r="T348">
        <f>IF($A348="","",IFERROR(INDEX('[AQ_2023.xlsx]原始数据'!$E:$E,MATCH($A348,'[AQ_2023.xlsx]原始数据'!$A:$A,0)),""))</f>
        <v/>
      </c>
      <c r="U348">
        <f>IF($A348="","",IFERROR(INDEX('[AQ_2024.xlsx]原始数据'!$E:$E,MATCH($A348,'[AQ_2024.xlsx]原始数据'!$A:$A,0)),""))</f>
        <v/>
      </c>
      <c r="V348">
        <f>IF($A348="","",IFERROR(INDEX('[AQ_2020.xlsx]原始数据'!$F:$F,MATCH($A348,'[AQ_2020.xlsx]原始数据'!$A:$A,0)),""))</f>
        <v/>
      </c>
      <c r="W348">
        <f>IF($A348="","",IFERROR(INDEX('[AQ_2021.xlsx]原始数据'!$F:$F,MATCH($A348,'[AQ_2021.xlsx]原始数据'!$A:$A,0)),""))</f>
        <v/>
      </c>
      <c r="X348">
        <f>IF($A348="","",IFERROR(INDEX('[AQ_2022.xlsx]原始数据'!$F:$F,MATCH($A348,'[AQ_2022.xlsx]原始数据'!$A:$A,0)),""))</f>
        <v/>
      </c>
      <c r="Y348">
        <f>IF($A348="","",IFERROR(INDEX('[AQ_2023.xlsx]原始数据'!$F:$F,MATCH($A348,'[AQ_2023.xlsx]原始数据'!$A:$A,0)),""))</f>
        <v/>
      </c>
      <c r="Z348">
        <f>IF($A348="","",IFERROR(INDEX('[AQ_2024.xlsx]原始数据'!$F:$F,MATCH($A348,'[AQ_2024.xlsx]原始数据'!$A:$A,0)),""))</f>
        <v/>
      </c>
      <c r="AA348" s="2">
        <f>IFERROR(G348/B348,"")</f>
        <v/>
      </c>
      <c r="AB348" s="2">
        <f>IFERROR(H348/C348,"")</f>
        <v/>
      </c>
      <c r="AC348" s="2">
        <f>IFERROR(I348/D348,"")</f>
        <v/>
      </c>
      <c r="AD348" s="2">
        <f>IFERROR(J348/E348,"")</f>
        <v/>
      </c>
      <c r="AE348" s="2">
        <f>IFERROR(K348/F348,"")</f>
        <v/>
      </c>
      <c r="AF348" s="2">
        <f>IFERROR(L348/B348,"")</f>
        <v/>
      </c>
      <c r="AG348" s="2">
        <f>IFERROR(M348/C348,"")</f>
        <v/>
      </c>
      <c r="AH348" s="2">
        <f>IFERROR(N348/D348,"")</f>
        <v/>
      </c>
      <c r="AI348" s="2">
        <f>IFERROR(O348/E348,"")</f>
        <v/>
      </c>
      <c r="AJ348" s="2">
        <f>IFERROR(P348/F348,"")</f>
        <v/>
      </c>
      <c r="AK348" s="2">
        <f>IFERROR(Q348/B348,"")</f>
        <v/>
      </c>
      <c r="AL348" s="2">
        <f>IFERROR(R348/C348,"")</f>
        <v/>
      </c>
      <c r="AM348" s="2">
        <f>IFERROR(S348/D348,"")</f>
        <v/>
      </c>
      <c r="AN348" s="2">
        <f>IFERROR(T348/E348,"")</f>
        <v/>
      </c>
      <c r="AO348" s="2">
        <f>IFERROR(U348/F348,"")</f>
        <v/>
      </c>
    </row>
    <row r="349">
      <c r="B349">
        <f>IF($A349="","",IFERROR(INDEX('[AQ_2020.xlsx]原始数据'!$B:$B,MATCH($A349,'[AQ_2020.xlsx]原始数据'!$A:$A,0)),""))</f>
        <v/>
      </c>
      <c r="C349">
        <f>IF($A349="","",IFERROR(INDEX('[AQ_2021.xlsx]原始数据'!$B:$B,MATCH($A349,'[AQ_2021.xlsx]原始数据'!$A:$A,0)),""))</f>
        <v/>
      </c>
      <c r="D349">
        <f>IF($A349="","",IFERROR(INDEX('[AQ_2022.xlsx]原始数据'!$B:$B,MATCH($A349,'[AQ_2022.xlsx]原始数据'!$A:$A,0)),""))</f>
        <v/>
      </c>
      <c r="E349">
        <f>IF($A349="","",IFERROR(INDEX('[AQ_2023.xlsx]原始数据'!$B:$B,MATCH($A349,'[AQ_2023.xlsx]原始数据'!$A:$A,0)),""))</f>
        <v/>
      </c>
      <c r="F349">
        <f>IF($A349="","",IFERROR(INDEX('[AQ_2024.xlsx]原始数据'!$B:$B,MATCH($A349,'[AQ_2024.xlsx]原始数据'!$A:$A,0)),""))</f>
        <v/>
      </c>
      <c r="G349">
        <f>IF($A349="","",IFERROR(INDEX('[AQ_2020.xlsx]原始数据'!$C:$C,MATCH($A349,'[AQ_2020.xlsx]原始数据'!$A:$A,0)),""))</f>
        <v/>
      </c>
      <c r="H349">
        <f>IF($A349="","",IFERROR(INDEX('[AQ_2021.xlsx]原始数据'!$C:$C,MATCH($A349,'[AQ_2021.xlsx]原始数据'!$A:$A,0)),""))</f>
        <v/>
      </c>
      <c r="I349">
        <f>IF($A349="","",IFERROR(INDEX('[AQ_2022.xlsx]原始数据'!$C:$C,MATCH($A349,'[AQ_2022.xlsx]原始数据'!$A:$A,0)),""))</f>
        <v/>
      </c>
      <c r="J349">
        <f>IF($A349="","",IFERROR(INDEX('[AQ_2023.xlsx]原始数据'!$C:$C,MATCH($A349,'[AQ_2023.xlsx]原始数据'!$A:$A,0)),""))</f>
        <v/>
      </c>
      <c r="K349">
        <f>IF($A349="","",IFERROR(INDEX('[AQ_2024.xlsx]原始数据'!$C:$C,MATCH($A349,'[AQ_2024.xlsx]原始数据'!$A:$A,0)),""))</f>
        <v/>
      </c>
      <c r="L349">
        <f>IF($A349="","",IFERROR(INDEX('[AQ_2020.xlsx]原始数据'!$D:$D,MATCH($A349,'[AQ_2020.xlsx]原始数据'!$A:$A,0)),""))</f>
        <v/>
      </c>
      <c r="M349">
        <f>IF($A349="","",IFERROR(INDEX('[AQ_2021.xlsx]原始数据'!$D:$D,MATCH($A349,'[AQ_2021.xlsx]原始数据'!$A:$A,0)),""))</f>
        <v/>
      </c>
      <c r="N349">
        <f>IF($A349="","",IFERROR(INDEX('[AQ_2022.xlsx]原始数据'!$D:$D,MATCH($A349,'[AQ_2022.xlsx]原始数据'!$A:$A,0)),""))</f>
        <v/>
      </c>
      <c r="O349">
        <f>IF($A349="","",IFERROR(INDEX('[AQ_2023.xlsx]原始数据'!$D:$D,MATCH($A349,'[AQ_2023.xlsx]原始数据'!$A:$A,0)),""))</f>
        <v/>
      </c>
      <c r="P349">
        <f>IF($A349="","",IFERROR(INDEX('[AQ_2024.xlsx]原始数据'!$D:$D,MATCH($A349,'[AQ_2024.xlsx]原始数据'!$A:$A,0)),""))</f>
        <v/>
      </c>
      <c r="Q349">
        <f>IF($A349="","",IFERROR(INDEX('[AQ_2020.xlsx]原始数据'!$E:$E,MATCH($A349,'[AQ_2020.xlsx]原始数据'!$A:$A,0)),""))</f>
        <v/>
      </c>
      <c r="R349">
        <f>IF($A349="","",IFERROR(INDEX('[AQ_2021.xlsx]原始数据'!$E:$E,MATCH($A349,'[AQ_2021.xlsx]原始数据'!$A:$A,0)),""))</f>
        <v/>
      </c>
      <c r="S349">
        <f>IF($A349="","",IFERROR(INDEX('[AQ_2022.xlsx]原始数据'!$E:$E,MATCH($A349,'[AQ_2022.xlsx]原始数据'!$A:$A,0)),""))</f>
        <v/>
      </c>
      <c r="T349">
        <f>IF($A349="","",IFERROR(INDEX('[AQ_2023.xlsx]原始数据'!$E:$E,MATCH($A349,'[AQ_2023.xlsx]原始数据'!$A:$A,0)),""))</f>
        <v/>
      </c>
      <c r="U349">
        <f>IF($A349="","",IFERROR(INDEX('[AQ_2024.xlsx]原始数据'!$E:$E,MATCH($A349,'[AQ_2024.xlsx]原始数据'!$A:$A,0)),""))</f>
        <v/>
      </c>
      <c r="V349">
        <f>IF($A349="","",IFERROR(INDEX('[AQ_2020.xlsx]原始数据'!$F:$F,MATCH($A349,'[AQ_2020.xlsx]原始数据'!$A:$A,0)),""))</f>
        <v/>
      </c>
      <c r="W349">
        <f>IF($A349="","",IFERROR(INDEX('[AQ_2021.xlsx]原始数据'!$F:$F,MATCH($A349,'[AQ_2021.xlsx]原始数据'!$A:$A,0)),""))</f>
        <v/>
      </c>
      <c r="X349">
        <f>IF($A349="","",IFERROR(INDEX('[AQ_2022.xlsx]原始数据'!$F:$F,MATCH($A349,'[AQ_2022.xlsx]原始数据'!$A:$A,0)),""))</f>
        <v/>
      </c>
      <c r="Y349">
        <f>IF($A349="","",IFERROR(INDEX('[AQ_2023.xlsx]原始数据'!$F:$F,MATCH($A349,'[AQ_2023.xlsx]原始数据'!$A:$A,0)),""))</f>
        <v/>
      </c>
      <c r="Z349">
        <f>IF($A349="","",IFERROR(INDEX('[AQ_2024.xlsx]原始数据'!$F:$F,MATCH($A349,'[AQ_2024.xlsx]原始数据'!$A:$A,0)),""))</f>
        <v/>
      </c>
      <c r="AA349" s="2">
        <f>IFERROR(G349/B349,"")</f>
        <v/>
      </c>
      <c r="AB349" s="2">
        <f>IFERROR(H349/C349,"")</f>
        <v/>
      </c>
      <c r="AC349" s="2">
        <f>IFERROR(I349/D349,"")</f>
        <v/>
      </c>
      <c r="AD349" s="2">
        <f>IFERROR(J349/E349,"")</f>
        <v/>
      </c>
      <c r="AE349" s="2">
        <f>IFERROR(K349/F349,"")</f>
        <v/>
      </c>
      <c r="AF349" s="2">
        <f>IFERROR(L349/B349,"")</f>
        <v/>
      </c>
      <c r="AG349" s="2">
        <f>IFERROR(M349/C349,"")</f>
        <v/>
      </c>
      <c r="AH349" s="2">
        <f>IFERROR(N349/D349,"")</f>
        <v/>
      </c>
      <c r="AI349" s="2">
        <f>IFERROR(O349/E349,"")</f>
        <v/>
      </c>
      <c r="AJ349" s="2">
        <f>IFERROR(P349/F349,"")</f>
        <v/>
      </c>
      <c r="AK349" s="2">
        <f>IFERROR(Q349/B349,"")</f>
        <v/>
      </c>
      <c r="AL349" s="2">
        <f>IFERROR(R349/C349,"")</f>
        <v/>
      </c>
      <c r="AM349" s="2">
        <f>IFERROR(S349/D349,"")</f>
        <v/>
      </c>
      <c r="AN349" s="2">
        <f>IFERROR(T349/E349,"")</f>
        <v/>
      </c>
      <c r="AO349" s="2">
        <f>IFERROR(U349/F349,"")</f>
        <v/>
      </c>
    </row>
    <row r="350">
      <c r="B350">
        <f>IF($A350="","",IFERROR(INDEX('[AQ_2020.xlsx]原始数据'!$B:$B,MATCH($A350,'[AQ_2020.xlsx]原始数据'!$A:$A,0)),""))</f>
        <v/>
      </c>
      <c r="C350">
        <f>IF($A350="","",IFERROR(INDEX('[AQ_2021.xlsx]原始数据'!$B:$B,MATCH($A350,'[AQ_2021.xlsx]原始数据'!$A:$A,0)),""))</f>
        <v/>
      </c>
      <c r="D350">
        <f>IF($A350="","",IFERROR(INDEX('[AQ_2022.xlsx]原始数据'!$B:$B,MATCH($A350,'[AQ_2022.xlsx]原始数据'!$A:$A,0)),""))</f>
        <v/>
      </c>
      <c r="E350">
        <f>IF($A350="","",IFERROR(INDEX('[AQ_2023.xlsx]原始数据'!$B:$B,MATCH($A350,'[AQ_2023.xlsx]原始数据'!$A:$A,0)),""))</f>
        <v/>
      </c>
      <c r="F350">
        <f>IF($A350="","",IFERROR(INDEX('[AQ_2024.xlsx]原始数据'!$B:$B,MATCH($A350,'[AQ_2024.xlsx]原始数据'!$A:$A,0)),""))</f>
        <v/>
      </c>
      <c r="G350">
        <f>IF($A350="","",IFERROR(INDEX('[AQ_2020.xlsx]原始数据'!$C:$C,MATCH($A350,'[AQ_2020.xlsx]原始数据'!$A:$A,0)),""))</f>
        <v/>
      </c>
      <c r="H350">
        <f>IF($A350="","",IFERROR(INDEX('[AQ_2021.xlsx]原始数据'!$C:$C,MATCH($A350,'[AQ_2021.xlsx]原始数据'!$A:$A,0)),""))</f>
        <v/>
      </c>
      <c r="I350">
        <f>IF($A350="","",IFERROR(INDEX('[AQ_2022.xlsx]原始数据'!$C:$C,MATCH($A350,'[AQ_2022.xlsx]原始数据'!$A:$A,0)),""))</f>
        <v/>
      </c>
      <c r="J350">
        <f>IF($A350="","",IFERROR(INDEX('[AQ_2023.xlsx]原始数据'!$C:$C,MATCH($A350,'[AQ_2023.xlsx]原始数据'!$A:$A,0)),""))</f>
        <v/>
      </c>
      <c r="K350">
        <f>IF($A350="","",IFERROR(INDEX('[AQ_2024.xlsx]原始数据'!$C:$C,MATCH($A350,'[AQ_2024.xlsx]原始数据'!$A:$A,0)),""))</f>
        <v/>
      </c>
      <c r="L350">
        <f>IF($A350="","",IFERROR(INDEX('[AQ_2020.xlsx]原始数据'!$D:$D,MATCH($A350,'[AQ_2020.xlsx]原始数据'!$A:$A,0)),""))</f>
        <v/>
      </c>
      <c r="M350">
        <f>IF($A350="","",IFERROR(INDEX('[AQ_2021.xlsx]原始数据'!$D:$D,MATCH($A350,'[AQ_2021.xlsx]原始数据'!$A:$A,0)),""))</f>
        <v/>
      </c>
      <c r="N350">
        <f>IF($A350="","",IFERROR(INDEX('[AQ_2022.xlsx]原始数据'!$D:$D,MATCH($A350,'[AQ_2022.xlsx]原始数据'!$A:$A,0)),""))</f>
        <v/>
      </c>
      <c r="O350">
        <f>IF($A350="","",IFERROR(INDEX('[AQ_2023.xlsx]原始数据'!$D:$D,MATCH($A350,'[AQ_2023.xlsx]原始数据'!$A:$A,0)),""))</f>
        <v/>
      </c>
      <c r="P350">
        <f>IF($A350="","",IFERROR(INDEX('[AQ_2024.xlsx]原始数据'!$D:$D,MATCH($A350,'[AQ_2024.xlsx]原始数据'!$A:$A,0)),""))</f>
        <v/>
      </c>
      <c r="Q350">
        <f>IF($A350="","",IFERROR(INDEX('[AQ_2020.xlsx]原始数据'!$E:$E,MATCH($A350,'[AQ_2020.xlsx]原始数据'!$A:$A,0)),""))</f>
        <v/>
      </c>
      <c r="R350">
        <f>IF($A350="","",IFERROR(INDEX('[AQ_2021.xlsx]原始数据'!$E:$E,MATCH($A350,'[AQ_2021.xlsx]原始数据'!$A:$A,0)),""))</f>
        <v/>
      </c>
      <c r="S350">
        <f>IF($A350="","",IFERROR(INDEX('[AQ_2022.xlsx]原始数据'!$E:$E,MATCH($A350,'[AQ_2022.xlsx]原始数据'!$A:$A,0)),""))</f>
        <v/>
      </c>
      <c r="T350">
        <f>IF($A350="","",IFERROR(INDEX('[AQ_2023.xlsx]原始数据'!$E:$E,MATCH($A350,'[AQ_2023.xlsx]原始数据'!$A:$A,0)),""))</f>
        <v/>
      </c>
      <c r="U350">
        <f>IF($A350="","",IFERROR(INDEX('[AQ_2024.xlsx]原始数据'!$E:$E,MATCH($A350,'[AQ_2024.xlsx]原始数据'!$A:$A,0)),""))</f>
        <v/>
      </c>
      <c r="V350">
        <f>IF($A350="","",IFERROR(INDEX('[AQ_2020.xlsx]原始数据'!$F:$F,MATCH($A350,'[AQ_2020.xlsx]原始数据'!$A:$A,0)),""))</f>
        <v/>
      </c>
      <c r="W350">
        <f>IF($A350="","",IFERROR(INDEX('[AQ_2021.xlsx]原始数据'!$F:$F,MATCH($A350,'[AQ_2021.xlsx]原始数据'!$A:$A,0)),""))</f>
        <v/>
      </c>
      <c r="X350">
        <f>IF($A350="","",IFERROR(INDEX('[AQ_2022.xlsx]原始数据'!$F:$F,MATCH($A350,'[AQ_2022.xlsx]原始数据'!$A:$A,0)),""))</f>
        <v/>
      </c>
      <c r="Y350">
        <f>IF($A350="","",IFERROR(INDEX('[AQ_2023.xlsx]原始数据'!$F:$F,MATCH($A350,'[AQ_2023.xlsx]原始数据'!$A:$A,0)),""))</f>
        <v/>
      </c>
      <c r="Z350">
        <f>IF($A350="","",IFERROR(INDEX('[AQ_2024.xlsx]原始数据'!$F:$F,MATCH($A350,'[AQ_2024.xlsx]原始数据'!$A:$A,0)),""))</f>
        <v/>
      </c>
      <c r="AA350" s="2">
        <f>IFERROR(G350/B350,"")</f>
        <v/>
      </c>
      <c r="AB350" s="2">
        <f>IFERROR(H350/C350,"")</f>
        <v/>
      </c>
      <c r="AC350" s="2">
        <f>IFERROR(I350/D350,"")</f>
        <v/>
      </c>
      <c r="AD350" s="2">
        <f>IFERROR(J350/E350,"")</f>
        <v/>
      </c>
      <c r="AE350" s="2">
        <f>IFERROR(K350/F350,"")</f>
        <v/>
      </c>
      <c r="AF350" s="2">
        <f>IFERROR(L350/B350,"")</f>
        <v/>
      </c>
      <c r="AG350" s="2">
        <f>IFERROR(M350/C350,"")</f>
        <v/>
      </c>
      <c r="AH350" s="2">
        <f>IFERROR(N350/D350,"")</f>
        <v/>
      </c>
      <c r="AI350" s="2">
        <f>IFERROR(O350/E350,"")</f>
        <v/>
      </c>
      <c r="AJ350" s="2">
        <f>IFERROR(P350/F350,"")</f>
        <v/>
      </c>
      <c r="AK350" s="2">
        <f>IFERROR(Q350/B350,"")</f>
        <v/>
      </c>
      <c r="AL350" s="2">
        <f>IFERROR(R350/C350,"")</f>
        <v/>
      </c>
      <c r="AM350" s="2">
        <f>IFERROR(S350/D350,"")</f>
        <v/>
      </c>
      <c r="AN350" s="2">
        <f>IFERROR(T350/E350,"")</f>
        <v/>
      </c>
      <c r="AO350" s="2">
        <f>IFERROR(U350/F350,"")</f>
        <v/>
      </c>
    </row>
    <row r="351">
      <c r="B351">
        <f>IF($A351="","",IFERROR(INDEX('[AQ_2020.xlsx]原始数据'!$B:$B,MATCH($A351,'[AQ_2020.xlsx]原始数据'!$A:$A,0)),""))</f>
        <v/>
      </c>
      <c r="C351">
        <f>IF($A351="","",IFERROR(INDEX('[AQ_2021.xlsx]原始数据'!$B:$B,MATCH($A351,'[AQ_2021.xlsx]原始数据'!$A:$A,0)),""))</f>
        <v/>
      </c>
      <c r="D351">
        <f>IF($A351="","",IFERROR(INDEX('[AQ_2022.xlsx]原始数据'!$B:$B,MATCH($A351,'[AQ_2022.xlsx]原始数据'!$A:$A,0)),""))</f>
        <v/>
      </c>
      <c r="E351">
        <f>IF($A351="","",IFERROR(INDEX('[AQ_2023.xlsx]原始数据'!$B:$B,MATCH($A351,'[AQ_2023.xlsx]原始数据'!$A:$A,0)),""))</f>
        <v/>
      </c>
      <c r="F351">
        <f>IF($A351="","",IFERROR(INDEX('[AQ_2024.xlsx]原始数据'!$B:$B,MATCH($A351,'[AQ_2024.xlsx]原始数据'!$A:$A,0)),""))</f>
        <v/>
      </c>
      <c r="G351">
        <f>IF($A351="","",IFERROR(INDEX('[AQ_2020.xlsx]原始数据'!$C:$C,MATCH($A351,'[AQ_2020.xlsx]原始数据'!$A:$A,0)),""))</f>
        <v/>
      </c>
      <c r="H351">
        <f>IF($A351="","",IFERROR(INDEX('[AQ_2021.xlsx]原始数据'!$C:$C,MATCH($A351,'[AQ_2021.xlsx]原始数据'!$A:$A,0)),""))</f>
        <v/>
      </c>
      <c r="I351">
        <f>IF($A351="","",IFERROR(INDEX('[AQ_2022.xlsx]原始数据'!$C:$C,MATCH($A351,'[AQ_2022.xlsx]原始数据'!$A:$A,0)),""))</f>
        <v/>
      </c>
      <c r="J351">
        <f>IF($A351="","",IFERROR(INDEX('[AQ_2023.xlsx]原始数据'!$C:$C,MATCH($A351,'[AQ_2023.xlsx]原始数据'!$A:$A,0)),""))</f>
        <v/>
      </c>
      <c r="K351">
        <f>IF($A351="","",IFERROR(INDEX('[AQ_2024.xlsx]原始数据'!$C:$C,MATCH($A351,'[AQ_2024.xlsx]原始数据'!$A:$A,0)),""))</f>
        <v/>
      </c>
      <c r="L351">
        <f>IF($A351="","",IFERROR(INDEX('[AQ_2020.xlsx]原始数据'!$D:$D,MATCH($A351,'[AQ_2020.xlsx]原始数据'!$A:$A,0)),""))</f>
        <v/>
      </c>
      <c r="M351">
        <f>IF($A351="","",IFERROR(INDEX('[AQ_2021.xlsx]原始数据'!$D:$D,MATCH($A351,'[AQ_2021.xlsx]原始数据'!$A:$A,0)),""))</f>
        <v/>
      </c>
      <c r="N351">
        <f>IF($A351="","",IFERROR(INDEX('[AQ_2022.xlsx]原始数据'!$D:$D,MATCH($A351,'[AQ_2022.xlsx]原始数据'!$A:$A,0)),""))</f>
        <v/>
      </c>
      <c r="O351">
        <f>IF($A351="","",IFERROR(INDEX('[AQ_2023.xlsx]原始数据'!$D:$D,MATCH($A351,'[AQ_2023.xlsx]原始数据'!$A:$A,0)),""))</f>
        <v/>
      </c>
      <c r="P351">
        <f>IF($A351="","",IFERROR(INDEX('[AQ_2024.xlsx]原始数据'!$D:$D,MATCH($A351,'[AQ_2024.xlsx]原始数据'!$A:$A,0)),""))</f>
        <v/>
      </c>
      <c r="Q351">
        <f>IF($A351="","",IFERROR(INDEX('[AQ_2020.xlsx]原始数据'!$E:$E,MATCH($A351,'[AQ_2020.xlsx]原始数据'!$A:$A,0)),""))</f>
        <v/>
      </c>
      <c r="R351">
        <f>IF($A351="","",IFERROR(INDEX('[AQ_2021.xlsx]原始数据'!$E:$E,MATCH($A351,'[AQ_2021.xlsx]原始数据'!$A:$A,0)),""))</f>
        <v/>
      </c>
      <c r="S351">
        <f>IF($A351="","",IFERROR(INDEX('[AQ_2022.xlsx]原始数据'!$E:$E,MATCH($A351,'[AQ_2022.xlsx]原始数据'!$A:$A,0)),""))</f>
        <v/>
      </c>
      <c r="T351">
        <f>IF($A351="","",IFERROR(INDEX('[AQ_2023.xlsx]原始数据'!$E:$E,MATCH($A351,'[AQ_2023.xlsx]原始数据'!$A:$A,0)),""))</f>
        <v/>
      </c>
      <c r="U351">
        <f>IF($A351="","",IFERROR(INDEX('[AQ_2024.xlsx]原始数据'!$E:$E,MATCH($A351,'[AQ_2024.xlsx]原始数据'!$A:$A,0)),""))</f>
        <v/>
      </c>
      <c r="V351">
        <f>IF($A351="","",IFERROR(INDEX('[AQ_2020.xlsx]原始数据'!$F:$F,MATCH($A351,'[AQ_2020.xlsx]原始数据'!$A:$A,0)),""))</f>
        <v/>
      </c>
      <c r="W351">
        <f>IF($A351="","",IFERROR(INDEX('[AQ_2021.xlsx]原始数据'!$F:$F,MATCH($A351,'[AQ_2021.xlsx]原始数据'!$A:$A,0)),""))</f>
        <v/>
      </c>
      <c r="X351">
        <f>IF($A351="","",IFERROR(INDEX('[AQ_2022.xlsx]原始数据'!$F:$F,MATCH($A351,'[AQ_2022.xlsx]原始数据'!$A:$A,0)),""))</f>
        <v/>
      </c>
      <c r="Y351">
        <f>IF($A351="","",IFERROR(INDEX('[AQ_2023.xlsx]原始数据'!$F:$F,MATCH($A351,'[AQ_2023.xlsx]原始数据'!$A:$A,0)),""))</f>
        <v/>
      </c>
      <c r="Z351">
        <f>IF($A351="","",IFERROR(INDEX('[AQ_2024.xlsx]原始数据'!$F:$F,MATCH($A351,'[AQ_2024.xlsx]原始数据'!$A:$A,0)),""))</f>
        <v/>
      </c>
      <c r="AA351" s="2">
        <f>IFERROR(G351/B351,"")</f>
        <v/>
      </c>
      <c r="AB351" s="2">
        <f>IFERROR(H351/C351,"")</f>
        <v/>
      </c>
      <c r="AC351" s="2">
        <f>IFERROR(I351/D351,"")</f>
        <v/>
      </c>
      <c r="AD351" s="2">
        <f>IFERROR(J351/E351,"")</f>
        <v/>
      </c>
      <c r="AE351" s="2">
        <f>IFERROR(K351/F351,"")</f>
        <v/>
      </c>
      <c r="AF351" s="2">
        <f>IFERROR(L351/B351,"")</f>
        <v/>
      </c>
      <c r="AG351" s="2">
        <f>IFERROR(M351/C351,"")</f>
        <v/>
      </c>
      <c r="AH351" s="2">
        <f>IFERROR(N351/D351,"")</f>
        <v/>
      </c>
      <c r="AI351" s="2">
        <f>IFERROR(O351/E351,"")</f>
        <v/>
      </c>
      <c r="AJ351" s="2">
        <f>IFERROR(P351/F351,"")</f>
        <v/>
      </c>
      <c r="AK351" s="2">
        <f>IFERROR(Q351/B351,"")</f>
        <v/>
      </c>
      <c r="AL351" s="2">
        <f>IFERROR(R351/C351,"")</f>
        <v/>
      </c>
      <c r="AM351" s="2">
        <f>IFERROR(S351/D351,"")</f>
        <v/>
      </c>
      <c r="AN351" s="2">
        <f>IFERROR(T351/E351,"")</f>
        <v/>
      </c>
      <c r="AO351" s="2">
        <f>IFERROR(U351/F351,"")</f>
        <v/>
      </c>
    </row>
    <row r="352">
      <c r="B352">
        <f>IF($A352="","",IFERROR(INDEX('[AQ_2020.xlsx]原始数据'!$B:$B,MATCH($A352,'[AQ_2020.xlsx]原始数据'!$A:$A,0)),""))</f>
        <v/>
      </c>
      <c r="C352">
        <f>IF($A352="","",IFERROR(INDEX('[AQ_2021.xlsx]原始数据'!$B:$B,MATCH($A352,'[AQ_2021.xlsx]原始数据'!$A:$A,0)),""))</f>
        <v/>
      </c>
      <c r="D352">
        <f>IF($A352="","",IFERROR(INDEX('[AQ_2022.xlsx]原始数据'!$B:$B,MATCH($A352,'[AQ_2022.xlsx]原始数据'!$A:$A,0)),""))</f>
        <v/>
      </c>
      <c r="E352">
        <f>IF($A352="","",IFERROR(INDEX('[AQ_2023.xlsx]原始数据'!$B:$B,MATCH($A352,'[AQ_2023.xlsx]原始数据'!$A:$A,0)),""))</f>
        <v/>
      </c>
      <c r="F352">
        <f>IF($A352="","",IFERROR(INDEX('[AQ_2024.xlsx]原始数据'!$B:$B,MATCH($A352,'[AQ_2024.xlsx]原始数据'!$A:$A,0)),""))</f>
        <v/>
      </c>
      <c r="G352">
        <f>IF($A352="","",IFERROR(INDEX('[AQ_2020.xlsx]原始数据'!$C:$C,MATCH($A352,'[AQ_2020.xlsx]原始数据'!$A:$A,0)),""))</f>
        <v/>
      </c>
      <c r="H352">
        <f>IF($A352="","",IFERROR(INDEX('[AQ_2021.xlsx]原始数据'!$C:$C,MATCH($A352,'[AQ_2021.xlsx]原始数据'!$A:$A,0)),""))</f>
        <v/>
      </c>
      <c r="I352">
        <f>IF($A352="","",IFERROR(INDEX('[AQ_2022.xlsx]原始数据'!$C:$C,MATCH($A352,'[AQ_2022.xlsx]原始数据'!$A:$A,0)),""))</f>
        <v/>
      </c>
      <c r="J352">
        <f>IF($A352="","",IFERROR(INDEX('[AQ_2023.xlsx]原始数据'!$C:$C,MATCH($A352,'[AQ_2023.xlsx]原始数据'!$A:$A,0)),""))</f>
        <v/>
      </c>
      <c r="K352">
        <f>IF($A352="","",IFERROR(INDEX('[AQ_2024.xlsx]原始数据'!$C:$C,MATCH($A352,'[AQ_2024.xlsx]原始数据'!$A:$A,0)),""))</f>
        <v/>
      </c>
      <c r="L352">
        <f>IF($A352="","",IFERROR(INDEX('[AQ_2020.xlsx]原始数据'!$D:$D,MATCH($A352,'[AQ_2020.xlsx]原始数据'!$A:$A,0)),""))</f>
        <v/>
      </c>
      <c r="M352">
        <f>IF($A352="","",IFERROR(INDEX('[AQ_2021.xlsx]原始数据'!$D:$D,MATCH($A352,'[AQ_2021.xlsx]原始数据'!$A:$A,0)),""))</f>
        <v/>
      </c>
      <c r="N352">
        <f>IF($A352="","",IFERROR(INDEX('[AQ_2022.xlsx]原始数据'!$D:$D,MATCH($A352,'[AQ_2022.xlsx]原始数据'!$A:$A,0)),""))</f>
        <v/>
      </c>
      <c r="O352">
        <f>IF($A352="","",IFERROR(INDEX('[AQ_2023.xlsx]原始数据'!$D:$D,MATCH($A352,'[AQ_2023.xlsx]原始数据'!$A:$A,0)),""))</f>
        <v/>
      </c>
      <c r="P352">
        <f>IF($A352="","",IFERROR(INDEX('[AQ_2024.xlsx]原始数据'!$D:$D,MATCH($A352,'[AQ_2024.xlsx]原始数据'!$A:$A,0)),""))</f>
        <v/>
      </c>
      <c r="Q352">
        <f>IF($A352="","",IFERROR(INDEX('[AQ_2020.xlsx]原始数据'!$E:$E,MATCH($A352,'[AQ_2020.xlsx]原始数据'!$A:$A,0)),""))</f>
        <v/>
      </c>
      <c r="R352">
        <f>IF($A352="","",IFERROR(INDEX('[AQ_2021.xlsx]原始数据'!$E:$E,MATCH($A352,'[AQ_2021.xlsx]原始数据'!$A:$A,0)),""))</f>
        <v/>
      </c>
      <c r="S352">
        <f>IF($A352="","",IFERROR(INDEX('[AQ_2022.xlsx]原始数据'!$E:$E,MATCH($A352,'[AQ_2022.xlsx]原始数据'!$A:$A,0)),""))</f>
        <v/>
      </c>
      <c r="T352">
        <f>IF($A352="","",IFERROR(INDEX('[AQ_2023.xlsx]原始数据'!$E:$E,MATCH($A352,'[AQ_2023.xlsx]原始数据'!$A:$A,0)),""))</f>
        <v/>
      </c>
      <c r="U352">
        <f>IF($A352="","",IFERROR(INDEX('[AQ_2024.xlsx]原始数据'!$E:$E,MATCH($A352,'[AQ_2024.xlsx]原始数据'!$A:$A,0)),""))</f>
        <v/>
      </c>
      <c r="V352">
        <f>IF($A352="","",IFERROR(INDEX('[AQ_2020.xlsx]原始数据'!$F:$F,MATCH($A352,'[AQ_2020.xlsx]原始数据'!$A:$A,0)),""))</f>
        <v/>
      </c>
      <c r="W352">
        <f>IF($A352="","",IFERROR(INDEX('[AQ_2021.xlsx]原始数据'!$F:$F,MATCH($A352,'[AQ_2021.xlsx]原始数据'!$A:$A,0)),""))</f>
        <v/>
      </c>
      <c r="X352">
        <f>IF($A352="","",IFERROR(INDEX('[AQ_2022.xlsx]原始数据'!$F:$F,MATCH($A352,'[AQ_2022.xlsx]原始数据'!$A:$A,0)),""))</f>
        <v/>
      </c>
      <c r="Y352">
        <f>IF($A352="","",IFERROR(INDEX('[AQ_2023.xlsx]原始数据'!$F:$F,MATCH($A352,'[AQ_2023.xlsx]原始数据'!$A:$A,0)),""))</f>
        <v/>
      </c>
      <c r="Z352">
        <f>IF($A352="","",IFERROR(INDEX('[AQ_2024.xlsx]原始数据'!$F:$F,MATCH($A352,'[AQ_2024.xlsx]原始数据'!$A:$A,0)),""))</f>
        <v/>
      </c>
      <c r="AA352" s="2">
        <f>IFERROR(G352/B352,"")</f>
        <v/>
      </c>
      <c r="AB352" s="2">
        <f>IFERROR(H352/C352,"")</f>
        <v/>
      </c>
      <c r="AC352" s="2">
        <f>IFERROR(I352/D352,"")</f>
        <v/>
      </c>
      <c r="AD352" s="2">
        <f>IFERROR(J352/E352,"")</f>
        <v/>
      </c>
      <c r="AE352" s="2">
        <f>IFERROR(K352/F352,"")</f>
        <v/>
      </c>
      <c r="AF352" s="2">
        <f>IFERROR(L352/B352,"")</f>
        <v/>
      </c>
      <c r="AG352" s="2">
        <f>IFERROR(M352/C352,"")</f>
        <v/>
      </c>
      <c r="AH352" s="2">
        <f>IFERROR(N352/D352,"")</f>
        <v/>
      </c>
      <c r="AI352" s="2">
        <f>IFERROR(O352/E352,"")</f>
        <v/>
      </c>
      <c r="AJ352" s="2">
        <f>IFERROR(P352/F352,"")</f>
        <v/>
      </c>
      <c r="AK352" s="2">
        <f>IFERROR(Q352/B352,"")</f>
        <v/>
      </c>
      <c r="AL352" s="2">
        <f>IFERROR(R352/C352,"")</f>
        <v/>
      </c>
      <c r="AM352" s="2">
        <f>IFERROR(S352/D352,"")</f>
        <v/>
      </c>
      <c r="AN352" s="2">
        <f>IFERROR(T352/E352,"")</f>
        <v/>
      </c>
      <c r="AO352" s="2">
        <f>IFERROR(U352/F352,"")</f>
        <v/>
      </c>
    </row>
    <row r="353">
      <c r="B353">
        <f>IF($A353="","",IFERROR(INDEX('[AQ_2020.xlsx]原始数据'!$B:$B,MATCH($A353,'[AQ_2020.xlsx]原始数据'!$A:$A,0)),""))</f>
        <v/>
      </c>
      <c r="C353">
        <f>IF($A353="","",IFERROR(INDEX('[AQ_2021.xlsx]原始数据'!$B:$B,MATCH($A353,'[AQ_2021.xlsx]原始数据'!$A:$A,0)),""))</f>
        <v/>
      </c>
      <c r="D353">
        <f>IF($A353="","",IFERROR(INDEX('[AQ_2022.xlsx]原始数据'!$B:$B,MATCH($A353,'[AQ_2022.xlsx]原始数据'!$A:$A,0)),""))</f>
        <v/>
      </c>
      <c r="E353">
        <f>IF($A353="","",IFERROR(INDEX('[AQ_2023.xlsx]原始数据'!$B:$B,MATCH($A353,'[AQ_2023.xlsx]原始数据'!$A:$A,0)),""))</f>
        <v/>
      </c>
      <c r="F353">
        <f>IF($A353="","",IFERROR(INDEX('[AQ_2024.xlsx]原始数据'!$B:$B,MATCH($A353,'[AQ_2024.xlsx]原始数据'!$A:$A,0)),""))</f>
        <v/>
      </c>
      <c r="G353">
        <f>IF($A353="","",IFERROR(INDEX('[AQ_2020.xlsx]原始数据'!$C:$C,MATCH($A353,'[AQ_2020.xlsx]原始数据'!$A:$A,0)),""))</f>
        <v/>
      </c>
      <c r="H353">
        <f>IF($A353="","",IFERROR(INDEX('[AQ_2021.xlsx]原始数据'!$C:$C,MATCH($A353,'[AQ_2021.xlsx]原始数据'!$A:$A,0)),""))</f>
        <v/>
      </c>
      <c r="I353">
        <f>IF($A353="","",IFERROR(INDEX('[AQ_2022.xlsx]原始数据'!$C:$C,MATCH($A353,'[AQ_2022.xlsx]原始数据'!$A:$A,0)),""))</f>
        <v/>
      </c>
      <c r="J353">
        <f>IF($A353="","",IFERROR(INDEX('[AQ_2023.xlsx]原始数据'!$C:$C,MATCH($A353,'[AQ_2023.xlsx]原始数据'!$A:$A,0)),""))</f>
        <v/>
      </c>
      <c r="K353">
        <f>IF($A353="","",IFERROR(INDEX('[AQ_2024.xlsx]原始数据'!$C:$C,MATCH($A353,'[AQ_2024.xlsx]原始数据'!$A:$A,0)),""))</f>
        <v/>
      </c>
      <c r="L353">
        <f>IF($A353="","",IFERROR(INDEX('[AQ_2020.xlsx]原始数据'!$D:$D,MATCH($A353,'[AQ_2020.xlsx]原始数据'!$A:$A,0)),""))</f>
        <v/>
      </c>
      <c r="M353">
        <f>IF($A353="","",IFERROR(INDEX('[AQ_2021.xlsx]原始数据'!$D:$D,MATCH($A353,'[AQ_2021.xlsx]原始数据'!$A:$A,0)),""))</f>
        <v/>
      </c>
      <c r="N353">
        <f>IF($A353="","",IFERROR(INDEX('[AQ_2022.xlsx]原始数据'!$D:$D,MATCH($A353,'[AQ_2022.xlsx]原始数据'!$A:$A,0)),""))</f>
        <v/>
      </c>
      <c r="O353">
        <f>IF($A353="","",IFERROR(INDEX('[AQ_2023.xlsx]原始数据'!$D:$D,MATCH($A353,'[AQ_2023.xlsx]原始数据'!$A:$A,0)),""))</f>
        <v/>
      </c>
      <c r="P353">
        <f>IF($A353="","",IFERROR(INDEX('[AQ_2024.xlsx]原始数据'!$D:$D,MATCH($A353,'[AQ_2024.xlsx]原始数据'!$A:$A,0)),""))</f>
        <v/>
      </c>
      <c r="Q353">
        <f>IF($A353="","",IFERROR(INDEX('[AQ_2020.xlsx]原始数据'!$E:$E,MATCH($A353,'[AQ_2020.xlsx]原始数据'!$A:$A,0)),""))</f>
        <v/>
      </c>
      <c r="R353">
        <f>IF($A353="","",IFERROR(INDEX('[AQ_2021.xlsx]原始数据'!$E:$E,MATCH($A353,'[AQ_2021.xlsx]原始数据'!$A:$A,0)),""))</f>
        <v/>
      </c>
      <c r="S353">
        <f>IF($A353="","",IFERROR(INDEX('[AQ_2022.xlsx]原始数据'!$E:$E,MATCH($A353,'[AQ_2022.xlsx]原始数据'!$A:$A,0)),""))</f>
        <v/>
      </c>
      <c r="T353">
        <f>IF($A353="","",IFERROR(INDEX('[AQ_2023.xlsx]原始数据'!$E:$E,MATCH($A353,'[AQ_2023.xlsx]原始数据'!$A:$A,0)),""))</f>
        <v/>
      </c>
      <c r="U353">
        <f>IF($A353="","",IFERROR(INDEX('[AQ_2024.xlsx]原始数据'!$E:$E,MATCH($A353,'[AQ_2024.xlsx]原始数据'!$A:$A,0)),""))</f>
        <v/>
      </c>
      <c r="V353">
        <f>IF($A353="","",IFERROR(INDEX('[AQ_2020.xlsx]原始数据'!$F:$F,MATCH($A353,'[AQ_2020.xlsx]原始数据'!$A:$A,0)),""))</f>
        <v/>
      </c>
      <c r="W353">
        <f>IF($A353="","",IFERROR(INDEX('[AQ_2021.xlsx]原始数据'!$F:$F,MATCH($A353,'[AQ_2021.xlsx]原始数据'!$A:$A,0)),""))</f>
        <v/>
      </c>
      <c r="X353">
        <f>IF($A353="","",IFERROR(INDEX('[AQ_2022.xlsx]原始数据'!$F:$F,MATCH($A353,'[AQ_2022.xlsx]原始数据'!$A:$A,0)),""))</f>
        <v/>
      </c>
      <c r="Y353">
        <f>IF($A353="","",IFERROR(INDEX('[AQ_2023.xlsx]原始数据'!$F:$F,MATCH($A353,'[AQ_2023.xlsx]原始数据'!$A:$A,0)),""))</f>
        <v/>
      </c>
      <c r="Z353">
        <f>IF($A353="","",IFERROR(INDEX('[AQ_2024.xlsx]原始数据'!$F:$F,MATCH($A353,'[AQ_2024.xlsx]原始数据'!$A:$A,0)),""))</f>
        <v/>
      </c>
      <c r="AA353" s="2">
        <f>IFERROR(G353/B353,"")</f>
        <v/>
      </c>
      <c r="AB353" s="2">
        <f>IFERROR(H353/C353,"")</f>
        <v/>
      </c>
      <c r="AC353" s="2">
        <f>IFERROR(I353/D353,"")</f>
        <v/>
      </c>
      <c r="AD353" s="2">
        <f>IFERROR(J353/E353,"")</f>
        <v/>
      </c>
      <c r="AE353" s="2">
        <f>IFERROR(K353/F353,"")</f>
        <v/>
      </c>
      <c r="AF353" s="2">
        <f>IFERROR(L353/B353,"")</f>
        <v/>
      </c>
      <c r="AG353" s="2">
        <f>IFERROR(M353/C353,"")</f>
        <v/>
      </c>
      <c r="AH353" s="2">
        <f>IFERROR(N353/D353,"")</f>
        <v/>
      </c>
      <c r="AI353" s="2">
        <f>IFERROR(O353/E353,"")</f>
        <v/>
      </c>
      <c r="AJ353" s="2">
        <f>IFERROR(P353/F353,"")</f>
        <v/>
      </c>
      <c r="AK353" s="2">
        <f>IFERROR(Q353/B353,"")</f>
        <v/>
      </c>
      <c r="AL353" s="2">
        <f>IFERROR(R353/C353,"")</f>
        <v/>
      </c>
      <c r="AM353" s="2">
        <f>IFERROR(S353/D353,"")</f>
        <v/>
      </c>
      <c r="AN353" s="2">
        <f>IFERROR(T353/E353,"")</f>
        <v/>
      </c>
      <c r="AO353" s="2">
        <f>IFERROR(U353/F353,"")</f>
        <v/>
      </c>
    </row>
    <row r="354">
      <c r="B354">
        <f>IF($A354="","",IFERROR(INDEX('[AQ_2020.xlsx]原始数据'!$B:$B,MATCH($A354,'[AQ_2020.xlsx]原始数据'!$A:$A,0)),""))</f>
        <v/>
      </c>
      <c r="C354">
        <f>IF($A354="","",IFERROR(INDEX('[AQ_2021.xlsx]原始数据'!$B:$B,MATCH($A354,'[AQ_2021.xlsx]原始数据'!$A:$A,0)),""))</f>
        <v/>
      </c>
      <c r="D354">
        <f>IF($A354="","",IFERROR(INDEX('[AQ_2022.xlsx]原始数据'!$B:$B,MATCH($A354,'[AQ_2022.xlsx]原始数据'!$A:$A,0)),""))</f>
        <v/>
      </c>
      <c r="E354">
        <f>IF($A354="","",IFERROR(INDEX('[AQ_2023.xlsx]原始数据'!$B:$B,MATCH($A354,'[AQ_2023.xlsx]原始数据'!$A:$A,0)),""))</f>
        <v/>
      </c>
      <c r="F354">
        <f>IF($A354="","",IFERROR(INDEX('[AQ_2024.xlsx]原始数据'!$B:$B,MATCH($A354,'[AQ_2024.xlsx]原始数据'!$A:$A,0)),""))</f>
        <v/>
      </c>
      <c r="G354">
        <f>IF($A354="","",IFERROR(INDEX('[AQ_2020.xlsx]原始数据'!$C:$C,MATCH($A354,'[AQ_2020.xlsx]原始数据'!$A:$A,0)),""))</f>
        <v/>
      </c>
      <c r="H354">
        <f>IF($A354="","",IFERROR(INDEX('[AQ_2021.xlsx]原始数据'!$C:$C,MATCH($A354,'[AQ_2021.xlsx]原始数据'!$A:$A,0)),""))</f>
        <v/>
      </c>
      <c r="I354">
        <f>IF($A354="","",IFERROR(INDEX('[AQ_2022.xlsx]原始数据'!$C:$C,MATCH($A354,'[AQ_2022.xlsx]原始数据'!$A:$A,0)),""))</f>
        <v/>
      </c>
      <c r="J354">
        <f>IF($A354="","",IFERROR(INDEX('[AQ_2023.xlsx]原始数据'!$C:$C,MATCH($A354,'[AQ_2023.xlsx]原始数据'!$A:$A,0)),""))</f>
        <v/>
      </c>
      <c r="K354">
        <f>IF($A354="","",IFERROR(INDEX('[AQ_2024.xlsx]原始数据'!$C:$C,MATCH($A354,'[AQ_2024.xlsx]原始数据'!$A:$A,0)),""))</f>
        <v/>
      </c>
      <c r="L354">
        <f>IF($A354="","",IFERROR(INDEX('[AQ_2020.xlsx]原始数据'!$D:$D,MATCH($A354,'[AQ_2020.xlsx]原始数据'!$A:$A,0)),""))</f>
        <v/>
      </c>
      <c r="M354">
        <f>IF($A354="","",IFERROR(INDEX('[AQ_2021.xlsx]原始数据'!$D:$D,MATCH($A354,'[AQ_2021.xlsx]原始数据'!$A:$A,0)),""))</f>
        <v/>
      </c>
      <c r="N354">
        <f>IF($A354="","",IFERROR(INDEX('[AQ_2022.xlsx]原始数据'!$D:$D,MATCH($A354,'[AQ_2022.xlsx]原始数据'!$A:$A,0)),""))</f>
        <v/>
      </c>
      <c r="O354">
        <f>IF($A354="","",IFERROR(INDEX('[AQ_2023.xlsx]原始数据'!$D:$D,MATCH($A354,'[AQ_2023.xlsx]原始数据'!$A:$A,0)),""))</f>
        <v/>
      </c>
      <c r="P354">
        <f>IF($A354="","",IFERROR(INDEX('[AQ_2024.xlsx]原始数据'!$D:$D,MATCH($A354,'[AQ_2024.xlsx]原始数据'!$A:$A,0)),""))</f>
        <v/>
      </c>
      <c r="Q354">
        <f>IF($A354="","",IFERROR(INDEX('[AQ_2020.xlsx]原始数据'!$E:$E,MATCH($A354,'[AQ_2020.xlsx]原始数据'!$A:$A,0)),""))</f>
        <v/>
      </c>
      <c r="R354">
        <f>IF($A354="","",IFERROR(INDEX('[AQ_2021.xlsx]原始数据'!$E:$E,MATCH($A354,'[AQ_2021.xlsx]原始数据'!$A:$A,0)),""))</f>
        <v/>
      </c>
      <c r="S354">
        <f>IF($A354="","",IFERROR(INDEX('[AQ_2022.xlsx]原始数据'!$E:$E,MATCH($A354,'[AQ_2022.xlsx]原始数据'!$A:$A,0)),""))</f>
        <v/>
      </c>
      <c r="T354">
        <f>IF($A354="","",IFERROR(INDEX('[AQ_2023.xlsx]原始数据'!$E:$E,MATCH($A354,'[AQ_2023.xlsx]原始数据'!$A:$A,0)),""))</f>
        <v/>
      </c>
      <c r="U354">
        <f>IF($A354="","",IFERROR(INDEX('[AQ_2024.xlsx]原始数据'!$E:$E,MATCH($A354,'[AQ_2024.xlsx]原始数据'!$A:$A,0)),""))</f>
        <v/>
      </c>
      <c r="V354">
        <f>IF($A354="","",IFERROR(INDEX('[AQ_2020.xlsx]原始数据'!$F:$F,MATCH($A354,'[AQ_2020.xlsx]原始数据'!$A:$A,0)),""))</f>
        <v/>
      </c>
      <c r="W354">
        <f>IF($A354="","",IFERROR(INDEX('[AQ_2021.xlsx]原始数据'!$F:$F,MATCH($A354,'[AQ_2021.xlsx]原始数据'!$A:$A,0)),""))</f>
        <v/>
      </c>
      <c r="X354">
        <f>IF($A354="","",IFERROR(INDEX('[AQ_2022.xlsx]原始数据'!$F:$F,MATCH($A354,'[AQ_2022.xlsx]原始数据'!$A:$A,0)),""))</f>
        <v/>
      </c>
      <c r="Y354">
        <f>IF($A354="","",IFERROR(INDEX('[AQ_2023.xlsx]原始数据'!$F:$F,MATCH($A354,'[AQ_2023.xlsx]原始数据'!$A:$A,0)),""))</f>
        <v/>
      </c>
      <c r="Z354">
        <f>IF($A354="","",IFERROR(INDEX('[AQ_2024.xlsx]原始数据'!$F:$F,MATCH($A354,'[AQ_2024.xlsx]原始数据'!$A:$A,0)),""))</f>
        <v/>
      </c>
      <c r="AA354" s="2">
        <f>IFERROR(G354/B354,"")</f>
        <v/>
      </c>
      <c r="AB354" s="2">
        <f>IFERROR(H354/C354,"")</f>
        <v/>
      </c>
      <c r="AC354" s="2">
        <f>IFERROR(I354/D354,"")</f>
        <v/>
      </c>
      <c r="AD354" s="2">
        <f>IFERROR(J354/E354,"")</f>
        <v/>
      </c>
      <c r="AE354" s="2">
        <f>IFERROR(K354/F354,"")</f>
        <v/>
      </c>
      <c r="AF354" s="2">
        <f>IFERROR(L354/B354,"")</f>
        <v/>
      </c>
      <c r="AG354" s="2">
        <f>IFERROR(M354/C354,"")</f>
        <v/>
      </c>
      <c r="AH354" s="2">
        <f>IFERROR(N354/D354,"")</f>
        <v/>
      </c>
      <c r="AI354" s="2">
        <f>IFERROR(O354/E354,"")</f>
        <v/>
      </c>
      <c r="AJ354" s="2">
        <f>IFERROR(P354/F354,"")</f>
        <v/>
      </c>
      <c r="AK354" s="2">
        <f>IFERROR(Q354/B354,"")</f>
        <v/>
      </c>
      <c r="AL354" s="2">
        <f>IFERROR(R354/C354,"")</f>
        <v/>
      </c>
      <c r="AM354" s="2">
        <f>IFERROR(S354/D354,"")</f>
        <v/>
      </c>
      <c r="AN354" s="2">
        <f>IFERROR(T354/E354,"")</f>
        <v/>
      </c>
      <c r="AO354" s="2">
        <f>IFERROR(U354/F354,"")</f>
        <v/>
      </c>
    </row>
    <row r="355">
      <c r="B355">
        <f>IF($A355="","",IFERROR(INDEX('[AQ_2020.xlsx]原始数据'!$B:$B,MATCH($A355,'[AQ_2020.xlsx]原始数据'!$A:$A,0)),""))</f>
        <v/>
      </c>
      <c r="C355">
        <f>IF($A355="","",IFERROR(INDEX('[AQ_2021.xlsx]原始数据'!$B:$B,MATCH($A355,'[AQ_2021.xlsx]原始数据'!$A:$A,0)),""))</f>
        <v/>
      </c>
      <c r="D355">
        <f>IF($A355="","",IFERROR(INDEX('[AQ_2022.xlsx]原始数据'!$B:$B,MATCH($A355,'[AQ_2022.xlsx]原始数据'!$A:$A,0)),""))</f>
        <v/>
      </c>
      <c r="E355">
        <f>IF($A355="","",IFERROR(INDEX('[AQ_2023.xlsx]原始数据'!$B:$B,MATCH($A355,'[AQ_2023.xlsx]原始数据'!$A:$A,0)),""))</f>
        <v/>
      </c>
      <c r="F355">
        <f>IF($A355="","",IFERROR(INDEX('[AQ_2024.xlsx]原始数据'!$B:$B,MATCH($A355,'[AQ_2024.xlsx]原始数据'!$A:$A,0)),""))</f>
        <v/>
      </c>
      <c r="G355">
        <f>IF($A355="","",IFERROR(INDEX('[AQ_2020.xlsx]原始数据'!$C:$C,MATCH($A355,'[AQ_2020.xlsx]原始数据'!$A:$A,0)),""))</f>
        <v/>
      </c>
      <c r="H355">
        <f>IF($A355="","",IFERROR(INDEX('[AQ_2021.xlsx]原始数据'!$C:$C,MATCH($A355,'[AQ_2021.xlsx]原始数据'!$A:$A,0)),""))</f>
        <v/>
      </c>
      <c r="I355">
        <f>IF($A355="","",IFERROR(INDEX('[AQ_2022.xlsx]原始数据'!$C:$C,MATCH($A355,'[AQ_2022.xlsx]原始数据'!$A:$A,0)),""))</f>
        <v/>
      </c>
      <c r="J355">
        <f>IF($A355="","",IFERROR(INDEX('[AQ_2023.xlsx]原始数据'!$C:$C,MATCH($A355,'[AQ_2023.xlsx]原始数据'!$A:$A,0)),""))</f>
        <v/>
      </c>
      <c r="K355">
        <f>IF($A355="","",IFERROR(INDEX('[AQ_2024.xlsx]原始数据'!$C:$C,MATCH($A355,'[AQ_2024.xlsx]原始数据'!$A:$A,0)),""))</f>
        <v/>
      </c>
      <c r="L355">
        <f>IF($A355="","",IFERROR(INDEX('[AQ_2020.xlsx]原始数据'!$D:$D,MATCH($A355,'[AQ_2020.xlsx]原始数据'!$A:$A,0)),""))</f>
        <v/>
      </c>
      <c r="M355">
        <f>IF($A355="","",IFERROR(INDEX('[AQ_2021.xlsx]原始数据'!$D:$D,MATCH($A355,'[AQ_2021.xlsx]原始数据'!$A:$A,0)),""))</f>
        <v/>
      </c>
      <c r="N355">
        <f>IF($A355="","",IFERROR(INDEX('[AQ_2022.xlsx]原始数据'!$D:$D,MATCH($A355,'[AQ_2022.xlsx]原始数据'!$A:$A,0)),""))</f>
        <v/>
      </c>
      <c r="O355">
        <f>IF($A355="","",IFERROR(INDEX('[AQ_2023.xlsx]原始数据'!$D:$D,MATCH($A355,'[AQ_2023.xlsx]原始数据'!$A:$A,0)),""))</f>
        <v/>
      </c>
      <c r="P355">
        <f>IF($A355="","",IFERROR(INDEX('[AQ_2024.xlsx]原始数据'!$D:$D,MATCH($A355,'[AQ_2024.xlsx]原始数据'!$A:$A,0)),""))</f>
        <v/>
      </c>
      <c r="Q355">
        <f>IF($A355="","",IFERROR(INDEX('[AQ_2020.xlsx]原始数据'!$E:$E,MATCH($A355,'[AQ_2020.xlsx]原始数据'!$A:$A,0)),""))</f>
        <v/>
      </c>
      <c r="R355">
        <f>IF($A355="","",IFERROR(INDEX('[AQ_2021.xlsx]原始数据'!$E:$E,MATCH($A355,'[AQ_2021.xlsx]原始数据'!$A:$A,0)),""))</f>
        <v/>
      </c>
      <c r="S355">
        <f>IF($A355="","",IFERROR(INDEX('[AQ_2022.xlsx]原始数据'!$E:$E,MATCH($A355,'[AQ_2022.xlsx]原始数据'!$A:$A,0)),""))</f>
        <v/>
      </c>
      <c r="T355">
        <f>IF($A355="","",IFERROR(INDEX('[AQ_2023.xlsx]原始数据'!$E:$E,MATCH($A355,'[AQ_2023.xlsx]原始数据'!$A:$A,0)),""))</f>
        <v/>
      </c>
      <c r="U355">
        <f>IF($A355="","",IFERROR(INDEX('[AQ_2024.xlsx]原始数据'!$E:$E,MATCH($A355,'[AQ_2024.xlsx]原始数据'!$A:$A,0)),""))</f>
        <v/>
      </c>
      <c r="V355">
        <f>IF($A355="","",IFERROR(INDEX('[AQ_2020.xlsx]原始数据'!$F:$F,MATCH($A355,'[AQ_2020.xlsx]原始数据'!$A:$A,0)),""))</f>
        <v/>
      </c>
      <c r="W355">
        <f>IF($A355="","",IFERROR(INDEX('[AQ_2021.xlsx]原始数据'!$F:$F,MATCH($A355,'[AQ_2021.xlsx]原始数据'!$A:$A,0)),""))</f>
        <v/>
      </c>
      <c r="X355">
        <f>IF($A355="","",IFERROR(INDEX('[AQ_2022.xlsx]原始数据'!$F:$F,MATCH($A355,'[AQ_2022.xlsx]原始数据'!$A:$A,0)),""))</f>
        <v/>
      </c>
      <c r="Y355">
        <f>IF($A355="","",IFERROR(INDEX('[AQ_2023.xlsx]原始数据'!$F:$F,MATCH($A355,'[AQ_2023.xlsx]原始数据'!$A:$A,0)),""))</f>
        <v/>
      </c>
      <c r="Z355">
        <f>IF($A355="","",IFERROR(INDEX('[AQ_2024.xlsx]原始数据'!$F:$F,MATCH($A355,'[AQ_2024.xlsx]原始数据'!$A:$A,0)),""))</f>
        <v/>
      </c>
      <c r="AA355" s="2">
        <f>IFERROR(G355/B355,"")</f>
        <v/>
      </c>
      <c r="AB355" s="2">
        <f>IFERROR(H355/C355,"")</f>
        <v/>
      </c>
      <c r="AC355" s="2">
        <f>IFERROR(I355/D355,"")</f>
        <v/>
      </c>
      <c r="AD355" s="2">
        <f>IFERROR(J355/E355,"")</f>
        <v/>
      </c>
      <c r="AE355" s="2">
        <f>IFERROR(K355/F355,"")</f>
        <v/>
      </c>
      <c r="AF355" s="2">
        <f>IFERROR(L355/B355,"")</f>
        <v/>
      </c>
      <c r="AG355" s="2">
        <f>IFERROR(M355/C355,"")</f>
        <v/>
      </c>
      <c r="AH355" s="2">
        <f>IFERROR(N355/D355,"")</f>
        <v/>
      </c>
      <c r="AI355" s="2">
        <f>IFERROR(O355/E355,"")</f>
        <v/>
      </c>
      <c r="AJ355" s="2">
        <f>IFERROR(P355/F355,"")</f>
        <v/>
      </c>
      <c r="AK355" s="2">
        <f>IFERROR(Q355/B355,"")</f>
        <v/>
      </c>
      <c r="AL355" s="2">
        <f>IFERROR(R355/C355,"")</f>
        <v/>
      </c>
      <c r="AM355" s="2">
        <f>IFERROR(S355/D355,"")</f>
        <v/>
      </c>
      <c r="AN355" s="2">
        <f>IFERROR(T355/E355,"")</f>
        <v/>
      </c>
      <c r="AO355" s="2">
        <f>IFERROR(U355/F355,"")</f>
        <v/>
      </c>
    </row>
    <row r="356">
      <c r="B356">
        <f>IF($A356="","",IFERROR(INDEX('[AQ_2020.xlsx]原始数据'!$B:$B,MATCH($A356,'[AQ_2020.xlsx]原始数据'!$A:$A,0)),""))</f>
        <v/>
      </c>
      <c r="C356">
        <f>IF($A356="","",IFERROR(INDEX('[AQ_2021.xlsx]原始数据'!$B:$B,MATCH($A356,'[AQ_2021.xlsx]原始数据'!$A:$A,0)),""))</f>
        <v/>
      </c>
      <c r="D356">
        <f>IF($A356="","",IFERROR(INDEX('[AQ_2022.xlsx]原始数据'!$B:$B,MATCH($A356,'[AQ_2022.xlsx]原始数据'!$A:$A,0)),""))</f>
        <v/>
      </c>
      <c r="E356">
        <f>IF($A356="","",IFERROR(INDEX('[AQ_2023.xlsx]原始数据'!$B:$B,MATCH($A356,'[AQ_2023.xlsx]原始数据'!$A:$A,0)),""))</f>
        <v/>
      </c>
      <c r="F356">
        <f>IF($A356="","",IFERROR(INDEX('[AQ_2024.xlsx]原始数据'!$B:$B,MATCH($A356,'[AQ_2024.xlsx]原始数据'!$A:$A,0)),""))</f>
        <v/>
      </c>
      <c r="G356">
        <f>IF($A356="","",IFERROR(INDEX('[AQ_2020.xlsx]原始数据'!$C:$C,MATCH($A356,'[AQ_2020.xlsx]原始数据'!$A:$A,0)),""))</f>
        <v/>
      </c>
      <c r="H356">
        <f>IF($A356="","",IFERROR(INDEX('[AQ_2021.xlsx]原始数据'!$C:$C,MATCH($A356,'[AQ_2021.xlsx]原始数据'!$A:$A,0)),""))</f>
        <v/>
      </c>
      <c r="I356">
        <f>IF($A356="","",IFERROR(INDEX('[AQ_2022.xlsx]原始数据'!$C:$C,MATCH($A356,'[AQ_2022.xlsx]原始数据'!$A:$A,0)),""))</f>
        <v/>
      </c>
      <c r="J356">
        <f>IF($A356="","",IFERROR(INDEX('[AQ_2023.xlsx]原始数据'!$C:$C,MATCH($A356,'[AQ_2023.xlsx]原始数据'!$A:$A,0)),""))</f>
        <v/>
      </c>
      <c r="K356">
        <f>IF($A356="","",IFERROR(INDEX('[AQ_2024.xlsx]原始数据'!$C:$C,MATCH($A356,'[AQ_2024.xlsx]原始数据'!$A:$A,0)),""))</f>
        <v/>
      </c>
      <c r="L356">
        <f>IF($A356="","",IFERROR(INDEX('[AQ_2020.xlsx]原始数据'!$D:$D,MATCH($A356,'[AQ_2020.xlsx]原始数据'!$A:$A,0)),""))</f>
        <v/>
      </c>
      <c r="M356">
        <f>IF($A356="","",IFERROR(INDEX('[AQ_2021.xlsx]原始数据'!$D:$D,MATCH($A356,'[AQ_2021.xlsx]原始数据'!$A:$A,0)),""))</f>
        <v/>
      </c>
      <c r="N356">
        <f>IF($A356="","",IFERROR(INDEX('[AQ_2022.xlsx]原始数据'!$D:$D,MATCH($A356,'[AQ_2022.xlsx]原始数据'!$A:$A,0)),""))</f>
        <v/>
      </c>
      <c r="O356">
        <f>IF($A356="","",IFERROR(INDEX('[AQ_2023.xlsx]原始数据'!$D:$D,MATCH($A356,'[AQ_2023.xlsx]原始数据'!$A:$A,0)),""))</f>
        <v/>
      </c>
      <c r="P356">
        <f>IF($A356="","",IFERROR(INDEX('[AQ_2024.xlsx]原始数据'!$D:$D,MATCH($A356,'[AQ_2024.xlsx]原始数据'!$A:$A,0)),""))</f>
        <v/>
      </c>
      <c r="Q356">
        <f>IF($A356="","",IFERROR(INDEX('[AQ_2020.xlsx]原始数据'!$E:$E,MATCH($A356,'[AQ_2020.xlsx]原始数据'!$A:$A,0)),""))</f>
        <v/>
      </c>
      <c r="R356">
        <f>IF($A356="","",IFERROR(INDEX('[AQ_2021.xlsx]原始数据'!$E:$E,MATCH($A356,'[AQ_2021.xlsx]原始数据'!$A:$A,0)),""))</f>
        <v/>
      </c>
      <c r="S356">
        <f>IF($A356="","",IFERROR(INDEX('[AQ_2022.xlsx]原始数据'!$E:$E,MATCH($A356,'[AQ_2022.xlsx]原始数据'!$A:$A,0)),""))</f>
        <v/>
      </c>
      <c r="T356">
        <f>IF($A356="","",IFERROR(INDEX('[AQ_2023.xlsx]原始数据'!$E:$E,MATCH($A356,'[AQ_2023.xlsx]原始数据'!$A:$A,0)),""))</f>
        <v/>
      </c>
      <c r="U356">
        <f>IF($A356="","",IFERROR(INDEX('[AQ_2024.xlsx]原始数据'!$E:$E,MATCH($A356,'[AQ_2024.xlsx]原始数据'!$A:$A,0)),""))</f>
        <v/>
      </c>
      <c r="V356">
        <f>IF($A356="","",IFERROR(INDEX('[AQ_2020.xlsx]原始数据'!$F:$F,MATCH($A356,'[AQ_2020.xlsx]原始数据'!$A:$A,0)),""))</f>
        <v/>
      </c>
      <c r="W356">
        <f>IF($A356="","",IFERROR(INDEX('[AQ_2021.xlsx]原始数据'!$F:$F,MATCH($A356,'[AQ_2021.xlsx]原始数据'!$A:$A,0)),""))</f>
        <v/>
      </c>
      <c r="X356">
        <f>IF($A356="","",IFERROR(INDEX('[AQ_2022.xlsx]原始数据'!$F:$F,MATCH($A356,'[AQ_2022.xlsx]原始数据'!$A:$A,0)),""))</f>
        <v/>
      </c>
      <c r="Y356">
        <f>IF($A356="","",IFERROR(INDEX('[AQ_2023.xlsx]原始数据'!$F:$F,MATCH($A356,'[AQ_2023.xlsx]原始数据'!$A:$A,0)),""))</f>
        <v/>
      </c>
      <c r="Z356">
        <f>IF($A356="","",IFERROR(INDEX('[AQ_2024.xlsx]原始数据'!$F:$F,MATCH($A356,'[AQ_2024.xlsx]原始数据'!$A:$A,0)),""))</f>
        <v/>
      </c>
      <c r="AA356" s="2">
        <f>IFERROR(G356/B356,"")</f>
        <v/>
      </c>
      <c r="AB356" s="2">
        <f>IFERROR(H356/C356,"")</f>
        <v/>
      </c>
      <c r="AC356" s="2">
        <f>IFERROR(I356/D356,"")</f>
        <v/>
      </c>
      <c r="AD356" s="2">
        <f>IFERROR(J356/E356,"")</f>
        <v/>
      </c>
      <c r="AE356" s="2">
        <f>IFERROR(K356/F356,"")</f>
        <v/>
      </c>
      <c r="AF356" s="2">
        <f>IFERROR(L356/B356,"")</f>
        <v/>
      </c>
      <c r="AG356" s="2">
        <f>IFERROR(M356/C356,"")</f>
        <v/>
      </c>
      <c r="AH356" s="2">
        <f>IFERROR(N356/D356,"")</f>
        <v/>
      </c>
      <c r="AI356" s="2">
        <f>IFERROR(O356/E356,"")</f>
        <v/>
      </c>
      <c r="AJ356" s="2">
        <f>IFERROR(P356/F356,"")</f>
        <v/>
      </c>
      <c r="AK356" s="2">
        <f>IFERROR(Q356/B356,"")</f>
        <v/>
      </c>
      <c r="AL356" s="2">
        <f>IFERROR(R356/C356,"")</f>
        <v/>
      </c>
      <c r="AM356" s="2">
        <f>IFERROR(S356/D356,"")</f>
        <v/>
      </c>
      <c r="AN356" s="2">
        <f>IFERROR(T356/E356,"")</f>
        <v/>
      </c>
      <c r="AO356" s="2">
        <f>IFERROR(U356/F356,"")</f>
        <v/>
      </c>
    </row>
    <row r="357">
      <c r="B357">
        <f>IF($A357="","",IFERROR(INDEX('[AQ_2020.xlsx]原始数据'!$B:$B,MATCH($A357,'[AQ_2020.xlsx]原始数据'!$A:$A,0)),""))</f>
        <v/>
      </c>
      <c r="C357">
        <f>IF($A357="","",IFERROR(INDEX('[AQ_2021.xlsx]原始数据'!$B:$B,MATCH($A357,'[AQ_2021.xlsx]原始数据'!$A:$A,0)),""))</f>
        <v/>
      </c>
      <c r="D357">
        <f>IF($A357="","",IFERROR(INDEX('[AQ_2022.xlsx]原始数据'!$B:$B,MATCH($A357,'[AQ_2022.xlsx]原始数据'!$A:$A,0)),""))</f>
        <v/>
      </c>
      <c r="E357">
        <f>IF($A357="","",IFERROR(INDEX('[AQ_2023.xlsx]原始数据'!$B:$B,MATCH($A357,'[AQ_2023.xlsx]原始数据'!$A:$A,0)),""))</f>
        <v/>
      </c>
      <c r="F357">
        <f>IF($A357="","",IFERROR(INDEX('[AQ_2024.xlsx]原始数据'!$B:$B,MATCH($A357,'[AQ_2024.xlsx]原始数据'!$A:$A,0)),""))</f>
        <v/>
      </c>
      <c r="G357">
        <f>IF($A357="","",IFERROR(INDEX('[AQ_2020.xlsx]原始数据'!$C:$C,MATCH($A357,'[AQ_2020.xlsx]原始数据'!$A:$A,0)),""))</f>
        <v/>
      </c>
      <c r="H357">
        <f>IF($A357="","",IFERROR(INDEX('[AQ_2021.xlsx]原始数据'!$C:$C,MATCH($A357,'[AQ_2021.xlsx]原始数据'!$A:$A,0)),""))</f>
        <v/>
      </c>
      <c r="I357">
        <f>IF($A357="","",IFERROR(INDEX('[AQ_2022.xlsx]原始数据'!$C:$C,MATCH($A357,'[AQ_2022.xlsx]原始数据'!$A:$A,0)),""))</f>
        <v/>
      </c>
      <c r="J357">
        <f>IF($A357="","",IFERROR(INDEX('[AQ_2023.xlsx]原始数据'!$C:$C,MATCH($A357,'[AQ_2023.xlsx]原始数据'!$A:$A,0)),""))</f>
        <v/>
      </c>
      <c r="K357">
        <f>IF($A357="","",IFERROR(INDEX('[AQ_2024.xlsx]原始数据'!$C:$C,MATCH($A357,'[AQ_2024.xlsx]原始数据'!$A:$A,0)),""))</f>
        <v/>
      </c>
      <c r="L357">
        <f>IF($A357="","",IFERROR(INDEX('[AQ_2020.xlsx]原始数据'!$D:$D,MATCH($A357,'[AQ_2020.xlsx]原始数据'!$A:$A,0)),""))</f>
        <v/>
      </c>
      <c r="M357">
        <f>IF($A357="","",IFERROR(INDEX('[AQ_2021.xlsx]原始数据'!$D:$D,MATCH($A357,'[AQ_2021.xlsx]原始数据'!$A:$A,0)),""))</f>
        <v/>
      </c>
      <c r="N357">
        <f>IF($A357="","",IFERROR(INDEX('[AQ_2022.xlsx]原始数据'!$D:$D,MATCH($A357,'[AQ_2022.xlsx]原始数据'!$A:$A,0)),""))</f>
        <v/>
      </c>
      <c r="O357">
        <f>IF($A357="","",IFERROR(INDEX('[AQ_2023.xlsx]原始数据'!$D:$D,MATCH($A357,'[AQ_2023.xlsx]原始数据'!$A:$A,0)),""))</f>
        <v/>
      </c>
      <c r="P357">
        <f>IF($A357="","",IFERROR(INDEX('[AQ_2024.xlsx]原始数据'!$D:$D,MATCH($A357,'[AQ_2024.xlsx]原始数据'!$A:$A,0)),""))</f>
        <v/>
      </c>
      <c r="Q357">
        <f>IF($A357="","",IFERROR(INDEX('[AQ_2020.xlsx]原始数据'!$E:$E,MATCH($A357,'[AQ_2020.xlsx]原始数据'!$A:$A,0)),""))</f>
        <v/>
      </c>
      <c r="R357">
        <f>IF($A357="","",IFERROR(INDEX('[AQ_2021.xlsx]原始数据'!$E:$E,MATCH($A357,'[AQ_2021.xlsx]原始数据'!$A:$A,0)),""))</f>
        <v/>
      </c>
      <c r="S357">
        <f>IF($A357="","",IFERROR(INDEX('[AQ_2022.xlsx]原始数据'!$E:$E,MATCH($A357,'[AQ_2022.xlsx]原始数据'!$A:$A,0)),""))</f>
        <v/>
      </c>
      <c r="T357">
        <f>IF($A357="","",IFERROR(INDEX('[AQ_2023.xlsx]原始数据'!$E:$E,MATCH($A357,'[AQ_2023.xlsx]原始数据'!$A:$A,0)),""))</f>
        <v/>
      </c>
      <c r="U357">
        <f>IF($A357="","",IFERROR(INDEX('[AQ_2024.xlsx]原始数据'!$E:$E,MATCH($A357,'[AQ_2024.xlsx]原始数据'!$A:$A,0)),""))</f>
        <v/>
      </c>
      <c r="V357">
        <f>IF($A357="","",IFERROR(INDEX('[AQ_2020.xlsx]原始数据'!$F:$F,MATCH($A357,'[AQ_2020.xlsx]原始数据'!$A:$A,0)),""))</f>
        <v/>
      </c>
      <c r="W357">
        <f>IF($A357="","",IFERROR(INDEX('[AQ_2021.xlsx]原始数据'!$F:$F,MATCH($A357,'[AQ_2021.xlsx]原始数据'!$A:$A,0)),""))</f>
        <v/>
      </c>
      <c r="X357">
        <f>IF($A357="","",IFERROR(INDEX('[AQ_2022.xlsx]原始数据'!$F:$F,MATCH($A357,'[AQ_2022.xlsx]原始数据'!$A:$A,0)),""))</f>
        <v/>
      </c>
      <c r="Y357">
        <f>IF($A357="","",IFERROR(INDEX('[AQ_2023.xlsx]原始数据'!$F:$F,MATCH($A357,'[AQ_2023.xlsx]原始数据'!$A:$A,0)),""))</f>
        <v/>
      </c>
      <c r="Z357">
        <f>IF($A357="","",IFERROR(INDEX('[AQ_2024.xlsx]原始数据'!$F:$F,MATCH($A357,'[AQ_2024.xlsx]原始数据'!$A:$A,0)),""))</f>
        <v/>
      </c>
      <c r="AA357" s="2">
        <f>IFERROR(G357/B357,"")</f>
        <v/>
      </c>
      <c r="AB357" s="2">
        <f>IFERROR(H357/C357,"")</f>
        <v/>
      </c>
      <c r="AC357" s="2">
        <f>IFERROR(I357/D357,"")</f>
        <v/>
      </c>
      <c r="AD357" s="2">
        <f>IFERROR(J357/E357,"")</f>
        <v/>
      </c>
      <c r="AE357" s="2">
        <f>IFERROR(K357/F357,"")</f>
        <v/>
      </c>
      <c r="AF357" s="2">
        <f>IFERROR(L357/B357,"")</f>
        <v/>
      </c>
      <c r="AG357" s="2">
        <f>IFERROR(M357/C357,"")</f>
        <v/>
      </c>
      <c r="AH357" s="2">
        <f>IFERROR(N357/D357,"")</f>
        <v/>
      </c>
      <c r="AI357" s="2">
        <f>IFERROR(O357/E357,"")</f>
        <v/>
      </c>
      <c r="AJ357" s="2">
        <f>IFERROR(P357/F357,"")</f>
        <v/>
      </c>
      <c r="AK357" s="2">
        <f>IFERROR(Q357/B357,"")</f>
        <v/>
      </c>
      <c r="AL357" s="2">
        <f>IFERROR(R357/C357,"")</f>
        <v/>
      </c>
      <c r="AM357" s="2">
        <f>IFERROR(S357/D357,"")</f>
        <v/>
      </c>
      <c r="AN357" s="2">
        <f>IFERROR(T357/E357,"")</f>
        <v/>
      </c>
      <c r="AO357" s="2">
        <f>IFERROR(U357/F357,"")</f>
        <v/>
      </c>
    </row>
    <row r="358">
      <c r="B358">
        <f>IF($A358="","",IFERROR(INDEX('[AQ_2020.xlsx]原始数据'!$B:$B,MATCH($A358,'[AQ_2020.xlsx]原始数据'!$A:$A,0)),""))</f>
        <v/>
      </c>
      <c r="C358">
        <f>IF($A358="","",IFERROR(INDEX('[AQ_2021.xlsx]原始数据'!$B:$B,MATCH($A358,'[AQ_2021.xlsx]原始数据'!$A:$A,0)),""))</f>
        <v/>
      </c>
      <c r="D358">
        <f>IF($A358="","",IFERROR(INDEX('[AQ_2022.xlsx]原始数据'!$B:$B,MATCH($A358,'[AQ_2022.xlsx]原始数据'!$A:$A,0)),""))</f>
        <v/>
      </c>
      <c r="E358">
        <f>IF($A358="","",IFERROR(INDEX('[AQ_2023.xlsx]原始数据'!$B:$B,MATCH($A358,'[AQ_2023.xlsx]原始数据'!$A:$A,0)),""))</f>
        <v/>
      </c>
      <c r="F358">
        <f>IF($A358="","",IFERROR(INDEX('[AQ_2024.xlsx]原始数据'!$B:$B,MATCH($A358,'[AQ_2024.xlsx]原始数据'!$A:$A,0)),""))</f>
        <v/>
      </c>
      <c r="G358">
        <f>IF($A358="","",IFERROR(INDEX('[AQ_2020.xlsx]原始数据'!$C:$C,MATCH($A358,'[AQ_2020.xlsx]原始数据'!$A:$A,0)),""))</f>
        <v/>
      </c>
      <c r="H358">
        <f>IF($A358="","",IFERROR(INDEX('[AQ_2021.xlsx]原始数据'!$C:$C,MATCH($A358,'[AQ_2021.xlsx]原始数据'!$A:$A,0)),""))</f>
        <v/>
      </c>
      <c r="I358">
        <f>IF($A358="","",IFERROR(INDEX('[AQ_2022.xlsx]原始数据'!$C:$C,MATCH($A358,'[AQ_2022.xlsx]原始数据'!$A:$A,0)),""))</f>
        <v/>
      </c>
      <c r="J358">
        <f>IF($A358="","",IFERROR(INDEX('[AQ_2023.xlsx]原始数据'!$C:$C,MATCH($A358,'[AQ_2023.xlsx]原始数据'!$A:$A,0)),""))</f>
        <v/>
      </c>
      <c r="K358">
        <f>IF($A358="","",IFERROR(INDEX('[AQ_2024.xlsx]原始数据'!$C:$C,MATCH($A358,'[AQ_2024.xlsx]原始数据'!$A:$A,0)),""))</f>
        <v/>
      </c>
      <c r="L358">
        <f>IF($A358="","",IFERROR(INDEX('[AQ_2020.xlsx]原始数据'!$D:$D,MATCH($A358,'[AQ_2020.xlsx]原始数据'!$A:$A,0)),""))</f>
        <v/>
      </c>
      <c r="M358">
        <f>IF($A358="","",IFERROR(INDEX('[AQ_2021.xlsx]原始数据'!$D:$D,MATCH($A358,'[AQ_2021.xlsx]原始数据'!$A:$A,0)),""))</f>
        <v/>
      </c>
      <c r="N358">
        <f>IF($A358="","",IFERROR(INDEX('[AQ_2022.xlsx]原始数据'!$D:$D,MATCH($A358,'[AQ_2022.xlsx]原始数据'!$A:$A,0)),""))</f>
        <v/>
      </c>
      <c r="O358">
        <f>IF($A358="","",IFERROR(INDEX('[AQ_2023.xlsx]原始数据'!$D:$D,MATCH($A358,'[AQ_2023.xlsx]原始数据'!$A:$A,0)),""))</f>
        <v/>
      </c>
      <c r="P358">
        <f>IF($A358="","",IFERROR(INDEX('[AQ_2024.xlsx]原始数据'!$D:$D,MATCH($A358,'[AQ_2024.xlsx]原始数据'!$A:$A,0)),""))</f>
        <v/>
      </c>
      <c r="Q358">
        <f>IF($A358="","",IFERROR(INDEX('[AQ_2020.xlsx]原始数据'!$E:$E,MATCH($A358,'[AQ_2020.xlsx]原始数据'!$A:$A,0)),""))</f>
        <v/>
      </c>
      <c r="R358">
        <f>IF($A358="","",IFERROR(INDEX('[AQ_2021.xlsx]原始数据'!$E:$E,MATCH($A358,'[AQ_2021.xlsx]原始数据'!$A:$A,0)),""))</f>
        <v/>
      </c>
      <c r="S358">
        <f>IF($A358="","",IFERROR(INDEX('[AQ_2022.xlsx]原始数据'!$E:$E,MATCH($A358,'[AQ_2022.xlsx]原始数据'!$A:$A,0)),""))</f>
        <v/>
      </c>
      <c r="T358">
        <f>IF($A358="","",IFERROR(INDEX('[AQ_2023.xlsx]原始数据'!$E:$E,MATCH($A358,'[AQ_2023.xlsx]原始数据'!$A:$A,0)),""))</f>
        <v/>
      </c>
      <c r="U358">
        <f>IF($A358="","",IFERROR(INDEX('[AQ_2024.xlsx]原始数据'!$E:$E,MATCH($A358,'[AQ_2024.xlsx]原始数据'!$A:$A,0)),""))</f>
        <v/>
      </c>
      <c r="V358">
        <f>IF($A358="","",IFERROR(INDEX('[AQ_2020.xlsx]原始数据'!$F:$F,MATCH($A358,'[AQ_2020.xlsx]原始数据'!$A:$A,0)),""))</f>
        <v/>
      </c>
      <c r="W358">
        <f>IF($A358="","",IFERROR(INDEX('[AQ_2021.xlsx]原始数据'!$F:$F,MATCH($A358,'[AQ_2021.xlsx]原始数据'!$A:$A,0)),""))</f>
        <v/>
      </c>
      <c r="X358">
        <f>IF($A358="","",IFERROR(INDEX('[AQ_2022.xlsx]原始数据'!$F:$F,MATCH($A358,'[AQ_2022.xlsx]原始数据'!$A:$A,0)),""))</f>
        <v/>
      </c>
      <c r="Y358">
        <f>IF($A358="","",IFERROR(INDEX('[AQ_2023.xlsx]原始数据'!$F:$F,MATCH($A358,'[AQ_2023.xlsx]原始数据'!$A:$A,0)),""))</f>
        <v/>
      </c>
      <c r="Z358">
        <f>IF($A358="","",IFERROR(INDEX('[AQ_2024.xlsx]原始数据'!$F:$F,MATCH($A358,'[AQ_2024.xlsx]原始数据'!$A:$A,0)),""))</f>
        <v/>
      </c>
      <c r="AA358" s="2">
        <f>IFERROR(G358/B358,"")</f>
        <v/>
      </c>
      <c r="AB358" s="2">
        <f>IFERROR(H358/C358,"")</f>
        <v/>
      </c>
      <c r="AC358" s="2">
        <f>IFERROR(I358/D358,"")</f>
        <v/>
      </c>
      <c r="AD358" s="2">
        <f>IFERROR(J358/E358,"")</f>
        <v/>
      </c>
      <c r="AE358" s="2">
        <f>IFERROR(K358/F358,"")</f>
        <v/>
      </c>
      <c r="AF358" s="2">
        <f>IFERROR(L358/B358,"")</f>
        <v/>
      </c>
      <c r="AG358" s="2">
        <f>IFERROR(M358/C358,"")</f>
        <v/>
      </c>
      <c r="AH358" s="2">
        <f>IFERROR(N358/D358,"")</f>
        <v/>
      </c>
      <c r="AI358" s="2">
        <f>IFERROR(O358/E358,"")</f>
        <v/>
      </c>
      <c r="AJ358" s="2">
        <f>IFERROR(P358/F358,"")</f>
        <v/>
      </c>
      <c r="AK358" s="2">
        <f>IFERROR(Q358/B358,"")</f>
        <v/>
      </c>
      <c r="AL358" s="2">
        <f>IFERROR(R358/C358,"")</f>
        <v/>
      </c>
      <c r="AM358" s="2">
        <f>IFERROR(S358/D358,"")</f>
        <v/>
      </c>
      <c r="AN358" s="2">
        <f>IFERROR(T358/E358,"")</f>
        <v/>
      </c>
      <c r="AO358" s="2">
        <f>IFERROR(U358/F358,"")</f>
        <v/>
      </c>
    </row>
    <row r="359">
      <c r="B359">
        <f>IF($A359="","",IFERROR(INDEX('[AQ_2020.xlsx]原始数据'!$B:$B,MATCH($A359,'[AQ_2020.xlsx]原始数据'!$A:$A,0)),""))</f>
        <v/>
      </c>
      <c r="C359">
        <f>IF($A359="","",IFERROR(INDEX('[AQ_2021.xlsx]原始数据'!$B:$B,MATCH($A359,'[AQ_2021.xlsx]原始数据'!$A:$A,0)),""))</f>
        <v/>
      </c>
      <c r="D359">
        <f>IF($A359="","",IFERROR(INDEX('[AQ_2022.xlsx]原始数据'!$B:$B,MATCH($A359,'[AQ_2022.xlsx]原始数据'!$A:$A,0)),""))</f>
        <v/>
      </c>
      <c r="E359">
        <f>IF($A359="","",IFERROR(INDEX('[AQ_2023.xlsx]原始数据'!$B:$B,MATCH($A359,'[AQ_2023.xlsx]原始数据'!$A:$A,0)),""))</f>
        <v/>
      </c>
      <c r="F359">
        <f>IF($A359="","",IFERROR(INDEX('[AQ_2024.xlsx]原始数据'!$B:$B,MATCH($A359,'[AQ_2024.xlsx]原始数据'!$A:$A,0)),""))</f>
        <v/>
      </c>
      <c r="G359">
        <f>IF($A359="","",IFERROR(INDEX('[AQ_2020.xlsx]原始数据'!$C:$C,MATCH($A359,'[AQ_2020.xlsx]原始数据'!$A:$A,0)),""))</f>
        <v/>
      </c>
      <c r="H359">
        <f>IF($A359="","",IFERROR(INDEX('[AQ_2021.xlsx]原始数据'!$C:$C,MATCH($A359,'[AQ_2021.xlsx]原始数据'!$A:$A,0)),""))</f>
        <v/>
      </c>
      <c r="I359">
        <f>IF($A359="","",IFERROR(INDEX('[AQ_2022.xlsx]原始数据'!$C:$C,MATCH($A359,'[AQ_2022.xlsx]原始数据'!$A:$A,0)),""))</f>
        <v/>
      </c>
      <c r="J359">
        <f>IF($A359="","",IFERROR(INDEX('[AQ_2023.xlsx]原始数据'!$C:$C,MATCH($A359,'[AQ_2023.xlsx]原始数据'!$A:$A,0)),""))</f>
        <v/>
      </c>
      <c r="K359">
        <f>IF($A359="","",IFERROR(INDEX('[AQ_2024.xlsx]原始数据'!$C:$C,MATCH($A359,'[AQ_2024.xlsx]原始数据'!$A:$A,0)),""))</f>
        <v/>
      </c>
      <c r="L359">
        <f>IF($A359="","",IFERROR(INDEX('[AQ_2020.xlsx]原始数据'!$D:$D,MATCH($A359,'[AQ_2020.xlsx]原始数据'!$A:$A,0)),""))</f>
        <v/>
      </c>
      <c r="M359">
        <f>IF($A359="","",IFERROR(INDEX('[AQ_2021.xlsx]原始数据'!$D:$D,MATCH($A359,'[AQ_2021.xlsx]原始数据'!$A:$A,0)),""))</f>
        <v/>
      </c>
      <c r="N359">
        <f>IF($A359="","",IFERROR(INDEX('[AQ_2022.xlsx]原始数据'!$D:$D,MATCH($A359,'[AQ_2022.xlsx]原始数据'!$A:$A,0)),""))</f>
        <v/>
      </c>
      <c r="O359">
        <f>IF($A359="","",IFERROR(INDEX('[AQ_2023.xlsx]原始数据'!$D:$D,MATCH($A359,'[AQ_2023.xlsx]原始数据'!$A:$A,0)),""))</f>
        <v/>
      </c>
      <c r="P359">
        <f>IF($A359="","",IFERROR(INDEX('[AQ_2024.xlsx]原始数据'!$D:$D,MATCH($A359,'[AQ_2024.xlsx]原始数据'!$A:$A,0)),""))</f>
        <v/>
      </c>
      <c r="Q359">
        <f>IF($A359="","",IFERROR(INDEX('[AQ_2020.xlsx]原始数据'!$E:$E,MATCH($A359,'[AQ_2020.xlsx]原始数据'!$A:$A,0)),""))</f>
        <v/>
      </c>
      <c r="R359">
        <f>IF($A359="","",IFERROR(INDEX('[AQ_2021.xlsx]原始数据'!$E:$E,MATCH($A359,'[AQ_2021.xlsx]原始数据'!$A:$A,0)),""))</f>
        <v/>
      </c>
      <c r="S359">
        <f>IF($A359="","",IFERROR(INDEX('[AQ_2022.xlsx]原始数据'!$E:$E,MATCH($A359,'[AQ_2022.xlsx]原始数据'!$A:$A,0)),""))</f>
        <v/>
      </c>
      <c r="T359">
        <f>IF($A359="","",IFERROR(INDEX('[AQ_2023.xlsx]原始数据'!$E:$E,MATCH($A359,'[AQ_2023.xlsx]原始数据'!$A:$A,0)),""))</f>
        <v/>
      </c>
      <c r="U359">
        <f>IF($A359="","",IFERROR(INDEX('[AQ_2024.xlsx]原始数据'!$E:$E,MATCH($A359,'[AQ_2024.xlsx]原始数据'!$A:$A,0)),""))</f>
        <v/>
      </c>
      <c r="V359">
        <f>IF($A359="","",IFERROR(INDEX('[AQ_2020.xlsx]原始数据'!$F:$F,MATCH($A359,'[AQ_2020.xlsx]原始数据'!$A:$A,0)),""))</f>
        <v/>
      </c>
      <c r="W359">
        <f>IF($A359="","",IFERROR(INDEX('[AQ_2021.xlsx]原始数据'!$F:$F,MATCH($A359,'[AQ_2021.xlsx]原始数据'!$A:$A,0)),""))</f>
        <v/>
      </c>
      <c r="X359">
        <f>IF($A359="","",IFERROR(INDEX('[AQ_2022.xlsx]原始数据'!$F:$F,MATCH($A359,'[AQ_2022.xlsx]原始数据'!$A:$A,0)),""))</f>
        <v/>
      </c>
      <c r="Y359">
        <f>IF($A359="","",IFERROR(INDEX('[AQ_2023.xlsx]原始数据'!$F:$F,MATCH($A359,'[AQ_2023.xlsx]原始数据'!$A:$A,0)),""))</f>
        <v/>
      </c>
      <c r="Z359">
        <f>IF($A359="","",IFERROR(INDEX('[AQ_2024.xlsx]原始数据'!$F:$F,MATCH($A359,'[AQ_2024.xlsx]原始数据'!$A:$A,0)),""))</f>
        <v/>
      </c>
      <c r="AA359" s="2">
        <f>IFERROR(G359/B359,"")</f>
        <v/>
      </c>
      <c r="AB359" s="2">
        <f>IFERROR(H359/C359,"")</f>
        <v/>
      </c>
      <c r="AC359" s="2">
        <f>IFERROR(I359/D359,"")</f>
        <v/>
      </c>
      <c r="AD359" s="2">
        <f>IFERROR(J359/E359,"")</f>
        <v/>
      </c>
      <c r="AE359" s="2">
        <f>IFERROR(K359/F359,"")</f>
        <v/>
      </c>
      <c r="AF359" s="2">
        <f>IFERROR(L359/B359,"")</f>
        <v/>
      </c>
      <c r="AG359" s="2">
        <f>IFERROR(M359/C359,"")</f>
        <v/>
      </c>
      <c r="AH359" s="2">
        <f>IFERROR(N359/D359,"")</f>
        <v/>
      </c>
      <c r="AI359" s="2">
        <f>IFERROR(O359/E359,"")</f>
        <v/>
      </c>
      <c r="AJ359" s="2">
        <f>IFERROR(P359/F359,"")</f>
        <v/>
      </c>
      <c r="AK359" s="2">
        <f>IFERROR(Q359/B359,"")</f>
        <v/>
      </c>
      <c r="AL359" s="2">
        <f>IFERROR(R359/C359,"")</f>
        <v/>
      </c>
      <c r="AM359" s="2">
        <f>IFERROR(S359/D359,"")</f>
        <v/>
      </c>
      <c r="AN359" s="2">
        <f>IFERROR(T359/E359,"")</f>
        <v/>
      </c>
      <c r="AO359" s="2">
        <f>IFERROR(U359/F359,"")</f>
        <v/>
      </c>
    </row>
    <row r="360">
      <c r="B360">
        <f>IF($A360="","",IFERROR(INDEX('[AQ_2020.xlsx]原始数据'!$B:$B,MATCH($A360,'[AQ_2020.xlsx]原始数据'!$A:$A,0)),""))</f>
        <v/>
      </c>
      <c r="C360">
        <f>IF($A360="","",IFERROR(INDEX('[AQ_2021.xlsx]原始数据'!$B:$B,MATCH($A360,'[AQ_2021.xlsx]原始数据'!$A:$A,0)),""))</f>
        <v/>
      </c>
      <c r="D360">
        <f>IF($A360="","",IFERROR(INDEX('[AQ_2022.xlsx]原始数据'!$B:$B,MATCH($A360,'[AQ_2022.xlsx]原始数据'!$A:$A,0)),""))</f>
        <v/>
      </c>
      <c r="E360">
        <f>IF($A360="","",IFERROR(INDEX('[AQ_2023.xlsx]原始数据'!$B:$B,MATCH($A360,'[AQ_2023.xlsx]原始数据'!$A:$A,0)),""))</f>
        <v/>
      </c>
      <c r="F360">
        <f>IF($A360="","",IFERROR(INDEX('[AQ_2024.xlsx]原始数据'!$B:$B,MATCH($A360,'[AQ_2024.xlsx]原始数据'!$A:$A,0)),""))</f>
        <v/>
      </c>
      <c r="G360">
        <f>IF($A360="","",IFERROR(INDEX('[AQ_2020.xlsx]原始数据'!$C:$C,MATCH($A360,'[AQ_2020.xlsx]原始数据'!$A:$A,0)),""))</f>
        <v/>
      </c>
      <c r="H360">
        <f>IF($A360="","",IFERROR(INDEX('[AQ_2021.xlsx]原始数据'!$C:$C,MATCH($A360,'[AQ_2021.xlsx]原始数据'!$A:$A,0)),""))</f>
        <v/>
      </c>
      <c r="I360">
        <f>IF($A360="","",IFERROR(INDEX('[AQ_2022.xlsx]原始数据'!$C:$C,MATCH($A360,'[AQ_2022.xlsx]原始数据'!$A:$A,0)),""))</f>
        <v/>
      </c>
      <c r="J360">
        <f>IF($A360="","",IFERROR(INDEX('[AQ_2023.xlsx]原始数据'!$C:$C,MATCH($A360,'[AQ_2023.xlsx]原始数据'!$A:$A,0)),""))</f>
        <v/>
      </c>
      <c r="K360">
        <f>IF($A360="","",IFERROR(INDEX('[AQ_2024.xlsx]原始数据'!$C:$C,MATCH($A360,'[AQ_2024.xlsx]原始数据'!$A:$A,0)),""))</f>
        <v/>
      </c>
      <c r="L360">
        <f>IF($A360="","",IFERROR(INDEX('[AQ_2020.xlsx]原始数据'!$D:$D,MATCH($A360,'[AQ_2020.xlsx]原始数据'!$A:$A,0)),""))</f>
        <v/>
      </c>
      <c r="M360">
        <f>IF($A360="","",IFERROR(INDEX('[AQ_2021.xlsx]原始数据'!$D:$D,MATCH($A360,'[AQ_2021.xlsx]原始数据'!$A:$A,0)),""))</f>
        <v/>
      </c>
      <c r="N360">
        <f>IF($A360="","",IFERROR(INDEX('[AQ_2022.xlsx]原始数据'!$D:$D,MATCH($A360,'[AQ_2022.xlsx]原始数据'!$A:$A,0)),""))</f>
        <v/>
      </c>
      <c r="O360">
        <f>IF($A360="","",IFERROR(INDEX('[AQ_2023.xlsx]原始数据'!$D:$D,MATCH($A360,'[AQ_2023.xlsx]原始数据'!$A:$A,0)),""))</f>
        <v/>
      </c>
      <c r="P360">
        <f>IF($A360="","",IFERROR(INDEX('[AQ_2024.xlsx]原始数据'!$D:$D,MATCH($A360,'[AQ_2024.xlsx]原始数据'!$A:$A,0)),""))</f>
        <v/>
      </c>
      <c r="Q360">
        <f>IF($A360="","",IFERROR(INDEX('[AQ_2020.xlsx]原始数据'!$E:$E,MATCH($A360,'[AQ_2020.xlsx]原始数据'!$A:$A,0)),""))</f>
        <v/>
      </c>
      <c r="R360">
        <f>IF($A360="","",IFERROR(INDEX('[AQ_2021.xlsx]原始数据'!$E:$E,MATCH($A360,'[AQ_2021.xlsx]原始数据'!$A:$A,0)),""))</f>
        <v/>
      </c>
      <c r="S360">
        <f>IF($A360="","",IFERROR(INDEX('[AQ_2022.xlsx]原始数据'!$E:$E,MATCH($A360,'[AQ_2022.xlsx]原始数据'!$A:$A,0)),""))</f>
        <v/>
      </c>
      <c r="T360">
        <f>IF($A360="","",IFERROR(INDEX('[AQ_2023.xlsx]原始数据'!$E:$E,MATCH($A360,'[AQ_2023.xlsx]原始数据'!$A:$A,0)),""))</f>
        <v/>
      </c>
      <c r="U360">
        <f>IF($A360="","",IFERROR(INDEX('[AQ_2024.xlsx]原始数据'!$E:$E,MATCH($A360,'[AQ_2024.xlsx]原始数据'!$A:$A,0)),""))</f>
        <v/>
      </c>
      <c r="V360">
        <f>IF($A360="","",IFERROR(INDEX('[AQ_2020.xlsx]原始数据'!$F:$F,MATCH($A360,'[AQ_2020.xlsx]原始数据'!$A:$A,0)),""))</f>
        <v/>
      </c>
      <c r="W360">
        <f>IF($A360="","",IFERROR(INDEX('[AQ_2021.xlsx]原始数据'!$F:$F,MATCH($A360,'[AQ_2021.xlsx]原始数据'!$A:$A,0)),""))</f>
        <v/>
      </c>
      <c r="X360">
        <f>IF($A360="","",IFERROR(INDEX('[AQ_2022.xlsx]原始数据'!$F:$F,MATCH($A360,'[AQ_2022.xlsx]原始数据'!$A:$A,0)),""))</f>
        <v/>
      </c>
      <c r="Y360">
        <f>IF($A360="","",IFERROR(INDEX('[AQ_2023.xlsx]原始数据'!$F:$F,MATCH($A360,'[AQ_2023.xlsx]原始数据'!$A:$A,0)),""))</f>
        <v/>
      </c>
      <c r="Z360">
        <f>IF($A360="","",IFERROR(INDEX('[AQ_2024.xlsx]原始数据'!$F:$F,MATCH($A360,'[AQ_2024.xlsx]原始数据'!$A:$A,0)),""))</f>
        <v/>
      </c>
      <c r="AA360" s="2">
        <f>IFERROR(G360/B360,"")</f>
        <v/>
      </c>
      <c r="AB360" s="2">
        <f>IFERROR(H360/C360,"")</f>
        <v/>
      </c>
      <c r="AC360" s="2">
        <f>IFERROR(I360/D360,"")</f>
        <v/>
      </c>
      <c r="AD360" s="2">
        <f>IFERROR(J360/E360,"")</f>
        <v/>
      </c>
      <c r="AE360" s="2">
        <f>IFERROR(K360/F360,"")</f>
        <v/>
      </c>
      <c r="AF360" s="2">
        <f>IFERROR(L360/B360,"")</f>
        <v/>
      </c>
      <c r="AG360" s="2">
        <f>IFERROR(M360/C360,"")</f>
        <v/>
      </c>
      <c r="AH360" s="2">
        <f>IFERROR(N360/D360,"")</f>
        <v/>
      </c>
      <c r="AI360" s="2">
        <f>IFERROR(O360/E360,"")</f>
        <v/>
      </c>
      <c r="AJ360" s="2">
        <f>IFERROR(P360/F360,"")</f>
        <v/>
      </c>
      <c r="AK360" s="2">
        <f>IFERROR(Q360/B360,"")</f>
        <v/>
      </c>
      <c r="AL360" s="2">
        <f>IFERROR(R360/C360,"")</f>
        <v/>
      </c>
      <c r="AM360" s="2">
        <f>IFERROR(S360/D360,"")</f>
        <v/>
      </c>
      <c r="AN360" s="2">
        <f>IFERROR(T360/E360,"")</f>
        <v/>
      </c>
      <c r="AO360" s="2">
        <f>IFERROR(U360/F360,"")</f>
        <v/>
      </c>
    </row>
    <row r="361">
      <c r="B361">
        <f>IF($A361="","",IFERROR(INDEX('[AQ_2020.xlsx]原始数据'!$B:$B,MATCH($A361,'[AQ_2020.xlsx]原始数据'!$A:$A,0)),""))</f>
        <v/>
      </c>
      <c r="C361">
        <f>IF($A361="","",IFERROR(INDEX('[AQ_2021.xlsx]原始数据'!$B:$B,MATCH($A361,'[AQ_2021.xlsx]原始数据'!$A:$A,0)),""))</f>
        <v/>
      </c>
      <c r="D361">
        <f>IF($A361="","",IFERROR(INDEX('[AQ_2022.xlsx]原始数据'!$B:$B,MATCH($A361,'[AQ_2022.xlsx]原始数据'!$A:$A,0)),""))</f>
        <v/>
      </c>
      <c r="E361">
        <f>IF($A361="","",IFERROR(INDEX('[AQ_2023.xlsx]原始数据'!$B:$B,MATCH($A361,'[AQ_2023.xlsx]原始数据'!$A:$A,0)),""))</f>
        <v/>
      </c>
      <c r="F361">
        <f>IF($A361="","",IFERROR(INDEX('[AQ_2024.xlsx]原始数据'!$B:$B,MATCH($A361,'[AQ_2024.xlsx]原始数据'!$A:$A,0)),""))</f>
        <v/>
      </c>
      <c r="G361">
        <f>IF($A361="","",IFERROR(INDEX('[AQ_2020.xlsx]原始数据'!$C:$C,MATCH($A361,'[AQ_2020.xlsx]原始数据'!$A:$A,0)),""))</f>
        <v/>
      </c>
      <c r="H361">
        <f>IF($A361="","",IFERROR(INDEX('[AQ_2021.xlsx]原始数据'!$C:$C,MATCH($A361,'[AQ_2021.xlsx]原始数据'!$A:$A,0)),""))</f>
        <v/>
      </c>
      <c r="I361">
        <f>IF($A361="","",IFERROR(INDEX('[AQ_2022.xlsx]原始数据'!$C:$C,MATCH($A361,'[AQ_2022.xlsx]原始数据'!$A:$A,0)),""))</f>
        <v/>
      </c>
      <c r="J361">
        <f>IF($A361="","",IFERROR(INDEX('[AQ_2023.xlsx]原始数据'!$C:$C,MATCH($A361,'[AQ_2023.xlsx]原始数据'!$A:$A,0)),""))</f>
        <v/>
      </c>
      <c r="K361">
        <f>IF($A361="","",IFERROR(INDEX('[AQ_2024.xlsx]原始数据'!$C:$C,MATCH($A361,'[AQ_2024.xlsx]原始数据'!$A:$A,0)),""))</f>
        <v/>
      </c>
      <c r="L361">
        <f>IF($A361="","",IFERROR(INDEX('[AQ_2020.xlsx]原始数据'!$D:$D,MATCH($A361,'[AQ_2020.xlsx]原始数据'!$A:$A,0)),""))</f>
        <v/>
      </c>
      <c r="M361">
        <f>IF($A361="","",IFERROR(INDEX('[AQ_2021.xlsx]原始数据'!$D:$D,MATCH($A361,'[AQ_2021.xlsx]原始数据'!$A:$A,0)),""))</f>
        <v/>
      </c>
      <c r="N361">
        <f>IF($A361="","",IFERROR(INDEX('[AQ_2022.xlsx]原始数据'!$D:$D,MATCH($A361,'[AQ_2022.xlsx]原始数据'!$A:$A,0)),""))</f>
        <v/>
      </c>
      <c r="O361">
        <f>IF($A361="","",IFERROR(INDEX('[AQ_2023.xlsx]原始数据'!$D:$D,MATCH($A361,'[AQ_2023.xlsx]原始数据'!$A:$A,0)),""))</f>
        <v/>
      </c>
      <c r="P361">
        <f>IF($A361="","",IFERROR(INDEX('[AQ_2024.xlsx]原始数据'!$D:$D,MATCH($A361,'[AQ_2024.xlsx]原始数据'!$A:$A,0)),""))</f>
        <v/>
      </c>
      <c r="Q361">
        <f>IF($A361="","",IFERROR(INDEX('[AQ_2020.xlsx]原始数据'!$E:$E,MATCH($A361,'[AQ_2020.xlsx]原始数据'!$A:$A,0)),""))</f>
        <v/>
      </c>
      <c r="R361">
        <f>IF($A361="","",IFERROR(INDEX('[AQ_2021.xlsx]原始数据'!$E:$E,MATCH($A361,'[AQ_2021.xlsx]原始数据'!$A:$A,0)),""))</f>
        <v/>
      </c>
      <c r="S361">
        <f>IF($A361="","",IFERROR(INDEX('[AQ_2022.xlsx]原始数据'!$E:$E,MATCH($A361,'[AQ_2022.xlsx]原始数据'!$A:$A,0)),""))</f>
        <v/>
      </c>
      <c r="T361">
        <f>IF($A361="","",IFERROR(INDEX('[AQ_2023.xlsx]原始数据'!$E:$E,MATCH($A361,'[AQ_2023.xlsx]原始数据'!$A:$A,0)),""))</f>
        <v/>
      </c>
      <c r="U361">
        <f>IF($A361="","",IFERROR(INDEX('[AQ_2024.xlsx]原始数据'!$E:$E,MATCH($A361,'[AQ_2024.xlsx]原始数据'!$A:$A,0)),""))</f>
        <v/>
      </c>
      <c r="V361">
        <f>IF($A361="","",IFERROR(INDEX('[AQ_2020.xlsx]原始数据'!$F:$F,MATCH($A361,'[AQ_2020.xlsx]原始数据'!$A:$A,0)),""))</f>
        <v/>
      </c>
      <c r="W361">
        <f>IF($A361="","",IFERROR(INDEX('[AQ_2021.xlsx]原始数据'!$F:$F,MATCH($A361,'[AQ_2021.xlsx]原始数据'!$A:$A,0)),""))</f>
        <v/>
      </c>
      <c r="X361">
        <f>IF($A361="","",IFERROR(INDEX('[AQ_2022.xlsx]原始数据'!$F:$F,MATCH($A361,'[AQ_2022.xlsx]原始数据'!$A:$A,0)),""))</f>
        <v/>
      </c>
      <c r="Y361">
        <f>IF($A361="","",IFERROR(INDEX('[AQ_2023.xlsx]原始数据'!$F:$F,MATCH($A361,'[AQ_2023.xlsx]原始数据'!$A:$A,0)),""))</f>
        <v/>
      </c>
      <c r="Z361">
        <f>IF($A361="","",IFERROR(INDEX('[AQ_2024.xlsx]原始数据'!$F:$F,MATCH($A361,'[AQ_2024.xlsx]原始数据'!$A:$A,0)),""))</f>
        <v/>
      </c>
      <c r="AA361" s="2">
        <f>IFERROR(G361/B361,"")</f>
        <v/>
      </c>
      <c r="AB361" s="2">
        <f>IFERROR(H361/C361,"")</f>
        <v/>
      </c>
      <c r="AC361" s="2">
        <f>IFERROR(I361/D361,"")</f>
        <v/>
      </c>
      <c r="AD361" s="2">
        <f>IFERROR(J361/E361,"")</f>
        <v/>
      </c>
      <c r="AE361" s="2">
        <f>IFERROR(K361/F361,"")</f>
        <v/>
      </c>
      <c r="AF361" s="2">
        <f>IFERROR(L361/B361,"")</f>
        <v/>
      </c>
      <c r="AG361" s="2">
        <f>IFERROR(M361/C361,"")</f>
        <v/>
      </c>
      <c r="AH361" s="2">
        <f>IFERROR(N361/D361,"")</f>
        <v/>
      </c>
      <c r="AI361" s="2">
        <f>IFERROR(O361/E361,"")</f>
        <v/>
      </c>
      <c r="AJ361" s="2">
        <f>IFERROR(P361/F361,"")</f>
        <v/>
      </c>
      <c r="AK361" s="2">
        <f>IFERROR(Q361/B361,"")</f>
        <v/>
      </c>
      <c r="AL361" s="2">
        <f>IFERROR(R361/C361,"")</f>
        <v/>
      </c>
      <c r="AM361" s="2">
        <f>IFERROR(S361/D361,"")</f>
        <v/>
      </c>
      <c r="AN361" s="2">
        <f>IFERROR(T361/E361,"")</f>
        <v/>
      </c>
      <c r="AO361" s="2">
        <f>IFERROR(U361/F361,"")</f>
        <v/>
      </c>
    </row>
    <row r="362">
      <c r="B362">
        <f>IF($A362="","",IFERROR(INDEX('[AQ_2020.xlsx]原始数据'!$B:$B,MATCH($A362,'[AQ_2020.xlsx]原始数据'!$A:$A,0)),""))</f>
        <v/>
      </c>
      <c r="C362">
        <f>IF($A362="","",IFERROR(INDEX('[AQ_2021.xlsx]原始数据'!$B:$B,MATCH($A362,'[AQ_2021.xlsx]原始数据'!$A:$A,0)),""))</f>
        <v/>
      </c>
      <c r="D362">
        <f>IF($A362="","",IFERROR(INDEX('[AQ_2022.xlsx]原始数据'!$B:$B,MATCH($A362,'[AQ_2022.xlsx]原始数据'!$A:$A,0)),""))</f>
        <v/>
      </c>
      <c r="E362">
        <f>IF($A362="","",IFERROR(INDEX('[AQ_2023.xlsx]原始数据'!$B:$B,MATCH($A362,'[AQ_2023.xlsx]原始数据'!$A:$A,0)),""))</f>
        <v/>
      </c>
      <c r="F362">
        <f>IF($A362="","",IFERROR(INDEX('[AQ_2024.xlsx]原始数据'!$B:$B,MATCH($A362,'[AQ_2024.xlsx]原始数据'!$A:$A,0)),""))</f>
        <v/>
      </c>
      <c r="G362">
        <f>IF($A362="","",IFERROR(INDEX('[AQ_2020.xlsx]原始数据'!$C:$C,MATCH($A362,'[AQ_2020.xlsx]原始数据'!$A:$A,0)),""))</f>
        <v/>
      </c>
      <c r="H362">
        <f>IF($A362="","",IFERROR(INDEX('[AQ_2021.xlsx]原始数据'!$C:$C,MATCH($A362,'[AQ_2021.xlsx]原始数据'!$A:$A,0)),""))</f>
        <v/>
      </c>
      <c r="I362">
        <f>IF($A362="","",IFERROR(INDEX('[AQ_2022.xlsx]原始数据'!$C:$C,MATCH($A362,'[AQ_2022.xlsx]原始数据'!$A:$A,0)),""))</f>
        <v/>
      </c>
      <c r="J362">
        <f>IF($A362="","",IFERROR(INDEX('[AQ_2023.xlsx]原始数据'!$C:$C,MATCH($A362,'[AQ_2023.xlsx]原始数据'!$A:$A,0)),""))</f>
        <v/>
      </c>
      <c r="K362">
        <f>IF($A362="","",IFERROR(INDEX('[AQ_2024.xlsx]原始数据'!$C:$C,MATCH($A362,'[AQ_2024.xlsx]原始数据'!$A:$A,0)),""))</f>
        <v/>
      </c>
      <c r="L362">
        <f>IF($A362="","",IFERROR(INDEX('[AQ_2020.xlsx]原始数据'!$D:$D,MATCH($A362,'[AQ_2020.xlsx]原始数据'!$A:$A,0)),""))</f>
        <v/>
      </c>
      <c r="M362">
        <f>IF($A362="","",IFERROR(INDEX('[AQ_2021.xlsx]原始数据'!$D:$D,MATCH($A362,'[AQ_2021.xlsx]原始数据'!$A:$A,0)),""))</f>
        <v/>
      </c>
      <c r="N362">
        <f>IF($A362="","",IFERROR(INDEX('[AQ_2022.xlsx]原始数据'!$D:$D,MATCH($A362,'[AQ_2022.xlsx]原始数据'!$A:$A,0)),""))</f>
        <v/>
      </c>
      <c r="O362">
        <f>IF($A362="","",IFERROR(INDEX('[AQ_2023.xlsx]原始数据'!$D:$D,MATCH($A362,'[AQ_2023.xlsx]原始数据'!$A:$A,0)),""))</f>
        <v/>
      </c>
      <c r="P362">
        <f>IF($A362="","",IFERROR(INDEX('[AQ_2024.xlsx]原始数据'!$D:$D,MATCH($A362,'[AQ_2024.xlsx]原始数据'!$A:$A,0)),""))</f>
        <v/>
      </c>
      <c r="Q362">
        <f>IF($A362="","",IFERROR(INDEX('[AQ_2020.xlsx]原始数据'!$E:$E,MATCH($A362,'[AQ_2020.xlsx]原始数据'!$A:$A,0)),""))</f>
        <v/>
      </c>
      <c r="R362">
        <f>IF($A362="","",IFERROR(INDEX('[AQ_2021.xlsx]原始数据'!$E:$E,MATCH($A362,'[AQ_2021.xlsx]原始数据'!$A:$A,0)),""))</f>
        <v/>
      </c>
      <c r="S362">
        <f>IF($A362="","",IFERROR(INDEX('[AQ_2022.xlsx]原始数据'!$E:$E,MATCH($A362,'[AQ_2022.xlsx]原始数据'!$A:$A,0)),""))</f>
        <v/>
      </c>
      <c r="T362">
        <f>IF($A362="","",IFERROR(INDEX('[AQ_2023.xlsx]原始数据'!$E:$E,MATCH($A362,'[AQ_2023.xlsx]原始数据'!$A:$A,0)),""))</f>
        <v/>
      </c>
      <c r="U362">
        <f>IF($A362="","",IFERROR(INDEX('[AQ_2024.xlsx]原始数据'!$E:$E,MATCH($A362,'[AQ_2024.xlsx]原始数据'!$A:$A,0)),""))</f>
        <v/>
      </c>
      <c r="V362">
        <f>IF($A362="","",IFERROR(INDEX('[AQ_2020.xlsx]原始数据'!$F:$F,MATCH($A362,'[AQ_2020.xlsx]原始数据'!$A:$A,0)),""))</f>
        <v/>
      </c>
      <c r="W362">
        <f>IF($A362="","",IFERROR(INDEX('[AQ_2021.xlsx]原始数据'!$F:$F,MATCH($A362,'[AQ_2021.xlsx]原始数据'!$A:$A,0)),""))</f>
        <v/>
      </c>
      <c r="X362">
        <f>IF($A362="","",IFERROR(INDEX('[AQ_2022.xlsx]原始数据'!$F:$F,MATCH($A362,'[AQ_2022.xlsx]原始数据'!$A:$A,0)),""))</f>
        <v/>
      </c>
      <c r="Y362">
        <f>IF($A362="","",IFERROR(INDEX('[AQ_2023.xlsx]原始数据'!$F:$F,MATCH($A362,'[AQ_2023.xlsx]原始数据'!$A:$A,0)),""))</f>
        <v/>
      </c>
      <c r="Z362">
        <f>IF($A362="","",IFERROR(INDEX('[AQ_2024.xlsx]原始数据'!$F:$F,MATCH($A362,'[AQ_2024.xlsx]原始数据'!$A:$A,0)),""))</f>
        <v/>
      </c>
      <c r="AA362" s="2">
        <f>IFERROR(G362/B362,"")</f>
        <v/>
      </c>
      <c r="AB362" s="2">
        <f>IFERROR(H362/C362,"")</f>
        <v/>
      </c>
      <c r="AC362" s="2">
        <f>IFERROR(I362/D362,"")</f>
        <v/>
      </c>
      <c r="AD362" s="2">
        <f>IFERROR(J362/E362,"")</f>
        <v/>
      </c>
      <c r="AE362" s="2">
        <f>IFERROR(K362/F362,"")</f>
        <v/>
      </c>
      <c r="AF362" s="2">
        <f>IFERROR(L362/B362,"")</f>
        <v/>
      </c>
      <c r="AG362" s="2">
        <f>IFERROR(M362/C362,"")</f>
        <v/>
      </c>
      <c r="AH362" s="2">
        <f>IFERROR(N362/D362,"")</f>
        <v/>
      </c>
      <c r="AI362" s="2">
        <f>IFERROR(O362/E362,"")</f>
        <v/>
      </c>
      <c r="AJ362" s="2">
        <f>IFERROR(P362/F362,"")</f>
        <v/>
      </c>
      <c r="AK362" s="2">
        <f>IFERROR(Q362/B362,"")</f>
        <v/>
      </c>
      <c r="AL362" s="2">
        <f>IFERROR(R362/C362,"")</f>
        <v/>
      </c>
      <c r="AM362" s="2">
        <f>IFERROR(S362/D362,"")</f>
        <v/>
      </c>
      <c r="AN362" s="2">
        <f>IFERROR(T362/E362,"")</f>
        <v/>
      </c>
      <c r="AO362" s="2">
        <f>IFERROR(U362/F362,"")</f>
        <v/>
      </c>
    </row>
    <row r="363">
      <c r="B363">
        <f>IF($A363="","",IFERROR(INDEX('[AQ_2020.xlsx]原始数据'!$B:$B,MATCH($A363,'[AQ_2020.xlsx]原始数据'!$A:$A,0)),""))</f>
        <v/>
      </c>
      <c r="C363">
        <f>IF($A363="","",IFERROR(INDEX('[AQ_2021.xlsx]原始数据'!$B:$B,MATCH($A363,'[AQ_2021.xlsx]原始数据'!$A:$A,0)),""))</f>
        <v/>
      </c>
      <c r="D363">
        <f>IF($A363="","",IFERROR(INDEX('[AQ_2022.xlsx]原始数据'!$B:$B,MATCH($A363,'[AQ_2022.xlsx]原始数据'!$A:$A,0)),""))</f>
        <v/>
      </c>
      <c r="E363">
        <f>IF($A363="","",IFERROR(INDEX('[AQ_2023.xlsx]原始数据'!$B:$B,MATCH($A363,'[AQ_2023.xlsx]原始数据'!$A:$A,0)),""))</f>
        <v/>
      </c>
      <c r="F363">
        <f>IF($A363="","",IFERROR(INDEX('[AQ_2024.xlsx]原始数据'!$B:$B,MATCH($A363,'[AQ_2024.xlsx]原始数据'!$A:$A,0)),""))</f>
        <v/>
      </c>
      <c r="G363">
        <f>IF($A363="","",IFERROR(INDEX('[AQ_2020.xlsx]原始数据'!$C:$C,MATCH($A363,'[AQ_2020.xlsx]原始数据'!$A:$A,0)),""))</f>
        <v/>
      </c>
      <c r="H363">
        <f>IF($A363="","",IFERROR(INDEX('[AQ_2021.xlsx]原始数据'!$C:$C,MATCH($A363,'[AQ_2021.xlsx]原始数据'!$A:$A,0)),""))</f>
        <v/>
      </c>
      <c r="I363">
        <f>IF($A363="","",IFERROR(INDEX('[AQ_2022.xlsx]原始数据'!$C:$C,MATCH($A363,'[AQ_2022.xlsx]原始数据'!$A:$A,0)),""))</f>
        <v/>
      </c>
      <c r="J363">
        <f>IF($A363="","",IFERROR(INDEX('[AQ_2023.xlsx]原始数据'!$C:$C,MATCH($A363,'[AQ_2023.xlsx]原始数据'!$A:$A,0)),""))</f>
        <v/>
      </c>
      <c r="K363">
        <f>IF($A363="","",IFERROR(INDEX('[AQ_2024.xlsx]原始数据'!$C:$C,MATCH($A363,'[AQ_2024.xlsx]原始数据'!$A:$A,0)),""))</f>
        <v/>
      </c>
      <c r="L363">
        <f>IF($A363="","",IFERROR(INDEX('[AQ_2020.xlsx]原始数据'!$D:$D,MATCH($A363,'[AQ_2020.xlsx]原始数据'!$A:$A,0)),""))</f>
        <v/>
      </c>
      <c r="M363">
        <f>IF($A363="","",IFERROR(INDEX('[AQ_2021.xlsx]原始数据'!$D:$D,MATCH($A363,'[AQ_2021.xlsx]原始数据'!$A:$A,0)),""))</f>
        <v/>
      </c>
      <c r="N363">
        <f>IF($A363="","",IFERROR(INDEX('[AQ_2022.xlsx]原始数据'!$D:$D,MATCH($A363,'[AQ_2022.xlsx]原始数据'!$A:$A,0)),""))</f>
        <v/>
      </c>
      <c r="O363">
        <f>IF($A363="","",IFERROR(INDEX('[AQ_2023.xlsx]原始数据'!$D:$D,MATCH($A363,'[AQ_2023.xlsx]原始数据'!$A:$A,0)),""))</f>
        <v/>
      </c>
      <c r="P363">
        <f>IF($A363="","",IFERROR(INDEX('[AQ_2024.xlsx]原始数据'!$D:$D,MATCH($A363,'[AQ_2024.xlsx]原始数据'!$A:$A,0)),""))</f>
        <v/>
      </c>
      <c r="Q363">
        <f>IF($A363="","",IFERROR(INDEX('[AQ_2020.xlsx]原始数据'!$E:$E,MATCH($A363,'[AQ_2020.xlsx]原始数据'!$A:$A,0)),""))</f>
        <v/>
      </c>
      <c r="R363">
        <f>IF($A363="","",IFERROR(INDEX('[AQ_2021.xlsx]原始数据'!$E:$E,MATCH($A363,'[AQ_2021.xlsx]原始数据'!$A:$A,0)),""))</f>
        <v/>
      </c>
      <c r="S363">
        <f>IF($A363="","",IFERROR(INDEX('[AQ_2022.xlsx]原始数据'!$E:$E,MATCH($A363,'[AQ_2022.xlsx]原始数据'!$A:$A,0)),""))</f>
        <v/>
      </c>
      <c r="T363">
        <f>IF($A363="","",IFERROR(INDEX('[AQ_2023.xlsx]原始数据'!$E:$E,MATCH($A363,'[AQ_2023.xlsx]原始数据'!$A:$A,0)),""))</f>
        <v/>
      </c>
      <c r="U363">
        <f>IF($A363="","",IFERROR(INDEX('[AQ_2024.xlsx]原始数据'!$E:$E,MATCH($A363,'[AQ_2024.xlsx]原始数据'!$A:$A,0)),""))</f>
        <v/>
      </c>
      <c r="V363">
        <f>IF($A363="","",IFERROR(INDEX('[AQ_2020.xlsx]原始数据'!$F:$F,MATCH($A363,'[AQ_2020.xlsx]原始数据'!$A:$A,0)),""))</f>
        <v/>
      </c>
      <c r="W363">
        <f>IF($A363="","",IFERROR(INDEX('[AQ_2021.xlsx]原始数据'!$F:$F,MATCH($A363,'[AQ_2021.xlsx]原始数据'!$A:$A,0)),""))</f>
        <v/>
      </c>
      <c r="X363">
        <f>IF($A363="","",IFERROR(INDEX('[AQ_2022.xlsx]原始数据'!$F:$F,MATCH($A363,'[AQ_2022.xlsx]原始数据'!$A:$A,0)),""))</f>
        <v/>
      </c>
      <c r="Y363">
        <f>IF($A363="","",IFERROR(INDEX('[AQ_2023.xlsx]原始数据'!$F:$F,MATCH($A363,'[AQ_2023.xlsx]原始数据'!$A:$A,0)),""))</f>
        <v/>
      </c>
      <c r="Z363">
        <f>IF($A363="","",IFERROR(INDEX('[AQ_2024.xlsx]原始数据'!$F:$F,MATCH($A363,'[AQ_2024.xlsx]原始数据'!$A:$A,0)),""))</f>
        <v/>
      </c>
      <c r="AA363" s="2">
        <f>IFERROR(G363/B363,"")</f>
        <v/>
      </c>
      <c r="AB363" s="2">
        <f>IFERROR(H363/C363,"")</f>
        <v/>
      </c>
      <c r="AC363" s="2">
        <f>IFERROR(I363/D363,"")</f>
        <v/>
      </c>
      <c r="AD363" s="2">
        <f>IFERROR(J363/E363,"")</f>
        <v/>
      </c>
      <c r="AE363" s="2">
        <f>IFERROR(K363/F363,"")</f>
        <v/>
      </c>
      <c r="AF363" s="2">
        <f>IFERROR(L363/B363,"")</f>
        <v/>
      </c>
      <c r="AG363" s="2">
        <f>IFERROR(M363/C363,"")</f>
        <v/>
      </c>
      <c r="AH363" s="2">
        <f>IFERROR(N363/D363,"")</f>
        <v/>
      </c>
      <c r="AI363" s="2">
        <f>IFERROR(O363/E363,"")</f>
        <v/>
      </c>
      <c r="AJ363" s="2">
        <f>IFERROR(P363/F363,"")</f>
        <v/>
      </c>
      <c r="AK363" s="2">
        <f>IFERROR(Q363/B363,"")</f>
        <v/>
      </c>
      <c r="AL363" s="2">
        <f>IFERROR(R363/C363,"")</f>
        <v/>
      </c>
      <c r="AM363" s="2">
        <f>IFERROR(S363/D363,"")</f>
        <v/>
      </c>
      <c r="AN363" s="2">
        <f>IFERROR(T363/E363,"")</f>
        <v/>
      </c>
      <c r="AO363" s="2">
        <f>IFERROR(U363/F363,"")</f>
        <v/>
      </c>
    </row>
    <row r="364">
      <c r="B364">
        <f>IF($A364="","",IFERROR(INDEX('[AQ_2020.xlsx]原始数据'!$B:$B,MATCH($A364,'[AQ_2020.xlsx]原始数据'!$A:$A,0)),""))</f>
        <v/>
      </c>
      <c r="C364">
        <f>IF($A364="","",IFERROR(INDEX('[AQ_2021.xlsx]原始数据'!$B:$B,MATCH($A364,'[AQ_2021.xlsx]原始数据'!$A:$A,0)),""))</f>
        <v/>
      </c>
      <c r="D364">
        <f>IF($A364="","",IFERROR(INDEX('[AQ_2022.xlsx]原始数据'!$B:$B,MATCH($A364,'[AQ_2022.xlsx]原始数据'!$A:$A,0)),""))</f>
        <v/>
      </c>
      <c r="E364">
        <f>IF($A364="","",IFERROR(INDEX('[AQ_2023.xlsx]原始数据'!$B:$B,MATCH($A364,'[AQ_2023.xlsx]原始数据'!$A:$A,0)),""))</f>
        <v/>
      </c>
      <c r="F364">
        <f>IF($A364="","",IFERROR(INDEX('[AQ_2024.xlsx]原始数据'!$B:$B,MATCH($A364,'[AQ_2024.xlsx]原始数据'!$A:$A,0)),""))</f>
        <v/>
      </c>
      <c r="G364">
        <f>IF($A364="","",IFERROR(INDEX('[AQ_2020.xlsx]原始数据'!$C:$C,MATCH($A364,'[AQ_2020.xlsx]原始数据'!$A:$A,0)),""))</f>
        <v/>
      </c>
      <c r="H364">
        <f>IF($A364="","",IFERROR(INDEX('[AQ_2021.xlsx]原始数据'!$C:$C,MATCH($A364,'[AQ_2021.xlsx]原始数据'!$A:$A,0)),""))</f>
        <v/>
      </c>
      <c r="I364">
        <f>IF($A364="","",IFERROR(INDEX('[AQ_2022.xlsx]原始数据'!$C:$C,MATCH($A364,'[AQ_2022.xlsx]原始数据'!$A:$A,0)),""))</f>
        <v/>
      </c>
      <c r="J364">
        <f>IF($A364="","",IFERROR(INDEX('[AQ_2023.xlsx]原始数据'!$C:$C,MATCH($A364,'[AQ_2023.xlsx]原始数据'!$A:$A,0)),""))</f>
        <v/>
      </c>
      <c r="K364">
        <f>IF($A364="","",IFERROR(INDEX('[AQ_2024.xlsx]原始数据'!$C:$C,MATCH($A364,'[AQ_2024.xlsx]原始数据'!$A:$A,0)),""))</f>
        <v/>
      </c>
      <c r="L364">
        <f>IF($A364="","",IFERROR(INDEX('[AQ_2020.xlsx]原始数据'!$D:$D,MATCH($A364,'[AQ_2020.xlsx]原始数据'!$A:$A,0)),""))</f>
        <v/>
      </c>
      <c r="M364">
        <f>IF($A364="","",IFERROR(INDEX('[AQ_2021.xlsx]原始数据'!$D:$D,MATCH($A364,'[AQ_2021.xlsx]原始数据'!$A:$A,0)),""))</f>
        <v/>
      </c>
      <c r="N364">
        <f>IF($A364="","",IFERROR(INDEX('[AQ_2022.xlsx]原始数据'!$D:$D,MATCH($A364,'[AQ_2022.xlsx]原始数据'!$A:$A,0)),""))</f>
        <v/>
      </c>
      <c r="O364">
        <f>IF($A364="","",IFERROR(INDEX('[AQ_2023.xlsx]原始数据'!$D:$D,MATCH($A364,'[AQ_2023.xlsx]原始数据'!$A:$A,0)),""))</f>
        <v/>
      </c>
      <c r="P364">
        <f>IF($A364="","",IFERROR(INDEX('[AQ_2024.xlsx]原始数据'!$D:$D,MATCH($A364,'[AQ_2024.xlsx]原始数据'!$A:$A,0)),""))</f>
        <v/>
      </c>
      <c r="Q364">
        <f>IF($A364="","",IFERROR(INDEX('[AQ_2020.xlsx]原始数据'!$E:$E,MATCH($A364,'[AQ_2020.xlsx]原始数据'!$A:$A,0)),""))</f>
        <v/>
      </c>
      <c r="R364">
        <f>IF($A364="","",IFERROR(INDEX('[AQ_2021.xlsx]原始数据'!$E:$E,MATCH($A364,'[AQ_2021.xlsx]原始数据'!$A:$A,0)),""))</f>
        <v/>
      </c>
      <c r="S364">
        <f>IF($A364="","",IFERROR(INDEX('[AQ_2022.xlsx]原始数据'!$E:$E,MATCH($A364,'[AQ_2022.xlsx]原始数据'!$A:$A,0)),""))</f>
        <v/>
      </c>
      <c r="T364">
        <f>IF($A364="","",IFERROR(INDEX('[AQ_2023.xlsx]原始数据'!$E:$E,MATCH($A364,'[AQ_2023.xlsx]原始数据'!$A:$A,0)),""))</f>
        <v/>
      </c>
      <c r="U364">
        <f>IF($A364="","",IFERROR(INDEX('[AQ_2024.xlsx]原始数据'!$E:$E,MATCH($A364,'[AQ_2024.xlsx]原始数据'!$A:$A,0)),""))</f>
        <v/>
      </c>
      <c r="V364">
        <f>IF($A364="","",IFERROR(INDEX('[AQ_2020.xlsx]原始数据'!$F:$F,MATCH($A364,'[AQ_2020.xlsx]原始数据'!$A:$A,0)),""))</f>
        <v/>
      </c>
      <c r="W364">
        <f>IF($A364="","",IFERROR(INDEX('[AQ_2021.xlsx]原始数据'!$F:$F,MATCH($A364,'[AQ_2021.xlsx]原始数据'!$A:$A,0)),""))</f>
        <v/>
      </c>
      <c r="X364">
        <f>IF($A364="","",IFERROR(INDEX('[AQ_2022.xlsx]原始数据'!$F:$F,MATCH($A364,'[AQ_2022.xlsx]原始数据'!$A:$A,0)),""))</f>
        <v/>
      </c>
      <c r="Y364">
        <f>IF($A364="","",IFERROR(INDEX('[AQ_2023.xlsx]原始数据'!$F:$F,MATCH($A364,'[AQ_2023.xlsx]原始数据'!$A:$A,0)),""))</f>
        <v/>
      </c>
      <c r="Z364">
        <f>IF($A364="","",IFERROR(INDEX('[AQ_2024.xlsx]原始数据'!$F:$F,MATCH($A364,'[AQ_2024.xlsx]原始数据'!$A:$A,0)),""))</f>
        <v/>
      </c>
      <c r="AA364" s="2">
        <f>IFERROR(G364/B364,"")</f>
        <v/>
      </c>
      <c r="AB364" s="2">
        <f>IFERROR(H364/C364,"")</f>
        <v/>
      </c>
      <c r="AC364" s="2">
        <f>IFERROR(I364/D364,"")</f>
        <v/>
      </c>
      <c r="AD364" s="2">
        <f>IFERROR(J364/E364,"")</f>
        <v/>
      </c>
      <c r="AE364" s="2">
        <f>IFERROR(K364/F364,"")</f>
        <v/>
      </c>
      <c r="AF364" s="2">
        <f>IFERROR(L364/B364,"")</f>
        <v/>
      </c>
      <c r="AG364" s="2">
        <f>IFERROR(M364/C364,"")</f>
        <v/>
      </c>
      <c r="AH364" s="2">
        <f>IFERROR(N364/D364,"")</f>
        <v/>
      </c>
      <c r="AI364" s="2">
        <f>IFERROR(O364/E364,"")</f>
        <v/>
      </c>
      <c r="AJ364" s="2">
        <f>IFERROR(P364/F364,"")</f>
        <v/>
      </c>
      <c r="AK364" s="2">
        <f>IFERROR(Q364/B364,"")</f>
        <v/>
      </c>
      <c r="AL364" s="2">
        <f>IFERROR(R364/C364,"")</f>
        <v/>
      </c>
      <c r="AM364" s="2">
        <f>IFERROR(S364/D364,"")</f>
        <v/>
      </c>
      <c r="AN364" s="2">
        <f>IFERROR(T364/E364,"")</f>
        <v/>
      </c>
      <c r="AO364" s="2">
        <f>IFERROR(U364/F364,"")</f>
        <v/>
      </c>
    </row>
    <row r="365">
      <c r="B365">
        <f>IF($A365="","",IFERROR(INDEX('[AQ_2020.xlsx]原始数据'!$B:$B,MATCH($A365,'[AQ_2020.xlsx]原始数据'!$A:$A,0)),""))</f>
        <v/>
      </c>
      <c r="C365">
        <f>IF($A365="","",IFERROR(INDEX('[AQ_2021.xlsx]原始数据'!$B:$B,MATCH($A365,'[AQ_2021.xlsx]原始数据'!$A:$A,0)),""))</f>
        <v/>
      </c>
      <c r="D365">
        <f>IF($A365="","",IFERROR(INDEX('[AQ_2022.xlsx]原始数据'!$B:$B,MATCH($A365,'[AQ_2022.xlsx]原始数据'!$A:$A,0)),""))</f>
        <v/>
      </c>
      <c r="E365">
        <f>IF($A365="","",IFERROR(INDEX('[AQ_2023.xlsx]原始数据'!$B:$B,MATCH($A365,'[AQ_2023.xlsx]原始数据'!$A:$A,0)),""))</f>
        <v/>
      </c>
      <c r="F365">
        <f>IF($A365="","",IFERROR(INDEX('[AQ_2024.xlsx]原始数据'!$B:$B,MATCH($A365,'[AQ_2024.xlsx]原始数据'!$A:$A,0)),""))</f>
        <v/>
      </c>
      <c r="G365">
        <f>IF($A365="","",IFERROR(INDEX('[AQ_2020.xlsx]原始数据'!$C:$C,MATCH($A365,'[AQ_2020.xlsx]原始数据'!$A:$A,0)),""))</f>
        <v/>
      </c>
      <c r="H365">
        <f>IF($A365="","",IFERROR(INDEX('[AQ_2021.xlsx]原始数据'!$C:$C,MATCH($A365,'[AQ_2021.xlsx]原始数据'!$A:$A,0)),""))</f>
        <v/>
      </c>
      <c r="I365">
        <f>IF($A365="","",IFERROR(INDEX('[AQ_2022.xlsx]原始数据'!$C:$C,MATCH($A365,'[AQ_2022.xlsx]原始数据'!$A:$A,0)),""))</f>
        <v/>
      </c>
      <c r="J365">
        <f>IF($A365="","",IFERROR(INDEX('[AQ_2023.xlsx]原始数据'!$C:$C,MATCH($A365,'[AQ_2023.xlsx]原始数据'!$A:$A,0)),""))</f>
        <v/>
      </c>
      <c r="K365">
        <f>IF($A365="","",IFERROR(INDEX('[AQ_2024.xlsx]原始数据'!$C:$C,MATCH($A365,'[AQ_2024.xlsx]原始数据'!$A:$A,0)),""))</f>
        <v/>
      </c>
      <c r="L365">
        <f>IF($A365="","",IFERROR(INDEX('[AQ_2020.xlsx]原始数据'!$D:$D,MATCH($A365,'[AQ_2020.xlsx]原始数据'!$A:$A,0)),""))</f>
        <v/>
      </c>
      <c r="M365">
        <f>IF($A365="","",IFERROR(INDEX('[AQ_2021.xlsx]原始数据'!$D:$D,MATCH($A365,'[AQ_2021.xlsx]原始数据'!$A:$A,0)),""))</f>
        <v/>
      </c>
      <c r="N365">
        <f>IF($A365="","",IFERROR(INDEX('[AQ_2022.xlsx]原始数据'!$D:$D,MATCH($A365,'[AQ_2022.xlsx]原始数据'!$A:$A,0)),""))</f>
        <v/>
      </c>
      <c r="O365">
        <f>IF($A365="","",IFERROR(INDEX('[AQ_2023.xlsx]原始数据'!$D:$D,MATCH($A365,'[AQ_2023.xlsx]原始数据'!$A:$A,0)),""))</f>
        <v/>
      </c>
      <c r="P365">
        <f>IF($A365="","",IFERROR(INDEX('[AQ_2024.xlsx]原始数据'!$D:$D,MATCH($A365,'[AQ_2024.xlsx]原始数据'!$A:$A,0)),""))</f>
        <v/>
      </c>
      <c r="Q365">
        <f>IF($A365="","",IFERROR(INDEX('[AQ_2020.xlsx]原始数据'!$E:$E,MATCH($A365,'[AQ_2020.xlsx]原始数据'!$A:$A,0)),""))</f>
        <v/>
      </c>
      <c r="R365">
        <f>IF($A365="","",IFERROR(INDEX('[AQ_2021.xlsx]原始数据'!$E:$E,MATCH($A365,'[AQ_2021.xlsx]原始数据'!$A:$A,0)),""))</f>
        <v/>
      </c>
      <c r="S365">
        <f>IF($A365="","",IFERROR(INDEX('[AQ_2022.xlsx]原始数据'!$E:$E,MATCH($A365,'[AQ_2022.xlsx]原始数据'!$A:$A,0)),""))</f>
        <v/>
      </c>
      <c r="T365">
        <f>IF($A365="","",IFERROR(INDEX('[AQ_2023.xlsx]原始数据'!$E:$E,MATCH($A365,'[AQ_2023.xlsx]原始数据'!$A:$A,0)),""))</f>
        <v/>
      </c>
      <c r="U365">
        <f>IF($A365="","",IFERROR(INDEX('[AQ_2024.xlsx]原始数据'!$E:$E,MATCH($A365,'[AQ_2024.xlsx]原始数据'!$A:$A,0)),""))</f>
        <v/>
      </c>
      <c r="V365">
        <f>IF($A365="","",IFERROR(INDEX('[AQ_2020.xlsx]原始数据'!$F:$F,MATCH($A365,'[AQ_2020.xlsx]原始数据'!$A:$A,0)),""))</f>
        <v/>
      </c>
      <c r="W365">
        <f>IF($A365="","",IFERROR(INDEX('[AQ_2021.xlsx]原始数据'!$F:$F,MATCH($A365,'[AQ_2021.xlsx]原始数据'!$A:$A,0)),""))</f>
        <v/>
      </c>
      <c r="X365">
        <f>IF($A365="","",IFERROR(INDEX('[AQ_2022.xlsx]原始数据'!$F:$F,MATCH($A365,'[AQ_2022.xlsx]原始数据'!$A:$A,0)),""))</f>
        <v/>
      </c>
      <c r="Y365">
        <f>IF($A365="","",IFERROR(INDEX('[AQ_2023.xlsx]原始数据'!$F:$F,MATCH($A365,'[AQ_2023.xlsx]原始数据'!$A:$A,0)),""))</f>
        <v/>
      </c>
      <c r="Z365">
        <f>IF($A365="","",IFERROR(INDEX('[AQ_2024.xlsx]原始数据'!$F:$F,MATCH($A365,'[AQ_2024.xlsx]原始数据'!$A:$A,0)),""))</f>
        <v/>
      </c>
      <c r="AA365" s="2">
        <f>IFERROR(G365/B365,"")</f>
        <v/>
      </c>
      <c r="AB365" s="2">
        <f>IFERROR(H365/C365,"")</f>
        <v/>
      </c>
      <c r="AC365" s="2">
        <f>IFERROR(I365/D365,"")</f>
        <v/>
      </c>
      <c r="AD365" s="2">
        <f>IFERROR(J365/E365,"")</f>
        <v/>
      </c>
      <c r="AE365" s="2">
        <f>IFERROR(K365/F365,"")</f>
        <v/>
      </c>
      <c r="AF365" s="2">
        <f>IFERROR(L365/B365,"")</f>
        <v/>
      </c>
      <c r="AG365" s="2">
        <f>IFERROR(M365/C365,"")</f>
        <v/>
      </c>
      <c r="AH365" s="2">
        <f>IFERROR(N365/D365,"")</f>
        <v/>
      </c>
      <c r="AI365" s="2">
        <f>IFERROR(O365/E365,"")</f>
        <v/>
      </c>
      <c r="AJ365" s="2">
        <f>IFERROR(P365/F365,"")</f>
        <v/>
      </c>
      <c r="AK365" s="2">
        <f>IFERROR(Q365/B365,"")</f>
        <v/>
      </c>
      <c r="AL365" s="2">
        <f>IFERROR(R365/C365,"")</f>
        <v/>
      </c>
      <c r="AM365" s="2">
        <f>IFERROR(S365/D365,"")</f>
        <v/>
      </c>
      <c r="AN365" s="2">
        <f>IFERROR(T365/E365,"")</f>
        <v/>
      </c>
      <c r="AO365" s="2">
        <f>IFERROR(U365/F365,"")</f>
        <v/>
      </c>
    </row>
    <row r="366">
      <c r="B366">
        <f>IF($A366="","",IFERROR(INDEX('[AQ_2020.xlsx]原始数据'!$B:$B,MATCH($A366,'[AQ_2020.xlsx]原始数据'!$A:$A,0)),""))</f>
        <v/>
      </c>
      <c r="C366">
        <f>IF($A366="","",IFERROR(INDEX('[AQ_2021.xlsx]原始数据'!$B:$B,MATCH($A366,'[AQ_2021.xlsx]原始数据'!$A:$A,0)),""))</f>
        <v/>
      </c>
      <c r="D366">
        <f>IF($A366="","",IFERROR(INDEX('[AQ_2022.xlsx]原始数据'!$B:$B,MATCH($A366,'[AQ_2022.xlsx]原始数据'!$A:$A,0)),""))</f>
        <v/>
      </c>
      <c r="E366">
        <f>IF($A366="","",IFERROR(INDEX('[AQ_2023.xlsx]原始数据'!$B:$B,MATCH($A366,'[AQ_2023.xlsx]原始数据'!$A:$A,0)),""))</f>
        <v/>
      </c>
      <c r="F366">
        <f>IF($A366="","",IFERROR(INDEX('[AQ_2024.xlsx]原始数据'!$B:$B,MATCH($A366,'[AQ_2024.xlsx]原始数据'!$A:$A,0)),""))</f>
        <v/>
      </c>
      <c r="G366">
        <f>IF($A366="","",IFERROR(INDEX('[AQ_2020.xlsx]原始数据'!$C:$C,MATCH($A366,'[AQ_2020.xlsx]原始数据'!$A:$A,0)),""))</f>
        <v/>
      </c>
      <c r="H366">
        <f>IF($A366="","",IFERROR(INDEX('[AQ_2021.xlsx]原始数据'!$C:$C,MATCH($A366,'[AQ_2021.xlsx]原始数据'!$A:$A,0)),""))</f>
        <v/>
      </c>
      <c r="I366">
        <f>IF($A366="","",IFERROR(INDEX('[AQ_2022.xlsx]原始数据'!$C:$C,MATCH($A366,'[AQ_2022.xlsx]原始数据'!$A:$A,0)),""))</f>
        <v/>
      </c>
      <c r="J366">
        <f>IF($A366="","",IFERROR(INDEX('[AQ_2023.xlsx]原始数据'!$C:$C,MATCH($A366,'[AQ_2023.xlsx]原始数据'!$A:$A,0)),""))</f>
        <v/>
      </c>
      <c r="K366">
        <f>IF($A366="","",IFERROR(INDEX('[AQ_2024.xlsx]原始数据'!$C:$C,MATCH($A366,'[AQ_2024.xlsx]原始数据'!$A:$A,0)),""))</f>
        <v/>
      </c>
      <c r="L366">
        <f>IF($A366="","",IFERROR(INDEX('[AQ_2020.xlsx]原始数据'!$D:$D,MATCH($A366,'[AQ_2020.xlsx]原始数据'!$A:$A,0)),""))</f>
        <v/>
      </c>
      <c r="M366">
        <f>IF($A366="","",IFERROR(INDEX('[AQ_2021.xlsx]原始数据'!$D:$D,MATCH($A366,'[AQ_2021.xlsx]原始数据'!$A:$A,0)),""))</f>
        <v/>
      </c>
      <c r="N366">
        <f>IF($A366="","",IFERROR(INDEX('[AQ_2022.xlsx]原始数据'!$D:$D,MATCH($A366,'[AQ_2022.xlsx]原始数据'!$A:$A,0)),""))</f>
        <v/>
      </c>
      <c r="O366">
        <f>IF($A366="","",IFERROR(INDEX('[AQ_2023.xlsx]原始数据'!$D:$D,MATCH($A366,'[AQ_2023.xlsx]原始数据'!$A:$A,0)),""))</f>
        <v/>
      </c>
      <c r="P366">
        <f>IF($A366="","",IFERROR(INDEX('[AQ_2024.xlsx]原始数据'!$D:$D,MATCH($A366,'[AQ_2024.xlsx]原始数据'!$A:$A,0)),""))</f>
        <v/>
      </c>
      <c r="Q366">
        <f>IF($A366="","",IFERROR(INDEX('[AQ_2020.xlsx]原始数据'!$E:$E,MATCH($A366,'[AQ_2020.xlsx]原始数据'!$A:$A,0)),""))</f>
        <v/>
      </c>
      <c r="R366">
        <f>IF($A366="","",IFERROR(INDEX('[AQ_2021.xlsx]原始数据'!$E:$E,MATCH($A366,'[AQ_2021.xlsx]原始数据'!$A:$A,0)),""))</f>
        <v/>
      </c>
      <c r="S366">
        <f>IF($A366="","",IFERROR(INDEX('[AQ_2022.xlsx]原始数据'!$E:$E,MATCH($A366,'[AQ_2022.xlsx]原始数据'!$A:$A,0)),""))</f>
        <v/>
      </c>
      <c r="T366">
        <f>IF($A366="","",IFERROR(INDEX('[AQ_2023.xlsx]原始数据'!$E:$E,MATCH($A366,'[AQ_2023.xlsx]原始数据'!$A:$A,0)),""))</f>
        <v/>
      </c>
      <c r="U366">
        <f>IF($A366="","",IFERROR(INDEX('[AQ_2024.xlsx]原始数据'!$E:$E,MATCH($A366,'[AQ_2024.xlsx]原始数据'!$A:$A,0)),""))</f>
        <v/>
      </c>
      <c r="V366">
        <f>IF($A366="","",IFERROR(INDEX('[AQ_2020.xlsx]原始数据'!$F:$F,MATCH($A366,'[AQ_2020.xlsx]原始数据'!$A:$A,0)),""))</f>
        <v/>
      </c>
      <c r="W366">
        <f>IF($A366="","",IFERROR(INDEX('[AQ_2021.xlsx]原始数据'!$F:$F,MATCH($A366,'[AQ_2021.xlsx]原始数据'!$A:$A,0)),""))</f>
        <v/>
      </c>
      <c r="X366">
        <f>IF($A366="","",IFERROR(INDEX('[AQ_2022.xlsx]原始数据'!$F:$F,MATCH($A366,'[AQ_2022.xlsx]原始数据'!$A:$A,0)),""))</f>
        <v/>
      </c>
      <c r="Y366">
        <f>IF($A366="","",IFERROR(INDEX('[AQ_2023.xlsx]原始数据'!$F:$F,MATCH($A366,'[AQ_2023.xlsx]原始数据'!$A:$A,0)),""))</f>
        <v/>
      </c>
      <c r="Z366">
        <f>IF($A366="","",IFERROR(INDEX('[AQ_2024.xlsx]原始数据'!$F:$F,MATCH($A366,'[AQ_2024.xlsx]原始数据'!$A:$A,0)),""))</f>
        <v/>
      </c>
      <c r="AA366" s="2">
        <f>IFERROR(G366/B366,"")</f>
        <v/>
      </c>
      <c r="AB366" s="2">
        <f>IFERROR(H366/C366,"")</f>
        <v/>
      </c>
      <c r="AC366" s="2">
        <f>IFERROR(I366/D366,"")</f>
        <v/>
      </c>
      <c r="AD366" s="2">
        <f>IFERROR(J366/E366,"")</f>
        <v/>
      </c>
      <c r="AE366" s="2">
        <f>IFERROR(K366/F366,"")</f>
        <v/>
      </c>
      <c r="AF366" s="2">
        <f>IFERROR(L366/B366,"")</f>
        <v/>
      </c>
      <c r="AG366" s="2">
        <f>IFERROR(M366/C366,"")</f>
        <v/>
      </c>
      <c r="AH366" s="2">
        <f>IFERROR(N366/D366,"")</f>
        <v/>
      </c>
      <c r="AI366" s="2">
        <f>IFERROR(O366/E366,"")</f>
        <v/>
      </c>
      <c r="AJ366" s="2">
        <f>IFERROR(P366/F366,"")</f>
        <v/>
      </c>
      <c r="AK366" s="2">
        <f>IFERROR(Q366/B366,"")</f>
        <v/>
      </c>
      <c r="AL366" s="2">
        <f>IFERROR(R366/C366,"")</f>
        <v/>
      </c>
      <c r="AM366" s="2">
        <f>IFERROR(S366/D366,"")</f>
        <v/>
      </c>
      <c r="AN366" s="2">
        <f>IFERROR(T366/E366,"")</f>
        <v/>
      </c>
      <c r="AO366" s="2">
        <f>IFERROR(U366/F366,"")</f>
        <v/>
      </c>
    </row>
    <row r="367">
      <c r="B367">
        <f>IF($A367="","",IFERROR(INDEX('[AQ_2020.xlsx]原始数据'!$B:$B,MATCH($A367,'[AQ_2020.xlsx]原始数据'!$A:$A,0)),""))</f>
        <v/>
      </c>
      <c r="C367">
        <f>IF($A367="","",IFERROR(INDEX('[AQ_2021.xlsx]原始数据'!$B:$B,MATCH($A367,'[AQ_2021.xlsx]原始数据'!$A:$A,0)),""))</f>
        <v/>
      </c>
      <c r="D367">
        <f>IF($A367="","",IFERROR(INDEX('[AQ_2022.xlsx]原始数据'!$B:$B,MATCH($A367,'[AQ_2022.xlsx]原始数据'!$A:$A,0)),""))</f>
        <v/>
      </c>
      <c r="E367">
        <f>IF($A367="","",IFERROR(INDEX('[AQ_2023.xlsx]原始数据'!$B:$B,MATCH($A367,'[AQ_2023.xlsx]原始数据'!$A:$A,0)),""))</f>
        <v/>
      </c>
      <c r="F367">
        <f>IF($A367="","",IFERROR(INDEX('[AQ_2024.xlsx]原始数据'!$B:$B,MATCH($A367,'[AQ_2024.xlsx]原始数据'!$A:$A,0)),""))</f>
        <v/>
      </c>
      <c r="G367">
        <f>IF($A367="","",IFERROR(INDEX('[AQ_2020.xlsx]原始数据'!$C:$C,MATCH($A367,'[AQ_2020.xlsx]原始数据'!$A:$A,0)),""))</f>
        <v/>
      </c>
      <c r="H367">
        <f>IF($A367="","",IFERROR(INDEX('[AQ_2021.xlsx]原始数据'!$C:$C,MATCH($A367,'[AQ_2021.xlsx]原始数据'!$A:$A,0)),""))</f>
        <v/>
      </c>
      <c r="I367">
        <f>IF($A367="","",IFERROR(INDEX('[AQ_2022.xlsx]原始数据'!$C:$C,MATCH($A367,'[AQ_2022.xlsx]原始数据'!$A:$A,0)),""))</f>
        <v/>
      </c>
      <c r="J367">
        <f>IF($A367="","",IFERROR(INDEX('[AQ_2023.xlsx]原始数据'!$C:$C,MATCH($A367,'[AQ_2023.xlsx]原始数据'!$A:$A,0)),""))</f>
        <v/>
      </c>
      <c r="K367">
        <f>IF($A367="","",IFERROR(INDEX('[AQ_2024.xlsx]原始数据'!$C:$C,MATCH($A367,'[AQ_2024.xlsx]原始数据'!$A:$A,0)),""))</f>
        <v/>
      </c>
      <c r="L367">
        <f>IF($A367="","",IFERROR(INDEX('[AQ_2020.xlsx]原始数据'!$D:$D,MATCH($A367,'[AQ_2020.xlsx]原始数据'!$A:$A,0)),""))</f>
        <v/>
      </c>
      <c r="M367">
        <f>IF($A367="","",IFERROR(INDEX('[AQ_2021.xlsx]原始数据'!$D:$D,MATCH($A367,'[AQ_2021.xlsx]原始数据'!$A:$A,0)),""))</f>
        <v/>
      </c>
      <c r="N367">
        <f>IF($A367="","",IFERROR(INDEX('[AQ_2022.xlsx]原始数据'!$D:$D,MATCH($A367,'[AQ_2022.xlsx]原始数据'!$A:$A,0)),""))</f>
        <v/>
      </c>
      <c r="O367">
        <f>IF($A367="","",IFERROR(INDEX('[AQ_2023.xlsx]原始数据'!$D:$D,MATCH($A367,'[AQ_2023.xlsx]原始数据'!$A:$A,0)),""))</f>
        <v/>
      </c>
      <c r="P367">
        <f>IF($A367="","",IFERROR(INDEX('[AQ_2024.xlsx]原始数据'!$D:$D,MATCH($A367,'[AQ_2024.xlsx]原始数据'!$A:$A,0)),""))</f>
        <v/>
      </c>
      <c r="Q367">
        <f>IF($A367="","",IFERROR(INDEX('[AQ_2020.xlsx]原始数据'!$E:$E,MATCH($A367,'[AQ_2020.xlsx]原始数据'!$A:$A,0)),""))</f>
        <v/>
      </c>
      <c r="R367">
        <f>IF($A367="","",IFERROR(INDEX('[AQ_2021.xlsx]原始数据'!$E:$E,MATCH($A367,'[AQ_2021.xlsx]原始数据'!$A:$A,0)),""))</f>
        <v/>
      </c>
      <c r="S367">
        <f>IF($A367="","",IFERROR(INDEX('[AQ_2022.xlsx]原始数据'!$E:$E,MATCH($A367,'[AQ_2022.xlsx]原始数据'!$A:$A,0)),""))</f>
        <v/>
      </c>
      <c r="T367">
        <f>IF($A367="","",IFERROR(INDEX('[AQ_2023.xlsx]原始数据'!$E:$E,MATCH($A367,'[AQ_2023.xlsx]原始数据'!$A:$A,0)),""))</f>
        <v/>
      </c>
      <c r="U367">
        <f>IF($A367="","",IFERROR(INDEX('[AQ_2024.xlsx]原始数据'!$E:$E,MATCH($A367,'[AQ_2024.xlsx]原始数据'!$A:$A,0)),""))</f>
        <v/>
      </c>
      <c r="V367">
        <f>IF($A367="","",IFERROR(INDEX('[AQ_2020.xlsx]原始数据'!$F:$F,MATCH($A367,'[AQ_2020.xlsx]原始数据'!$A:$A,0)),""))</f>
        <v/>
      </c>
      <c r="W367">
        <f>IF($A367="","",IFERROR(INDEX('[AQ_2021.xlsx]原始数据'!$F:$F,MATCH($A367,'[AQ_2021.xlsx]原始数据'!$A:$A,0)),""))</f>
        <v/>
      </c>
      <c r="X367">
        <f>IF($A367="","",IFERROR(INDEX('[AQ_2022.xlsx]原始数据'!$F:$F,MATCH($A367,'[AQ_2022.xlsx]原始数据'!$A:$A,0)),""))</f>
        <v/>
      </c>
      <c r="Y367">
        <f>IF($A367="","",IFERROR(INDEX('[AQ_2023.xlsx]原始数据'!$F:$F,MATCH($A367,'[AQ_2023.xlsx]原始数据'!$A:$A,0)),""))</f>
        <v/>
      </c>
      <c r="Z367">
        <f>IF($A367="","",IFERROR(INDEX('[AQ_2024.xlsx]原始数据'!$F:$F,MATCH($A367,'[AQ_2024.xlsx]原始数据'!$A:$A,0)),""))</f>
        <v/>
      </c>
      <c r="AA367" s="2">
        <f>IFERROR(G367/B367,"")</f>
        <v/>
      </c>
      <c r="AB367" s="2">
        <f>IFERROR(H367/C367,"")</f>
        <v/>
      </c>
      <c r="AC367" s="2">
        <f>IFERROR(I367/D367,"")</f>
        <v/>
      </c>
      <c r="AD367" s="2">
        <f>IFERROR(J367/E367,"")</f>
        <v/>
      </c>
      <c r="AE367" s="2">
        <f>IFERROR(K367/F367,"")</f>
        <v/>
      </c>
      <c r="AF367" s="2">
        <f>IFERROR(L367/B367,"")</f>
        <v/>
      </c>
      <c r="AG367" s="2">
        <f>IFERROR(M367/C367,"")</f>
        <v/>
      </c>
      <c r="AH367" s="2">
        <f>IFERROR(N367/D367,"")</f>
        <v/>
      </c>
      <c r="AI367" s="2">
        <f>IFERROR(O367/E367,"")</f>
        <v/>
      </c>
      <c r="AJ367" s="2">
        <f>IFERROR(P367/F367,"")</f>
        <v/>
      </c>
      <c r="AK367" s="2">
        <f>IFERROR(Q367/B367,"")</f>
        <v/>
      </c>
      <c r="AL367" s="2">
        <f>IFERROR(R367/C367,"")</f>
        <v/>
      </c>
      <c r="AM367" s="2">
        <f>IFERROR(S367/D367,"")</f>
        <v/>
      </c>
      <c r="AN367" s="2">
        <f>IFERROR(T367/E367,"")</f>
        <v/>
      </c>
      <c r="AO367" s="2">
        <f>IFERROR(U367/F367,"")</f>
        <v/>
      </c>
    </row>
    <row r="368">
      <c r="B368">
        <f>IF($A368="","",IFERROR(INDEX('[AQ_2020.xlsx]原始数据'!$B:$B,MATCH($A368,'[AQ_2020.xlsx]原始数据'!$A:$A,0)),""))</f>
        <v/>
      </c>
      <c r="C368">
        <f>IF($A368="","",IFERROR(INDEX('[AQ_2021.xlsx]原始数据'!$B:$B,MATCH($A368,'[AQ_2021.xlsx]原始数据'!$A:$A,0)),""))</f>
        <v/>
      </c>
      <c r="D368">
        <f>IF($A368="","",IFERROR(INDEX('[AQ_2022.xlsx]原始数据'!$B:$B,MATCH($A368,'[AQ_2022.xlsx]原始数据'!$A:$A,0)),""))</f>
        <v/>
      </c>
      <c r="E368">
        <f>IF($A368="","",IFERROR(INDEX('[AQ_2023.xlsx]原始数据'!$B:$B,MATCH($A368,'[AQ_2023.xlsx]原始数据'!$A:$A,0)),""))</f>
        <v/>
      </c>
      <c r="F368">
        <f>IF($A368="","",IFERROR(INDEX('[AQ_2024.xlsx]原始数据'!$B:$B,MATCH($A368,'[AQ_2024.xlsx]原始数据'!$A:$A,0)),""))</f>
        <v/>
      </c>
      <c r="G368">
        <f>IF($A368="","",IFERROR(INDEX('[AQ_2020.xlsx]原始数据'!$C:$C,MATCH($A368,'[AQ_2020.xlsx]原始数据'!$A:$A,0)),""))</f>
        <v/>
      </c>
      <c r="H368">
        <f>IF($A368="","",IFERROR(INDEX('[AQ_2021.xlsx]原始数据'!$C:$C,MATCH($A368,'[AQ_2021.xlsx]原始数据'!$A:$A,0)),""))</f>
        <v/>
      </c>
      <c r="I368">
        <f>IF($A368="","",IFERROR(INDEX('[AQ_2022.xlsx]原始数据'!$C:$C,MATCH($A368,'[AQ_2022.xlsx]原始数据'!$A:$A,0)),""))</f>
        <v/>
      </c>
      <c r="J368">
        <f>IF($A368="","",IFERROR(INDEX('[AQ_2023.xlsx]原始数据'!$C:$C,MATCH($A368,'[AQ_2023.xlsx]原始数据'!$A:$A,0)),""))</f>
        <v/>
      </c>
      <c r="K368">
        <f>IF($A368="","",IFERROR(INDEX('[AQ_2024.xlsx]原始数据'!$C:$C,MATCH($A368,'[AQ_2024.xlsx]原始数据'!$A:$A,0)),""))</f>
        <v/>
      </c>
      <c r="L368">
        <f>IF($A368="","",IFERROR(INDEX('[AQ_2020.xlsx]原始数据'!$D:$D,MATCH($A368,'[AQ_2020.xlsx]原始数据'!$A:$A,0)),""))</f>
        <v/>
      </c>
      <c r="M368">
        <f>IF($A368="","",IFERROR(INDEX('[AQ_2021.xlsx]原始数据'!$D:$D,MATCH($A368,'[AQ_2021.xlsx]原始数据'!$A:$A,0)),""))</f>
        <v/>
      </c>
      <c r="N368">
        <f>IF($A368="","",IFERROR(INDEX('[AQ_2022.xlsx]原始数据'!$D:$D,MATCH($A368,'[AQ_2022.xlsx]原始数据'!$A:$A,0)),""))</f>
        <v/>
      </c>
      <c r="O368">
        <f>IF($A368="","",IFERROR(INDEX('[AQ_2023.xlsx]原始数据'!$D:$D,MATCH($A368,'[AQ_2023.xlsx]原始数据'!$A:$A,0)),""))</f>
        <v/>
      </c>
      <c r="P368">
        <f>IF($A368="","",IFERROR(INDEX('[AQ_2024.xlsx]原始数据'!$D:$D,MATCH($A368,'[AQ_2024.xlsx]原始数据'!$A:$A,0)),""))</f>
        <v/>
      </c>
      <c r="Q368">
        <f>IF($A368="","",IFERROR(INDEX('[AQ_2020.xlsx]原始数据'!$E:$E,MATCH($A368,'[AQ_2020.xlsx]原始数据'!$A:$A,0)),""))</f>
        <v/>
      </c>
      <c r="R368">
        <f>IF($A368="","",IFERROR(INDEX('[AQ_2021.xlsx]原始数据'!$E:$E,MATCH($A368,'[AQ_2021.xlsx]原始数据'!$A:$A,0)),""))</f>
        <v/>
      </c>
      <c r="S368">
        <f>IF($A368="","",IFERROR(INDEX('[AQ_2022.xlsx]原始数据'!$E:$E,MATCH($A368,'[AQ_2022.xlsx]原始数据'!$A:$A,0)),""))</f>
        <v/>
      </c>
      <c r="T368">
        <f>IF($A368="","",IFERROR(INDEX('[AQ_2023.xlsx]原始数据'!$E:$E,MATCH($A368,'[AQ_2023.xlsx]原始数据'!$A:$A,0)),""))</f>
        <v/>
      </c>
      <c r="U368">
        <f>IF($A368="","",IFERROR(INDEX('[AQ_2024.xlsx]原始数据'!$E:$E,MATCH($A368,'[AQ_2024.xlsx]原始数据'!$A:$A,0)),""))</f>
        <v/>
      </c>
      <c r="V368">
        <f>IF($A368="","",IFERROR(INDEX('[AQ_2020.xlsx]原始数据'!$F:$F,MATCH($A368,'[AQ_2020.xlsx]原始数据'!$A:$A,0)),""))</f>
        <v/>
      </c>
      <c r="W368">
        <f>IF($A368="","",IFERROR(INDEX('[AQ_2021.xlsx]原始数据'!$F:$F,MATCH($A368,'[AQ_2021.xlsx]原始数据'!$A:$A,0)),""))</f>
        <v/>
      </c>
      <c r="X368">
        <f>IF($A368="","",IFERROR(INDEX('[AQ_2022.xlsx]原始数据'!$F:$F,MATCH($A368,'[AQ_2022.xlsx]原始数据'!$A:$A,0)),""))</f>
        <v/>
      </c>
      <c r="Y368">
        <f>IF($A368="","",IFERROR(INDEX('[AQ_2023.xlsx]原始数据'!$F:$F,MATCH($A368,'[AQ_2023.xlsx]原始数据'!$A:$A,0)),""))</f>
        <v/>
      </c>
      <c r="Z368">
        <f>IF($A368="","",IFERROR(INDEX('[AQ_2024.xlsx]原始数据'!$F:$F,MATCH($A368,'[AQ_2024.xlsx]原始数据'!$A:$A,0)),""))</f>
        <v/>
      </c>
      <c r="AA368" s="2">
        <f>IFERROR(G368/B368,"")</f>
        <v/>
      </c>
      <c r="AB368" s="2">
        <f>IFERROR(H368/C368,"")</f>
        <v/>
      </c>
      <c r="AC368" s="2">
        <f>IFERROR(I368/D368,"")</f>
        <v/>
      </c>
      <c r="AD368" s="2">
        <f>IFERROR(J368/E368,"")</f>
        <v/>
      </c>
      <c r="AE368" s="2">
        <f>IFERROR(K368/F368,"")</f>
        <v/>
      </c>
      <c r="AF368" s="2">
        <f>IFERROR(L368/B368,"")</f>
        <v/>
      </c>
      <c r="AG368" s="2">
        <f>IFERROR(M368/C368,"")</f>
        <v/>
      </c>
      <c r="AH368" s="2">
        <f>IFERROR(N368/D368,"")</f>
        <v/>
      </c>
      <c r="AI368" s="2">
        <f>IFERROR(O368/E368,"")</f>
        <v/>
      </c>
      <c r="AJ368" s="2">
        <f>IFERROR(P368/F368,"")</f>
        <v/>
      </c>
      <c r="AK368" s="2">
        <f>IFERROR(Q368/B368,"")</f>
        <v/>
      </c>
      <c r="AL368" s="2">
        <f>IFERROR(R368/C368,"")</f>
        <v/>
      </c>
      <c r="AM368" s="2">
        <f>IFERROR(S368/D368,"")</f>
        <v/>
      </c>
      <c r="AN368" s="2">
        <f>IFERROR(T368/E368,"")</f>
        <v/>
      </c>
      <c r="AO368" s="2">
        <f>IFERROR(U368/F368,"")</f>
        <v/>
      </c>
    </row>
    <row r="369">
      <c r="B369">
        <f>IF($A369="","",IFERROR(INDEX('[AQ_2020.xlsx]原始数据'!$B:$B,MATCH($A369,'[AQ_2020.xlsx]原始数据'!$A:$A,0)),""))</f>
        <v/>
      </c>
      <c r="C369">
        <f>IF($A369="","",IFERROR(INDEX('[AQ_2021.xlsx]原始数据'!$B:$B,MATCH($A369,'[AQ_2021.xlsx]原始数据'!$A:$A,0)),""))</f>
        <v/>
      </c>
      <c r="D369">
        <f>IF($A369="","",IFERROR(INDEX('[AQ_2022.xlsx]原始数据'!$B:$B,MATCH($A369,'[AQ_2022.xlsx]原始数据'!$A:$A,0)),""))</f>
        <v/>
      </c>
      <c r="E369">
        <f>IF($A369="","",IFERROR(INDEX('[AQ_2023.xlsx]原始数据'!$B:$B,MATCH($A369,'[AQ_2023.xlsx]原始数据'!$A:$A,0)),""))</f>
        <v/>
      </c>
      <c r="F369">
        <f>IF($A369="","",IFERROR(INDEX('[AQ_2024.xlsx]原始数据'!$B:$B,MATCH($A369,'[AQ_2024.xlsx]原始数据'!$A:$A,0)),""))</f>
        <v/>
      </c>
      <c r="G369">
        <f>IF($A369="","",IFERROR(INDEX('[AQ_2020.xlsx]原始数据'!$C:$C,MATCH($A369,'[AQ_2020.xlsx]原始数据'!$A:$A,0)),""))</f>
        <v/>
      </c>
      <c r="H369">
        <f>IF($A369="","",IFERROR(INDEX('[AQ_2021.xlsx]原始数据'!$C:$C,MATCH($A369,'[AQ_2021.xlsx]原始数据'!$A:$A,0)),""))</f>
        <v/>
      </c>
      <c r="I369">
        <f>IF($A369="","",IFERROR(INDEX('[AQ_2022.xlsx]原始数据'!$C:$C,MATCH($A369,'[AQ_2022.xlsx]原始数据'!$A:$A,0)),""))</f>
        <v/>
      </c>
      <c r="J369">
        <f>IF($A369="","",IFERROR(INDEX('[AQ_2023.xlsx]原始数据'!$C:$C,MATCH($A369,'[AQ_2023.xlsx]原始数据'!$A:$A,0)),""))</f>
        <v/>
      </c>
      <c r="K369">
        <f>IF($A369="","",IFERROR(INDEX('[AQ_2024.xlsx]原始数据'!$C:$C,MATCH($A369,'[AQ_2024.xlsx]原始数据'!$A:$A,0)),""))</f>
        <v/>
      </c>
      <c r="L369">
        <f>IF($A369="","",IFERROR(INDEX('[AQ_2020.xlsx]原始数据'!$D:$D,MATCH($A369,'[AQ_2020.xlsx]原始数据'!$A:$A,0)),""))</f>
        <v/>
      </c>
      <c r="M369">
        <f>IF($A369="","",IFERROR(INDEX('[AQ_2021.xlsx]原始数据'!$D:$D,MATCH($A369,'[AQ_2021.xlsx]原始数据'!$A:$A,0)),""))</f>
        <v/>
      </c>
      <c r="N369">
        <f>IF($A369="","",IFERROR(INDEX('[AQ_2022.xlsx]原始数据'!$D:$D,MATCH($A369,'[AQ_2022.xlsx]原始数据'!$A:$A,0)),""))</f>
        <v/>
      </c>
      <c r="O369">
        <f>IF($A369="","",IFERROR(INDEX('[AQ_2023.xlsx]原始数据'!$D:$D,MATCH($A369,'[AQ_2023.xlsx]原始数据'!$A:$A,0)),""))</f>
        <v/>
      </c>
      <c r="P369">
        <f>IF($A369="","",IFERROR(INDEX('[AQ_2024.xlsx]原始数据'!$D:$D,MATCH($A369,'[AQ_2024.xlsx]原始数据'!$A:$A,0)),""))</f>
        <v/>
      </c>
      <c r="Q369">
        <f>IF($A369="","",IFERROR(INDEX('[AQ_2020.xlsx]原始数据'!$E:$E,MATCH($A369,'[AQ_2020.xlsx]原始数据'!$A:$A,0)),""))</f>
        <v/>
      </c>
      <c r="R369">
        <f>IF($A369="","",IFERROR(INDEX('[AQ_2021.xlsx]原始数据'!$E:$E,MATCH($A369,'[AQ_2021.xlsx]原始数据'!$A:$A,0)),""))</f>
        <v/>
      </c>
      <c r="S369">
        <f>IF($A369="","",IFERROR(INDEX('[AQ_2022.xlsx]原始数据'!$E:$E,MATCH($A369,'[AQ_2022.xlsx]原始数据'!$A:$A,0)),""))</f>
        <v/>
      </c>
      <c r="T369">
        <f>IF($A369="","",IFERROR(INDEX('[AQ_2023.xlsx]原始数据'!$E:$E,MATCH($A369,'[AQ_2023.xlsx]原始数据'!$A:$A,0)),""))</f>
        <v/>
      </c>
      <c r="U369">
        <f>IF($A369="","",IFERROR(INDEX('[AQ_2024.xlsx]原始数据'!$E:$E,MATCH($A369,'[AQ_2024.xlsx]原始数据'!$A:$A,0)),""))</f>
        <v/>
      </c>
      <c r="V369">
        <f>IF($A369="","",IFERROR(INDEX('[AQ_2020.xlsx]原始数据'!$F:$F,MATCH($A369,'[AQ_2020.xlsx]原始数据'!$A:$A,0)),""))</f>
        <v/>
      </c>
      <c r="W369">
        <f>IF($A369="","",IFERROR(INDEX('[AQ_2021.xlsx]原始数据'!$F:$F,MATCH($A369,'[AQ_2021.xlsx]原始数据'!$A:$A,0)),""))</f>
        <v/>
      </c>
      <c r="X369">
        <f>IF($A369="","",IFERROR(INDEX('[AQ_2022.xlsx]原始数据'!$F:$F,MATCH($A369,'[AQ_2022.xlsx]原始数据'!$A:$A,0)),""))</f>
        <v/>
      </c>
      <c r="Y369">
        <f>IF($A369="","",IFERROR(INDEX('[AQ_2023.xlsx]原始数据'!$F:$F,MATCH($A369,'[AQ_2023.xlsx]原始数据'!$A:$A,0)),""))</f>
        <v/>
      </c>
      <c r="Z369">
        <f>IF($A369="","",IFERROR(INDEX('[AQ_2024.xlsx]原始数据'!$F:$F,MATCH($A369,'[AQ_2024.xlsx]原始数据'!$A:$A,0)),""))</f>
        <v/>
      </c>
      <c r="AA369" s="2">
        <f>IFERROR(G369/B369,"")</f>
        <v/>
      </c>
      <c r="AB369" s="2">
        <f>IFERROR(H369/C369,"")</f>
        <v/>
      </c>
      <c r="AC369" s="2">
        <f>IFERROR(I369/D369,"")</f>
        <v/>
      </c>
      <c r="AD369" s="2">
        <f>IFERROR(J369/E369,"")</f>
        <v/>
      </c>
      <c r="AE369" s="2">
        <f>IFERROR(K369/F369,"")</f>
        <v/>
      </c>
      <c r="AF369" s="2">
        <f>IFERROR(L369/B369,"")</f>
        <v/>
      </c>
      <c r="AG369" s="2">
        <f>IFERROR(M369/C369,"")</f>
        <v/>
      </c>
      <c r="AH369" s="2">
        <f>IFERROR(N369/D369,"")</f>
        <v/>
      </c>
      <c r="AI369" s="2">
        <f>IFERROR(O369/E369,"")</f>
        <v/>
      </c>
      <c r="AJ369" s="2">
        <f>IFERROR(P369/F369,"")</f>
        <v/>
      </c>
      <c r="AK369" s="2">
        <f>IFERROR(Q369/B369,"")</f>
        <v/>
      </c>
      <c r="AL369" s="2">
        <f>IFERROR(R369/C369,"")</f>
        <v/>
      </c>
      <c r="AM369" s="2">
        <f>IFERROR(S369/D369,"")</f>
        <v/>
      </c>
      <c r="AN369" s="2">
        <f>IFERROR(T369/E369,"")</f>
        <v/>
      </c>
      <c r="AO369" s="2">
        <f>IFERROR(U369/F369,"")</f>
        <v/>
      </c>
    </row>
    <row r="370">
      <c r="B370">
        <f>IF($A370="","",IFERROR(INDEX('[AQ_2020.xlsx]原始数据'!$B:$B,MATCH($A370,'[AQ_2020.xlsx]原始数据'!$A:$A,0)),""))</f>
        <v/>
      </c>
      <c r="C370">
        <f>IF($A370="","",IFERROR(INDEX('[AQ_2021.xlsx]原始数据'!$B:$B,MATCH($A370,'[AQ_2021.xlsx]原始数据'!$A:$A,0)),""))</f>
        <v/>
      </c>
      <c r="D370">
        <f>IF($A370="","",IFERROR(INDEX('[AQ_2022.xlsx]原始数据'!$B:$B,MATCH($A370,'[AQ_2022.xlsx]原始数据'!$A:$A,0)),""))</f>
        <v/>
      </c>
      <c r="E370">
        <f>IF($A370="","",IFERROR(INDEX('[AQ_2023.xlsx]原始数据'!$B:$B,MATCH($A370,'[AQ_2023.xlsx]原始数据'!$A:$A,0)),""))</f>
        <v/>
      </c>
      <c r="F370">
        <f>IF($A370="","",IFERROR(INDEX('[AQ_2024.xlsx]原始数据'!$B:$B,MATCH($A370,'[AQ_2024.xlsx]原始数据'!$A:$A,0)),""))</f>
        <v/>
      </c>
      <c r="G370">
        <f>IF($A370="","",IFERROR(INDEX('[AQ_2020.xlsx]原始数据'!$C:$C,MATCH($A370,'[AQ_2020.xlsx]原始数据'!$A:$A,0)),""))</f>
        <v/>
      </c>
      <c r="H370">
        <f>IF($A370="","",IFERROR(INDEX('[AQ_2021.xlsx]原始数据'!$C:$C,MATCH($A370,'[AQ_2021.xlsx]原始数据'!$A:$A,0)),""))</f>
        <v/>
      </c>
      <c r="I370">
        <f>IF($A370="","",IFERROR(INDEX('[AQ_2022.xlsx]原始数据'!$C:$C,MATCH($A370,'[AQ_2022.xlsx]原始数据'!$A:$A,0)),""))</f>
        <v/>
      </c>
      <c r="J370">
        <f>IF($A370="","",IFERROR(INDEX('[AQ_2023.xlsx]原始数据'!$C:$C,MATCH($A370,'[AQ_2023.xlsx]原始数据'!$A:$A,0)),""))</f>
        <v/>
      </c>
      <c r="K370">
        <f>IF($A370="","",IFERROR(INDEX('[AQ_2024.xlsx]原始数据'!$C:$C,MATCH($A370,'[AQ_2024.xlsx]原始数据'!$A:$A,0)),""))</f>
        <v/>
      </c>
      <c r="L370">
        <f>IF($A370="","",IFERROR(INDEX('[AQ_2020.xlsx]原始数据'!$D:$D,MATCH($A370,'[AQ_2020.xlsx]原始数据'!$A:$A,0)),""))</f>
        <v/>
      </c>
      <c r="M370">
        <f>IF($A370="","",IFERROR(INDEX('[AQ_2021.xlsx]原始数据'!$D:$D,MATCH($A370,'[AQ_2021.xlsx]原始数据'!$A:$A,0)),""))</f>
        <v/>
      </c>
      <c r="N370">
        <f>IF($A370="","",IFERROR(INDEX('[AQ_2022.xlsx]原始数据'!$D:$D,MATCH($A370,'[AQ_2022.xlsx]原始数据'!$A:$A,0)),""))</f>
        <v/>
      </c>
      <c r="O370">
        <f>IF($A370="","",IFERROR(INDEX('[AQ_2023.xlsx]原始数据'!$D:$D,MATCH($A370,'[AQ_2023.xlsx]原始数据'!$A:$A,0)),""))</f>
        <v/>
      </c>
      <c r="P370">
        <f>IF($A370="","",IFERROR(INDEX('[AQ_2024.xlsx]原始数据'!$D:$D,MATCH($A370,'[AQ_2024.xlsx]原始数据'!$A:$A,0)),""))</f>
        <v/>
      </c>
      <c r="Q370">
        <f>IF($A370="","",IFERROR(INDEX('[AQ_2020.xlsx]原始数据'!$E:$E,MATCH($A370,'[AQ_2020.xlsx]原始数据'!$A:$A,0)),""))</f>
        <v/>
      </c>
      <c r="R370">
        <f>IF($A370="","",IFERROR(INDEX('[AQ_2021.xlsx]原始数据'!$E:$E,MATCH($A370,'[AQ_2021.xlsx]原始数据'!$A:$A,0)),""))</f>
        <v/>
      </c>
      <c r="S370">
        <f>IF($A370="","",IFERROR(INDEX('[AQ_2022.xlsx]原始数据'!$E:$E,MATCH($A370,'[AQ_2022.xlsx]原始数据'!$A:$A,0)),""))</f>
        <v/>
      </c>
      <c r="T370">
        <f>IF($A370="","",IFERROR(INDEX('[AQ_2023.xlsx]原始数据'!$E:$E,MATCH($A370,'[AQ_2023.xlsx]原始数据'!$A:$A,0)),""))</f>
        <v/>
      </c>
      <c r="U370">
        <f>IF($A370="","",IFERROR(INDEX('[AQ_2024.xlsx]原始数据'!$E:$E,MATCH($A370,'[AQ_2024.xlsx]原始数据'!$A:$A,0)),""))</f>
        <v/>
      </c>
      <c r="V370">
        <f>IF($A370="","",IFERROR(INDEX('[AQ_2020.xlsx]原始数据'!$F:$F,MATCH($A370,'[AQ_2020.xlsx]原始数据'!$A:$A,0)),""))</f>
        <v/>
      </c>
      <c r="W370">
        <f>IF($A370="","",IFERROR(INDEX('[AQ_2021.xlsx]原始数据'!$F:$F,MATCH($A370,'[AQ_2021.xlsx]原始数据'!$A:$A,0)),""))</f>
        <v/>
      </c>
      <c r="X370">
        <f>IF($A370="","",IFERROR(INDEX('[AQ_2022.xlsx]原始数据'!$F:$F,MATCH($A370,'[AQ_2022.xlsx]原始数据'!$A:$A,0)),""))</f>
        <v/>
      </c>
      <c r="Y370">
        <f>IF($A370="","",IFERROR(INDEX('[AQ_2023.xlsx]原始数据'!$F:$F,MATCH($A370,'[AQ_2023.xlsx]原始数据'!$A:$A,0)),""))</f>
        <v/>
      </c>
      <c r="Z370">
        <f>IF($A370="","",IFERROR(INDEX('[AQ_2024.xlsx]原始数据'!$F:$F,MATCH($A370,'[AQ_2024.xlsx]原始数据'!$A:$A,0)),""))</f>
        <v/>
      </c>
      <c r="AA370" s="2">
        <f>IFERROR(G370/B370,"")</f>
        <v/>
      </c>
      <c r="AB370" s="2">
        <f>IFERROR(H370/C370,"")</f>
        <v/>
      </c>
      <c r="AC370" s="2">
        <f>IFERROR(I370/D370,"")</f>
        <v/>
      </c>
      <c r="AD370" s="2">
        <f>IFERROR(J370/E370,"")</f>
        <v/>
      </c>
      <c r="AE370" s="2">
        <f>IFERROR(K370/F370,"")</f>
        <v/>
      </c>
      <c r="AF370" s="2">
        <f>IFERROR(L370/B370,"")</f>
        <v/>
      </c>
      <c r="AG370" s="2">
        <f>IFERROR(M370/C370,"")</f>
        <v/>
      </c>
      <c r="AH370" s="2">
        <f>IFERROR(N370/D370,"")</f>
        <v/>
      </c>
      <c r="AI370" s="2">
        <f>IFERROR(O370/E370,"")</f>
        <v/>
      </c>
      <c r="AJ370" s="2">
        <f>IFERROR(P370/F370,"")</f>
        <v/>
      </c>
      <c r="AK370" s="2">
        <f>IFERROR(Q370/B370,"")</f>
        <v/>
      </c>
      <c r="AL370" s="2">
        <f>IFERROR(R370/C370,"")</f>
        <v/>
      </c>
      <c r="AM370" s="2">
        <f>IFERROR(S370/D370,"")</f>
        <v/>
      </c>
      <c r="AN370" s="2">
        <f>IFERROR(T370/E370,"")</f>
        <v/>
      </c>
      <c r="AO370" s="2">
        <f>IFERROR(U370/F370,"")</f>
        <v/>
      </c>
    </row>
    <row r="371">
      <c r="B371">
        <f>IF($A371="","",IFERROR(INDEX('[AQ_2020.xlsx]原始数据'!$B:$B,MATCH($A371,'[AQ_2020.xlsx]原始数据'!$A:$A,0)),""))</f>
        <v/>
      </c>
      <c r="C371">
        <f>IF($A371="","",IFERROR(INDEX('[AQ_2021.xlsx]原始数据'!$B:$B,MATCH($A371,'[AQ_2021.xlsx]原始数据'!$A:$A,0)),""))</f>
        <v/>
      </c>
      <c r="D371">
        <f>IF($A371="","",IFERROR(INDEX('[AQ_2022.xlsx]原始数据'!$B:$B,MATCH($A371,'[AQ_2022.xlsx]原始数据'!$A:$A,0)),""))</f>
        <v/>
      </c>
      <c r="E371">
        <f>IF($A371="","",IFERROR(INDEX('[AQ_2023.xlsx]原始数据'!$B:$B,MATCH($A371,'[AQ_2023.xlsx]原始数据'!$A:$A,0)),""))</f>
        <v/>
      </c>
      <c r="F371">
        <f>IF($A371="","",IFERROR(INDEX('[AQ_2024.xlsx]原始数据'!$B:$B,MATCH($A371,'[AQ_2024.xlsx]原始数据'!$A:$A,0)),""))</f>
        <v/>
      </c>
      <c r="G371">
        <f>IF($A371="","",IFERROR(INDEX('[AQ_2020.xlsx]原始数据'!$C:$C,MATCH($A371,'[AQ_2020.xlsx]原始数据'!$A:$A,0)),""))</f>
        <v/>
      </c>
      <c r="H371">
        <f>IF($A371="","",IFERROR(INDEX('[AQ_2021.xlsx]原始数据'!$C:$C,MATCH($A371,'[AQ_2021.xlsx]原始数据'!$A:$A,0)),""))</f>
        <v/>
      </c>
      <c r="I371">
        <f>IF($A371="","",IFERROR(INDEX('[AQ_2022.xlsx]原始数据'!$C:$C,MATCH($A371,'[AQ_2022.xlsx]原始数据'!$A:$A,0)),""))</f>
        <v/>
      </c>
      <c r="J371">
        <f>IF($A371="","",IFERROR(INDEX('[AQ_2023.xlsx]原始数据'!$C:$C,MATCH($A371,'[AQ_2023.xlsx]原始数据'!$A:$A,0)),""))</f>
        <v/>
      </c>
      <c r="K371">
        <f>IF($A371="","",IFERROR(INDEX('[AQ_2024.xlsx]原始数据'!$C:$C,MATCH($A371,'[AQ_2024.xlsx]原始数据'!$A:$A,0)),""))</f>
        <v/>
      </c>
      <c r="L371">
        <f>IF($A371="","",IFERROR(INDEX('[AQ_2020.xlsx]原始数据'!$D:$D,MATCH($A371,'[AQ_2020.xlsx]原始数据'!$A:$A,0)),""))</f>
        <v/>
      </c>
      <c r="M371">
        <f>IF($A371="","",IFERROR(INDEX('[AQ_2021.xlsx]原始数据'!$D:$D,MATCH($A371,'[AQ_2021.xlsx]原始数据'!$A:$A,0)),""))</f>
        <v/>
      </c>
      <c r="N371">
        <f>IF($A371="","",IFERROR(INDEX('[AQ_2022.xlsx]原始数据'!$D:$D,MATCH($A371,'[AQ_2022.xlsx]原始数据'!$A:$A,0)),""))</f>
        <v/>
      </c>
      <c r="O371">
        <f>IF($A371="","",IFERROR(INDEX('[AQ_2023.xlsx]原始数据'!$D:$D,MATCH($A371,'[AQ_2023.xlsx]原始数据'!$A:$A,0)),""))</f>
        <v/>
      </c>
      <c r="P371">
        <f>IF($A371="","",IFERROR(INDEX('[AQ_2024.xlsx]原始数据'!$D:$D,MATCH($A371,'[AQ_2024.xlsx]原始数据'!$A:$A,0)),""))</f>
        <v/>
      </c>
      <c r="Q371">
        <f>IF($A371="","",IFERROR(INDEX('[AQ_2020.xlsx]原始数据'!$E:$E,MATCH($A371,'[AQ_2020.xlsx]原始数据'!$A:$A,0)),""))</f>
        <v/>
      </c>
      <c r="R371">
        <f>IF($A371="","",IFERROR(INDEX('[AQ_2021.xlsx]原始数据'!$E:$E,MATCH($A371,'[AQ_2021.xlsx]原始数据'!$A:$A,0)),""))</f>
        <v/>
      </c>
      <c r="S371">
        <f>IF($A371="","",IFERROR(INDEX('[AQ_2022.xlsx]原始数据'!$E:$E,MATCH($A371,'[AQ_2022.xlsx]原始数据'!$A:$A,0)),""))</f>
        <v/>
      </c>
      <c r="T371">
        <f>IF($A371="","",IFERROR(INDEX('[AQ_2023.xlsx]原始数据'!$E:$E,MATCH($A371,'[AQ_2023.xlsx]原始数据'!$A:$A,0)),""))</f>
        <v/>
      </c>
      <c r="U371">
        <f>IF($A371="","",IFERROR(INDEX('[AQ_2024.xlsx]原始数据'!$E:$E,MATCH($A371,'[AQ_2024.xlsx]原始数据'!$A:$A,0)),""))</f>
        <v/>
      </c>
      <c r="V371">
        <f>IF($A371="","",IFERROR(INDEX('[AQ_2020.xlsx]原始数据'!$F:$F,MATCH($A371,'[AQ_2020.xlsx]原始数据'!$A:$A,0)),""))</f>
        <v/>
      </c>
      <c r="W371">
        <f>IF($A371="","",IFERROR(INDEX('[AQ_2021.xlsx]原始数据'!$F:$F,MATCH($A371,'[AQ_2021.xlsx]原始数据'!$A:$A,0)),""))</f>
        <v/>
      </c>
      <c r="X371">
        <f>IF($A371="","",IFERROR(INDEX('[AQ_2022.xlsx]原始数据'!$F:$F,MATCH($A371,'[AQ_2022.xlsx]原始数据'!$A:$A,0)),""))</f>
        <v/>
      </c>
      <c r="Y371">
        <f>IF($A371="","",IFERROR(INDEX('[AQ_2023.xlsx]原始数据'!$F:$F,MATCH($A371,'[AQ_2023.xlsx]原始数据'!$A:$A,0)),""))</f>
        <v/>
      </c>
      <c r="Z371">
        <f>IF($A371="","",IFERROR(INDEX('[AQ_2024.xlsx]原始数据'!$F:$F,MATCH($A371,'[AQ_2024.xlsx]原始数据'!$A:$A,0)),""))</f>
        <v/>
      </c>
      <c r="AA371" s="2">
        <f>IFERROR(G371/B371,"")</f>
        <v/>
      </c>
      <c r="AB371" s="2">
        <f>IFERROR(H371/C371,"")</f>
        <v/>
      </c>
      <c r="AC371" s="2">
        <f>IFERROR(I371/D371,"")</f>
        <v/>
      </c>
      <c r="AD371" s="2">
        <f>IFERROR(J371/E371,"")</f>
        <v/>
      </c>
      <c r="AE371" s="2">
        <f>IFERROR(K371/F371,"")</f>
        <v/>
      </c>
      <c r="AF371" s="2">
        <f>IFERROR(L371/B371,"")</f>
        <v/>
      </c>
      <c r="AG371" s="2">
        <f>IFERROR(M371/C371,"")</f>
        <v/>
      </c>
      <c r="AH371" s="2">
        <f>IFERROR(N371/D371,"")</f>
        <v/>
      </c>
      <c r="AI371" s="2">
        <f>IFERROR(O371/E371,"")</f>
        <v/>
      </c>
      <c r="AJ371" s="2">
        <f>IFERROR(P371/F371,"")</f>
        <v/>
      </c>
      <c r="AK371" s="2">
        <f>IFERROR(Q371/B371,"")</f>
        <v/>
      </c>
      <c r="AL371" s="2">
        <f>IFERROR(R371/C371,"")</f>
        <v/>
      </c>
      <c r="AM371" s="2">
        <f>IFERROR(S371/D371,"")</f>
        <v/>
      </c>
      <c r="AN371" s="2">
        <f>IFERROR(T371/E371,"")</f>
        <v/>
      </c>
      <c r="AO371" s="2">
        <f>IFERROR(U371/F371,"")</f>
        <v/>
      </c>
    </row>
    <row r="372">
      <c r="B372">
        <f>IF($A372="","",IFERROR(INDEX('[AQ_2020.xlsx]原始数据'!$B:$B,MATCH($A372,'[AQ_2020.xlsx]原始数据'!$A:$A,0)),""))</f>
        <v/>
      </c>
      <c r="C372">
        <f>IF($A372="","",IFERROR(INDEX('[AQ_2021.xlsx]原始数据'!$B:$B,MATCH($A372,'[AQ_2021.xlsx]原始数据'!$A:$A,0)),""))</f>
        <v/>
      </c>
      <c r="D372">
        <f>IF($A372="","",IFERROR(INDEX('[AQ_2022.xlsx]原始数据'!$B:$B,MATCH($A372,'[AQ_2022.xlsx]原始数据'!$A:$A,0)),""))</f>
        <v/>
      </c>
      <c r="E372">
        <f>IF($A372="","",IFERROR(INDEX('[AQ_2023.xlsx]原始数据'!$B:$B,MATCH($A372,'[AQ_2023.xlsx]原始数据'!$A:$A,0)),""))</f>
        <v/>
      </c>
      <c r="F372">
        <f>IF($A372="","",IFERROR(INDEX('[AQ_2024.xlsx]原始数据'!$B:$B,MATCH($A372,'[AQ_2024.xlsx]原始数据'!$A:$A,0)),""))</f>
        <v/>
      </c>
      <c r="G372">
        <f>IF($A372="","",IFERROR(INDEX('[AQ_2020.xlsx]原始数据'!$C:$C,MATCH($A372,'[AQ_2020.xlsx]原始数据'!$A:$A,0)),""))</f>
        <v/>
      </c>
      <c r="H372">
        <f>IF($A372="","",IFERROR(INDEX('[AQ_2021.xlsx]原始数据'!$C:$C,MATCH($A372,'[AQ_2021.xlsx]原始数据'!$A:$A,0)),""))</f>
        <v/>
      </c>
      <c r="I372">
        <f>IF($A372="","",IFERROR(INDEX('[AQ_2022.xlsx]原始数据'!$C:$C,MATCH($A372,'[AQ_2022.xlsx]原始数据'!$A:$A,0)),""))</f>
        <v/>
      </c>
      <c r="J372">
        <f>IF($A372="","",IFERROR(INDEX('[AQ_2023.xlsx]原始数据'!$C:$C,MATCH($A372,'[AQ_2023.xlsx]原始数据'!$A:$A,0)),""))</f>
        <v/>
      </c>
      <c r="K372">
        <f>IF($A372="","",IFERROR(INDEX('[AQ_2024.xlsx]原始数据'!$C:$C,MATCH($A372,'[AQ_2024.xlsx]原始数据'!$A:$A,0)),""))</f>
        <v/>
      </c>
      <c r="L372">
        <f>IF($A372="","",IFERROR(INDEX('[AQ_2020.xlsx]原始数据'!$D:$D,MATCH($A372,'[AQ_2020.xlsx]原始数据'!$A:$A,0)),""))</f>
        <v/>
      </c>
      <c r="M372">
        <f>IF($A372="","",IFERROR(INDEX('[AQ_2021.xlsx]原始数据'!$D:$D,MATCH($A372,'[AQ_2021.xlsx]原始数据'!$A:$A,0)),""))</f>
        <v/>
      </c>
      <c r="N372">
        <f>IF($A372="","",IFERROR(INDEX('[AQ_2022.xlsx]原始数据'!$D:$D,MATCH($A372,'[AQ_2022.xlsx]原始数据'!$A:$A,0)),""))</f>
        <v/>
      </c>
      <c r="O372">
        <f>IF($A372="","",IFERROR(INDEX('[AQ_2023.xlsx]原始数据'!$D:$D,MATCH($A372,'[AQ_2023.xlsx]原始数据'!$A:$A,0)),""))</f>
        <v/>
      </c>
      <c r="P372">
        <f>IF($A372="","",IFERROR(INDEX('[AQ_2024.xlsx]原始数据'!$D:$D,MATCH($A372,'[AQ_2024.xlsx]原始数据'!$A:$A,0)),""))</f>
        <v/>
      </c>
      <c r="Q372">
        <f>IF($A372="","",IFERROR(INDEX('[AQ_2020.xlsx]原始数据'!$E:$E,MATCH($A372,'[AQ_2020.xlsx]原始数据'!$A:$A,0)),""))</f>
        <v/>
      </c>
      <c r="R372">
        <f>IF($A372="","",IFERROR(INDEX('[AQ_2021.xlsx]原始数据'!$E:$E,MATCH($A372,'[AQ_2021.xlsx]原始数据'!$A:$A,0)),""))</f>
        <v/>
      </c>
      <c r="S372">
        <f>IF($A372="","",IFERROR(INDEX('[AQ_2022.xlsx]原始数据'!$E:$E,MATCH($A372,'[AQ_2022.xlsx]原始数据'!$A:$A,0)),""))</f>
        <v/>
      </c>
      <c r="T372">
        <f>IF($A372="","",IFERROR(INDEX('[AQ_2023.xlsx]原始数据'!$E:$E,MATCH($A372,'[AQ_2023.xlsx]原始数据'!$A:$A,0)),""))</f>
        <v/>
      </c>
      <c r="U372">
        <f>IF($A372="","",IFERROR(INDEX('[AQ_2024.xlsx]原始数据'!$E:$E,MATCH($A372,'[AQ_2024.xlsx]原始数据'!$A:$A,0)),""))</f>
        <v/>
      </c>
      <c r="V372">
        <f>IF($A372="","",IFERROR(INDEX('[AQ_2020.xlsx]原始数据'!$F:$F,MATCH($A372,'[AQ_2020.xlsx]原始数据'!$A:$A,0)),""))</f>
        <v/>
      </c>
      <c r="W372">
        <f>IF($A372="","",IFERROR(INDEX('[AQ_2021.xlsx]原始数据'!$F:$F,MATCH($A372,'[AQ_2021.xlsx]原始数据'!$A:$A,0)),""))</f>
        <v/>
      </c>
      <c r="X372">
        <f>IF($A372="","",IFERROR(INDEX('[AQ_2022.xlsx]原始数据'!$F:$F,MATCH($A372,'[AQ_2022.xlsx]原始数据'!$A:$A,0)),""))</f>
        <v/>
      </c>
      <c r="Y372">
        <f>IF($A372="","",IFERROR(INDEX('[AQ_2023.xlsx]原始数据'!$F:$F,MATCH($A372,'[AQ_2023.xlsx]原始数据'!$A:$A,0)),""))</f>
        <v/>
      </c>
      <c r="Z372">
        <f>IF($A372="","",IFERROR(INDEX('[AQ_2024.xlsx]原始数据'!$F:$F,MATCH($A372,'[AQ_2024.xlsx]原始数据'!$A:$A,0)),""))</f>
        <v/>
      </c>
      <c r="AA372" s="2">
        <f>IFERROR(G372/B372,"")</f>
        <v/>
      </c>
      <c r="AB372" s="2">
        <f>IFERROR(H372/C372,"")</f>
        <v/>
      </c>
      <c r="AC372" s="2">
        <f>IFERROR(I372/D372,"")</f>
        <v/>
      </c>
      <c r="AD372" s="2">
        <f>IFERROR(J372/E372,"")</f>
        <v/>
      </c>
      <c r="AE372" s="2">
        <f>IFERROR(K372/F372,"")</f>
        <v/>
      </c>
      <c r="AF372" s="2">
        <f>IFERROR(L372/B372,"")</f>
        <v/>
      </c>
      <c r="AG372" s="2">
        <f>IFERROR(M372/C372,"")</f>
        <v/>
      </c>
      <c r="AH372" s="2">
        <f>IFERROR(N372/D372,"")</f>
        <v/>
      </c>
      <c r="AI372" s="2">
        <f>IFERROR(O372/E372,"")</f>
        <v/>
      </c>
      <c r="AJ372" s="2">
        <f>IFERROR(P372/F372,"")</f>
        <v/>
      </c>
      <c r="AK372" s="2">
        <f>IFERROR(Q372/B372,"")</f>
        <v/>
      </c>
      <c r="AL372" s="2">
        <f>IFERROR(R372/C372,"")</f>
        <v/>
      </c>
      <c r="AM372" s="2">
        <f>IFERROR(S372/D372,"")</f>
        <v/>
      </c>
      <c r="AN372" s="2">
        <f>IFERROR(T372/E372,"")</f>
        <v/>
      </c>
      <c r="AO372" s="2">
        <f>IFERROR(U372/F372,"")</f>
        <v/>
      </c>
    </row>
    <row r="373">
      <c r="B373">
        <f>IF($A373="","",IFERROR(INDEX('[AQ_2020.xlsx]原始数据'!$B:$B,MATCH($A373,'[AQ_2020.xlsx]原始数据'!$A:$A,0)),""))</f>
        <v/>
      </c>
      <c r="C373">
        <f>IF($A373="","",IFERROR(INDEX('[AQ_2021.xlsx]原始数据'!$B:$B,MATCH($A373,'[AQ_2021.xlsx]原始数据'!$A:$A,0)),""))</f>
        <v/>
      </c>
      <c r="D373">
        <f>IF($A373="","",IFERROR(INDEX('[AQ_2022.xlsx]原始数据'!$B:$B,MATCH($A373,'[AQ_2022.xlsx]原始数据'!$A:$A,0)),""))</f>
        <v/>
      </c>
      <c r="E373">
        <f>IF($A373="","",IFERROR(INDEX('[AQ_2023.xlsx]原始数据'!$B:$B,MATCH($A373,'[AQ_2023.xlsx]原始数据'!$A:$A,0)),""))</f>
        <v/>
      </c>
      <c r="F373">
        <f>IF($A373="","",IFERROR(INDEX('[AQ_2024.xlsx]原始数据'!$B:$B,MATCH($A373,'[AQ_2024.xlsx]原始数据'!$A:$A,0)),""))</f>
        <v/>
      </c>
      <c r="G373">
        <f>IF($A373="","",IFERROR(INDEX('[AQ_2020.xlsx]原始数据'!$C:$C,MATCH($A373,'[AQ_2020.xlsx]原始数据'!$A:$A,0)),""))</f>
        <v/>
      </c>
      <c r="H373">
        <f>IF($A373="","",IFERROR(INDEX('[AQ_2021.xlsx]原始数据'!$C:$C,MATCH($A373,'[AQ_2021.xlsx]原始数据'!$A:$A,0)),""))</f>
        <v/>
      </c>
      <c r="I373">
        <f>IF($A373="","",IFERROR(INDEX('[AQ_2022.xlsx]原始数据'!$C:$C,MATCH($A373,'[AQ_2022.xlsx]原始数据'!$A:$A,0)),""))</f>
        <v/>
      </c>
      <c r="J373">
        <f>IF($A373="","",IFERROR(INDEX('[AQ_2023.xlsx]原始数据'!$C:$C,MATCH($A373,'[AQ_2023.xlsx]原始数据'!$A:$A,0)),""))</f>
        <v/>
      </c>
      <c r="K373">
        <f>IF($A373="","",IFERROR(INDEX('[AQ_2024.xlsx]原始数据'!$C:$C,MATCH($A373,'[AQ_2024.xlsx]原始数据'!$A:$A,0)),""))</f>
        <v/>
      </c>
      <c r="L373">
        <f>IF($A373="","",IFERROR(INDEX('[AQ_2020.xlsx]原始数据'!$D:$D,MATCH($A373,'[AQ_2020.xlsx]原始数据'!$A:$A,0)),""))</f>
        <v/>
      </c>
      <c r="M373">
        <f>IF($A373="","",IFERROR(INDEX('[AQ_2021.xlsx]原始数据'!$D:$D,MATCH($A373,'[AQ_2021.xlsx]原始数据'!$A:$A,0)),""))</f>
        <v/>
      </c>
      <c r="N373">
        <f>IF($A373="","",IFERROR(INDEX('[AQ_2022.xlsx]原始数据'!$D:$D,MATCH($A373,'[AQ_2022.xlsx]原始数据'!$A:$A,0)),""))</f>
        <v/>
      </c>
      <c r="O373">
        <f>IF($A373="","",IFERROR(INDEX('[AQ_2023.xlsx]原始数据'!$D:$D,MATCH($A373,'[AQ_2023.xlsx]原始数据'!$A:$A,0)),""))</f>
        <v/>
      </c>
      <c r="P373">
        <f>IF($A373="","",IFERROR(INDEX('[AQ_2024.xlsx]原始数据'!$D:$D,MATCH($A373,'[AQ_2024.xlsx]原始数据'!$A:$A,0)),""))</f>
        <v/>
      </c>
      <c r="Q373">
        <f>IF($A373="","",IFERROR(INDEX('[AQ_2020.xlsx]原始数据'!$E:$E,MATCH($A373,'[AQ_2020.xlsx]原始数据'!$A:$A,0)),""))</f>
        <v/>
      </c>
      <c r="R373">
        <f>IF($A373="","",IFERROR(INDEX('[AQ_2021.xlsx]原始数据'!$E:$E,MATCH($A373,'[AQ_2021.xlsx]原始数据'!$A:$A,0)),""))</f>
        <v/>
      </c>
      <c r="S373">
        <f>IF($A373="","",IFERROR(INDEX('[AQ_2022.xlsx]原始数据'!$E:$E,MATCH($A373,'[AQ_2022.xlsx]原始数据'!$A:$A,0)),""))</f>
        <v/>
      </c>
      <c r="T373">
        <f>IF($A373="","",IFERROR(INDEX('[AQ_2023.xlsx]原始数据'!$E:$E,MATCH($A373,'[AQ_2023.xlsx]原始数据'!$A:$A,0)),""))</f>
        <v/>
      </c>
      <c r="U373">
        <f>IF($A373="","",IFERROR(INDEX('[AQ_2024.xlsx]原始数据'!$E:$E,MATCH($A373,'[AQ_2024.xlsx]原始数据'!$A:$A,0)),""))</f>
        <v/>
      </c>
      <c r="V373">
        <f>IF($A373="","",IFERROR(INDEX('[AQ_2020.xlsx]原始数据'!$F:$F,MATCH($A373,'[AQ_2020.xlsx]原始数据'!$A:$A,0)),""))</f>
        <v/>
      </c>
      <c r="W373">
        <f>IF($A373="","",IFERROR(INDEX('[AQ_2021.xlsx]原始数据'!$F:$F,MATCH($A373,'[AQ_2021.xlsx]原始数据'!$A:$A,0)),""))</f>
        <v/>
      </c>
      <c r="X373">
        <f>IF($A373="","",IFERROR(INDEX('[AQ_2022.xlsx]原始数据'!$F:$F,MATCH($A373,'[AQ_2022.xlsx]原始数据'!$A:$A,0)),""))</f>
        <v/>
      </c>
      <c r="Y373">
        <f>IF($A373="","",IFERROR(INDEX('[AQ_2023.xlsx]原始数据'!$F:$F,MATCH($A373,'[AQ_2023.xlsx]原始数据'!$A:$A,0)),""))</f>
        <v/>
      </c>
      <c r="Z373">
        <f>IF($A373="","",IFERROR(INDEX('[AQ_2024.xlsx]原始数据'!$F:$F,MATCH($A373,'[AQ_2024.xlsx]原始数据'!$A:$A,0)),""))</f>
        <v/>
      </c>
      <c r="AA373" s="2">
        <f>IFERROR(G373/B373,"")</f>
        <v/>
      </c>
      <c r="AB373" s="2">
        <f>IFERROR(H373/C373,"")</f>
        <v/>
      </c>
      <c r="AC373" s="2">
        <f>IFERROR(I373/D373,"")</f>
        <v/>
      </c>
      <c r="AD373" s="2">
        <f>IFERROR(J373/E373,"")</f>
        <v/>
      </c>
      <c r="AE373" s="2">
        <f>IFERROR(K373/F373,"")</f>
        <v/>
      </c>
      <c r="AF373" s="2">
        <f>IFERROR(L373/B373,"")</f>
        <v/>
      </c>
      <c r="AG373" s="2">
        <f>IFERROR(M373/C373,"")</f>
        <v/>
      </c>
      <c r="AH373" s="2">
        <f>IFERROR(N373/D373,"")</f>
        <v/>
      </c>
      <c r="AI373" s="2">
        <f>IFERROR(O373/E373,"")</f>
        <v/>
      </c>
      <c r="AJ373" s="2">
        <f>IFERROR(P373/F373,"")</f>
        <v/>
      </c>
      <c r="AK373" s="2">
        <f>IFERROR(Q373/B373,"")</f>
        <v/>
      </c>
      <c r="AL373" s="2">
        <f>IFERROR(R373/C373,"")</f>
        <v/>
      </c>
      <c r="AM373" s="2">
        <f>IFERROR(S373/D373,"")</f>
        <v/>
      </c>
      <c r="AN373" s="2">
        <f>IFERROR(T373/E373,"")</f>
        <v/>
      </c>
      <c r="AO373" s="2">
        <f>IFERROR(U373/F373,"")</f>
        <v/>
      </c>
    </row>
    <row r="374">
      <c r="B374">
        <f>IF($A374="","",IFERROR(INDEX('[AQ_2020.xlsx]原始数据'!$B:$B,MATCH($A374,'[AQ_2020.xlsx]原始数据'!$A:$A,0)),""))</f>
        <v/>
      </c>
      <c r="C374">
        <f>IF($A374="","",IFERROR(INDEX('[AQ_2021.xlsx]原始数据'!$B:$B,MATCH($A374,'[AQ_2021.xlsx]原始数据'!$A:$A,0)),""))</f>
        <v/>
      </c>
      <c r="D374">
        <f>IF($A374="","",IFERROR(INDEX('[AQ_2022.xlsx]原始数据'!$B:$B,MATCH($A374,'[AQ_2022.xlsx]原始数据'!$A:$A,0)),""))</f>
        <v/>
      </c>
      <c r="E374">
        <f>IF($A374="","",IFERROR(INDEX('[AQ_2023.xlsx]原始数据'!$B:$B,MATCH($A374,'[AQ_2023.xlsx]原始数据'!$A:$A,0)),""))</f>
        <v/>
      </c>
      <c r="F374">
        <f>IF($A374="","",IFERROR(INDEX('[AQ_2024.xlsx]原始数据'!$B:$B,MATCH($A374,'[AQ_2024.xlsx]原始数据'!$A:$A,0)),""))</f>
        <v/>
      </c>
      <c r="G374">
        <f>IF($A374="","",IFERROR(INDEX('[AQ_2020.xlsx]原始数据'!$C:$C,MATCH($A374,'[AQ_2020.xlsx]原始数据'!$A:$A,0)),""))</f>
        <v/>
      </c>
      <c r="H374">
        <f>IF($A374="","",IFERROR(INDEX('[AQ_2021.xlsx]原始数据'!$C:$C,MATCH($A374,'[AQ_2021.xlsx]原始数据'!$A:$A,0)),""))</f>
        <v/>
      </c>
      <c r="I374">
        <f>IF($A374="","",IFERROR(INDEX('[AQ_2022.xlsx]原始数据'!$C:$C,MATCH($A374,'[AQ_2022.xlsx]原始数据'!$A:$A,0)),""))</f>
        <v/>
      </c>
      <c r="J374">
        <f>IF($A374="","",IFERROR(INDEX('[AQ_2023.xlsx]原始数据'!$C:$C,MATCH($A374,'[AQ_2023.xlsx]原始数据'!$A:$A,0)),""))</f>
        <v/>
      </c>
      <c r="K374">
        <f>IF($A374="","",IFERROR(INDEX('[AQ_2024.xlsx]原始数据'!$C:$C,MATCH($A374,'[AQ_2024.xlsx]原始数据'!$A:$A,0)),""))</f>
        <v/>
      </c>
      <c r="L374">
        <f>IF($A374="","",IFERROR(INDEX('[AQ_2020.xlsx]原始数据'!$D:$D,MATCH($A374,'[AQ_2020.xlsx]原始数据'!$A:$A,0)),""))</f>
        <v/>
      </c>
      <c r="M374">
        <f>IF($A374="","",IFERROR(INDEX('[AQ_2021.xlsx]原始数据'!$D:$D,MATCH($A374,'[AQ_2021.xlsx]原始数据'!$A:$A,0)),""))</f>
        <v/>
      </c>
      <c r="N374">
        <f>IF($A374="","",IFERROR(INDEX('[AQ_2022.xlsx]原始数据'!$D:$D,MATCH($A374,'[AQ_2022.xlsx]原始数据'!$A:$A,0)),""))</f>
        <v/>
      </c>
      <c r="O374">
        <f>IF($A374="","",IFERROR(INDEX('[AQ_2023.xlsx]原始数据'!$D:$D,MATCH($A374,'[AQ_2023.xlsx]原始数据'!$A:$A,0)),""))</f>
        <v/>
      </c>
      <c r="P374">
        <f>IF($A374="","",IFERROR(INDEX('[AQ_2024.xlsx]原始数据'!$D:$D,MATCH($A374,'[AQ_2024.xlsx]原始数据'!$A:$A,0)),""))</f>
        <v/>
      </c>
      <c r="Q374">
        <f>IF($A374="","",IFERROR(INDEX('[AQ_2020.xlsx]原始数据'!$E:$E,MATCH($A374,'[AQ_2020.xlsx]原始数据'!$A:$A,0)),""))</f>
        <v/>
      </c>
      <c r="R374">
        <f>IF($A374="","",IFERROR(INDEX('[AQ_2021.xlsx]原始数据'!$E:$E,MATCH($A374,'[AQ_2021.xlsx]原始数据'!$A:$A,0)),""))</f>
        <v/>
      </c>
      <c r="S374">
        <f>IF($A374="","",IFERROR(INDEX('[AQ_2022.xlsx]原始数据'!$E:$E,MATCH($A374,'[AQ_2022.xlsx]原始数据'!$A:$A,0)),""))</f>
        <v/>
      </c>
      <c r="T374">
        <f>IF($A374="","",IFERROR(INDEX('[AQ_2023.xlsx]原始数据'!$E:$E,MATCH($A374,'[AQ_2023.xlsx]原始数据'!$A:$A,0)),""))</f>
        <v/>
      </c>
      <c r="U374">
        <f>IF($A374="","",IFERROR(INDEX('[AQ_2024.xlsx]原始数据'!$E:$E,MATCH($A374,'[AQ_2024.xlsx]原始数据'!$A:$A,0)),""))</f>
        <v/>
      </c>
      <c r="V374">
        <f>IF($A374="","",IFERROR(INDEX('[AQ_2020.xlsx]原始数据'!$F:$F,MATCH($A374,'[AQ_2020.xlsx]原始数据'!$A:$A,0)),""))</f>
        <v/>
      </c>
      <c r="W374">
        <f>IF($A374="","",IFERROR(INDEX('[AQ_2021.xlsx]原始数据'!$F:$F,MATCH($A374,'[AQ_2021.xlsx]原始数据'!$A:$A,0)),""))</f>
        <v/>
      </c>
      <c r="X374">
        <f>IF($A374="","",IFERROR(INDEX('[AQ_2022.xlsx]原始数据'!$F:$F,MATCH($A374,'[AQ_2022.xlsx]原始数据'!$A:$A,0)),""))</f>
        <v/>
      </c>
      <c r="Y374">
        <f>IF($A374="","",IFERROR(INDEX('[AQ_2023.xlsx]原始数据'!$F:$F,MATCH($A374,'[AQ_2023.xlsx]原始数据'!$A:$A,0)),""))</f>
        <v/>
      </c>
      <c r="Z374">
        <f>IF($A374="","",IFERROR(INDEX('[AQ_2024.xlsx]原始数据'!$F:$F,MATCH($A374,'[AQ_2024.xlsx]原始数据'!$A:$A,0)),""))</f>
        <v/>
      </c>
      <c r="AA374" s="2">
        <f>IFERROR(G374/B374,"")</f>
        <v/>
      </c>
      <c r="AB374" s="2">
        <f>IFERROR(H374/C374,"")</f>
        <v/>
      </c>
      <c r="AC374" s="2">
        <f>IFERROR(I374/D374,"")</f>
        <v/>
      </c>
      <c r="AD374" s="2">
        <f>IFERROR(J374/E374,"")</f>
        <v/>
      </c>
      <c r="AE374" s="2">
        <f>IFERROR(K374/F374,"")</f>
        <v/>
      </c>
      <c r="AF374" s="2">
        <f>IFERROR(L374/B374,"")</f>
        <v/>
      </c>
      <c r="AG374" s="2">
        <f>IFERROR(M374/C374,"")</f>
        <v/>
      </c>
      <c r="AH374" s="2">
        <f>IFERROR(N374/D374,"")</f>
        <v/>
      </c>
      <c r="AI374" s="2">
        <f>IFERROR(O374/E374,"")</f>
        <v/>
      </c>
      <c r="AJ374" s="2">
        <f>IFERROR(P374/F374,"")</f>
        <v/>
      </c>
      <c r="AK374" s="2">
        <f>IFERROR(Q374/B374,"")</f>
        <v/>
      </c>
      <c r="AL374" s="2">
        <f>IFERROR(R374/C374,"")</f>
        <v/>
      </c>
      <c r="AM374" s="2">
        <f>IFERROR(S374/D374,"")</f>
        <v/>
      </c>
      <c r="AN374" s="2">
        <f>IFERROR(T374/E374,"")</f>
        <v/>
      </c>
      <c r="AO374" s="2">
        <f>IFERROR(U374/F374,"")</f>
        <v/>
      </c>
    </row>
    <row r="375">
      <c r="B375">
        <f>IF($A375="","",IFERROR(INDEX('[AQ_2020.xlsx]原始数据'!$B:$B,MATCH($A375,'[AQ_2020.xlsx]原始数据'!$A:$A,0)),""))</f>
        <v/>
      </c>
      <c r="C375">
        <f>IF($A375="","",IFERROR(INDEX('[AQ_2021.xlsx]原始数据'!$B:$B,MATCH($A375,'[AQ_2021.xlsx]原始数据'!$A:$A,0)),""))</f>
        <v/>
      </c>
      <c r="D375">
        <f>IF($A375="","",IFERROR(INDEX('[AQ_2022.xlsx]原始数据'!$B:$B,MATCH($A375,'[AQ_2022.xlsx]原始数据'!$A:$A,0)),""))</f>
        <v/>
      </c>
      <c r="E375">
        <f>IF($A375="","",IFERROR(INDEX('[AQ_2023.xlsx]原始数据'!$B:$B,MATCH($A375,'[AQ_2023.xlsx]原始数据'!$A:$A,0)),""))</f>
        <v/>
      </c>
      <c r="F375">
        <f>IF($A375="","",IFERROR(INDEX('[AQ_2024.xlsx]原始数据'!$B:$B,MATCH($A375,'[AQ_2024.xlsx]原始数据'!$A:$A,0)),""))</f>
        <v/>
      </c>
      <c r="G375">
        <f>IF($A375="","",IFERROR(INDEX('[AQ_2020.xlsx]原始数据'!$C:$C,MATCH($A375,'[AQ_2020.xlsx]原始数据'!$A:$A,0)),""))</f>
        <v/>
      </c>
      <c r="H375">
        <f>IF($A375="","",IFERROR(INDEX('[AQ_2021.xlsx]原始数据'!$C:$C,MATCH($A375,'[AQ_2021.xlsx]原始数据'!$A:$A,0)),""))</f>
        <v/>
      </c>
      <c r="I375">
        <f>IF($A375="","",IFERROR(INDEX('[AQ_2022.xlsx]原始数据'!$C:$C,MATCH($A375,'[AQ_2022.xlsx]原始数据'!$A:$A,0)),""))</f>
        <v/>
      </c>
      <c r="J375">
        <f>IF($A375="","",IFERROR(INDEX('[AQ_2023.xlsx]原始数据'!$C:$C,MATCH($A375,'[AQ_2023.xlsx]原始数据'!$A:$A,0)),""))</f>
        <v/>
      </c>
      <c r="K375">
        <f>IF($A375="","",IFERROR(INDEX('[AQ_2024.xlsx]原始数据'!$C:$C,MATCH($A375,'[AQ_2024.xlsx]原始数据'!$A:$A,0)),""))</f>
        <v/>
      </c>
      <c r="L375">
        <f>IF($A375="","",IFERROR(INDEX('[AQ_2020.xlsx]原始数据'!$D:$D,MATCH($A375,'[AQ_2020.xlsx]原始数据'!$A:$A,0)),""))</f>
        <v/>
      </c>
      <c r="M375">
        <f>IF($A375="","",IFERROR(INDEX('[AQ_2021.xlsx]原始数据'!$D:$D,MATCH($A375,'[AQ_2021.xlsx]原始数据'!$A:$A,0)),""))</f>
        <v/>
      </c>
      <c r="N375">
        <f>IF($A375="","",IFERROR(INDEX('[AQ_2022.xlsx]原始数据'!$D:$D,MATCH($A375,'[AQ_2022.xlsx]原始数据'!$A:$A,0)),""))</f>
        <v/>
      </c>
      <c r="O375">
        <f>IF($A375="","",IFERROR(INDEX('[AQ_2023.xlsx]原始数据'!$D:$D,MATCH($A375,'[AQ_2023.xlsx]原始数据'!$A:$A,0)),""))</f>
        <v/>
      </c>
      <c r="P375">
        <f>IF($A375="","",IFERROR(INDEX('[AQ_2024.xlsx]原始数据'!$D:$D,MATCH($A375,'[AQ_2024.xlsx]原始数据'!$A:$A,0)),""))</f>
        <v/>
      </c>
      <c r="Q375">
        <f>IF($A375="","",IFERROR(INDEX('[AQ_2020.xlsx]原始数据'!$E:$E,MATCH($A375,'[AQ_2020.xlsx]原始数据'!$A:$A,0)),""))</f>
        <v/>
      </c>
      <c r="R375">
        <f>IF($A375="","",IFERROR(INDEX('[AQ_2021.xlsx]原始数据'!$E:$E,MATCH($A375,'[AQ_2021.xlsx]原始数据'!$A:$A,0)),""))</f>
        <v/>
      </c>
      <c r="S375">
        <f>IF($A375="","",IFERROR(INDEX('[AQ_2022.xlsx]原始数据'!$E:$E,MATCH($A375,'[AQ_2022.xlsx]原始数据'!$A:$A,0)),""))</f>
        <v/>
      </c>
      <c r="T375">
        <f>IF($A375="","",IFERROR(INDEX('[AQ_2023.xlsx]原始数据'!$E:$E,MATCH($A375,'[AQ_2023.xlsx]原始数据'!$A:$A,0)),""))</f>
        <v/>
      </c>
      <c r="U375">
        <f>IF($A375="","",IFERROR(INDEX('[AQ_2024.xlsx]原始数据'!$E:$E,MATCH($A375,'[AQ_2024.xlsx]原始数据'!$A:$A,0)),""))</f>
        <v/>
      </c>
      <c r="V375">
        <f>IF($A375="","",IFERROR(INDEX('[AQ_2020.xlsx]原始数据'!$F:$F,MATCH($A375,'[AQ_2020.xlsx]原始数据'!$A:$A,0)),""))</f>
        <v/>
      </c>
      <c r="W375">
        <f>IF($A375="","",IFERROR(INDEX('[AQ_2021.xlsx]原始数据'!$F:$F,MATCH($A375,'[AQ_2021.xlsx]原始数据'!$A:$A,0)),""))</f>
        <v/>
      </c>
      <c r="X375">
        <f>IF($A375="","",IFERROR(INDEX('[AQ_2022.xlsx]原始数据'!$F:$F,MATCH($A375,'[AQ_2022.xlsx]原始数据'!$A:$A,0)),""))</f>
        <v/>
      </c>
      <c r="Y375">
        <f>IF($A375="","",IFERROR(INDEX('[AQ_2023.xlsx]原始数据'!$F:$F,MATCH($A375,'[AQ_2023.xlsx]原始数据'!$A:$A,0)),""))</f>
        <v/>
      </c>
      <c r="Z375">
        <f>IF($A375="","",IFERROR(INDEX('[AQ_2024.xlsx]原始数据'!$F:$F,MATCH($A375,'[AQ_2024.xlsx]原始数据'!$A:$A,0)),""))</f>
        <v/>
      </c>
      <c r="AA375" s="2">
        <f>IFERROR(G375/B375,"")</f>
        <v/>
      </c>
      <c r="AB375" s="2">
        <f>IFERROR(H375/C375,"")</f>
        <v/>
      </c>
      <c r="AC375" s="2">
        <f>IFERROR(I375/D375,"")</f>
        <v/>
      </c>
      <c r="AD375" s="2">
        <f>IFERROR(J375/E375,"")</f>
        <v/>
      </c>
      <c r="AE375" s="2">
        <f>IFERROR(K375/F375,"")</f>
        <v/>
      </c>
      <c r="AF375" s="2">
        <f>IFERROR(L375/B375,"")</f>
        <v/>
      </c>
      <c r="AG375" s="2">
        <f>IFERROR(M375/C375,"")</f>
        <v/>
      </c>
      <c r="AH375" s="2">
        <f>IFERROR(N375/D375,"")</f>
        <v/>
      </c>
      <c r="AI375" s="2">
        <f>IFERROR(O375/E375,"")</f>
        <v/>
      </c>
      <c r="AJ375" s="2">
        <f>IFERROR(P375/F375,"")</f>
        <v/>
      </c>
      <c r="AK375" s="2">
        <f>IFERROR(Q375/B375,"")</f>
        <v/>
      </c>
      <c r="AL375" s="2">
        <f>IFERROR(R375/C375,"")</f>
        <v/>
      </c>
      <c r="AM375" s="2">
        <f>IFERROR(S375/D375,"")</f>
        <v/>
      </c>
      <c r="AN375" s="2">
        <f>IFERROR(T375/E375,"")</f>
        <v/>
      </c>
      <c r="AO375" s="2">
        <f>IFERROR(U375/F375,"")</f>
        <v/>
      </c>
    </row>
    <row r="376">
      <c r="B376">
        <f>IF($A376="","",IFERROR(INDEX('[AQ_2020.xlsx]原始数据'!$B:$B,MATCH($A376,'[AQ_2020.xlsx]原始数据'!$A:$A,0)),""))</f>
        <v/>
      </c>
      <c r="C376">
        <f>IF($A376="","",IFERROR(INDEX('[AQ_2021.xlsx]原始数据'!$B:$B,MATCH($A376,'[AQ_2021.xlsx]原始数据'!$A:$A,0)),""))</f>
        <v/>
      </c>
      <c r="D376">
        <f>IF($A376="","",IFERROR(INDEX('[AQ_2022.xlsx]原始数据'!$B:$B,MATCH($A376,'[AQ_2022.xlsx]原始数据'!$A:$A,0)),""))</f>
        <v/>
      </c>
      <c r="E376">
        <f>IF($A376="","",IFERROR(INDEX('[AQ_2023.xlsx]原始数据'!$B:$B,MATCH($A376,'[AQ_2023.xlsx]原始数据'!$A:$A,0)),""))</f>
        <v/>
      </c>
      <c r="F376">
        <f>IF($A376="","",IFERROR(INDEX('[AQ_2024.xlsx]原始数据'!$B:$B,MATCH($A376,'[AQ_2024.xlsx]原始数据'!$A:$A,0)),""))</f>
        <v/>
      </c>
      <c r="G376">
        <f>IF($A376="","",IFERROR(INDEX('[AQ_2020.xlsx]原始数据'!$C:$C,MATCH($A376,'[AQ_2020.xlsx]原始数据'!$A:$A,0)),""))</f>
        <v/>
      </c>
      <c r="H376">
        <f>IF($A376="","",IFERROR(INDEX('[AQ_2021.xlsx]原始数据'!$C:$C,MATCH($A376,'[AQ_2021.xlsx]原始数据'!$A:$A,0)),""))</f>
        <v/>
      </c>
      <c r="I376">
        <f>IF($A376="","",IFERROR(INDEX('[AQ_2022.xlsx]原始数据'!$C:$C,MATCH($A376,'[AQ_2022.xlsx]原始数据'!$A:$A,0)),""))</f>
        <v/>
      </c>
      <c r="J376">
        <f>IF($A376="","",IFERROR(INDEX('[AQ_2023.xlsx]原始数据'!$C:$C,MATCH($A376,'[AQ_2023.xlsx]原始数据'!$A:$A,0)),""))</f>
        <v/>
      </c>
      <c r="K376">
        <f>IF($A376="","",IFERROR(INDEX('[AQ_2024.xlsx]原始数据'!$C:$C,MATCH($A376,'[AQ_2024.xlsx]原始数据'!$A:$A,0)),""))</f>
        <v/>
      </c>
      <c r="L376">
        <f>IF($A376="","",IFERROR(INDEX('[AQ_2020.xlsx]原始数据'!$D:$D,MATCH($A376,'[AQ_2020.xlsx]原始数据'!$A:$A,0)),""))</f>
        <v/>
      </c>
      <c r="M376">
        <f>IF($A376="","",IFERROR(INDEX('[AQ_2021.xlsx]原始数据'!$D:$D,MATCH($A376,'[AQ_2021.xlsx]原始数据'!$A:$A,0)),""))</f>
        <v/>
      </c>
      <c r="N376">
        <f>IF($A376="","",IFERROR(INDEX('[AQ_2022.xlsx]原始数据'!$D:$D,MATCH($A376,'[AQ_2022.xlsx]原始数据'!$A:$A,0)),""))</f>
        <v/>
      </c>
      <c r="O376">
        <f>IF($A376="","",IFERROR(INDEX('[AQ_2023.xlsx]原始数据'!$D:$D,MATCH($A376,'[AQ_2023.xlsx]原始数据'!$A:$A,0)),""))</f>
        <v/>
      </c>
      <c r="P376">
        <f>IF($A376="","",IFERROR(INDEX('[AQ_2024.xlsx]原始数据'!$D:$D,MATCH($A376,'[AQ_2024.xlsx]原始数据'!$A:$A,0)),""))</f>
        <v/>
      </c>
      <c r="Q376">
        <f>IF($A376="","",IFERROR(INDEX('[AQ_2020.xlsx]原始数据'!$E:$E,MATCH($A376,'[AQ_2020.xlsx]原始数据'!$A:$A,0)),""))</f>
        <v/>
      </c>
      <c r="R376">
        <f>IF($A376="","",IFERROR(INDEX('[AQ_2021.xlsx]原始数据'!$E:$E,MATCH($A376,'[AQ_2021.xlsx]原始数据'!$A:$A,0)),""))</f>
        <v/>
      </c>
      <c r="S376">
        <f>IF($A376="","",IFERROR(INDEX('[AQ_2022.xlsx]原始数据'!$E:$E,MATCH($A376,'[AQ_2022.xlsx]原始数据'!$A:$A,0)),""))</f>
        <v/>
      </c>
      <c r="T376">
        <f>IF($A376="","",IFERROR(INDEX('[AQ_2023.xlsx]原始数据'!$E:$E,MATCH($A376,'[AQ_2023.xlsx]原始数据'!$A:$A,0)),""))</f>
        <v/>
      </c>
      <c r="U376">
        <f>IF($A376="","",IFERROR(INDEX('[AQ_2024.xlsx]原始数据'!$E:$E,MATCH($A376,'[AQ_2024.xlsx]原始数据'!$A:$A,0)),""))</f>
        <v/>
      </c>
      <c r="V376">
        <f>IF($A376="","",IFERROR(INDEX('[AQ_2020.xlsx]原始数据'!$F:$F,MATCH($A376,'[AQ_2020.xlsx]原始数据'!$A:$A,0)),""))</f>
        <v/>
      </c>
      <c r="W376">
        <f>IF($A376="","",IFERROR(INDEX('[AQ_2021.xlsx]原始数据'!$F:$F,MATCH($A376,'[AQ_2021.xlsx]原始数据'!$A:$A,0)),""))</f>
        <v/>
      </c>
      <c r="X376">
        <f>IF($A376="","",IFERROR(INDEX('[AQ_2022.xlsx]原始数据'!$F:$F,MATCH($A376,'[AQ_2022.xlsx]原始数据'!$A:$A,0)),""))</f>
        <v/>
      </c>
      <c r="Y376">
        <f>IF($A376="","",IFERROR(INDEX('[AQ_2023.xlsx]原始数据'!$F:$F,MATCH($A376,'[AQ_2023.xlsx]原始数据'!$A:$A,0)),""))</f>
        <v/>
      </c>
      <c r="Z376">
        <f>IF($A376="","",IFERROR(INDEX('[AQ_2024.xlsx]原始数据'!$F:$F,MATCH($A376,'[AQ_2024.xlsx]原始数据'!$A:$A,0)),""))</f>
        <v/>
      </c>
      <c r="AA376" s="2">
        <f>IFERROR(G376/B376,"")</f>
        <v/>
      </c>
      <c r="AB376" s="2">
        <f>IFERROR(H376/C376,"")</f>
        <v/>
      </c>
      <c r="AC376" s="2">
        <f>IFERROR(I376/D376,"")</f>
        <v/>
      </c>
      <c r="AD376" s="2">
        <f>IFERROR(J376/E376,"")</f>
        <v/>
      </c>
      <c r="AE376" s="2">
        <f>IFERROR(K376/F376,"")</f>
        <v/>
      </c>
      <c r="AF376" s="2">
        <f>IFERROR(L376/B376,"")</f>
        <v/>
      </c>
      <c r="AG376" s="2">
        <f>IFERROR(M376/C376,"")</f>
        <v/>
      </c>
      <c r="AH376" s="2">
        <f>IFERROR(N376/D376,"")</f>
        <v/>
      </c>
      <c r="AI376" s="2">
        <f>IFERROR(O376/E376,"")</f>
        <v/>
      </c>
      <c r="AJ376" s="2">
        <f>IFERROR(P376/F376,"")</f>
        <v/>
      </c>
      <c r="AK376" s="2">
        <f>IFERROR(Q376/B376,"")</f>
        <v/>
      </c>
      <c r="AL376" s="2">
        <f>IFERROR(R376/C376,"")</f>
        <v/>
      </c>
      <c r="AM376" s="2">
        <f>IFERROR(S376/D376,"")</f>
        <v/>
      </c>
      <c r="AN376" s="2">
        <f>IFERROR(T376/E376,"")</f>
        <v/>
      </c>
      <c r="AO376" s="2">
        <f>IFERROR(U376/F376,"")</f>
        <v/>
      </c>
    </row>
    <row r="377">
      <c r="B377">
        <f>IF($A377="","",IFERROR(INDEX('[AQ_2020.xlsx]原始数据'!$B:$B,MATCH($A377,'[AQ_2020.xlsx]原始数据'!$A:$A,0)),""))</f>
        <v/>
      </c>
      <c r="C377">
        <f>IF($A377="","",IFERROR(INDEX('[AQ_2021.xlsx]原始数据'!$B:$B,MATCH($A377,'[AQ_2021.xlsx]原始数据'!$A:$A,0)),""))</f>
        <v/>
      </c>
      <c r="D377">
        <f>IF($A377="","",IFERROR(INDEX('[AQ_2022.xlsx]原始数据'!$B:$B,MATCH($A377,'[AQ_2022.xlsx]原始数据'!$A:$A,0)),""))</f>
        <v/>
      </c>
      <c r="E377">
        <f>IF($A377="","",IFERROR(INDEX('[AQ_2023.xlsx]原始数据'!$B:$B,MATCH($A377,'[AQ_2023.xlsx]原始数据'!$A:$A,0)),""))</f>
        <v/>
      </c>
      <c r="F377">
        <f>IF($A377="","",IFERROR(INDEX('[AQ_2024.xlsx]原始数据'!$B:$B,MATCH($A377,'[AQ_2024.xlsx]原始数据'!$A:$A,0)),""))</f>
        <v/>
      </c>
      <c r="G377">
        <f>IF($A377="","",IFERROR(INDEX('[AQ_2020.xlsx]原始数据'!$C:$C,MATCH($A377,'[AQ_2020.xlsx]原始数据'!$A:$A,0)),""))</f>
        <v/>
      </c>
      <c r="H377">
        <f>IF($A377="","",IFERROR(INDEX('[AQ_2021.xlsx]原始数据'!$C:$C,MATCH($A377,'[AQ_2021.xlsx]原始数据'!$A:$A,0)),""))</f>
        <v/>
      </c>
      <c r="I377">
        <f>IF($A377="","",IFERROR(INDEX('[AQ_2022.xlsx]原始数据'!$C:$C,MATCH($A377,'[AQ_2022.xlsx]原始数据'!$A:$A,0)),""))</f>
        <v/>
      </c>
      <c r="J377">
        <f>IF($A377="","",IFERROR(INDEX('[AQ_2023.xlsx]原始数据'!$C:$C,MATCH($A377,'[AQ_2023.xlsx]原始数据'!$A:$A,0)),""))</f>
        <v/>
      </c>
      <c r="K377">
        <f>IF($A377="","",IFERROR(INDEX('[AQ_2024.xlsx]原始数据'!$C:$C,MATCH($A377,'[AQ_2024.xlsx]原始数据'!$A:$A,0)),""))</f>
        <v/>
      </c>
      <c r="L377">
        <f>IF($A377="","",IFERROR(INDEX('[AQ_2020.xlsx]原始数据'!$D:$D,MATCH($A377,'[AQ_2020.xlsx]原始数据'!$A:$A,0)),""))</f>
        <v/>
      </c>
      <c r="M377">
        <f>IF($A377="","",IFERROR(INDEX('[AQ_2021.xlsx]原始数据'!$D:$D,MATCH($A377,'[AQ_2021.xlsx]原始数据'!$A:$A,0)),""))</f>
        <v/>
      </c>
      <c r="N377">
        <f>IF($A377="","",IFERROR(INDEX('[AQ_2022.xlsx]原始数据'!$D:$D,MATCH($A377,'[AQ_2022.xlsx]原始数据'!$A:$A,0)),""))</f>
        <v/>
      </c>
      <c r="O377">
        <f>IF($A377="","",IFERROR(INDEX('[AQ_2023.xlsx]原始数据'!$D:$D,MATCH($A377,'[AQ_2023.xlsx]原始数据'!$A:$A,0)),""))</f>
        <v/>
      </c>
      <c r="P377">
        <f>IF($A377="","",IFERROR(INDEX('[AQ_2024.xlsx]原始数据'!$D:$D,MATCH($A377,'[AQ_2024.xlsx]原始数据'!$A:$A,0)),""))</f>
        <v/>
      </c>
      <c r="Q377">
        <f>IF($A377="","",IFERROR(INDEX('[AQ_2020.xlsx]原始数据'!$E:$E,MATCH($A377,'[AQ_2020.xlsx]原始数据'!$A:$A,0)),""))</f>
        <v/>
      </c>
      <c r="R377">
        <f>IF($A377="","",IFERROR(INDEX('[AQ_2021.xlsx]原始数据'!$E:$E,MATCH($A377,'[AQ_2021.xlsx]原始数据'!$A:$A,0)),""))</f>
        <v/>
      </c>
      <c r="S377">
        <f>IF($A377="","",IFERROR(INDEX('[AQ_2022.xlsx]原始数据'!$E:$E,MATCH($A377,'[AQ_2022.xlsx]原始数据'!$A:$A,0)),""))</f>
        <v/>
      </c>
      <c r="T377">
        <f>IF($A377="","",IFERROR(INDEX('[AQ_2023.xlsx]原始数据'!$E:$E,MATCH($A377,'[AQ_2023.xlsx]原始数据'!$A:$A,0)),""))</f>
        <v/>
      </c>
      <c r="U377">
        <f>IF($A377="","",IFERROR(INDEX('[AQ_2024.xlsx]原始数据'!$E:$E,MATCH($A377,'[AQ_2024.xlsx]原始数据'!$A:$A,0)),""))</f>
        <v/>
      </c>
      <c r="V377">
        <f>IF($A377="","",IFERROR(INDEX('[AQ_2020.xlsx]原始数据'!$F:$F,MATCH($A377,'[AQ_2020.xlsx]原始数据'!$A:$A,0)),""))</f>
        <v/>
      </c>
      <c r="W377">
        <f>IF($A377="","",IFERROR(INDEX('[AQ_2021.xlsx]原始数据'!$F:$F,MATCH($A377,'[AQ_2021.xlsx]原始数据'!$A:$A,0)),""))</f>
        <v/>
      </c>
      <c r="X377">
        <f>IF($A377="","",IFERROR(INDEX('[AQ_2022.xlsx]原始数据'!$F:$F,MATCH($A377,'[AQ_2022.xlsx]原始数据'!$A:$A,0)),""))</f>
        <v/>
      </c>
      <c r="Y377">
        <f>IF($A377="","",IFERROR(INDEX('[AQ_2023.xlsx]原始数据'!$F:$F,MATCH($A377,'[AQ_2023.xlsx]原始数据'!$A:$A,0)),""))</f>
        <v/>
      </c>
      <c r="Z377">
        <f>IF($A377="","",IFERROR(INDEX('[AQ_2024.xlsx]原始数据'!$F:$F,MATCH($A377,'[AQ_2024.xlsx]原始数据'!$A:$A,0)),""))</f>
        <v/>
      </c>
      <c r="AA377" s="2">
        <f>IFERROR(G377/B377,"")</f>
        <v/>
      </c>
      <c r="AB377" s="2">
        <f>IFERROR(H377/C377,"")</f>
        <v/>
      </c>
      <c r="AC377" s="2">
        <f>IFERROR(I377/D377,"")</f>
        <v/>
      </c>
      <c r="AD377" s="2">
        <f>IFERROR(J377/E377,"")</f>
        <v/>
      </c>
      <c r="AE377" s="2">
        <f>IFERROR(K377/F377,"")</f>
        <v/>
      </c>
      <c r="AF377" s="2">
        <f>IFERROR(L377/B377,"")</f>
        <v/>
      </c>
      <c r="AG377" s="2">
        <f>IFERROR(M377/C377,"")</f>
        <v/>
      </c>
      <c r="AH377" s="2">
        <f>IFERROR(N377/D377,"")</f>
        <v/>
      </c>
      <c r="AI377" s="2">
        <f>IFERROR(O377/E377,"")</f>
        <v/>
      </c>
      <c r="AJ377" s="2">
        <f>IFERROR(P377/F377,"")</f>
        <v/>
      </c>
      <c r="AK377" s="2">
        <f>IFERROR(Q377/B377,"")</f>
        <v/>
      </c>
      <c r="AL377" s="2">
        <f>IFERROR(R377/C377,"")</f>
        <v/>
      </c>
      <c r="AM377" s="2">
        <f>IFERROR(S377/D377,"")</f>
        <v/>
      </c>
      <c r="AN377" s="2">
        <f>IFERROR(T377/E377,"")</f>
        <v/>
      </c>
      <c r="AO377" s="2">
        <f>IFERROR(U377/F377,"")</f>
        <v/>
      </c>
    </row>
    <row r="378">
      <c r="B378">
        <f>IF($A378="","",IFERROR(INDEX('[AQ_2020.xlsx]原始数据'!$B:$B,MATCH($A378,'[AQ_2020.xlsx]原始数据'!$A:$A,0)),""))</f>
        <v/>
      </c>
      <c r="C378">
        <f>IF($A378="","",IFERROR(INDEX('[AQ_2021.xlsx]原始数据'!$B:$B,MATCH($A378,'[AQ_2021.xlsx]原始数据'!$A:$A,0)),""))</f>
        <v/>
      </c>
      <c r="D378">
        <f>IF($A378="","",IFERROR(INDEX('[AQ_2022.xlsx]原始数据'!$B:$B,MATCH($A378,'[AQ_2022.xlsx]原始数据'!$A:$A,0)),""))</f>
        <v/>
      </c>
      <c r="E378">
        <f>IF($A378="","",IFERROR(INDEX('[AQ_2023.xlsx]原始数据'!$B:$B,MATCH($A378,'[AQ_2023.xlsx]原始数据'!$A:$A,0)),""))</f>
        <v/>
      </c>
      <c r="F378">
        <f>IF($A378="","",IFERROR(INDEX('[AQ_2024.xlsx]原始数据'!$B:$B,MATCH($A378,'[AQ_2024.xlsx]原始数据'!$A:$A,0)),""))</f>
        <v/>
      </c>
      <c r="G378">
        <f>IF($A378="","",IFERROR(INDEX('[AQ_2020.xlsx]原始数据'!$C:$C,MATCH($A378,'[AQ_2020.xlsx]原始数据'!$A:$A,0)),""))</f>
        <v/>
      </c>
      <c r="H378">
        <f>IF($A378="","",IFERROR(INDEX('[AQ_2021.xlsx]原始数据'!$C:$C,MATCH($A378,'[AQ_2021.xlsx]原始数据'!$A:$A,0)),""))</f>
        <v/>
      </c>
      <c r="I378">
        <f>IF($A378="","",IFERROR(INDEX('[AQ_2022.xlsx]原始数据'!$C:$C,MATCH($A378,'[AQ_2022.xlsx]原始数据'!$A:$A,0)),""))</f>
        <v/>
      </c>
      <c r="J378">
        <f>IF($A378="","",IFERROR(INDEX('[AQ_2023.xlsx]原始数据'!$C:$C,MATCH($A378,'[AQ_2023.xlsx]原始数据'!$A:$A,0)),""))</f>
        <v/>
      </c>
      <c r="K378">
        <f>IF($A378="","",IFERROR(INDEX('[AQ_2024.xlsx]原始数据'!$C:$C,MATCH($A378,'[AQ_2024.xlsx]原始数据'!$A:$A,0)),""))</f>
        <v/>
      </c>
      <c r="L378">
        <f>IF($A378="","",IFERROR(INDEX('[AQ_2020.xlsx]原始数据'!$D:$D,MATCH($A378,'[AQ_2020.xlsx]原始数据'!$A:$A,0)),""))</f>
        <v/>
      </c>
      <c r="M378">
        <f>IF($A378="","",IFERROR(INDEX('[AQ_2021.xlsx]原始数据'!$D:$D,MATCH($A378,'[AQ_2021.xlsx]原始数据'!$A:$A,0)),""))</f>
        <v/>
      </c>
      <c r="N378">
        <f>IF($A378="","",IFERROR(INDEX('[AQ_2022.xlsx]原始数据'!$D:$D,MATCH($A378,'[AQ_2022.xlsx]原始数据'!$A:$A,0)),""))</f>
        <v/>
      </c>
      <c r="O378">
        <f>IF($A378="","",IFERROR(INDEX('[AQ_2023.xlsx]原始数据'!$D:$D,MATCH($A378,'[AQ_2023.xlsx]原始数据'!$A:$A,0)),""))</f>
        <v/>
      </c>
      <c r="P378">
        <f>IF($A378="","",IFERROR(INDEX('[AQ_2024.xlsx]原始数据'!$D:$D,MATCH($A378,'[AQ_2024.xlsx]原始数据'!$A:$A,0)),""))</f>
        <v/>
      </c>
      <c r="Q378">
        <f>IF($A378="","",IFERROR(INDEX('[AQ_2020.xlsx]原始数据'!$E:$E,MATCH($A378,'[AQ_2020.xlsx]原始数据'!$A:$A,0)),""))</f>
        <v/>
      </c>
      <c r="R378">
        <f>IF($A378="","",IFERROR(INDEX('[AQ_2021.xlsx]原始数据'!$E:$E,MATCH($A378,'[AQ_2021.xlsx]原始数据'!$A:$A,0)),""))</f>
        <v/>
      </c>
      <c r="S378">
        <f>IF($A378="","",IFERROR(INDEX('[AQ_2022.xlsx]原始数据'!$E:$E,MATCH($A378,'[AQ_2022.xlsx]原始数据'!$A:$A,0)),""))</f>
        <v/>
      </c>
      <c r="T378">
        <f>IF($A378="","",IFERROR(INDEX('[AQ_2023.xlsx]原始数据'!$E:$E,MATCH($A378,'[AQ_2023.xlsx]原始数据'!$A:$A,0)),""))</f>
        <v/>
      </c>
      <c r="U378">
        <f>IF($A378="","",IFERROR(INDEX('[AQ_2024.xlsx]原始数据'!$E:$E,MATCH($A378,'[AQ_2024.xlsx]原始数据'!$A:$A,0)),""))</f>
        <v/>
      </c>
      <c r="V378">
        <f>IF($A378="","",IFERROR(INDEX('[AQ_2020.xlsx]原始数据'!$F:$F,MATCH($A378,'[AQ_2020.xlsx]原始数据'!$A:$A,0)),""))</f>
        <v/>
      </c>
      <c r="W378">
        <f>IF($A378="","",IFERROR(INDEX('[AQ_2021.xlsx]原始数据'!$F:$F,MATCH($A378,'[AQ_2021.xlsx]原始数据'!$A:$A,0)),""))</f>
        <v/>
      </c>
      <c r="X378">
        <f>IF($A378="","",IFERROR(INDEX('[AQ_2022.xlsx]原始数据'!$F:$F,MATCH($A378,'[AQ_2022.xlsx]原始数据'!$A:$A,0)),""))</f>
        <v/>
      </c>
      <c r="Y378">
        <f>IF($A378="","",IFERROR(INDEX('[AQ_2023.xlsx]原始数据'!$F:$F,MATCH($A378,'[AQ_2023.xlsx]原始数据'!$A:$A,0)),""))</f>
        <v/>
      </c>
      <c r="Z378">
        <f>IF($A378="","",IFERROR(INDEX('[AQ_2024.xlsx]原始数据'!$F:$F,MATCH($A378,'[AQ_2024.xlsx]原始数据'!$A:$A,0)),""))</f>
        <v/>
      </c>
      <c r="AA378" s="2">
        <f>IFERROR(G378/B378,"")</f>
        <v/>
      </c>
      <c r="AB378" s="2">
        <f>IFERROR(H378/C378,"")</f>
        <v/>
      </c>
      <c r="AC378" s="2">
        <f>IFERROR(I378/D378,"")</f>
        <v/>
      </c>
      <c r="AD378" s="2">
        <f>IFERROR(J378/E378,"")</f>
        <v/>
      </c>
      <c r="AE378" s="2">
        <f>IFERROR(K378/F378,"")</f>
        <v/>
      </c>
      <c r="AF378" s="2">
        <f>IFERROR(L378/B378,"")</f>
        <v/>
      </c>
      <c r="AG378" s="2">
        <f>IFERROR(M378/C378,"")</f>
        <v/>
      </c>
      <c r="AH378" s="2">
        <f>IFERROR(N378/D378,"")</f>
        <v/>
      </c>
      <c r="AI378" s="2">
        <f>IFERROR(O378/E378,"")</f>
        <v/>
      </c>
      <c r="AJ378" s="2">
        <f>IFERROR(P378/F378,"")</f>
        <v/>
      </c>
      <c r="AK378" s="2">
        <f>IFERROR(Q378/B378,"")</f>
        <v/>
      </c>
      <c r="AL378" s="2">
        <f>IFERROR(R378/C378,"")</f>
        <v/>
      </c>
      <c r="AM378" s="2">
        <f>IFERROR(S378/D378,"")</f>
        <v/>
      </c>
      <c r="AN378" s="2">
        <f>IFERROR(T378/E378,"")</f>
        <v/>
      </c>
      <c r="AO378" s="2">
        <f>IFERROR(U378/F378,"")</f>
        <v/>
      </c>
    </row>
    <row r="379">
      <c r="B379">
        <f>IF($A379="","",IFERROR(INDEX('[AQ_2020.xlsx]原始数据'!$B:$B,MATCH($A379,'[AQ_2020.xlsx]原始数据'!$A:$A,0)),""))</f>
        <v/>
      </c>
      <c r="C379">
        <f>IF($A379="","",IFERROR(INDEX('[AQ_2021.xlsx]原始数据'!$B:$B,MATCH($A379,'[AQ_2021.xlsx]原始数据'!$A:$A,0)),""))</f>
        <v/>
      </c>
      <c r="D379">
        <f>IF($A379="","",IFERROR(INDEX('[AQ_2022.xlsx]原始数据'!$B:$B,MATCH($A379,'[AQ_2022.xlsx]原始数据'!$A:$A,0)),""))</f>
        <v/>
      </c>
      <c r="E379">
        <f>IF($A379="","",IFERROR(INDEX('[AQ_2023.xlsx]原始数据'!$B:$B,MATCH($A379,'[AQ_2023.xlsx]原始数据'!$A:$A,0)),""))</f>
        <v/>
      </c>
      <c r="F379">
        <f>IF($A379="","",IFERROR(INDEX('[AQ_2024.xlsx]原始数据'!$B:$B,MATCH($A379,'[AQ_2024.xlsx]原始数据'!$A:$A,0)),""))</f>
        <v/>
      </c>
      <c r="G379">
        <f>IF($A379="","",IFERROR(INDEX('[AQ_2020.xlsx]原始数据'!$C:$C,MATCH($A379,'[AQ_2020.xlsx]原始数据'!$A:$A,0)),""))</f>
        <v/>
      </c>
      <c r="H379">
        <f>IF($A379="","",IFERROR(INDEX('[AQ_2021.xlsx]原始数据'!$C:$C,MATCH($A379,'[AQ_2021.xlsx]原始数据'!$A:$A,0)),""))</f>
        <v/>
      </c>
      <c r="I379">
        <f>IF($A379="","",IFERROR(INDEX('[AQ_2022.xlsx]原始数据'!$C:$C,MATCH($A379,'[AQ_2022.xlsx]原始数据'!$A:$A,0)),""))</f>
        <v/>
      </c>
      <c r="J379">
        <f>IF($A379="","",IFERROR(INDEX('[AQ_2023.xlsx]原始数据'!$C:$C,MATCH($A379,'[AQ_2023.xlsx]原始数据'!$A:$A,0)),""))</f>
        <v/>
      </c>
      <c r="K379">
        <f>IF($A379="","",IFERROR(INDEX('[AQ_2024.xlsx]原始数据'!$C:$C,MATCH($A379,'[AQ_2024.xlsx]原始数据'!$A:$A,0)),""))</f>
        <v/>
      </c>
      <c r="L379">
        <f>IF($A379="","",IFERROR(INDEX('[AQ_2020.xlsx]原始数据'!$D:$D,MATCH($A379,'[AQ_2020.xlsx]原始数据'!$A:$A,0)),""))</f>
        <v/>
      </c>
      <c r="M379">
        <f>IF($A379="","",IFERROR(INDEX('[AQ_2021.xlsx]原始数据'!$D:$D,MATCH($A379,'[AQ_2021.xlsx]原始数据'!$A:$A,0)),""))</f>
        <v/>
      </c>
      <c r="N379">
        <f>IF($A379="","",IFERROR(INDEX('[AQ_2022.xlsx]原始数据'!$D:$D,MATCH($A379,'[AQ_2022.xlsx]原始数据'!$A:$A,0)),""))</f>
        <v/>
      </c>
      <c r="O379">
        <f>IF($A379="","",IFERROR(INDEX('[AQ_2023.xlsx]原始数据'!$D:$D,MATCH($A379,'[AQ_2023.xlsx]原始数据'!$A:$A,0)),""))</f>
        <v/>
      </c>
      <c r="P379">
        <f>IF($A379="","",IFERROR(INDEX('[AQ_2024.xlsx]原始数据'!$D:$D,MATCH($A379,'[AQ_2024.xlsx]原始数据'!$A:$A,0)),""))</f>
        <v/>
      </c>
      <c r="Q379">
        <f>IF($A379="","",IFERROR(INDEX('[AQ_2020.xlsx]原始数据'!$E:$E,MATCH($A379,'[AQ_2020.xlsx]原始数据'!$A:$A,0)),""))</f>
        <v/>
      </c>
      <c r="R379">
        <f>IF($A379="","",IFERROR(INDEX('[AQ_2021.xlsx]原始数据'!$E:$E,MATCH($A379,'[AQ_2021.xlsx]原始数据'!$A:$A,0)),""))</f>
        <v/>
      </c>
      <c r="S379">
        <f>IF($A379="","",IFERROR(INDEX('[AQ_2022.xlsx]原始数据'!$E:$E,MATCH($A379,'[AQ_2022.xlsx]原始数据'!$A:$A,0)),""))</f>
        <v/>
      </c>
      <c r="T379">
        <f>IF($A379="","",IFERROR(INDEX('[AQ_2023.xlsx]原始数据'!$E:$E,MATCH($A379,'[AQ_2023.xlsx]原始数据'!$A:$A,0)),""))</f>
        <v/>
      </c>
      <c r="U379">
        <f>IF($A379="","",IFERROR(INDEX('[AQ_2024.xlsx]原始数据'!$E:$E,MATCH($A379,'[AQ_2024.xlsx]原始数据'!$A:$A,0)),""))</f>
        <v/>
      </c>
      <c r="V379">
        <f>IF($A379="","",IFERROR(INDEX('[AQ_2020.xlsx]原始数据'!$F:$F,MATCH($A379,'[AQ_2020.xlsx]原始数据'!$A:$A,0)),""))</f>
        <v/>
      </c>
      <c r="W379">
        <f>IF($A379="","",IFERROR(INDEX('[AQ_2021.xlsx]原始数据'!$F:$F,MATCH($A379,'[AQ_2021.xlsx]原始数据'!$A:$A,0)),""))</f>
        <v/>
      </c>
      <c r="X379">
        <f>IF($A379="","",IFERROR(INDEX('[AQ_2022.xlsx]原始数据'!$F:$F,MATCH($A379,'[AQ_2022.xlsx]原始数据'!$A:$A,0)),""))</f>
        <v/>
      </c>
      <c r="Y379">
        <f>IF($A379="","",IFERROR(INDEX('[AQ_2023.xlsx]原始数据'!$F:$F,MATCH($A379,'[AQ_2023.xlsx]原始数据'!$A:$A,0)),""))</f>
        <v/>
      </c>
      <c r="Z379">
        <f>IF($A379="","",IFERROR(INDEX('[AQ_2024.xlsx]原始数据'!$F:$F,MATCH($A379,'[AQ_2024.xlsx]原始数据'!$A:$A,0)),""))</f>
        <v/>
      </c>
      <c r="AA379" s="2">
        <f>IFERROR(G379/B379,"")</f>
        <v/>
      </c>
      <c r="AB379" s="2">
        <f>IFERROR(H379/C379,"")</f>
        <v/>
      </c>
      <c r="AC379" s="2">
        <f>IFERROR(I379/D379,"")</f>
        <v/>
      </c>
      <c r="AD379" s="2">
        <f>IFERROR(J379/E379,"")</f>
        <v/>
      </c>
      <c r="AE379" s="2">
        <f>IFERROR(K379/F379,"")</f>
        <v/>
      </c>
      <c r="AF379" s="2">
        <f>IFERROR(L379/B379,"")</f>
        <v/>
      </c>
      <c r="AG379" s="2">
        <f>IFERROR(M379/C379,"")</f>
        <v/>
      </c>
      <c r="AH379" s="2">
        <f>IFERROR(N379/D379,"")</f>
        <v/>
      </c>
      <c r="AI379" s="2">
        <f>IFERROR(O379/E379,"")</f>
        <v/>
      </c>
      <c r="AJ379" s="2">
        <f>IFERROR(P379/F379,"")</f>
        <v/>
      </c>
      <c r="AK379" s="2">
        <f>IFERROR(Q379/B379,"")</f>
        <v/>
      </c>
      <c r="AL379" s="2">
        <f>IFERROR(R379/C379,"")</f>
        <v/>
      </c>
      <c r="AM379" s="2">
        <f>IFERROR(S379/D379,"")</f>
        <v/>
      </c>
      <c r="AN379" s="2">
        <f>IFERROR(T379/E379,"")</f>
        <v/>
      </c>
      <c r="AO379" s="2">
        <f>IFERROR(U379/F379,"")</f>
        <v/>
      </c>
    </row>
    <row r="380">
      <c r="B380">
        <f>IF($A380="","",IFERROR(INDEX('[AQ_2020.xlsx]原始数据'!$B:$B,MATCH($A380,'[AQ_2020.xlsx]原始数据'!$A:$A,0)),""))</f>
        <v/>
      </c>
      <c r="C380">
        <f>IF($A380="","",IFERROR(INDEX('[AQ_2021.xlsx]原始数据'!$B:$B,MATCH($A380,'[AQ_2021.xlsx]原始数据'!$A:$A,0)),""))</f>
        <v/>
      </c>
      <c r="D380">
        <f>IF($A380="","",IFERROR(INDEX('[AQ_2022.xlsx]原始数据'!$B:$B,MATCH($A380,'[AQ_2022.xlsx]原始数据'!$A:$A,0)),""))</f>
        <v/>
      </c>
      <c r="E380">
        <f>IF($A380="","",IFERROR(INDEX('[AQ_2023.xlsx]原始数据'!$B:$B,MATCH($A380,'[AQ_2023.xlsx]原始数据'!$A:$A,0)),""))</f>
        <v/>
      </c>
      <c r="F380">
        <f>IF($A380="","",IFERROR(INDEX('[AQ_2024.xlsx]原始数据'!$B:$B,MATCH($A380,'[AQ_2024.xlsx]原始数据'!$A:$A,0)),""))</f>
        <v/>
      </c>
      <c r="G380">
        <f>IF($A380="","",IFERROR(INDEX('[AQ_2020.xlsx]原始数据'!$C:$C,MATCH($A380,'[AQ_2020.xlsx]原始数据'!$A:$A,0)),""))</f>
        <v/>
      </c>
      <c r="H380">
        <f>IF($A380="","",IFERROR(INDEX('[AQ_2021.xlsx]原始数据'!$C:$C,MATCH($A380,'[AQ_2021.xlsx]原始数据'!$A:$A,0)),""))</f>
        <v/>
      </c>
      <c r="I380">
        <f>IF($A380="","",IFERROR(INDEX('[AQ_2022.xlsx]原始数据'!$C:$C,MATCH($A380,'[AQ_2022.xlsx]原始数据'!$A:$A,0)),""))</f>
        <v/>
      </c>
      <c r="J380">
        <f>IF($A380="","",IFERROR(INDEX('[AQ_2023.xlsx]原始数据'!$C:$C,MATCH($A380,'[AQ_2023.xlsx]原始数据'!$A:$A,0)),""))</f>
        <v/>
      </c>
      <c r="K380">
        <f>IF($A380="","",IFERROR(INDEX('[AQ_2024.xlsx]原始数据'!$C:$C,MATCH($A380,'[AQ_2024.xlsx]原始数据'!$A:$A,0)),""))</f>
        <v/>
      </c>
      <c r="L380">
        <f>IF($A380="","",IFERROR(INDEX('[AQ_2020.xlsx]原始数据'!$D:$D,MATCH($A380,'[AQ_2020.xlsx]原始数据'!$A:$A,0)),""))</f>
        <v/>
      </c>
      <c r="M380">
        <f>IF($A380="","",IFERROR(INDEX('[AQ_2021.xlsx]原始数据'!$D:$D,MATCH($A380,'[AQ_2021.xlsx]原始数据'!$A:$A,0)),""))</f>
        <v/>
      </c>
      <c r="N380">
        <f>IF($A380="","",IFERROR(INDEX('[AQ_2022.xlsx]原始数据'!$D:$D,MATCH($A380,'[AQ_2022.xlsx]原始数据'!$A:$A,0)),""))</f>
        <v/>
      </c>
      <c r="O380">
        <f>IF($A380="","",IFERROR(INDEX('[AQ_2023.xlsx]原始数据'!$D:$D,MATCH($A380,'[AQ_2023.xlsx]原始数据'!$A:$A,0)),""))</f>
        <v/>
      </c>
      <c r="P380">
        <f>IF($A380="","",IFERROR(INDEX('[AQ_2024.xlsx]原始数据'!$D:$D,MATCH($A380,'[AQ_2024.xlsx]原始数据'!$A:$A,0)),""))</f>
        <v/>
      </c>
      <c r="Q380">
        <f>IF($A380="","",IFERROR(INDEX('[AQ_2020.xlsx]原始数据'!$E:$E,MATCH($A380,'[AQ_2020.xlsx]原始数据'!$A:$A,0)),""))</f>
        <v/>
      </c>
      <c r="R380">
        <f>IF($A380="","",IFERROR(INDEX('[AQ_2021.xlsx]原始数据'!$E:$E,MATCH($A380,'[AQ_2021.xlsx]原始数据'!$A:$A,0)),""))</f>
        <v/>
      </c>
      <c r="S380">
        <f>IF($A380="","",IFERROR(INDEX('[AQ_2022.xlsx]原始数据'!$E:$E,MATCH($A380,'[AQ_2022.xlsx]原始数据'!$A:$A,0)),""))</f>
        <v/>
      </c>
      <c r="T380">
        <f>IF($A380="","",IFERROR(INDEX('[AQ_2023.xlsx]原始数据'!$E:$E,MATCH($A380,'[AQ_2023.xlsx]原始数据'!$A:$A,0)),""))</f>
        <v/>
      </c>
      <c r="U380">
        <f>IF($A380="","",IFERROR(INDEX('[AQ_2024.xlsx]原始数据'!$E:$E,MATCH($A380,'[AQ_2024.xlsx]原始数据'!$A:$A,0)),""))</f>
        <v/>
      </c>
      <c r="V380">
        <f>IF($A380="","",IFERROR(INDEX('[AQ_2020.xlsx]原始数据'!$F:$F,MATCH($A380,'[AQ_2020.xlsx]原始数据'!$A:$A,0)),""))</f>
        <v/>
      </c>
      <c r="W380">
        <f>IF($A380="","",IFERROR(INDEX('[AQ_2021.xlsx]原始数据'!$F:$F,MATCH($A380,'[AQ_2021.xlsx]原始数据'!$A:$A,0)),""))</f>
        <v/>
      </c>
      <c r="X380">
        <f>IF($A380="","",IFERROR(INDEX('[AQ_2022.xlsx]原始数据'!$F:$F,MATCH($A380,'[AQ_2022.xlsx]原始数据'!$A:$A,0)),""))</f>
        <v/>
      </c>
      <c r="Y380">
        <f>IF($A380="","",IFERROR(INDEX('[AQ_2023.xlsx]原始数据'!$F:$F,MATCH($A380,'[AQ_2023.xlsx]原始数据'!$A:$A,0)),""))</f>
        <v/>
      </c>
      <c r="Z380">
        <f>IF($A380="","",IFERROR(INDEX('[AQ_2024.xlsx]原始数据'!$F:$F,MATCH($A380,'[AQ_2024.xlsx]原始数据'!$A:$A,0)),""))</f>
        <v/>
      </c>
      <c r="AA380" s="2">
        <f>IFERROR(G380/B380,"")</f>
        <v/>
      </c>
      <c r="AB380" s="2">
        <f>IFERROR(H380/C380,"")</f>
        <v/>
      </c>
      <c r="AC380" s="2">
        <f>IFERROR(I380/D380,"")</f>
        <v/>
      </c>
      <c r="AD380" s="2">
        <f>IFERROR(J380/E380,"")</f>
        <v/>
      </c>
      <c r="AE380" s="2">
        <f>IFERROR(K380/F380,"")</f>
        <v/>
      </c>
      <c r="AF380" s="2">
        <f>IFERROR(L380/B380,"")</f>
        <v/>
      </c>
      <c r="AG380" s="2">
        <f>IFERROR(M380/C380,"")</f>
        <v/>
      </c>
      <c r="AH380" s="2">
        <f>IFERROR(N380/D380,"")</f>
        <v/>
      </c>
      <c r="AI380" s="2">
        <f>IFERROR(O380/E380,"")</f>
        <v/>
      </c>
      <c r="AJ380" s="2">
        <f>IFERROR(P380/F380,"")</f>
        <v/>
      </c>
      <c r="AK380" s="2">
        <f>IFERROR(Q380/B380,"")</f>
        <v/>
      </c>
      <c r="AL380" s="2">
        <f>IFERROR(R380/C380,"")</f>
        <v/>
      </c>
      <c r="AM380" s="2">
        <f>IFERROR(S380/D380,"")</f>
        <v/>
      </c>
      <c r="AN380" s="2">
        <f>IFERROR(T380/E380,"")</f>
        <v/>
      </c>
      <c r="AO380" s="2">
        <f>IFERROR(U380/F380,"")</f>
        <v/>
      </c>
    </row>
    <row r="381">
      <c r="B381">
        <f>IF($A381="","",IFERROR(INDEX('[AQ_2020.xlsx]原始数据'!$B:$B,MATCH($A381,'[AQ_2020.xlsx]原始数据'!$A:$A,0)),""))</f>
        <v/>
      </c>
      <c r="C381">
        <f>IF($A381="","",IFERROR(INDEX('[AQ_2021.xlsx]原始数据'!$B:$B,MATCH($A381,'[AQ_2021.xlsx]原始数据'!$A:$A,0)),""))</f>
        <v/>
      </c>
      <c r="D381">
        <f>IF($A381="","",IFERROR(INDEX('[AQ_2022.xlsx]原始数据'!$B:$B,MATCH($A381,'[AQ_2022.xlsx]原始数据'!$A:$A,0)),""))</f>
        <v/>
      </c>
      <c r="E381">
        <f>IF($A381="","",IFERROR(INDEX('[AQ_2023.xlsx]原始数据'!$B:$B,MATCH($A381,'[AQ_2023.xlsx]原始数据'!$A:$A,0)),""))</f>
        <v/>
      </c>
      <c r="F381">
        <f>IF($A381="","",IFERROR(INDEX('[AQ_2024.xlsx]原始数据'!$B:$B,MATCH($A381,'[AQ_2024.xlsx]原始数据'!$A:$A,0)),""))</f>
        <v/>
      </c>
      <c r="G381">
        <f>IF($A381="","",IFERROR(INDEX('[AQ_2020.xlsx]原始数据'!$C:$C,MATCH($A381,'[AQ_2020.xlsx]原始数据'!$A:$A,0)),""))</f>
        <v/>
      </c>
      <c r="H381">
        <f>IF($A381="","",IFERROR(INDEX('[AQ_2021.xlsx]原始数据'!$C:$C,MATCH($A381,'[AQ_2021.xlsx]原始数据'!$A:$A,0)),""))</f>
        <v/>
      </c>
      <c r="I381">
        <f>IF($A381="","",IFERROR(INDEX('[AQ_2022.xlsx]原始数据'!$C:$C,MATCH($A381,'[AQ_2022.xlsx]原始数据'!$A:$A,0)),""))</f>
        <v/>
      </c>
      <c r="J381">
        <f>IF($A381="","",IFERROR(INDEX('[AQ_2023.xlsx]原始数据'!$C:$C,MATCH($A381,'[AQ_2023.xlsx]原始数据'!$A:$A,0)),""))</f>
        <v/>
      </c>
      <c r="K381">
        <f>IF($A381="","",IFERROR(INDEX('[AQ_2024.xlsx]原始数据'!$C:$C,MATCH($A381,'[AQ_2024.xlsx]原始数据'!$A:$A,0)),""))</f>
        <v/>
      </c>
      <c r="L381">
        <f>IF($A381="","",IFERROR(INDEX('[AQ_2020.xlsx]原始数据'!$D:$D,MATCH($A381,'[AQ_2020.xlsx]原始数据'!$A:$A,0)),""))</f>
        <v/>
      </c>
      <c r="M381">
        <f>IF($A381="","",IFERROR(INDEX('[AQ_2021.xlsx]原始数据'!$D:$D,MATCH($A381,'[AQ_2021.xlsx]原始数据'!$A:$A,0)),""))</f>
        <v/>
      </c>
      <c r="N381">
        <f>IF($A381="","",IFERROR(INDEX('[AQ_2022.xlsx]原始数据'!$D:$D,MATCH($A381,'[AQ_2022.xlsx]原始数据'!$A:$A,0)),""))</f>
        <v/>
      </c>
      <c r="O381">
        <f>IF($A381="","",IFERROR(INDEX('[AQ_2023.xlsx]原始数据'!$D:$D,MATCH($A381,'[AQ_2023.xlsx]原始数据'!$A:$A,0)),""))</f>
        <v/>
      </c>
      <c r="P381">
        <f>IF($A381="","",IFERROR(INDEX('[AQ_2024.xlsx]原始数据'!$D:$D,MATCH($A381,'[AQ_2024.xlsx]原始数据'!$A:$A,0)),""))</f>
        <v/>
      </c>
      <c r="Q381">
        <f>IF($A381="","",IFERROR(INDEX('[AQ_2020.xlsx]原始数据'!$E:$E,MATCH($A381,'[AQ_2020.xlsx]原始数据'!$A:$A,0)),""))</f>
        <v/>
      </c>
      <c r="R381">
        <f>IF($A381="","",IFERROR(INDEX('[AQ_2021.xlsx]原始数据'!$E:$E,MATCH($A381,'[AQ_2021.xlsx]原始数据'!$A:$A,0)),""))</f>
        <v/>
      </c>
      <c r="S381">
        <f>IF($A381="","",IFERROR(INDEX('[AQ_2022.xlsx]原始数据'!$E:$E,MATCH($A381,'[AQ_2022.xlsx]原始数据'!$A:$A,0)),""))</f>
        <v/>
      </c>
      <c r="T381">
        <f>IF($A381="","",IFERROR(INDEX('[AQ_2023.xlsx]原始数据'!$E:$E,MATCH($A381,'[AQ_2023.xlsx]原始数据'!$A:$A,0)),""))</f>
        <v/>
      </c>
      <c r="U381">
        <f>IF($A381="","",IFERROR(INDEX('[AQ_2024.xlsx]原始数据'!$E:$E,MATCH($A381,'[AQ_2024.xlsx]原始数据'!$A:$A,0)),""))</f>
        <v/>
      </c>
      <c r="V381">
        <f>IF($A381="","",IFERROR(INDEX('[AQ_2020.xlsx]原始数据'!$F:$F,MATCH($A381,'[AQ_2020.xlsx]原始数据'!$A:$A,0)),""))</f>
        <v/>
      </c>
      <c r="W381">
        <f>IF($A381="","",IFERROR(INDEX('[AQ_2021.xlsx]原始数据'!$F:$F,MATCH($A381,'[AQ_2021.xlsx]原始数据'!$A:$A,0)),""))</f>
        <v/>
      </c>
      <c r="X381">
        <f>IF($A381="","",IFERROR(INDEX('[AQ_2022.xlsx]原始数据'!$F:$F,MATCH($A381,'[AQ_2022.xlsx]原始数据'!$A:$A,0)),""))</f>
        <v/>
      </c>
      <c r="Y381">
        <f>IF($A381="","",IFERROR(INDEX('[AQ_2023.xlsx]原始数据'!$F:$F,MATCH($A381,'[AQ_2023.xlsx]原始数据'!$A:$A,0)),""))</f>
        <v/>
      </c>
      <c r="Z381">
        <f>IF($A381="","",IFERROR(INDEX('[AQ_2024.xlsx]原始数据'!$F:$F,MATCH($A381,'[AQ_2024.xlsx]原始数据'!$A:$A,0)),""))</f>
        <v/>
      </c>
      <c r="AA381" s="2">
        <f>IFERROR(G381/B381,"")</f>
        <v/>
      </c>
      <c r="AB381" s="2">
        <f>IFERROR(H381/C381,"")</f>
        <v/>
      </c>
      <c r="AC381" s="2">
        <f>IFERROR(I381/D381,"")</f>
        <v/>
      </c>
      <c r="AD381" s="2">
        <f>IFERROR(J381/E381,"")</f>
        <v/>
      </c>
      <c r="AE381" s="2">
        <f>IFERROR(K381/F381,"")</f>
        <v/>
      </c>
      <c r="AF381" s="2">
        <f>IFERROR(L381/B381,"")</f>
        <v/>
      </c>
      <c r="AG381" s="2">
        <f>IFERROR(M381/C381,"")</f>
        <v/>
      </c>
      <c r="AH381" s="2">
        <f>IFERROR(N381/D381,"")</f>
        <v/>
      </c>
      <c r="AI381" s="2">
        <f>IFERROR(O381/E381,"")</f>
        <v/>
      </c>
      <c r="AJ381" s="2">
        <f>IFERROR(P381/F381,"")</f>
        <v/>
      </c>
      <c r="AK381" s="2">
        <f>IFERROR(Q381/B381,"")</f>
        <v/>
      </c>
      <c r="AL381" s="2">
        <f>IFERROR(R381/C381,"")</f>
        <v/>
      </c>
      <c r="AM381" s="2">
        <f>IFERROR(S381/D381,"")</f>
        <v/>
      </c>
      <c r="AN381" s="2">
        <f>IFERROR(T381/E381,"")</f>
        <v/>
      </c>
      <c r="AO381" s="2">
        <f>IFERROR(U381/F381,"")</f>
        <v/>
      </c>
    </row>
    <row r="382">
      <c r="B382">
        <f>IF($A382="","",IFERROR(INDEX('[AQ_2020.xlsx]原始数据'!$B:$B,MATCH($A382,'[AQ_2020.xlsx]原始数据'!$A:$A,0)),""))</f>
        <v/>
      </c>
      <c r="C382">
        <f>IF($A382="","",IFERROR(INDEX('[AQ_2021.xlsx]原始数据'!$B:$B,MATCH($A382,'[AQ_2021.xlsx]原始数据'!$A:$A,0)),""))</f>
        <v/>
      </c>
      <c r="D382">
        <f>IF($A382="","",IFERROR(INDEX('[AQ_2022.xlsx]原始数据'!$B:$B,MATCH($A382,'[AQ_2022.xlsx]原始数据'!$A:$A,0)),""))</f>
        <v/>
      </c>
      <c r="E382">
        <f>IF($A382="","",IFERROR(INDEX('[AQ_2023.xlsx]原始数据'!$B:$B,MATCH($A382,'[AQ_2023.xlsx]原始数据'!$A:$A,0)),""))</f>
        <v/>
      </c>
      <c r="F382">
        <f>IF($A382="","",IFERROR(INDEX('[AQ_2024.xlsx]原始数据'!$B:$B,MATCH($A382,'[AQ_2024.xlsx]原始数据'!$A:$A,0)),""))</f>
        <v/>
      </c>
      <c r="G382">
        <f>IF($A382="","",IFERROR(INDEX('[AQ_2020.xlsx]原始数据'!$C:$C,MATCH($A382,'[AQ_2020.xlsx]原始数据'!$A:$A,0)),""))</f>
        <v/>
      </c>
      <c r="H382">
        <f>IF($A382="","",IFERROR(INDEX('[AQ_2021.xlsx]原始数据'!$C:$C,MATCH($A382,'[AQ_2021.xlsx]原始数据'!$A:$A,0)),""))</f>
        <v/>
      </c>
      <c r="I382">
        <f>IF($A382="","",IFERROR(INDEX('[AQ_2022.xlsx]原始数据'!$C:$C,MATCH($A382,'[AQ_2022.xlsx]原始数据'!$A:$A,0)),""))</f>
        <v/>
      </c>
      <c r="J382">
        <f>IF($A382="","",IFERROR(INDEX('[AQ_2023.xlsx]原始数据'!$C:$C,MATCH($A382,'[AQ_2023.xlsx]原始数据'!$A:$A,0)),""))</f>
        <v/>
      </c>
      <c r="K382">
        <f>IF($A382="","",IFERROR(INDEX('[AQ_2024.xlsx]原始数据'!$C:$C,MATCH($A382,'[AQ_2024.xlsx]原始数据'!$A:$A,0)),""))</f>
        <v/>
      </c>
      <c r="L382">
        <f>IF($A382="","",IFERROR(INDEX('[AQ_2020.xlsx]原始数据'!$D:$D,MATCH($A382,'[AQ_2020.xlsx]原始数据'!$A:$A,0)),""))</f>
        <v/>
      </c>
      <c r="M382">
        <f>IF($A382="","",IFERROR(INDEX('[AQ_2021.xlsx]原始数据'!$D:$D,MATCH($A382,'[AQ_2021.xlsx]原始数据'!$A:$A,0)),""))</f>
        <v/>
      </c>
      <c r="N382">
        <f>IF($A382="","",IFERROR(INDEX('[AQ_2022.xlsx]原始数据'!$D:$D,MATCH($A382,'[AQ_2022.xlsx]原始数据'!$A:$A,0)),""))</f>
        <v/>
      </c>
      <c r="O382">
        <f>IF($A382="","",IFERROR(INDEX('[AQ_2023.xlsx]原始数据'!$D:$D,MATCH($A382,'[AQ_2023.xlsx]原始数据'!$A:$A,0)),""))</f>
        <v/>
      </c>
      <c r="P382">
        <f>IF($A382="","",IFERROR(INDEX('[AQ_2024.xlsx]原始数据'!$D:$D,MATCH($A382,'[AQ_2024.xlsx]原始数据'!$A:$A,0)),""))</f>
        <v/>
      </c>
      <c r="Q382">
        <f>IF($A382="","",IFERROR(INDEX('[AQ_2020.xlsx]原始数据'!$E:$E,MATCH($A382,'[AQ_2020.xlsx]原始数据'!$A:$A,0)),""))</f>
        <v/>
      </c>
      <c r="R382">
        <f>IF($A382="","",IFERROR(INDEX('[AQ_2021.xlsx]原始数据'!$E:$E,MATCH($A382,'[AQ_2021.xlsx]原始数据'!$A:$A,0)),""))</f>
        <v/>
      </c>
      <c r="S382">
        <f>IF($A382="","",IFERROR(INDEX('[AQ_2022.xlsx]原始数据'!$E:$E,MATCH($A382,'[AQ_2022.xlsx]原始数据'!$A:$A,0)),""))</f>
        <v/>
      </c>
      <c r="T382">
        <f>IF($A382="","",IFERROR(INDEX('[AQ_2023.xlsx]原始数据'!$E:$E,MATCH($A382,'[AQ_2023.xlsx]原始数据'!$A:$A,0)),""))</f>
        <v/>
      </c>
      <c r="U382">
        <f>IF($A382="","",IFERROR(INDEX('[AQ_2024.xlsx]原始数据'!$E:$E,MATCH($A382,'[AQ_2024.xlsx]原始数据'!$A:$A,0)),""))</f>
        <v/>
      </c>
      <c r="V382">
        <f>IF($A382="","",IFERROR(INDEX('[AQ_2020.xlsx]原始数据'!$F:$F,MATCH($A382,'[AQ_2020.xlsx]原始数据'!$A:$A,0)),""))</f>
        <v/>
      </c>
      <c r="W382">
        <f>IF($A382="","",IFERROR(INDEX('[AQ_2021.xlsx]原始数据'!$F:$F,MATCH($A382,'[AQ_2021.xlsx]原始数据'!$A:$A,0)),""))</f>
        <v/>
      </c>
      <c r="X382">
        <f>IF($A382="","",IFERROR(INDEX('[AQ_2022.xlsx]原始数据'!$F:$F,MATCH($A382,'[AQ_2022.xlsx]原始数据'!$A:$A,0)),""))</f>
        <v/>
      </c>
      <c r="Y382">
        <f>IF($A382="","",IFERROR(INDEX('[AQ_2023.xlsx]原始数据'!$F:$F,MATCH($A382,'[AQ_2023.xlsx]原始数据'!$A:$A,0)),""))</f>
        <v/>
      </c>
      <c r="Z382">
        <f>IF($A382="","",IFERROR(INDEX('[AQ_2024.xlsx]原始数据'!$F:$F,MATCH($A382,'[AQ_2024.xlsx]原始数据'!$A:$A,0)),""))</f>
        <v/>
      </c>
      <c r="AA382" s="2">
        <f>IFERROR(G382/B382,"")</f>
        <v/>
      </c>
      <c r="AB382" s="2">
        <f>IFERROR(H382/C382,"")</f>
        <v/>
      </c>
      <c r="AC382" s="2">
        <f>IFERROR(I382/D382,"")</f>
        <v/>
      </c>
      <c r="AD382" s="2">
        <f>IFERROR(J382/E382,"")</f>
        <v/>
      </c>
      <c r="AE382" s="2">
        <f>IFERROR(K382/F382,"")</f>
        <v/>
      </c>
      <c r="AF382" s="2">
        <f>IFERROR(L382/B382,"")</f>
        <v/>
      </c>
      <c r="AG382" s="2">
        <f>IFERROR(M382/C382,"")</f>
        <v/>
      </c>
      <c r="AH382" s="2">
        <f>IFERROR(N382/D382,"")</f>
        <v/>
      </c>
      <c r="AI382" s="2">
        <f>IFERROR(O382/E382,"")</f>
        <v/>
      </c>
      <c r="AJ382" s="2">
        <f>IFERROR(P382/F382,"")</f>
        <v/>
      </c>
      <c r="AK382" s="2">
        <f>IFERROR(Q382/B382,"")</f>
        <v/>
      </c>
      <c r="AL382" s="2">
        <f>IFERROR(R382/C382,"")</f>
        <v/>
      </c>
      <c r="AM382" s="2">
        <f>IFERROR(S382/D382,"")</f>
        <v/>
      </c>
      <c r="AN382" s="2">
        <f>IFERROR(T382/E382,"")</f>
        <v/>
      </c>
      <c r="AO382" s="2">
        <f>IFERROR(U382/F382,"")</f>
        <v/>
      </c>
    </row>
    <row r="383">
      <c r="B383">
        <f>IF($A383="","",IFERROR(INDEX('[AQ_2020.xlsx]原始数据'!$B:$B,MATCH($A383,'[AQ_2020.xlsx]原始数据'!$A:$A,0)),""))</f>
        <v/>
      </c>
      <c r="C383">
        <f>IF($A383="","",IFERROR(INDEX('[AQ_2021.xlsx]原始数据'!$B:$B,MATCH($A383,'[AQ_2021.xlsx]原始数据'!$A:$A,0)),""))</f>
        <v/>
      </c>
      <c r="D383">
        <f>IF($A383="","",IFERROR(INDEX('[AQ_2022.xlsx]原始数据'!$B:$B,MATCH($A383,'[AQ_2022.xlsx]原始数据'!$A:$A,0)),""))</f>
        <v/>
      </c>
      <c r="E383">
        <f>IF($A383="","",IFERROR(INDEX('[AQ_2023.xlsx]原始数据'!$B:$B,MATCH($A383,'[AQ_2023.xlsx]原始数据'!$A:$A,0)),""))</f>
        <v/>
      </c>
      <c r="F383">
        <f>IF($A383="","",IFERROR(INDEX('[AQ_2024.xlsx]原始数据'!$B:$B,MATCH($A383,'[AQ_2024.xlsx]原始数据'!$A:$A,0)),""))</f>
        <v/>
      </c>
      <c r="G383">
        <f>IF($A383="","",IFERROR(INDEX('[AQ_2020.xlsx]原始数据'!$C:$C,MATCH($A383,'[AQ_2020.xlsx]原始数据'!$A:$A,0)),""))</f>
        <v/>
      </c>
      <c r="H383">
        <f>IF($A383="","",IFERROR(INDEX('[AQ_2021.xlsx]原始数据'!$C:$C,MATCH($A383,'[AQ_2021.xlsx]原始数据'!$A:$A,0)),""))</f>
        <v/>
      </c>
      <c r="I383">
        <f>IF($A383="","",IFERROR(INDEX('[AQ_2022.xlsx]原始数据'!$C:$C,MATCH($A383,'[AQ_2022.xlsx]原始数据'!$A:$A,0)),""))</f>
        <v/>
      </c>
      <c r="J383">
        <f>IF($A383="","",IFERROR(INDEX('[AQ_2023.xlsx]原始数据'!$C:$C,MATCH($A383,'[AQ_2023.xlsx]原始数据'!$A:$A,0)),""))</f>
        <v/>
      </c>
      <c r="K383">
        <f>IF($A383="","",IFERROR(INDEX('[AQ_2024.xlsx]原始数据'!$C:$C,MATCH($A383,'[AQ_2024.xlsx]原始数据'!$A:$A,0)),""))</f>
        <v/>
      </c>
      <c r="L383">
        <f>IF($A383="","",IFERROR(INDEX('[AQ_2020.xlsx]原始数据'!$D:$D,MATCH($A383,'[AQ_2020.xlsx]原始数据'!$A:$A,0)),""))</f>
        <v/>
      </c>
      <c r="M383">
        <f>IF($A383="","",IFERROR(INDEX('[AQ_2021.xlsx]原始数据'!$D:$D,MATCH($A383,'[AQ_2021.xlsx]原始数据'!$A:$A,0)),""))</f>
        <v/>
      </c>
      <c r="N383">
        <f>IF($A383="","",IFERROR(INDEX('[AQ_2022.xlsx]原始数据'!$D:$D,MATCH($A383,'[AQ_2022.xlsx]原始数据'!$A:$A,0)),""))</f>
        <v/>
      </c>
      <c r="O383">
        <f>IF($A383="","",IFERROR(INDEX('[AQ_2023.xlsx]原始数据'!$D:$D,MATCH($A383,'[AQ_2023.xlsx]原始数据'!$A:$A,0)),""))</f>
        <v/>
      </c>
      <c r="P383">
        <f>IF($A383="","",IFERROR(INDEX('[AQ_2024.xlsx]原始数据'!$D:$D,MATCH($A383,'[AQ_2024.xlsx]原始数据'!$A:$A,0)),""))</f>
        <v/>
      </c>
      <c r="Q383">
        <f>IF($A383="","",IFERROR(INDEX('[AQ_2020.xlsx]原始数据'!$E:$E,MATCH($A383,'[AQ_2020.xlsx]原始数据'!$A:$A,0)),""))</f>
        <v/>
      </c>
      <c r="R383">
        <f>IF($A383="","",IFERROR(INDEX('[AQ_2021.xlsx]原始数据'!$E:$E,MATCH($A383,'[AQ_2021.xlsx]原始数据'!$A:$A,0)),""))</f>
        <v/>
      </c>
      <c r="S383">
        <f>IF($A383="","",IFERROR(INDEX('[AQ_2022.xlsx]原始数据'!$E:$E,MATCH($A383,'[AQ_2022.xlsx]原始数据'!$A:$A,0)),""))</f>
        <v/>
      </c>
      <c r="T383">
        <f>IF($A383="","",IFERROR(INDEX('[AQ_2023.xlsx]原始数据'!$E:$E,MATCH($A383,'[AQ_2023.xlsx]原始数据'!$A:$A,0)),""))</f>
        <v/>
      </c>
      <c r="U383">
        <f>IF($A383="","",IFERROR(INDEX('[AQ_2024.xlsx]原始数据'!$E:$E,MATCH($A383,'[AQ_2024.xlsx]原始数据'!$A:$A,0)),""))</f>
        <v/>
      </c>
      <c r="V383">
        <f>IF($A383="","",IFERROR(INDEX('[AQ_2020.xlsx]原始数据'!$F:$F,MATCH($A383,'[AQ_2020.xlsx]原始数据'!$A:$A,0)),""))</f>
        <v/>
      </c>
      <c r="W383">
        <f>IF($A383="","",IFERROR(INDEX('[AQ_2021.xlsx]原始数据'!$F:$F,MATCH($A383,'[AQ_2021.xlsx]原始数据'!$A:$A,0)),""))</f>
        <v/>
      </c>
      <c r="X383">
        <f>IF($A383="","",IFERROR(INDEX('[AQ_2022.xlsx]原始数据'!$F:$F,MATCH($A383,'[AQ_2022.xlsx]原始数据'!$A:$A,0)),""))</f>
        <v/>
      </c>
      <c r="Y383">
        <f>IF($A383="","",IFERROR(INDEX('[AQ_2023.xlsx]原始数据'!$F:$F,MATCH($A383,'[AQ_2023.xlsx]原始数据'!$A:$A,0)),""))</f>
        <v/>
      </c>
      <c r="Z383">
        <f>IF($A383="","",IFERROR(INDEX('[AQ_2024.xlsx]原始数据'!$F:$F,MATCH($A383,'[AQ_2024.xlsx]原始数据'!$A:$A,0)),""))</f>
        <v/>
      </c>
      <c r="AA383" s="2">
        <f>IFERROR(G383/B383,"")</f>
        <v/>
      </c>
      <c r="AB383" s="2">
        <f>IFERROR(H383/C383,"")</f>
        <v/>
      </c>
      <c r="AC383" s="2">
        <f>IFERROR(I383/D383,"")</f>
        <v/>
      </c>
      <c r="AD383" s="2">
        <f>IFERROR(J383/E383,"")</f>
        <v/>
      </c>
      <c r="AE383" s="2">
        <f>IFERROR(K383/F383,"")</f>
        <v/>
      </c>
      <c r="AF383" s="2">
        <f>IFERROR(L383/B383,"")</f>
        <v/>
      </c>
      <c r="AG383" s="2">
        <f>IFERROR(M383/C383,"")</f>
        <v/>
      </c>
      <c r="AH383" s="2">
        <f>IFERROR(N383/D383,"")</f>
        <v/>
      </c>
      <c r="AI383" s="2">
        <f>IFERROR(O383/E383,"")</f>
        <v/>
      </c>
      <c r="AJ383" s="2">
        <f>IFERROR(P383/F383,"")</f>
        <v/>
      </c>
      <c r="AK383" s="2">
        <f>IFERROR(Q383/B383,"")</f>
        <v/>
      </c>
      <c r="AL383" s="2">
        <f>IFERROR(R383/C383,"")</f>
        <v/>
      </c>
      <c r="AM383" s="2">
        <f>IFERROR(S383/D383,"")</f>
        <v/>
      </c>
      <c r="AN383" s="2">
        <f>IFERROR(T383/E383,"")</f>
        <v/>
      </c>
      <c r="AO383" s="2">
        <f>IFERROR(U383/F383,"")</f>
        <v/>
      </c>
    </row>
    <row r="384">
      <c r="B384">
        <f>IF($A384="","",IFERROR(INDEX('[AQ_2020.xlsx]原始数据'!$B:$B,MATCH($A384,'[AQ_2020.xlsx]原始数据'!$A:$A,0)),""))</f>
        <v/>
      </c>
      <c r="C384">
        <f>IF($A384="","",IFERROR(INDEX('[AQ_2021.xlsx]原始数据'!$B:$B,MATCH($A384,'[AQ_2021.xlsx]原始数据'!$A:$A,0)),""))</f>
        <v/>
      </c>
      <c r="D384">
        <f>IF($A384="","",IFERROR(INDEX('[AQ_2022.xlsx]原始数据'!$B:$B,MATCH($A384,'[AQ_2022.xlsx]原始数据'!$A:$A,0)),""))</f>
        <v/>
      </c>
      <c r="E384">
        <f>IF($A384="","",IFERROR(INDEX('[AQ_2023.xlsx]原始数据'!$B:$B,MATCH($A384,'[AQ_2023.xlsx]原始数据'!$A:$A,0)),""))</f>
        <v/>
      </c>
      <c r="F384">
        <f>IF($A384="","",IFERROR(INDEX('[AQ_2024.xlsx]原始数据'!$B:$B,MATCH($A384,'[AQ_2024.xlsx]原始数据'!$A:$A,0)),""))</f>
        <v/>
      </c>
      <c r="G384">
        <f>IF($A384="","",IFERROR(INDEX('[AQ_2020.xlsx]原始数据'!$C:$C,MATCH($A384,'[AQ_2020.xlsx]原始数据'!$A:$A,0)),""))</f>
        <v/>
      </c>
      <c r="H384">
        <f>IF($A384="","",IFERROR(INDEX('[AQ_2021.xlsx]原始数据'!$C:$C,MATCH($A384,'[AQ_2021.xlsx]原始数据'!$A:$A,0)),""))</f>
        <v/>
      </c>
      <c r="I384">
        <f>IF($A384="","",IFERROR(INDEX('[AQ_2022.xlsx]原始数据'!$C:$C,MATCH($A384,'[AQ_2022.xlsx]原始数据'!$A:$A,0)),""))</f>
        <v/>
      </c>
      <c r="J384">
        <f>IF($A384="","",IFERROR(INDEX('[AQ_2023.xlsx]原始数据'!$C:$C,MATCH($A384,'[AQ_2023.xlsx]原始数据'!$A:$A,0)),""))</f>
        <v/>
      </c>
      <c r="K384">
        <f>IF($A384="","",IFERROR(INDEX('[AQ_2024.xlsx]原始数据'!$C:$C,MATCH($A384,'[AQ_2024.xlsx]原始数据'!$A:$A,0)),""))</f>
        <v/>
      </c>
      <c r="L384">
        <f>IF($A384="","",IFERROR(INDEX('[AQ_2020.xlsx]原始数据'!$D:$D,MATCH($A384,'[AQ_2020.xlsx]原始数据'!$A:$A,0)),""))</f>
        <v/>
      </c>
      <c r="M384">
        <f>IF($A384="","",IFERROR(INDEX('[AQ_2021.xlsx]原始数据'!$D:$D,MATCH($A384,'[AQ_2021.xlsx]原始数据'!$A:$A,0)),""))</f>
        <v/>
      </c>
      <c r="N384">
        <f>IF($A384="","",IFERROR(INDEX('[AQ_2022.xlsx]原始数据'!$D:$D,MATCH($A384,'[AQ_2022.xlsx]原始数据'!$A:$A,0)),""))</f>
        <v/>
      </c>
      <c r="O384">
        <f>IF($A384="","",IFERROR(INDEX('[AQ_2023.xlsx]原始数据'!$D:$D,MATCH($A384,'[AQ_2023.xlsx]原始数据'!$A:$A,0)),""))</f>
        <v/>
      </c>
      <c r="P384">
        <f>IF($A384="","",IFERROR(INDEX('[AQ_2024.xlsx]原始数据'!$D:$D,MATCH($A384,'[AQ_2024.xlsx]原始数据'!$A:$A,0)),""))</f>
        <v/>
      </c>
      <c r="Q384">
        <f>IF($A384="","",IFERROR(INDEX('[AQ_2020.xlsx]原始数据'!$E:$E,MATCH($A384,'[AQ_2020.xlsx]原始数据'!$A:$A,0)),""))</f>
        <v/>
      </c>
      <c r="R384">
        <f>IF($A384="","",IFERROR(INDEX('[AQ_2021.xlsx]原始数据'!$E:$E,MATCH($A384,'[AQ_2021.xlsx]原始数据'!$A:$A,0)),""))</f>
        <v/>
      </c>
      <c r="S384">
        <f>IF($A384="","",IFERROR(INDEX('[AQ_2022.xlsx]原始数据'!$E:$E,MATCH($A384,'[AQ_2022.xlsx]原始数据'!$A:$A,0)),""))</f>
        <v/>
      </c>
      <c r="T384">
        <f>IF($A384="","",IFERROR(INDEX('[AQ_2023.xlsx]原始数据'!$E:$E,MATCH($A384,'[AQ_2023.xlsx]原始数据'!$A:$A,0)),""))</f>
        <v/>
      </c>
      <c r="U384">
        <f>IF($A384="","",IFERROR(INDEX('[AQ_2024.xlsx]原始数据'!$E:$E,MATCH($A384,'[AQ_2024.xlsx]原始数据'!$A:$A,0)),""))</f>
        <v/>
      </c>
      <c r="V384">
        <f>IF($A384="","",IFERROR(INDEX('[AQ_2020.xlsx]原始数据'!$F:$F,MATCH($A384,'[AQ_2020.xlsx]原始数据'!$A:$A,0)),""))</f>
        <v/>
      </c>
      <c r="W384">
        <f>IF($A384="","",IFERROR(INDEX('[AQ_2021.xlsx]原始数据'!$F:$F,MATCH($A384,'[AQ_2021.xlsx]原始数据'!$A:$A,0)),""))</f>
        <v/>
      </c>
      <c r="X384">
        <f>IF($A384="","",IFERROR(INDEX('[AQ_2022.xlsx]原始数据'!$F:$F,MATCH($A384,'[AQ_2022.xlsx]原始数据'!$A:$A,0)),""))</f>
        <v/>
      </c>
      <c r="Y384">
        <f>IF($A384="","",IFERROR(INDEX('[AQ_2023.xlsx]原始数据'!$F:$F,MATCH($A384,'[AQ_2023.xlsx]原始数据'!$A:$A,0)),""))</f>
        <v/>
      </c>
      <c r="Z384">
        <f>IF($A384="","",IFERROR(INDEX('[AQ_2024.xlsx]原始数据'!$F:$F,MATCH($A384,'[AQ_2024.xlsx]原始数据'!$A:$A,0)),""))</f>
        <v/>
      </c>
      <c r="AA384" s="2">
        <f>IFERROR(G384/B384,"")</f>
        <v/>
      </c>
      <c r="AB384" s="2">
        <f>IFERROR(H384/C384,"")</f>
        <v/>
      </c>
      <c r="AC384" s="2">
        <f>IFERROR(I384/D384,"")</f>
        <v/>
      </c>
      <c r="AD384" s="2">
        <f>IFERROR(J384/E384,"")</f>
        <v/>
      </c>
      <c r="AE384" s="2">
        <f>IFERROR(K384/F384,"")</f>
        <v/>
      </c>
      <c r="AF384" s="2">
        <f>IFERROR(L384/B384,"")</f>
        <v/>
      </c>
      <c r="AG384" s="2">
        <f>IFERROR(M384/C384,"")</f>
        <v/>
      </c>
      <c r="AH384" s="2">
        <f>IFERROR(N384/D384,"")</f>
        <v/>
      </c>
      <c r="AI384" s="2">
        <f>IFERROR(O384/E384,"")</f>
        <v/>
      </c>
      <c r="AJ384" s="2">
        <f>IFERROR(P384/F384,"")</f>
        <v/>
      </c>
      <c r="AK384" s="2">
        <f>IFERROR(Q384/B384,"")</f>
        <v/>
      </c>
      <c r="AL384" s="2">
        <f>IFERROR(R384/C384,"")</f>
        <v/>
      </c>
      <c r="AM384" s="2">
        <f>IFERROR(S384/D384,"")</f>
        <v/>
      </c>
      <c r="AN384" s="2">
        <f>IFERROR(T384/E384,"")</f>
        <v/>
      </c>
      <c r="AO384" s="2">
        <f>IFERROR(U384/F384,"")</f>
        <v/>
      </c>
    </row>
    <row r="385">
      <c r="B385">
        <f>IF($A385="","",IFERROR(INDEX('[AQ_2020.xlsx]原始数据'!$B:$B,MATCH($A385,'[AQ_2020.xlsx]原始数据'!$A:$A,0)),""))</f>
        <v/>
      </c>
      <c r="C385">
        <f>IF($A385="","",IFERROR(INDEX('[AQ_2021.xlsx]原始数据'!$B:$B,MATCH($A385,'[AQ_2021.xlsx]原始数据'!$A:$A,0)),""))</f>
        <v/>
      </c>
      <c r="D385">
        <f>IF($A385="","",IFERROR(INDEX('[AQ_2022.xlsx]原始数据'!$B:$B,MATCH($A385,'[AQ_2022.xlsx]原始数据'!$A:$A,0)),""))</f>
        <v/>
      </c>
      <c r="E385">
        <f>IF($A385="","",IFERROR(INDEX('[AQ_2023.xlsx]原始数据'!$B:$B,MATCH($A385,'[AQ_2023.xlsx]原始数据'!$A:$A,0)),""))</f>
        <v/>
      </c>
      <c r="F385">
        <f>IF($A385="","",IFERROR(INDEX('[AQ_2024.xlsx]原始数据'!$B:$B,MATCH($A385,'[AQ_2024.xlsx]原始数据'!$A:$A,0)),""))</f>
        <v/>
      </c>
      <c r="G385">
        <f>IF($A385="","",IFERROR(INDEX('[AQ_2020.xlsx]原始数据'!$C:$C,MATCH($A385,'[AQ_2020.xlsx]原始数据'!$A:$A,0)),""))</f>
        <v/>
      </c>
      <c r="H385">
        <f>IF($A385="","",IFERROR(INDEX('[AQ_2021.xlsx]原始数据'!$C:$C,MATCH($A385,'[AQ_2021.xlsx]原始数据'!$A:$A,0)),""))</f>
        <v/>
      </c>
      <c r="I385">
        <f>IF($A385="","",IFERROR(INDEX('[AQ_2022.xlsx]原始数据'!$C:$C,MATCH($A385,'[AQ_2022.xlsx]原始数据'!$A:$A,0)),""))</f>
        <v/>
      </c>
      <c r="J385">
        <f>IF($A385="","",IFERROR(INDEX('[AQ_2023.xlsx]原始数据'!$C:$C,MATCH($A385,'[AQ_2023.xlsx]原始数据'!$A:$A,0)),""))</f>
        <v/>
      </c>
      <c r="K385">
        <f>IF($A385="","",IFERROR(INDEX('[AQ_2024.xlsx]原始数据'!$C:$C,MATCH($A385,'[AQ_2024.xlsx]原始数据'!$A:$A,0)),""))</f>
        <v/>
      </c>
      <c r="L385">
        <f>IF($A385="","",IFERROR(INDEX('[AQ_2020.xlsx]原始数据'!$D:$D,MATCH($A385,'[AQ_2020.xlsx]原始数据'!$A:$A,0)),""))</f>
        <v/>
      </c>
      <c r="M385">
        <f>IF($A385="","",IFERROR(INDEX('[AQ_2021.xlsx]原始数据'!$D:$D,MATCH($A385,'[AQ_2021.xlsx]原始数据'!$A:$A,0)),""))</f>
        <v/>
      </c>
      <c r="N385">
        <f>IF($A385="","",IFERROR(INDEX('[AQ_2022.xlsx]原始数据'!$D:$D,MATCH($A385,'[AQ_2022.xlsx]原始数据'!$A:$A,0)),""))</f>
        <v/>
      </c>
      <c r="O385">
        <f>IF($A385="","",IFERROR(INDEX('[AQ_2023.xlsx]原始数据'!$D:$D,MATCH($A385,'[AQ_2023.xlsx]原始数据'!$A:$A,0)),""))</f>
        <v/>
      </c>
      <c r="P385">
        <f>IF($A385="","",IFERROR(INDEX('[AQ_2024.xlsx]原始数据'!$D:$D,MATCH($A385,'[AQ_2024.xlsx]原始数据'!$A:$A,0)),""))</f>
        <v/>
      </c>
      <c r="Q385">
        <f>IF($A385="","",IFERROR(INDEX('[AQ_2020.xlsx]原始数据'!$E:$E,MATCH($A385,'[AQ_2020.xlsx]原始数据'!$A:$A,0)),""))</f>
        <v/>
      </c>
      <c r="R385">
        <f>IF($A385="","",IFERROR(INDEX('[AQ_2021.xlsx]原始数据'!$E:$E,MATCH($A385,'[AQ_2021.xlsx]原始数据'!$A:$A,0)),""))</f>
        <v/>
      </c>
      <c r="S385">
        <f>IF($A385="","",IFERROR(INDEX('[AQ_2022.xlsx]原始数据'!$E:$E,MATCH($A385,'[AQ_2022.xlsx]原始数据'!$A:$A,0)),""))</f>
        <v/>
      </c>
      <c r="T385">
        <f>IF($A385="","",IFERROR(INDEX('[AQ_2023.xlsx]原始数据'!$E:$E,MATCH($A385,'[AQ_2023.xlsx]原始数据'!$A:$A,0)),""))</f>
        <v/>
      </c>
      <c r="U385">
        <f>IF($A385="","",IFERROR(INDEX('[AQ_2024.xlsx]原始数据'!$E:$E,MATCH($A385,'[AQ_2024.xlsx]原始数据'!$A:$A,0)),""))</f>
        <v/>
      </c>
      <c r="V385">
        <f>IF($A385="","",IFERROR(INDEX('[AQ_2020.xlsx]原始数据'!$F:$F,MATCH($A385,'[AQ_2020.xlsx]原始数据'!$A:$A,0)),""))</f>
        <v/>
      </c>
      <c r="W385">
        <f>IF($A385="","",IFERROR(INDEX('[AQ_2021.xlsx]原始数据'!$F:$F,MATCH($A385,'[AQ_2021.xlsx]原始数据'!$A:$A,0)),""))</f>
        <v/>
      </c>
      <c r="X385">
        <f>IF($A385="","",IFERROR(INDEX('[AQ_2022.xlsx]原始数据'!$F:$F,MATCH($A385,'[AQ_2022.xlsx]原始数据'!$A:$A,0)),""))</f>
        <v/>
      </c>
      <c r="Y385">
        <f>IF($A385="","",IFERROR(INDEX('[AQ_2023.xlsx]原始数据'!$F:$F,MATCH($A385,'[AQ_2023.xlsx]原始数据'!$A:$A,0)),""))</f>
        <v/>
      </c>
      <c r="Z385">
        <f>IF($A385="","",IFERROR(INDEX('[AQ_2024.xlsx]原始数据'!$F:$F,MATCH($A385,'[AQ_2024.xlsx]原始数据'!$A:$A,0)),""))</f>
        <v/>
      </c>
      <c r="AA385" s="2">
        <f>IFERROR(G385/B385,"")</f>
        <v/>
      </c>
      <c r="AB385" s="2">
        <f>IFERROR(H385/C385,"")</f>
        <v/>
      </c>
      <c r="AC385" s="2">
        <f>IFERROR(I385/D385,"")</f>
        <v/>
      </c>
      <c r="AD385" s="2">
        <f>IFERROR(J385/E385,"")</f>
        <v/>
      </c>
      <c r="AE385" s="2">
        <f>IFERROR(K385/F385,"")</f>
        <v/>
      </c>
      <c r="AF385" s="2">
        <f>IFERROR(L385/B385,"")</f>
        <v/>
      </c>
      <c r="AG385" s="2">
        <f>IFERROR(M385/C385,"")</f>
        <v/>
      </c>
      <c r="AH385" s="2">
        <f>IFERROR(N385/D385,"")</f>
        <v/>
      </c>
      <c r="AI385" s="2">
        <f>IFERROR(O385/E385,"")</f>
        <v/>
      </c>
      <c r="AJ385" s="2">
        <f>IFERROR(P385/F385,"")</f>
        <v/>
      </c>
      <c r="AK385" s="2">
        <f>IFERROR(Q385/B385,"")</f>
        <v/>
      </c>
      <c r="AL385" s="2">
        <f>IFERROR(R385/C385,"")</f>
        <v/>
      </c>
      <c r="AM385" s="2">
        <f>IFERROR(S385/D385,"")</f>
        <v/>
      </c>
      <c r="AN385" s="2">
        <f>IFERROR(T385/E385,"")</f>
        <v/>
      </c>
      <c r="AO385" s="2">
        <f>IFERROR(U385/F385,"")</f>
        <v/>
      </c>
    </row>
    <row r="386">
      <c r="B386">
        <f>IF($A386="","",IFERROR(INDEX('[AQ_2020.xlsx]原始数据'!$B:$B,MATCH($A386,'[AQ_2020.xlsx]原始数据'!$A:$A,0)),""))</f>
        <v/>
      </c>
      <c r="C386">
        <f>IF($A386="","",IFERROR(INDEX('[AQ_2021.xlsx]原始数据'!$B:$B,MATCH($A386,'[AQ_2021.xlsx]原始数据'!$A:$A,0)),""))</f>
        <v/>
      </c>
      <c r="D386">
        <f>IF($A386="","",IFERROR(INDEX('[AQ_2022.xlsx]原始数据'!$B:$B,MATCH($A386,'[AQ_2022.xlsx]原始数据'!$A:$A,0)),""))</f>
        <v/>
      </c>
      <c r="E386">
        <f>IF($A386="","",IFERROR(INDEX('[AQ_2023.xlsx]原始数据'!$B:$B,MATCH($A386,'[AQ_2023.xlsx]原始数据'!$A:$A,0)),""))</f>
        <v/>
      </c>
      <c r="F386">
        <f>IF($A386="","",IFERROR(INDEX('[AQ_2024.xlsx]原始数据'!$B:$B,MATCH($A386,'[AQ_2024.xlsx]原始数据'!$A:$A,0)),""))</f>
        <v/>
      </c>
      <c r="G386">
        <f>IF($A386="","",IFERROR(INDEX('[AQ_2020.xlsx]原始数据'!$C:$C,MATCH($A386,'[AQ_2020.xlsx]原始数据'!$A:$A,0)),""))</f>
        <v/>
      </c>
      <c r="H386">
        <f>IF($A386="","",IFERROR(INDEX('[AQ_2021.xlsx]原始数据'!$C:$C,MATCH($A386,'[AQ_2021.xlsx]原始数据'!$A:$A,0)),""))</f>
        <v/>
      </c>
      <c r="I386">
        <f>IF($A386="","",IFERROR(INDEX('[AQ_2022.xlsx]原始数据'!$C:$C,MATCH($A386,'[AQ_2022.xlsx]原始数据'!$A:$A,0)),""))</f>
        <v/>
      </c>
      <c r="J386">
        <f>IF($A386="","",IFERROR(INDEX('[AQ_2023.xlsx]原始数据'!$C:$C,MATCH($A386,'[AQ_2023.xlsx]原始数据'!$A:$A,0)),""))</f>
        <v/>
      </c>
      <c r="K386">
        <f>IF($A386="","",IFERROR(INDEX('[AQ_2024.xlsx]原始数据'!$C:$C,MATCH($A386,'[AQ_2024.xlsx]原始数据'!$A:$A,0)),""))</f>
        <v/>
      </c>
      <c r="L386">
        <f>IF($A386="","",IFERROR(INDEX('[AQ_2020.xlsx]原始数据'!$D:$D,MATCH($A386,'[AQ_2020.xlsx]原始数据'!$A:$A,0)),""))</f>
        <v/>
      </c>
      <c r="M386">
        <f>IF($A386="","",IFERROR(INDEX('[AQ_2021.xlsx]原始数据'!$D:$D,MATCH($A386,'[AQ_2021.xlsx]原始数据'!$A:$A,0)),""))</f>
        <v/>
      </c>
      <c r="N386">
        <f>IF($A386="","",IFERROR(INDEX('[AQ_2022.xlsx]原始数据'!$D:$D,MATCH($A386,'[AQ_2022.xlsx]原始数据'!$A:$A,0)),""))</f>
        <v/>
      </c>
      <c r="O386">
        <f>IF($A386="","",IFERROR(INDEX('[AQ_2023.xlsx]原始数据'!$D:$D,MATCH($A386,'[AQ_2023.xlsx]原始数据'!$A:$A,0)),""))</f>
        <v/>
      </c>
      <c r="P386">
        <f>IF($A386="","",IFERROR(INDEX('[AQ_2024.xlsx]原始数据'!$D:$D,MATCH($A386,'[AQ_2024.xlsx]原始数据'!$A:$A,0)),""))</f>
        <v/>
      </c>
      <c r="Q386">
        <f>IF($A386="","",IFERROR(INDEX('[AQ_2020.xlsx]原始数据'!$E:$E,MATCH($A386,'[AQ_2020.xlsx]原始数据'!$A:$A,0)),""))</f>
        <v/>
      </c>
      <c r="R386">
        <f>IF($A386="","",IFERROR(INDEX('[AQ_2021.xlsx]原始数据'!$E:$E,MATCH($A386,'[AQ_2021.xlsx]原始数据'!$A:$A,0)),""))</f>
        <v/>
      </c>
      <c r="S386">
        <f>IF($A386="","",IFERROR(INDEX('[AQ_2022.xlsx]原始数据'!$E:$E,MATCH($A386,'[AQ_2022.xlsx]原始数据'!$A:$A,0)),""))</f>
        <v/>
      </c>
      <c r="T386">
        <f>IF($A386="","",IFERROR(INDEX('[AQ_2023.xlsx]原始数据'!$E:$E,MATCH($A386,'[AQ_2023.xlsx]原始数据'!$A:$A,0)),""))</f>
        <v/>
      </c>
      <c r="U386">
        <f>IF($A386="","",IFERROR(INDEX('[AQ_2024.xlsx]原始数据'!$E:$E,MATCH($A386,'[AQ_2024.xlsx]原始数据'!$A:$A,0)),""))</f>
        <v/>
      </c>
      <c r="V386">
        <f>IF($A386="","",IFERROR(INDEX('[AQ_2020.xlsx]原始数据'!$F:$F,MATCH($A386,'[AQ_2020.xlsx]原始数据'!$A:$A,0)),""))</f>
        <v/>
      </c>
      <c r="W386">
        <f>IF($A386="","",IFERROR(INDEX('[AQ_2021.xlsx]原始数据'!$F:$F,MATCH($A386,'[AQ_2021.xlsx]原始数据'!$A:$A,0)),""))</f>
        <v/>
      </c>
      <c r="X386">
        <f>IF($A386="","",IFERROR(INDEX('[AQ_2022.xlsx]原始数据'!$F:$F,MATCH($A386,'[AQ_2022.xlsx]原始数据'!$A:$A,0)),""))</f>
        <v/>
      </c>
      <c r="Y386">
        <f>IF($A386="","",IFERROR(INDEX('[AQ_2023.xlsx]原始数据'!$F:$F,MATCH($A386,'[AQ_2023.xlsx]原始数据'!$A:$A,0)),""))</f>
        <v/>
      </c>
      <c r="Z386">
        <f>IF($A386="","",IFERROR(INDEX('[AQ_2024.xlsx]原始数据'!$F:$F,MATCH($A386,'[AQ_2024.xlsx]原始数据'!$A:$A,0)),""))</f>
        <v/>
      </c>
      <c r="AA386" s="2">
        <f>IFERROR(G386/B386,"")</f>
        <v/>
      </c>
      <c r="AB386" s="2">
        <f>IFERROR(H386/C386,"")</f>
        <v/>
      </c>
      <c r="AC386" s="2">
        <f>IFERROR(I386/D386,"")</f>
        <v/>
      </c>
      <c r="AD386" s="2">
        <f>IFERROR(J386/E386,"")</f>
        <v/>
      </c>
      <c r="AE386" s="2">
        <f>IFERROR(K386/F386,"")</f>
        <v/>
      </c>
      <c r="AF386" s="2">
        <f>IFERROR(L386/B386,"")</f>
        <v/>
      </c>
      <c r="AG386" s="2">
        <f>IFERROR(M386/C386,"")</f>
        <v/>
      </c>
      <c r="AH386" s="2">
        <f>IFERROR(N386/D386,"")</f>
        <v/>
      </c>
      <c r="AI386" s="2">
        <f>IFERROR(O386/E386,"")</f>
        <v/>
      </c>
      <c r="AJ386" s="2">
        <f>IFERROR(P386/F386,"")</f>
        <v/>
      </c>
      <c r="AK386" s="2">
        <f>IFERROR(Q386/B386,"")</f>
        <v/>
      </c>
      <c r="AL386" s="2">
        <f>IFERROR(R386/C386,"")</f>
        <v/>
      </c>
      <c r="AM386" s="2">
        <f>IFERROR(S386/D386,"")</f>
        <v/>
      </c>
      <c r="AN386" s="2">
        <f>IFERROR(T386/E386,"")</f>
        <v/>
      </c>
      <c r="AO386" s="2">
        <f>IFERROR(U386/F386,"")</f>
        <v/>
      </c>
    </row>
    <row r="387">
      <c r="B387">
        <f>IF($A387="","",IFERROR(INDEX('[AQ_2020.xlsx]原始数据'!$B:$B,MATCH($A387,'[AQ_2020.xlsx]原始数据'!$A:$A,0)),""))</f>
        <v/>
      </c>
      <c r="C387">
        <f>IF($A387="","",IFERROR(INDEX('[AQ_2021.xlsx]原始数据'!$B:$B,MATCH($A387,'[AQ_2021.xlsx]原始数据'!$A:$A,0)),""))</f>
        <v/>
      </c>
      <c r="D387">
        <f>IF($A387="","",IFERROR(INDEX('[AQ_2022.xlsx]原始数据'!$B:$B,MATCH($A387,'[AQ_2022.xlsx]原始数据'!$A:$A,0)),""))</f>
        <v/>
      </c>
      <c r="E387">
        <f>IF($A387="","",IFERROR(INDEX('[AQ_2023.xlsx]原始数据'!$B:$B,MATCH($A387,'[AQ_2023.xlsx]原始数据'!$A:$A,0)),""))</f>
        <v/>
      </c>
      <c r="F387">
        <f>IF($A387="","",IFERROR(INDEX('[AQ_2024.xlsx]原始数据'!$B:$B,MATCH($A387,'[AQ_2024.xlsx]原始数据'!$A:$A,0)),""))</f>
        <v/>
      </c>
      <c r="G387">
        <f>IF($A387="","",IFERROR(INDEX('[AQ_2020.xlsx]原始数据'!$C:$C,MATCH($A387,'[AQ_2020.xlsx]原始数据'!$A:$A,0)),""))</f>
        <v/>
      </c>
      <c r="H387">
        <f>IF($A387="","",IFERROR(INDEX('[AQ_2021.xlsx]原始数据'!$C:$C,MATCH($A387,'[AQ_2021.xlsx]原始数据'!$A:$A,0)),""))</f>
        <v/>
      </c>
      <c r="I387">
        <f>IF($A387="","",IFERROR(INDEX('[AQ_2022.xlsx]原始数据'!$C:$C,MATCH($A387,'[AQ_2022.xlsx]原始数据'!$A:$A,0)),""))</f>
        <v/>
      </c>
      <c r="J387">
        <f>IF($A387="","",IFERROR(INDEX('[AQ_2023.xlsx]原始数据'!$C:$C,MATCH($A387,'[AQ_2023.xlsx]原始数据'!$A:$A,0)),""))</f>
        <v/>
      </c>
      <c r="K387">
        <f>IF($A387="","",IFERROR(INDEX('[AQ_2024.xlsx]原始数据'!$C:$C,MATCH($A387,'[AQ_2024.xlsx]原始数据'!$A:$A,0)),""))</f>
        <v/>
      </c>
      <c r="L387">
        <f>IF($A387="","",IFERROR(INDEX('[AQ_2020.xlsx]原始数据'!$D:$D,MATCH($A387,'[AQ_2020.xlsx]原始数据'!$A:$A,0)),""))</f>
        <v/>
      </c>
      <c r="M387">
        <f>IF($A387="","",IFERROR(INDEX('[AQ_2021.xlsx]原始数据'!$D:$D,MATCH($A387,'[AQ_2021.xlsx]原始数据'!$A:$A,0)),""))</f>
        <v/>
      </c>
      <c r="N387">
        <f>IF($A387="","",IFERROR(INDEX('[AQ_2022.xlsx]原始数据'!$D:$D,MATCH($A387,'[AQ_2022.xlsx]原始数据'!$A:$A,0)),""))</f>
        <v/>
      </c>
      <c r="O387">
        <f>IF($A387="","",IFERROR(INDEX('[AQ_2023.xlsx]原始数据'!$D:$D,MATCH($A387,'[AQ_2023.xlsx]原始数据'!$A:$A,0)),""))</f>
        <v/>
      </c>
      <c r="P387">
        <f>IF($A387="","",IFERROR(INDEX('[AQ_2024.xlsx]原始数据'!$D:$D,MATCH($A387,'[AQ_2024.xlsx]原始数据'!$A:$A,0)),""))</f>
        <v/>
      </c>
      <c r="Q387">
        <f>IF($A387="","",IFERROR(INDEX('[AQ_2020.xlsx]原始数据'!$E:$E,MATCH($A387,'[AQ_2020.xlsx]原始数据'!$A:$A,0)),""))</f>
        <v/>
      </c>
      <c r="R387">
        <f>IF($A387="","",IFERROR(INDEX('[AQ_2021.xlsx]原始数据'!$E:$E,MATCH($A387,'[AQ_2021.xlsx]原始数据'!$A:$A,0)),""))</f>
        <v/>
      </c>
      <c r="S387">
        <f>IF($A387="","",IFERROR(INDEX('[AQ_2022.xlsx]原始数据'!$E:$E,MATCH($A387,'[AQ_2022.xlsx]原始数据'!$A:$A,0)),""))</f>
        <v/>
      </c>
      <c r="T387">
        <f>IF($A387="","",IFERROR(INDEX('[AQ_2023.xlsx]原始数据'!$E:$E,MATCH($A387,'[AQ_2023.xlsx]原始数据'!$A:$A,0)),""))</f>
        <v/>
      </c>
      <c r="U387">
        <f>IF($A387="","",IFERROR(INDEX('[AQ_2024.xlsx]原始数据'!$E:$E,MATCH($A387,'[AQ_2024.xlsx]原始数据'!$A:$A,0)),""))</f>
        <v/>
      </c>
      <c r="V387">
        <f>IF($A387="","",IFERROR(INDEX('[AQ_2020.xlsx]原始数据'!$F:$F,MATCH($A387,'[AQ_2020.xlsx]原始数据'!$A:$A,0)),""))</f>
        <v/>
      </c>
      <c r="W387">
        <f>IF($A387="","",IFERROR(INDEX('[AQ_2021.xlsx]原始数据'!$F:$F,MATCH($A387,'[AQ_2021.xlsx]原始数据'!$A:$A,0)),""))</f>
        <v/>
      </c>
      <c r="X387">
        <f>IF($A387="","",IFERROR(INDEX('[AQ_2022.xlsx]原始数据'!$F:$F,MATCH($A387,'[AQ_2022.xlsx]原始数据'!$A:$A,0)),""))</f>
        <v/>
      </c>
      <c r="Y387">
        <f>IF($A387="","",IFERROR(INDEX('[AQ_2023.xlsx]原始数据'!$F:$F,MATCH($A387,'[AQ_2023.xlsx]原始数据'!$A:$A,0)),""))</f>
        <v/>
      </c>
      <c r="Z387">
        <f>IF($A387="","",IFERROR(INDEX('[AQ_2024.xlsx]原始数据'!$F:$F,MATCH($A387,'[AQ_2024.xlsx]原始数据'!$A:$A,0)),""))</f>
        <v/>
      </c>
      <c r="AA387" s="2">
        <f>IFERROR(G387/B387,"")</f>
        <v/>
      </c>
      <c r="AB387" s="2">
        <f>IFERROR(H387/C387,"")</f>
        <v/>
      </c>
      <c r="AC387" s="2">
        <f>IFERROR(I387/D387,"")</f>
        <v/>
      </c>
      <c r="AD387" s="2">
        <f>IFERROR(J387/E387,"")</f>
        <v/>
      </c>
      <c r="AE387" s="2">
        <f>IFERROR(K387/F387,"")</f>
        <v/>
      </c>
      <c r="AF387" s="2">
        <f>IFERROR(L387/B387,"")</f>
        <v/>
      </c>
      <c r="AG387" s="2">
        <f>IFERROR(M387/C387,"")</f>
        <v/>
      </c>
      <c r="AH387" s="2">
        <f>IFERROR(N387/D387,"")</f>
        <v/>
      </c>
      <c r="AI387" s="2">
        <f>IFERROR(O387/E387,"")</f>
        <v/>
      </c>
      <c r="AJ387" s="2">
        <f>IFERROR(P387/F387,"")</f>
        <v/>
      </c>
      <c r="AK387" s="2">
        <f>IFERROR(Q387/B387,"")</f>
        <v/>
      </c>
      <c r="AL387" s="2">
        <f>IFERROR(R387/C387,"")</f>
        <v/>
      </c>
      <c r="AM387" s="2">
        <f>IFERROR(S387/D387,"")</f>
        <v/>
      </c>
      <c r="AN387" s="2">
        <f>IFERROR(T387/E387,"")</f>
        <v/>
      </c>
      <c r="AO387" s="2">
        <f>IFERROR(U387/F387,"")</f>
        <v/>
      </c>
    </row>
    <row r="388">
      <c r="B388">
        <f>IF($A388="","",IFERROR(INDEX('[AQ_2020.xlsx]原始数据'!$B:$B,MATCH($A388,'[AQ_2020.xlsx]原始数据'!$A:$A,0)),""))</f>
        <v/>
      </c>
      <c r="C388">
        <f>IF($A388="","",IFERROR(INDEX('[AQ_2021.xlsx]原始数据'!$B:$B,MATCH($A388,'[AQ_2021.xlsx]原始数据'!$A:$A,0)),""))</f>
        <v/>
      </c>
      <c r="D388">
        <f>IF($A388="","",IFERROR(INDEX('[AQ_2022.xlsx]原始数据'!$B:$B,MATCH($A388,'[AQ_2022.xlsx]原始数据'!$A:$A,0)),""))</f>
        <v/>
      </c>
      <c r="E388">
        <f>IF($A388="","",IFERROR(INDEX('[AQ_2023.xlsx]原始数据'!$B:$B,MATCH($A388,'[AQ_2023.xlsx]原始数据'!$A:$A,0)),""))</f>
        <v/>
      </c>
      <c r="F388">
        <f>IF($A388="","",IFERROR(INDEX('[AQ_2024.xlsx]原始数据'!$B:$B,MATCH($A388,'[AQ_2024.xlsx]原始数据'!$A:$A,0)),""))</f>
        <v/>
      </c>
      <c r="G388">
        <f>IF($A388="","",IFERROR(INDEX('[AQ_2020.xlsx]原始数据'!$C:$C,MATCH($A388,'[AQ_2020.xlsx]原始数据'!$A:$A,0)),""))</f>
        <v/>
      </c>
      <c r="H388">
        <f>IF($A388="","",IFERROR(INDEX('[AQ_2021.xlsx]原始数据'!$C:$C,MATCH($A388,'[AQ_2021.xlsx]原始数据'!$A:$A,0)),""))</f>
        <v/>
      </c>
      <c r="I388">
        <f>IF($A388="","",IFERROR(INDEX('[AQ_2022.xlsx]原始数据'!$C:$C,MATCH($A388,'[AQ_2022.xlsx]原始数据'!$A:$A,0)),""))</f>
        <v/>
      </c>
      <c r="J388">
        <f>IF($A388="","",IFERROR(INDEX('[AQ_2023.xlsx]原始数据'!$C:$C,MATCH($A388,'[AQ_2023.xlsx]原始数据'!$A:$A,0)),""))</f>
        <v/>
      </c>
      <c r="K388">
        <f>IF($A388="","",IFERROR(INDEX('[AQ_2024.xlsx]原始数据'!$C:$C,MATCH($A388,'[AQ_2024.xlsx]原始数据'!$A:$A,0)),""))</f>
        <v/>
      </c>
      <c r="L388">
        <f>IF($A388="","",IFERROR(INDEX('[AQ_2020.xlsx]原始数据'!$D:$D,MATCH($A388,'[AQ_2020.xlsx]原始数据'!$A:$A,0)),""))</f>
        <v/>
      </c>
      <c r="M388">
        <f>IF($A388="","",IFERROR(INDEX('[AQ_2021.xlsx]原始数据'!$D:$D,MATCH($A388,'[AQ_2021.xlsx]原始数据'!$A:$A,0)),""))</f>
        <v/>
      </c>
      <c r="N388">
        <f>IF($A388="","",IFERROR(INDEX('[AQ_2022.xlsx]原始数据'!$D:$D,MATCH($A388,'[AQ_2022.xlsx]原始数据'!$A:$A,0)),""))</f>
        <v/>
      </c>
      <c r="O388">
        <f>IF($A388="","",IFERROR(INDEX('[AQ_2023.xlsx]原始数据'!$D:$D,MATCH($A388,'[AQ_2023.xlsx]原始数据'!$A:$A,0)),""))</f>
        <v/>
      </c>
      <c r="P388">
        <f>IF($A388="","",IFERROR(INDEX('[AQ_2024.xlsx]原始数据'!$D:$D,MATCH($A388,'[AQ_2024.xlsx]原始数据'!$A:$A,0)),""))</f>
        <v/>
      </c>
      <c r="Q388">
        <f>IF($A388="","",IFERROR(INDEX('[AQ_2020.xlsx]原始数据'!$E:$E,MATCH($A388,'[AQ_2020.xlsx]原始数据'!$A:$A,0)),""))</f>
        <v/>
      </c>
      <c r="R388">
        <f>IF($A388="","",IFERROR(INDEX('[AQ_2021.xlsx]原始数据'!$E:$E,MATCH($A388,'[AQ_2021.xlsx]原始数据'!$A:$A,0)),""))</f>
        <v/>
      </c>
      <c r="S388">
        <f>IF($A388="","",IFERROR(INDEX('[AQ_2022.xlsx]原始数据'!$E:$E,MATCH($A388,'[AQ_2022.xlsx]原始数据'!$A:$A,0)),""))</f>
        <v/>
      </c>
      <c r="T388">
        <f>IF($A388="","",IFERROR(INDEX('[AQ_2023.xlsx]原始数据'!$E:$E,MATCH($A388,'[AQ_2023.xlsx]原始数据'!$A:$A,0)),""))</f>
        <v/>
      </c>
      <c r="U388">
        <f>IF($A388="","",IFERROR(INDEX('[AQ_2024.xlsx]原始数据'!$E:$E,MATCH($A388,'[AQ_2024.xlsx]原始数据'!$A:$A,0)),""))</f>
        <v/>
      </c>
      <c r="V388">
        <f>IF($A388="","",IFERROR(INDEX('[AQ_2020.xlsx]原始数据'!$F:$F,MATCH($A388,'[AQ_2020.xlsx]原始数据'!$A:$A,0)),""))</f>
        <v/>
      </c>
      <c r="W388">
        <f>IF($A388="","",IFERROR(INDEX('[AQ_2021.xlsx]原始数据'!$F:$F,MATCH($A388,'[AQ_2021.xlsx]原始数据'!$A:$A,0)),""))</f>
        <v/>
      </c>
      <c r="X388">
        <f>IF($A388="","",IFERROR(INDEX('[AQ_2022.xlsx]原始数据'!$F:$F,MATCH($A388,'[AQ_2022.xlsx]原始数据'!$A:$A,0)),""))</f>
        <v/>
      </c>
      <c r="Y388">
        <f>IF($A388="","",IFERROR(INDEX('[AQ_2023.xlsx]原始数据'!$F:$F,MATCH($A388,'[AQ_2023.xlsx]原始数据'!$A:$A,0)),""))</f>
        <v/>
      </c>
      <c r="Z388">
        <f>IF($A388="","",IFERROR(INDEX('[AQ_2024.xlsx]原始数据'!$F:$F,MATCH($A388,'[AQ_2024.xlsx]原始数据'!$A:$A,0)),""))</f>
        <v/>
      </c>
      <c r="AA388" s="2">
        <f>IFERROR(G388/B388,"")</f>
        <v/>
      </c>
      <c r="AB388" s="2">
        <f>IFERROR(H388/C388,"")</f>
        <v/>
      </c>
      <c r="AC388" s="2">
        <f>IFERROR(I388/D388,"")</f>
        <v/>
      </c>
      <c r="AD388" s="2">
        <f>IFERROR(J388/E388,"")</f>
        <v/>
      </c>
      <c r="AE388" s="2">
        <f>IFERROR(K388/F388,"")</f>
        <v/>
      </c>
      <c r="AF388" s="2">
        <f>IFERROR(L388/B388,"")</f>
        <v/>
      </c>
      <c r="AG388" s="2">
        <f>IFERROR(M388/C388,"")</f>
        <v/>
      </c>
      <c r="AH388" s="2">
        <f>IFERROR(N388/D388,"")</f>
        <v/>
      </c>
      <c r="AI388" s="2">
        <f>IFERROR(O388/E388,"")</f>
        <v/>
      </c>
      <c r="AJ388" s="2">
        <f>IFERROR(P388/F388,"")</f>
        <v/>
      </c>
      <c r="AK388" s="2">
        <f>IFERROR(Q388/B388,"")</f>
        <v/>
      </c>
      <c r="AL388" s="2">
        <f>IFERROR(R388/C388,"")</f>
        <v/>
      </c>
      <c r="AM388" s="2">
        <f>IFERROR(S388/D388,"")</f>
        <v/>
      </c>
      <c r="AN388" s="2">
        <f>IFERROR(T388/E388,"")</f>
        <v/>
      </c>
      <c r="AO388" s="2">
        <f>IFERROR(U388/F388,"")</f>
        <v/>
      </c>
    </row>
    <row r="389">
      <c r="B389">
        <f>IF($A389="","",IFERROR(INDEX('[AQ_2020.xlsx]原始数据'!$B:$B,MATCH($A389,'[AQ_2020.xlsx]原始数据'!$A:$A,0)),""))</f>
        <v/>
      </c>
      <c r="C389">
        <f>IF($A389="","",IFERROR(INDEX('[AQ_2021.xlsx]原始数据'!$B:$B,MATCH($A389,'[AQ_2021.xlsx]原始数据'!$A:$A,0)),""))</f>
        <v/>
      </c>
      <c r="D389">
        <f>IF($A389="","",IFERROR(INDEX('[AQ_2022.xlsx]原始数据'!$B:$B,MATCH($A389,'[AQ_2022.xlsx]原始数据'!$A:$A,0)),""))</f>
        <v/>
      </c>
      <c r="E389">
        <f>IF($A389="","",IFERROR(INDEX('[AQ_2023.xlsx]原始数据'!$B:$B,MATCH($A389,'[AQ_2023.xlsx]原始数据'!$A:$A,0)),""))</f>
        <v/>
      </c>
      <c r="F389">
        <f>IF($A389="","",IFERROR(INDEX('[AQ_2024.xlsx]原始数据'!$B:$B,MATCH($A389,'[AQ_2024.xlsx]原始数据'!$A:$A,0)),""))</f>
        <v/>
      </c>
      <c r="G389">
        <f>IF($A389="","",IFERROR(INDEX('[AQ_2020.xlsx]原始数据'!$C:$C,MATCH($A389,'[AQ_2020.xlsx]原始数据'!$A:$A,0)),""))</f>
        <v/>
      </c>
      <c r="H389">
        <f>IF($A389="","",IFERROR(INDEX('[AQ_2021.xlsx]原始数据'!$C:$C,MATCH($A389,'[AQ_2021.xlsx]原始数据'!$A:$A,0)),""))</f>
        <v/>
      </c>
      <c r="I389">
        <f>IF($A389="","",IFERROR(INDEX('[AQ_2022.xlsx]原始数据'!$C:$C,MATCH($A389,'[AQ_2022.xlsx]原始数据'!$A:$A,0)),""))</f>
        <v/>
      </c>
      <c r="J389">
        <f>IF($A389="","",IFERROR(INDEX('[AQ_2023.xlsx]原始数据'!$C:$C,MATCH($A389,'[AQ_2023.xlsx]原始数据'!$A:$A,0)),""))</f>
        <v/>
      </c>
      <c r="K389">
        <f>IF($A389="","",IFERROR(INDEX('[AQ_2024.xlsx]原始数据'!$C:$C,MATCH($A389,'[AQ_2024.xlsx]原始数据'!$A:$A,0)),""))</f>
        <v/>
      </c>
      <c r="L389">
        <f>IF($A389="","",IFERROR(INDEX('[AQ_2020.xlsx]原始数据'!$D:$D,MATCH($A389,'[AQ_2020.xlsx]原始数据'!$A:$A,0)),""))</f>
        <v/>
      </c>
      <c r="M389">
        <f>IF($A389="","",IFERROR(INDEX('[AQ_2021.xlsx]原始数据'!$D:$D,MATCH($A389,'[AQ_2021.xlsx]原始数据'!$A:$A,0)),""))</f>
        <v/>
      </c>
      <c r="N389">
        <f>IF($A389="","",IFERROR(INDEX('[AQ_2022.xlsx]原始数据'!$D:$D,MATCH($A389,'[AQ_2022.xlsx]原始数据'!$A:$A,0)),""))</f>
        <v/>
      </c>
      <c r="O389">
        <f>IF($A389="","",IFERROR(INDEX('[AQ_2023.xlsx]原始数据'!$D:$D,MATCH($A389,'[AQ_2023.xlsx]原始数据'!$A:$A,0)),""))</f>
        <v/>
      </c>
      <c r="P389">
        <f>IF($A389="","",IFERROR(INDEX('[AQ_2024.xlsx]原始数据'!$D:$D,MATCH($A389,'[AQ_2024.xlsx]原始数据'!$A:$A,0)),""))</f>
        <v/>
      </c>
      <c r="Q389">
        <f>IF($A389="","",IFERROR(INDEX('[AQ_2020.xlsx]原始数据'!$E:$E,MATCH($A389,'[AQ_2020.xlsx]原始数据'!$A:$A,0)),""))</f>
        <v/>
      </c>
      <c r="R389">
        <f>IF($A389="","",IFERROR(INDEX('[AQ_2021.xlsx]原始数据'!$E:$E,MATCH($A389,'[AQ_2021.xlsx]原始数据'!$A:$A,0)),""))</f>
        <v/>
      </c>
      <c r="S389">
        <f>IF($A389="","",IFERROR(INDEX('[AQ_2022.xlsx]原始数据'!$E:$E,MATCH($A389,'[AQ_2022.xlsx]原始数据'!$A:$A,0)),""))</f>
        <v/>
      </c>
      <c r="T389">
        <f>IF($A389="","",IFERROR(INDEX('[AQ_2023.xlsx]原始数据'!$E:$E,MATCH($A389,'[AQ_2023.xlsx]原始数据'!$A:$A,0)),""))</f>
        <v/>
      </c>
      <c r="U389">
        <f>IF($A389="","",IFERROR(INDEX('[AQ_2024.xlsx]原始数据'!$E:$E,MATCH($A389,'[AQ_2024.xlsx]原始数据'!$A:$A,0)),""))</f>
        <v/>
      </c>
      <c r="V389">
        <f>IF($A389="","",IFERROR(INDEX('[AQ_2020.xlsx]原始数据'!$F:$F,MATCH($A389,'[AQ_2020.xlsx]原始数据'!$A:$A,0)),""))</f>
        <v/>
      </c>
      <c r="W389">
        <f>IF($A389="","",IFERROR(INDEX('[AQ_2021.xlsx]原始数据'!$F:$F,MATCH($A389,'[AQ_2021.xlsx]原始数据'!$A:$A,0)),""))</f>
        <v/>
      </c>
      <c r="X389">
        <f>IF($A389="","",IFERROR(INDEX('[AQ_2022.xlsx]原始数据'!$F:$F,MATCH($A389,'[AQ_2022.xlsx]原始数据'!$A:$A,0)),""))</f>
        <v/>
      </c>
      <c r="Y389">
        <f>IF($A389="","",IFERROR(INDEX('[AQ_2023.xlsx]原始数据'!$F:$F,MATCH($A389,'[AQ_2023.xlsx]原始数据'!$A:$A,0)),""))</f>
        <v/>
      </c>
      <c r="Z389">
        <f>IF($A389="","",IFERROR(INDEX('[AQ_2024.xlsx]原始数据'!$F:$F,MATCH($A389,'[AQ_2024.xlsx]原始数据'!$A:$A,0)),""))</f>
        <v/>
      </c>
      <c r="AA389" s="2">
        <f>IFERROR(G389/B389,"")</f>
        <v/>
      </c>
      <c r="AB389" s="2">
        <f>IFERROR(H389/C389,"")</f>
        <v/>
      </c>
      <c r="AC389" s="2">
        <f>IFERROR(I389/D389,"")</f>
        <v/>
      </c>
      <c r="AD389" s="2">
        <f>IFERROR(J389/E389,"")</f>
        <v/>
      </c>
      <c r="AE389" s="2">
        <f>IFERROR(K389/F389,"")</f>
        <v/>
      </c>
      <c r="AF389" s="2">
        <f>IFERROR(L389/B389,"")</f>
        <v/>
      </c>
      <c r="AG389" s="2">
        <f>IFERROR(M389/C389,"")</f>
        <v/>
      </c>
      <c r="AH389" s="2">
        <f>IFERROR(N389/D389,"")</f>
        <v/>
      </c>
      <c r="AI389" s="2">
        <f>IFERROR(O389/E389,"")</f>
        <v/>
      </c>
      <c r="AJ389" s="2">
        <f>IFERROR(P389/F389,"")</f>
        <v/>
      </c>
      <c r="AK389" s="2">
        <f>IFERROR(Q389/B389,"")</f>
        <v/>
      </c>
      <c r="AL389" s="2">
        <f>IFERROR(R389/C389,"")</f>
        <v/>
      </c>
      <c r="AM389" s="2">
        <f>IFERROR(S389/D389,"")</f>
        <v/>
      </c>
      <c r="AN389" s="2">
        <f>IFERROR(T389/E389,"")</f>
        <v/>
      </c>
      <c r="AO389" s="2">
        <f>IFERROR(U389/F389,"")</f>
        <v/>
      </c>
    </row>
    <row r="390">
      <c r="B390">
        <f>IF($A390="","",IFERROR(INDEX('[AQ_2020.xlsx]原始数据'!$B:$B,MATCH($A390,'[AQ_2020.xlsx]原始数据'!$A:$A,0)),""))</f>
        <v/>
      </c>
      <c r="C390">
        <f>IF($A390="","",IFERROR(INDEX('[AQ_2021.xlsx]原始数据'!$B:$B,MATCH($A390,'[AQ_2021.xlsx]原始数据'!$A:$A,0)),""))</f>
        <v/>
      </c>
      <c r="D390">
        <f>IF($A390="","",IFERROR(INDEX('[AQ_2022.xlsx]原始数据'!$B:$B,MATCH($A390,'[AQ_2022.xlsx]原始数据'!$A:$A,0)),""))</f>
        <v/>
      </c>
      <c r="E390">
        <f>IF($A390="","",IFERROR(INDEX('[AQ_2023.xlsx]原始数据'!$B:$B,MATCH($A390,'[AQ_2023.xlsx]原始数据'!$A:$A,0)),""))</f>
        <v/>
      </c>
      <c r="F390">
        <f>IF($A390="","",IFERROR(INDEX('[AQ_2024.xlsx]原始数据'!$B:$B,MATCH($A390,'[AQ_2024.xlsx]原始数据'!$A:$A,0)),""))</f>
        <v/>
      </c>
      <c r="G390">
        <f>IF($A390="","",IFERROR(INDEX('[AQ_2020.xlsx]原始数据'!$C:$C,MATCH($A390,'[AQ_2020.xlsx]原始数据'!$A:$A,0)),""))</f>
        <v/>
      </c>
      <c r="H390">
        <f>IF($A390="","",IFERROR(INDEX('[AQ_2021.xlsx]原始数据'!$C:$C,MATCH($A390,'[AQ_2021.xlsx]原始数据'!$A:$A,0)),""))</f>
        <v/>
      </c>
      <c r="I390">
        <f>IF($A390="","",IFERROR(INDEX('[AQ_2022.xlsx]原始数据'!$C:$C,MATCH($A390,'[AQ_2022.xlsx]原始数据'!$A:$A,0)),""))</f>
        <v/>
      </c>
      <c r="J390">
        <f>IF($A390="","",IFERROR(INDEX('[AQ_2023.xlsx]原始数据'!$C:$C,MATCH($A390,'[AQ_2023.xlsx]原始数据'!$A:$A,0)),""))</f>
        <v/>
      </c>
      <c r="K390">
        <f>IF($A390="","",IFERROR(INDEX('[AQ_2024.xlsx]原始数据'!$C:$C,MATCH($A390,'[AQ_2024.xlsx]原始数据'!$A:$A,0)),""))</f>
        <v/>
      </c>
      <c r="L390">
        <f>IF($A390="","",IFERROR(INDEX('[AQ_2020.xlsx]原始数据'!$D:$D,MATCH($A390,'[AQ_2020.xlsx]原始数据'!$A:$A,0)),""))</f>
        <v/>
      </c>
      <c r="M390">
        <f>IF($A390="","",IFERROR(INDEX('[AQ_2021.xlsx]原始数据'!$D:$D,MATCH($A390,'[AQ_2021.xlsx]原始数据'!$A:$A,0)),""))</f>
        <v/>
      </c>
      <c r="N390">
        <f>IF($A390="","",IFERROR(INDEX('[AQ_2022.xlsx]原始数据'!$D:$D,MATCH($A390,'[AQ_2022.xlsx]原始数据'!$A:$A,0)),""))</f>
        <v/>
      </c>
      <c r="O390">
        <f>IF($A390="","",IFERROR(INDEX('[AQ_2023.xlsx]原始数据'!$D:$D,MATCH($A390,'[AQ_2023.xlsx]原始数据'!$A:$A,0)),""))</f>
        <v/>
      </c>
      <c r="P390">
        <f>IF($A390="","",IFERROR(INDEX('[AQ_2024.xlsx]原始数据'!$D:$D,MATCH($A390,'[AQ_2024.xlsx]原始数据'!$A:$A,0)),""))</f>
        <v/>
      </c>
      <c r="Q390">
        <f>IF($A390="","",IFERROR(INDEX('[AQ_2020.xlsx]原始数据'!$E:$E,MATCH($A390,'[AQ_2020.xlsx]原始数据'!$A:$A,0)),""))</f>
        <v/>
      </c>
      <c r="R390">
        <f>IF($A390="","",IFERROR(INDEX('[AQ_2021.xlsx]原始数据'!$E:$E,MATCH($A390,'[AQ_2021.xlsx]原始数据'!$A:$A,0)),""))</f>
        <v/>
      </c>
      <c r="S390">
        <f>IF($A390="","",IFERROR(INDEX('[AQ_2022.xlsx]原始数据'!$E:$E,MATCH($A390,'[AQ_2022.xlsx]原始数据'!$A:$A,0)),""))</f>
        <v/>
      </c>
      <c r="T390">
        <f>IF($A390="","",IFERROR(INDEX('[AQ_2023.xlsx]原始数据'!$E:$E,MATCH($A390,'[AQ_2023.xlsx]原始数据'!$A:$A,0)),""))</f>
        <v/>
      </c>
      <c r="U390">
        <f>IF($A390="","",IFERROR(INDEX('[AQ_2024.xlsx]原始数据'!$E:$E,MATCH($A390,'[AQ_2024.xlsx]原始数据'!$A:$A,0)),""))</f>
        <v/>
      </c>
      <c r="V390">
        <f>IF($A390="","",IFERROR(INDEX('[AQ_2020.xlsx]原始数据'!$F:$F,MATCH($A390,'[AQ_2020.xlsx]原始数据'!$A:$A,0)),""))</f>
        <v/>
      </c>
      <c r="W390">
        <f>IF($A390="","",IFERROR(INDEX('[AQ_2021.xlsx]原始数据'!$F:$F,MATCH($A390,'[AQ_2021.xlsx]原始数据'!$A:$A,0)),""))</f>
        <v/>
      </c>
      <c r="X390">
        <f>IF($A390="","",IFERROR(INDEX('[AQ_2022.xlsx]原始数据'!$F:$F,MATCH($A390,'[AQ_2022.xlsx]原始数据'!$A:$A,0)),""))</f>
        <v/>
      </c>
      <c r="Y390">
        <f>IF($A390="","",IFERROR(INDEX('[AQ_2023.xlsx]原始数据'!$F:$F,MATCH($A390,'[AQ_2023.xlsx]原始数据'!$A:$A,0)),""))</f>
        <v/>
      </c>
      <c r="Z390">
        <f>IF($A390="","",IFERROR(INDEX('[AQ_2024.xlsx]原始数据'!$F:$F,MATCH($A390,'[AQ_2024.xlsx]原始数据'!$A:$A,0)),""))</f>
        <v/>
      </c>
      <c r="AA390" s="2">
        <f>IFERROR(G390/B390,"")</f>
        <v/>
      </c>
      <c r="AB390" s="2">
        <f>IFERROR(H390/C390,"")</f>
        <v/>
      </c>
      <c r="AC390" s="2">
        <f>IFERROR(I390/D390,"")</f>
        <v/>
      </c>
      <c r="AD390" s="2">
        <f>IFERROR(J390/E390,"")</f>
        <v/>
      </c>
      <c r="AE390" s="2">
        <f>IFERROR(K390/F390,"")</f>
        <v/>
      </c>
      <c r="AF390" s="2">
        <f>IFERROR(L390/B390,"")</f>
        <v/>
      </c>
      <c r="AG390" s="2">
        <f>IFERROR(M390/C390,"")</f>
        <v/>
      </c>
      <c r="AH390" s="2">
        <f>IFERROR(N390/D390,"")</f>
        <v/>
      </c>
      <c r="AI390" s="2">
        <f>IFERROR(O390/E390,"")</f>
        <v/>
      </c>
      <c r="AJ390" s="2">
        <f>IFERROR(P390/F390,"")</f>
        <v/>
      </c>
      <c r="AK390" s="2">
        <f>IFERROR(Q390/B390,"")</f>
        <v/>
      </c>
      <c r="AL390" s="2">
        <f>IFERROR(R390/C390,"")</f>
        <v/>
      </c>
      <c r="AM390" s="2">
        <f>IFERROR(S390/D390,"")</f>
        <v/>
      </c>
      <c r="AN390" s="2">
        <f>IFERROR(T390/E390,"")</f>
        <v/>
      </c>
      <c r="AO390" s="2">
        <f>IFERROR(U390/F390,"")</f>
        <v/>
      </c>
    </row>
    <row r="391">
      <c r="B391">
        <f>IF($A391="","",IFERROR(INDEX('[AQ_2020.xlsx]原始数据'!$B:$B,MATCH($A391,'[AQ_2020.xlsx]原始数据'!$A:$A,0)),""))</f>
        <v/>
      </c>
      <c r="C391">
        <f>IF($A391="","",IFERROR(INDEX('[AQ_2021.xlsx]原始数据'!$B:$B,MATCH($A391,'[AQ_2021.xlsx]原始数据'!$A:$A,0)),""))</f>
        <v/>
      </c>
      <c r="D391">
        <f>IF($A391="","",IFERROR(INDEX('[AQ_2022.xlsx]原始数据'!$B:$B,MATCH($A391,'[AQ_2022.xlsx]原始数据'!$A:$A,0)),""))</f>
        <v/>
      </c>
      <c r="E391">
        <f>IF($A391="","",IFERROR(INDEX('[AQ_2023.xlsx]原始数据'!$B:$B,MATCH($A391,'[AQ_2023.xlsx]原始数据'!$A:$A,0)),""))</f>
        <v/>
      </c>
      <c r="F391">
        <f>IF($A391="","",IFERROR(INDEX('[AQ_2024.xlsx]原始数据'!$B:$B,MATCH($A391,'[AQ_2024.xlsx]原始数据'!$A:$A,0)),""))</f>
        <v/>
      </c>
      <c r="G391">
        <f>IF($A391="","",IFERROR(INDEX('[AQ_2020.xlsx]原始数据'!$C:$C,MATCH($A391,'[AQ_2020.xlsx]原始数据'!$A:$A,0)),""))</f>
        <v/>
      </c>
      <c r="H391">
        <f>IF($A391="","",IFERROR(INDEX('[AQ_2021.xlsx]原始数据'!$C:$C,MATCH($A391,'[AQ_2021.xlsx]原始数据'!$A:$A,0)),""))</f>
        <v/>
      </c>
      <c r="I391">
        <f>IF($A391="","",IFERROR(INDEX('[AQ_2022.xlsx]原始数据'!$C:$C,MATCH($A391,'[AQ_2022.xlsx]原始数据'!$A:$A,0)),""))</f>
        <v/>
      </c>
      <c r="J391">
        <f>IF($A391="","",IFERROR(INDEX('[AQ_2023.xlsx]原始数据'!$C:$C,MATCH($A391,'[AQ_2023.xlsx]原始数据'!$A:$A,0)),""))</f>
        <v/>
      </c>
      <c r="K391">
        <f>IF($A391="","",IFERROR(INDEX('[AQ_2024.xlsx]原始数据'!$C:$C,MATCH($A391,'[AQ_2024.xlsx]原始数据'!$A:$A,0)),""))</f>
        <v/>
      </c>
      <c r="L391">
        <f>IF($A391="","",IFERROR(INDEX('[AQ_2020.xlsx]原始数据'!$D:$D,MATCH($A391,'[AQ_2020.xlsx]原始数据'!$A:$A,0)),""))</f>
        <v/>
      </c>
      <c r="M391">
        <f>IF($A391="","",IFERROR(INDEX('[AQ_2021.xlsx]原始数据'!$D:$D,MATCH($A391,'[AQ_2021.xlsx]原始数据'!$A:$A,0)),""))</f>
        <v/>
      </c>
      <c r="N391">
        <f>IF($A391="","",IFERROR(INDEX('[AQ_2022.xlsx]原始数据'!$D:$D,MATCH($A391,'[AQ_2022.xlsx]原始数据'!$A:$A,0)),""))</f>
        <v/>
      </c>
      <c r="O391">
        <f>IF($A391="","",IFERROR(INDEX('[AQ_2023.xlsx]原始数据'!$D:$D,MATCH($A391,'[AQ_2023.xlsx]原始数据'!$A:$A,0)),""))</f>
        <v/>
      </c>
      <c r="P391">
        <f>IF($A391="","",IFERROR(INDEX('[AQ_2024.xlsx]原始数据'!$D:$D,MATCH($A391,'[AQ_2024.xlsx]原始数据'!$A:$A,0)),""))</f>
        <v/>
      </c>
      <c r="Q391">
        <f>IF($A391="","",IFERROR(INDEX('[AQ_2020.xlsx]原始数据'!$E:$E,MATCH($A391,'[AQ_2020.xlsx]原始数据'!$A:$A,0)),""))</f>
        <v/>
      </c>
      <c r="R391">
        <f>IF($A391="","",IFERROR(INDEX('[AQ_2021.xlsx]原始数据'!$E:$E,MATCH($A391,'[AQ_2021.xlsx]原始数据'!$A:$A,0)),""))</f>
        <v/>
      </c>
      <c r="S391">
        <f>IF($A391="","",IFERROR(INDEX('[AQ_2022.xlsx]原始数据'!$E:$E,MATCH($A391,'[AQ_2022.xlsx]原始数据'!$A:$A,0)),""))</f>
        <v/>
      </c>
      <c r="T391">
        <f>IF($A391="","",IFERROR(INDEX('[AQ_2023.xlsx]原始数据'!$E:$E,MATCH($A391,'[AQ_2023.xlsx]原始数据'!$A:$A,0)),""))</f>
        <v/>
      </c>
      <c r="U391">
        <f>IF($A391="","",IFERROR(INDEX('[AQ_2024.xlsx]原始数据'!$E:$E,MATCH($A391,'[AQ_2024.xlsx]原始数据'!$A:$A,0)),""))</f>
        <v/>
      </c>
      <c r="V391">
        <f>IF($A391="","",IFERROR(INDEX('[AQ_2020.xlsx]原始数据'!$F:$F,MATCH($A391,'[AQ_2020.xlsx]原始数据'!$A:$A,0)),""))</f>
        <v/>
      </c>
      <c r="W391">
        <f>IF($A391="","",IFERROR(INDEX('[AQ_2021.xlsx]原始数据'!$F:$F,MATCH($A391,'[AQ_2021.xlsx]原始数据'!$A:$A,0)),""))</f>
        <v/>
      </c>
      <c r="X391">
        <f>IF($A391="","",IFERROR(INDEX('[AQ_2022.xlsx]原始数据'!$F:$F,MATCH($A391,'[AQ_2022.xlsx]原始数据'!$A:$A,0)),""))</f>
        <v/>
      </c>
      <c r="Y391">
        <f>IF($A391="","",IFERROR(INDEX('[AQ_2023.xlsx]原始数据'!$F:$F,MATCH($A391,'[AQ_2023.xlsx]原始数据'!$A:$A,0)),""))</f>
        <v/>
      </c>
      <c r="Z391">
        <f>IF($A391="","",IFERROR(INDEX('[AQ_2024.xlsx]原始数据'!$F:$F,MATCH($A391,'[AQ_2024.xlsx]原始数据'!$A:$A,0)),""))</f>
        <v/>
      </c>
      <c r="AA391" s="2">
        <f>IFERROR(G391/B391,"")</f>
        <v/>
      </c>
      <c r="AB391" s="2">
        <f>IFERROR(H391/C391,"")</f>
        <v/>
      </c>
      <c r="AC391" s="2">
        <f>IFERROR(I391/D391,"")</f>
        <v/>
      </c>
      <c r="AD391" s="2">
        <f>IFERROR(J391/E391,"")</f>
        <v/>
      </c>
      <c r="AE391" s="2">
        <f>IFERROR(K391/F391,"")</f>
        <v/>
      </c>
      <c r="AF391" s="2">
        <f>IFERROR(L391/B391,"")</f>
        <v/>
      </c>
      <c r="AG391" s="2">
        <f>IFERROR(M391/C391,"")</f>
        <v/>
      </c>
      <c r="AH391" s="2">
        <f>IFERROR(N391/D391,"")</f>
        <v/>
      </c>
      <c r="AI391" s="2">
        <f>IFERROR(O391/E391,"")</f>
        <v/>
      </c>
      <c r="AJ391" s="2">
        <f>IFERROR(P391/F391,"")</f>
        <v/>
      </c>
      <c r="AK391" s="2">
        <f>IFERROR(Q391/B391,"")</f>
        <v/>
      </c>
      <c r="AL391" s="2">
        <f>IFERROR(R391/C391,"")</f>
        <v/>
      </c>
      <c r="AM391" s="2">
        <f>IFERROR(S391/D391,"")</f>
        <v/>
      </c>
      <c r="AN391" s="2">
        <f>IFERROR(T391/E391,"")</f>
        <v/>
      </c>
      <c r="AO391" s="2">
        <f>IFERROR(U391/F391,"")</f>
        <v/>
      </c>
    </row>
    <row r="392">
      <c r="B392">
        <f>IF($A392="","",IFERROR(INDEX('[AQ_2020.xlsx]原始数据'!$B:$B,MATCH($A392,'[AQ_2020.xlsx]原始数据'!$A:$A,0)),""))</f>
        <v/>
      </c>
      <c r="C392">
        <f>IF($A392="","",IFERROR(INDEX('[AQ_2021.xlsx]原始数据'!$B:$B,MATCH($A392,'[AQ_2021.xlsx]原始数据'!$A:$A,0)),""))</f>
        <v/>
      </c>
      <c r="D392">
        <f>IF($A392="","",IFERROR(INDEX('[AQ_2022.xlsx]原始数据'!$B:$B,MATCH($A392,'[AQ_2022.xlsx]原始数据'!$A:$A,0)),""))</f>
        <v/>
      </c>
      <c r="E392">
        <f>IF($A392="","",IFERROR(INDEX('[AQ_2023.xlsx]原始数据'!$B:$B,MATCH($A392,'[AQ_2023.xlsx]原始数据'!$A:$A,0)),""))</f>
        <v/>
      </c>
      <c r="F392">
        <f>IF($A392="","",IFERROR(INDEX('[AQ_2024.xlsx]原始数据'!$B:$B,MATCH($A392,'[AQ_2024.xlsx]原始数据'!$A:$A,0)),""))</f>
        <v/>
      </c>
      <c r="G392">
        <f>IF($A392="","",IFERROR(INDEX('[AQ_2020.xlsx]原始数据'!$C:$C,MATCH($A392,'[AQ_2020.xlsx]原始数据'!$A:$A,0)),""))</f>
        <v/>
      </c>
      <c r="H392">
        <f>IF($A392="","",IFERROR(INDEX('[AQ_2021.xlsx]原始数据'!$C:$C,MATCH($A392,'[AQ_2021.xlsx]原始数据'!$A:$A,0)),""))</f>
        <v/>
      </c>
      <c r="I392">
        <f>IF($A392="","",IFERROR(INDEX('[AQ_2022.xlsx]原始数据'!$C:$C,MATCH($A392,'[AQ_2022.xlsx]原始数据'!$A:$A,0)),""))</f>
        <v/>
      </c>
      <c r="J392">
        <f>IF($A392="","",IFERROR(INDEX('[AQ_2023.xlsx]原始数据'!$C:$C,MATCH($A392,'[AQ_2023.xlsx]原始数据'!$A:$A,0)),""))</f>
        <v/>
      </c>
      <c r="K392">
        <f>IF($A392="","",IFERROR(INDEX('[AQ_2024.xlsx]原始数据'!$C:$C,MATCH($A392,'[AQ_2024.xlsx]原始数据'!$A:$A,0)),""))</f>
        <v/>
      </c>
      <c r="L392">
        <f>IF($A392="","",IFERROR(INDEX('[AQ_2020.xlsx]原始数据'!$D:$D,MATCH($A392,'[AQ_2020.xlsx]原始数据'!$A:$A,0)),""))</f>
        <v/>
      </c>
      <c r="M392">
        <f>IF($A392="","",IFERROR(INDEX('[AQ_2021.xlsx]原始数据'!$D:$D,MATCH($A392,'[AQ_2021.xlsx]原始数据'!$A:$A,0)),""))</f>
        <v/>
      </c>
      <c r="N392">
        <f>IF($A392="","",IFERROR(INDEX('[AQ_2022.xlsx]原始数据'!$D:$D,MATCH($A392,'[AQ_2022.xlsx]原始数据'!$A:$A,0)),""))</f>
        <v/>
      </c>
      <c r="O392">
        <f>IF($A392="","",IFERROR(INDEX('[AQ_2023.xlsx]原始数据'!$D:$D,MATCH($A392,'[AQ_2023.xlsx]原始数据'!$A:$A,0)),""))</f>
        <v/>
      </c>
      <c r="P392">
        <f>IF($A392="","",IFERROR(INDEX('[AQ_2024.xlsx]原始数据'!$D:$D,MATCH($A392,'[AQ_2024.xlsx]原始数据'!$A:$A,0)),""))</f>
        <v/>
      </c>
      <c r="Q392">
        <f>IF($A392="","",IFERROR(INDEX('[AQ_2020.xlsx]原始数据'!$E:$E,MATCH($A392,'[AQ_2020.xlsx]原始数据'!$A:$A,0)),""))</f>
        <v/>
      </c>
      <c r="R392">
        <f>IF($A392="","",IFERROR(INDEX('[AQ_2021.xlsx]原始数据'!$E:$E,MATCH($A392,'[AQ_2021.xlsx]原始数据'!$A:$A,0)),""))</f>
        <v/>
      </c>
      <c r="S392">
        <f>IF($A392="","",IFERROR(INDEX('[AQ_2022.xlsx]原始数据'!$E:$E,MATCH($A392,'[AQ_2022.xlsx]原始数据'!$A:$A,0)),""))</f>
        <v/>
      </c>
      <c r="T392">
        <f>IF($A392="","",IFERROR(INDEX('[AQ_2023.xlsx]原始数据'!$E:$E,MATCH($A392,'[AQ_2023.xlsx]原始数据'!$A:$A,0)),""))</f>
        <v/>
      </c>
      <c r="U392">
        <f>IF($A392="","",IFERROR(INDEX('[AQ_2024.xlsx]原始数据'!$E:$E,MATCH($A392,'[AQ_2024.xlsx]原始数据'!$A:$A,0)),""))</f>
        <v/>
      </c>
      <c r="V392">
        <f>IF($A392="","",IFERROR(INDEX('[AQ_2020.xlsx]原始数据'!$F:$F,MATCH($A392,'[AQ_2020.xlsx]原始数据'!$A:$A,0)),""))</f>
        <v/>
      </c>
      <c r="W392">
        <f>IF($A392="","",IFERROR(INDEX('[AQ_2021.xlsx]原始数据'!$F:$F,MATCH($A392,'[AQ_2021.xlsx]原始数据'!$A:$A,0)),""))</f>
        <v/>
      </c>
      <c r="X392">
        <f>IF($A392="","",IFERROR(INDEX('[AQ_2022.xlsx]原始数据'!$F:$F,MATCH($A392,'[AQ_2022.xlsx]原始数据'!$A:$A,0)),""))</f>
        <v/>
      </c>
      <c r="Y392">
        <f>IF($A392="","",IFERROR(INDEX('[AQ_2023.xlsx]原始数据'!$F:$F,MATCH($A392,'[AQ_2023.xlsx]原始数据'!$A:$A,0)),""))</f>
        <v/>
      </c>
      <c r="Z392">
        <f>IF($A392="","",IFERROR(INDEX('[AQ_2024.xlsx]原始数据'!$F:$F,MATCH($A392,'[AQ_2024.xlsx]原始数据'!$A:$A,0)),""))</f>
        <v/>
      </c>
      <c r="AA392" s="2">
        <f>IFERROR(G392/B392,"")</f>
        <v/>
      </c>
      <c r="AB392" s="2">
        <f>IFERROR(H392/C392,"")</f>
        <v/>
      </c>
      <c r="AC392" s="2">
        <f>IFERROR(I392/D392,"")</f>
        <v/>
      </c>
      <c r="AD392" s="2">
        <f>IFERROR(J392/E392,"")</f>
        <v/>
      </c>
      <c r="AE392" s="2">
        <f>IFERROR(K392/F392,"")</f>
        <v/>
      </c>
      <c r="AF392" s="2">
        <f>IFERROR(L392/B392,"")</f>
        <v/>
      </c>
      <c r="AG392" s="2">
        <f>IFERROR(M392/C392,"")</f>
        <v/>
      </c>
      <c r="AH392" s="2">
        <f>IFERROR(N392/D392,"")</f>
        <v/>
      </c>
      <c r="AI392" s="2">
        <f>IFERROR(O392/E392,"")</f>
        <v/>
      </c>
      <c r="AJ392" s="2">
        <f>IFERROR(P392/F392,"")</f>
        <v/>
      </c>
      <c r="AK392" s="2">
        <f>IFERROR(Q392/B392,"")</f>
        <v/>
      </c>
      <c r="AL392" s="2">
        <f>IFERROR(R392/C392,"")</f>
        <v/>
      </c>
      <c r="AM392" s="2">
        <f>IFERROR(S392/D392,"")</f>
        <v/>
      </c>
      <c r="AN392" s="2">
        <f>IFERROR(T392/E392,"")</f>
        <v/>
      </c>
      <c r="AO392" s="2">
        <f>IFERROR(U392/F392,"")</f>
        <v/>
      </c>
    </row>
    <row r="393">
      <c r="B393">
        <f>IF($A393="","",IFERROR(INDEX('[AQ_2020.xlsx]原始数据'!$B:$B,MATCH($A393,'[AQ_2020.xlsx]原始数据'!$A:$A,0)),""))</f>
        <v/>
      </c>
      <c r="C393">
        <f>IF($A393="","",IFERROR(INDEX('[AQ_2021.xlsx]原始数据'!$B:$B,MATCH($A393,'[AQ_2021.xlsx]原始数据'!$A:$A,0)),""))</f>
        <v/>
      </c>
      <c r="D393">
        <f>IF($A393="","",IFERROR(INDEX('[AQ_2022.xlsx]原始数据'!$B:$B,MATCH($A393,'[AQ_2022.xlsx]原始数据'!$A:$A,0)),""))</f>
        <v/>
      </c>
      <c r="E393">
        <f>IF($A393="","",IFERROR(INDEX('[AQ_2023.xlsx]原始数据'!$B:$B,MATCH($A393,'[AQ_2023.xlsx]原始数据'!$A:$A,0)),""))</f>
        <v/>
      </c>
      <c r="F393">
        <f>IF($A393="","",IFERROR(INDEX('[AQ_2024.xlsx]原始数据'!$B:$B,MATCH($A393,'[AQ_2024.xlsx]原始数据'!$A:$A,0)),""))</f>
        <v/>
      </c>
      <c r="G393">
        <f>IF($A393="","",IFERROR(INDEX('[AQ_2020.xlsx]原始数据'!$C:$C,MATCH($A393,'[AQ_2020.xlsx]原始数据'!$A:$A,0)),""))</f>
        <v/>
      </c>
      <c r="H393">
        <f>IF($A393="","",IFERROR(INDEX('[AQ_2021.xlsx]原始数据'!$C:$C,MATCH($A393,'[AQ_2021.xlsx]原始数据'!$A:$A,0)),""))</f>
        <v/>
      </c>
      <c r="I393">
        <f>IF($A393="","",IFERROR(INDEX('[AQ_2022.xlsx]原始数据'!$C:$C,MATCH($A393,'[AQ_2022.xlsx]原始数据'!$A:$A,0)),""))</f>
        <v/>
      </c>
      <c r="J393">
        <f>IF($A393="","",IFERROR(INDEX('[AQ_2023.xlsx]原始数据'!$C:$C,MATCH($A393,'[AQ_2023.xlsx]原始数据'!$A:$A,0)),""))</f>
        <v/>
      </c>
      <c r="K393">
        <f>IF($A393="","",IFERROR(INDEX('[AQ_2024.xlsx]原始数据'!$C:$C,MATCH($A393,'[AQ_2024.xlsx]原始数据'!$A:$A,0)),""))</f>
        <v/>
      </c>
      <c r="L393">
        <f>IF($A393="","",IFERROR(INDEX('[AQ_2020.xlsx]原始数据'!$D:$D,MATCH($A393,'[AQ_2020.xlsx]原始数据'!$A:$A,0)),""))</f>
        <v/>
      </c>
      <c r="M393">
        <f>IF($A393="","",IFERROR(INDEX('[AQ_2021.xlsx]原始数据'!$D:$D,MATCH($A393,'[AQ_2021.xlsx]原始数据'!$A:$A,0)),""))</f>
        <v/>
      </c>
      <c r="N393">
        <f>IF($A393="","",IFERROR(INDEX('[AQ_2022.xlsx]原始数据'!$D:$D,MATCH($A393,'[AQ_2022.xlsx]原始数据'!$A:$A,0)),""))</f>
        <v/>
      </c>
      <c r="O393">
        <f>IF($A393="","",IFERROR(INDEX('[AQ_2023.xlsx]原始数据'!$D:$D,MATCH($A393,'[AQ_2023.xlsx]原始数据'!$A:$A,0)),""))</f>
        <v/>
      </c>
      <c r="P393">
        <f>IF($A393="","",IFERROR(INDEX('[AQ_2024.xlsx]原始数据'!$D:$D,MATCH($A393,'[AQ_2024.xlsx]原始数据'!$A:$A,0)),""))</f>
        <v/>
      </c>
      <c r="Q393">
        <f>IF($A393="","",IFERROR(INDEX('[AQ_2020.xlsx]原始数据'!$E:$E,MATCH($A393,'[AQ_2020.xlsx]原始数据'!$A:$A,0)),""))</f>
        <v/>
      </c>
      <c r="R393">
        <f>IF($A393="","",IFERROR(INDEX('[AQ_2021.xlsx]原始数据'!$E:$E,MATCH($A393,'[AQ_2021.xlsx]原始数据'!$A:$A,0)),""))</f>
        <v/>
      </c>
      <c r="S393">
        <f>IF($A393="","",IFERROR(INDEX('[AQ_2022.xlsx]原始数据'!$E:$E,MATCH($A393,'[AQ_2022.xlsx]原始数据'!$A:$A,0)),""))</f>
        <v/>
      </c>
      <c r="T393">
        <f>IF($A393="","",IFERROR(INDEX('[AQ_2023.xlsx]原始数据'!$E:$E,MATCH($A393,'[AQ_2023.xlsx]原始数据'!$A:$A,0)),""))</f>
        <v/>
      </c>
      <c r="U393">
        <f>IF($A393="","",IFERROR(INDEX('[AQ_2024.xlsx]原始数据'!$E:$E,MATCH($A393,'[AQ_2024.xlsx]原始数据'!$A:$A,0)),""))</f>
        <v/>
      </c>
      <c r="V393">
        <f>IF($A393="","",IFERROR(INDEX('[AQ_2020.xlsx]原始数据'!$F:$F,MATCH($A393,'[AQ_2020.xlsx]原始数据'!$A:$A,0)),""))</f>
        <v/>
      </c>
      <c r="W393">
        <f>IF($A393="","",IFERROR(INDEX('[AQ_2021.xlsx]原始数据'!$F:$F,MATCH($A393,'[AQ_2021.xlsx]原始数据'!$A:$A,0)),""))</f>
        <v/>
      </c>
      <c r="X393">
        <f>IF($A393="","",IFERROR(INDEX('[AQ_2022.xlsx]原始数据'!$F:$F,MATCH($A393,'[AQ_2022.xlsx]原始数据'!$A:$A,0)),""))</f>
        <v/>
      </c>
      <c r="Y393">
        <f>IF($A393="","",IFERROR(INDEX('[AQ_2023.xlsx]原始数据'!$F:$F,MATCH($A393,'[AQ_2023.xlsx]原始数据'!$A:$A,0)),""))</f>
        <v/>
      </c>
      <c r="Z393">
        <f>IF($A393="","",IFERROR(INDEX('[AQ_2024.xlsx]原始数据'!$F:$F,MATCH($A393,'[AQ_2024.xlsx]原始数据'!$A:$A,0)),""))</f>
        <v/>
      </c>
      <c r="AA393" s="2">
        <f>IFERROR(G393/B393,"")</f>
        <v/>
      </c>
      <c r="AB393" s="2">
        <f>IFERROR(H393/C393,"")</f>
        <v/>
      </c>
      <c r="AC393" s="2">
        <f>IFERROR(I393/D393,"")</f>
        <v/>
      </c>
      <c r="AD393" s="2">
        <f>IFERROR(J393/E393,"")</f>
        <v/>
      </c>
      <c r="AE393" s="2">
        <f>IFERROR(K393/F393,"")</f>
        <v/>
      </c>
      <c r="AF393" s="2">
        <f>IFERROR(L393/B393,"")</f>
        <v/>
      </c>
      <c r="AG393" s="2">
        <f>IFERROR(M393/C393,"")</f>
        <v/>
      </c>
      <c r="AH393" s="2">
        <f>IFERROR(N393/D393,"")</f>
        <v/>
      </c>
      <c r="AI393" s="2">
        <f>IFERROR(O393/E393,"")</f>
        <v/>
      </c>
      <c r="AJ393" s="2">
        <f>IFERROR(P393/F393,"")</f>
        <v/>
      </c>
      <c r="AK393" s="2">
        <f>IFERROR(Q393/B393,"")</f>
        <v/>
      </c>
      <c r="AL393" s="2">
        <f>IFERROR(R393/C393,"")</f>
        <v/>
      </c>
      <c r="AM393" s="2">
        <f>IFERROR(S393/D393,"")</f>
        <v/>
      </c>
      <c r="AN393" s="2">
        <f>IFERROR(T393/E393,"")</f>
        <v/>
      </c>
      <c r="AO393" s="2">
        <f>IFERROR(U393/F393,"")</f>
        <v/>
      </c>
    </row>
    <row r="394">
      <c r="B394">
        <f>IF($A394="","",IFERROR(INDEX('[AQ_2020.xlsx]原始数据'!$B:$B,MATCH($A394,'[AQ_2020.xlsx]原始数据'!$A:$A,0)),""))</f>
        <v/>
      </c>
      <c r="C394">
        <f>IF($A394="","",IFERROR(INDEX('[AQ_2021.xlsx]原始数据'!$B:$B,MATCH($A394,'[AQ_2021.xlsx]原始数据'!$A:$A,0)),""))</f>
        <v/>
      </c>
      <c r="D394">
        <f>IF($A394="","",IFERROR(INDEX('[AQ_2022.xlsx]原始数据'!$B:$B,MATCH($A394,'[AQ_2022.xlsx]原始数据'!$A:$A,0)),""))</f>
        <v/>
      </c>
      <c r="E394">
        <f>IF($A394="","",IFERROR(INDEX('[AQ_2023.xlsx]原始数据'!$B:$B,MATCH($A394,'[AQ_2023.xlsx]原始数据'!$A:$A,0)),""))</f>
        <v/>
      </c>
      <c r="F394">
        <f>IF($A394="","",IFERROR(INDEX('[AQ_2024.xlsx]原始数据'!$B:$B,MATCH($A394,'[AQ_2024.xlsx]原始数据'!$A:$A,0)),""))</f>
        <v/>
      </c>
      <c r="G394">
        <f>IF($A394="","",IFERROR(INDEX('[AQ_2020.xlsx]原始数据'!$C:$C,MATCH($A394,'[AQ_2020.xlsx]原始数据'!$A:$A,0)),""))</f>
        <v/>
      </c>
      <c r="H394">
        <f>IF($A394="","",IFERROR(INDEX('[AQ_2021.xlsx]原始数据'!$C:$C,MATCH($A394,'[AQ_2021.xlsx]原始数据'!$A:$A,0)),""))</f>
        <v/>
      </c>
      <c r="I394">
        <f>IF($A394="","",IFERROR(INDEX('[AQ_2022.xlsx]原始数据'!$C:$C,MATCH($A394,'[AQ_2022.xlsx]原始数据'!$A:$A,0)),""))</f>
        <v/>
      </c>
      <c r="J394">
        <f>IF($A394="","",IFERROR(INDEX('[AQ_2023.xlsx]原始数据'!$C:$C,MATCH($A394,'[AQ_2023.xlsx]原始数据'!$A:$A,0)),""))</f>
        <v/>
      </c>
      <c r="K394">
        <f>IF($A394="","",IFERROR(INDEX('[AQ_2024.xlsx]原始数据'!$C:$C,MATCH($A394,'[AQ_2024.xlsx]原始数据'!$A:$A,0)),""))</f>
        <v/>
      </c>
      <c r="L394">
        <f>IF($A394="","",IFERROR(INDEX('[AQ_2020.xlsx]原始数据'!$D:$D,MATCH($A394,'[AQ_2020.xlsx]原始数据'!$A:$A,0)),""))</f>
        <v/>
      </c>
      <c r="M394">
        <f>IF($A394="","",IFERROR(INDEX('[AQ_2021.xlsx]原始数据'!$D:$D,MATCH($A394,'[AQ_2021.xlsx]原始数据'!$A:$A,0)),""))</f>
        <v/>
      </c>
      <c r="N394">
        <f>IF($A394="","",IFERROR(INDEX('[AQ_2022.xlsx]原始数据'!$D:$D,MATCH($A394,'[AQ_2022.xlsx]原始数据'!$A:$A,0)),""))</f>
        <v/>
      </c>
      <c r="O394">
        <f>IF($A394="","",IFERROR(INDEX('[AQ_2023.xlsx]原始数据'!$D:$D,MATCH($A394,'[AQ_2023.xlsx]原始数据'!$A:$A,0)),""))</f>
        <v/>
      </c>
      <c r="P394">
        <f>IF($A394="","",IFERROR(INDEX('[AQ_2024.xlsx]原始数据'!$D:$D,MATCH($A394,'[AQ_2024.xlsx]原始数据'!$A:$A,0)),""))</f>
        <v/>
      </c>
      <c r="Q394">
        <f>IF($A394="","",IFERROR(INDEX('[AQ_2020.xlsx]原始数据'!$E:$E,MATCH($A394,'[AQ_2020.xlsx]原始数据'!$A:$A,0)),""))</f>
        <v/>
      </c>
      <c r="R394">
        <f>IF($A394="","",IFERROR(INDEX('[AQ_2021.xlsx]原始数据'!$E:$E,MATCH($A394,'[AQ_2021.xlsx]原始数据'!$A:$A,0)),""))</f>
        <v/>
      </c>
      <c r="S394">
        <f>IF($A394="","",IFERROR(INDEX('[AQ_2022.xlsx]原始数据'!$E:$E,MATCH($A394,'[AQ_2022.xlsx]原始数据'!$A:$A,0)),""))</f>
        <v/>
      </c>
      <c r="T394">
        <f>IF($A394="","",IFERROR(INDEX('[AQ_2023.xlsx]原始数据'!$E:$E,MATCH($A394,'[AQ_2023.xlsx]原始数据'!$A:$A,0)),""))</f>
        <v/>
      </c>
      <c r="U394">
        <f>IF($A394="","",IFERROR(INDEX('[AQ_2024.xlsx]原始数据'!$E:$E,MATCH($A394,'[AQ_2024.xlsx]原始数据'!$A:$A,0)),""))</f>
        <v/>
      </c>
      <c r="V394">
        <f>IF($A394="","",IFERROR(INDEX('[AQ_2020.xlsx]原始数据'!$F:$F,MATCH($A394,'[AQ_2020.xlsx]原始数据'!$A:$A,0)),""))</f>
        <v/>
      </c>
      <c r="W394">
        <f>IF($A394="","",IFERROR(INDEX('[AQ_2021.xlsx]原始数据'!$F:$F,MATCH($A394,'[AQ_2021.xlsx]原始数据'!$A:$A,0)),""))</f>
        <v/>
      </c>
      <c r="X394">
        <f>IF($A394="","",IFERROR(INDEX('[AQ_2022.xlsx]原始数据'!$F:$F,MATCH($A394,'[AQ_2022.xlsx]原始数据'!$A:$A,0)),""))</f>
        <v/>
      </c>
      <c r="Y394">
        <f>IF($A394="","",IFERROR(INDEX('[AQ_2023.xlsx]原始数据'!$F:$F,MATCH($A394,'[AQ_2023.xlsx]原始数据'!$A:$A,0)),""))</f>
        <v/>
      </c>
      <c r="Z394">
        <f>IF($A394="","",IFERROR(INDEX('[AQ_2024.xlsx]原始数据'!$F:$F,MATCH($A394,'[AQ_2024.xlsx]原始数据'!$A:$A,0)),""))</f>
        <v/>
      </c>
      <c r="AA394" s="2">
        <f>IFERROR(G394/B394,"")</f>
        <v/>
      </c>
      <c r="AB394" s="2">
        <f>IFERROR(H394/C394,"")</f>
        <v/>
      </c>
      <c r="AC394" s="2">
        <f>IFERROR(I394/D394,"")</f>
        <v/>
      </c>
      <c r="AD394" s="2">
        <f>IFERROR(J394/E394,"")</f>
        <v/>
      </c>
      <c r="AE394" s="2">
        <f>IFERROR(K394/F394,"")</f>
        <v/>
      </c>
      <c r="AF394" s="2">
        <f>IFERROR(L394/B394,"")</f>
        <v/>
      </c>
      <c r="AG394" s="2">
        <f>IFERROR(M394/C394,"")</f>
        <v/>
      </c>
      <c r="AH394" s="2">
        <f>IFERROR(N394/D394,"")</f>
        <v/>
      </c>
      <c r="AI394" s="2">
        <f>IFERROR(O394/E394,"")</f>
        <v/>
      </c>
      <c r="AJ394" s="2">
        <f>IFERROR(P394/F394,"")</f>
        <v/>
      </c>
      <c r="AK394" s="2">
        <f>IFERROR(Q394/B394,"")</f>
        <v/>
      </c>
      <c r="AL394" s="2">
        <f>IFERROR(R394/C394,"")</f>
        <v/>
      </c>
      <c r="AM394" s="2">
        <f>IFERROR(S394/D394,"")</f>
        <v/>
      </c>
      <c r="AN394" s="2">
        <f>IFERROR(T394/E394,"")</f>
        <v/>
      </c>
      <c r="AO394" s="2">
        <f>IFERROR(U394/F394,"")</f>
        <v/>
      </c>
    </row>
    <row r="395">
      <c r="B395">
        <f>IF($A395="","",IFERROR(INDEX('[AQ_2020.xlsx]原始数据'!$B:$B,MATCH($A395,'[AQ_2020.xlsx]原始数据'!$A:$A,0)),""))</f>
        <v/>
      </c>
      <c r="C395">
        <f>IF($A395="","",IFERROR(INDEX('[AQ_2021.xlsx]原始数据'!$B:$B,MATCH($A395,'[AQ_2021.xlsx]原始数据'!$A:$A,0)),""))</f>
        <v/>
      </c>
      <c r="D395">
        <f>IF($A395="","",IFERROR(INDEX('[AQ_2022.xlsx]原始数据'!$B:$B,MATCH($A395,'[AQ_2022.xlsx]原始数据'!$A:$A,0)),""))</f>
        <v/>
      </c>
      <c r="E395">
        <f>IF($A395="","",IFERROR(INDEX('[AQ_2023.xlsx]原始数据'!$B:$B,MATCH($A395,'[AQ_2023.xlsx]原始数据'!$A:$A,0)),""))</f>
        <v/>
      </c>
      <c r="F395">
        <f>IF($A395="","",IFERROR(INDEX('[AQ_2024.xlsx]原始数据'!$B:$B,MATCH($A395,'[AQ_2024.xlsx]原始数据'!$A:$A,0)),""))</f>
        <v/>
      </c>
      <c r="G395">
        <f>IF($A395="","",IFERROR(INDEX('[AQ_2020.xlsx]原始数据'!$C:$C,MATCH($A395,'[AQ_2020.xlsx]原始数据'!$A:$A,0)),""))</f>
        <v/>
      </c>
      <c r="H395">
        <f>IF($A395="","",IFERROR(INDEX('[AQ_2021.xlsx]原始数据'!$C:$C,MATCH($A395,'[AQ_2021.xlsx]原始数据'!$A:$A,0)),""))</f>
        <v/>
      </c>
      <c r="I395">
        <f>IF($A395="","",IFERROR(INDEX('[AQ_2022.xlsx]原始数据'!$C:$C,MATCH($A395,'[AQ_2022.xlsx]原始数据'!$A:$A,0)),""))</f>
        <v/>
      </c>
      <c r="J395">
        <f>IF($A395="","",IFERROR(INDEX('[AQ_2023.xlsx]原始数据'!$C:$C,MATCH($A395,'[AQ_2023.xlsx]原始数据'!$A:$A,0)),""))</f>
        <v/>
      </c>
      <c r="K395">
        <f>IF($A395="","",IFERROR(INDEX('[AQ_2024.xlsx]原始数据'!$C:$C,MATCH($A395,'[AQ_2024.xlsx]原始数据'!$A:$A,0)),""))</f>
        <v/>
      </c>
      <c r="L395">
        <f>IF($A395="","",IFERROR(INDEX('[AQ_2020.xlsx]原始数据'!$D:$D,MATCH($A395,'[AQ_2020.xlsx]原始数据'!$A:$A,0)),""))</f>
        <v/>
      </c>
      <c r="M395">
        <f>IF($A395="","",IFERROR(INDEX('[AQ_2021.xlsx]原始数据'!$D:$D,MATCH($A395,'[AQ_2021.xlsx]原始数据'!$A:$A,0)),""))</f>
        <v/>
      </c>
      <c r="N395">
        <f>IF($A395="","",IFERROR(INDEX('[AQ_2022.xlsx]原始数据'!$D:$D,MATCH($A395,'[AQ_2022.xlsx]原始数据'!$A:$A,0)),""))</f>
        <v/>
      </c>
      <c r="O395">
        <f>IF($A395="","",IFERROR(INDEX('[AQ_2023.xlsx]原始数据'!$D:$D,MATCH($A395,'[AQ_2023.xlsx]原始数据'!$A:$A,0)),""))</f>
        <v/>
      </c>
      <c r="P395">
        <f>IF($A395="","",IFERROR(INDEX('[AQ_2024.xlsx]原始数据'!$D:$D,MATCH($A395,'[AQ_2024.xlsx]原始数据'!$A:$A,0)),""))</f>
        <v/>
      </c>
      <c r="Q395">
        <f>IF($A395="","",IFERROR(INDEX('[AQ_2020.xlsx]原始数据'!$E:$E,MATCH($A395,'[AQ_2020.xlsx]原始数据'!$A:$A,0)),""))</f>
        <v/>
      </c>
      <c r="R395">
        <f>IF($A395="","",IFERROR(INDEX('[AQ_2021.xlsx]原始数据'!$E:$E,MATCH($A395,'[AQ_2021.xlsx]原始数据'!$A:$A,0)),""))</f>
        <v/>
      </c>
      <c r="S395">
        <f>IF($A395="","",IFERROR(INDEX('[AQ_2022.xlsx]原始数据'!$E:$E,MATCH($A395,'[AQ_2022.xlsx]原始数据'!$A:$A,0)),""))</f>
        <v/>
      </c>
      <c r="T395">
        <f>IF($A395="","",IFERROR(INDEX('[AQ_2023.xlsx]原始数据'!$E:$E,MATCH($A395,'[AQ_2023.xlsx]原始数据'!$A:$A,0)),""))</f>
        <v/>
      </c>
      <c r="U395">
        <f>IF($A395="","",IFERROR(INDEX('[AQ_2024.xlsx]原始数据'!$E:$E,MATCH($A395,'[AQ_2024.xlsx]原始数据'!$A:$A,0)),""))</f>
        <v/>
      </c>
      <c r="V395">
        <f>IF($A395="","",IFERROR(INDEX('[AQ_2020.xlsx]原始数据'!$F:$F,MATCH($A395,'[AQ_2020.xlsx]原始数据'!$A:$A,0)),""))</f>
        <v/>
      </c>
      <c r="W395">
        <f>IF($A395="","",IFERROR(INDEX('[AQ_2021.xlsx]原始数据'!$F:$F,MATCH($A395,'[AQ_2021.xlsx]原始数据'!$A:$A,0)),""))</f>
        <v/>
      </c>
      <c r="X395">
        <f>IF($A395="","",IFERROR(INDEX('[AQ_2022.xlsx]原始数据'!$F:$F,MATCH($A395,'[AQ_2022.xlsx]原始数据'!$A:$A,0)),""))</f>
        <v/>
      </c>
      <c r="Y395">
        <f>IF($A395="","",IFERROR(INDEX('[AQ_2023.xlsx]原始数据'!$F:$F,MATCH($A395,'[AQ_2023.xlsx]原始数据'!$A:$A,0)),""))</f>
        <v/>
      </c>
      <c r="Z395">
        <f>IF($A395="","",IFERROR(INDEX('[AQ_2024.xlsx]原始数据'!$F:$F,MATCH($A395,'[AQ_2024.xlsx]原始数据'!$A:$A,0)),""))</f>
        <v/>
      </c>
      <c r="AA395" s="2">
        <f>IFERROR(G395/B395,"")</f>
        <v/>
      </c>
      <c r="AB395" s="2">
        <f>IFERROR(H395/C395,"")</f>
        <v/>
      </c>
      <c r="AC395" s="2">
        <f>IFERROR(I395/D395,"")</f>
        <v/>
      </c>
      <c r="AD395" s="2">
        <f>IFERROR(J395/E395,"")</f>
        <v/>
      </c>
      <c r="AE395" s="2">
        <f>IFERROR(K395/F395,"")</f>
        <v/>
      </c>
      <c r="AF395" s="2">
        <f>IFERROR(L395/B395,"")</f>
        <v/>
      </c>
      <c r="AG395" s="2">
        <f>IFERROR(M395/C395,"")</f>
        <v/>
      </c>
      <c r="AH395" s="2">
        <f>IFERROR(N395/D395,"")</f>
        <v/>
      </c>
      <c r="AI395" s="2">
        <f>IFERROR(O395/E395,"")</f>
        <v/>
      </c>
      <c r="AJ395" s="2">
        <f>IFERROR(P395/F395,"")</f>
        <v/>
      </c>
      <c r="AK395" s="2">
        <f>IFERROR(Q395/B395,"")</f>
        <v/>
      </c>
      <c r="AL395" s="2">
        <f>IFERROR(R395/C395,"")</f>
        <v/>
      </c>
      <c r="AM395" s="2">
        <f>IFERROR(S395/D395,"")</f>
        <v/>
      </c>
      <c r="AN395" s="2">
        <f>IFERROR(T395/E395,"")</f>
        <v/>
      </c>
      <c r="AO395" s="2">
        <f>IFERROR(U395/F395,"")</f>
        <v/>
      </c>
    </row>
    <row r="396">
      <c r="B396">
        <f>IF($A396="","",IFERROR(INDEX('[AQ_2020.xlsx]原始数据'!$B:$B,MATCH($A396,'[AQ_2020.xlsx]原始数据'!$A:$A,0)),""))</f>
        <v/>
      </c>
      <c r="C396">
        <f>IF($A396="","",IFERROR(INDEX('[AQ_2021.xlsx]原始数据'!$B:$B,MATCH($A396,'[AQ_2021.xlsx]原始数据'!$A:$A,0)),""))</f>
        <v/>
      </c>
      <c r="D396">
        <f>IF($A396="","",IFERROR(INDEX('[AQ_2022.xlsx]原始数据'!$B:$B,MATCH($A396,'[AQ_2022.xlsx]原始数据'!$A:$A,0)),""))</f>
        <v/>
      </c>
      <c r="E396">
        <f>IF($A396="","",IFERROR(INDEX('[AQ_2023.xlsx]原始数据'!$B:$B,MATCH($A396,'[AQ_2023.xlsx]原始数据'!$A:$A,0)),""))</f>
        <v/>
      </c>
      <c r="F396">
        <f>IF($A396="","",IFERROR(INDEX('[AQ_2024.xlsx]原始数据'!$B:$B,MATCH($A396,'[AQ_2024.xlsx]原始数据'!$A:$A,0)),""))</f>
        <v/>
      </c>
      <c r="G396">
        <f>IF($A396="","",IFERROR(INDEX('[AQ_2020.xlsx]原始数据'!$C:$C,MATCH($A396,'[AQ_2020.xlsx]原始数据'!$A:$A,0)),""))</f>
        <v/>
      </c>
      <c r="H396">
        <f>IF($A396="","",IFERROR(INDEX('[AQ_2021.xlsx]原始数据'!$C:$C,MATCH($A396,'[AQ_2021.xlsx]原始数据'!$A:$A,0)),""))</f>
        <v/>
      </c>
      <c r="I396">
        <f>IF($A396="","",IFERROR(INDEX('[AQ_2022.xlsx]原始数据'!$C:$C,MATCH($A396,'[AQ_2022.xlsx]原始数据'!$A:$A,0)),""))</f>
        <v/>
      </c>
      <c r="J396">
        <f>IF($A396="","",IFERROR(INDEX('[AQ_2023.xlsx]原始数据'!$C:$C,MATCH($A396,'[AQ_2023.xlsx]原始数据'!$A:$A,0)),""))</f>
        <v/>
      </c>
      <c r="K396">
        <f>IF($A396="","",IFERROR(INDEX('[AQ_2024.xlsx]原始数据'!$C:$C,MATCH($A396,'[AQ_2024.xlsx]原始数据'!$A:$A,0)),""))</f>
        <v/>
      </c>
      <c r="L396">
        <f>IF($A396="","",IFERROR(INDEX('[AQ_2020.xlsx]原始数据'!$D:$D,MATCH($A396,'[AQ_2020.xlsx]原始数据'!$A:$A,0)),""))</f>
        <v/>
      </c>
      <c r="M396">
        <f>IF($A396="","",IFERROR(INDEX('[AQ_2021.xlsx]原始数据'!$D:$D,MATCH($A396,'[AQ_2021.xlsx]原始数据'!$A:$A,0)),""))</f>
        <v/>
      </c>
      <c r="N396">
        <f>IF($A396="","",IFERROR(INDEX('[AQ_2022.xlsx]原始数据'!$D:$D,MATCH($A396,'[AQ_2022.xlsx]原始数据'!$A:$A,0)),""))</f>
        <v/>
      </c>
      <c r="O396">
        <f>IF($A396="","",IFERROR(INDEX('[AQ_2023.xlsx]原始数据'!$D:$D,MATCH($A396,'[AQ_2023.xlsx]原始数据'!$A:$A,0)),""))</f>
        <v/>
      </c>
      <c r="P396">
        <f>IF($A396="","",IFERROR(INDEX('[AQ_2024.xlsx]原始数据'!$D:$D,MATCH($A396,'[AQ_2024.xlsx]原始数据'!$A:$A,0)),""))</f>
        <v/>
      </c>
      <c r="Q396">
        <f>IF($A396="","",IFERROR(INDEX('[AQ_2020.xlsx]原始数据'!$E:$E,MATCH($A396,'[AQ_2020.xlsx]原始数据'!$A:$A,0)),""))</f>
        <v/>
      </c>
      <c r="R396">
        <f>IF($A396="","",IFERROR(INDEX('[AQ_2021.xlsx]原始数据'!$E:$E,MATCH($A396,'[AQ_2021.xlsx]原始数据'!$A:$A,0)),""))</f>
        <v/>
      </c>
      <c r="S396">
        <f>IF($A396="","",IFERROR(INDEX('[AQ_2022.xlsx]原始数据'!$E:$E,MATCH($A396,'[AQ_2022.xlsx]原始数据'!$A:$A,0)),""))</f>
        <v/>
      </c>
      <c r="T396">
        <f>IF($A396="","",IFERROR(INDEX('[AQ_2023.xlsx]原始数据'!$E:$E,MATCH($A396,'[AQ_2023.xlsx]原始数据'!$A:$A,0)),""))</f>
        <v/>
      </c>
      <c r="U396">
        <f>IF($A396="","",IFERROR(INDEX('[AQ_2024.xlsx]原始数据'!$E:$E,MATCH($A396,'[AQ_2024.xlsx]原始数据'!$A:$A,0)),""))</f>
        <v/>
      </c>
      <c r="V396">
        <f>IF($A396="","",IFERROR(INDEX('[AQ_2020.xlsx]原始数据'!$F:$F,MATCH($A396,'[AQ_2020.xlsx]原始数据'!$A:$A,0)),""))</f>
        <v/>
      </c>
      <c r="W396">
        <f>IF($A396="","",IFERROR(INDEX('[AQ_2021.xlsx]原始数据'!$F:$F,MATCH($A396,'[AQ_2021.xlsx]原始数据'!$A:$A,0)),""))</f>
        <v/>
      </c>
      <c r="X396">
        <f>IF($A396="","",IFERROR(INDEX('[AQ_2022.xlsx]原始数据'!$F:$F,MATCH($A396,'[AQ_2022.xlsx]原始数据'!$A:$A,0)),""))</f>
        <v/>
      </c>
      <c r="Y396">
        <f>IF($A396="","",IFERROR(INDEX('[AQ_2023.xlsx]原始数据'!$F:$F,MATCH($A396,'[AQ_2023.xlsx]原始数据'!$A:$A,0)),""))</f>
        <v/>
      </c>
      <c r="Z396">
        <f>IF($A396="","",IFERROR(INDEX('[AQ_2024.xlsx]原始数据'!$F:$F,MATCH($A396,'[AQ_2024.xlsx]原始数据'!$A:$A,0)),""))</f>
        <v/>
      </c>
      <c r="AA396" s="2">
        <f>IFERROR(G396/B396,"")</f>
        <v/>
      </c>
      <c r="AB396" s="2">
        <f>IFERROR(H396/C396,"")</f>
        <v/>
      </c>
      <c r="AC396" s="2">
        <f>IFERROR(I396/D396,"")</f>
        <v/>
      </c>
      <c r="AD396" s="2">
        <f>IFERROR(J396/E396,"")</f>
        <v/>
      </c>
      <c r="AE396" s="2">
        <f>IFERROR(K396/F396,"")</f>
        <v/>
      </c>
      <c r="AF396" s="2">
        <f>IFERROR(L396/B396,"")</f>
        <v/>
      </c>
      <c r="AG396" s="2">
        <f>IFERROR(M396/C396,"")</f>
        <v/>
      </c>
      <c r="AH396" s="2">
        <f>IFERROR(N396/D396,"")</f>
        <v/>
      </c>
      <c r="AI396" s="2">
        <f>IFERROR(O396/E396,"")</f>
        <v/>
      </c>
      <c r="AJ396" s="2">
        <f>IFERROR(P396/F396,"")</f>
        <v/>
      </c>
      <c r="AK396" s="2">
        <f>IFERROR(Q396/B396,"")</f>
        <v/>
      </c>
      <c r="AL396" s="2">
        <f>IFERROR(R396/C396,"")</f>
        <v/>
      </c>
      <c r="AM396" s="2">
        <f>IFERROR(S396/D396,"")</f>
        <v/>
      </c>
      <c r="AN396" s="2">
        <f>IFERROR(T396/E396,"")</f>
        <v/>
      </c>
      <c r="AO396" s="2">
        <f>IFERROR(U396/F396,"")</f>
        <v/>
      </c>
    </row>
    <row r="397">
      <c r="B397">
        <f>IF($A397="","",IFERROR(INDEX('[AQ_2020.xlsx]原始数据'!$B:$B,MATCH($A397,'[AQ_2020.xlsx]原始数据'!$A:$A,0)),""))</f>
        <v/>
      </c>
      <c r="C397">
        <f>IF($A397="","",IFERROR(INDEX('[AQ_2021.xlsx]原始数据'!$B:$B,MATCH($A397,'[AQ_2021.xlsx]原始数据'!$A:$A,0)),""))</f>
        <v/>
      </c>
      <c r="D397">
        <f>IF($A397="","",IFERROR(INDEX('[AQ_2022.xlsx]原始数据'!$B:$B,MATCH($A397,'[AQ_2022.xlsx]原始数据'!$A:$A,0)),""))</f>
        <v/>
      </c>
      <c r="E397">
        <f>IF($A397="","",IFERROR(INDEX('[AQ_2023.xlsx]原始数据'!$B:$B,MATCH($A397,'[AQ_2023.xlsx]原始数据'!$A:$A,0)),""))</f>
        <v/>
      </c>
      <c r="F397">
        <f>IF($A397="","",IFERROR(INDEX('[AQ_2024.xlsx]原始数据'!$B:$B,MATCH($A397,'[AQ_2024.xlsx]原始数据'!$A:$A,0)),""))</f>
        <v/>
      </c>
      <c r="G397">
        <f>IF($A397="","",IFERROR(INDEX('[AQ_2020.xlsx]原始数据'!$C:$C,MATCH($A397,'[AQ_2020.xlsx]原始数据'!$A:$A,0)),""))</f>
        <v/>
      </c>
      <c r="H397">
        <f>IF($A397="","",IFERROR(INDEX('[AQ_2021.xlsx]原始数据'!$C:$C,MATCH($A397,'[AQ_2021.xlsx]原始数据'!$A:$A,0)),""))</f>
        <v/>
      </c>
      <c r="I397">
        <f>IF($A397="","",IFERROR(INDEX('[AQ_2022.xlsx]原始数据'!$C:$C,MATCH($A397,'[AQ_2022.xlsx]原始数据'!$A:$A,0)),""))</f>
        <v/>
      </c>
      <c r="J397">
        <f>IF($A397="","",IFERROR(INDEX('[AQ_2023.xlsx]原始数据'!$C:$C,MATCH($A397,'[AQ_2023.xlsx]原始数据'!$A:$A,0)),""))</f>
        <v/>
      </c>
      <c r="K397">
        <f>IF($A397="","",IFERROR(INDEX('[AQ_2024.xlsx]原始数据'!$C:$C,MATCH($A397,'[AQ_2024.xlsx]原始数据'!$A:$A,0)),""))</f>
        <v/>
      </c>
      <c r="L397">
        <f>IF($A397="","",IFERROR(INDEX('[AQ_2020.xlsx]原始数据'!$D:$D,MATCH($A397,'[AQ_2020.xlsx]原始数据'!$A:$A,0)),""))</f>
        <v/>
      </c>
      <c r="M397">
        <f>IF($A397="","",IFERROR(INDEX('[AQ_2021.xlsx]原始数据'!$D:$D,MATCH($A397,'[AQ_2021.xlsx]原始数据'!$A:$A,0)),""))</f>
        <v/>
      </c>
      <c r="N397">
        <f>IF($A397="","",IFERROR(INDEX('[AQ_2022.xlsx]原始数据'!$D:$D,MATCH($A397,'[AQ_2022.xlsx]原始数据'!$A:$A,0)),""))</f>
        <v/>
      </c>
      <c r="O397">
        <f>IF($A397="","",IFERROR(INDEX('[AQ_2023.xlsx]原始数据'!$D:$D,MATCH($A397,'[AQ_2023.xlsx]原始数据'!$A:$A,0)),""))</f>
        <v/>
      </c>
      <c r="P397">
        <f>IF($A397="","",IFERROR(INDEX('[AQ_2024.xlsx]原始数据'!$D:$D,MATCH($A397,'[AQ_2024.xlsx]原始数据'!$A:$A,0)),""))</f>
        <v/>
      </c>
      <c r="Q397">
        <f>IF($A397="","",IFERROR(INDEX('[AQ_2020.xlsx]原始数据'!$E:$E,MATCH($A397,'[AQ_2020.xlsx]原始数据'!$A:$A,0)),""))</f>
        <v/>
      </c>
      <c r="R397">
        <f>IF($A397="","",IFERROR(INDEX('[AQ_2021.xlsx]原始数据'!$E:$E,MATCH($A397,'[AQ_2021.xlsx]原始数据'!$A:$A,0)),""))</f>
        <v/>
      </c>
      <c r="S397">
        <f>IF($A397="","",IFERROR(INDEX('[AQ_2022.xlsx]原始数据'!$E:$E,MATCH($A397,'[AQ_2022.xlsx]原始数据'!$A:$A,0)),""))</f>
        <v/>
      </c>
      <c r="T397">
        <f>IF($A397="","",IFERROR(INDEX('[AQ_2023.xlsx]原始数据'!$E:$E,MATCH($A397,'[AQ_2023.xlsx]原始数据'!$A:$A,0)),""))</f>
        <v/>
      </c>
      <c r="U397">
        <f>IF($A397="","",IFERROR(INDEX('[AQ_2024.xlsx]原始数据'!$E:$E,MATCH($A397,'[AQ_2024.xlsx]原始数据'!$A:$A,0)),""))</f>
        <v/>
      </c>
      <c r="V397">
        <f>IF($A397="","",IFERROR(INDEX('[AQ_2020.xlsx]原始数据'!$F:$F,MATCH($A397,'[AQ_2020.xlsx]原始数据'!$A:$A,0)),""))</f>
        <v/>
      </c>
      <c r="W397">
        <f>IF($A397="","",IFERROR(INDEX('[AQ_2021.xlsx]原始数据'!$F:$F,MATCH($A397,'[AQ_2021.xlsx]原始数据'!$A:$A,0)),""))</f>
        <v/>
      </c>
      <c r="X397">
        <f>IF($A397="","",IFERROR(INDEX('[AQ_2022.xlsx]原始数据'!$F:$F,MATCH($A397,'[AQ_2022.xlsx]原始数据'!$A:$A,0)),""))</f>
        <v/>
      </c>
      <c r="Y397">
        <f>IF($A397="","",IFERROR(INDEX('[AQ_2023.xlsx]原始数据'!$F:$F,MATCH($A397,'[AQ_2023.xlsx]原始数据'!$A:$A,0)),""))</f>
        <v/>
      </c>
      <c r="Z397">
        <f>IF($A397="","",IFERROR(INDEX('[AQ_2024.xlsx]原始数据'!$F:$F,MATCH($A397,'[AQ_2024.xlsx]原始数据'!$A:$A,0)),""))</f>
        <v/>
      </c>
      <c r="AA397" s="2">
        <f>IFERROR(G397/B397,"")</f>
        <v/>
      </c>
      <c r="AB397" s="2">
        <f>IFERROR(H397/C397,"")</f>
        <v/>
      </c>
      <c r="AC397" s="2">
        <f>IFERROR(I397/D397,"")</f>
        <v/>
      </c>
      <c r="AD397" s="2">
        <f>IFERROR(J397/E397,"")</f>
        <v/>
      </c>
      <c r="AE397" s="2">
        <f>IFERROR(K397/F397,"")</f>
        <v/>
      </c>
      <c r="AF397" s="2">
        <f>IFERROR(L397/B397,"")</f>
        <v/>
      </c>
      <c r="AG397" s="2">
        <f>IFERROR(M397/C397,"")</f>
        <v/>
      </c>
      <c r="AH397" s="2">
        <f>IFERROR(N397/D397,"")</f>
        <v/>
      </c>
      <c r="AI397" s="2">
        <f>IFERROR(O397/E397,"")</f>
        <v/>
      </c>
      <c r="AJ397" s="2">
        <f>IFERROR(P397/F397,"")</f>
        <v/>
      </c>
      <c r="AK397" s="2">
        <f>IFERROR(Q397/B397,"")</f>
        <v/>
      </c>
      <c r="AL397" s="2">
        <f>IFERROR(R397/C397,"")</f>
        <v/>
      </c>
      <c r="AM397" s="2">
        <f>IFERROR(S397/D397,"")</f>
        <v/>
      </c>
      <c r="AN397" s="2">
        <f>IFERROR(T397/E397,"")</f>
        <v/>
      </c>
      <c r="AO397" s="2">
        <f>IFERROR(U397/F397,"")</f>
        <v/>
      </c>
    </row>
    <row r="398">
      <c r="B398">
        <f>IF($A398="","",IFERROR(INDEX('[AQ_2020.xlsx]原始数据'!$B:$B,MATCH($A398,'[AQ_2020.xlsx]原始数据'!$A:$A,0)),""))</f>
        <v/>
      </c>
      <c r="C398">
        <f>IF($A398="","",IFERROR(INDEX('[AQ_2021.xlsx]原始数据'!$B:$B,MATCH($A398,'[AQ_2021.xlsx]原始数据'!$A:$A,0)),""))</f>
        <v/>
      </c>
      <c r="D398">
        <f>IF($A398="","",IFERROR(INDEX('[AQ_2022.xlsx]原始数据'!$B:$B,MATCH($A398,'[AQ_2022.xlsx]原始数据'!$A:$A,0)),""))</f>
        <v/>
      </c>
      <c r="E398">
        <f>IF($A398="","",IFERROR(INDEX('[AQ_2023.xlsx]原始数据'!$B:$B,MATCH($A398,'[AQ_2023.xlsx]原始数据'!$A:$A,0)),""))</f>
        <v/>
      </c>
      <c r="F398">
        <f>IF($A398="","",IFERROR(INDEX('[AQ_2024.xlsx]原始数据'!$B:$B,MATCH($A398,'[AQ_2024.xlsx]原始数据'!$A:$A,0)),""))</f>
        <v/>
      </c>
      <c r="G398">
        <f>IF($A398="","",IFERROR(INDEX('[AQ_2020.xlsx]原始数据'!$C:$C,MATCH($A398,'[AQ_2020.xlsx]原始数据'!$A:$A,0)),""))</f>
        <v/>
      </c>
      <c r="H398">
        <f>IF($A398="","",IFERROR(INDEX('[AQ_2021.xlsx]原始数据'!$C:$C,MATCH($A398,'[AQ_2021.xlsx]原始数据'!$A:$A,0)),""))</f>
        <v/>
      </c>
      <c r="I398">
        <f>IF($A398="","",IFERROR(INDEX('[AQ_2022.xlsx]原始数据'!$C:$C,MATCH($A398,'[AQ_2022.xlsx]原始数据'!$A:$A,0)),""))</f>
        <v/>
      </c>
      <c r="J398">
        <f>IF($A398="","",IFERROR(INDEX('[AQ_2023.xlsx]原始数据'!$C:$C,MATCH($A398,'[AQ_2023.xlsx]原始数据'!$A:$A,0)),""))</f>
        <v/>
      </c>
      <c r="K398">
        <f>IF($A398="","",IFERROR(INDEX('[AQ_2024.xlsx]原始数据'!$C:$C,MATCH($A398,'[AQ_2024.xlsx]原始数据'!$A:$A,0)),""))</f>
        <v/>
      </c>
      <c r="L398">
        <f>IF($A398="","",IFERROR(INDEX('[AQ_2020.xlsx]原始数据'!$D:$D,MATCH($A398,'[AQ_2020.xlsx]原始数据'!$A:$A,0)),""))</f>
        <v/>
      </c>
      <c r="M398">
        <f>IF($A398="","",IFERROR(INDEX('[AQ_2021.xlsx]原始数据'!$D:$D,MATCH($A398,'[AQ_2021.xlsx]原始数据'!$A:$A,0)),""))</f>
        <v/>
      </c>
      <c r="N398">
        <f>IF($A398="","",IFERROR(INDEX('[AQ_2022.xlsx]原始数据'!$D:$D,MATCH($A398,'[AQ_2022.xlsx]原始数据'!$A:$A,0)),""))</f>
        <v/>
      </c>
      <c r="O398">
        <f>IF($A398="","",IFERROR(INDEX('[AQ_2023.xlsx]原始数据'!$D:$D,MATCH($A398,'[AQ_2023.xlsx]原始数据'!$A:$A,0)),""))</f>
        <v/>
      </c>
      <c r="P398">
        <f>IF($A398="","",IFERROR(INDEX('[AQ_2024.xlsx]原始数据'!$D:$D,MATCH($A398,'[AQ_2024.xlsx]原始数据'!$A:$A,0)),""))</f>
        <v/>
      </c>
      <c r="Q398">
        <f>IF($A398="","",IFERROR(INDEX('[AQ_2020.xlsx]原始数据'!$E:$E,MATCH($A398,'[AQ_2020.xlsx]原始数据'!$A:$A,0)),""))</f>
        <v/>
      </c>
      <c r="R398">
        <f>IF($A398="","",IFERROR(INDEX('[AQ_2021.xlsx]原始数据'!$E:$E,MATCH($A398,'[AQ_2021.xlsx]原始数据'!$A:$A,0)),""))</f>
        <v/>
      </c>
      <c r="S398">
        <f>IF($A398="","",IFERROR(INDEX('[AQ_2022.xlsx]原始数据'!$E:$E,MATCH($A398,'[AQ_2022.xlsx]原始数据'!$A:$A,0)),""))</f>
        <v/>
      </c>
      <c r="T398">
        <f>IF($A398="","",IFERROR(INDEX('[AQ_2023.xlsx]原始数据'!$E:$E,MATCH($A398,'[AQ_2023.xlsx]原始数据'!$A:$A,0)),""))</f>
        <v/>
      </c>
      <c r="U398">
        <f>IF($A398="","",IFERROR(INDEX('[AQ_2024.xlsx]原始数据'!$E:$E,MATCH($A398,'[AQ_2024.xlsx]原始数据'!$A:$A,0)),""))</f>
        <v/>
      </c>
      <c r="V398">
        <f>IF($A398="","",IFERROR(INDEX('[AQ_2020.xlsx]原始数据'!$F:$F,MATCH($A398,'[AQ_2020.xlsx]原始数据'!$A:$A,0)),""))</f>
        <v/>
      </c>
      <c r="W398">
        <f>IF($A398="","",IFERROR(INDEX('[AQ_2021.xlsx]原始数据'!$F:$F,MATCH($A398,'[AQ_2021.xlsx]原始数据'!$A:$A,0)),""))</f>
        <v/>
      </c>
      <c r="X398">
        <f>IF($A398="","",IFERROR(INDEX('[AQ_2022.xlsx]原始数据'!$F:$F,MATCH($A398,'[AQ_2022.xlsx]原始数据'!$A:$A,0)),""))</f>
        <v/>
      </c>
      <c r="Y398">
        <f>IF($A398="","",IFERROR(INDEX('[AQ_2023.xlsx]原始数据'!$F:$F,MATCH($A398,'[AQ_2023.xlsx]原始数据'!$A:$A,0)),""))</f>
        <v/>
      </c>
      <c r="Z398">
        <f>IF($A398="","",IFERROR(INDEX('[AQ_2024.xlsx]原始数据'!$F:$F,MATCH($A398,'[AQ_2024.xlsx]原始数据'!$A:$A,0)),""))</f>
        <v/>
      </c>
      <c r="AA398" s="2">
        <f>IFERROR(G398/B398,"")</f>
        <v/>
      </c>
      <c r="AB398" s="2">
        <f>IFERROR(H398/C398,"")</f>
        <v/>
      </c>
      <c r="AC398" s="2">
        <f>IFERROR(I398/D398,"")</f>
        <v/>
      </c>
      <c r="AD398" s="2">
        <f>IFERROR(J398/E398,"")</f>
        <v/>
      </c>
      <c r="AE398" s="2">
        <f>IFERROR(K398/F398,"")</f>
        <v/>
      </c>
      <c r="AF398" s="2">
        <f>IFERROR(L398/B398,"")</f>
        <v/>
      </c>
      <c r="AG398" s="2">
        <f>IFERROR(M398/C398,"")</f>
        <v/>
      </c>
      <c r="AH398" s="2">
        <f>IFERROR(N398/D398,"")</f>
        <v/>
      </c>
      <c r="AI398" s="2">
        <f>IFERROR(O398/E398,"")</f>
        <v/>
      </c>
      <c r="AJ398" s="2">
        <f>IFERROR(P398/F398,"")</f>
        <v/>
      </c>
      <c r="AK398" s="2">
        <f>IFERROR(Q398/B398,"")</f>
        <v/>
      </c>
      <c r="AL398" s="2">
        <f>IFERROR(R398/C398,"")</f>
        <v/>
      </c>
      <c r="AM398" s="2">
        <f>IFERROR(S398/D398,"")</f>
        <v/>
      </c>
      <c r="AN398" s="2">
        <f>IFERROR(T398/E398,"")</f>
        <v/>
      </c>
      <c r="AO398" s="2">
        <f>IFERROR(U398/F398,"")</f>
        <v/>
      </c>
    </row>
    <row r="399">
      <c r="B399">
        <f>IF($A399="","",IFERROR(INDEX('[AQ_2020.xlsx]原始数据'!$B:$B,MATCH($A399,'[AQ_2020.xlsx]原始数据'!$A:$A,0)),""))</f>
        <v/>
      </c>
      <c r="C399">
        <f>IF($A399="","",IFERROR(INDEX('[AQ_2021.xlsx]原始数据'!$B:$B,MATCH($A399,'[AQ_2021.xlsx]原始数据'!$A:$A,0)),""))</f>
        <v/>
      </c>
      <c r="D399">
        <f>IF($A399="","",IFERROR(INDEX('[AQ_2022.xlsx]原始数据'!$B:$B,MATCH($A399,'[AQ_2022.xlsx]原始数据'!$A:$A,0)),""))</f>
        <v/>
      </c>
      <c r="E399">
        <f>IF($A399="","",IFERROR(INDEX('[AQ_2023.xlsx]原始数据'!$B:$B,MATCH($A399,'[AQ_2023.xlsx]原始数据'!$A:$A,0)),""))</f>
        <v/>
      </c>
      <c r="F399">
        <f>IF($A399="","",IFERROR(INDEX('[AQ_2024.xlsx]原始数据'!$B:$B,MATCH($A399,'[AQ_2024.xlsx]原始数据'!$A:$A,0)),""))</f>
        <v/>
      </c>
      <c r="G399">
        <f>IF($A399="","",IFERROR(INDEX('[AQ_2020.xlsx]原始数据'!$C:$C,MATCH($A399,'[AQ_2020.xlsx]原始数据'!$A:$A,0)),""))</f>
        <v/>
      </c>
      <c r="H399">
        <f>IF($A399="","",IFERROR(INDEX('[AQ_2021.xlsx]原始数据'!$C:$C,MATCH($A399,'[AQ_2021.xlsx]原始数据'!$A:$A,0)),""))</f>
        <v/>
      </c>
      <c r="I399">
        <f>IF($A399="","",IFERROR(INDEX('[AQ_2022.xlsx]原始数据'!$C:$C,MATCH($A399,'[AQ_2022.xlsx]原始数据'!$A:$A,0)),""))</f>
        <v/>
      </c>
      <c r="J399">
        <f>IF($A399="","",IFERROR(INDEX('[AQ_2023.xlsx]原始数据'!$C:$C,MATCH($A399,'[AQ_2023.xlsx]原始数据'!$A:$A,0)),""))</f>
        <v/>
      </c>
      <c r="K399">
        <f>IF($A399="","",IFERROR(INDEX('[AQ_2024.xlsx]原始数据'!$C:$C,MATCH($A399,'[AQ_2024.xlsx]原始数据'!$A:$A,0)),""))</f>
        <v/>
      </c>
      <c r="L399">
        <f>IF($A399="","",IFERROR(INDEX('[AQ_2020.xlsx]原始数据'!$D:$D,MATCH($A399,'[AQ_2020.xlsx]原始数据'!$A:$A,0)),""))</f>
        <v/>
      </c>
      <c r="M399">
        <f>IF($A399="","",IFERROR(INDEX('[AQ_2021.xlsx]原始数据'!$D:$D,MATCH($A399,'[AQ_2021.xlsx]原始数据'!$A:$A,0)),""))</f>
        <v/>
      </c>
      <c r="N399">
        <f>IF($A399="","",IFERROR(INDEX('[AQ_2022.xlsx]原始数据'!$D:$D,MATCH($A399,'[AQ_2022.xlsx]原始数据'!$A:$A,0)),""))</f>
        <v/>
      </c>
      <c r="O399">
        <f>IF($A399="","",IFERROR(INDEX('[AQ_2023.xlsx]原始数据'!$D:$D,MATCH($A399,'[AQ_2023.xlsx]原始数据'!$A:$A,0)),""))</f>
        <v/>
      </c>
      <c r="P399">
        <f>IF($A399="","",IFERROR(INDEX('[AQ_2024.xlsx]原始数据'!$D:$D,MATCH($A399,'[AQ_2024.xlsx]原始数据'!$A:$A,0)),""))</f>
        <v/>
      </c>
      <c r="Q399">
        <f>IF($A399="","",IFERROR(INDEX('[AQ_2020.xlsx]原始数据'!$E:$E,MATCH($A399,'[AQ_2020.xlsx]原始数据'!$A:$A,0)),""))</f>
        <v/>
      </c>
      <c r="R399">
        <f>IF($A399="","",IFERROR(INDEX('[AQ_2021.xlsx]原始数据'!$E:$E,MATCH($A399,'[AQ_2021.xlsx]原始数据'!$A:$A,0)),""))</f>
        <v/>
      </c>
      <c r="S399">
        <f>IF($A399="","",IFERROR(INDEX('[AQ_2022.xlsx]原始数据'!$E:$E,MATCH($A399,'[AQ_2022.xlsx]原始数据'!$A:$A,0)),""))</f>
        <v/>
      </c>
      <c r="T399">
        <f>IF($A399="","",IFERROR(INDEX('[AQ_2023.xlsx]原始数据'!$E:$E,MATCH($A399,'[AQ_2023.xlsx]原始数据'!$A:$A,0)),""))</f>
        <v/>
      </c>
      <c r="U399">
        <f>IF($A399="","",IFERROR(INDEX('[AQ_2024.xlsx]原始数据'!$E:$E,MATCH($A399,'[AQ_2024.xlsx]原始数据'!$A:$A,0)),""))</f>
        <v/>
      </c>
      <c r="V399">
        <f>IF($A399="","",IFERROR(INDEX('[AQ_2020.xlsx]原始数据'!$F:$F,MATCH($A399,'[AQ_2020.xlsx]原始数据'!$A:$A,0)),""))</f>
        <v/>
      </c>
      <c r="W399">
        <f>IF($A399="","",IFERROR(INDEX('[AQ_2021.xlsx]原始数据'!$F:$F,MATCH($A399,'[AQ_2021.xlsx]原始数据'!$A:$A,0)),""))</f>
        <v/>
      </c>
      <c r="X399">
        <f>IF($A399="","",IFERROR(INDEX('[AQ_2022.xlsx]原始数据'!$F:$F,MATCH($A399,'[AQ_2022.xlsx]原始数据'!$A:$A,0)),""))</f>
        <v/>
      </c>
      <c r="Y399">
        <f>IF($A399="","",IFERROR(INDEX('[AQ_2023.xlsx]原始数据'!$F:$F,MATCH($A399,'[AQ_2023.xlsx]原始数据'!$A:$A,0)),""))</f>
        <v/>
      </c>
      <c r="Z399">
        <f>IF($A399="","",IFERROR(INDEX('[AQ_2024.xlsx]原始数据'!$F:$F,MATCH($A399,'[AQ_2024.xlsx]原始数据'!$A:$A,0)),""))</f>
        <v/>
      </c>
      <c r="AA399" s="2">
        <f>IFERROR(G399/B399,"")</f>
        <v/>
      </c>
      <c r="AB399" s="2">
        <f>IFERROR(H399/C399,"")</f>
        <v/>
      </c>
      <c r="AC399" s="2">
        <f>IFERROR(I399/D399,"")</f>
        <v/>
      </c>
      <c r="AD399" s="2">
        <f>IFERROR(J399/E399,"")</f>
        <v/>
      </c>
      <c r="AE399" s="2">
        <f>IFERROR(K399/F399,"")</f>
        <v/>
      </c>
      <c r="AF399" s="2">
        <f>IFERROR(L399/B399,"")</f>
        <v/>
      </c>
      <c r="AG399" s="2">
        <f>IFERROR(M399/C399,"")</f>
        <v/>
      </c>
      <c r="AH399" s="2">
        <f>IFERROR(N399/D399,"")</f>
        <v/>
      </c>
      <c r="AI399" s="2">
        <f>IFERROR(O399/E399,"")</f>
        <v/>
      </c>
      <c r="AJ399" s="2">
        <f>IFERROR(P399/F399,"")</f>
        <v/>
      </c>
      <c r="AK399" s="2">
        <f>IFERROR(Q399/B399,"")</f>
        <v/>
      </c>
      <c r="AL399" s="2">
        <f>IFERROR(R399/C399,"")</f>
        <v/>
      </c>
      <c r="AM399" s="2">
        <f>IFERROR(S399/D399,"")</f>
        <v/>
      </c>
      <c r="AN399" s="2">
        <f>IFERROR(T399/E399,"")</f>
        <v/>
      </c>
      <c r="AO399" s="2">
        <f>IFERROR(U399/F399,"")</f>
        <v/>
      </c>
    </row>
    <row r="400">
      <c r="B400">
        <f>IF($A400="","",IFERROR(INDEX('[AQ_2020.xlsx]原始数据'!$B:$B,MATCH($A400,'[AQ_2020.xlsx]原始数据'!$A:$A,0)),""))</f>
        <v/>
      </c>
      <c r="C400">
        <f>IF($A400="","",IFERROR(INDEX('[AQ_2021.xlsx]原始数据'!$B:$B,MATCH($A400,'[AQ_2021.xlsx]原始数据'!$A:$A,0)),""))</f>
        <v/>
      </c>
      <c r="D400">
        <f>IF($A400="","",IFERROR(INDEX('[AQ_2022.xlsx]原始数据'!$B:$B,MATCH($A400,'[AQ_2022.xlsx]原始数据'!$A:$A,0)),""))</f>
        <v/>
      </c>
      <c r="E400">
        <f>IF($A400="","",IFERROR(INDEX('[AQ_2023.xlsx]原始数据'!$B:$B,MATCH($A400,'[AQ_2023.xlsx]原始数据'!$A:$A,0)),""))</f>
        <v/>
      </c>
      <c r="F400">
        <f>IF($A400="","",IFERROR(INDEX('[AQ_2024.xlsx]原始数据'!$B:$B,MATCH($A400,'[AQ_2024.xlsx]原始数据'!$A:$A,0)),""))</f>
        <v/>
      </c>
      <c r="G400">
        <f>IF($A400="","",IFERROR(INDEX('[AQ_2020.xlsx]原始数据'!$C:$C,MATCH($A400,'[AQ_2020.xlsx]原始数据'!$A:$A,0)),""))</f>
        <v/>
      </c>
      <c r="H400">
        <f>IF($A400="","",IFERROR(INDEX('[AQ_2021.xlsx]原始数据'!$C:$C,MATCH($A400,'[AQ_2021.xlsx]原始数据'!$A:$A,0)),""))</f>
        <v/>
      </c>
      <c r="I400">
        <f>IF($A400="","",IFERROR(INDEX('[AQ_2022.xlsx]原始数据'!$C:$C,MATCH($A400,'[AQ_2022.xlsx]原始数据'!$A:$A,0)),""))</f>
        <v/>
      </c>
      <c r="J400">
        <f>IF($A400="","",IFERROR(INDEX('[AQ_2023.xlsx]原始数据'!$C:$C,MATCH($A400,'[AQ_2023.xlsx]原始数据'!$A:$A,0)),""))</f>
        <v/>
      </c>
      <c r="K400">
        <f>IF($A400="","",IFERROR(INDEX('[AQ_2024.xlsx]原始数据'!$C:$C,MATCH($A400,'[AQ_2024.xlsx]原始数据'!$A:$A,0)),""))</f>
        <v/>
      </c>
      <c r="L400">
        <f>IF($A400="","",IFERROR(INDEX('[AQ_2020.xlsx]原始数据'!$D:$D,MATCH($A400,'[AQ_2020.xlsx]原始数据'!$A:$A,0)),""))</f>
        <v/>
      </c>
      <c r="M400">
        <f>IF($A400="","",IFERROR(INDEX('[AQ_2021.xlsx]原始数据'!$D:$D,MATCH($A400,'[AQ_2021.xlsx]原始数据'!$A:$A,0)),""))</f>
        <v/>
      </c>
      <c r="N400">
        <f>IF($A400="","",IFERROR(INDEX('[AQ_2022.xlsx]原始数据'!$D:$D,MATCH($A400,'[AQ_2022.xlsx]原始数据'!$A:$A,0)),""))</f>
        <v/>
      </c>
      <c r="O400">
        <f>IF($A400="","",IFERROR(INDEX('[AQ_2023.xlsx]原始数据'!$D:$D,MATCH($A400,'[AQ_2023.xlsx]原始数据'!$A:$A,0)),""))</f>
        <v/>
      </c>
      <c r="P400">
        <f>IF($A400="","",IFERROR(INDEX('[AQ_2024.xlsx]原始数据'!$D:$D,MATCH($A400,'[AQ_2024.xlsx]原始数据'!$A:$A,0)),""))</f>
        <v/>
      </c>
      <c r="Q400">
        <f>IF($A400="","",IFERROR(INDEX('[AQ_2020.xlsx]原始数据'!$E:$E,MATCH($A400,'[AQ_2020.xlsx]原始数据'!$A:$A,0)),""))</f>
        <v/>
      </c>
      <c r="R400">
        <f>IF($A400="","",IFERROR(INDEX('[AQ_2021.xlsx]原始数据'!$E:$E,MATCH($A400,'[AQ_2021.xlsx]原始数据'!$A:$A,0)),""))</f>
        <v/>
      </c>
      <c r="S400">
        <f>IF($A400="","",IFERROR(INDEX('[AQ_2022.xlsx]原始数据'!$E:$E,MATCH($A400,'[AQ_2022.xlsx]原始数据'!$A:$A,0)),""))</f>
        <v/>
      </c>
      <c r="T400">
        <f>IF($A400="","",IFERROR(INDEX('[AQ_2023.xlsx]原始数据'!$E:$E,MATCH($A400,'[AQ_2023.xlsx]原始数据'!$A:$A,0)),""))</f>
        <v/>
      </c>
      <c r="U400">
        <f>IF($A400="","",IFERROR(INDEX('[AQ_2024.xlsx]原始数据'!$E:$E,MATCH($A400,'[AQ_2024.xlsx]原始数据'!$A:$A,0)),""))</f>
        <v/>
      </c>
      <c r="V400">
        <f>IF($A400="","",IFERROR(INDEX('[AQ_2020.xlsx]原始数据'!$F:$F,MATCH($A400,'[AQ_2020.xlsx]原始数据'!$A:$A,0)),""))</f>
        <v/>
      </c>
      <c r="W400">
        <f>IF($A400="","",IFERROR(INDEX('[AQ_2021.xlsx]原始数据'!$F:$F,MATCH($A400,'[AQ_2021.xlsx]原始数据'!$A:$A,0)),""))</f>
        <v/>
      </c>
      <c r="X400">
        <f>IF($A400="","",IFERROR(INDEX('[AQ_2022.xlsx]原始数据'!$F:$F,MATCH($A400,'[AQ_2022.xlsx]原始数据'!$A:$A,0)),""))</f>
        <v/>
      </c>
      <c r="Y400">
        <f>IF($A400="","",IFERROR(INDEX('[AQ_2023.xlsx]原始数据'!$F:$F,MATCH($A400,'[AQ_2023.xlsx]原始数据'!$A:$A,0)),""))</f>
        <v/>
      </c>
      <c r="Z400">
        <f>IF($A400="","",IFERROR(INDEX('[AQ_2024.xlsx]原始数据'!$F:$F,MATCH($A400,'[AQ_2024.xlsx]原始数据'!$A:$A,0)),""))</f>
        <v/>
      </c>
      <c r="AA400" s="2">
        <f>IFERROR(G400/B400,"")</f>
        <v/>
      </c>
      <c r="AB400" s="2">
        <f>IFERROR(H400/C400,"")</f>
        <v/>
      </c>
      <c r="AC400" s="2">
        <f>IFERROR(I400/D400,"")</f>
        <v/>
      </c>
      <c r="AD400" s="2">
        <f>IFERROR(J400/E400,"")</f>
        <v/>
      </c>
      <c r="AE400" s="2">
        <f>IFERROR(K400/F400,"")</f>
        <v/>
      </c>
      <c r="AF400" s="2">
        <f>IFERROR(L400/B400,"")</f>
        <v/>
      </c>
      <c r="AG400" s="2">
        <f>IFERROR(M400/C400,"")</f>
        <v/>
      </c>
      <c r="AH400" s="2">
        <f>IFERROR(N400/D400,"")</f>
        <v/>
      </c>
      <c r="AI400" s="2">
        <f>IFERROR(O400/E400,"")</f>
        <v/>
      </c>
      <c r="AJ400" s="2">
        <f>IFERROR(P400/F400,"")</f>
        <v/>
      </c>
      <c r="AK400" s="2">
        <f>IFERROR(Q400/B400,"")</f>
        <v/>
      </c>
      <c r="AL400" s="2">
        <f>IFERROR(R400/C400,"")</f>
        <v/>
      </c>
      <c r="AM400" s="2">
        <f>IFERROR(S400/D400,"")</f>
        <v/>
      </c>
      <c r="AN400" s="2">
        <f>IFERROR(T400/E400,"")</f>
        <v/>
      </c>
      <c r="AO400" s="2">
        <f>IFERROR(U400/F400,"")</f>
        <v/>
      </c>
    </row>
    <row r="401">
      <c r="B401">
        <f>IF($A401="","",IFERROR(INDEX('[AQ_2020.xlsx]原始数据'!$B:$B,MATCH($A401,'[AQ_2020.xlsx]原始数据'!$A:$A,0)),""))</f>
        <v/>
      </c>
      <c r="C401">
        <f>IF($A401="","",IFERROR(INDEX('[AQ_2021.xlsx]原始数据'!$B:$B,MATCH($A401,'[AQ_2021.xlsx]原始数据'!$A:$A,0)),""))</f>
        <v/>
      </c>
      <c r="D401">
        <f>IF($A401="","",IFERROR(INDEX('[AQ_2022.xlsx]原始数据'!$B:$B,MATCH($A401,'[AQ_2022.xlsx]原始数据'!$A:$A,0)),""))</f>
        <v/>
      </c>
      <c r="E401">
        <f>IF($A401="","",IFERROR(INDEX('[AQ_2023.xlsx]原始数据'!$B:$B,MATCH($A401,'[AQ_2023.xlsx]原始数据'!$A:$A,0)),""))</f>
        <v/>
      </c>
      <c r="F401">
        <f>IF($A401="","",IFERROR(INDEX('[AQ_2024.xlsx]原始数据'!$B:$B,MATCH($A401,'[AQ_2024.xlsx]原始数据'!$A:$A,0)),""))</f>
        <v/>
      </c>
      <c r="G401">
        <f>IF($A401="","",IFERROR(INDEX('[AQ_2020.xlsx]原始数据'!$C:$C,MATCH($A401,'[AQ_2020.xlsx]原始数据'!$A:$A,0)),""))</f>
        <v/>
      </c>
      <c r="H401">
        <f>IF($A401="","",IFERROR(INDEX('[AQ_2021.xlsx]原始数据'!$C:$C,MATCH($A401,'[AQ_2021.xlsx]原始数据'!$A:$A,0)),""))</f>
        <v/>
      </c>
      <c r="I401">
        <f>IF($A401="","",IFERROR(INDEX('[AQ_2022.xlsx]原始数据'!$C:$C,MATCH($A401,'[AQ_2022.xlsx]原始数据'!$A:$A,0)),""))</f>
        <v/>
      </c>
      <c r="J401">
        <f>IF($A401="","",IFERROR(INDEX('[AQ_2023.xlsx]原始数据'!$C:$C,MATCH($A401,'[AQ_2023.xlsx]原始数据'!$A:$A,0)),""))</f>
        <v/>
      </c>
      <c r="K401">
        <f>IF($A401="","",IFERROR(INDEX('[AQ_2024.xlsx]原始数据'!$C:$C,MATCH($A401,'[AQ_2024.xlsx]原始数据'!$A:$A,0)),""))</f>
        <v/>
      </c>
      <c r="L401">
        <f>IF($A401="","",IFERROR(INDEX('[AQ_2020.xlsx]原始数据'!$D:$D,MATCH($A401,'[AQ_2020.xlsx]原始数据'!$A:$A,0)),""))</f>
        <v/>
      </c>
      <c r="M401">
        <f>IF($A401="","",IFERROR(INDEX('[AQ_2021.xlsx]原始数据'!$D:$D,MATCH($A401,'[AQ_2021.xlsx]原始数据'!$A:$A,0)),""))</f>
        <v/>
      </c>
      <c r="N401">
        <f>IF($A401="","",IFERROR(INDEX('[AQ_2022.xlsx]原始数据'!$D:$D,MATCH($A401,'[AQ_2022.xlsx]原始数据'!$A:$A,0)),""))</f>
        <v/>
      </c>
      <c r="O401">
        <f>IF($A401="","",IFERROR(INDEX('[AQ_2023.xlsx]原始数据'!$D:$D,MATCH($A401,'[AQ_2023.xlsx]原始数据'!$A:$A,0)),""))</f>
        <v/>
      </c>
      <c r="P401">
        <f>IF($A401="","",IFERROR(INDEX('[AQ_2024.xlsx]原始数据'!$D:$D,MATCH($A401,'[AQ_2024.xlsx]原始数据'!$A:$A,0)),""))</f>
        <v/>
      </c>
      <c r="Q401">
        <f>IF($A401="","",IFERROR(INDEX('[AQ_2020.xlsx]原始数据'!$E:$E,MATCH($A401,'[AQ_2020.xlsx]原始数据'!$A:$A,0)),""))</f>
        <v/>
      </c>
      <c r="R401">
        <f>IF($A401="","",IFERROR(INDEX('[AQ_2021.xlsx]原始数据'!$E:$E,MATCH($A401,'[AQ_2021.xlsx]原始数据'!$A:$A,0)),""))</f>
        <v/>
      </c>
      <c r="S401">
        <f>IF($A401="","",IFERROR(INDEX('[AQ_2022.xlsx]原始数据'!$E:$E,MATCH($A401,'[AQ_2022.xlsx]原始数据'!$A:$A,0)),""))</f>
        <v/>
      </c>
      <c r="T401">
        <f>IF($A401="","",IFERROR(INDEX('[AQ_2023.xlsx]原始数据'!$E:$E,MATCH($A401,'[AQ_2023.xlsx]原始数据'!$A:$A,0)),""))</f>
        <v/>
      </c>
      <c r="U401">
        <f>IF($A401="","",IFERROR(INDEX('[AQ_2024.xlsx]原始数据'!$E:$E,MATCH($A401,'[AQ_2024.xlsx]原始数据'!$A:$A,0)),""))</f>
        <v/>
      </c>
      <c r="V401">
        <f>IF($A401="","",IFERROR(INDEX('[AQ_2020.xlsx]原始数据'!$F:$F,MATCH($A401,'[AQ_2020.xlsx]原始数据'!$A:$A,0)),""))</f>
        <v/>
      </c>
      <c r="W401">
        <f>IF($A401="","",IFERROR(INDEX('[AQ_2021.xlsx]原始数据'!$F:$F,MATCH($A401,'[AQ_2021.xlsx]原始数据'!$A:$A,0)),""))</f>
        <v/>
      </c>
      <c r="X401">
        <f>IF($A401="","",IFERROR(INDEX('[AQ_2022.xlsx]原始数据'!$F:$F,MATCH($A401,'[AQ_2022.xlsx]原始数据'!$A:$A,0)),""))</f>
        <v/>
      </c>
      <c r="Y401">
        <f>IF($A401="","",IFERROR(INDEX('[AQ_2023.xlsx]原始数据'!$F:$F,MATCH($A401,'[AQ_2023.xlsx]原始数据'!$A:$A,0)),""))</f>
        <v/>
      </c>
      <c r="Z401">
        <f>IF($A401="","",IFERROR(INDEX('[AQ_2024.xlsx]原始数据'!$F:$F,MATCH($A401,'[AQ_2024.xlsx]原始数据'!$A:$A,0)),""))</f>
        <v/>
      </c>
      <c r="AA401" s="2">
        <f>IFERROR(G401/B401,"")</f>
        <v/>
      </c>
      <c r="AB401" s="2">
        <f>IFERROR(H401/C401,"")</f>
        <v/>
      </c>
      <c r="AC401" s="2">
        <f>IFERROR(I401/D401,"")</f>
        <v/>
      </c>
      <c r="AD401" s="2">
        <f>IFERROR(J401/E401,"")</f>
        <v/>
      </c>
      <c r="AE401" s="2">
        <f>IFERROR(K401/F401,"")</f>
        <v/>
      </c>
      <c r="AF401" s="2">
        <f>IFERROR(L401/B401,"")</f>
        <v/>
      </c>
      <c r="AG401" s="2">
        <f>IFERROR(M401/C401,"")</f>
        <v/>
      </c>
      <c r="AH401" s="2">
        <f>IFERROR(N401/D401,"")</f>
        <v/>
      </c>
      <c r="AI401" s="2">
        <f>IFERROR(O401/E401,"")</f>
        <v/>
      </c>
      <c r="AJ401" s="2">
        <f>IFERROR(P401/F401,"")</f>
        <v/>
      </c>
      <c r="AK401" s="2">
        <f>IFERROR(Q401/B401,"")</f>
        <v/>
      </c>
      <c r="AL401" s="2">
        <f>IFERROR(R401/C401,"")</f>
        <v/>
      </c>
      <c r="AM401" s="2">
        <f>IFERROR(S401/D401,"")</f>
        <v/>
      </c>
      <c r="AN401" s="2">
        <f>IFERROR(T401/E401,"")</f>
        <v/>
      </c>
      <c r="AO401" s="2">
        <f>IFERROR(U401/F401,"")</f>
        <v/>
      </c>
    </row>
    <row r="402">
      <c r="B402">
        <f>IF($A402="","",IFERROR(INDEX('[AQ_2020.xlsx]原始数据'!$B:$B,MATCH($A402,'[AQ_2020.xlsx]原始数据'!$A:$A,0)),""))</f>
        <v/>
      </c>
      <c r="C402">
        <f>IF($A402="","",IFERROR(INDEX('[AQ_2021.xlsx]原始数据'!$B:$B,MATCH($A402,'[AQ_2021.xlsx]原始数据'!$A:$A,0)),""))</f>
        <v/>
      </c>
      <c r="D402">
        <f>IF($A402="","",IFERROR(INDEX('[AQ_2022.xlsx]原始数据'!$B:$B,MATCH($A402,'[AQ_2022.xlsx]原始数据'!$A:$A,0)),""))</f>
        <v/>
      </c>
      <c r="E402">
        <f>IF($A402="","",IFERROR(INDEX('[AQ_2023.xlsx]原始数据'!$B:$B,MATCH($A402,'[AQ_2023.xlsx]原始数据'!$A:$A,0)),""))</f>
        <v/>
      </c>
      <c r="F402">
        <f>IF($A402="","",IFERROR(INDEX('[AQ_2024.xlsx]原始数据'!$B:$B,MATCH($A402,'[AQ_2024.xlsx]原始数据'!$A:$A,0)),""))</f>
        <v/>
      </c>
      <c r="G402">
        <f>IF($A402="","",IFERROR(INDEX('[AQ_2020.xlsx]原始数据'!$C:$C,MATCH($A402,'[AQ_2020.xlsx]原始数据'!$A:$A,0)),""))</f>
        <v/>
      </c>
      <c r="H402">
        <f>IF($A402="","",IFERROR(INDEX('[AQ_2021.xlsx]原始数据'!$C:$C,MATCH($A402,'[AQ_2021.xlsx]原始数据'!$A:$A,0)),""))</f>
        <v/>
      </c>
      <c r="I402">
        <f>IF($A402="","",IFERROR(INDEX('[AQ_2022.xlsx]原始数据'!$C:$C,MATCH($A402,'[AQ_2022.xlsx]原始数据'!$A:$A,0)),""))</f>
        <v/>
      </c>
      <c r="J402">
        <f>IF($A402="","",IFERROR(INDEX('[AQ_2023.xlsx]原始数据'!$C:$C,MATCH($A402,'[AQ_2023.xlsx]原始数据'!$A:$A,0)),""))</f>
        <v/>
      </c>
      <c r="K402">
        <f>IF($A402="","",IFERROR(INDEX('[AQ_2024.xlsx]原始数据'!$C:$C,MATCH($A402,'[AQ_2024.xlsx]原始数据'!$A:$A,0)),""))</f>
        <v/>
      </c>
      <c r="L402">
        <f>IF($A402="","",IFERROR(INDEX('[AQ_2020.xlsx]原始数据'!$D:$D,MATCH($A402,'[AQ_2020.xlsx]原始数据'!$A:$A,0)),""))</f>
        <v/>
      </c>
      <c r="M402">
        <f>IF($A402="","",IFERROR(INDEX('[AQ_2021.xlsx]原始数据'!$D:$D,MATCH($A402,'[AQ_2021.xlsx]原始数据'!$A:$A,0)),""))</f>
        <v/>
      </c>
      <c r="N402">
        <f>IF($A402="","",IFERROR(INDEX('[AQ_2022.xlsx]原始数据'!$D:$D,MATCH($A402,'[AQ_2022.xlsx]原始数据'!$A:$A,0)),""))</f>
        <v/>
      </c>
      <c r="O402">
        <f>IF($A402="","",IFERROR(INDEX('[AQ_2023.xlsx]原始数据'!$D:$D,MATCH($A402,'[AQ_2023.xlsx]原始数据'!$A:$A,0)),""))</f>
        <v/>
      </c>
      <c r="P402">
        <f>IF($A402="","",IFERROR(INDEX('[AQ_2024.xlsx]原始数据'!$D:$D,MATCH($A402,'[AQ_2024.xlsx]原始数据'!$A:$A,0)),""))</f>
        <v/>
      </c>
      <c r="Q402">
        <f>IF($A402="","",IFERROR(INDEX('[AQ_2020.xlsx]原始数据'!$E:$E,MATCH($A402,'[AQ_2020.xlsx]原始数据'!$A:$A,0)),""))</f>
        <v/>
      </c>
      <c r="R402">
        <f>IF($A402="","",IFERROR(INDEX('[AQ_2021.xlsx]原始数据'!$E:$E,MATCH($A402,'[AQ_2021.xlsx]原始数据'!$A:$A,0)),""))</f>
        <v/>
      </c>
      <c r="S402">
        <f>IF($A402="","",IFERROR(INDEX('[AQ_2022.xlsx]原始数据'!$E:$E,MATCH($A402,'[AQ_2022.xlsx]原始数据'!$A:$A,0)),""))</f>
        <v/>
      </c>
      <c r="T402">
        <f>IF($A402="","",IFERROR(INDEX('[AQ_2023.xlsx]原始数据'!$E:$E,MATCH($A402,'[AQ_2023.xlsx]原始数据'!$A:$A,0)),""))</f>
        <v/>
      </c>
      <c r="U402">
        <f>IF($A402="","",IFERROR(INDEX('[AQ_2024.xlsx]原始数据'!$E:$E,MATCH($A402,'[AQ_2024.xlsx]原始数据'!$A:$A,0)),""))</f>
        <v/>
      </c>
      <c r="V402">
        <f>IF($A402="","",IFERROR(INDEX('[AQ_2020.xlsx]原始数据'!$F:$F,MATCH($A402,'[AQ_2020.xlsx]原始数据'!$A:$A,0)),""))</f>
        <v/>
      </c>
      <c r="W402">
        <f>IF($A402="","",IFERROR(INDEX('[AQ_2021.xlsx]原始数据'!$F:$F,MATCH($A402,'[AQ_2021.xlsx]原始数据'!$A:$A,0)),""))</f>
        <v/>
      </c>
      <c r="X402">
        <f>IF($A402="","",IFERROR(INDEX('[AQ_2022.xlsx]原始数据'!$F:$F,MATCH($A402,'[AQ_2022.xlsx]原始数据'!$A:$A,0)),""))</f>
        <v/>
      </c>
      <c r="Y402">
        <f>IF($A402="","",IFERROR(INDEX('[AQ_2023.xlsx]原始数据'!$F:$F,MATCH($A402,'[AQ_2023.xlsx]原始数据'!$A:$A,0)),""))</f>
        <v/>
      </c>
      <c r="Z402">
        <f>IF($A402="","",IFERROR(INDEX('[AQ_2024.xlsx]原始数据'!$F:$F,MATCH($A402,'[AQ_2024.xlsx]原始数据'!$A:$A,0)),""))</f>
        <v/>
      </c>
      <c r="AA402" s="2">
        <f>IFERROR(G402/B402,"")</f>
        <v/>
      </c>
      <c r="AB402" s="2">
        <f>IFERROR(H402/C402,"")</f>
        <v/>
      </c>
      <c r="AC402" s="2">
        <f>IFERROR(I402/D402,"")</f>
        <v/>
      </c>
      <c r="AD402" s="2">
        <f>IFERROR(J402/E402,"")</f>
        <v/>
      </c>
      <c r="AE402" s="2">
        <f>IFERROR(K402/F402,"")</f>
        <v/>
      </c>
      <c r="AF402" s="2">
        <f>IFERROR(L402/B402,"")</f>
        <v/>
      </c>
      <c r="AG402" s="2">
        <f>IFERROR(M402/C402,"")</f>
        <v/>
      </c>
      <c r="AH402" s="2">
        <f>IFERROR(N402/D402,"")</f>
        <v/>
      </c>
      <c r="AI402" s="2">
        <f>IFERROR(O402/E402,"")</f>
        <v/>
      </c>
      <c r="AJ402" s="2">
        <f>IFERROR(P402/F402,"")</f>
        <v/>
      </c>
      <c r="AK402" s="2">
        <f>IFERROR(Q402/B402,"")</f>
        <v/>
      </c>
      <c r="AL402" s="2">
        <f>IFERROR(R402/C402,"")</f>
        <v/>
      </c>
      <c r="AM402" s="2">
        <f>IFERROR(S402/D402,"")</f>
        <v/>
      </c>
      <c r="AN402" s="2">
        <f>IFERROR(T402/E402,"")</f>
        <v/>
      </c>
      <c r="AO402" s="2">
        <f>IFERROR(U402/F402,"")</f>
        <v/>
      </c>
    </row>
    <row r="403">
      <c r="B403">
        <f>IF($A403="","",IFERROR(INDEX('[AQ_2020.xlsx]原始数据'!$B:$B,MATCH($A403,'[AQ_2020.xlsx]原始数据'!$A:$A,0)),""))</f>
        <v/>
      </c>
      <c r="C403">
        <f>IF($A403="","",IFERROR(INDEX('[AQ_2021.xlsx]原始数据'!$B:$B,MATCH($A403,'[AQ_2021.xlsx]原始数据'!$A:$A,0)),""))</f>
        <v/>
      </c>
      <c r="D403">
        <f>IF($A403="","",IFERROR(INDEX('[AQ_2022.xlsx]原始数据'!$B:$B,MATCH($A403,'[AQ_2022.xlsx]原始数据'!$A:$A,0)),""))</f>
        <v/>
      </c>
      <c r="E403">
        <f>IF($A403="","",IFERROR(INDEX('[AQ_2023.xlsx]原始数据'!$B:$B,MATCH($A403,'[AQ_2023.xlsx]原始数据'!$A:$A,0)),""))</f>
        <v/>
      </c>
      <c r="F403">
        <f>IF($A403="","",IFERROR(INDEX('[AQ_2024.xlsx]原始数据'!$B:$B,MATCH($A403,'[AQ_2024.xlsx]原始数据'!$A:$A,0)),""))</f>
        <v/>
      </c>
      <c r="G403">
        <f>IF($A403="","",IFERROR(INDEX('[AQ_2020.xlsx]原始数据'!$C:$C,MATCH($A403,'[AQ_2020.xlsx]原始数据'!$A:$A,0)),""))</f>
        <v/>
      </c>
      <c r="H403">
        <f>IF($A403="","",IFERROR(INDEX('[AQ_2021.xlsx]原始数据'!$C:$C,MATCH($A403,'[AQ_2021.xlsx]原始数据'!$A:$A,0)),""))</f>
        <v/>
      </c>
      <c r="I403">
        <f>IF($A403="","",IFERROR(INDEX('[AQ_2022.xlsx]原始数据'!$C:$C,MATCH($A403,'[AQ_2022.xlsx]原始数据'!$A:$A,0)),""))</f>
        <v/>
      </c>
      <c r="J403">
        <f>IF($A403="","",IFERROR(INDEX('[AQ_2023.xlsx]原始数据'!$C:$C,MATCH($A403,'[AQ_2023.xlsx]原始数据'!$A:$A,0)),""))</f>
        <v/>
      </c>
      <c r="K403">
        <f>IF($A403="","",IFERROR(INDEX('[AQ_2024.xlsx]原始数据'!$C:$C,MATCH($A403,'[AQ_2024.xlsx]原始数据'!$A:$A,0)),""))</f>
        <v/>
      </c>
      <c r="L403">
        <f>IF($A403="","",IFERROR(INDEX('[AQ_2020.xlsx]原始数据'!$D:$D,MATCH($A403,'[AQ_2020.xlsx]原始数据'!$A:$A,0)),""))</f>
        <v/>
      </c>
      <c r="M403">
        <f>IF($A403="","",IFERROR(INDEX('[AQ_2021.xlsx]原始数据'!$D:$D,MATCH($A403,'[AQ_2021.xlsx]原始数据'!$A:$A,0)),""))</f>
        <v/>
      </c>
      <c r="N403">
        <f>IF($A403="","",IFERROR(INDEX('[AQ_2022.xlsx]原始数据'!$D:$D,MATCH($A403,'[AQ_2022.xlsx]原始数据'!$A:$A,0)),""))</f>
        <v/>
      </c>
      <c r="O403">
        <f>IF($A403="","",IFERROR(INDEX('[AQ_2023.xlsx]原始数据'!$D:$D,MATCH($A403,'[AQ_2023.xlsx]原始数据'!$A:$A,0)),""))</f>
        <v/>
      </c>
      <c r="P403">
        <f>IF($A403="","",IFERROR(INDEX('[AQ_2024.xlsx]原始数据'!$D:$D,MATCH($A403,'[AQ_2024.xlsx]原始数据'!$A:$A,0)),""))</f>
        <v/>
      </c>
      <c r="Q403">
        <f>IF($A403="","",IFERROR(INDEX('[AQ_2020.xlsx]原始数据'!$E:$E,MATCH($A403,'[AQ_2020.xlsx]原始数据'!$A:$A,0)),""))</f>
        <v/>
      </c>
      <c r="R403">
        <f>IF($A403="","",IFERROR(INDEX('[AQ_2021.xlsx]原始数据'!$E:$E,MATCH($A403,'[AQ_2021.xlsx]原始数据'!$A:$A,0)),""))</f>
        <v/>
      </c>
      <c r="S403">
        <f>IF($A403="","",IFERROR(INDEX('[AQ_2022.xlsx]原始数据'!$E:$E,MATCH($A403,'[AQ_2022.xlsx]原始数据'!$A:$A,0)),""))</f>
        <v/>
      </c>
      <c r="T403">
        <f>IF($A403="","",IFERROR(INDEX('[AQ_2023.xlsx]原始数据'!$E:$E,MATCH($A403,'[AQ_2023.xlsx]原始数据'!$A:$A,0)),""))</f>
        <v/>
      </c>
      <c r="U403">
        <f>IF($A403="","",IFERROR(INDEX('[AQ_2024.xlsx]原始数据'!$E:$E,MATCH($A403,'[AQ_2024.xlsx]原始数据'!$A:$A,0)),""))</f>
        <v/>
      </c>
      <c r="V403">
        <f>IF($A403="","",IFERROR(INDEX('[AQ_2020.xlsx]原始数据'!$F:$F,MATCH($A403,'[AQ_2020.xlsx]原始数据'!$A:$A,0)),""))</f>
        <v/>
      </c>
      <c r="W403">
        <f>IF($A403="","",IFERROR(INDEX('[AQ_2021.xlsx]原始数据'!$F:$F,MATCH($A403,'[AQ_2021.xlsx]原始数据'!$A:$A,0)),""))</f>
        <v/>
      </c>
      <c r="X403">
        <f>IF($A403="","",IFERROR(INDEX('[AQ_2022.xlsx]原始数据'!$F:$F,MATCH($A403,'[AQ_2022.xlsx]原始数据'!$A:$A,0)),""))</f>
        <v/>
      </c>
      <c r="Y403">
        <f>IF($A403="","",IFERROR(INDEX('[AQ_2023.xlsx]原始数据'!$F:$F,MATCH($A403,'[AQ_2023.xlsx]原始数据'!$A:$A,0)),""))</f>
        <v/>
      </c>
      <c r="Z403">
        <f>IF($A403="","",IFERROR(INDEX('[AQ_2024.xlsx]原始数据'!$F:$F,MATCH($A403,'[AQ_2024.xlsx]原始数据'!$A:$A,0)),""))</f>
        <v/>
      </c>
      <c r="AA403" s="2">
        <f>IFERROR(G403/B403,"")</f>
        <v/>
      </c>
      <c r="AB403" s="2">
        <f>IFERROR(H403/C403,"")</f>
        <v/>
      </c>
      <c r="AC403" s="2">
        <f>IFERROR(I403/D403,"")</f>
        <v/>
      </c>
      <c r="AD403" s="2">
        <f>IFERROR(J403/E403,"")</f>
        <v/>
      </c>
      <c r="AE403" s="2">
        <f>IFERROR(K403/F403,"")</f>
        <v/>
      </c>
      <c r="AF403" s="2">
        <f>IFERROR(L403/B403,"")</f>
        <v/>
      </c>
      <c r="AG403" s="2">
        <f>IFERROR(M403/C403,"")</f>
        <v/>
      </c>
      <c r="AH403" s="2">
        <f>IFERROR(N403/D403,"")</f>
        <v/>
      </c>
      <c r="AI403" s="2">
        <f>IFERROR(O403/E403,"")</f>
        <v/>
      </c>
      <c r="AJ403" s="2">
        <f>IFERROR(P403/F403,"")</f>
        <v/>
      </c>
      <c r="AK403" s="2">
        <f>IFERROR(Q403/B403,"")</f>
        <v/>
      </c>
      <c r="AL403" s="2">
        <f>IFERROR(R403/C403,"")</f>
        <v/>
      </c>
      <c r="AM403" s="2">
        <f>IFERROR(S403/D403,"")</f>
        <v/>
      </c>
      <c r="AN403" s="2">
        <f>IFERROR(T403/E403,"")</f>
        <v/>
      </c>
      <c r="AO403" s="2">
        <f>IFERROR(U403/F403,"")</f>
        <v/>
      </c>
    </row>
    <row r="404">
      <c r="B404">
        <f>IF($A404="","",IFERROR(INDEX('[AQ_2020.xlsx]原始数据'!$B:$B,MATCH($A404,'[AQ_2020.xlsx]原始数据'!$A:$A,0)),""))</f>
        <v/>
      </c>
      <c r="C404">
        <f>IF($A404="","",IFERROR(INDEX('[AQ_2021.xlsx]原始数据'!$B:$B,MATCH($A404,'[AQ_2021.xlsx]原始数据'!$A:$A,0)),""))</f>
        <v/>
      </c>
      <c r="D404">
        <f>IF($A404="","",IFERROR(INDEX('[AQ_2022.xlsx]原始数据'!$B:$B,MATCH($A404,'[AQ_2022.xlsx]原始数据'!$A:$A,0)),""))</f>
        <v/>
      </c>
      <c r="E404">
        <f>IF($A404="","",IFERROR(INDEX('[AQ_2023.xlsx]原始数据'!$B:$B,MATCH($A404,'[AQ_2023.xlsx]原始数据'!$A:$A,0)),""))</f>
        <v/>
      </c>
      <c r="F404">
        <f>IF($A404="","",IFERROR(INDEX('[AQ_2024.xlsx]原始数据'!$B:$B,MATCH($A404,'[AQ_2024.xlsx]原始数据'!$A:$A,0)),""))</f>
        <v/>
      </c>
      <c r="G404">
        <f>IF($A404="","",IFERROR(INDEX('[AQ_2020.xlsx]原始数据'!$C:$C,MATCH($A404,'[AQ_2020.xlsx]原始数据'!$A:$A,0)),""))</f>
        <v/>
      </c>
      <c r="H404">
        <f>IF($A404="","",IFERROR(INDEX('[AQ_2021.xlsx]原始数据'!$C:$C,MATCH($A404,'[AQ_2021.xlsx]原始数据'!$A:$A,0)),""))</f>
        <v/>
      </c>
      <c r="I404">
        <f>IF($A404="","",IFERROR(INDEX('[AQ_2022.xlsx]原始数据'!$C:$C,MATCH($A404,'[AQ_2022.xlsx]原始数据'!$A:$A,0)),""))</f>
        <v/>
      </c>
      <c r="J404">
        <f>IF($A404="","",IFERROR(INDEX('[AQ_2023.xlsx]原始数据'!$C:$C,MATCH($A404,'[AQ_2023.xlsx]原始数据'!$A:$A,0)),""))</f>
        <v/>
      </c>
      <c r="K404">
        <f>IF($A404="","",IFERROR(INDEX('[AQ_2024.xlsx]原始数据'!$C:$C,MATCH($A404,'[AQ_2024.xlsx]原始数据'!$A:$A,0)),""))</f>
        <v/>
      </c>
      <c r="L404">
        <f>IF($A404="","",IFERROR(INDEX('[AQ_2020.xlsx]原始数据'!$D:$D,MATCH($A404,'[AQ_2020.xlsx]原始数据'!$A:$A,0)),""))</f>
        <v/>
      </c>
      <c r="M404">
        <f>IF($A404="","",IFERROR(INDEX('[AQ_2021.xlsx]原始数据'!$D:$D,MATCH($A404,'[AQ_2021.xlsx]原始数据'!$A:$A,0)),""))</f>
        <v/>
      </c>
      <c r="N404">
        <f>IF($A404="","",IFERROR(INDEX('[AQ_2022.xlsx]原始数据'!$D:$D,MATCH($A404,'[AQ_2022.xlsx]原始数据'!$A:$A,0)),""))</f>
        <v/>
      </c>
      <c r="O404">
        <f>IF($A404="","",IFERROR(INDEX('[AQ_2023.xlsx]原始数据'!$D:$D,MATCH($A404,'[AQ_2023.xlsx]原始数据'!$A:$A,0)),""))</f>
        <v/>
      </c>
      <c r="P404">
        <f>IF($A404="","",IFERROR(INDEX('[AQ_2024.xlsx]原始数据'!$D:$D,MATCH($A404,'[AQ_2024.xlsx]原始数据'!$A:$A,0)),""))</f>
        <v/>
      </c>
      <c r="Q404">
        <f>IF($A404="","",IFERROR(INDEX('[AQ_2020.xlsx]原始数据'!$E:$E,MATCH($A404,'[AQ_2020.xlsx]原始数据'!$A:$A,0)),""))</f>
        <v/>
      </c>
      <c r="R404">
        <f>IF($A404="","",IFERROR(INDEX('[AQ_2021.xlsx]原始数据'!$E:$E,MATCH($A404,'[AQ_2021.xlsx]原始数据'!$A:$A,0)),""))</f>
        <v/>
      </c>
      <c r="S404">
        <f>IF($A404="","",IFERROR(INDEX('[AQ_2022.xlsx]原始数据'!$E:$E,MATCH($A404,'[AQ_2022.xlsx]原始数据'!$A:$A,0)),""))</f>
        <v/>
      </c>
      <c r="T404">
        <f>IF($A404="","",IFERROR(INDEX('[AQ_2023.xlsx]原始数据'!$E:$E,MATCH($A404,'[AQ_2023.xlsx]原始数据'!$A:$A,0)),""))</f>
        <v/>
      </c>
      <c r="U404">
        <f>IF($A404="","",IFERROR(INDEX('[AQ_2024.xlsx]原始数据'!$E:$E,MATCH($A404,'[AQ_2024.xlsx]原始数据'!$A:$A,0)),""))</f>
        <v/>
      </c>
      <c r="V404">
        <f>IF($A404="","",IFERROR(INDEX('[AQ_2020.xlsx]原始数据'!$F:$F,MATCH($A404,'[AQ_2020.xlsx]原始数据'!$A:$A,0)),""))</f>
        <v/>
      </c>
      <c r="W404">
        <f>IF($A404="","",IFERROR(INDEX('[AQ_2021.xlsx]原始数据'!$F:$F,MATCH($A404,'[AQ_2021.xlsx]原始数据'!$A:$A,0)),""))</f>
        <v/>
      </c>
      <c r="X404">
        <f>IF($A404="","",IFERROR(INDEX('[AQ_2022.xlsx]原始数据'!$F:$F,MATCH($A404,'[AQ_2022.xlsx]原始数据'!$A:$A,0)),""))</f>
        <v/>
      </c>
      <c r="Y404">
        <f>IF($A404="","",IFERROR(INDEX('[AQ_2023.xlsx]原始数据'!$F:$F,MATCH($A404,'[AQ_2023.xlsx]原始数据'!$A:$A,0)),""))</f>
        <v/>
      </c>
      <c r="Z404">
        <f>IF($A404="","",IFERROR(INDEX('[AQ_2024.xlsx]原始数据'!$F:$F,MATCH($A404,'[AQ_2024.xlsx]原始数据'!$A:$A,0)),""))</f>
        <v/>
      </c>
      <c r="AA404" s="2">
        <f>IFERROR(G404/B404,"")</f>
        <v/>
      </c>
      <c r="AB404" s="2">
        <f>IFERROR(H404/C404,"")</f>
        <v/>
      </c>
      <c r="AC404" s="2">
        <f>IFERROR(I404/D404,"")</f>
        <v/>
      </c>
      <c r="AD404" s="2">
        <f>IFERROR(J404/E404,"")</f>
        <v/>
      </c>
      <c r="AE404" s="2">
        <f>IFERROR(K404/F404,"")</f>
        <v/>
      </c>
      <c r="AF404" s="2">
        <f>IFERROR(L404/B404,"")</f>
        <v/>
      </c>
      <c r="AG404" s="2">
        <f>IFERROR(M404/C404,"")</f>
        <v/>
      </c>
      <c r="AH404" s="2">
        <f>IFERROR(N404/D404,"")</f>
        <v/>
      </c>
      <c r="AI404" s="2">
        <f>IFERROR(O404/E404,"")</f>
        <v/>
      </c>
      <c r="AJ404" s="2">
        <f>IFERROR(P404/F404,"")</f>
        <v/>
      </c>
      <c r="AK404" s="2">
        <f>IFERROR(Q404/B404,"")</f>
        <v/>
      </c>
      <c r="AL404" s="2">
        <f>IFERROR(R404/C404,"")</f>
        <v/>
      </c>
      <c r="AM404" s="2">
        <f>IFERROR(S404/D404,"")</f>
        <v/>
      </c>
      <c r="AN404" s="2">
        <f>IFERROR(T404/E404,"")</f>
        <v/>
      </c>
      <c r="AO404" s="2">
        <f>IFERROR(U404/F404,"")</f>
        <v/>
      </c>
    </row>
    <row r="405">
      <c r="B405">
        <f>IF($A405="","",IFERROR(INDEX('[AQ_2020.xlsx]原始数据'!$B:$B,MATCH($A405,'[AQ_2020.xlsx]原始数据'!$A:$A,0)),""))</f>
        <v/>
      </c>
      <c r="C405">
        <f>IF($A405="","",IFERROR(INDEX('[AQ_2021.xlsx]原始数据'!$B:$B,MATCH($A405,'[AQ_2021.xlsx]原始数据'!$A:$A,0)),""))</f>
        <v/>
      </c>
      <c r="D405">
        <f>IF($A405="","",IFERROR(INDEX('[AQ_2022.xlsx]原始数据'!$B:$B,MATCH($A405,'[AQ_2022.xlsx]原始数据'!$A:$A,0)),""))</f>
        <v/>
      </c>
      <c r="E405">
        <f>IF($A405="","",IFERROR(INDEX('[AQ_2023.xlsx]原始数据'!$B:$B,MATCH($A405,'[AQ_2023.xlsx]原始数据'!$A:$A,0)),""))</f>
        <v/>
      </c>
      <c r="F405">
        <f>IF($A405="","",IFERROR(INDEX('[AQ_2024.xlsx]原始数据'!$B:$B,MATCH($A405,'[AQ_2024.xlsx]原始数据'!$A:$A,0)),""))</f>
        <v/>
      </c>
      <c r="G405">
        <f>IF($A405="","",IFERROR(INDEX('[AQ_2020.xlsx]原始数据'!$C:$C,MATCH($A405,'[AQ_2020.xlsx]原始数据'!$A:$A,0)),""))</f>
        <v/>
      </c>
      <c r="H405">
        <f>IF($A405="","",IFERROR(INDEX('[AQ_2021.xlsx]原始数据'!$C:$C,MATCH($A405,'[AQ_2021.xlsx]原始数据'!$A:$A,0)),""))</f>
        <v/>
      </c>
      <c r="I405">
        <f>IF($A405="","",IFERROR(INDEX('[AQ_2022.xlsx]原始数据'!$C:$C,MATCH($A405,'[AQ_2022.xlsx]原始数据'!$A:$A,0)),""))</f>
        <v/>
      </c>
      <c r="J405">
        <f>IF($A405="","",IFERROR(INDEX('[AQ_2023.xlsx]原始数据'!$C:$C,MATCH($A405,'[AQ_2023.xlsx]原始数据'!$A:$A,0)),""))</f>
        <v/>
      </c>
      <c r="K405">
        <f>IF($A405="","",IFERROR(INDEX('[AQ_2024.xlsx]原始数据'!$C:$C,MATCH($A405,'[AQ_2024.xlsx]原始数据'!$A:$A,0)),""))</f>
        <v/>
      </c>
      <c r="L405">
        <f>IF($A405="","",IFERROR(INDEX('[AQ_2020.xlsx]原始数据'!$D:$D,MATCH($A405,'[AQ_2020.xlsx]原始数据'!$A:$A,0)),""))</f>
        <v/>
      </c>
      <c r="M405">
        <f>IF($A405="","",IFERROR(INDEX('[AQ_2021.xlsx]原始数据'!$D:$D,MATCH($A405,'[AQ_2021.xlsx]原始数据'!$A:$A,0)),""))</f>
        <v/>
      </c>
      <c r="N405">
        <f>IF($A405="","",IFERROR(INDEX('[AQ_2022.xlsx]原始数据'!$D:$D,MATCH($A405,'[AQ_2022.xlsx]原始数据'!$A:$A,0)),""))</f>
        <v/>
      </c>
      <c r="O405">
        <f>IF($A405="","",IFERROR(INDEX('[AQ_2023.xlsx]原始数据'!$D:$D,MATCH($A405,'[AQ_2023.xlsx]原始数据'!$A:$A,0)),""))</f>
        <v/>
      </c>
      <c r="P405">
        <f>IF($A405="","",IFERROR(INDEX('[AQ_2024.xlsx]原始数据'!$D:$D,MATCH($A405,'[AQ_2024.xlsx]原始数据'!$A:$A,0)),""))</f>
        <v/>
      </c>
      <c r="Q405">
        <f>IF($A405="","",IFERROR(INDEX('[AQ_2020.xlsx]原始数据'!$E:$E,MATCH($A405,'[AQ_2020.xlsx]原始数据'!$A:$A,0)),""))</f>
        <v/>
      </c>
      <c r="R405">
        <f>IF($A405="","",IFERROR(INDEX('[AQ_2021.xlsx]原始数据'!$E:$E,MATCH($A405,'[AQ_2021.xlsx]原始数据'!$A:$A,0)),""))</f>
        <v/>
      </c>
      <c r="S405">
        <f>IF($A405="","",IFERROR(INDEX('[AQ_2022.xlsx]原始数据'!$E:$E,MATCH($A405,'[AQ_2022.xlsx]原始数据'!$A:$A,0)),""))</f>
        <v/>
      </c>
      <c r="T405">
        <f>IF($A405="","",IFERROR(INDEX('[AQ_2023.xlsx]原始数据'!$E:$E,MATCH($A405,'[AQ_2023.xlsx]原始数据'!$A:$A,0)),""))</f>
        <v/>
      </c>
      <c r="U405">
        <f>IF($A405="","",IFERROR(INDEX('[AQ_2024.xlsx]原始数据'!$E:$E,MATCH($A405,'[AQ_2024.xlsx]原始数据'!$A:$A,0)),""))</f>
        <v/>
      </c>
      <c r="V405">
        <f>IF($A405="","",IFERROR(INDEX('[AQ_2020.xlsx]原始数据'!$F:$F,MATCH($A405,'[AQ_2020.xlsx]原始数据'!$A:$A,0)),""))</f>
        <v/>
      </c>
      <c r="W405">
        <f>IF($A405="","",IFERROR(INDEX('[AQ_2021.xlsx]原始数据'!$F:$F,MATCH($A405,'[AQ_2021.xlsx]原始数据'!$A:$A,0)),""))</f>
        <v/>
      </c>
      <c r="X405">
        <f>IF($A405="","",IFERROR(INDEX('[AQ_2022.xlsx]原始数据'!$F:$F,MATCH($A405,'[AQ_2022.xlsx]原始数据'!$A:$A,0)),""))</f>
        <v/>
      </c>
      <c r="Y405">
        <f>IF($A405="","",IFERROR(INDEX('[AQ_2023.xlsx]原始数据'!$F:$F,MATCH($A405,'[AQ_2023.xlsx]原始数据'!$A:$A,0)),""))</f>
        <v/>
      </c>
      <c r="Z405">
        <f>IF($A405="","",IFERROR(INDEX('[AQ_2024.xlsx]原始数据'!$F:$F,MATCH($A405,'[AQ_2024.xlsx]原始数据'!$A:$A,0)),""))</f>
        <v/>
      </c>
      <c r="AA405" s="2">
        <f>IFERROR(G405/B405,"")</f>
        <v/>
      </c>
      <c r="AB405" s="2">
        <f>IFERROR(H405/C405,"")</f>
        <v/>
      </c>
      <c r="AC405" s="2">
        <f>IFERROR(I405/D405,"")</f>
        <v/>
      </c>
      <c r="AD405" s="2">
        <f>IFERROR(J405/E405,"")</f>
        <v/>
      </c>
      <c r="AE405" s="2">
        <f>IFERROR(K405/F405,"")</f>
        <v/>
      </c>
      <c r="AF405" s="2">
        <f>IFERROR(L405/B405,"")</f>
        <v/>
      </c>
      <c r="AG405" s="2">
        <f>IFERROR(M405/C405,"")</f>
        <v/>
      </c>
      <c r="AH405" s="2">
        <f>IFERROR(N405/D405,"")</f>
        <v/>
      </c>
      <c r="AI405" s="2">
        <f>IFERROR(O405/E405,"")</f>
        <v/>
      </c>
      <c r="AJ405" s="2">
        <f>IFERROR(P405/F405,"")</f>
        <v/>
      </c>
      <c r="AK405" s="2">
        <f>IFERROR(Q405/B405,"")</f>
        <v/>
      </c>
      <c r="AL405" s="2">
        <f>IFERROR(R405/C405,"")</f>
        <v/>
      </c>
      <c r="AM405" s="2">
        <f>IFERROR(S405/D405,"")</f>
        <v/>
      </c>
      <c r="AN405" s="2">
        <f>IFERROR(T405/E405,"")</f>
        <v/>
      </c>
      <c r="AO405" s="2">
        <f>IFERROR(U405/F405,"")</f>
        <v/>
      </c>
    </row>
    <row r="406">
      <c r="B406">
        <f>IF($A406="","",IFERROR(INDEX('[AQ_2020.xlsx]原始数据'!$B:$B,MATCH($A406,'[AQ_2020.xlsx]原始数据'!$A:$A,0)),""))</f>
        <v/>
      </c>
      <c r="C406">
        <f>IF($A406="","",IFERROR(INDEX('[AQ_2021.xlsx]原始数据'!$B:$B,MATCH($A406,'[AQ_2021.xlsx]原始数据'!$A:$A,0)),""))</f>
        <v/>
      </c>
      <c r="D406">
        <f>IF($A406="","",IFERROR(INDEX('[AQ_2022.xlsx]原始数据'!$B:$B,MATCH($A406,'[AQ_2022.xlsx]原始数据'!$A:$A,0)),""))</f>
        <v/>
      </c>
      <c r="E406">
        <f>IF($A406="","",IFERROR(INDEX('[AQ_2023.xlsx]原始数据'!$B:$B,MATCH($A406,'[AQ_2023.xlsx]原始数据'!$A:$A,0)),""))</f>
        <v/>
      </c>
      <c r="F406">
        <f>IF($A406="","",IFERROR(INDEX('[AQ_2024.xlsx]原始数据'!$B:$B,MATCH($A406,'[AQ_2024.xlsx]原始数据'!$A:$A,0)),""))</f>
        <v/>
      </c>
      <c r="G406">
        <f>IF($A406="","",IFERROR(INDEX('[AQ_2020.xlsx]原始数据'!$C:$C,MATCH($A406,'[AQ_2020.xlsx]原始数据'!$A:$A,0)),""))</f>
        <v/>
      </c>
      <c r="H406">
        <f>IF($A406="","",IFERROR(INDEX('[AQ_2021.xlsx]原始数据'!$C:$C,MATCH($A406,'[AQ_2021.xlsx]原始数据'!$A:$A,0)),""))</f>
        <v/>
      </c>
      <c r="I406">
        <f>IF($A406="","",IFERROR(INDEX('[AQ_2022.xlsx]原始数据'!$C:$C,MATCH($A406,'[AQ_2022.xlsx]原始数据'!$A:$A,0)),""))</f>
        <v/>
      </c>
      <c r="J406">
        <f>IF($A406="","",IFERROR(INDEX('[AQ_2023.xlsx]原始数据'!$C:$C,MATCH($A406,'[AQ_2023.xlsx]原始数据'!$A:$A,0)),""))</f>
        <v/>
      </c>
      <c r="K406">
        <f>IF($A406="","",IFERROR(INDEX('[AQ_2024.xlsx]原始数据'!$C:$C,MATCH($A406,'[AQ_2024.xlsx]原始数据'!$A:$A,0)),""))</f>
        <v/>
      </c>
      <c r="L406">
        <f>IF($A406="","",IFERROR(INDEX('[AQ_2020.xlsx]原始数据'!$D:$D,MATCH($A406,'[AQ_2020.xlsx]原始数据'!$A:$A,0)),""))</f>
        <v/>
      </c>
      <c r="M406">
        <f>IF($A406="","",IFERROR(INDEX('[AQ_2021.xlsx]原始数据'!$D:$D,MATCH($A406,'[AQ_2021.xlsx]原始数据'!$A:$A,0)),""))</f>
        <v/>
      </c>
      <c r="N406">
        <f>IF($A406="","",IFERROR(INDEX('[AQ_2022.xlsx]原始数据'!$D:$D,MATCH($A406,'[AQ_2022.xlsx]原始数据'!$A:$A,0)),""))</f>
        <v/>
      </c>
      <c r="O406">
        <f>IF($A406="","",IFERROR(INDEX('[AQ_2023.xlsx]原始数据'!$D:$D,MATCH($A406,'[AQ_2023.xlsx]原始数据'!$A:$A,0)),""))</f>
        <v/>
      </c>
      <c r="P406">
        <f>IF($A406="","",IFERROR(INDEX('[AQ_2024.xlsx]原始数据'!$D:$D,MATCH($A406,'[AQ_2024.xlsx]原始数据'!$A:$A,0)),""))</f>
        <v/>
      </c>
      <c r="Q406">
        <f>IF($A406="","",IFERROR(INDEX('[AQ_2020.xlsx]原始数据'!$E:$E,MATCH($A406,'[AQ_2020.xlsx]原始数据'!$A:$A,0)),""))</f>
        <v/>
      </c>
      <c r="R406">
        <f>IF($A406="","",IFERROR(INDEX('[AQ_2021.xlsx]原始数据'!$E:$E,MATCH($A406,'[AQ_2021.xlsx]原始数据'!$A:$A,0)),""))</f>
        <v/>
      </c>
      <c r="S406">
        <f>IF($A406="","",IFERROR(INDEX('[AQ_2022.xlsx]原始数据'!$E:$E,MATCH($A406,'[AQ_2022.xlsx]原始数据'!$A:$A,0)),""))</f>
        <v/>
      </c>
      <c r="T406">
        <f>IF($A406="","",IFERROR(INDEX('[AQ_2023.xlsx]原始数据'!$E:$E,MATCH($A406,'[AQ_2023.xlsx]原始数据'!$A:$A,0)),""))</f>
        <v/>
      </c>
      <c r="U406">
        <f>IF($A406="","",IFERROR(INDEX('[AQ_2024.xlsx]原始数据'!$E:$E,MATCH($A406,'[AQ_2024.xlsx]原始数据'!$A:$A,0)),""))</f>
        <v/>
      </c>
      <c r="V406">
        <f>IF($A406="","",IFERROR(INDEX('[AQ_2020.xlsx]原始数据'!$F:$F,MATCH($A406,'[AQ_2020.xlsx]原始数据'!$A:$A,0)),""))</f>
        <v/>
      </c>
      <c r="W406">
        <f>IF($A406="","",IFERROR(INDEX('[AQ_2021.xlsx]原始数据'!$F:$F,MATCH($A406,'[AQ_2021.xlsx]原始数据'!$A:$A,0)),""))</f>
        <v/>
      </c>
      <c r="X406">
        <f>IF($A406="","",IFERROR(INDEX('[AQ_2022.xlsx]原始数据'!$F:$F,MATCH($A406,'[AQ_2022.xlsx]原始数据'!$A:$A,0)),""))</f>
        <v/>
      </c>
      <c r="Y406">
        <f>IF($A406="","",IFERROR(INDEX('[AQ_2023.xlsx]原始数据'!$F:$F,MATCH($A406,'[AQ_2023.xlsx]原始数据'!$A:$A,0)),""))</f>
        <v/>
      </c>
      <c r="Z406">
        <f>IF($A406="","",IFERROR(INDEX('[AQ_2024.xlsx]原始数据'!$F:$F,MATCH($A406,'[AQ_2024.xlsx]原始数据'!$A:$A,0)),""))</f>
        <v/>
      </c>
      <c r="AA406" s="2">
        <f>IFERROR(G406/B406,"")</f>
        <v/>
      </c>
      <c r="AB406" s="2">
        <f>IFERROR(H406/C406,"")</f>
        <v/>
      </c>
      <c r="AC406" s="2">
        <f>IFERROR(I406/D406,"")</f>
        <v/>
      </c>
      <c r="AD406" s="2">
        <f>IFERROR(J406/E406,"")</f>
        <v/>
      </c>
      <c r="AE406" s="2">
        <f>IFERROR(K406/F406,"")</f>
        <v/>
      </c>
      <c r="AF406" s="2">
        <f>IFERROR(L406/B406,"")</f>
        <v/>
      </c>
      <c r="AG406" s="2">
        <f>IFERROR(M406/C406,"")</f>
        <v/>
      </c>
      <c r="AH406" s="2">
        <f>IFERROR(N406/D406,"")</f>
        <v/>
      </c>
      <c r="AI406" s="2">
        <f>IFERROR(O406/E406,"")</f>
        <v/>
      </c>
      <c r="AJ406" s="2">
        <f>IFERROR(P406/F406,"")</f>
        <v/>
      </c>
      <c r="AK406" s="2">
        <f>IFERROR(Q406/B406,"")</f>
        <v/>
      </c>
      <c r="AL406" s="2">
        <f>IFERROR(R406/C406,"")</f>
        <v/>
      </c>
      <c r="AM406" s="2">
        <f>IFERROR(S406/D406,"")</f>
        <v/>
      </c>
      <c r="AN406" s="2">
        <f>IFERROR(T406/E406,"")</f>
        <v/>
      </c>
      <c r="AO406" s="2">
        <f>IFERROR(U406/F406,"")</f>
        <v/>
      </c>
    </row>
    <row r="407">
      <c r="B407">
        <f>IF($A407="","",IFERROR(INDEX('[AQ_2020.xlsx]原始数据'!$B:$B,MATCH($A407,'[AQ_2020.xlsx]原始数据'!$A:$A,0)),""))</f>
        <v/>
      </c>
      <c r="C407">
        <f>IF($A407="","",IFERROR(INDEX('[AQ_2021.xlsx]原始数据'!$B:$B,MATCH($A407,'[AQ_2021.xlsx]原始数据'!$A:$A,0)),""))</f>
        <v/>
      </c>
      <c r="D407">
        <f>IF($A407="","",IFERROR(INDEX('[AQ_2022.xlsx]原始数据'!$B:$B,MATCH($A407,'[AQ_2022.xlsx]原始数据'!$A:$A,0)),""))</f>
        <v/>
      </c>
      <c r="E407">
        <f>IF($A407="","",IFERROR(INDEX('[AQ_2023.xlsx]原始数据'!$B:$B,MATCH($A407,'[AQ_2023.xlsx]原始数据'!$A:$A,0)),""))</f>
        <v/>
      </c>
      <c r="F407">
        <f>IF($A407="","",IFERROR(INDEX('[AQ_2024.xlsx]原始数据'!$B:$B,MATCH($A407,'[AQ_2024.xlsx]原始数据'!$A:$A,0)),""))</f>
        <v/>
      </c>
      <c r="G407">
        <f>IF($A407="","",IFERROR(INDEX('[AQ_2020.xlsx]原始数据'!$C:$C,MATCH($A407,'[AQ_2020.xlsx]原始数据'!$A:$A,0)),""))</f>
        <v/>
      </c>
      <c r="H407">
        <f>IF($A407="","",IFERROR(INDEX('[AQ_2021.xlsx]原始数据'!$C:$C,MATCH($A407,'[AQ_2021.xlsx]原始数据'!$A:$A,0)),""))</f>
        <v/>
      </c>
      <c r="I407">
        <f>IF($A407="","",IFERROR(INDEX('[AQ_2022.xlsx]原始数据'!$C:$C,MATCH($A407,'[AQ_2022.xlsx]原始数据'!$A:$A,0)),""))</f>
        <v/>
      </c>
      <c r="J407">
        <f>IF($A407="","",IFERROR(INDEX('[AQ_2023.xlsx]原始数据'!$C:$C,MATCH($A407,'[AQ_2023.xlsx]原始数据'!$A:$A,0)),""))</f>
        <v/>
      </c>
      <c r="K407">
        <f>IF($A407="","",IFERROR(INDEX('[AQ_2024.xlsx]原始数据'!$C:$C,MATCH($A407,'[AQ_2024.xlsx]原始数据'!$A:$A,0)),""))</f>
        <v/>
      </c>
      <c r="L407">
        <f>IF($A407="","",IFERROR(INDEX('[AQ_2020.xlsx]原始数据'!$D:$D,MATCH($A407,'[AQ_2020.xlsx]原始数据'!$A:$A,0)),""))</f>
        <v/>
      </c>
      <c r="M407">
        <f>IF($A407="","",IFERROR(INDEX('[AQ_2021.xlsx]原始数据'!$D:$D,MATCH($A407,'[AQ_2021.xlsx]原始数据'!$A:$A,0)),""))</f>
        <v/>
      </c>
      <c r="N407">
        <f>IF($A407="","",IFERROR(INDEX('[AQ_2022.xlsx]原始数据'!$D:$D,MATCH($A407,'[AQ_2022.xlsx]原始数据'!$A:$A,0)),""))</f>
        <v/>
      </c>
      <c r="O407">
        <f>IF($A407="","",IFERROR(INDEX('[AQ_2023.xlsx]原始数据'!$D:$D,MATCH($A407,'[AQ_2023.xlsx]原始数据'!$A:$A,0)),""))</f>
        <v/>
      </c>
      <c r="P407">
        <f>IF($A407="","",IFERROR(INDEX('[AQ_2024.xlsx]原始数据'!$D:$D,MATCH($A407,'[AQ_2024.xlsx]原始数据'!$A:$A,0)),""))</f>
        <v/>
      </c>
      <c r="Q407">
        <f>IF($A407="","",IFERROR(INDEX('[AQ_2020.xlsx]原始数据'!$E:$E,MATCH($A407,'[AQ_2020.xlsx]原始数据'!$A:$A,0)),""))</f>
        <v/>
      </c>
      <c r="R407">
        <f>IF($A407="","",IFERROR(INDEX('[AQ_2021.xlsx]原始数据'!$E:$E,MATCH($A407,'[AQ_2021.xlsx]原始数据'!$A:$A,0)),""))</f>
        <v/>
      </c>
      <c r="S407">
        <f>IF($A407="","",IFERROR(INDEX('[AQ_2022.xlsx]原始数据'!$E:$E,MATCH($A407,'[AQ_2022.xlsx]原始数据'!$A:$A,0)),""))</f>
        <v/>
      </c>
      <c r="T407">
        <f>IF($A407="","",IFERROR(INDEX('[AQ_2023.xlsx]原始数据'!$E:$E,MATCH($A407,'[AQ_2023.xlsx]原始数据'!$A:$A,0)),""))</f>
        <v/>
      </c>
      <c r="U407">
        <f>IF($A407="","",IFERROR(INDEX('[AQ_2024.xlsx]原始数据'!$E:$E,MATCH($A407,'[AQ_2024.xlsx]原始数据'!$A:$A,0)),""))</f>
        <v/>
      </c>
      <c r="V407">
        <f>IF($A407="","",IFERROR(INDEX('[AQ_2020.xlsx]原始数据'!$F:$F,MATCH($A407,'[AQ_2020.xlsx]原始数据'!$A:$A,0)),""))</f>
        <v/>
      </c>
      <c r="W407">
        <f>IF($A407="","",IFERROR(INDEX('[AQ_2021.xlsx]原始数据'!$F:$F,MATCH($A407,'[AQ_2021.xlsx]原始数据'!$A:$A,0)),""))</f>
        <v/>
      </c>
      <c r="X407">
        <f>IF($A407="","",IFERROR(INDEX('[AQ_2022.xlsx]原始数据'!$F:$F,MATCH($A407,'[AQ_2022.xlsx]原始数据'!$A:$A,0)),""))</f>
        <v/>
      </c>
      <c r="Y407">
        <f>IF($A407="","",IFERROR(INDEX('[AQ_2023.xlsx]原始数据'!$F:$F,MATCH($A407,'[AQ_2023.xlsx]原始数据'!$A:$A,0)),""))</f>
        <v/>
      </c>
      <c r="Z407">
        <f>IF($A407="","",IFERROR(INDEX('[AQ_2024.xlsx]原始数据'!$F:$F,MATCH($A407,'[AQ_2024.xlsx]原始数据'!$A:$A,0)),""))</f>
        <v/>
      </c>
      <c r="AA407" s="2">
        <f>IFERROR(G407/B407,"")</f>
        <v/>
      </c>
      <c r="AB407" s="2">
        <f>IFERROR(H407/C407,"")</f>
        <v/>
      </c>
      <c r="AC407" s="2">
        <f>IFERROR(I407/D407,"")</f>
        <v/>
      </c>
      <c r="AD407" s="2">
        <f>IFERROR(J407/E407,"")</f>
        <v/>
      </c>
      <c r="AE407" s="2">
        <f>IFERROR(K407/F407,"")</f>
        <v/>
      </c>
      <c r="AF407" s="2">
        <f>IFERROR(L407/B407,"")</f>
        <v/>
      </c>
      <c r="AG407" s="2">
        <f>IFERROR(M407/C407,"")</f>
        <v/>
      </c>
      <c r="AH407" s="2">
        <f>IFERROR(N407/D407,"")</f>
        <v/>
      </c>
      <c r="AI407" s="2">
        <f>IFERROR(O407/E407,"")</f>
        <v/>
      </c>
      <c r="AJ407" s="2">
        <f>IFERROR(P407/F407,"")</f>
        <v/>
      </c>
      <c r="AK407" s="2">
        <f>IFERROR(Q407/B407,"")</f>
        <v/>
      </c>
      <c r="AL407" s="2">
        <f>IFERROR(R407/C407,"")</f>
        <v/>
      </c>
      <c r="AM407" s="2">
        <f>IFERROR(S407/D407,"")</f>
        <v/>
      </c>
      <c r="AN407" s="2">
        <f>IFERROR(T407/E407,"")</f>
        <v/>
      </c>
      <c r="AO407" s="2">
        <f>IFERROR(U407/F407,"")</f>
        <v/>
      </c>
    </row>
    <row r="408">
      <c r="B408">
        <f>IF($A408="","",IFERROR(INDEX('[AQ_2020.xlsx]原始数据'!$B:$B,MATCH($A408,'[AQ_2020.xlsx]原始数据'!$A:$A,0)),""))</f>
        <v/>
      </c>
      <c r="C408">
        <f>IF($A408="","",IFERROR(INDEX('[AQ_2021.xlsx]原始数据'!$B:$B,MATCH($A408,'[AQ_2021.xlsx]原始数据'!$A:$A,0)),""))</f>
        <v/>
      </c>
      <c r="D408">
        <f>IF($A408="","",IFERROR(INDEX('[AQ_2022.xlsx]原始数据'!$B:$B,MATCH($A408,'[AQ_2022.xlsx]原始数据'!$A:$A,0)),""))</f>
        <v/>
      </c>
      <c r="E408">
        <f>IF($A408="","",IFERROR(INDEX('[AQ_2023.xlsx]原始数据'!$B:$B,MATCH($A408,'[AQ_2023.xlsx]原始数据'!$A:$A,0)),""))</f>
        <v/>
      </c>
      <c r="F408">
        <f>IF($A408="","",IFERROR(INDEX('[AQ_2024.xlsx]原始数据'!$B:$B,MATCH($A408,'[AQ_2024.xlsx]原始数据'!$A:$A,0)),""))</f>
        <v/>
      </c>
      <c r="G408">
        <f>IF($A408="","",IFERROR(INDEX('[AQ_2020.xlsx]原始数据'!$C:$C,MATCH($A408,'[AQ_2020.xlsx]原始数据'!$A:$A,0)),""))</f>
        <v/>
      </c>
      <c r="H408">
        <f>IF($A408="","",IFERROR(INDEX('[AQ_2021.xlsx]原始数据'!$C:$C,MATCH($A408,'[AQ_2021.xlsx]原始数据'!$A:$A,0)),""))</f>
        <v/>
      </c>
      <c r="I408">
        <f>IF($A408="","",IFERROR(INDEX('[AQ_2022.xlsx]原始数据'!$C:$C,MATCH($A408,'[AQ_2022.xlsx]原始数据'!$A:$A,0)),""))</f>
        <v/>
      </c>
      <c r="J408">
        <f>IF($A408="","",IFERROR(INDEX('[AQ_2023.xlsx]原始数据'!$C:$C,MATCH($A408,'[AQ_2023.xlsx]原始数据'!$A:$A,0)),""))</f>
        <v/>
      </c>
      <c r="K408">
        <f>IF($A408="","",IFERROR(INDEX('[AQ_2024.xlsx]原始数据'!$C:$C,MATCH($A408,'[AQ_2024.xlsx]原始数据'!$A:$A,0)),""))</f>
        <v/>
      </c>
      <c r="L408">
        <f>IF($A408="","",IFERROR(INDEX('[AQ_2020.xlsx]原始数据'!$D:$D,MATCH($A408,'[AQ_2020.xlsx]原始数据'!$A:$A,0)),""))</f>
        <v/>
      </c>
      <c r="M408">
        <f>IF($A408="","",IFERROR(INDEX('[AQ_2021.xlsx]原始数据'!$D:$D,MATCH($A408,'[AQ_2021.xlsx]原始数据'!$A:$A,0)),""))</f>
        <v/>
      </c>
      <c r="N408">
        <f>IF($A408="","",IFERROR(INDEX('[AQ_2022.xlsx]原始数据'!$D:$D,MATCH($A408,'[AQ_2022.xlsx]原始数据'!$A:$A,0)),""))</f>
        <v/>
      </c>
      <c r="O408">
        <f>IF($A408="","",IFERROR(INDEX('[AQ_2023.xlsx]原始数据'!$D:$D,MATCH($A408,'[AQ_2023.xlsx]原始数据'!$A:$A,0)),""))</f>
        <v/>
      </c>
      <c r="P408">
        <f>IF($A408="","",IFERROR(INDEX('[AQ_2024.xlsx]原始数据'!$D:$D,MATCH($A408,'[AQ_2024.xlsx]原始数据'!$A:$A,0)),""))</f>
        <v/>
      </c>
      <c r="Q408">
        <f>IF($A408="","",IFERROR(INDEX('[AQ_2020.xlsx]原始数据'!$E:$E,MATCH($A408,'[AQ_2020.xlsx]原始数据'!$A:$A,0)),""))</f>
        <v/>
      </c>
      <c r="R408">
        <f>IF($A408="","",IFERROR(INDEX('[AQ_2021.xlsx]原始数据'!$E:$E,MATCH($A408,'[AQ_2021.xlsx]原始数据'!$A:$A,0)),""))</f>
        <v/>
      </c>
      <c r="S408">
        <f>IF($A408="","",IFERROR(INDEX('[AQ_2022.xlsx]原始数据'!$E:$E,MATCH($A408,'[AQ_2022.xlsx]原始数据'!$A:$A,0)),""))</f>
        <v/>
      </c>
      <c r="T408">
        <f>IF($A408="","",IFERROR(INDEX('[AQ_2023.xlsx]原始数据'!$E:$E,MATCH($A408,'[AQ_2023.xlsx]原始数据'!$A:$A,0)),""))</f>
        <v/>
      </c>
      <c r="U408">
        <f>IF($A408="","",IFERROR(INDEX('[AQ_2024.xlsx]原始数据'!$E:$E,MATCH($A408,'[AQ_2024.xlsx]原始数据'!$A:$A,0)),""))</f>
        <v/>
      </c>
      <c r="V408">
        <f>IF($A408="","",IFERROR(INDEX('[AQ_2020.xlsx]原始数据'!$F:$F,MATCH($A408,'[AQ_2020.xlsx]原始数据'!$A:$A,0)),""))</f>
        <v/>
      </c>
      <c r="W408">
        <f>IF($A408="","",IFERROR(INDEX('[AQ_2021.xlsx]原始数据'!$F:$F,MATCH($A408,'[AQ_2021.xlsx]原始数据'!$A:$A,0)),""))</f>
        <v/>
      </c>
      <c r="X408">
        <f>IF($A408="","",IFERROR(INDEX('[AQ_2022.xlsx]原始数据'!$F:$F,MATCH($A408,'[AQ_2022.xlsx]原始数据'!$A:$A,0)),""))</f>
        <v/>
      </c>
      <c r="Y408">
        <f>IF($A408="","",IFERROR(INDEX('[AQ_2023.xlsx]原始数据'!$F:$F,MATCH($A408,'[AQ_2023.xlsx]原始数据'!$A:$A,0)),""))</f>
        <v/>
      </c>
      <c r="Z408">
        <f>IF($A408="","",IFERROR(INDEX('[AQ_2024.xlsx]原始数据'!$F:$F,MATCH($A408,'[AQ_2024.xlsx]原始数据'!$A:$A,0)),""))</f>
        <v/>
      </c>
      <c r="AA408" s="2">
        <f>IFERROR(G408/B408,"")</f>
        <v/>
      </c>
      <c r="AB408" s="2">
        <f>IFERROR(H408/C408,"")</f>
        <v/>
      </c>
      <c r="AC408" s="2">
        <f>IFERROR(I408/D408,"")</f>
        <v/>
      </c>
      <c r="AD408" s="2">
        <f>IFERROR(J408/E408,"")</f>
        <v/>
      </c>
      <c r="AE408" s="2">
        <f>IFERROR(K408/F408,"")</f>
        <v/>
      </c>
      <c r="AF408" s="2">
        <f>IFERROR(L408/B408,"")</f>
        <v/>
      </c>
      <c r="AG408" s="2">
        <f>IFERROR(M408/C408,"")</f>
        <v/>
      </c>
      <c r="AH408" s="2">
        <f>IFERROR(N408/D408,"")</f>
        <v/>
      </c>
      <c r="AI408" s="2">
        <f>IFERROR(O408/E408,"")</f>
        <v/>
      </c>
      <c r="AJ408" s="2">
        <f>IFERROR(P408/F408,"")</f>
        <v/>
      </c>
      <c r="AK408" s="2">
        <f>IFERROR(Q408/B408,"")</f>
        <v/>
      </c>
      <c r="AL408" s="2">
        <f>IFERROR(R408/C408,"")</f>
        <v/>
      </c>
      <c r="AM408" s="2">
        <f>IFERROR(S408/D408,"")</f>
        <v/>
      </c>
      <c r="AN408" s="2">
        <f>IFERROR(T408/E408,"")</f>
        <v/>
      </c>
      <c r="AO408" s="2">
        <f>IFERROR(U408/F408,"")</f>
        <v/>
      </c>
    </row>
    <row r="409">
      <c r="B409">
        <f>IF($A409="","",IFERROR(INDEX('[AQ_2020.xlsx]原始数据'!$B:$B,MATCH($A409,'[AQ_2020.xlsx]原始数据'!$A:$A,0)),""))</f>
        <v/>
      </c>
      <c r="C409">
        <f>IF($A409="","",IFERROR(INDEX('[AQ_2021.xlsx]原始数据'!$B:$B,MATCH($A409,'[AQ_2021.xlsx]原始数据'!$A:$A,0)),""))</f>
        <v/>
      </c>
      <c r="D409">
        <f>IF($A409="","",IFERROR(INDEX('[AQ_2022.xlsx]原始数据'!$B:$B,MATCH($A409,'[AQ_2022.xlsx]原始数据'!$A:$A,0)),""))</f>
        <v/>
      </c>
      <c r="E409">
        <f>IF($A409="","",IFERROR(INDEX('[AQ_2023.xlsx]原始数据'!$B:$B,MATCH($A409,'[AQ_2023.xlsx]原始数据'!$A:$A,0)),""))</f>
        <v/>
      </c>
      <c r="F409">
        <f>IF($A409="","",IFERROR(INDEX('[AQ_2024.xlsx]原始数据'!$B:$B,MATCH($A409,'[AQ_2024.xlsx]原始数据'!$A:$A,0)),""))</f>
        <v/>
      </c>
      <c r="G409">
        <f>IF($A409="","",IFERROR(INDEX('[AQ_2020.xlsx]原始数据'!$C:$C,MATCH($A409,'[AQ_2020.xlsx]原始数据'!$A:$A,0)),""))</f>
        <v/>
      </c>
      <c r="H409">
        <f>IF($A409="","",IFERROR(INDEX('[AQ_2021.xlsx]原始数据'!$C:$C,MATCH($A409,'[AQ_2021.xlsx]原始数据'!$A:$A,0)),""))</f>
        <v/>
      </c>
      <c r="I409">
        <f>IF($A409="","",IFERROR(INDEX('[AQ_2022.xlsx]原始数据'!$C:$C,MATCH($A409,'[AQ_2022.xlsx]原始数据'!$A:$A,0)),""))</f>
        <v/>
      </c>
      <c r="J409">
        <f>IF($A409="","",IFERROR(INDEX('[AQ_2023.xlsx]原始数据'!$C:$C,MATCH($A409,'[AQ_2023.xlsx]原始数据'!$A:$A,0)),""))</f>
        <v/>
      </c>
      <c r="K409">
        <f>IF($A409="","",IFERROR(INDEX('[AQ_2024.xlsx]原始数据'!$C:$C,MATCH($A409,'[AQ_2024.xlsx]原始数据'!$A:$A,0)),""))</f>
        <v/>
      </c>
      <c r="L409">
        <f>IF($A409="","",IFERROR(INDEX('[AQ_2020.xlsx]原始数据'!$D:$D,MATCH($A409,'[AQ_2020.xlsx]原始数据'!$A:$A,0)),""))</f>
        <v/>
      </c>
      <c r="M409">
        <f>IF($A409="","",IFERROR(INDEX('[AQ_2021.xlsx]原始数据'!$D:$D,MATCH($A409,'[AQ_2021.xlsx]原始数据'!$A:$A,0)),""))</f>
        <v/>
      </c>
      <c r="N409">
        <f>IF($A409="","",IFERROR(INDEX('[AQ_2022.xlsx]原始数据'!$D:$D,MATCH($A409,'[AQ_2022.xlsx]原始数据'!$A:$A,0)),""))</f>
        <v/>
      </c>
      <c r="O409">
        <f>IF($A409="","",IFERROR(INDEX('[AQ_2023.xlsx]原始数据'!$D:$D,MATCH($A409,'[AQ_2023.xlsx]原始数据'!$A:$A,0)),""))</f>
        <v/>
      </c>
      <c r="P409">
        <f>IF($A409="","",IFERROR(INDEX('[AQ_2024.xlsx]原始数据'!$D:$D,MATCH($A409,'[AQ_2024.xlsx]原始数据'!$A:$A,0)),""))</f>
        <v/>
      </c>
      <c r="Q409">
        <f>IF($A409="","",IFERROR(INDEX('[AQ_2020.xlsx]原始数据'!$E:$E,MATCH($A409,'[AQ_2020.xlsx]原始数据'!$A:$A,0)),""))</f>
        <v/>
      </c>
      <c r="R409">
        <f>IF($A409="","",IFERROR(INDEX('[AQ_2021.xlsx]原始数据'!$E:$E,MATCH($A409,'[AQ_2021.xlsx]原始数据'!$A:$A,0)),""))</f>
        <v/>
      </c>
      <c r="S409">
        <f>IF($A409="","",IFERROR(INDEX('[AQ_2022.xlsx]原始数据'!$E:$E,MATCH($A409,'[AQ_2022.xlsx]原始数据'!$A:$A,0)),""))</f>
        <v/>
      </c>
      <c r="T409">
        <f>IF($A409="","",IFERROR(INDEX('[AQ_2023.xlsx]原始数据'!$E:$E,MATCH($A409,'[AQ_2023.xlsx]原始数据'!$A:$A,0)),""))</f>
        <v/>
      </c>
      <c r="U409">
        <f>IF($A409="","",IFERROR(INDEX('[AQ_2024.xlsx]原始数据'!$E:$E,MATCH($A409,'[AQ_2024.xlsx]原始数据'!$A:$A,0)),""))</f>
        <v/>
      </c>
      <c r="V409">
        <f>IF($A409="","",IFERROR(INDEX('[AQ_2020.xlsx]原始数据'!$F:$F,MATCH($A409,'[AQ_2020.xlsx]原始数据'!$A:$A,0)),""))</f>
        <v/>
      </c>
      <c r="W409">
        <f>IF($A409="","",IFERROR(INDEX('[AQ_2021.xlsx]原始数据'!$F:$F,MATCH($A409,'[AQ_2021.xlsx]原始数据'!$A:$A,0)),""))</f>
        <v/>
      </c>
      <c r="X409">
        <f>IF($A409="","",IFERROR(INDEX('[AQ_2022.xlsx]原始数据'!$F:$F,MATCH($A409,'[AQ_2022.xlsx]原始数据'!$A:$A,0)),""))</f>
        <v/>
      </c>
      <c r="Y409">
        <f>IF($A409="","",IFERROR(INDEX('[AQ_2023.xlsx]原始数据'!$F:$F,MATCH($A409,'[AQ_2023.xlsx]原始数据'!$A:$A,0)),""))</f>
        <v/>
      </c>
      <c r="Z409">
        <f>IF($A409="","",IFERROR(INDEX('[AQ_2024.xlsx]原始数据'!$F:$F,MATCH($A409,'[AQ_2024.xlsx]原始数据'!$A:$A,0)),""))</f>
        <v/>
      </c>
      <c r="AA409" s="2">
        <f>IFERROR(G409/B409,"")</f>
        <v/>
      </c>
      <c r="AB409" s="2">
        <f>IFERROR(H409/C409,"")</f>
        <v/>
      </c>
      <c r="AC409" s="2">
        <f>IFERROR(I409/D409,"")</f>
        <v/>
      </c>
      <c r="AD409" s="2">
        <f>IFERROR(J409/E409,"")</f>
        <v/>
      </c>
      <c r="AE409" s="2">
        <f>IFERROR(K409/F409,"")</f>
        <v/>
      </c>
      <c r="AF409" s="2">
        <f>IFERROR(L409/B409,"")</f>
        <v/>
      </c>
      <c r="AG409" s="2">
        <f>IFERROR(M409/C409,"")</f>
        <v/>
      </c>
      <c r="AH409" s="2">
        <f>IFERROR(N409/D409,"")</f>
        <v/>
      </c>
      <c r="AI409" s="2">
        <f>IFERROR(O409/E409,"")</f>
        <v/>
      </c>
      <c r="AJ409" s="2">
        <f>IFERROR(P409/F409,"")</f>
        <v/>
      </c>
      <c r="AK409" s="2">
        <f>IFERROR(Q409/B409,"")</f>
        <v/>
      </c>
      <c r="AL409" s="2">
        <f>IFERROR(R409/C409,"")</f>
        <v/>
      </c>
      <c r="AM409" s="2">
        <f>IFERROR(S409/D409,"")</f>
        <v/>
      </c>
      <c r="AN409" s="2">
        <f>IFERROR(T409/E409,"")</f>
        <v/>
      </c>
      <c r="AO409" s="2">
        <f>IFERROR(U409/F409,"")</f>
        <v/>
      </c>
    </row>
    <row r="410">
      <c r="B410">
        <f>IF($A410="","",IFERROR(INDEX('[AQ_2020.xlsx]原始数据'!$B:$B,MATCH($A410,'[AQ_2020.xlsx]原始数据'!$A:$A,0)),""))</f>
        <v/>
      </c>
      <c r="C410">
        <f>IF($A410="","",IFERROR(INDEX('[AQ_2021.xlsx]原始数据'!$B:$B,MATCH($A410,'[AQ_2021.xlsx]原始数据'!$A:$A,0)),""))</f>
        <v/>
      </c>
      <c r="D410">
        <f>IF($A410="","",IFERROR(INDEX('[AQ_2022.xlsx]原始数据'!$B:$B,MATCH($A410,'[AQ_2022.xlsx]原始数据'!$A:$A,0)),""))</f>
        <v/>
      </c>
      <c r="E410">
        <f>IF($A410="","",IFERROR(INDEX('[AQ_2023.xlsx]原始数据'!$B:$B,MATCH($A410,'[AQ_2023.xlsx]原始数据'!$A:$A,0)),""))</f>
        <v/>
      </c>
      <c r="F410">
        <f>IF($A410="","",IFERROR(INDEX('[AQ_2024.xlsx]原始数据'!$B:$B,MATCH($A410,'[AQ_2024.xlsx]原始数据'!$A:$A,0)),""))</f>
        <v/>
      </c>
      <c r="G410">
        <f>IF($A410="","",IFERROR(INDEX('[AQ_2020.xlsx]原始数据'!$C:$C,MATCH($A410,'[AQ_2020.xlsx]原始数据'!$A:$A,0)),""))</f>
        <v/>
      </c>
      <c r="H410">
        <f>IF($A410="","",IFERROR(INDEX('[AQ_2021.xlsx]原始数据'!$C:$C,MATCH($A410,'[AQ_2021.xlsx]原始数据'!$A:$A,0)),""))</f>
        <v/>
      </c>
      <c r="I410">
        <f>IF($A410="","",IFERROR(INDEX('[AQ_2022.xlsx]原始数据'!$C:$C,MATCH($A410,'[AQ_2022.xlsx]原始数据'!$A:$A,0)),""))</f>
        <v/>
      </c>
      <c r="J410">
        <f>IF($A410="","",IFERROR(INDEX('[AQ_2023.xlsx]原始数据'!$C:$C,MATCH($A410,'[AQ_2023.xlsx]原始数据'!$A:$A,0)),""))</f>
        <v/>
      </c>
      <c r="K410">
        <f>IF($A410="","",IFERROR(INDEX('[AQ_2024.xlsx]原始数据'!$C:$C,MATCH($A410,'[AQ_2024.xlsx]原始数据'!$A:$A,0)),""))</f>
        <v/>
      </c>
      <c r="L410">
        <f>IF($A410="","",IFERROR(INDEX('[AQ_2020.xlsx]原始数据'!$D:$D,MATCH($A410,'[AQ_2020.xlsx]原始数据'!$A:$A,0)),""))</f>
        <v/>
      </c>
      <c r="M410">
        <f>IF($A410="","",IFERROR(INDEX('[AQ_2021.xlsx]原始数据'!$D:$D,MATCH($A410,'[AQ_2021.xlsx]原始数据'!$A:$A,0)),""))</f>
        <v/>
      </c>
      <c r="N410">
        <f>IF($A410="","",IFERROR(INDEX('[AQ_2022.xlsx]原始数据'!$D:$D,MATCH($A410,'[AQ_2022.xlsx]原始数据'!$A:$A,0)),""))</f>
        <v/>
      </c>
      <c r="O410">
        <f>IF($A410="","",IFERROR(INDEX('[AQ_2023.xlsx]原始数据'!$D:$D,MATCH($A410,'[AQ_2023.xlsx]原始数据'!$A:$A,0)),""))</f>
        <v/>
      </c>
      <c r="P410">
        <f>IF($A410="","",IFERROR(INDEX('[AQ_2024.xlsx]原始数据'!$D:$D,MATCH($A410,'[AQ_2024.xlsx]原始数据'!$A:$A,0)),""))</f>
        <v/>
      </c>
      <c r="Q410">
        <f>IF($A410="","",IFERROR(INDEX('[AQ_2020.xlsx]原始数据'!$E:$E,MATCH($A410,'[AQ_2020.xlsx]原始数据'!$A:$A,0)),""))</f>
        <v/>
      </c>
      <c r="R410">
        <f>IF($A410="","",IFERROR(INDEX('[AQ_2021.xlsx]原始数据'!$E:$E,MATCH($A410,'[AQ_2021.xlsx]原始数据'!$A:$A,0)),""))</f>
        <v/>
      </c>
      <c r="S410">
        <f>IF($A410="","",IFERROR(INDEX('[AQ_2022.xlsx]原始数据'!$E:$E,MATCH($A410,'[AQ_2022.xlsx]原始数据'!$A:$A,0)),""))</f>
        <v/>
      </c>
      <c r="T410">
        <f>IF($A410="","",IFERROR(INDEX('[AQ_2023.xlsx]原始数据'!$E:$E,MATCH($A410,'[AQ_2023.xlsx]原始数据'!$A:$A,0)),""))</f>
        <v/>
      </c>
      <c r="U410">
        <f>IF($A410="","",IFERROR(INDEX('[AQ_2024.xlsx]原始数据'!$E:$E,MATCH($A410,'[AQ_2024.xlsx]原始数据'!$A:$A,0)),""))</f>
        <v/>
      </c>
      <c r="V410">
        <f>IF($A410="","",IFERROR(INDEX('[AQ_2020.xlsx]原始数据'!$F:$F,MATCH($A410,'[AQ_2020.xlsx]原始数据'!$A:$A,0)),""))</f>
        <v/>
      </c>
      <c r="W410">
        <f>IF($A410="","",IFERROR(INDEX('[AQ_2021.xlsx]原始数据'!$F:$F,MATCH($A410,'[AQ_2021.xlsx]原始数据'!$A:$A,0)),""))</f>
        <v/>
      </c>
      <c r="X410">
        <f>IF($A410="","",IFERROR(INDEX('[AQ_2022.xlsx]原始数据'!$F:$F,MATCH($A410,'[AQ_2022.xlsx]原始数据'!$A:$A,0)),""))</f>
        <v/>
      </c>
      <c r="Y410">
        <f>IF($A410="","",IFERROR(INDEX('[AQ_2023.xlsx]原始数据'!$F:$F,MATCH($A410,'[AQ_2023.xlsx]原始数据'!$A:$A,0)),""))</f>
        <v/>
      </c>
      <c r="Z410">
        <f>IF($A410="","",IFERROR(INDEX('[AQ_2024.xlsx]原始数据'!$F:$F,MATCH($A410,'[AQ_2024.xlsx]原始数据'!$A:$A,0)),""))</f>
        <v/>
      </c>
      <c r="AA410" s="2">
        <f>IFERROR(G410/B410,"")</f>
        <v/>
      </c>
      <c r="AB410" s="2">
        <f>IFERROR(H410/C410,"")</f>
        <v/>
      </c>
      <c r="AC410" s="2">
        <f>IFERROR(I410/D410,"")</f>
        <v/>
      </c>
      <c r="AD410" s="2">
        <f>IFERROR(J410/E410,"")</f>
        <v/>
      </c>
      <c r="AE410" s="2">
        <f>IFERROR(K410/F410,"")</f>
        <v/>
      </c>
      <c r="AF410" s="2">
        <f>IFERROR(L410/B410,"")</f>
        <v/>
      </c>
      <c r="AG410" s="2">
        <f>IFERROR(M410/C410,"")</f>
        <v/>
      </c>
      <c r="AH410" s="2">
        <f>IFERROR(N410/D410,"")</f>
        <v/>
      </c>
      <c r="AI410" s="2">
        <f>IFERROR(O410/E410,"")</f>
        <v/>
      </c>
      <c r="AJ410" s="2">
        <f>IFERROR(P410/F410,"")</f>
        <v/>
      </c>
      <c r="AK410" s="2">
        <f>IFERROR(Q410/B410,"")</f>
        <v/>
      </c>
      <c r="AL410" s="2">
        <f>IFERROR(R410/C410,"")</f>
        <v/>
      </c>
      <c r="AM410" s="2">
        <f>IFERROR(S410/D410,"")</f>
        <v/>
      </c>
      <c r="AN410" s="2">
        <f>IFERROR(T410/E410,"")</f>
        <v/>
      </c>
      <c r="AO410" s="2">
        <f>IFERROR(U410/F410,"")</f>
        <v/>
      </c>
    </row>
    <row r="411">
      <c r="B411">
        <f>IF($A411="","",IFERROR(INDEX('[AQ_2020.xlsx]原始数据'!$B:$B,MATCH($A411,'[AQ_2020.xlsx]原始数据'!$A:$A,0)),""))</f>
        <v/>
      </c>
      <c r="C411">
        <f>IF($A411="","",IFERROR(INDEX('[AQ_2021.xlsx]原始数据'!$B:$B,MATCH($A411,'[AQ_2021.xlsx]原始数据'!$A:$A,0)),""))</f>
        <v/>
      </c>
      <c r="D411">
        <f>IF($A411="","",IFERROR(INDEX('[AQ_2022.xlsx]原始数据'!$B:$B,MATCH($A411,'[AQ_2022.xlsx]原始数据'!$A:$A,0)),""))</f>
        <v/>
      </c>
      <c r="E411">
        <f>IF($A411="","",IFERROR(INDEX('[AQ_2023.xlsx]原始数据'!$B:$B,MATCH($A411,'[AQ_2023.xlsx]原始数据'!$A:$A,0)),""))</f>
        <v/>
      </c>
      <c r="F411">
        <f>IF($A411="","",IFERROR(INDEX('[AQ_2024.xlsx]原始数据'!$B:$B,MATCH($A411,'[AQ_2024.xlsx]原始数据'!$A:$A,0)),""))</f>
        <v/>
      </c>
      <c r="G411">
        <f>IF($A411="","",IFERROR(INDEX('[AQ_2020.xlsx]原始数据'!$C:$C,MATCH($A411,'[AQ_2020.xlsx]原始数据'!$A:$A,0)),""))</f>
        <v/>
      </c>
      <c r="H411">
        <f>IF($A411="","",IFERROR(INDEX('[AQ_2021.xlsx]原始数据'!$C:$C,MATCH($A411,'[AQ_2021.xlsx]原始数据'!$A:$A,0)),""))</f>
        <v/>
      </c>
      <c r="I411">
        <f>IF($A411="","",IFERROR(INDEX('[AQ_2022.xlsx]原始数据'!$C:$C,MATCH($A411,'[AQ_2022.xlsx]原始数据'!$A:$A,0)),""))</f>
        <v/>
      </c>
      <c r="J411">
        <f>IF($A411="","",IFERROR(INDEX('[AQ_2023.xlsx]原始数据'!$C:$C,MATCH($A411,'[AQ_2023.xlsx]原始数据'!$A:$A,0)),""))</f>
        <v/>
      </c>
      <c r="K411">
        <f>IF($A411="","",IFERROR(INDEX('[AQ_2024.xlsx]原始数据'!$C:$C,MATCH($A411,'[AQ_2024.xlsx]原始数据'!$A:$A,0)),""))</f>
        <v/>
      </c>
      <c r="L411">
        <f>IF($A411="","",IFERROR(INDEX('[AQ_2020.xlsx]原始数据'!$D:$D,MATCH($A411,'[AQ_2020.xlsx]原始数据'!$A:$A,0)),""))</f>
        <v/>
      </c>
      <c r="M411">
        <f>IF($A411="","",IFERROR(INDEX('[AQ_2021.xlsx]原始数据'!$D:$D,MATCH($A411,'[AQ_2021.xlsx]原始数据'!$A:$A,0)),""))</f>
        <v/>
      </c>
      <c r="N411">
        <f>IF($A411="","",IFERROR(INDEX('[AQ_2022.xlsx]原始数据'!$D:$D,MATCH($A411,'[AQ_2022.xlsx]原始数据'!$A:$A,0)),""))</f>
        <v/>
      </c>
      <c r="O411">
        <f>IF($A411="","",IFERROR(INDEX('[AQ_2023.xlsx]原始数据'!$D:$D,MATCH($A411,'[AQ_2023.xlsx]原始数据'!$A:$A,0)),""))</f>
        <v/>
      </c>
      <c r="P411">
        <f>IF($A411="","",IFERROR(INDEX('[AQ_2024.xlsx]原始数据'!$D:$D,MATCH($A411,'[AQ_2024.xlsx]原始数据'!$A:$A,0)),""))</f>
        <v/>
      </c>
      <c r="Q411">
        <f>IF($A411="","",IFERROR(INDEX('[AQ_2020.xlsx]原始数据'!$E:$E,MATCH($A411,'[AQ_2020.xlsx]原始数据'!$A:$A,0)),""))</f>
        <v/>
      </c>
      <c r="R411">
        <f>IF($A411="","",IFERROR(INDEX('[AQ_2021.xlsx]原始数据'!$E:$E,MATCH($A411,'[AQ_2021.xlsx]原始数据'!$A:$A,0)),""))</f>
        <v/>
      </c>
      <c r="S411">
        <f>IF($A411="","",IFERROR(INDEX('[AQ_2022.xlsx]原始数据'!$E:$E,MATCH($A411,'[AQ_2022.xlsx]原始数据'!$A:$A,0)),""))</f>
        <v/>
      </c>
      <c r="T411">
        <f>IF($A411="","",IFERROR(INDEX('[AQ_2023.xlsx]原始数据'!$E:$E,MATCH($A411,'[AQ_2023.xlsx]原始数据'!$A:$A,0)),""))</f>
        <v/>
      </c>
      <c r="U411">
        <f>IF($A411="","",IFERROR(INDEX('[AQ_2024.xlsx]原始数据'!$E:$E,MATCH($A411,'[AQ_2024.xlsx]原始数据'!$A:$A,0)),""))</f>
        <v/>
      </c>
      <c r="V411">
        <f>IF($A411="","",IFERROR(INDEX('[AQ_2020.xlsx]原始数据'!$F:$F,MATCH($A411,'[AQ_2020.xlsx]原始数据'!$A:$A,0)),""))</f>
        <v/>
      </c>
      <c r="W411">
        <f>IF($A411="","",IFERROR(INDEX('[AQ_2021.xlsx]原始数据'!$F:$F,MATCH($A411,'[AQ_2021.xlsx]原始数据'!$A:$A,0)),""))</f>
        <v/>
      </c>
      <c r="X411">
        <f>IF($A411="","",IFERROR(INDEX('[AQ_2022.xlsx]原始数据'!$F:$F,MATCH($A411,'[AQ_2022.xlsx]原始数据'!$A:$A,0)),""))</f>
        <v/>
      </c>
      <c r="Y411">
        <f>IF($A411="","",IFERROR(INDEX('[AQ_2023.xlsx]原始数据'!$F:$F,MATCH($A411,'[AQ_2023.xlsx]原始数据'!$A:$A,0)),""))</f>
        <v/>
      </c>
      <c r="Z411">
        <f>IF($A411="","",IFERROR(INDEX('[AQ_2024.xlsx]原始数据'!$F:$F,MATCH($A411,'[AQ_2024.xlsx]原始数据'!$A:$A,0)),""))</f>
        <v/>
      </c>
      <c r="AA411" s="2">
        <f>IFERROR(G411/B411,"")</f>
        <v/>
      </c>
      <c r="AB411" s="2">
        <f>IFERROR(H411/C411,"")</f>
        <v/>
      </c>
      <c r="AC411" s="2">
        <f>IFERROR(I411/D411,"")</f>
        <v/>
      </c>
      <c r="AD411" s="2">
        <f>IFERROR(J411/E411,"")</f>
        <v/>
      </c>
      <c r="AE411" s="2">
        <f>IFERROR(K411/F411,"")</f>
        <v/>
      </c>
      <c r="AF411" s="2">
        <f>IFERROR(L411/B411,"")</f>
        <v/>
      </c>
      <c r="AG411" s="2">
        <f>IFERROR(M411/C411,"")</f>
        <v/>
      </c>
      <c r="AH411" s="2">
        <f>IFERROR(N411/D411,"")</f>
        <v/>
      </c>
      <c r="AI411" s="2">
        <f>IFERROR(O411/E411,"")</f>
        <v/>
      </c>
      <c r="AJ411" s="2">
        <f>IFERROR(P411/F411,"")</f>
        <v/>
      </c>
      <c r="AK411" s="2">
        <f>IFERROR(Q411/B411,"")</f>
        <v/>
      </c>
      <c r="AL411" s="2">
        <f>IFERROR(R411/C411,"")</f>
        <v/>
      </c>
      <c r="AM411" s="2">
        <f>IFERROR(S411/D411,"")</f>
        <v/>
      </c>
      <c r="AN411" s="2">
        <f>IFERROR(T411/E411,"")</f>
        <v/>
      </c>
      <c r="AO411" s="2">
        <f>IFERROR(U411/F411,"")</f>
        <v/>
      </c>
    </row>
    <row r="412">
      <c r="B412">
        <f>IF($A412="","",IFERROR(INDEX('[AQ_2020.xlsx]原始数据'!$B:$B,MATCH($A412,'[AQ_2020.xlsx]原始数据'!$A:$A,0)),""))</f>
        <v/>
      </c>
      <c r="C412">
        <f>IF($A412="","",IFERROR(INDEX('[AQ_2021.xlsx]原始数据'!$B:$B,MATCH($A412,'[AQ_2021.xlsx]原始数据'!$A:$A,0)),""))</f>
        <v/>
      </c>
      <c r="D412">
        <f>IF($A412="","",IFERROR(INDEX('[AQ_2022.xlsx]原始数据'!$B:$B,MATCH($A412,'[AQ_2022.xlsx]原始数据'!$A:$A,0)),""))</f>
        <v/>
      </c>
      <c r="E412">
        <f>IF($A412="","",IFERROR(INDEX('[AQ_2023.xlsx]原始数据'!$B:$B,MATCH($A412,'[AQ_2023.xlsx]原始数据'!$A:$A,0)),""))</f>
        <v/>
      </c>
      <c r="F412">
        <f>IF($A412="","",IFERROR(INDEX('[AQ_2024.xlsx]原始数据'!$B:$B,MATCH($A412,'[AQ_2024.xlsx]原始数据'!$A:$A,0)),""))</f>
        <v/>
      </c>
      <c r="G412">
        <f>IF($A412="","",IFERROR(INDEX('[AQ_2020.xlsx]原始数据'!$C:$C,MATCH($A412,'[AQ_2020.xlsx]原始数据'!$A:$A,0)),""))</f>
        <v/>
      </c>
      <c r="H412">
        <f>IF($A412="","",IFERROR(INDEX('[AQ_2021.xlsx]原始数据'!$C:$C,MATCH($A412,'[AQ_2021.xlsx]原始数据'!$A:$A,0)),""))</f>
        <v/>
      </c>
      <c r="I412">
        <f>IF($A412="","",IFERROR(INDEX('[AQ_2022.xlsx]原始数据'!$C:$C,MATCH($A412,'[AQ_2022.xlsx]原始数据'!$A:$A,0)),""))</f>
        <v/>
      </c>
      <c r="J412">
        <f>IF($A412="","",IFERROR(INDEX('[AQ_2023.xlsx]原始数据'!$C:$C,MATCH($A412,'[AQ_2023.xlsx]原始数据'!$A:$A,0)),""))</f>
        <v/>
      </c>
      <c r="K412">
        <f>IF($A412="","",IFERROR(INDEX('[AQ_2024.xlsx]原始数据'!$C:$C,MATCH($A412,'[AQ_2024.xlsx]原始数据'!$A:$A,0)),""))</f>
        <v/>
      </c>
      <c r="L412">
        <f>IF($A412="","",IFERROR(INDEX('[AQ_2020.xlsx]原始数据'!$D:$D,MATCH($A412,'[AQ_2020.xlsx]原始数据'!$A:$A,0)),""))</f>
        <v/>
      </c>
      <c r="M412">
        <f>IF($A412="","",IFERROR(INDEX('[AQ_2021.xlsx]原始数据'!$D:$D,MATCH($A412,'[AQ_2021.xlsx]原始数据'!$A:$A,0)),""))</f>
        <v/>
      </c>
      <c r="N412">
        <f>IF($A412="","",IFERROR(INDEX('[AQ_2022.xlsx]原始数据'!$D:$D,MATCH($A412,'[AQ_2022.xlsx]原始数据'!$A:$A,0)),""))</f>
        <v/>
      </c>
      <c r="O412">
        <f>IF($A412="","",IFERROR(INDEX('[AQ_2023.xlsx]原始数据'!$D:$D,MATCH($A412,'[AQ_2023.xlsx]原始数据'!$A:$A,0)),""))</f>
        <v/>
      </c>
      <c r="P412">
        <f>IF($A412="","",IFERROR(INDEX('[AQ_2024.xlsx]原始数据'!$D:$D,MATCH($A412,'[AQ_2024.xlsx]原始数据'!$A:$A,0)),""))</f>
        <v/>
      </c>
      <c r="Q412">
        <f>IF($A412="","",IFERROR(INDEX('[AQ_2020.xlsx]原始数据'!$E:$E,MATCH($A412,'[AQ_2020.xlsx]原始数据'!$A:$A,0)),""))</f>
        <v/>
      </c>
      <c r="R412">
        <f>IF($A412="","",IFERROR(INDEX('[AQ_2021.xlsx]原始数据'!$E:$E,MATCH($A412,'[AQ_2021.xlsx]原始数据'!$A:$A,0)),""))</f>
        <v/>
      </c>
      <c r="S412">
        <f>IF($A412="","",IFERROR(INDEX('[AQ_2022.xlsx]原始数据'!$E:$E,MATCH($A412,'[AQ_2022.xlsx]原始数据'!$A:$A,0)),""))</f>
        <v/>
      </c>
      <c r="T412">
        <f>IF($A412="","",IFERROR(INDEX('[AQ_2023.xlsx]原始数据'!$E:$E,MATCH($A412,'[AQ_2023.xlsx]原始数据'!$A:$A,0)),""))</f>
        <v/>
      </c>
      <c r="U412">
        <f>IF($A412="","",IFERROR(INDEX('[AQ_2024.xlsx]原始数据'!$E:$E,MATCH($A412,'[AQ_2024.xlsx]原始数据'!$A:$A,0)),""))</f>
        <v/>
      </c>
      <c r="V412">
        <f>IF($A412="","",IFERROR(INDEX('[AQ_2020.xlsx]原始数据'!$F:$F,MATCH($A412,'[AQ_2020.xlsx]原始数据'!$A:$A,0)),""))</f>
        <v/>
      </c>
      <c r="W412">
        <f>IF($A412="","",IFERROR(INDEX('[AQ_2021.xlsx]原始数据'!$F:$F,MATCH($A412,'[AQ_2021.xlsx]原始数据'!$A:$A,0)),""))</f>
        <v/>
      </c>
      <c r="X412">
        <f>IF($A412="","",IFERROR(INDEX('[AQ_2022.xlsx]原始数据'!$F:$F,MATCH($A412,'[AQ_2022.xlsx]原始数据'!$A:$A,0)),""))</f>
        <v/>
      </c>
      <c r="Y412">
        <f>IF($A412="","",IFERROR(INDEX('[AQ_2023.xlsx]原始数据'!$F:$F,MATCH($A412,'[AQ_2023.xlsx]原始数据'!$A:$A,0)),""))</f>
        <v/>
      </c>
      <c r="Z412">
        <f>IF($A412="","",IFERROR(INDEX('[AQ_2024.xlsx]原始数据'!$F:$F,MATCH($A412,'[AQ_2024.xlsx]原始数据'!$A:$A,0)),""))</f>
        <v/>
      </c>
      <c r="AA412" s="2">
        <f>IFERROR(G412/B412,"")</f>
        <v/>
      </c>
      <c r="AB412" s="2">
        <f>IFERROR(H412/C412,"")</f>
        <v/>
      </c>
      <c r="AC412" s="2">
        <f>IFERROR(I412/D412,"")</f>
        <v/>
      </c>
      <c r="AD412" s="2">
        <f>IFERROR(J412/E412,"")</f>
        <v/>
      </c>
      <c r="AE412" s="2">
        <f>IFERROR(K412/F412,"")</f>
        <v/>
      </c>
      <c r="AF412" s="2">
        <f>IFERROR(L412/B412,"")</f>
        <v/>
      </c>
      <c r="AG412" s="2">
        <f>IFERROR(M412/C412,"")</f>
        <v/>
      </c>
      <c r="AH412" s="2">
        <f>IFERROR(N412/D412,"")</f>
        <v/>
      </c>
      <c r="AI412" s="2">
        <f>IFERROR(O412/E412,"")</f>
        <v/>
      </c>
      <c r="AJ412" s="2">
        <f>IFERROR(P412/F412,"")</f>
        <v/>
      </c>
      <c r="AK412" s="2">
        <f>IFERROR(Q412/B412,"")</f>
        <v/>
      </c>
      <c r="AL412" s="2">
        <f>IFERROR(R412/C412,"")</f>
        <v/>
      </c>
      <c r="AM412" s="2">
        <f>IFERROR(S412/D412,"")</f>
        <v/>
      </c>
      <c r="AN412" s="2">
        <f>IFERROR(T412/E412,"")</f>
        <v/>
      </c>
      <c r="AO412" s="2">
        <f>IFERROR(U412/F412,"")</f>
        <v/>
      </c>
    </row>
    <row r="413">
      <c r="B413">
        <f>IF($A413="","",IFERROR(INDEX('[AQ_2020.xlsx]原始数据'!$B:$B,MATCH($A413,'[AQ_2020.xlsx]原始数据'!$A:$A,0)),""))</f>
        <v/>
      </c>
      <c r="C413">
        <f>IF($A413="","",IFERROR(INDEX('[AQ_2021.xlsx]原始数据'!$B:$B,MATCH($A413,'[AQ_2021.xlsx]原始数据'!$A:$A,0)),""))</f>
        <v/>
      </c>
      <c r="D413">
        <f>IF($A413="","",IFERROR(INDEX('[AQ_2022.xlsx]原始数据'!$B:$B,MATCH($A413,'[AQ_2022.xlsx]原始数据'!$A:$A,0)),""))</f>
        <v/>
      </c>
      <c r="E413">
        <f>IF($A413="","",IFERROR(INDEX('[AQ_2023.xlsx]原始数据'!$B:$B,MATCH($A413,'[AQ_2023.xlsx]原始数据'!$A:$A,0)),""))</f>
        <v/>
      </c>
      <c r="F413">
        <f>IF($A413="","",IFERROR(INDEX('[AQ_2024.xlsx]原始数据'!$B:$B,MATCH($A413,'[AQ_2024.xlsx]原始数据'!$A:$A,0)),""))</f>
        <v/>
      </c>
      <c r="G413">
        <f>IF($A413="","",IFERROR(INDEX('[AQ_2020.xlsx]原始数据'!$C:$C,MATCH($A413,'[AQ_2020.xlsx]原始数据'!$A:$A,0)),""))</f>
        <v/>
      </c>
      <c r="H413">
        <f>IF($A413="","",IFERROR(INDEX('[AQ_2021.xlsx]原始数据'!$C:$C,MATCH($A413,'[AQ_2021.xlsx]原始数据'!$A:$A,0)),""))</f>
        <v/>
      </c>
      <c r="I413">
        <f>IF($A413="","",IFERROR(INDEX('[AQ_2022.xlsx]原始数据'!$C:$C,MATCH($A413,'[AQ_2022.xlsx]原始数据'!$A:$A,0)),""))</f>
        <v/>
      </c>
      <c r="J413">
        <f>IF($A413="","",IFERROR(INDEX('[AQ_2023.xlsx]原始数据'!$C:$C,MATCH($A413,'[AQ_2023.xlsx]原始数据'!$A:$A,0)),""))</f>
        <v/>
      </c>
      <c r="K413">
        <f>IF($A413="","",IFERROR(INDEX('[AQ_2024.xlsx]原始数据'!$C:$C,MATCH($A413,'[AQ_2024.xlsx]原始数据'!$A:$A,0)),""))</f>
        <v/>
      </c>
      <c r="L413">
        <f>IF($A413="","",IFERROR(INDEX('[AQ_2020.xlsx]原始数据'!$D:$D,MATCH($A413,'[AQ_2020.xlsx]原始数据'!$A:$A,0)),""))</f>
        <v/>
      </c>
      <c r="M413">
        <f>IF($A413="","",IFERROR(INDEX('[AQ_2021.xlsx]原始数据'!$D:$D,MATCH($A413,'[AQ_2021.xlsx]原始数据'!$A:$A,0)),""))</f>
        <v/>
      </c>
      <c r="N413">
        <f>IF($A413="","",IFERROR(INDEX('[AQ_2022.xlsx]原始数据'!$D:$D,MATCH($A413,'[AQ_2022.xlsx]原始数据'!$A:$A,0)),""))</f>
        <v/>
      </c>
      <c r="O413">
        <f>IF($A413="","",IFERROR(INDEX('[AQ_2023.xlsx]原始数据'!$D:$D,MATCH($A413,'[AQ_2023.xlsx]原始数据'!$A:$A,0)),""))</f>
        <v/>
      </c>
      <c r="P413">
        <f>IF($A413="","",IFERROR(INDEX('[AQ_2024.xlsx]原始数据'!$D:$D,MATCH($A413,'[AQ_2024.xlsx]原始数据'!$A:$A,0)),""))</f>
        <v/>
      </c>
      <c r="Q413">
        <f>IF($A413="","",IFERROR(INDEX('[AQ_2020.xlsx]原始数据'!$E:$E,MATCH($A413,'[AQ_2020.xlsx]原始数据'!$A:$A,0)),""))</f>
        <v/>
      </c>
      <c r="R413">
        <f>IF($A413="","",IFERROR(INDEX('[AQ_2021.xlsx]原始数据'!$E:$E,MATCH($A413,'[AQ_2021.xlsx]原始数据'!$A:$A,0)),""))</f>
        <v/>
      </c>
      <c r="S413">
        <f>IF($A413="","",IFERROR(INDEX('[AQ_2022.xlsx]原始数据'!$E:$E,MATCH($A413,'[AQ_2022.xlsx]原始数据'!$A:$A,0)),""))</f>
        <v/>
      </c>
      <c r="T413">
        <f>IF($A413="","",IFERROR(INDEX('[AQ_2023.xlsx]原始数据'!$E:$E,MATCH($A413,'[AQ_2023.xlsx]原始数据'!$A:$A,0)),""))</f>
        <v/>
      </c>
      <c r="U413">
        <f>IF($A413="","",IFERROR(INDEX('[AQ_2024.xlsx]原始数据'!$E:$E,MATCH($A413,'[AQ_2024.xlsx]原始数据'!$A:$A,0)),""))</f>
        <v/>
      </c>
      <c r="V413">
        <f>IF($A413="","",IFERROR(INDEX('[AQ_2020.xlsx]原始数据'!$F:$F,MATCH($A413,'[AQ_2020.xlsx]原始数据'!$A:$A,0)),""))</f>
        <v/>
      </c>
      <c r="W413">
        <f>IF($A413="","",IFERROR(INDEX('[AQ_2021.xlsx]原始数据'!$F:$F,MATCH($A413,'[AQ_2021.xlsx]原始数据'!$A:$A,0)),""))</f>
        <v/>
      </c>
      <c r="X413">
        <f>IF($A413="","",IFERROR(INDEX('[AQ_2022.xlsx]原始数据'!$F:$F,MATCH($A413,'[AQ_2022.xlsx]原始数据'!$A:$A,0)),""))</f>
        <v/>
      </c>
      <c r="Y413">
        <f>IF($A413="","",IFERROR(INDEX('[AQ_2023.xlsx]原始数据'!$F:$F,MATCH($A413,'[AQ_2023.xlsx]原始数据'!$A:$A,0)),""))</f>
        <v/>
      </c>
      <c r="Z413">
        <f>IF($A413="","",IFERROR(INDEX('[AQ_2024.xlsx]原始数据'!$F:$F,MATCH($A413,'[AQ_2024.xlsx]原始数据'!$A:$A,0)),""))</f>
        <v/>
      </c>
      <c r="AA413" s="2">
        <f>IFERROR(G413/B413,"")</f>
        <v/>
      </c>
      <c r="AB413" s="2">
        <f>IFERROR(H413/C413,"")</f>
        <v/>
      </c>
      <c r="AC413" s="2">
        <f>IFERROR(I413/D413,"")</f>
        <v/>
      </c>
      <c r="AD413" s="2">
        <f>IFERROR(J413/E413,"")</f>
        <v/>
      </c>
      <c r="AE413" s="2">
        <f>IFERROR(K413/F413,"")</f>
        <v/>
      </c>
      <c r="AF413" s="2">
        <f>IFERROR(L413/B413,"")</f>
        <v/>
      </c>
      <c r="AG413" s="2">
        <f>IFERROR(M413/C413,"")</f>
        <v/>
      </c>
      <c r="AH413" s="2">
        <f>IFERROR(N413/D413,"")</f>
        <v/>
      </c>
      <c r="AI413" s="2">
        <f>IFERROR(O413/E413,"")</f>
        <v/>
      </c>
      <c r="AJ413" s="2">
        <f>IFERROR(P413/F413,"")</f>
        <v/>
      </c>
      <c r="AK413" s="2">
        <f>IFERROR(Q413/B413,"")</f>
        <v/>
      </c>
      <c r="AL413" s="2">
        <f>IFERROR(R413/C413,"")</f>
        <v/>
      </c>
      <c r="AM413" s="2">
        <f>IFERROR(S413/D413,"")</f>
        <v/>
      </c>
      <c r="AN413" s="2">
        <f>IFERROR(T413/E413,"")</f>
        <v/>
      </c>
      <c r="AO413" s="2">
        <f>IFERROR(U413/F413,"")</f>
        <v/>
      </c>
    </row>
    <row r="414">
      <c r="B414">
        <f>IF($A414="","",IFERROR(INDEX('[AQ_2020.xlsx]原始数据'!$B:$B,MATCH($A414,'[AQ_2020.xlsx]原始数据'!$A:$A,0)),""))</f>
        <v/>
      </c>
      <c r="C414">
        <f>IF($A414="","",IFERROR(INDEX('[AQ_2021.xlsx]原始数据'!$B:$B,MATCH($A414,'[AQ_2021.xlsx]原始数据'!$A:$A,0)),""))</f>
        <v/>
      </c>
      <c r="D414">
        <f>IF($A414="","",IFERROR(INDEX('[AQ_2022.xlsx]原始数据'!$B:$B,MATCH($A414,'[AQ_2022.xlsx]原始数据'!$A:$A,0)),""))</f>
        <v/>
      </c>
      <c r="E414">
        <f>IF($A414="","",IFERROR(INDEX('[AQ_2023.xlsx]原始数据'!$B:$B,MATCH($A414,'[AQ_2023.xlsx]原始数据'!$A:$A,0)),""))</f>
        <v/>
      </c>
      <c r="F414">
        <f>IF($A414="","",IFERROR(INDEX('[AQ_2024.xlsx]原始数据'!$B:$B,MATCH($A414,'[AQ_2024.xlsx]原始数据'!$A:$A,0)),""))</f>
        <v/>
      </c>
      <c r="G414">
        <f>IF($A414="","",IFERROR(INDEX('[AQ_2020.xlsx]原始数据'!$C:$C,MATCH($A414,'[AQ_2020.xlsx]原始数据'!$A:$A,0)),""))</f>
        <v/>
      </c>
      <c r="H414">
        <f>IF($A414="","",IFERROR(INDEX('[AQ_2021.xlsx]原始数据'!$C:$C,MATCH($A414,'[AQ_2021.xlsx]原始数据'!$A:$A,0)),""))</f>
        <v/>
      </c>
      <c r="I414">
        <f>IF($A414="","",IFERROR(INDEX('[AQ_2022.xlsx]原始数据'!$C:$C,MATCH($A414,'[AQ_2022.xlsx]原始数据'!$A:$A,0)),""))</f>
        <v/>
      </c>
      <c r="J414">
        <f>IF($A414="","",IFERROR(INDEX('[AQ_2023.xlsx]原始数据'!$C:$C,MATCH($A414,'[AQ_2023.xlsx]原始数据'!$A:$A,0)),""))</f>
        <v/>
      </c>
      <c r="K414">
        <f>IF($A414="","",IFERROR(INDEX('[AQ_2024.xlsx]原始数据'!$C:$C,MATCH($A414,'[AQ_2024.xlsx]原始数据'!$A:$A,0)),""))</f>
        <v/>
      </c>
      <c r="L414">
        <f>IF($A414="","",IFERROR(INDEX('[AQ_2020.xlsx]原始数据'!$D:$D,MATCH($A414,'[AQ_2020.xlsx]原始数据'!$A:$A,0)),""))</f>
        <v/>
      </c>
      <c r="M414">
        <f>IF($A414="","",IFERROR(INDEX('[AQ_2021.xlsx]原始数据'!$D:$D,MATCH($A414,'[AQ_2021.xlsx]原始数据'!$A:$A,0)),""))</f>
        <v/>
      </c>
      <c r="N414">
        <f>IF($A414="","",IFERROR(INDEX('[AQ_2022.xlsx]原始数据'!$D:$D,MATCH($A414,'[AQ_2022.xlsx]原始数据'!$A:$A,0)),""))</f>
        <v/>
      </c>
      <c r="O414">
        <f>IF($A414="","",IFERROR(INDEX('[AQ_2023.xlsx]原始数据'!$D:$D,MATCH($A414,'[AQ_2023.xlsx]原始数据'!$A:$A,0)),""))</f>
        <v/>
      </c>
      <c r="P414">
        <f>IF($A414="","",IFERROR(INDEX('[AQ_2024.xlsx]原始数据'!$D:$D,MATCH($A414,'[AQ_2024.xlsx]原始数据'!$A:$A,0)),""))</f>
        <v/>
      </c>
      <c r="Q414">
        <f>IF($A414="","",IFERROR(INDEX('[AQ_2020.xlsx]原始数据'!$E:$E,MATCH($A414,'[AQ_2020.xlsx]原始数据'!$A:$A,0)),""))</f>
        <v/>
      </c>
      <c r="R414">
        <f>IF($A414="","",IFERROR(INDEX('[AQ_2021.xlsx]原始数据'!$E:$E,MATCH($A414,'[AQ_2021.xlsx]原始数据'!$A:$A,0)),""))</f>
        <v/>
      </c>
      <c r="S414">
        <f>IF($A414="","",IFERROR(INDEX('[AQ_2022.xlsx]原始数据'!$E:$E,MATCH($A414,'[AQ_2022.xlsx]原始数据'!$A:$A,0)),""))</f>
        <v/>
      </c>
      <c r="T414">
        <f>IF($A414="","",IFERROR(INDEX('[AQ_2023.xlsx]原始数据'!$E:$E,MATCH($A414,'[AQ_2023.xlsx]原始数据'!$A:$A,0)),""))</f>
        <v/>
      </c>
      <c r="U414">
        <f>IF($A414="","",IFERROR(INDEX('[AQ_2024.xlsx]原始数据'!$E:$E,MATCH($A414,'[AQ_2024.xlsx]原始数据'!$A:$A,0)),""))</f>
        <v/>
      </c>
      <c r="V414">
        <f>IF($A414="","",IFERROR(INDEX('[AQ_2020.xlsx]原始数据'!$F:$F,MATCH($A414,'[AQ_2020.xlsx]原始数据'!$A:$A,0)),""))</f>
        <v/>
      </c>
      <c r="W414">
        <f>IF($A414="","",IFERROR(INDEX('[AQ_2021.xlsx]原始数据'!$F:$F,MATCH($A414,'[AQ_2021.xlsx]原始数据'!$A:$A,0)),""))</f>
        <v/>
      </c>
      <c r="X414">
        <f>IF($A414="","",IFERROR(INDEX('[AQ_2022.xlsx]原始数据'!$F:$F,MATCH($A414,'[AQ_2022.xlsx]原始数据'!$A:$A,0)),""))</f>
        <v/>
      </c>
      <c r="Y414">
        <f>IF($A414="","",IFERROR(INDEX('[AQ_2023.xlsx]原始数据'!$F:$F,MATCH($A414,'[AQ_2023.xlsx]原始数据'!$A:$A,0)),""))</f>
        <v/>
      </c>
      <c r="Z414">
        <f>IF($A414="","",IFERROR(INDEX('[AQ_2024.xlsx]原始数据'!$F:$F,MATCH($A414,'[AQ_2024.xlsx]原始数据'!$A:$A,0)),""))</f>
        <v/>
      </c>
      <c r="AA414" s="2">
        <f>IFERROR(G414/B414,"")</f>
        <v/>
      </c>
      <c r="AB414" s="2">
        <f>IFERROR(H414/C414,"")</f>
        <v/>
      </c>
      <c r="AC414" s="2">
        <f>IFERROR(I414/D414,"")</f>
        <v/>
      </c>
      <c r="AD414" s="2">
        <f>IFERROR(J414/E414,"")</f>
        <v/>
      </c>
      <c r="AE414" s="2">
        <f>IFERROR(K414/F414,"")</f>
        <v/>
      </c>
      <c r="AF414" s="2">
        <f>IFERROR(L414/B414,"")</f>
        <v/>
      </c>
      <c r="AG414" s="2">
        <f>IFERROR(M414/C414,"")</f>
        <v/>
      </c>
      <c r="AH414" s="2">
        <f>IFERROR(N414/D414,"")</f>
        <v/>
      </c>
      <c r="AI414" s="2">
        <f>IFERROR(O414/E414,"")</f>
        <v/>
      </c>
      <c r="AJ414" s="2">
        <f>IFERROR(P414/F414,"")</f>
        <v/>
      </c>
      <c r="AK414" s="2">
        <f>IFERROR(Q414/B414,"")</f>
        <v/>
      </c>
      <c r="AL414" s="2">
        <f>IFERROR(R414/C414,"")</f>
        <v/>
      </c>
      <c r="AM414" s="2">
        <f>IFERROR(S414/D414,"")</f>
        <v/>
      </c>
      <c r="AN414" s="2">
        <f>IFERROR(T414/E414,"")</f>
        <v/>
      </c>
      <c r="AO414" s="2">
        <f>IFERROR(U414/F414,"")</f>
        <v/>
      </c>
    </row>
    <row r="415">
      <c r="B415">
        <f>IF($A415="","",IFERROR(INDEX('[AQ_2020.xlsx]原始数据'!$B:$B,MATCH($A415,'[AQ_2020.xlsx]原始数据'!$A:$A,0)),""))</f>
        <v/>
      </c>
      <c r="C415">
        <f>IF($A415="","",IFERROR(INDEX('[AQ_2021.xlsx]原始数据'!$B:$B,MATCH($A415,'[AQ_2021.xlsx]原始数据'!$A:$A,0)),""))</f>
        <v/>
      </c>
      <c r="D415">
        <f>IF($A415="","",IFERROR(INDEX('[AQ_2022.xlsx]原始数据'!$B:$B,MATCH($A415,'[AQ_2022.xlsx]原始数据'!$A:$A,0)),""))</f>
        <v/>
      </c>
      <c r="E415">
        <f>IF($A415="","",IFERROR(INDEX('[AQ_2023.xlsx]原始数据'!$B:$B,MATCH($A415,'[AQ_2023.xlsx]原始数据'!$A:$A,0)),""))</f>
        <v/>
      </c>
      <c r="F415">
        <f>IF($A415="","",IFERROR(INDEX('[AQ_2024.xlsx]原始数据'!$B:$B,MATCH($A415,'[AQ_2024.xlsx]原始数据'!$A:$A,0)),""))</f>
        <v/>
      </c>
      <c r="G415">
        <f>IF($A415="","",IFERROR(INDEX('[AQ_2020.xlsx]原始数据'!$C:$C,MATCH($A415,'[AQ_2020.xlsx]原始数据'!$A:$A,0)),""))</f>
        <v/>
      </c>
      <c r="H415">
        <f>IF($A415="","",IFERROR(INDEX('[AQ_2021.xlsx]原始数据'!$C:$C,MATCH($A415,'[AQ_2021.xlsx]原始数据'!$A:$A,0)),""))</f>
        <v/>
      </c>
      <c r="I415">
        <f>IF($A415="","",IFERROR(INDEX('[AQ_2022.xlsx]原始数据'!$C:$C,MATCH($A415,'[AQ_2022.xlsx]原始数据'!$A:$A,0)),""))</f>
        <v/>
      </c>
      <c r="J415">
        <f>IF($A415="","",IFERROR(INDEX('[AQ_2023.xlsx]原始数据'!$C:$C,MATCH($A415,'[AQ_2023.xlsx]原始数据'!$A:$A,0)),""))</f>
        <v/>
      </c>
      <c r="K415">
        <f>IF($A415="","",IFERROR(INDEX('[AQ_2024.xlsx]原始数据'!$C:$C,MATCH($A415,'[AQ_2024.xlsx]原始数据'!$A:$A,0)),""))</f>
        <v/>
      </c>
      <c r="L415">
        <f>IF($A415="","",IFERROR(INDEX('[AQ_2020.xlsx]原始数据'!$D:$D,MATCH($A415,'[AQ_2020.xlsx]原始数据'!$A:$A,0)),""))</f>
        <v/>
      </c>
      <c r="M415">
        <f>IF($A415="","",IFERROR(INDEX('[AQ_2021.xlsx]原始数据'!$D:$D,MATCH($A415,'[AQ_2021.xlsx]原始数据'!$A:$A,0)),""))</f>
        <v/>
      </c>
      <c r="N415">
        <f>IF($A415="","",IFERROR(INDEX('[AQ_2022.xlsx]原始数据'!$D:$D,MATCH($A415,'[AQ_2022.xlsx]原始数据'!$A:$A,0)),""))</f>
        <v/>
      </c>
      <c r="O415">
        <f>IF($A415="","",IFERROR(INDEX('[AQ_2023.xlsx]原始数据'!$D:$D,MATCH($A415,'[AQ_2023.xlsx]原始数据'!$A:$A,0)),""))</f>
        <v/>
      </c>
      <c r="P415">
        <f>IF($A415="","",IFERROR(INDEX('[AQ_2024.xlsx]原始数据'!$D:$D,MATCH($A415,'[AQ_2024.xlsx]原始数据'!$A:$A,0)),""))</f>
        <v/>
      </c>
      <c r="Q415">
        <f>IF($A415="","",IFERROR(INDEX('[AQ_2020.xlsx]原始数据'!$E:$E,MATCH($A415,'[AQ_2020.xlsx]原始数据'!$A:$A,0)),""))</f>
        <v/>
      </c>
      <c r="R415">
        <f>IF($A415="","",IFERROR(INDEX('[AQ_2021.xlsx]原始数据'!$E:$E,MATCH($A415,'[AQ_2021.xlsx]原始数据'!$A:$A,0)),""))</f>
        <v/>
      </c>
      <c r="S415">
        <f>IF($A415="","",IFERROR(INDEX('[AQ_2022.xlsx]原始数据'!$E:$E,MATCH($A415,'[AQ_2022.xlsx]原始数据'!$A:$A,0)),""))</f>
        <v/>
      </c>
      <c r="T415">
        <f>IF($A415="","",IFERROR(INDEX('[AQ_2023.xlsx]原始数据'!$E:$E,MATCH($A415,'[AQ_2023.xlsx]原始数据'!$A:$A,0)),""))</f>
        <v/>
      </c>
      <c r="U415">
        <f>IF($A415="","",IFERROR(INDEX('[AQ_2024.xlsx]原始数据'!$E:$E,MATCH($A415,'[AQ_2024.xlsx]原始数据'!$A:$A,0)),""))</f>
        <v/>
      </c>
      <c r="V415">
        <f>IF($A415="","",IFERROR(INDEX('[AQ_2020.xlsx]原始数据'!$F:$F,MATCH($A415,'[AQ_2020.xlsx]原始数据'!$A:$A,0)),""))</f>
        <v/>
      </c>
      <c r="W415">
        <f>IF($A415="","",IFERROR(INDEX('[AQ_2021.xlsx]原始数据'!$F:$F,MATCH($A415,'[AQ_2021.xlsx]原始数据'!$A:$A,0)),""))</f>
        <v/>
      </c>
      <c r="X415">
        <f>IF($A415="","",IFERROR(INDEX('[AQ_2022.xlsx]原始数据'!$F:$F,MATCH($A415,'[AQ_2022.xlsx]原始数据'!$A:$A,0)),""))</f>
        <v/>
      </c>
      <c r="Y415">
        <f>IF($A415="","",IFERROR(INDEX('[AQ_2023.xlsx]原始数据'!$F:$F,MATCH($A415,'[AQ_2023.xlsx]原始数据'!$A:$A,0)),""))</f>
        <v/>
      </c>
      <c r="Z415">
        <f>IF($A415="","",IFERROR(INDEX('[AQ_2024.xlsx]原始数据'!$F:$F,MATCH($A415,'[AQ_2024.xlsx]原始数据'!$A:$A,0)),""))</f>
        <v/>
      </c>
      <c r="AA415" s="2">
        <f>IFERROR(G415/B415,"")</f>
        <v/>
      </c>
      <c r="AB415" s="2">
        <f>IFERROR(H415/C415,"")</f>
        <v/>
      </c>
      <c r="AC415" s="2">
        <f>IFERROR(I415/D415,"")</f>
        <v/>
      </c>
      <c r="AD415" s="2">
        <f>IFERROR(J415/E415,"")</f>
        <v/>
      </c>
      <c r="AE415" s="2">
        <f>IFERROR(K415/F415,"")</f>
        <v/>
      </c>
      <c r="AF415" s="2">
        <f>IFERROR(L415/B415,"")</f>
        <v/>
      </c>
      <c r="AG415" s="2">
        <f>IFERROR(M415/C415,"")</f>
        <v/>
      </c>
      <c r="AH415" s="2">
        <f>IFERROR(N415/D415,"")</f>
        <v/>
      </c>
      <c r="AI415" s="2">
        <f>IFERROR(O415/E415,"")</f>
        <v/>
      </c>
      <c r="AJ415" s="2">
        <f>IFERROR(P415/F415,"")</f>
        <v/>
      </c>
      <c r="AK415" s="2">
        <f>IFERROR(Q415/B415,"")</f>
        <v/>
      </c>
      <c r="AL415" s="2">
        <f>IFERROR(R415/C415,"")</f>
        <v/>
      </c>
      <c r="AM415" s="2">
        <f>IFERROR(S415/D415,"")</f>
        <v/>
      </c>
      <c r="AN415" s="2">
        <f>IFERROR(T415/E415,"")</f>
        <v/>
      </c>
      <c r="AO415" s="2">
        <f>IFERROR(U415/F415,"")</f>
        <v/>
      </c>
    </row>
    <row r="416">
      <c r="B416">
        <f>IF($A416="","",IFERROR(INDEX('[AQ_2020.xlsx]原始数据'!$B:$B,MATCH($A416,'[AQ_2020.xlsx]原始数据'!$A:$A,0)),""))</f>
        <v/>
      </c>
      <c r="C416">
        <f>IF($A416="","",IFERROR(INDEX('[AQ_2021.xlsx]原始数据'!$B:$B,MATCH($A416,'[AQ_2021.xlsx]原始数据'!$A:$A,0)),""))</f>
        <v/>
      </c>
      <c r="D416">
        <f>IF($A416="","",IFERROR(INDEX('[AQ_2022.xlsx]原始数据'!$B:$B,MATCH($A416,'[AQ_2022.xlsx]原始数据'!$A:$A,0)),""))</f>
        <v/>
      </c>
      <c r="E416">
        <f>IF($A416="","",IFERROR(INDEX('[AQ_2023.xlsx]原始数据'!$B:$B,MATCH($A416,'[AQ_2023.xlsx]原始数据'!$A:$A,0)),""))</f>
        <v/>
      </c>
      <c r="F416">
        <f>IF($A416="","",IFERROR(INDEX('[AQ_2024.xlsx]原始数据'!$B:$B,MATCH($A416,'[AQ_2024.xlsx]原始数据'!$A:$A,0)),""))</f>
        <v/>
      </c>
      <c r="G416">
        <f>IF($A416="","",IFERROR(INDEX('[AQ_2020.xlsx]原始数据'!$C:$C,MATCH($A416,'[AQ_2020.xlsx]原始数据'!$A:$A,0)),""))</f>
        <v/>
      </c>
      <c r="H416">
        <f>IF($A416="","",IFERROR(INDEX('[AQ_2021.xlsx]原始数据'!$C:$C,MATCH($A416,'[AQ_2021.xlsx]原始数据'!$A:$A,0)),""))</f>
        <v/>
      </c>
      <c r="I416">
        <f>IF($A416="","",IFERROR(INDEX('[AQ_2022.xlsx]原始数据'!$C:$C,MATCH($A416,'[AQ_2022.xlsx]原始数据'!$A:$A,0)),""))</f>
        <v/>
      </c>
      <c r="J416">
        <f>IF($A416="","",IFERROR(INDEX('[AQ_2023.xlsx]原始数据'!$C:$C,MATCH($A416,'[AQ_2023.xlsx]原始数据'!$A:$A,0)),""))</f>
        <v/>
      </c>
      <c r="K416">
        <f>IF($A416="","",IFERROR(INDEX('[AQ_2024.xlsx]原始数据'!$C:$C,MATCH($A416,'[AQ_2024.xlsx]原始数据'!$A:$A,0)),""))</f>
        <v/>
      </c>
      <c r="L416">
        <f>IF($A416="","",IFERROR(INDEX('[AQ_2020.xlsx]原始数据'!$D:$D,MATCH($A416,'[AQ_2020.xlsx]原始数据'!$A:$A,0)),""))</f>
        <v/>
      </c>
      <c r="M416">
        <f>IF($A416="","",IFERROR(INDEX('[AQ_2021.xlsx]原始数据'!$D:$D,MATCH($A416,'[AQ_2021.xlsx]原始数据'!$A:$A,0)),""))</f>
        <v/>
      </c>
      <c r="N416">
        <f>IF($A416="","",IFERROR(INDEX('[AQ_2022.xlsx]原始数据'!$D:$D,MATCH($A416,'[AQ_2022.xlsx]原始数据'!$A:$A,0)),""))</f>
        <v/>
      </c>
      <c r="O416">
        <f>IF($A416="","",IFERROR(INDEX('[AQ_2023.xlsx]原始数据'!$D:$D,MATCH($A416,'[AQ_2023.xlsx]原始数据'!$A:$A,0)),""))</f>
        <v/>
      </c>
      <c r="P416">
        <f>IF($A416="","",IFERROR(INDEX('[AQ_2024.xlsx]原始数据'!$D:$D,MATCH($A416,'[AQ_2024.xlsx]原始数据'!$A:$A,0)),""))</f>
        <v/>
      </c>
      <c r="Q416">
        <f>IF($A416="","",IFERROR(INDEX('[AQ_2020.xlsx]原始数据'!$E:$E,MATCH($A416,'[AQ_2020.xlsx]原始数据'!$A:$A,0)),""))</f>
        <v/>
      </c>
      <c r="R416">
        <f>IF($A416="","",IFERROR(INDEX('[AQ_2021.xlsx]原始数据'!$E:$E,MATCH($A416,'[AQ_2021.xlsx]原始数据'!$A:$A,0)),""))</f>
        <v/>
      </c>
      <c r="S416">
        <f>IF($A416="","",IFERROR(INDEX('[AQ_2022.xlsx]原始数据'!$E:$E,MATCH($A416,'[AQ_2022.xlsx]原始数据'!$A:$A,0)),""))</f>
        <v/>
      </c>
      <c r="T416">
        <f>IF($A416="","",IFERROR(INDEX('[AQ_2023.xlsx]原始数据'!$E:$E,MATCH($A416,'[AQ_2023.xlsx]原始数据'!$A:$A,0)),""))</f>
        <v/>
      </c>
      <c r="U416">
        <f>IF($A416="","",IFERROR(INDEX('[AQ_2024.xlsx]原始数据'!$E:$E,MATCH($A416,'[AQ_2024.xlsx]原始数据'!$A:$A,0)),""))</f>
        <v/>
      </c>
      <c r="V416">
        <f>IF($A416="","",IFERROR(INDEX('[AQ_2020.xlsx]原始数据'!$F:$F,MATCH($A416,'[AQ_2020.xlsx]原始数据'!$A:$A,0)),""))</f>
        <v/>
      </c>
      <c r="W416">
        <f>IF($A416="","",IFERROR(INDEX('[AQ_2021.xlsx]原始数据'!$F:$F,MATCH($A416,'[AQ_2021.xlsx]原始数据'!$A:$A,0)),""))</f>
        <v/>
      </c>
      <c r="X416">
        <f>IF($A416="","",IFERROR(INDEX('[AQ_2022.xlsx]原始数据'!$F:$F,MATCH($A416,'[AQ_2022.xlsx]原始数据'!$A:$A,0)),""))</f>
        <v/>
      </c>
      <c r="Y416">
        <f>IF($A416="","",IFERROR(INDEX('[AQ_2023.xlsx]原始数据'!$F:$F,MATCH($A416,'[AQ_2023.xlsx]原始数据'!$A:$A,0)),""))</f>
        <v/>
      </c>
      <c r="Z416">
        <f>IF($A416="","",IFERROR(INDEX('[AQ_2024.xlsx]原始数据'!$F:$F,MATCH($A416,'[AQ_2024.xlsx]原始数据'!$A:$A,0)),""))</f>
        <v/>
      </c>
      <c r="AA416" s="2">
        <f>IFERROR(G416/B416,"")</f>
        <v/>
      </c>
      <c r="AB416" s="2">
        <f>IFERROR(H416/C416,"")</f>
        <v/>
      </c>
      <c r="AC416" s="2">
        <f>IFERROR(I416/D416,"")</f>
        <v/>
      </c>
      <c r="AD416" s="2">
        <f>IFERROR(J416/E416,"")</f>
        <v/>
      </c>
      <c r="AE416" s="2">
        <f>IFERROR(K416/F416,"")</f>
        <v/>
      </c>
      <c r="AF416" s="2">
        <f>IFERROR(L416/B416,"")</f>
        <v/>
      </c>
      <c r="AG416" s="2">
        <f>IFERROR(M416/C416,"")</f>
        <v/>
      </c>
      <c r="AH416" s="2">
        <f>IFERROR(N416/D416,"")</f>
        <v/>
      </c>
      <c r="AI416" s="2">
        <f>IFERROR(O416/E416,"")</f>
        <v/>
      </c>
      <c r="AJ416" s="2">
        <f>IFERROR(P416/F416,"")</f>
        <v/>
      </c>
      <c r="AK416" s="2">
        <f>IFERROR(Q416/B416,"")</f>
        <v/>
      </c>
      <c r="AL416" s="2">
        <f>IFERROR(R416/C416,"")</f>
        <v/>
      </c>
      <c r="AM416" s="2">
        <f>IFERROR(S416/D416,"")</f>
        <v/>
      </c>
      <c r="AN416" s="2">
        <f>IFERROR(T416/E416,"")</f>
        <v/>
      </c>
      <c r="AO416" s="2">
        <f>IFERROR(U416/F416,"")</f>
        <v/>
      </c>
    </row>
    <row r="417">
      <c r="B417">
        <f>IF($A417="","",IFERROR(INDEX('[AQ_2020.xlsx]原始数据'!$B:$B,MATCH($A417,'[AQ_2020.xlsx]原始数据'!$A:$A,0)),""))</f>
        <v/>
      </c>
      <c r="C417">
        <f>IF($A417="","",IFERROR(INDEX('[AQ_2021.xlsx]原始数据'!$B:$B,MATCH($A417,'[AQ_2021.xlsx]原始数据'!$A:$A,0)),""))</f>
        <v/>
      </c>
      <c r="D417">
        <f>IF($A417="","",IFERROR(INDEX('[AQ_2022.xlsx]原始数据'!$B:$B,MATCH($A417,'[AQ_2022.xlsx]原始数据'!$A:$A,0)),""))</f>
        <v/>
      </c>
      <c r="E417">
        <f>IF($A417="","",IFERROR(INDEX('[AQ_2023.xlsx]原始数据'!$B:$B,MATCH($A417,'[AQ_2023.xlsx]原始数据'!$A:$A,0)),""))</f>
        <v/>
      </c>
      <c r="F417">
        <f>IF($A417="","",IFERROR(INDEX('[AQ_2024.xlsx]原始数据'!$B:$B,MATCH($A417,'[AQ_2024.xlsx]原始数据'!$A:$A,0)),""))</f>
        <v/>
      </c>
      <c r="G417">
        <f>IF($A417="","",IFERROR(INDEX('[AQ_2020.xlsx]原始数据'!$C:$C,MATCH($A417,'[AQ_2020.xlsx]原始数据'!$A:$A,0)),""))</f>
        <v/>
      </c>
      <c r="H417">
        <f>IF($A417="","",IFERROR(INDEX('[AQ_2021.xlsx]原始数据'!$C:$C,MATCH($A417,'[AQ_2021.xlsx]原始数据'!$A:$A,0)),""))</f>
        <v/>
      </c>
      <c r="I417">
        <f>IF($A417="","",IFERROR(INDEX('[AQ_2022.xlsx]原始数据'!$C:$C,MATCH($A417,'[AQ_2022.xlsx]原始数据'!$A:$A,0)),""))</f>
        <v/>
      </c>
      <c r="J417">
        <f>IF($A417="","",IFERROR(INDEX('[AQ_2023.xlsx]原始数据'!$C:$C,MATCH($A417,'[AQ_2023.xlsx]原始数据'!$A:$A,0)),""))</f>
        <v/>
      </c>
      <c r="K417">
        <f>IF($A417="","",IFERROR(INDEX('[AQ_2024.xlsx]原始数据'!$C:$C,MATCH($A417,'[AQ_2024.xlsx]原始数据'!$A:$A,0)),""))</f>
        <v/>
      </c>
      <c r="L417">
        <f>IF($A417="","",IFERROR(INDEX('[AQ_2020.xlsx]原始数据'!$D:$D,MATCH($A417,'[AQ_2020.xlsx]原始数据'!$A:$A,0)),""))</f>
        <v/>
      </c>
      <c r="M417">
        <f>IF($A417="","",IFERROR(INDEX('[AQ_2021.xlsx]原始数据'!$D:$D,MATCH($A417,'[AQ_2021.xlsx]原始数据'!$A:$A,0)),""))</f>
        <v/>
      </c>
      <c r="N417">
        <f>IF($A417="","",IFERROR(INDEX('[AQ_2022.xlsx]原始数据'!$D:$D,MATCH($A417,'[AQ_2022.xlsx]原始数据'!$A:$A,0)),""))</f>
        <v/>
      </c>
      <c r="O417">
        <f>IF($A417="","",IFERROR(INDEX('[AQ_2023.xlsx]原始数据'!$D:$D,MATCH($A417,'[AQ_2023.xlsx]原始数据'!$A:$A,0)),""))</f>
        <v/>
      </c>
      <c r="P417">
        <f>IF($A417="","",IFERROR(INDEX('[AQ_2024.xlsx]原始数据'!$D:$D,MATCH($A417,'[AQ_2024.xlsx]原始数据'!$A:$A,0)),""))</f>
        <v/>
      </c>
      <c r="Q417">
        <f>IF($A417="","",IFERROR(INDEX('[AQ_2020.xlsx]原始数据'!$E:$E,MATCH($A417,'[AQ_2020.xlsx]原始数据'!$A:$A,0)),""))</f>
        <v/>
      </c>
      <c r="R417">
        <f>IF($A417="","",IFERROR(INDEX('[AQ_2021.xlsx]原始数据'!$E:$E,MATCH($A417,'[AQ_2021.xlsx]原始数据'!$A:$A,0)),""))</f>
        <v/>
      </c>
      <c r="S417">
        <f>IF($A417="","",IFERROR(INDEX('[AQ_2022.xlsx]原始数据'!$E:$E,MATCH($A417,'[AQ_2022.xlsx]原始数据'!$A:$A,0)),""))</f>
        <v/>
      </c>
      <c r="T417">
        <f>IF($A417="","",IFERROR(INDEX('[AQ_2023.xlsx]原始数据'!$E:$E,MATCH($A417,'[AQ_2023.xlsx]原始数据'!$A:$A,0)),""))</f>
        <v/>
      </c>
      <c r="U417">
        <f>IF($A417="","",IFERROR(INDEX('[AQ_2024.xlsx]原始数据'!$E:$E,MATCH($A417,'[AQ_2024.xlsx]原始数据'!$A:$A,0)),""))</f>
        <v/>
      </c>
      <c r="V417">
        <f>IF($A417="","",IFERROR(INDEX('[AQ_2020.xlsx]原始数据'!$F:$F,MATCH($A417,'[AQ_2020.xlsx]原始数据'!$A:$A,0)),""))</f>
        <v/>
      </c>
      <c r="W417">
        <f>IF($A417="","",IFERROR(INDEX('[AQ_2021.xlsx]原始数据'!$F:$F,MATCH($A417,'[AQ_2021.xlsx]原始数据'!$A:$A,0)),""))</f>
        <v/>
      </c>
      <c r="X417">
        <f>IF($A417="","",IFERROR(INDEX('[AQ_2022.xlsx]原始数据'!$F:$F,MATCH($A417,'[AQ_2022.xlsx]原始数据'!$A:$A,0)),""))</f>
        <v/>
      </c>
      <c r="Y417">
        <f>IF($A417="","",IFERROR(INDEX('[AQ_2023.xlsx]原始数据'!$F:$F,MATCH($A417,'[AQ_2023.xlsx]原始数据'!$A:$A,0)),""))</f>
        <v/>
      </c>
      <c r="Z417">
        <f>IF($A417="","",IFERROR(INDEX('[AQ_2024.xlsx]原始数据'!$F:$F,MATCH($A417,'[AQ_2024.xlsx]原始数据'!$A:$A,0)),""))</f>
        <v/>
      </c>
      <c r="AA417" s="2">
        <f>IFERROR(G417/B417,"")</f>
        <v/>
      </c>
      <c r="AB417" s="2">
        <f>IFERROR(H417/C417,"")</f>
        <v/>
      </c>
      <c r="AC417" s="2">
        <f>IFERROR(I417/D417,"")</f>
        <v/>
      </c>
      <c r="AD417" s="2">
        <f>IFERROR(J417/E417,"")</f>
        <v/>
      </c>
      <c r="AE417" s="2">
        <f>IFERROR(K417/F417,"")</f>
        <v/>
      </c>
      <c r="AF417" s="2">
        <f>IFERROR(L417/B417,"")</f>
        <v/>
      </c>
      <c r="AG417" s="2">
        <f>IFERROR(M417/C417,"")</f>
        <v/>
      </c>
      <c r="AH417" s="2">
        <f>IFERROR(N417/D417,"")</f>
        <v/>
      </c>
      <c r="AI417" s="2">
        <f>IFERROR(O417/E417,"")</f>
        <v/>
      </c>
      <c r="AJ417" s="2">
        <f>IFERROR(P417/F417,"")</f>
        <v/>
      </c>
      <c r="AK417" s="2">
        <f>IFERROR(Q417/B417,"")</f>
        <v/>
      </c>
      <c r="AL417" s="2">
        <f>IFERROR(R417/C417,"")</f>
        <v/>
      </c>
      <c r="AM417" s="2">
        <f>IFERROR(S417/D417,"")</f>
        <v/>
      </c>
      <c r="AN417" s="2">
        <f>IFERROR(T417/E417,"")</f>
        <v/>
      </c>
      <c r="AO417" s="2">
        <f>IFERROR(U417/F417,"")</f>
        <v/>
      </c>
    </row>
    <row r="418">
      <c r="B418">
        <f>IF($A418="","",IFERROR(INDEX('[AQ_2020.xlsx]原始数据'!$B:$B,MATCH($A418,'[AQ_2020.xlsx]原始数据'!$A:$A,0)),""))</f>
        <v/>
      </c>
      <c r="C418">
        <f>IF($A418="","",IFERROR(INDEX('[AQ_2021.xlsx]原始数据'!$B:$B,MATCH($A418,'[AQ_2021.xlsx]原始数据'!$A:$A,0)),""))</f>
        <v/>
      </c>
      <c r="D418">
        <f>IF($A418="","",IFERROR(INDEX('[AQ_2022.xlsx]原始数据'!$B:$B,MATCH($A418,'[AQ_2022.xlsx]原始数据'!$A:$A,0)),""))</f>
        <v/>
      </c>
      <c r="E418">
        <f>IF($A418="","",IFERROR(INDEX('[AQ_2023.xlsx]原始数据'!$B:$B,MATCH($A418,'[AQ_2023.xlsx]原始数据'!$A:$A,0)),""))</f>
        <v/>
      </c>
      <c r="F418">
        <f>IF($A418="","",IFERROR(INDEX('[AQ_2024.xlsx]原始数据'!$B:$B,MATCH($A418,'[AQ_2024.xlsx]原始数据'!$A:$A,0)),""))</f>
        <v/>
      </c>
      <c r="G418">
        <f>IF($A418="","",IFERROR(INDEX('[AQ_2020.xlsx]原始数据'!$C:$C,MATCH($A418,'[AQ_2020.xlsx]原始数据'!$A:$A,0)),""))</f>
        <v/>
      </c>
      <c r="H418">
        <f>IF($A418="","",IFERROR(INDEX('[AQ_2021.xlsx]原始数据'!$C:$C,MATCH($A418,'[AQ_2021.xlsx]原始数据'!$A:$A,0)),""))</f>
        <v/>
      </c>
      <c r="I418">
        <f>IF($A418="","",IFERROR(INDEX('[AQ_2022.xlsx]原始数据'!$C:$C,MATCH($A418,'[AQ_2022.xlsx]原始数据'!$A:$A,0)),""))</f>
        <v/>
      </c>
      <c r="J418">
        <f>IF($A418="","",IFERROR(INDEX('[AQ_2023.xlsx]原始数据'!$C:$C,MATCH($A418,'[AQ_2023.xlsx]原始数据'!$A:$A,0)),""))</f>
        <v/>
      </c>
      <c r="K418">
        <f>IF($A418="","",IFERROR(INDEX('[AQ_2024.xlsx]原始数据'!$C:$C,MATCH($A418,'[AQ_2024.xlsx]原始数据'!$A:$A,0)),""))</f>
        <v/>
      </c>
      <c r="L418">
        <f>IF($A418="","",IFERROR(INDEX('[AQ_2020.xlsx]原始数据'!$D:$D,MATCH($A418,'[AQ_2020.xlsx]原始数据'!$A:$A,0)),""))</f>
        <v/>
      </c>
      <c r="M418">
        <f>IF($A418="","",IFERROR(INDEX('[AQ_2021.xlsx]原始数据'!$D:$D,MATCH($A418,'[AQ_2021.xlsx]原始数据'!$A:$A,0)),""))</f>
        <v/>
      </c>
      <c r="N418">
        <f>IF($A418="","",IFERROR(INDEX('[AQ_2022.xlsx]原始数据'!$D:$D,MATCH($A418,'[AQ_2022.xlsx]原始数据'!$A:$A,0)),""))</f>
        <v/>
      </c>
      <c r="O418">
        <f>IF($A418="","",IFERROR(INDEX('[AQ_2023.xlsx]原始数据'!$D:$D,MATCH($A418,'[AQ_2023.xlsx]原始数据'!$A:$A,0)),""))</f>
        <v/>
      </c>
      <c r="P418">
        <f>IF($A418="","",IFERROR(INDEX('[AQ_2024.xlsx]原始数据'!$D:$D,MATCH($A418,'[AQ_2024.xlsx]原始数据'!$A:$A,0)),""))</f>
        <v/>
      </c>
      <c r="Q418">
        <f>IF($A418="","",IFERROR(INDEX('[AQ_2020.xlsx]原始数据'!$E:$E,MATCH($A418,'[AQ_2020.xlsx]原始数据'!$A:$A,0)),""))</f>
        <v/>
      </c>
      <c r="R418">
        <f>IF($A418="","",IFERROR(INDEX('[AQ_2021.xlsx]原始数据'!$E:$E,MATCH($A418,'[AQ_2021.xlsx]原始数据'!$A:$A,0)),""))</f>
        <v/>
      </c>
      <c r="S418">
        <f>IF($A418="","",IFERROR(INDEX('[AQ_2022.xlsx]原始数据'!$E:$E,MATCH($A418,'[AQ_2022.xlsx]原始数据'!$A:$A,0)),""))</f>
        <v/>
      </c>
      <c r="T418">
        <f>IF($A418="","",IFERROR(INDEX('[AQ_2023.xlsx]原始数据'!$E:$E,MATCH($A418,'[AQ_2023.xlsx]原始数据'!$A:$A,0)),""))</f>
        <v/>
      </c>
      <c r="U418">
        <f>IF($A418="","",IFERROR(INDEX('[AQ_2024.xlsx]原始数据'!$E:$E,MATCH($A418,'[AQ_2024.xlsx]原始数据'!$A:$A,0)),""))</f>
        <v/>
      </c>
      <c r="V418">
        <f>IF($A418="","",IFERROR(INDEX('[AQ_2020.xlsx]原始数据'!$F:$F,MATCH($A418,'[AQ_2020.xlsx]原始数据'!$A:$A,0)),""))</f>
        <v/>
      </c>
      <c r="W418">
        <f>IF($A418="","",IFERROR(INDEX('[AQ_2021.xlsx]原始数据'!$F:$F,MATCH($A418,'[AQ_2021.xlsx]原始数据'!$A:$A,0)),""))</f>
        <v/>
      </c>
      <c r="X418">
        <f>IF($A418="","",IFERROR(INDEX('[AQ_2022.xlsx]原始数据'!$F:$F,MATCH($A418,'[AQ_2022.xlsx]原始数据'!$A:$A,0)),""))</f>
        <v/>
      </c>
      <c r="Y418">
        <f>IF($A418="","",IFERROR(INDEX('[AQ_2023.xlsx]原始数据'!$F:$F,MATCH($A418,'[AQ_2023.xlsx]原始数据'!$A:$A,0)),""))</f>
        <v/>
      </c>
      <c r="Z418">
        <f>IF($A418="","",IFERROR(INDEX('[AQ_2024.xlsx]原始数据'!$F:$F,MATCH($A418,'[AQ_2024.xlsx]原始数据'!$A:$A,0)),""))</f>
        <v/>
      </c>
      <c r="AA418" s="2">
        <f>IFERROR(G418/B418,"")</f>
        <v/>
      </c>
      <c r="AB418" s="2">
        <f>IFERROR(H418/C418,"")</f>
        <v/>
      </c>
      <c r="AC418" s="2">
        <f>IFERROR(I418/D418,"")</f>
        <v/>
      </c>
      <c r="AD418" s="2">
        <f>IFERROR(J418/E418,"")</f>
        <v/>
      </c>
      <c r="AE418" s="2">
        <f>IFERROR(K418/F418,"")</f>
        <v/>
      </c>
      <c r="AF418" s="2">
        <f>IFERROR(L418/B418,"")</f>
        <v/>
      </c>
      <c r="AG418" s="2">
        <f>IFERROR(M418/C418,"")</f>
        <v/>
      </c>
      <c r="AH418" s="2">
        <f>IFERROR(N418/D418,"")</f>
        <v/>
      </c>
      <c r="AI418" s="2">
        <f>IFERROR(O418/E418,"")</f>
        <v/>
      </c>
      <c r="AJ418" s="2">
        <f>IFERROR(P418/F418,"")</f>
        <v/>
      </c>
      <c r="AK418" s="2">
        <f>IFERROR(Q418/B418,"")</f>
        <v/>
      </c>
      <c r="AL418" s="2">
        <f>IFERROR(R418/C418,"")</f>
        <v/>
      </c>
      <c r="AM418" s="2">
        <f>IFERROR(S418/D418,"")</f>
        <v/>
      </c>
      <c r="AN418" s="2">
        <f>IFERROR(T418/E418,"")</f>
        <v/>
      </c>
      <c r="AO418" s="2">
        <f>IFERROR(U418/F418,"")</f>
        <v/>
      </c>
    </row>
    <row r="419">
      <c r="B419">
        <f>IF($A419="","",IFERROR(INDEX('[AQ_2020.xlsx]原始数据'!$B:$B,MATCH($A419,'[AQ_2020.xlsx]原始数据'!$A:$A,0)),""))</f>
        <v/>
      </c>
      <c r="C419">
        <f>IF($A419="","",IFERROR(INDEX('[AQ_2021.xlsx]原始数据'!$B:$B,MATCH($A419,'[AQ_2021.xlsx]原始数据'!$A:$A,0)),""))</f>
        <v/>
      </c>
      <c r="D419">
        <f>IF($A419="","",IFERROR(INDEX('[AQ_2022.xlsx]原始数据'!$B:$B,MATCH($A419,'[AQ_2022.xlsx]原始数据'!$A:$A,0)),""))</f>
        <v/>
      </c>
      <c r="E419">
        <f>IF($A419="","",IFERROR(INDEX('[AQ_2023.xlsx]原始数据'!$B:$B,MATCH($A419,'[AQ_2023.xlsx]原始数据'!$A:$A,0)),""))</f>
        <v/>
      </c>
      <c r="F419">
        <f>IF($A419="","",IFERROR(INDEX('[AQ_2024.xlsx]原始数据'!$B:$B,MATCH($A419,'[AQ_2024.xlsx]原始数据'!$A:$A,0)),""))</f>
        <v/>
      </c>
      <c r="G419">
        <f>IF($A419="","",IFERROR(INDEX('[AQ_2020.xlsx]原始数据'!$C:$C,MATCH($A419,'[AQ_2020.xlsx]原始数据'!$A:$A,0)),""))</f>
        <v/>
      </c>
      <c r="H419">
        <f>IF($A419="","",IFERROR(INDEX('[AQ_2021.xlsx]原始数据'!$C:$C,MATCH($A419,'[AQ_2021.xlsx]原始数据'!$A:$A,0)),""))</f>
        <v/>
      </c>
      <c r="I419">
        <f>IF($A419="","",IFERROR(INDEX('[AQ_2022.xlsx]原始数据'!$C:$C,MATCH($A419,'[AQ_2022.xlsx]原始数据'!$A:$A,0)),""))</f>
        <v/>
      </c>
      <c r="J419">
        <f>IF($A419="","",IFERROR(INDEX('[AQ_2023.xlsx]原始数据'!$C:$C,MATCH($A419,'[AQ_2023.xlsx]原始数据'!$A:$A,0)),""))</f>
        <v/>
      </c>
      <c r="K419">
        <f>IF($A419="","",IFERROR(INDEX('[AQ_2024.xlsx]原始数据'!$C:$C,MATCH($A419,'[AQ_2024.xlsx]原始数据'!$A:$A,0)),""))</f>
        <v/>
      </c>
      <c r="L419">
        <f>IF($A419="","",IFERROR(INDEX('[AQ_2020.xlsx]原始数据'!$D:$D,MATCH($A419,'[AQ_2020.xlsx]原始数据'!$A:$A,0)),""))</f>
        <v/>
      </c>
      <c r="M419">
        <f>IF($A419="","",IFERROR(INDEX('[AQ_2021.xlsx]原始数据'!$D:$D,MATCH($A419,'[AQ_2021.xlsx]原始数据'!$A:$A,0)),""))</f>
        <v/>
      </c>
      <c r="N419">
        <f>IF($A419="","",IFERROR(INDEX('[AQ_2022.xlsx]原始数据'!$D:$D,MATCH($A419,'[AQ_2022.xlsx]原始数据'!$A:$A,0)),""))</f>
        <v/>
      </c>
      <c r="O419">
        <f>IF($A419="","",IFERROR(INDEX('[AQ_2023.xlsx]原始数据'!$D:$D,MATCH($A419,'[AQ_2023.xlsx]原始数据'!$A:$A,0)),""))</f>
        <v/>
      </c>
      <c r="P419">
        <f>IF($A419="","",IFERROR(INDEX('[AQ_2024.xlsx]原始数据'!$D:$D,MATCH($A419,'[AQ_2024.xlsx]原始数据'!$A:$A,0)),""))</f>
        <v/>
      </c>
      <c r="Q419">
        <f>IF($A419="","",IFERROR(INDEX('[AQ_2020.xlsx]原始数据'!$E:$E,MATCH($A419,'[AQ_2020.xlsx]原始数据'!$A:$A,0)),""))</f>
        <v/>
      </c>
      <c r="R419">
        <f>IF($A419="","",IFERROR(INDEX('[AQ_2021.xlsx]原始数据'!$E:$E,MATCH($A419,'[AQ_2021.xlsx]原始数据'!$A:$A,0)),""))</f>
        <v/>
      </c>
      <c r="S419">
        <f>IF($A419="","",IFERROR(INDEX('[AQ_2022.xlsx]原始数据'!$E:$E,MATCH($A419,'[AQ_2022.xlsx]原始数据'!$A:$A,0)),""))</f>
        <v/>
      </c>
      <c r="T419">
        <f>IF($A419="","",IFERROR(INDEX('[AQ_2023.xlsx]原始数据'!$E:$E,MATCH($A419,'[AQ_2023.xlsx]原始数据'!$A:$A,0)),""))</f>
        <v/>
      </c>
      <c r="U419">
        <f>IF($A419="","",IFERROR(INDEX('[AQ_2024.xlsx]原始数据'!$E:$E,MATCH($A419,'[AQ_2024.xlsx]原始数据'!$A:$A,0)),""))</f>
        <v/>
      </c>
      <c r="V419">
        <f>IF($A419="","",IFERROR(INDEX('[AQ_2020.xlsx]原始数据'!$F:$F,MATCH($A419,'[AQ_2020.xlsx]原始数据'!$A:$A,0)),""))</f>
        <v/>
      </c>
      <c r="W419">
        <f>IF($A419="","",IFERROR(INDEX('[AQ_2021.xlsx]原始数据'!$F:$F,MATCH($A419,'[AQ_2021.xlsx]原始数据'!$A:$A,0)),""))</f>
        <v/>
      </c>
      <c r="X419">
        <f>IF($A419="","",IFERROR(INDEX('[AQ_2022.xlsx]原始数据'!$F:$F,MATCH($A419,'[AQ_2022.xlsx]原始数据'!$A:$A,0)),""))</f>
        <v/>
      </c>
      <c r="Y419">
        <f>IF($A419="","",IFERROR(INDEX('[AQ_2023.xlsx]原始数据'!$F:$F,MATCH($A419,'[AQ_2023.xlsx]原始数据'!$A:$A,0)),""))</f>
        <v/>
      </c>
      <c r="Z419">
        <f>IF($A419="","",IFERROR(INDEX('[AQ_2024.xlsx]原始数据'!$F:$F,MATCH($A419,'[AQ_2024.xlsx]原始数据'!$A:$A,0)),""))</f>
        <v/>
      </c>
      <c r="AA419" s="2">
        <f>IFERROR(G419/B419,"")</f>
        <v/>
      </c>
      <c r="AB419" s="2">
        <f>IFERROR(H419/C419,"")</f>
        <v/>
      </c>
      <c r="AC419" s="2">
        <f>IFERROR(I419/D419,"")</f>
        <v/>
      </c>
      <c r="AD419" s="2">
        <f>IFERROR(J419/E419,"")</f>
        <v/>
      </c>
      <c r="AE419" s="2">
        <f>IFERROR(K419/F419,"")</f>
        <v/>
      </c>
      <c r="AF419" s="2">
        <f>IFERROR(L419/B419,"")</f>
        <v/>
      </c>
      <c r="AG419" s="2">
        <f>IFERROR(M419/C419,"")</f>
        <v/>
      </c>
      <c r="AH419" s="2">
        <f>IFERROR(N419/D419,"")</f>
        <v/>
      </c>
      <c r="AI419" s="2">
        <f>IFERROR(O419/E419,"")</f>
        <v/>
      </c>
      <c r="AJ419" s="2">
        <f>IFERROR(P419/F419,"")</f>
        <v/>
      </c>
      <c r="AK419" s="2">
        <f>IFERROR(Q419/B419,"")</f>
        <v/>
      </c>
      <c r="AL419" s="2">
        <f>IFERROR(R419/C419,"")</f>
        <v/>
      </c>
      <c r="AM419" s="2">
        <f>IFERROR(S419/D419,"")</f>
        <v/>
      </c>
      <c r="AN419" s="2">
        <f>IFERROR(T419/E419,"")</f>
        <v/>
      </c>
      <c r="AO419" s="2">
        <f>IFERROR(U419/F419,"")</f>
        <v/>
      </c>
    </row>
    <row r="420">
      <c r="B420">
        <f>IF($A420="","",IFERROR(INDEX('[AQ_2020.xlsx]原始数据'!$B:$B,MATCH($A420,'[AQ_2020.xlsx]原始数据'!$A:$A,0)),""))</f>
        <v/>
      </c>
      <c r="C420">
        <f>IF($A420="","",IFERROR(INDEX('[AQ_2021.xlsx]原始数据'!$B:$B,MATCH($A420,'[AQ_2021.xlsx]原始数据'!$A:$A,0)),""))</f>
        <v/>
      </c>
      <c r="D420">
        <f>IF($A420="","",IFERROR(INDEX('[AQ_2022.xlsx]原始数据'!$B:$B,MATCH($A420,'[AQ_2022.xlsx]原始数据'!$A:$A,0)),""))</f>
        <v/>
      </c>
      <c r="E420">
        <f>IF($A420="","",IFERROR(INDEX('[AQ_2023.xlsx]原始数据'!$B:$B,MATCH($A420,'[AQ_2023.xlsx]原始数据'!$A:$A,0)),""))</f>
        <v/>
      </c>
      <c r="F420">
        <f>IF($A420="","",IFERROR(INDEX('[AQ_2024.xlsx]原始数据'!$B:$B,MATCH($A420,'[AQ_2024.xlsx]原始数据'!$A:$A,0)),""))</f>
        <v/>
      </c>
      <c r="G420">
        <f>IF($A420="","",IFERROR(INDEX('[AQ_2020.xlsx]原始数据'!$C:$C,MATCH($A420,'[AQ_2020.xlsx]原始数据'!$A:$A,0)),""))</f>
        <v/>
      </c>
      <c r="H420">
        <f>IF($A420="","",IFERROR(INDEX('[AQ_2021.xlsx]原始数据'!$C:$C,MATCH($A420,'[AQ_2021.xlsx]原始数据'!$A:$A,0)),""))</f>
        <v/>
      </c>
      <c r="I420">
        <f>IF($A420="","",IFERROR(INDEX('[AQ_2022.xlsx]原始数据'!$C:$C,MATCH($A420,'[AQ_2022.xlsx]原始数据'!$A:$A,0)),""))</f>
        <v/>
      </c>
      <c r="J420">
        <f>IF($A420="","",IFERROR(INDEX('[AQ_2023.xlsx]原始数据'!$C:$C,MATCH($A420,'[AQ_2023.xlsx]原始数据'!$A:$A,0)),""))</f>
        <v/>
      </c>
      <c r="K420">
        <f>IF($A420="","",IFERROR(INDEX('[AQ_2024.xlsx]原始数据'!$C:$C,MATCH($A420,'[AQ_2024.xlsx]原始数据'!$A:$A,0)),""))</f>
        <v/>
      </c>
      <c r="L420">
        <f>IF($A420="","",IFERROR(INDEX('[AQ_2020.xlsx]原始数据'!$D:$D,MATCH($A420,'[AQ_2020.xlsx]原始数据'!$A:$A,0)),""))</f>
        <v/>
      </c>
      <c r="M420">
        <f>IF($A420="","",IFERROR(INDEX('[AQ_2021.xlsx]原始数据'!$D:$D,MATCH($A420,'[AQ_2021.xlsx]原始数据'!$A:$A,0)),""))</f>
        <v/>
      </c>
      <c r="N420">
        <f>IF($A420="","",IFERROR(INDEX('[AQ_2022.xlsx]原始数据'!$D:$D,MATCH($A420,'[AQ_2022.xlsx]原始数据'!$A:$A,0)),""))</f>
        <v/>
      </c>
      <c r="O420">
        <f>IF($A420="","",IFERROR(INDEX('[AQ_2023.xlsx]原始数据'!$D:$D,MATCH($A420,'[AQ_2023.xlsx]原始数据'!$A:$A,0)),""))</f>
        <v/>
      </c>
      <c r="P420">
        <f>IF($A420="","",IFERROR(INDEX('[AQ_2024.xlsx]原始数据'!$D:$D,MATCH($A420,'[AQ_2024.xlsx]原始数据'!$A:$A,0)),""))</f>
        <v/>
      </c>
      <c r="Q420">
        <f>IF($A420="","",IFERROR(INDEX('[AQ_2020.xlsx]原始数据'!$E:$E,MATCH($A420,'[AQ_2020.xlsx]原始数据'!$A:$A,0)),""))</f>
        <v/>
      </c>
      <c r="R420">
        <f>IF($A420="","",IFERROR(INDEX('[AQ_2021.xlsx]原始数据'!$E:$E,MATCH($A420,'[AQ_2021.xlsx]原始数据'!$A:$A,0)),""))</f>
        <v/>
      </c>
      <c r="S420">
        <f>IF($A420="","",IFERROR(INDEX('[AQ_2022.xlsx]原始数据'!$E:$E,MATCH($A420,'[AQ_2022.xlsx]原始数据'!$A:$A,0)),""))</f>
        <v/>
      </c>
      <c r="T420">
        <f>IF($A420="","",IFERROR(INDEX('[AQ_2023.xlsx]原始数据'!$E:$E,MATCH($A420,'[AQ_2023.xlsx]原始数据'!$A:$A,0)),""))</f>
        <v/>
      </c>
      <c r="U420">
        <f>IF($A420="","",IFERROR(INDEX('[AQ_2024.xlsx]原始数据'!$E:$E,MATCH($A420,'[AQ_2024.xlsx]原始数据'!$A:$A,0)),""))</f>
        <v/>
      </c>
      <c r="V420">
        <f>IF($A420="","",IFERROR(INDEX('[AQ_2020.xlsx]原始数据'!$F:$F,MATCH($A420,'[AQ_2020.xlsx]原始数据'!$A:$A,0)),""))</f>
        <v/>
      </c>
      <c r="W420">
        <f>IF($A420="","",IFERROR(INDEX('[AQ_2021.xlsx]原始数据'!$F:$F,MATCH($A420,'[AQ_2021.xlsx]原始数据'!$A:$A,0)),""))</f>
        <v/>
      </c>
      <c r="X420">
        <f>IF($A420="","",IFERROR(INDEX('[AQ_2022.xlsx]原始数据'!$F:$F,MATCH($A420,'[AQ_2022.xlsx]原始数据'!$A:$A,0)),""))</f>
        <v/>
      </c>
      <c r="Y420">
        <f>IF($A420="","",IFERROR(INDEX('[AQ_2023.xlsx]原始数据'!$F:$F,MATCH($A420,'[AQ_2023.xlsx]原始数据'!$A:$A,0)),""))</f>
        <v/>
      </c>
      <c r="Z420">
        <f>IF($A420="","",IFERROR(INDEX('[AQ_2024.xlsx]原始数据'!$F:$F,MATCH($A420,'[AQ_2024.xlsx]原始数据'!$A:$A,0)),""))</f>
        <v/>
      </c>
      <c r="AA420" s="2">
        <f>IFERROR(G420/B420,"")</f>
        <v/>
      </c>
      <c r="AB420" s="2">
        <f>IFERROR(H420/C420,"")</f>
        <v/>
      </c>
      <c r="AC420" s="2">
        <f>IFERROR(I420/D420,"")</f>
        <v/>
      </c>
      <c r="AD420" s="2">
        <f>IFERROR(J420/E420,"")</f>
        <v/>
      </c>
      <c r="AE420" s="2">
        <f>IFERROR(K420/F420,"")</f>
        <v/>
      </c>
      <c r="AF420" s="2">
        <f>IFERROR(L420/B420,"")</f>
        <v/>
      </c>
      <c r="AG420" s="2">
        <f>IFERROR(M420/C420,"")</f>
        <v/>
      </c>
      <c r="AH420" s="2">
        <f>IFERROR(N420/D420,"")</f>
        <v/>
      </c>
      <c r="AI420" s="2">
        <f>IFERROR(O420/E420,"")</f>
        <v/>
      </c>
      <c r="AJ420" s="2">
        <f>IFERROR(P420/F420,"")</f>
        <v/>
      </c>
      <c r="AK420" s="2">
        <f>IFERROR(Q420/B420,"")</f>
        <v/>
      </c>
      <c r="AL420" s="2">
        <f>IFERROR(R420/C420,"")</f>
        <v/>
      </c>
      <c r="AM420" s="2">
        <f>IFERROR(S420/D420,"")</f>
        <v/>
      </c>
      <c r="AN420" s="2">
        <f>IFERROR(T420/E420,"")</f>
        <v/>
      </c>
      <c r="AO420" s="2">
        <f>IFERROR(U420/F420,"")</f>
        <v/>
      </c>
    </row>
    <row r="421">
      <c r="B421">
        <f>IF($A421="","",IFERROR(INDEX('[AQ_2020.xlsx]原始数据'!$B:$B,MATCH($A421,'[AQ_2020.xlsx]原始数据'!$A:$A,0)),""))</f>
        <v/>
      </c>
      <c r="C421">
        <f>IF($A421="","",IFERROR(INDEX('[AQ_2021.xlsx]原始数据'!$B:$B,MATCH($A421,'[AQ_2021.xlsx]原始数据'!$A:$A,0)),""))</f>
        <v/>
      </c>
      <c r="D421">
        <f>IF($A421="","",IFERROR(INDEX('[AQ_2022.xlsx]原始数据'!$B:$B,MATCH($A421,'[AQ_2022.xlsx]原始数据'!$A:$A,0)),""))</f>
        <v/>
      </c>
      <c r="E421">
        <f>IF($A421="","",IFERROR(INDEX('[AQ_2023.xlsx]原始数据'!$B:$B,MATCH($A421,'[AQ_2023.xlsx]原始数据'!$A:$A,0)),""))</f>
        <v/>
      </c>
      <c r="F421">
        <f>IF($A421="","",IFERROR(INDEX('[AQ_2024.xlsx]原始数据'!$B:$B,MATCH($A421,'[AQ_2024.xlsx]原始数据'!$A:$A,0)),""))</f>
        <v/>
      </c>
      <c r="G421">
        <f>IF($A421="","",IFERROR(INDEX('[AQ_2020.xlsx]原始数据'!$C:$C,MATCH($A421,'[AQ_2020.xlsx]原始数据'!$A:$A,0)),""))</f>
        <v/>
      </c>
      <c r="H421">
        <f>IF($A421="","",IFERROR(INDEX('[AQ_2021.xlsx]原始数据'!$C:$C,MATCH($A421,'[AQ_2021.xlsx]原始数据'!$A:$A,0)),""))</f>
        <v/>
      </c>
      <c r="I421">
        <f>IF($A421="","",IFERROR(INDEX('[AQ_2022.xlsx]原始数据'!$C:$C,MATCH($A421,'[AQ_2022.xlsx]原始数据'!$A:$A,0)),""))</f>
        <v/>
      </c>
      <c r="J421">
        <f>IF($A421="","",IFERROR(INDEX('[AQ_2023.xlsx]原始数据'!$C:$C,MATCH($A421,'[AQ_2023.xlsx]原始数据'!$A:$A,0)),""))</f>
        <v/>
      </c>
      <c r="K421">
        <f>IF($A421="","",IFERROR(INDEX('[AQ_2024.xlsx]原始数据'!$C:$C,MATCH($A421,'[AQ_2024.xlsx]原始数据'!$A:$A,0)),""))</f>
        <v/>
      </c>
      <c r="L421">
        <f>IF($A421="","",IFERROR(INDEX('[AQ_2020.xlsx]原始数据'!$D:$D,MATCH($A421,'[AQ_2020.xlsx]原始数据'!$A:$A,0)),""))</f>
        <v/>
      </c>
      <c r="M421">
        <f>IF($A421="","",IFERROR(INDEX('[AQ_2021.xlsx]原始数据'!$D:$D,MATCH($A421,'[AQ_2021.xlsx]原始数据'!$A:$A,0)),""))</f>
        <v/>
      </c>
      <c r="N421">
        <f>IF($A421="","",IFERROR(INDEX('[AQ_2022.xlsx]原始数据'!$D:$D,MATCH($A421,'[AQ_2022.xlsx]原始数据'!$A:$A,0)),""))</f>
        <v/>
      </c>
      <c r="O421">
        <f>IF($A421="","",IFERROR(INDEX('[AQ_2023.xlsx]原始数据'!$D:$D,MATCH($A421,'[AQ_2023.xlsx]原始数据'!$A:$A,0)),""))</f>
        <v/>
      </c>
      <c r="P421">
        <f>IF($A421="","",IFERROR(INDEX('[AQ_2024.xlsx]原始数据'!$D:$D,MATCH($A421,'[AQ_2024.xlsx]原始数据'!$A:$A,0)),""))</f>
        <v/>
      </c>
      <c r="Q421">
        <f>IF($A421="","",IFERROR(INDEX('[AQ_2020.xlsx]原始数据'!$E:$E,MATCH($A421,'[AQ_2020.xlsx]原始数据'!$A:$A,0)),""))</f>
        <v/>
      </c>
      <c r="R421">
        <f>IF($A421="","",IFERROR(INDEX('[AQ_2021.xlsx]原始数据'!$E:$E,MATCH($A421,'[AQ_2021.xlsx]原始数据'!$A:$A,0)),""))</f>
        <v/>
      </c>
      <c r="S421">
        <f>IF($A421="","",IFERROR(INDEX('[AQ_2022.xlsx]原始数据'!$E:$E,MATCH($A421,'[AQ_2022.xlsx]原始数据'!$A:$A,0)),""))</f>
        <v/>
      </c>
      <c r="T421">
        <f>IF($A421="","",IFERROR(INDEX('[AQ_2023.xlsx]原始数据'!$E:$E,MATCH($A421,'[AQ_2023.xlsx]原始数据'!$A:$A,0)),""))</f>
        <v/>
      </c>
      <c r="U421">
        <f>IF($A421="","",IFERROR(INDEX('[AQ_2024.xlsx]原始数据'!$E:$E,MATCH($A421,'[AQ_2024.xlsx]原始数据'!$A:$A,0)),""))</f>
        <v/>
      </c>
      <c r="V421">
        <f>IF($A421="","",IFERROR(INDEX('[AQ_2020.xlsx]原始数据'!$F:$F,MATCH($A421,'[AQ_2020.xlsx]原始数据'!$A:$A,0)),""))</f>
        <v/>
      </c>
      <c r="W421">
        <f>IF($A421="","",IFERROR(INDEX('[AQ_2021.xlsx]原始数据'!$F:$F,MATCH($A421,'[AQ_2021.xlsx]原始数据'!$A:$A,0)),""))</f>
        <v/>
      </c>
      <c r="X421">
        <f>IF($A421="","",IFERROR(INDEX('[AQ_2022.xlsx]原始数据'!$F:$F,MATCH($A421,'[AQ_2022.xlsx]原始数据'!$A:$A,0)),""))</f>
        <v/>
      </c>
      <c r="Y421">
        <f>IF($A421="","",IFERROR(INDEX('[AQ_2023.xlsx]原始数据'!$F:$F,MATCH($A421,'[AQ_2023.xlsx]原始数据'!$A:$A,0)),""))</f>
        <v/>
      </c>
      <c r="Z421">
        <f>IF($A421="","",IFERROR(INDEX('[AQ_2024.xlsx]原始数据'!$F:$F,MATCH($A421,'[AQ_2024.xlsx]原始数据'!$A:$A,0)),""))</f>
        <v/>
      </c>
      <c r="AA421" s="2">
        <f>IFERROR(G421/B421,"")</f>
        <v/>
      </c>
      <c r="AB421" s="2">
        <f>IFERROR(H421/C421,"")</f>
        <v/>
      </c>
      <c r="AC421" s="2">
        <f>IFERROR(I421/D421,"")</f>
        <v/>
      </c>
      <c r="AD421" s="2">
        <f>IFERROR(J421/E421,"")</f>
        <v/>
      </c>
      <c r="AE421" s="2">
        <f>IFERROR(K421/F421,"")</f>
        <v/>
      </c>
      <c r="AF421" s="2">
        <f>IFERROR(L421/B421,"")</f>
        <v/>
      </c>
      <c r="AG421" s="2">
        <f>IFERROR(M421/C421,"")</f>
        <v/>
      </c>
      <c r="AH421" s="2">
        <f>IFERROR(N421/D421,"")</f>
        <v/>
      </c>
      <c r="AI421" s="2">
        <f>IFERROR(O421/E421,"")</f>
        <v/>
      </c>
      <c r="AJ421" s="2">
        <f>IFERROR(P421/F421,"")</f>
        <v/>
      </c>
      <c r="AK421" s="2">
        <f>IFERROR(Q421/B421,"")</f>
        <v/>
      </c>
      <c r="AL421" s="2">
        <f>IFERROR(R421/C421,"")</f>
        <v/>
      </c>
      <c r="AM421" s="2">
        <f>IFERROR(S421/D421,"")</f>
        <v/>
      </c>
      <c r="AN421" s="2">
        <f>IFERROR(T421/E421,"")</f>
        <v/>
      </c>
      <c r="AO421" s="2">
        <f>IFERROR(U421/F421,"")</f>
        <v/>
      </c>
    </row>
    <row r="422">
      <c r="B422">
        <f>IF($A422="","",IFERROR(INDEX('[AQ_2020.xlsx]原始数据'!$B:$B,MATCH($A422,'[AQ_2020.xlsx]原始数据'!$A:$A,0)),""))</f>
        <v/>
      </c>
      <c r="C422">
        <f>IF($A422="","",IFERROR(INDEX('[AQ_2021.xlsx]原始数据'!$B:$B,MATCH($A422,'[AQ_2021.xlsx]原始数据'!$A:$A,0)),""))</f>
        <v/>
      </c>
      <c r="D422">
        <f>IF($A422="","",IFERROR(INDEX('[AQ_2022.xlsx]原始数据'!$B:$B,MATCH($A422,'[AQ_2022.xlsx]原始数据'!$A:$A,0)),""))</f>
        <v/>
      </c>
      <c r="E422">
        <f>IF($A422="","",IFERROR(INDEX('[AQ_2023.xlsx]原始数据'!$B:$B,MATCH($A422,'[AQ_2023.xlsx]原始数据'!$A:$A,0)),""))</f>
        <v/>
      </c>
      <c r="F422">
        <f>IF($A422="","",IFERROR(INDEX('[AQ_2024.xlsx]原始数据'!$B:$B,MATCH($A422,'[AQ_2024.xlsx]原始数据'!$A:$A,0)),""))</f>
        <v/>
      </c>
      <c r="G422">
        <f>IF($A422="","",IFERROR(INDEX('[AQ_2020.xlsx]原始数据'!$C:$C,MATCH($A422,'[AQ_2020.xlsx]原始数据'!$A:$A,0)),""))</f>
        <v/>
      </c>
      <c r="H422">
        <f>IF($A422="","",IFERROR(INDEX('[AQ_2021.xlsx]原始数据'!$C:$C,MATCH($A422,'[AQ_2021.xlsx]原始数据'!$A:$A,0)),""))</f>
        <v/>
      </c>
      <c r="I422">
        <f>IF($A422="","",IFERROR(INDEX('[AQ_2022.xlsx]原始数据'!$C:$C,MATCH($A422,'[AQ_2022.xlsx]原始数据'!$A:$A,0)),""))</f>
        <v/>
      </c>
      <c r="J422">
        <f>IF($A422="","",IFERROR(INDEX('[AQ_2023.xlsx]原始数据'!$C:$C,MATCH($A422,'[AQ_2023.xlsx]原始数据'!$A:$A,0)),""))</f>
        <v/>
      </c>
      <c r="K422">
        <f>IF($A422="","",IFERROR(INDEX('[AQ_2024.xlsx]原始数据'!$C:$C,MATCH($A422,'[AQ_2024.xlsx]原始数据'!$A:$A,0)),""))</f>
        <v/>
      </c>
      <c r="L422">
        <f>IF($A422="","",IFERROR(INDEX('[AQ_2020.xlsx]原始数据'!$D:$D,MATCH($A422,'[AQ_2020.xlsx]原始数据'!$A:$A,0)),""))</f>
        <v/>
      </c>
      <c r="M422">
        <f>IF($A422="","",IFERROR(INDEX('[AQ_2021.xlsx]原始数据'!$D:$D,MATCH($A422,'[AQ_2021.xlsx]原始数据'!$A:$A,0)),""))</f>
        <v/>
      </c>
      <c r="N422">
        <f>IF($A422="","",IFERROR(INDEX('[AQ_2022.xlsx]原始数据'!$D:$D,MATCH($A422,'[AQ_2022.xlsx]原始数据'!$A:$A,0)),""))</f>
        <v/>
      </c>
      <c r="O422">
        <f>IF($A422="","",IFERROR(INDEX('[AQ_2023.xlsx]原始数据'!$D:$D,MATCH($A422,'[AQ_2023.xlsx]原始数据'!$A:$A,0)),""))</f>
        <v/>
      </c>
      <c r="P422">
        <f>IF($A422="","",IFERROR(INDEX('[AQ_2024.xlsx]原始数据'!$D:$D,MATCH($A422,'[AQ_2024.xlsx]原始数据'!$A:$A,0)),""))</f>
        <v/>
      </c>
      <c r="Q422">
        <f>IF($A422="","",IFERROR(INDEX('[AQ_2020.xlsx]原始数据'!$E:$E,MATCH($A422,'[AQ_2020.xlsx]原始数据'!$A:$A,0)),""))</f>
        <v/>
      </c>
      <c r="R422">
        <f>IF($A422="","",IFERROR(INDEX('[AQ_2021.xlsx]原始数据'!$E:$E,MATCH($A422,'[AQ_2021.xlsx]原始数据'!$A:$A,0)),""))</f>
        <v/>
      </c>
      <c r="S422">
        <f>IF($A422="","",IFERROR(INDEX('[AQ_2022.xlsx]原始数据'!$E:$E,MATCH($A422,'[AQ_2022.xlsx]原始数据'!$A:$A,0)),""))</f>
        <v/>
      </c>
      <c r="T422">
        <f>IF($A422="","",IFERROR(INDEX('[AQ_2023.xlsx]原始数据'!$E:$E,MATCH($A422,'[AQ_2023.xlsx]原始数据'!$A:$A,0)),""))</f>
        <v/>
      </c>
      <c r="U422">
        <f>IF($A422="","",IFERROR(INDEX('[AQ_2024.xlsx]原始数据'!$E:$E,MATCH($A422,'[AQ_2024.xlsx]原始数据'!$A:$A,0)),""))</f>
        <v/>
      </c>
      <c r="V422">
        <f>IF($A422="","",IFERROR(INDEX('[AQ_2020.xlsx]原始数据'!$F:$F,MATCH($A422,'[AQ_2020.xlsx]原始数据'!$A:$A,0)),""))</f>
        <v/>
      </c>
      <c r="W422">
        <f>IF($A422="","",IFERROR(INDEX('[AQ_2021.xlsx]原始数据'!$F:$F,MATCH($A422,'[AQ_2021.xlsx]原始数据'!$A:$A,0)),""))</f>
        <v/>
      </c>
      <c r="X422">
        <f>IF($A422="","",IFERROR(INDEX('[AQ_2022.xlsx]原始数据'!$F:$F,MATCH($A422,'[AQ_2022.xlsx]原始数据'!$A:$A,0)),""))</f>
        <v/>
      </c>
      <c r="Y422">
        <f>IF($A422="","",IFERROR(INDEX('[AQ_2023.xlsx]原始数据'!$F:$F,MATCH($A422,'[AQ_2023.xlsx]原始数据'!$A:$A,0)),""))</f>
        <v/>
      </c>
      <c r="Z422">
        <f>IF($A422="","",IFERROR(INDEX('[AQ_2024.xlsx]原始数据'!$F:$F,MATCH($A422,'[AQ_2024.xlsx]原始数据'!$A:$A,0)),""))</f>
        <v/>
      </c>
      <c r="AA422" s="2">
        <f>IFERROR(G422/B422,"")</f>
        <v/>
      </c>
      <c r="AB422" s="2">
        <f>IFERROR(H422/C422,"")</f>
        <v/>
      </c>
      <c r="AC422" s="2">
        <f>IFERROR(I422/D422,"")</f>
        <v/>
      </c>
      <c r="AD422" s="2">
        <f>IFERROR(J422/E422,"")</f>
        <v/>
      </c>
      <c r="AE422" s="2">
        <f>IFERROR(K422/F422,"")</f>
        <v/>
      </c>
      <c r="AF422" s="2">
        <f>IFERROR(L422/B422,"")</f>
        <v/>
      </c>
      <c r="AG422" s="2">
        <f>IFERROR(M422/C422,"")</f>
        <v/>
      </c>
      <c r="AH422" s="2">
        <f>IFERROR(N422/D422,"")</f>
        <v/>
      </c>
      <c r="AI422" s="2">
        <f>IFERROR(O422/E422,"")</f>
        <v/>
      </c>
      <c r="AJ422" s="2">
        <f>IFERROR(P422/F422,"")</f>
        <v/>
      </c>
      <c r="AK422" s="2">
        <f>IFERROR(Q422/B422,"")</f>
        <v/>
      </c>
      <c r="AL422" s="2">
        <f>IFERROR(R422/C422,"")</f>
        <v/>
      </c>
      <c r="AM422" s="2">
        <f>IFERROR(S422/D422,"")</f>
        <v/>
      </c>
      <c r="AN422" s="2">
        <f>IFERROR(T422/E422,"")</f>
        <v/>
      </c>
      <c r="AO422" s="2">
        <f>IFERROR(U422/F422,"")</f>
        <v/>
      </c>
    </row>
    <row r="423">
      <c r="B423">
        <f>IF($A423="","",IFERROR(INDEX('[AQ_2020.xlsx]原始数据'!$B:$B,MATCH($A423,'[AQ_2020.xlsx]原始数据'!$A:$A,0)),""))</f>
        <v/>
      </c>
      <c r="C423">
        <f>IF($A423="","",IFERROR(INDEX('[AQ_2021.xlsx]原始数据'!$B:$B,MATCH($A423,'[AQ_2021.xlsx]原始数据'!$A:$A,0)),""))</f>
        <v/>
      </c>
      <c r="D423">
        <f>IF($A423="","",IFERROR(INDEX('[AQ_2022.xlsx]原始数据'!$B:$B,MATCH($A423,'[AQ_2022.xlsx]原始数据'!$A:$A,0)),""))</f>
        <v/>
      </c>
      <c r="E423">
        <f>IF($A423="","",IFERROR(INDEX('[AQ_2023.xlsx]原始数据'!$B:$B,MATCH($A423,'[AQ_2023.xlsx]原始数据'!$A:$A,0)),""))</f>
        <v/>
      </c>
      <c r="F423">
        <f>IF($A423="","",IFERROR(INDEX('[AQ_2024.xlsx]原始数据'!$B:$B,MATCH($A423,'[AQ_2024.xlsx]原始数据'!$A:$A,0)),""))</f>
        <v/>
      </c>
      <c r="G423">
        <f>IF($A423="","",IFERROR(INDEX('[AQ_2020.xlsx]原始数据'!$C:$C,MATCH($A423,'[AQ_2020.xlsx]原始数据'!$A:$A,0)),""))</f>
        <v/>
      </c>
      <c r="H423">
        <f>IF($A423="","",IFERROR(INDEX('[AQ_2021.xlsx]原始数据'!$C:$C,MATCH($A423,'[AQ_2021.xlsx]原始数据'!$A:$A,0)),""))</f>
        <v/>
      </c>
      <c r="I423">
        <f>IF($A423="","",IFERROR(INDEX('[AQ_2022.xlsx]原始数据'!$C:$C,MATCH($A423,'[AQ_2022.xlsx]原始数据'!$A:$A,0)),""))</f>
        <v/>
      </c>
      <c r="J423">
        <f>IF($A423="","",IFERROR(INDEX('[AQ_2023.xlsx]原始数据'!$C:$C,MATCH($A423,'[AQ_2023.xlsx]原始数据'!$A:$A,0)),""))</f>
        <v/>
      </c>
      <c r="K423">
        <f>IF($A423="","",IFERROR(INDEX('[AQ_2024.xlsx]原始数据'!$C:$C,MATCH($A423,'[AQ_2024.xlsx]原始数据'!$A:$A,0)),""))</f>
        <v/>
      </c>
      <c r="L423">
        <f>IF($A423="","",IFERROR(INDEX('[AQ_2020.xlsx]原始数据'!$D:$D,MATCH($A423,'[AQ_2020.xlsx]原始数据'!$A:$A,0)),""))</f>
        <v/>
      </c>
      <c r="M423">
        <f>IF($A423="","",IFERROR(INDEX('[AQ_2021.xlsx]原始数据'!$D:$D,MATCH($A423,'[AQ_2021.xlsx]原始数据'!$A:$A,0)),""))</f>
        <v/>
      </c>
      <c r="N423">
        <f>IF($A423="","",IFERROR(INDEX('[AQ_2022.xlsx]原始数据'!$D:$D,MATCH($A423,'[AQ_2022.xlsx]原始数据'!$A:$A,0)),""))</f>
        <v/>
      </c>
      <c r="O423">
        <f>IF($A423="","",IFERROR(INDEX('[AQ_2023.xlsx]原始数据'!$D:$D,MATCH($A423,'[AQ_2023.xlsx]原始数据'!$A:$A,0)),""))</f>
        <v/>
      </c>
      <c r="P423">
        <f>IF($A423="","",IFERROR(INDEX('[AQ_2024.xlsx]原始数据'!$D:$D,MATCH($A423,'[AQ_2024.xlsx]原始数据'!$A:$A,0)),""))</f>
        <v/>
      </c>
      <c r="Q423">
        <f>IF($A423="","",IFERROR(INDEX('[AQ_2020.xlsx]原始数据'!$E:$E,MATCH($A423,'[AQ_2020.xlsx]原始数据'!$A:$A,0)),""))</f>
        <v/>
      </c>
      <c r="R423">
        <f>IF($A423="","",IFERROR(INDEX('[AQ_2021.xlsx]原始数据'!$E:$E,MATCH($A423,'[AQ_2021.xlsx]原始数据'!$A:$A,0)),""))</f>
        <v/>
      </c>
      <c r="S423">
        <f>IF($A423="","",IFERROR(INDEX('[AQ_2022.xlsx]原始数据'!$E:$E,MATCH($A423,'[AQ_2022.xlsx]原始数据'!$A:$A,0)),""))</f>
        <v/>
      </c>
      <c r="T423">
        <f>IF($A423="","",IFERROR(INDEX('[AQ_2023.xlsx]原始数据'!$E:$E,MATCH($A423,'[AQ_2023.xlsx]原始数据'!$A:$A,0)),""))</f>
        <v/>
      </c>
      <c r="U423">
        <f>IF($A423="","",IFERROR(INDEX('[AQ_2024.xlsx]原始数据'!$E:$E,MATCH($A423,'[AQ_2024.xlsx]原始数据'!$A:$A,0)),""))</f>
        <v/>
      </c>
      <c r="V423">
        <f>IF($A423="","",IFERROR(INDEX('[AQ_2020.xlsx]原始数据'!$F:$F,MATCH($A423,'[AQ_2020.xlsx]原始数据'!$A:$A,0)),""))</f>
        <v/>
      </c>
      <c r="W423">
        <f>IF($A423="","",IFERROR(INDEX('[AQ_2021.xlsx]原始数据'!$F:$F,MATCH($A423,'[AQ_2021.xlsx]原始数据'!$A:$A,0)),""))</f>
        <v/>
      </c>
      <c r="X423">
        <f>IF($A423="","",IFERROR(INDEX('[AQ_2022.xlsx]原始数据'!$F:$F,MATCH($A423,'[AQ_2022.xlsx]原始数据'!$A:$A,0)),""))</f>
        <v/>
      </c>
      <c r="Y423">
        <f>IF($A423="","",IFERROR(INDEX('[AQ_2023.xlsx]原始数据'!$F:$F,MATCH($A423,'[AQ_2023.xlsx]原始数据'!$A:$A,0)),""))</f>
        <v/>
      </c>
      <c r="Z423">
        <f>IF($A423="","",IFERROR(INDEX('[AQ_2024.xlsx]原始数据'!$F:$F,MATCH($A423,'[AQ_2024.xlsx]原始数据'!$A:$A,0)),""))</f>
        <v/>
      </c>
      <c r="AA423" s="2">
        <f>IFERROR(G423/B423,"")</f>
        <v/>
      </c>
      <c r="AB423" s="2">
        <f>IFERROR(H423/C423,"")</f>
        <v/>
      </c>
      <c r="AC423" s="2">
        <f>IFERROR(I423/D423,"")</f>
        <v/>
      </c>
      <c r="AD423" s="2">
        <f>IFERROR(J423/E423,"")</f>
        <v/>
      </c>
      <c r="AE423" s="2">
        <f>IFERROR(K423/F423,"")</f>
        <v/>
      </c>
      <c r="AF423" s="2">
        <f>IFERROR(L423/B423,"")</f>
        <v/>
      </c>
      <c r="AG423" s="2">
        <f>IFERROR(M423/C423,"")</f>
        <v/>
      </c>
      <c r="AH423" s="2">
        <f>IFERROR(N423/D423,"")</f>
        <v/>
      </c>
      <c r="AI423" s="2">
        <f>IFERROR(O423/E423,"")</f>
        <v/>
      </c>
      <c r="AJ423" s="2">
        <f>IFERROR(P423/F423,"")</f>
        <v/>
      </c>
      <c r="AK423" s="2">
        <f>IFERROR(Q423/B423,"")</f>
        <v/>
      </c>
      <c r="AL423" s="2">
        <f>IFERROR(R423/C423,"")</f>
        <v/>
      </c>
      <c r="AM423" s="2">
        <f>IFERROR(S423/D423,"")</f>
        <v/>
      </c>
      <c r="AN423" s="2">
        <f>IFERROR(T423/E423,"")</f>
        <v/>
      </c>
      <c r="AO423" s="2">
        <f>IFERROR(U423/F423,"")</f>
        <v/>
      </c>
    </row>
    <row r="424">
      <c r="B424">
        <f>IF($A424="","",IFERROR(INDEX('[AQ_2020.xlsx]原始数据'!$B:$B,MATCH($A424,'[AQ_2020.xlsx]原始数据'!$A:$A,0)),""))</f>
        <v/>
      </c>
      <c r="C424">
        <f>IF($A424="","",IFERROR(INDEX('[AQ_2021.xlsx]原始数据'!$B:$B,MATCH($A424,'[AQ_2021.xlsx]原始数据'!$A:$A,0)),""))</f>
        <v/>
      </c>
      <c r="D424">
        <f>IF($A424="","",IFERROR(INDEX('[AQ_2022.xlsx]原始数据'!$B:$B,MATCH($A424,'[AQ_2022.xlsx]原始数据'!$A:$A,0)),""))</f>
        <v/>
      </c>
      <c r="E424">
        <f>IF($A424="","",IFERROR(INDEX('[AQ_2023.xlsx]原始数据'!$B:$B,MATCH($A424,'[AQ_2023.xlsx]原始数据'!$A:$A,0)),""))</f>
        <v/>
      </c>
      <c r="F424">
        <f>IF($A424="","",IFERROR(INDEX('[AQ_2024.xlsx]原始数据'!$B:$B,MATCH($A424,'[AQ_2024.xlsx]原始数据'!$A:$A,0)),""))</f>
        <v/>
      </c>
      <c r="G424">
        <f>IF($A424="","",IFERROR(INDEX('[AQ_2020.xlsx]原始数据'!$C:$C,MATCH($A424,'[AQ_2020.xlsx]原始数据'!$A:$A,0)),""))</f>
        <v/>
      </c>
      <c r="H424">
        <f>IF($A424="","",IFERROR(INDEX('[AQ_2021.xlsx]原始数据'!$C:$C,MATCH($A424,'[AQ_2021.xlsx]原始数据'!$A:$A,0)),""))</f>
        <v/>
      </c>
      <c r="I424">
        <f>IF($A424="","",IFERROR(INDEX('[AQ_2022.xlsx]原始数据'!$C:$C,MATCH($A424,'[AQ_2022.xlsx]原始数据'!$A:$A,0)),""))</f>
        <v/>
      </c>
      <c r="J424">
        <f>IF($A424="","",IFERROR(INDEX('[AQ_2023.xlsx]原始数据'!$C:$C,MATCH($A424,'[AQ_2023.xlsx]原始数据'!$A:$A,0)),""))</f>
        <v/>
      </c>
      <c r="K424">
        <f>IF($A424="","",IFERROR(INDEX('[AQ_2024.xlsx]原始数据'!$C:$C,MATCH($A424,'[AQ_2024.xlsx]原始数据'!$A:$A,0)),""))</f>
        <v/>
      </c>
      <c r="L424">
        <f>IF($A424="","",IFERROR(INDEX('[AQ_2020.xlsx]原始数据'!$D:$D,MATCH($A424,'[AQ_2020.xlsx]原始数据'!$A:$A,0)),""))</f>
        <v/>
      </c>
      <c r="M424">
        <f>IF($A424="","",IFERROR(INDEX('[AQ_2021.xlsx]原始数据'!$D:$D,MATCH($A424,'[AQ_2021.xlsx]原始数据'!$A:$A,0)),""))</f>
        <v/>
      </c>
      <c r="N424">
        <f>IF($A424="","",IFERROR(INDEX('[AQ_2022.xlsx]原始数据'!$D:$D,MATCH($A424,'[AQ_2022.xlsx]原始数据'!$A:$A,0)),""))</f>
        <v/>
      </c>
      <c r="O424">
        <f>IF($A424="","",IFERROR(INDEX('[AQ_2023.xlsx]原始数据'!$D:$D,MATCH($A424,'[AQ_2023.xlsx]原始数据'!$A:$A,0)),""))</f>
        <v/>
      </c>
      <c r="P424">
        <f>IF($A424="","",IFERROR(INDEX('[AQ_2024.xlsx]原始数据'!$D:$D,MATCH($A424,'[AQ_2024.xlsx]原始数据'!$A:$A,0)),""))</f>
        <v/>
      </c>
      <c r="Q424">
        <f>IF($A424="","",IFERROR(INDEX('[AQ_2020.xlsx]原始数据'!$E:$E,MATCH($A424,'[AQ_2020.xlsx]原始数据'!$A:$A,0)),""))</f>
        <v/>
      </c>
      <c r="R424">
        <f>IF($A424="","",IFERROR(INDEX('[AQ_2021.xlsx]原始数据'!$E:$E,MATCH($A424,'[AQ_2021.xlsx]原始数据'!$A:$A,0)),""))</f>
        <v/>
      </c>
      <c r="S424">
        <f>IF($A424="","",IFERROR(INDEX('[AQ_2022.xlsx]原始数据'!$E:$E,MATCH($A424,'[AQ_2022.xlsx]原始数据'!$A:$A,0)),""))</f>
        <v/>
      </c>
      <c r="T424">
        <f>IF($A424="","",IFERROR(INDEX('[AQ_2023.xlsx]原始数据'!$E:$E,MATCH($A424,'[AQ_2023.xlsx]原始数据'!$A:$A,0)),""))</f>
        <v/>
      </c>
      <c r="U424">
        <f>IF($A424="","",IFERROR(INDEX('[AQ_2024.xlsx]原始数据'!$E:$E,MATCH($A424,'[AQ_2024.xlsx]原始数据'!$A:$A,0)),""))</f>
        <v/>
      </c>
      <c r="V424">
        <f>IF($A424="","",IFERROR(INDEX('[AQ_2020.xlsx]原始数据'!$F:$F,MATCH($A424,'[AQ_2020.xlsx]原始数据'!$A:$A,0)),""))</f>
        <v/>
      </c>
      <c r="W424">
        <f>IF($A424="","",IFERROR(INDEX('[AQ_2021.xlsx]原始数据'!$F:$F,MATCH($A424,'[AQ_2021.xlsx]原始数据'!$A:$A,0)),""))</f>
        <v/>
      </c>
      <c r="X424">
        <f>IF($A424="","",IFERROR(INDEX('[AQ_2022.xlsx]原始数据'!$F:$F,MATCH($A424,'[AQ_2022.xlsx]原始数据'!$A:$A,0)),""))</f>
        <v/>
      </c>
      <c r="Y424">
        <f>IF($A424="","",IFERROR(INDEX('[AQ_2023.xlsx]原始数据'!$F:$F,MATCH($A424,'[AQ_2023.xlsx]原始数据'!$A:$A,0)),""))</f>
        <v/>
      </c>
      <c r="Z424">
        <f>IF($A424="","",IFERROR(INDEX('[AQ_2024.xlsx]原始数据'!$F:$F,MATCH($A424,'[AQ_2024.xlsx]原始数据'!$A:$A,0)),""))</f>
        <v/>
      </c>
      <c r="AA424" s="2">
        <f>IFERROR(G424/B424,"")</f>
        <v/>
      </c>
      <c r="AB424" s="2">
        <f>IFERROR(H424/C424,"")</f>
        <v/>
      </c>
      <c r="AC424" s="2">
        <f>IFERROR(I424/D424,"")</f>
        <v/>
      </c>
      <c r="AD424" s="2">
        <f>IFERROR(J424/E424,"")</f>
        <v/>
      </c>
      <c r="AE424" s="2">
        <f>IFERROR(K424/F424,"")</f>
        <v/>
      </c>
      <c r="AF424" s="2">
        <f>IFERROR(L424/B424,"")</f>
        <v/>
      </c>
      <c r="AG424" s="2">
        <f>IFERROR(M424/C424,"")</f>
        <v/>
      </c>
      <c r="AH424" s="2">
        <f>IFERROR(N424/D424,"")</f>
        <v/>
      </c>
      <c r="AI424" s="2">
        <f>IFERROR(O424/E424,"")</f>
        <v/>
      </c>
      <c r="AJ424" s="2">
        <f>IFERROR(P424/F424,"")</f>
        <v/>
      </c>
      <c r="AK424" s="2">
        <f>IFERROR(Q424/B424,"")</f>
        <v/>
      </c>
      <c r="AL424" s="2">
        <f>IFERROR(R424/C424,"")</f>
        <v/>
      </c>
      <c r="AM424" s="2">
        <f>IFERROR(S424/D424,"")</f>
        <v/>
      </c>
      <c r="AN424" s="2">
        <f>IFERROR(T424/E424,"")</f>
        <v/>
      </c>
      <c r="AO424" s="2">
        <f>IFERROR(U424/F424,"")</f>
        <v/>
      </c>
    </row>
    <row r="425">
      <c r="B425">
        <f>IF($A425="","",IFERROR(INDEX('[AQ_2020.xlsx]原始数据'!$B:$B,MATCH($A425,'[AQ_2020.xlsx]原始数据'!$A:$A,0)),""))</f>
        <v/>
      </c>
      <c r="C425">
        <f>IF($A425="","",IFERROR(INDEX('[AQ_2021.xlsx]原始数据'!$B:$B,MATCH($A425,'[AQ_2021.xlsx]原始数据'!$A:$A,0)),""))</f>
        <v/>
      </c>
      <c r="D425">
        <f>IF($A425="","",IFERROR(INDEX('[AQ_2022.xlsx]原始数据'!$B:$B,MATCH($A425,'[AQ_2022.xlsx]原始数据'!$A:$A,0)),""))</f>
        <v/>
      </c>
      <c r="E425">
        <f>IF($A425="","",IFERROR(INDEX('[AQ_2023.xlsx]原始数据'!$B:$B,MATCH($A425,'[AQ_2023.xlsx]原始数据'!$A:$A,0)),""))</f>
        <v/>
      </c>
      <c r="F425">
        <f>IF($A425="","",IFERROR(INDEX('[AQ_2024.xlsx]原始数据'!$B:$B,MATCH($A425,'[AQ_2024.xlsx]原始数据'!$A:$A,0)),""))</f>
        <v/>
      </c>
      <c r="G425">
        <f>IF($A425="","",IFERROR(INDEX('[AQ_2020.xlsx]原始数据'!$C:$C,MATCH($A425,'[AQ_2020.xlsx]原始数据'!$A:$A,0)),""))</f>
        <v/>
      </c>
      <c r="H425">
        <f>IF($A425="","",IFERROR(INDEX('[AQ_2021.xlsx]原始数据'!$C:$C,MATCH($A425,'[AQ_2021.xlsx]原始数据'!$A:$A,0)),""))</f>
        <v/>
      </c>
      <c r="I425">
        <f>IF($A425="","",IFERROR(INDEX('[AQ_2022.xlsx]原始数据'!$C:$C,MATCH($A425,'[AQ_2022.xlsx]原始数据'!$A:$A,0)),""))</f>
        <v/>
      </c>
      <c r="J425">
        <f>IF($A425="","",IFERROR(INDEX('[AQ_2023.xlsx]原始数据'!$C:$C,MATCH($A425,'[AQ_2023.xlsx]原始数据'!$A:$A,0)),""))</f>
        <v/>
      </c>
      <c r="K425">
        <f>IF($A425="","",IFERROR(INDEX('[AQ_2024.xlsx]原始数据'!$C:$C,MATCH($A425,'[AQ_2024.xlsx]原始数据'!$A:$A,0)),""))</f>
        <v/>
      </c>
      <c r="L425">
        <f>IF($A425="","",IFERROR(INDEX('[AQ_2020.xlsx]原始数据'!$D:$D,MATCH($A425,'[AQ_2020.xlsx]原始数据'!$A:$A,0)),""))</f>
        <v/>
      </c>
      <c r="M425">
        <f>IF($A425="","",IFERROR(INDEX('[AQ_2021.xlsx]原始数据'!$D:$D,MATCH($A425,'[AQ_2021.xlsx]原始数据'!$A:$A,0)),""))</f>
        <v/>
      </c>
      <c r="N425">
        <f>IF($A425="","",IFERROR(INDEX('[AQ_2022.xlsx]原始数据'!$D:$D,MATCH($A425,'[AQ_2022.xlsx]原始数据'!$A:$A,0)),""))</f>
        <v/>
      </c>
      <c r="O425">
        <f>IF($A425="","",IFERROR(INDEX('[AQ_2023.xlsx]原始数据'!$D:$D,MATCH($A425,'[AQ_2023.xlsx]原始数据'!$A:$A,0)),""))</f>
        <v/>
      </c>
      <c r="P425">
        <f>IF($A425="","",IFERROR(INDEX('[AQ_2024.xlsx]原始数据'!$D:$D,MATCH($A425,'[AQ_2024.xlsx]原始数据'!$A:$A,0)),""))</f>
        <v/>
      </c>
      <c r="Q425">
        <f>IF($A425="","",IFERROR(INDEX('[AQ_2020.xlsx]原始数据'!$E:$E,MATCH($A425,'[AQ_2020.xlsx]原始数据'!$A:$A,0)),""))</f>
        <v/>
      </c>
      <c r="R425">
        <f>IF($A425="","",IFERROR(INDEX('[AQ_2021.xlsx]原始数据'!$E:$E,MATCH($A425,'[AQ_2021.xlsx]原始数据'!$A:$A,0)),""))</f>
        <v/>
      </c>
      <c r="S425">
        <f>IF($A425="","",IFERROR(INDEX('[AQ_2022.xlsx]原始数据'!$E:$E,MATCH($A425,'[AQ_2022.xlsx]原始数据'!$A:$A,0)),""))</f>
        <v/>
      </c>
      <c r="T425">
        <f>IF($A425="","",IFERROR(INDEX('[AQ_2023.xlsx]原始数据'!$E:$E,MATCH($A425,'[AQ_2023.xlsx]原始数据'!$A:$A,0)),""))</f>
        <v/>
      </c>
      <c r="U425">
        <f>IF($A425="","",IFERROR(INDEX('[AQ_2024.xlsx]原始数据'!$E:$E,MATCH($A425,'[AQ_2024.xlsx]原始数据'!$A:$A,0)),""))</f>
        <v/>
      </c>
      <c r="V425">
        <f>IF($A425="","",IFERROR(INDEX('[AQ_2020.xlsx]原始数据'!$F:$F,MATCH($A425,'[AQ_2020.xlsx]原始数据'!$A:$A,0)),""))</f>
        <v/>
      </c>
      <c r="W425">
        <f>IF($A425="","",IFERROR(INDEX('[AQ_2021.xlsx]原始数据'!$F:$F,MATCH($A425,'[AQ_2021.xlsx]原始数据'!$A:$A,0)),""))</f>
        <v/>
      </c>
      <c r="X425">
        <f>IF($A425="","",IFERROR(INDEX('[AQ_2022.xlsx]原始数据'!$F:$F,MATCH($A425,'[AQ_2022.xlsx]原始数据'!$A:$A,0)),""))</f>
        <v/>
      </c>
      <c r="Y425">
        <f>IF($A425="","",IFERROR(INDEX('[AQ_2023.xlsx]原始数据'!$F:$F,MATCH($A425,'[AQ_2023.xlsx]原始数据'!$A:$A,0)),""))</f>
        <v/>
      </c>
      <c r="Z425">
        <f>IF($A425="","",IFERROR(INDEX('[AQ_2024.xlsx]原始数据'!$F:$F,MATCH($A425,'[AQ_2024.xlsx]原始数据'!$A:$A,0)),""))</f>
        <v/>
      </c>
      <c r="AA425" s="2">
        <f>IFERROR(G425/B425,"")</f>
        <v/>
      </c>
      <c r="AB425" s="2">
        <f>IFERROR(H425/C425,"")</f>
        <v/>
      </c>
      <c r="AC425" s="2">
        <f>IFERROR(I425/D425,"")</f>
        <v/>
      </c>
      <c r="AD425" s="2">
        <f>IFERROR(J425/E425,"")</f>
        <v/>
      </c>
      <c r="AE425" s="2">
        <f>IFERROR(K425/F425,"")</f>
        <v/>
      </c>
      <c r="AF425" s="2">
        <f>IFERROR(L425/B425,"")</f>
        <v/>
      </c>
      <c r="AG425" s="2">
        <f>IFERROR(M425/C425,"")</f>
        <v/>
      </c>
      <c r="AH425" s="2">
        <f>IFERROR(N425/D425,"")</f>
        <v/>
      </c>
      <c r="AI425" s="2">
        <f>IFERROR(O425/E425,"")</f>
        <v/>
      </c>
      <c r="AJ425" s="2">
        <f>IFERROR(P425/F425,"")</f>
        <v/>
      </c>
      <c r="AK425" s="2">
        <f>IFERROR(Q425/B425,"")</f>
        <v/>
      </c>
      <c r="AL425" s="2">
        <f>IFERROR(R425/C425,"")</f>
        <v/>
      </c>
      <c r="AM425" s="2">
        <f>IFERROR(S425/D425,"")</f>
        <v/>
      </c>
      <c r="AN425" s="2">
        <f>IFERROR(T425/E425,"")</f>
        <v/>
      </c>
      <c r="AO425" s="2">
        <f>IFERROR(U425/F425,"")</f>
        <v/>
      </c>
    </row>
    <row r="426">
      <c r="B426">
        <f>IF($A426="","",IFERROR(INDEX('[AQ_2020.xlsx]原始数据'!$B:$B,MATCH($A426,'[AQ_2020.xlsx]原始数据'!$A:$A,0)),""))</f>
        <v/>
      </c>
      <c r="C426">
        <f>IF($A426="","",IFERROR(INDEX('[AQ_2021.xlsx]原始数据'!$B:$B,MATCH($A426,'[AQ_2021.xlsx]原始数据'!$A:$A,0)),""))</f>
        <v/>
      </c>
      <c r="D426">
        <f>IF($A426="","",IFERROR(INDEX('[AQ_2022.xlsx]原始数据'!$B:$B,MATCH($A426,'[AQ_2022.xlsx]原始数据'!$A:$A,0)),""))</f>
        <v/>
      </c>
      <c r="E426">
        <f>IF($A426="","",IFERROR(INDEX('[AQ_2023.xlsx]原始数据'!$B:$B,MATCH($A426,'[AQ_2023.xlsx]原始数据'!$A:$A,0)),""))</f>
        <v/>
      </c>
      <c r="F426">
        <f>IF($A426="","",IFERROR(INDEX('[AQ_2024.xlsx]原始数据'!$B:$B,MATCH($A426,'[AQ_2024.xlsx]原始数据'!$A:$A,0)),""))</f>
        <v/>
      </c>
      <c r="G426">
        <f>IF($A426="","",IFERROR(INDEX('[AQ_2020.xlsx]原始数据'!$C:$C,MATCH($A426,'[AQ_2020.xlsx]原始数据'!$A:$A,0)),""))</f>
        <v/>
      </c>
      <c r="H426">
        <f>IF($A426="","",IFERROR(INDEX('[AQ_2021.xlsx]原始数据'!$C:$C,MATCH($A426,'[AQ_2021.xlsx]原始数据'!$A:$A,0)),""))</f>
        <v/>
      </c>
      <c r="I426">
        <f>IF($A426="","",IFERROR(INDEX('[AQ_2022.xlsx]原始数据'!$C:$C,MATCH($A426,'[AQ_2022.xlsx]原始数据'!$A:$A,0)),""))</f>
        <v/>
      </c>
      <c r="J426">
        <f>IF($A426="","",IFERROR(INDEX('[AQ_2023.xlsx]原始数据'!$C:$C,MATCH($A426,'[AQ_2023.xlsx]原始数据'!$A:$A,0)),""))</f>
        <v/>
      </c>
      <c r="K426">
        <f>IF($A426="","",IFERROR(INDEX('[AQ_2024.xlsx]原始数据'!$C:$C,MATCH($A426,'[AQ_2024.xlsx]原始数据'!$A:$A,0)),""))</f>
        <v/>
      </c>
      <c r="L426">
        <f>IF($A426="","",IFERROR(INDEX('[AQ_2020.xlsx]原始数据'!$D:$D,MATCH($A426,'[AQ_2020.xlsx]原始数据'!$A:$A,0)),""))</f>
        <v/>
      </c>
      <c r="M426">
        <f>IF($A426="","",IFERROR(INDEX('[AQ_2021.xlsx]原始数据'!$D:$D,MATCH($A426,'[AQ_2021.xlsx]原始数据'!$A:$A,0)),""))</f>
        <v/>
      </c>
      <c r="N426">
        <f>IF($A426="","",IFERROR(INDEX('[AQ_2022.xlsx]原始数据'!$D:$D,MATCH($A426,'[AQ_2022.xlsx]原始数据'!$A:$A,0)),""))</f>
        <v/>
      </c>
      <c r="O426">
        <f>IF($A426="","",IFERROR(INDEX('[AQ_2023.xlsx]原始数据'!$D:$D,MATCH($A426,'[AQ_2023.xlsx]原始数据'!$A:$A,0)),""))</f>
        <v/>
      </c>
      <c r="P426">
        <f>IF($A426="","",IFERROR(INDEX('[AQ_2024.xlsx]原始数据'!$D:$D,MATCH($A426,'[AQ_2024.xlsx]原始数据'!$A:$A,0)),""))</f>
        <v/>
      </c>
      <c r="Q426">
        <f>IF($A426="","",IFERROR(INDEX('[AQ_2020.xlsx]原始数据'!$E:$E,MATCH($A426,'[AQ_2020.xlsx]原始数据'!$A:$A,0)),""))</f>
        <v/>
      </c>
      <c r="R426">
        <f>IF($A426="","",IFERROR(INDEX('[AQ_2021.xlsx]原始数据'!$E:$E,MATCH($A426,'[AQ_2021.xlsx]原始数据'!$A:$A,0)),""))</f>
        <v/>
      </c>
      <c r="S426">
        <f>IF($A426="","",IFERROR(INDEX('[AQ_2022.xlsx]原始数据'!$E:$E,MATCH($A426,'[AQ_2022.xlsx]原始数据'!$A:$A,0)),""))</f>
        <v/>
      </c>
      <c r="T426">
        <f>IF($A426="","",IFERROR(INDEX('[AQ_2023.xlsx]原始数据'!$E:$E,MATCH($A426,'[AQ_2023.xlsx]原始数据'!$A:$A,0)),""))</f>
        <v/>
      </c>
      <c r="U426">
        <f>IF($A426="","",IFERROR(INDEX('[AQ_2024.xlsx]原始数据'!$E:$E,MATCH($A426,'[AQ_2024.xlsx]原始数据'!$A:$A,0)),""))</f>
        <v/>
      </c>
      <c r="V426">
        <f>IF($A426="","",IFERROR(INDEX('[AQ_2020.xlsx]原始数据'!$F:$F,MATCH($A426,'[AQ_2020.xlsx]原始数据'!$A:$A,0)),""))</f>
        <v/>
      </c>
      <c r="W426">
        <f>IF($A426="","",IFERROR(INDEX('[AQ_2021.xlsx]原始数据'!$F:$F,MATCH($A426,'[AQ_2021.xlsx]原始数据'!$A:$A,0)),""))</f>
        <v/>
      </c>
      <c r="X426">
        <f>IF($A426="","",IFERROR(INDEX('[AQ_2022.xlsx]原始数据'!$F:$F,MATCH($A426,'[AQ_2022.xlsx]原始数据'!$A:$A,0)),""))</f>
        <v/>
      </c>
      <c r="Y426">
        <f>IF($A426="","",IFERROR(INDEX('[AQ_2023.xlsx]原始数据'!$F:$F,MATCH($A426,'[AQ_2023.xlsx]原始数据'!$A:$A,0)),""))</f>
        <v/>
      </c>
      <c r="Z426">
        <f>IF($A426="","",IFERROR(INDEX('[AQ_2024.xlsx]原始数据'!$F:$F,MATCH($A426,'[AQ_2024.xlsx]原始数据'!$A:$A,0)),""))</f>
        <v/>
      </c>
      <c r="AA426" s="2">
        <f>IFERROR(G426/B426,"")</f>
        <v/>
      </c>
      <c r="AB426" s="2">
        <f>IFERROR(H426/C426,"")</f>
        <v/>
      </c>
      <c r="AC426" s="2">
        <f>IFERROR(I426/D426,"")</f>
        <v/>
      </c>
      <c r="AD426" s="2">
        <f>IFERROR(J426/E426,"")</f>
        <v/>
      </c>
      <c r="AE426" s="2">
        <f>IFERROR(K426/F426,"")</f>
        <v/>
      </c>
      <c r="AF426" s="2">
        <f>IFERROR(L426/B426,"")</f>
        <v/>
      </c>
      <c r="AG426" s="2">
        <f>IFERROR(M426/C426,"")</f>
        <v/>
      </c>
      <c r="AH426" s="2">
        <f>IFERROR(N426/D426,"")</f>
        <v/>
      </c>
      <c r="AI426" s="2">
        <f>IFERROR(O426/E426,"")</f>
        <v/>
      </c>
      <c r="AJ426" s="2">
        <f>IFERROR(P426/F426,"")</f>
        <v/>
      </c>
      <c r="AK426" s="2">
        <f>IFERROR(Q426/B426,"")</f>
        <v/>
      </c>
      <c r="AL426" s="2">
        <f>IFERROR(R426/C426,"")</f>
        <v/>
      </c>
      <c r="AM426" s="2">
        <f>IFERROR(S426/D426,"")</f>
        <v/>
      </c>
      <c r="AN426" s="2">
        <f>IFERROR(T426/E426,"")</f>
        <v/>
      </c>
      <c r="AO426" s="2">
        <f>IFERROR(U426/F426,"")</f>
        <v/>
      </c>
    </row>
    <row r="427">
      <c r="B427">
        <f>IF($A427="","",IFERROR(INDEX('[AQ_2020.xlsx]原始数据'!$B:$B,MATCH($A427,'[AQ_2020.xlsx]原始数据'!$A:$A,0)),""))</f>
        <v/>
      </c>
      <c r="C427">
        <f>IF($A427="","",IFERROR(INDEX('[AQ_2021.xlsx]原始数据'!$B:$B,MATCH($A427,'[AQ_2021.xlsx]原始数据'!$A:$A,0)),""))</f>
        <v/>
      </c>
      <c r="D427">
        <f>IF($A427="","",IFERROR(INDEX('[AQ_2022.xlsx]原始数据'!$B:$B,MATCH($A427,'[AQ_2022.xlsx]原始数据'!$A:$A,0)),""))</f>
        <v/>
      </c>
      <c r="E427">
        <f>IF($A427="","",IFERROR(INDEX('[AQ_2023.xlsx]原始数据'!$B:$B,MATCH($A427,'[AQ_2023.xlsx]原始数据'!$A:$A,0)),""))</f>
        <v/>
      </c>
      <c r="F427">
        <f>IF($A427="","",IFERROR(INDEX('[AQ_2024.xlsx]原始数据'!$B:$B,MATCH($A427,'[AQ_2024.xlsx]原始数据'!$A:$A,0)),""))</f>
        <v/>
      </c>
      <c r="G427">
        <f>IF($A427="","",IFERROR(INDEX('[AQ_2020.xlsx]原始数据'!$C:$C,MATCH($A427,'[AQ_2020.xlsx]原始数据'!$A:$A,0)),""))</f>
        <v/>
      </c>
      <c r="H427">
        <f>IF($A427="","",IFERROR(INDEX('[AQ_2021.xlsx]原始数据'!$C:$C,MATCH($A427,'[AQ_2021.xlsx]原始数据'!$A:$A,0)),""))</f>
        <v/>
      </c>
      <c r="I427">
        <f>IF($A427="","",IFERROR(INDEX('[AQ_2022.xlsx]原始数据'!$C:$C,MATCH($A427,'[AQ_2022.xlsx]原始数据'!$A:$A,0)),""))</f>
        <v/>
      </c>
      <c r="J427">
        <f>IF($A427="","",IFERROR(INDEX('[AQ_2023.xlsx]原始数据'!$C:$C,MATCH($A427,'[AQ_2023.xlsx]原始数据'!$A:$A,0)),""))</f>
        <v/>
      </c>
      <c r="K427">
        <f>IF($A427="","",IFERROR(INDEX('[AQ_2024.xlsx]原始数据'!$C:$C,MATCH($A427,'[AQ_2024.xlsx]原始数据'!$A:$A,0)),""))</f>
        <v/>
      </c>
      <c r="L427">
        <f>IF($A427="","",IFERROR(INDEX('[AQ_2020.xlsx]原始数据'!$D:$D,MATCH($A427,'[AQ_2020.xlsx]原始数据'!$A:$A,0)),""))</f>
        <v/>
      </c>
      <c r="M427">
        <f>IF($A427="","",IFERROR(INDEX('[AQ_2021.xlsx]原始数据'!$D:$D,MATCH($A427,'[AQ_2021.xlsx]原始数据'!$A:$A,0)),""))</f>
        <v/>
      </c>
      <c r="N427">
        <f>IF($A427="","",IFERROR(INDEX('[AQ_2022.xlsx]原始数据'!$D:$D,MATCH($A427,'[AQ_2022.xlsx]原始数据'!$A:$A,0)),""))</f>
        <v/>
      </c>
      <c r="O427">
        <f>IF($A427="","",IFERROR(INDEX('[AQ_2023.xlsx]原始数据'!$D:$D,MATCH($A427,'[AQ_2023.xlsx]原始数据'!$A:$A,0)),""))</f>
        <v/>
      </c>
      <c r="P427">
        <f>IF($A427="","",IFERROR(INDEX('[AQ_2024.xlsx]原始数据'!$D:$D,MATCH($A427,'[AQ_2024.xlsx]原始数据'!$A:$A,0)),""))</f>
        <v/>
      </c>
      <c r="Q427">
        <f>IF($A427="","",IFERROR(INDEX('[AQ_2020.xlsx]原始数据'!$E:$E,MATCH($A427,'[AQ_2020.xlsx]原始数据'!$A:$A,0)),""))</f>
        <v/>
      </c>
      <c r="R427">
        <f>IF($A427="","",IFERROR(INDEX('[AQ_2021.xlsx]原始数据'!$E:$E,MATCH($A427,'[AQ_2021.xlsx]原始数据'!$A:$A,0)),""))</f>
        <v/>
      </c>
      <c r="S427">
        <f>IF($A427="","",IFERROR(INDEX('[AQ_2022.xlsx]原始数据'!$E:$E,MATCH($A427,'[AQ_2022.xlsx]原始数据'!$A:$A,0)),""))</f>
        <v/>
      </c>
      <c r="T427">
        <f>IF($A427="","",IFERROR(INDEX('[AQ_2023.xlsx]原始数据'!$E:$E,MATCH($A427,'[AQ_2023.xlsx]原始数据'!$A:$A,0)),""))</f>
        <v/>
      </c>
      <c r="U427">
        <f>IF($A427="","",IFERROR(INDEX('[AQ_2024.xlsx]原始数据'!$E:$E,MATCH($A427,'[AQ_2024.xlsx]原始数据'!$A:$A,0)),""))</f>
        <v/>
      </c>
      <c r="V427">
        <f>IF($A427="","",IFERROR(INDEX('[AQ_2020.xlsx]原始数据'!$F:$F,MATCH($A427,'[AQ_2020.xlsx]原始数据'!$A:$A,0)),""))</f>
        <v/>
      </c>
      <c r="W427">
        <f>IF($A427="","",IFERROR(INDEX('[AQ_2021.xlsx]原始数据'!$F:$F,MATCH($A427,'[AQ_2021.xlsx]原始数据'!$A:$A,0)),""))</f>
        <v/>
      </c>
      <c r="X427">
        <f>IF($A427="","",IFERROR(INDEX('[AQ_2022.xlsx]原始数据'!$F:$F,MATCH($A427,'[AQ_2022.xlsx]原始数据'!$A:$A,0)),""))</f>
        <v/>
      </c>
      <c r="Y427">
        <f>IF($A427="","",IFERROR(INDEX('[AQ_2023.xlsx]原始数据'!$F:$F,MATCH($A427,'[AQ_2023.xlsx]原始数据'!$A:$A,0)),""))</f>
        <v/>
      </c>
      <c r="Z427">
        <f>IF($A427="","",IFERROR(INDEX('[AQ_2024.xlsx]原始数据'!$F:$F,MATCH($A427,'[AQ_2024.xlsx]原始数据'!$A:$A,0)),""))</f>
        <v/>
      </c>
      <c r="AA427" s="2">
        <f>IFERROR(G427/B427,"")</f>
        <v/>
      </c>
      <c r="AB427" s="2">
        <f>IFERROR(H427/C427,"")</f>
        <v/>
      </c>
      <c r="AC427" s="2">
        <f>IFERROR(I427/D427,"")</f>
        <v/>
      </c>
      <c r="AD427" s="2">
        <f>IFERROR(J427/E427,"")</f>
        <v/>
      </c>
      <c r="AE427" s="2">
        <f>IFERROR(K427/F427,"")</f>
        <v/>
      </c>
      <c r="AF427" s="2">
        <f>IFERROR(L427/B427,"")</f>
        <v/>
      </c>
      <c r="AG427" s="2">
        <f>IFERROR(M427/C427,"")</f>
        <v/>
      </c>
      <c r="AH427" s="2">
        <f>IFERROR(N427/D427,"")</f>
        <v/>
      </c>
      <c r="AI427" s="2">
        <f>IFERROR(O427/E427,"")</f>
        <v/>
      </c>
      <c r="AJ427" s="2">
        <f>IFERROR(P427/F427,"")</f>
        <v/>
      </c>
      <c r="AK427" s="2">
        <f>IFERROR(Q427/B427,"")</f>
        <v/>
      </c>
      <c r="AL427" s="2">
        <f>IFERROR(R427/C427,"")</f>
        <v/>
      </c>
      <c r="AM427" s="2">
        <f>IFERROR(S427/D427,"")</f>
        <v/>
      </c>
      <c r="AN427" s="2">
        <f>IFERROR(T427/E427,"")</f>
        <v/>
      </c>
      <c r="AO427" s="2">
        <f>IFERROR(U427/F427,"")</f>
        <v/>
      </c>
    </row>
    <row r="428">
      <c r="B428">
        <f>IF($A428="","",IFERROR(INDEX('[AQ_2020.xlsx]原始数据'!$B:$B,MATCH($A428,'[AQ_2020.xlsx]原始数据'!$A:$A,0)),""))</f>
        <v/>
      </c>
      <c r="C428">
        <f>IF($A428="","",IFERROR(INDEX('[AQ_2021.xlsx]原始数据'!$B:$B,MATCH($A428,'[AQ_2021.xlsx]原始数据'!$A:$A,0)),""))</f>
        <v/>
      </c>
      <c r="D428">
        <f>IF($A428="","",IFERROR(INDEX('[AQ_2022.xlsx]原始数据'!$B:$B,MATCH($A428,'[AQ_2022.xlsx]原始数据'!$A:$A,0)),""))</f>
        <v/>
      </c>
      <c r="E428">
        <f>IF($A428="","",IFERROR(INDEX('[AQ_2023.xlsx]原始数据'!$B:$B,MATCH($A428,'[AQ_2023.xlsx]原始数据'!$A:$A,0)),""))</f>
        <v/>
      </c>
      <c r="F428">
        <f>IF($A428="","",IFERROR(INDEX('[AQ_2024.xlsx]原始数据'!$B:$B,MATCH($A428,'[AQ_2024.xlsx]原始数据'!$A:$A,0)),""))</f>
        <v/>
      </c>
      <c r="G428">
        <f>IF($A428="","",IFERROR(INDEX('[AQ_2020.xlsx]原始数据'!$C:$C,MATCH($A428,'[AQ_2020.xlsx]原始数据'!$A:$A,0)),""))</f>
        <v/>
      </c>
      <c r="H428">
        <f>IF($A428="","",IFERROR(INDEX('[AQ_2021.xlsx]原始数据'!$C:$C,MATCH($A428,'[AQ_2021.xlsx]原始数据'!$A:$A,0)),""))</f>
        <v/>
      </c>
      <c r="I428">
        <f>IF($A428="","",IFERROR(INDEX('[AQ_2022.xlsx]原始数据'!$C:$C,MATCH($A428,'[AQ_2022.xlsx]原始数据'!$A:$A,0)),""))</f>
        <v/>
      </c>
      <c r="J428">
        <f>IF($A428="","",IFERROR(INDEX('[AQ_2023.xlsx]原始数据'!$C:$C,MATCH($A428,'[AQ_2023.xlsx]原始数据'!$A:$A,0)),""))</f>
        <v/>
      </c>
      <c r="K428">
        <f>IF($A428="","",IFERROR(INDEX('[AQ_2024.xlsx]原始数据'!$C:$C,MATCH($A428,'[AQ_2024.xlsx]原始数据'!$A:$A,0)),""))</f>
        <v/>
      </c>
      <c r="L428">
        <f>IF($A428="","",IFERROR(INDEX('[AQ_2020.xlsx]原始数据'!$D:$D,MATCH($A428,'[AQ_2020.xlsx]原始数据'!$A:$A,0)),""))</f>
        <v/>
      </c>
      <c r="M428">
        <f>IF($A428="","",IFERROR(INDEX('[AQ_2021.xlsx]原始数据'!$D:$D,MATCH($A428,'[AQ_2021.xlsx]原始数据'!$A:$A,0)),""))</f>
        <v/>
      </c>
      <c r="N428">
        <f>IF($A428="","",IFERROR(INDEX('[AQ_2022.xlsx]原始数据'!$D:$D,MATCH($A428,'[AQ_2022.xlsx]原始数据'!$A:$A,0)),""))</f>
        <v/>
      </c>
      <c r="O428">
        <f>IF($A428="","",IFERROR(INDEX('[AQ_2023.xlsx]原始数据'!$D:$D,MATCH($A428,'[AQ_2023.xlsx]原始数据'!$A:$A,0)),""))</f>
        <v/>
      </c>
      <c r="P428">
        <f>IF($A428="","",IFERROR(INDEX('[AQ_2024.xlsx]原始数据'!$D:$D,MATCH($A428,'[AQ_2024.xlsx]原始数据'!$A:$A,0)),""))</f>
        <v/>
      </c>
      <c r="Q428">
        <f>IF($A428="","",IFERROR(INDEX('[AQ_2020.xlsx]原始数据'!$E:$E,MATCH($A428,'[AQ_2020.xlsx]原始数据'!$A:$A,0)),""))</f>
        <v/>
      </c>
      <c r="R428">
        <f>IF($A428="","",IFERROR(INDEX('[AQ_2021.xlsx]原始数据'!$E:$E,MATCH($A428,'[AQ_2021.xlsx]原始数据'!$A:$A,0)),""))</f>
        <v/>
      </c>
      <c r="S428">
        <f>IF($A428="","",IFERROR(INDEX('[AQ_2022.xlsx]原始数据'!$E:$E,MATCH($A428,'[AQ_2022.xlsx]原始数据'!$A:$A,0)),""))</f>
        <v/>
      </c>
      <c r="T428">
        <f>IF($A428="","",IFERROR(INDEX('[AQ_2023.xlsx]原始数据'!$E:$E,MATCH($A428,'[AQ_2023.xlsx]原始数据'!$A:$A,0)),""))</f>
        <v/>
      </c>
      <c r="U428">
        <f>IF($A428="","",IFERROR(INDEX('[AQ_2024.xlsx]原始数据'!$E:$E,MATCH($A428,'[AQ_2024.xlsx]原始数据'!$A:$A,0)),""))</f>
        <v/>
      </c>
      <c r="V428">
        <f>IF($A428="","",IFERROR(INDEX('[AQ_2020.xlsx]原始数据'!$F:$F,MATCH($A428,'[AQ_2020.xlsx]原始数据'!$A:$A,0)),""))</f>
        <v/>
      </c>
      <c r="W428">
        <f>IF($A428="","",IFERROR(INDEX('[AQ_2021.xlsx]原始数据'!$F:$F,MATCH($A428,'[AQ_2021.xlsx]原始数据'!$A:$A,0)),""))</f>
        <v/>
      </c>
      <c r="X428">
        <f>IF($A428="","",IFERROR(INDEX('[AQ_2022.xlsx]原始数据'!$F:$F,MATCH($A428,'[AQ_2022.xlsx]原始数据'!$A:$A,0)),""))</f>
        <v/>
      </c>
      <c r="Y428">
        <f>IF($A428="","",IFERROR(INDEX('[AQ_2023.xlsx]原始数据'!$F:$F,MATCH($A428,'[AQ_2023.xlsx]原始数据'!$A:$A,0)),""))</f>
        <v/>
      </c>
      <c r="Z428">
        <f>IF($A428="","",IFERROR(INDEX('[AQ_2024.xlsx]原始数据'!$F:$F,MATCH($A428,'[AQ_2024.xlsx]原始数据'!$A:$A,0)),""))</f>
        <v/>
      </c>
      <c r="AA428" s="2">
        <f>IFERROR(G428/B428,"")</f>
        <v/>
      </c>
      <c r="AB428" s="2">
        <f>IFERROR(H428/C428,"")</f>
        <v/>
      </c>
      <c r="AC428" s="2">
        <f>IFERROR(I428/D428,"")</f>
        <v/>
      </c>
      <c r="AD428" s="2">
        <f>IFERROR(J428/E428,"")</f>
        <v/>
      </c>
      <c r="AE428" s="2">
        <f>IFERROR(K428/F428,"")</f>
        <v/>
      </c>
      <c r="AF428" s="2">
        <f>IFERROR(L428/B428,"")</f>
        <v/>
      </c>
      <c r="AG428" s="2">
        <f>IFERROR(M428/C428,"")</f>
        <v/>
      </c>
      <c r="AH428" s="2">
        <f>IFERROR(N428/D428,"")</f>
        <v/>
      </c>
      <c r="AI428" s="2">
        <f>IFERROR(O428/E428,"")</f>
        <v/>
      </c>
      <c r="AJ428" s="2">
        <f>IFERROR(P428/F428,"")</f>
        <v/>
      </c>
      <c r="AK428" s="2">
        <f>IFERROR(Q428/B428,"")</f>
        <v/>
      </c>
      <c r="AL428" s="2">
        <f>IFERROR(R428/C428,"")</f>
        <v/>
      </c>
      <c r="AM428" s="2">
        <f>IFERROR(S428/D428,"")</f>
        <v/>
      </c>
      <c r="AN428" s="2">
        <f>IFERROR(T428/E428,"")</f>
        <v/>
      </c>
      <c r="AO428" s="2">
        <f>IFERROR(U428/F428,"")</f>
        <v/>
      </c>
    </row>
    <row r="429">
      <c r="B429">
        <f>IF($A429="","",IFERROR(INDEX('[AQ_2020.xlsx]原始数据'!$B:$B,MATCH($A429,'[AQ_2020.xlsx]原始数据'!$A:$A,0)),""))</f>
        <v/>
      </c>
      <c r="C429">
        <f>IF($A429="","",IFERROR(INDEX('[AQ_2021.xlsx]原始数据'!$B:$B,MATCH($A429,'[AQ_2021.xlsx]原始数据'!$A:$A,0)),""))</f>
        <v/>
      </c>
      <c r="D429">
        <f>IF($A429="","",IFERROR(INDEX('[AQ_2022.xlsx]原始数据'!$B:$B,MATCH($A429,'[AQ_2022.xlsx]原始数据'!$A:$A,0)),""))</f>
        <v/>
      </c>
      <c r="E429">
        <f>IF($A429="","",IFERROR(INDEX('[AQ_2023.xlsx]原始数据'!$B:$B,MATCH($A429,'[AQ_2023.xlsx]原始数据'!$A:$A,0)),""))</f>
        <v/>
      </c>
      <c r="F429">
        <f>IF($A429="","",IFERROR(INDEX('[AQ_2024.xlsx]原始数据'!$B:$B,MATCH($A429,'[AQ_2024.xlsx]原始数据'!$A:$A,0)),""))</f>
        <v/>
      </c>
      <c r="G429">
        <f>IF($A429="","",IFERROR(INDEX('[AQ_2020.xlsx]原始数据'!$C:$C,MATCH($A429,'[AQ_2020.xlsx]原始数据'!$A:$A,0)),""))</f>
        <v/>
      </c>
      <c r="H429">
        <f>IF($A429="","",IFERROR(INDEX('[AQ_2021.xlsx]原始数据'!$C:$C,MATCH($A429,'[AQ_2021.xlsx]原始数据'!$A:$A,0)),""))</f>
        <v/>
      </c>
      <c r="I429">
        <f>IF($A429="","",IFERROR(INDEX('[AQ_2022.xlsx]原始数据'!$C:$C,MATCH($A429,'[AQ_2022.xlsx]原始数据'!$A:$A,0)),""))</f>
        <v/>
      </c>
      <c r="J429">
        <f>IF($A429="","",IFERROR(INDEX('[AQ_2023.xlsx]原始数据'!$C:$C,MATCH($A429,'[AQ_2023.xlsx]原始数据'!$A:$A,0)),""))</f>
        <v/>
      </c>
      <c r="K429">
        <f>IF($A429="","",IFERROR(INDEX('[AQ_2024.xlsx]原始数据'!$C:$C,MATCH($A429,'[AQ_2024.xlsx]原始数据'!$A:$A,0)),""))</f>
        <v/>
      </c>
      <c r="L429">
        <f>IF($A429="","",IFERROR(INDEX('[AQ_2020.xlsx]原始数据'!$D:$D,MATCH($A429,'[AQ_2020.xlsx]原始数据'!$A:$A,0)),""))</f>
        <v/>
      </c>
      <c r="M429">
        <f>IF($A429="","",IFERROR(INDEX('[AQ_2021.xlsx]原始数据'!$D:$D,MATCH($A429,'[AQ_2021.xlsx]原始数据'!$A:$A,0)),""))</f>
        <v/>
      </c>
      <c r="N429">
        <f>IF($A429="","",IFERROR(INDEX('[AQ_2022.xlsx]原始数据'!$D:$D,MATCH($A429,'[AQ_2022.xlsx]原始数据'!$A:$A,0)),""))</f>
        <v/>
      </c>
      <c r="O429">
        <f>IF($A429="","",IFERROR(INDEX('[AQ_2023.xlsx]原始数据'!$D:$D,MATCH($A429,'[AQ_2023.xlsx]原始数据'!$A:$A,0)),""))</f>
        <v/>
      </c>
      <c r="P429">
        <f>IF($A429="","",IFERROR(INDEX('[AQ_2024.xlsx]原始数据'!$D:$D,MATCH($A429,'[AQ_2024.xlsx]原始数据'!$A:$A,0)),""))</f>
        <v/>
      </c>
      <c r="Q429">
        <f>IF($A429="","",IFERROR(INDEX('[AQ_2020.xlsx]原始数据'!$E:$E,MATCH($A429,'[AQ_2020.xlsx]原始数据'!$A:$A,0)),""))</f>
        <v/>
      </c>
      <c r="R429">
        <f>IF($A429="","",IFERROR(INDEX('[AQ_2021.xlsx]原始数据'!$E:$E,MATCH($A429,'[AQ_2021.xlsx]原始数据'!$A:$A,0)),""))</f>
        <v/>
      </c>
      <c r="S429">
        <f>IF($A429="","",IFERROR(INDEX('[AQ_2022.xlsx]原始数据'!$E:$E,MATCH($A429,'[AQ_2022.xlsx]原始数据'!$A:$A,0)),""))</f>
        <v/>
      </c>
      <c r="T429">
        <f>IF($A429="","",IFERROR(INDEX('[AQ_2023.xlsx]原始数据'!$E:$E,MATCH($A429,'[AQ_2023.xlsx]原始数据'!$A:$A,0)),""))</f>
        <v/>
      </c>
      <c r="U429">
        <f>IF($A429="","",IFERROR(INDEX('[AQ_2024.xlsx]原始数据'!$E:$E,MATCH($A429,'[AQ_2024.xlsx]原始数据'!$A:$A,0)),""))</f>
        <v/>
      </c>
      <c r="V429">
        <f>IF($A429="","",IFERROR(INDEX('[AQ_2020.xlsx]原始数据'!$F:$F,MATCH($A429,'[AQ_2020.xlsx]原始数据'!$A:$A,0)),""))</f>
        <v/>
      </c>
      <c r="W429">
        <f>IF($A429="","",IFERROR(INDEX('[AQ_2021.xlsx]原始数据'!$F:$F,MATCH($A429,'[AQ_2021.xlsx]原始数据'!$A:$A,0)),""))</f>
        <v/>
      </c>
      <c r="X429">
        <f>IF($A429="","",IFERROR(INDEX('[AQ_2022.xlsx]原始数据'!$F:$F,MATCH($A429,'[AQ_2022.xlsx]原始数据'!$A:$A,0)),""))</f>
        <v/>
      </c>
      <c r="Y429">
        <f>IF($A429="","",IFERROR(INDEX('[AQ_2023.xlsx]原始数据'!$F:$F,MATCH($A429,'[AQ_2023.xlsx]原始数据'!$A:$A,0)),""))</f>
        <v/>
      </c>
      <c r="Z429">
        <f>IF($A429="","",IFERROR(INDEX('[AQ_2024.xlsx]原始数据'!$F:$F,MATCH($A429,'[AQ_2024.xlsx]原始数据'!$A:$A,0)),""))</f>
        <v/>
      </c>
      <c r="AA429" s="2">
        <f>IFERROR(G429/B429,"")</f>
        <v/>
      </c>
      <c r="AB429" s="2">
        <f>IFERROR(H429/C429,"")</f>
        <v/>
      </c>
      <c r="AC429" s="2">
        <f>IFERROR(I429/D429,"")</f>
        <v/>
      </c>
      <c r="AD429" s="2">
        <f>IFERROR(J429/E429,"")</f>
        <v/>
      </c>
      <c r="AE429" s="2">
        <f>IFERROR(K429/F429,"")</f>
        <v/>
      </c>
      <c r="AF429" s="2">
        <f>IFERROR(L429/B429,"")</f>
        <v/>
      </c>
      <c r="AG429" s="2">
        <f>IFERROR(M429/C429,"")</f>
        <v/>
      </c>
      <c r="AH429" s="2">
        <f>IFERROR(N429/D429,"")</f>
        <v/>
      </c>
      <c r="AI429" s="2">
        <f>IFERROR(O429/E429,"")</f>
        <v/>
      </c>
      <c r="AJ429" s="2">
        <f>IFERROR(P429/F429,"")</f>
        <v/>
      </c>
      <c r="AK429" s="2">
        <f>IFERROR(Q429/B429,"")</f>
        <v/>
      </c>
      <c r="AL429" s="2">
        <f>IFERROR(R429/C429,"")</f>
        <v/>
      </c>
      <c r="AM429" s="2">
        <f>IFERROR(S429/D429,"")</f>
        <v/>
      </c>
      <c r="AN429" s="2">
        <f>IFERROR(T429/E429,"")</f>
        <v/>
      </c>
      <c r="AO429" s="2">
        <f>IFERROR(U429/F429,"")</f>
        <v/>
      </c>
    </row>
    <row r="430">
      <c r="B430">
        <f>IF($A430="","",IFERROR(INDEX('[AQ_2020.xlsx]原始数据'!$B:$B,MATCH($A430,'[AQ_2020.xlsx]原始数据'!$A:$A,0)),""))</f>
        <v/>
      </c>
      <c r="C430">
        <f>IF($A430="","",IFERROR(INDEX('[AQ_2021.xlsx]原始数据'!$B:$B,MATCH($A430,'[AQ_2021.xlsx]原始数据'!$A:$A,0)),""))</f>
        <v/>
      </c>
      <c r="D430">
        <f>IF($A430="","",IFERROR(INDEX('[AQ_2022.xlsx]原始数据'!$B:$B,MATCH($A430,'[AQ_2022.xlsx]原始数据'!$A:$A,0)),""))</f>
        <v/>
      </c>
      <c r="E430">
        <f>IF($A430="","",IFERROR(INDEX('[AQ_2023.xlsx]原始数据'!$B:$B,MATCH($A430,'[AQ_2023.xlsx]原始数据'!$A:$A,0)),""))</f>
        <v/>
      </c>
      <c r="F430">
        <f>IF($A430="","",IFERROR(INDEX('[AQ_2024.xlsx]原始数据'!$B:$B,MATCH($A430,'[AQ_2024.xlsx]原始数据'!$A:$A,0)),""))</f>
        <v/>
      </c>
      <c r="G430">
        <f>IF($A430="","",IFERROR(INDEX('[AQ_2020.xlsx]原始数据'!$C:$C,MATCH($A430,'[AQ_2020.xlsx]原始数据'!$A:$A,0)),""))</f>
        <v/>
      </c>
      <c r="H430">
        <f>IF($A430="","",IFERROR(INDEX('[AQ_2021.xlsx]原始数据'!$C:$C,MATCH($A430,'[AQ_2021.xlsx]原始数据'!$A:$A,0)),""))</f>
        <v/>
      </c>
      <c r="I430">
        <f>IF($A430="","",IFERROR(INDEX('[AQ_2022.xlsx]原始数据'!$C:$C,MATCH($A430,'[AQ_2022.xlsx]原始数据'!$A:$A,0)),""))</f>
        <v/>
      </c>
      <c r="J430">
        <f>IF($A430="","",IFERROR(INDEX('[AQ_2023.xlsx]原始数据'!$C:$C,MATCH($A430,'[AQ_2023.xlsx]原始数据'!$A:$A,0)),""))</f>
        <v/>
      </c>
      <c r="K430">
        <f>IF($A430="","",IFERROR(INDEX('[AQ_2024.xlsx]原始数据'!$C:$C,MATCH($A430,'[AQ_2024.xlsx]原始数据'!$A:$A,0)),""))</f>
        <v/>
      </c>
      <c r="L430">
        <f>IF($A430="","",IFERROR(INDEX('[AQ_2020.xlsx]原始数据'!$D:$D,MATCH($A430,'[AQ_2020.xlsx]原始数据'!$A:$A,0)),""))</f>
        <v/>
      </c>
      <c r="M430">
        <f>IF($A430="","",IFERROR(INDEX('[AQ_2021.xlsx]原始数据'!$D:$D,MATCH($A430,'[AQ_2021.xlsx]原始数据'!$A:$A,0)),""))</f>
        <v/>
      </c>
      <c r="N430">
        <f>IF($A430="","",IFERROR(INDEX('[AQ_2022.xlsx]原始数据'!$D:$D,MATCH($A430,'[AQ_2022.xlsx]原始数据'!$A:$A,0)),""))</f>
        <v/>
      </c>
      <c r="O430">
        <f>IF($A430="","",IFERROR(INDEX('[AQ_2023.xlsx]原始数据'!$D:$D,MATCH($A430,'[AQ_2023.xlsx]原始数据'!$A:$A,0)),""))</f>
        <v/>
      </c>
      <c r="P430">
        <f>IF($A430="","",IFERROR(INDEX('[AQ_2024.xlsx]原始数据'!$D:$D,MATCH($A430,'[AQ_2024.xlsx]原始数据'!$A:$A,0)),""))</f>
        <v/>
      </c>
      <c r="Q430">
        <f>IF($A430="","",IFERROR(INDEX('[AQ_2020.xlsx]原始数据'!$E:$E,MATCH($A430,'[AQ_2020.xlsx]原始数据'!$A:$A,0)),""))</f>
        <v/>
      </c>
      <c r="R430">
        <f>IF($A430="","",IFERROR(INDEX('[AQ_2021.xlsx]原始数据'!$E:$E,MATCH($A430,'[AQ_2021.xlsx]原始数据'!$A:$A,0)),""))</f>
        <v/>
      </c>
      <c r="S430">
        <f>IF($A430="","",IFERROR(INDEX('[AQ_2022.xlsx]原始数据'!$E:$E,MATCH($A430,'[AQ_2022.xlsx]原始数据'!$A:$A,0)),""))</f>
        <v/>
      </c>
      <c r="T430">
        <f>IF($A430="","",IFERROR(INDEX('[AQ_2023.xlsx]原始数据'!$E:$E,MATCH($A430,'[AQ_2023.xlsx]原始数据'!$A:$A,0)),""))</f>
        <v/>
      </c>
      <c r="U430">
        <f>IF($A430="","",IFERROR(INDEX('[AQ_2024.xlsx]原始数据'!$E:$E,MATCH($A430,'[AQ_2024.xlsx]原始数据'!$A:$A,0)),""))</f>
        <v/>
      </c>
      <c r="V430">
        <f>IF($A430="","",IFERROR(INDEX('[AQ_2020.xlsx]原始数据'!$F:$F,MATCH($A430,'[AQ_2020.xlsx]原始数据'!$A:$A,0)),""))</f>
        <v/>
      </c>
      <c r="W430">
        <f>IF($A430="","",IFERROR(INDEX('[AQ_2021.xlsx]原始数据'!$F:$F,MATCH($A430,'[AQ_2021.xlsx]原始数据'!$A:$A,0)),""))</f>
        <v/>
      </c>
      <c r="X430">
        <f>IF($A430="","",IFERROR(INDEX('[AQ_2022.xlsx]原始数据'!$F:$F,MATCH($A430,'[AQ_2022.xlsx]原始数据'!$A:$A,0)),""))</f>
        <v/>
      </c>
      <c r="Y430">
        <f>IF($A430="","",IFERROR(INDEX('[AQ_2023.xlsx]原始数据'!$F:$F,MATCH($A430,'[AQ_2023.xlsx]原始数据'!$A:$A,0)),""))</f>
        <v/>
      </c>
      <c r="Z430">
        <f>IF($A430="","",IFERROR(INDEX('[AQ_2024.xlsx]原始数据'!$F:$F,MATCH($A430,'[AQ_2024.xlsx]原始数据'!$A:$A,0)),""))</f>
        <v/>
      </c>
      <c r="AA430" s="2">
        <f>IFERROR(G430/B430,"")</f>
        <v/>
      </c>
      <c r="AB430" s="2">
        <f>IFERROR(H430/C430,"")</f>
        <v/>
      </c>
      <c r="AC430" s="2">
        <f>IFERROR(I430/D430,"")</f>
        <v/>
      </c>
      <c r="AD430" s="2">
        <f>IFERROR(J430/E430,"")</f>
        <v/>
      </c>
      <c r="AE430" s="2">
        <f>IFERROR(K430/F430,"")</f>
        <v/>
      </c>
      <c r="AF430" s="2">
        <f>IFERROR(L430/B430,"")</f>
        <v/>
      </c>
      <c r="AG430" s="2">
        <f>IFERROR(M430/C430,"")</f>
        <v/>
      </c>
      <c r="AH430" s="2">
        <f>IFERROR(N430/D430,"")</f>
        <v/>
      </c>
      <c r="AI430" s="2">
        <f>IFERROR(O430/E430,"")</f>
        <v/>
      </c>
      <c r="AJ430" s="2">
        <f>IFERROR(P430/F430,"")</f>
        <v/>
      </c>
      <c r="AK430" s="2">
        <f>IFERROR(Q430/B430,"")</f>
        <v/>
      </c>
      <c r="AL430" s="2">
        <f>IFERROR(R430/C430,"")</f>
        <v/>
      </c>
      <c r="AM430" s="2">
        <f>IFERROR(S430/D430,"")</f>
        <v/>
      </c>
      <c r="AN430" s="2">
        <f>IFERROR(T430/E430,"")</f>
        <v/>
      </c>
      <c r="AO430" s="2">
        <f>IFERROR(U430/F430,"")</f>
        <v/>
      </c>
    </row>
    <row r="431">
      <c r="B431">
        <f>IF($A431="","",IFERROR(INDEX('[AQ_2020.xlsx]原始数据'!$B:$B,MATCH($A431,'[AQ_2020.xlsx]原始数据'!$A:$A,0)),""))</f>
        <v/>
      </c>
      <c r="C431">
        <f>IF($A431="","",IFERROR(INDEX('[AQ_2021.xlsx]原始数据'!$B:$B,MATCH($A431,'[AQ_2021.xlsx]原始数据'!$A:$A,0)),""))</f>
        <v/>
      </c>
      <c r="D431">
        <f>IF($A431="","",IFERROR(INDEX('[AQ_2022.xlsx]原始数据'!$B:$B,MATCH($A431,'[AQ_2022.xlsx]原始数据'!$A:$A,0)),""))</f>
        <v/>
      </c>
      <c r="E431">
        <f>IF($A431="","",IFERROR(INDEX('[AQ_2023.xlsx]原始数据'!$B:$B,MATCH($A431,'[AQ_2023.xlsx]原始数据'!$A:$A,0)),""))</f>
        <v/>
      </c>
      <c r="F431">
        <f>IF($A431="","",IFERROR(INDEX('[AQ_2024.xlsx]原始数据'!$B:$B,MATCH($A431,'[AQ_2024.xlsx]原始数据'!$A:$A,0)),""))</f>
        <v/>
      </c>
      <c r="G431">
        <f>IF($A431="","",IFERROR(INDEX('[AQ_2020.xlsx]原始数据'!$C:$C,MATCH($A431,'[AQ_2020.xlsx]原始数据'!$A:$A,0)),""))</f>
        <v/>
      </c>
      <c r="H431">
        <f>IF($A431="","",IFERROR(INDEX('[AQ_2021.xlsx]原始数据'!$C:$C,MATCH($A431,'[AQ_2021.xlsx]原始数据'!$A:$A,0)),""))</f>
        <v/>
      </c>
      <c r="I431">
        <f>IF($A431="","",IFERROR(INDEX('[AQ_2022.xlsx]原始数据'!$C:$C,MATCH($A431,'[AQ_2022.xlsx]原始数据'!$A:$A,0)),""))</f>
        <v/>
      </c>
      <c r="J431">
        <f>IF($A431="","",IFERROR(INDEX('[AQ_2023.xlsx]原始数据'!$C:$C,MATCH($A431,'[AQ_2023.xlsx]原始数据'!$A:$A,0)),""))</f>
        <v/>
      </c>
      <c r="K431">
        <f>IF($A431="","",IFERROR(INDEX('[AQ_2024.xlsx]原始数据'!$C:$C,MATCH($A431,'[AQ_2024.xlsx]原始数据'!$A:$A,0)),""))</f>
        <v/>
      </c>
      <c r="L431">
        <f>IF($A431="","",IFERROR(INDEX('[AQ_2020.xlsx]原始数据'!$D:$D,MATCH($A431,'[AQ_2020.xlsx]原始数据'!$A:$A,0)),""))</f>
        <v/>
      </c>
      <c r="M431">
        <f>IF($A431="","",IFERROR(INDEX('[AQ_2021.xlsx]原始数据'!$D:$D,MATCH($A431,'[AQ_2021.xlsx]原始数据'!$A:$A,0)),""))</f>
        <v/>
      </c>
      <c r="N431">
        <f>IF($A431="","",IFERROR(INDEX('[AQ_2022.xlsx]原始数据'!$D:$D,MATCH($A431,'[AQ_2022.xlsx]原始数据'!$A:$A,0)),""))</f>
        <v/>
      </c>
      <c r="O431">
        <f>IF($A431="","",IFERROR(INDEX('[AQ_2023.xlsx]原始数据'!$D:$D,MATCH($A431,'[AQ_2023.xlsx]原始数据'!$A:$A,0)),""))</f>
        <v/>
      </c>
      <c r="P431">
        <f>IF($A431="","",IFERROR(INDEX('[AQ_2024.xlsx]原始数据'!$D:$D,MATCH($A431,'[AQ_2024.xlsx]原始数据'!$A:$A,0)),""))</f>
        <v/>
      </c>
      <c r="Q431">
        <f>IF($A431="","",IFERROR(INDEX('[AQ_2020.xlsx]原始数据'!$E:$E,MATCH($A431,'[AQ_2020.xlsx]原始数据'!$A:$A,0)),""))</f>
        <v/>
      </c>
      <c r="R431">
        <f>IF($A431="","",IFERROR(INDEX('[AQ_2021.xlsx]原始数据'!$E:$E,MATCH($A431,'[AQ_2021.xlsx]原始数据'!$A:$A,0)),""))</f>
        <v/>
      </c>
      <c r="S431">
        <f>IF($A431="","",IFERROR(INDEX('[AQ_2022.xlsx]原始数据'!$E:$E,MATCH($A431,'[AQ_2022.xlsx]原始数据'!$A:$A,0)),""))</f>
        <v/>
      </c>
      <c r="T431">
        <f>IF($A431="","",IFERROR(INDEX('[AQ_2023.xlsx]原始数据'!$E:$E,MATCH($A431,'[AQ_2023.xlsx]原始数据'!$A:$A,0)),""))</f>
        <v/>
      </c>
      <c r="U431">
        <f>IF($A431="","",IFERROR(INDEX('[AQ_2024.xlsx]原始数据'!$E:$E,MATCH($A431,'[AQ_2024.xlsx]原始数据'!$A:$A,0)),""))</f>
        <v/>
      </c>
      <c r="V431">
        <f>IF($A431="","",IFERROR(INDEX('[AQ_2020.xlsx]原始数据'!$F:$F,MATCH($A431,'[AQ_2020.xlsx]原始数据'!$A:$A,0)),""))</f>
        <v/>
      </c>
      <c r="W431">
        <f>IF($A431="","",IFERROR(INDEX('[AQ_2021.xlsx]原始数据'!$F:$F,MATCH($A431,'[AQ_2021.xlsx]原始数据'!$A:$A,0)),""))</f>
        <v/>
      </c>
      <c r="X431">
        <f>IF($A431="","",IFERROR(INDEX('[AQ_2022.xlsx]原始数据'!$F:$F,MATCH($A431,'[AQ_2022.xlsx]原始数据'!$A:$A,0)),""))</f>
        <v/>
      </c>
      <c r="Y431">
        <f>IF($A431="","",IFERROR(INDEX('[AQ_2023.xlsx]原始数据'!$F:$F,MATCH($A431,'[AQ_2023.xlsx]原始数据'!$A:$A,0)),""))</f>
        <v/>
      </c>
      <c r="Z431">
        <f>IF($A431="","",IFERROR(INDEX('[AQ_2024.xlsx]原始数据'!$F:$F,MATCH($A431,'[AQ_2024.xlsx]原始数据'!$A:$A,0)),""))</f>
        <v/>
      </c>
      <c r="AA431" s="2">
        <f>IFERROR(G431/B431,"")</f>
        <v/>
      </c>
      <c r="AB431" s="2">
        <f>IFERROR(H431/C431,"")</f>
        <v/>
      </c>
      <c r="AC431" s="2">
        <f>IFERROR(I431/D431,"")</f>
        <v/>
      </c>
      <c r="AD431" s="2">
        <f>IFERROR(J431/E431,"")</f>
        <v/>
      </c>
      <c r="AE431" s="2">
        <f>IFERROR(K431/F431,"")</f>
        <v/>
      </c>
      <c r="AF431" s="2">
        <f>IFERROR(L431/B431,"")</f>
        <v/>
      </c>
      <c r="AG431" s="2">
        <f>IFERROR(M431/C431,"")</f>
        <v/>
      </c>
      <c r="AH431" s="2">
        <f>IFERROR(N431/D431,"")</f>
        <v/>
      </c>
      <c r="AI431" s="2">
        <f>IFERROR(O431/E431,"")</f>
        <v/>
      </c>
      <c r="AJ431" s="2">
        <f>IFERROR(P431/F431,"")</f>
        <v/>
      </c>
      <c r="AK431" s="2">
        <f>IFERROR(Q431/B431,"")</f>
        <v/>
      </c>
      <c r="AL431" s="2">
        <f>IFERROR(R431/C431,"")</f>
        <v/>
      </c>
      <c r="AM431" s="2">
        <f>IFERROR(S431/D431,"")</f>
        <v/>
      </c>
      <c r="AN431" s="2">
        <f>IFERROR(T431/E431,"")</f>
        <v/>
      </c>
      <c r="AO431" s="2">
        <f>IFERROR(U431/F431,"")</f>
        <v/>
      </c>
    </row>
    <row r="432">
      <c r="B432">
        <f>IF($A432="","",IFERROR(INDEX('[AQ_2020.xlsx]原始数据'!$B:$B,MATCH($A432,'[AQ_2020.xlsx]原始数据'!$A:$A,0)),""))</f>
        <v/>
      </c>
      <c r="C432">
        <f>IF($A432="","",IFERROR(INDEX('[AQ_2021.xlsx]原始数据'!$B:$B,MATCH($A432,'[AQ_2021.xlsx]原始数据'!$A:$A,0)),""))</f>
        <v/>
      </c>
      <c r="D432">
        <f>IF($A432="","",IFERROR(INDEX('[AQ_2022.xlsx]原始数据'!$B:$B,MATCH($A432,'[AQ_2022.xlsx]原始数据'!$A:$A,0)),""))</f>
        <v/>
      </c>
      <c r="E432">
        <f>IF($A432="","",IFERROR(INDEX('[AQ_2023.xlsx]原始数据'!$B:$B,MATCH($A432,'[AQ_2023.xlsx]原始数据'!$A:$A,0)),""))</f>
        <v/>
      </c>
      <c r="F432">
        <f>IF($A432="","",IFERROR(INDEX('[AQ_2024.xlsx]原始数据'!$B:$B,MATCH($A432,'[AQ_2024.xlsx]原始数据'!$A:$A,0)),""))</f>
        <v/>
      </c>
      <c r="G432">
        <f>IF($A432="","",IFERROR(INDEX('[AQ_2020.xlsx]原始数据'!$C:$C,MATCH($A432,'[AQ_2020.xlsx]原始数据'!$A:$A,0)),""))</f>
        <v/>
      </c>
      <c r="H432">
        <f>IF($A432="","",IFERROR(INDEX('[AQ_2021.xlsx]原始数据'!$C:$C,MATCH($A432,'[AQ_2021.xlsx]原始数据'!$A:$A,0)),""))</f>
        <v/>
      </c>
      <c r="I432">
        <f>IF($A432="","",IFERROR(INDEX('[AQ_2022.xlsx]原始数据'!$C:$C,MATCH($A432,'[AQ_2022.xlsx]原始数据'!$A:$A,0)),""))</f>
        <v/>
      </c>
      <c r="J432">
        <f>IF($A432="","",IFERROR(INDEX('[AQ_2023.xlsx]原始数据'!$C:$C,MATCH($A432,'[AQ_2023.xlsx]原始数据'!$A:$A,0)),""))</f>
        <v/>
      </c>
      <c r="K432">
        <f>IF($A432="","",IFERROR(INDEX('[AQ_2024.xlsx]原始数据'!$C:$C,MATCH($A432,'[AQ_2024.xlsx]原始数据'!$A:$A,0)),""))</f>
        <v/>
      </c>
      <c r="L432">
        <f>IF($A432="","",IFERROR(INDEX('[AQ_2020.xlsx]原始数据'!$D:$D,MATCH($A432,'[AQ_2020.xlsx]原始数据'!$A:$A,0)),""))</f>
        <v/>
      </c>
      <c r="M432">
        <f>IF($A432="","",IFERROR(INDEX('[AQ_2021.xlsx]原始数据'!$D:$D,MATCH($A432,'[AQ_2021.xlsx]原始数据'!$A:$A,0)),""))</f>
        <v/>
      </c>
      <c r="N432">
        <f>IF($A432="","",IFERROR(INDEX('[AQ_2022.xlsx]原始数据'!$D:$D,MATCH($A432,'[AQ_2022.xlsx]原始数据'!$A:$A,0)),""))</f>
        <v/>
      </c>
      <c r="O432">
        <f>IF($A432="","",IFERROR(INDEX('[AQ_2023.xlsx]原始数据'!$D:$D,MATCH($A432,'[AQ_2023.xlsx]原始数据'!$A:$A,0)),""))</f>
        <v/>
      </c>
      <c r="P432">
        <f>IF($A432="","",IFERROR(INDEX('[AQ_2024.xlsx]原始数据'!$D:$D,MATCH($A432,'[AQ_2024.xlsx]原始数据'!$A:$A,0)),""))</f>
        <v/>
      </c>
      <c r="Q432">
        <f>IF($A432="","",IFERROR(INDEX('[AQ_2020.xlsx]原始数据'!$E:$E,MATCH($A432,'[AQ_2020.xlsx]原始数据'!$A:$A,0)),""))</f>
        <v/>
      </c>
      <c r="R432">
        <f>IF($A432="","",IFERROR(INDEX('[AQ_2021.xlsx]原始数据'!$E:$E,MATCH($A432,'[AQ_2021.xlsx]原始数据'!$A:$A,0)),""))</f>
        <v/>
      </c>
      <c r="S432">
        <f>IF($A432="","",IFERROR(INDEX('[AQ_2022.xlsx]原始数据'!$E:$E,MATCH($A432,'[AQ_2022.xlsx]原始数据'!$A:$A,0)),""))</f>
        <v/>
      </c>
      <c r="T432">
        <f>IF($A432="","",IFERROR(INDEX('[AQ_2023.xlsx]原始数据'!$E:$E,MATCH($A432,'[AQ_2023.xlsx]原始数据'!$A:$A,0)),""))</f>
        <v/>
      </c>
      <c r="U432">
        <f>IF($A432="","",IFERROR(INDEX('[AQ_2024.xlsx]原始数据'!$E:$E,MATCH($A432,'[AQ_2024.xlsx]原始数据'!$A:$A,0)),""))</f>
        <v/>
      </c>
      <c r="V432">
        <f>IF($A432="","",IFERROR(INDEX('[AQ_2020.xlsx]原始数据'!$F:$F,MATCH($A432,'[AQ_2020.xlsx]原始数据'!$A:$A,0)),""))</f>
        <v/>
      </c>
      <c r="W432">
        <f>IF($A432="","",IFERROR(INDEX('[AQ_2021.xlsx]原始数据'!$F:$F,MATCH($A432,'[AQ_2021.xlsx]原始数据'!$A:$A,0)),""))</f>
        <v/>
      </c>
      <c r="X432">
        <f>IF($A432="","",IFERROR(INDEX('[AQ_2022.xlsx]原始数据'!$F:$F,MATCH($A432,'[AQ_2022.xlsx]原始数据'!$A:$A,0)),""))</f>
        <v/>
      </c>
      <c r="Y432">
        <f>IF($A432="","",IFERROR(INDEX('[AQ_2023.xlsx]原始数据'!$F:$F,MATCH($A432,'[AQ_2023.xlsx]原始数据'!$A:$A,0)),""))</f>
        <v/>
      </c>
      <c r="Z432">
        <f>IF($A432="","",IFERROR(INDEX('[AQ_2024.xlsx]原始数据'!$F:$F,MATCH($A432,'[AQ_2024.xlsx]原始数据'!$A:$A,0)),""))</f>
        <v/>
      </c>
      <c r="AA432" s="2">
        <f>IFERROR(G432/B432,"")</f>
        <v/>
      </c>
      <c r="AB432" s="2">
        <f>IFERROR(H432/C432,"")</f>
        <v/>
      </c>
      <c r="AC432" s="2">
        <f>IFERROR(I432/D432,"")</f>
        <v/>
      </c>
      <c r="AD432" s="2">
        <f>IFERROR(J432/E432,"")</f>
        <v/>
      </c>
      <c r="AE432" s="2">
        <f>IFERROR(K432/F432,"")</f>
        <v/>
      </c>
      <c r="AF432" s="2">
        <f>IFERROR(L432/B432,"")</f>
        <v/>
      </c>
      <c r="AG432" s="2">
        <f>IFERROR(M432/C432,"")</f>
        <v/>
      </c>
      <c r="AH432" s="2">
        <f>IFERROR(N432/D432,"")</f>
        <v/>
      </c>
      <c r="AI432" s="2">
        <f>IFERROR(O432/E432,"")</f>
        <v/>
      </c>
      <c r="AJ432" s="2">
        <f>IFERROR(P432/F432,"")</f>
        <v/>
      </c>
      <c r="AK432" s="2">
        <f>IFERROR(Q432/B432,"")</f>
        <v/>
      </c>
      <c r="AL432" s="2">
        <f>IFERROR(R432/C432,"")</f>
        <v/>
      </c>
      <c r="AM432" s="2">
        <f>IFERROR(S432/D432,"")</f>
        <v/>
      </c>
      <c r="AN432" s="2">
        <f>IFERROR(T432/E432,"")</f>
        <v/>
      </c>
      <c r="AO432" s="2">
        <f>IFERROR(U432/F432,"")</f>
        <v/>
      </c>
    </row>
    <row r="433">
      <c r="B433">
        <f>IF($A433="","",IFERROR(INDEX('[AQ_2020.xlsx]原始数据'!$B:$B,MATCH($A433,'[AQ_2020.xlsx]原始数据'!$A:$A,0)),""))</f>
        <v/>
      </c>
      <c r="C433">
        <f>IF($A433="","",IFERROR(INDEX('[AQ_2021.xlsx]原始数据'!$B:$B,MATCH($A433,'[AQ_2021.xlsx]原始数据'!$A:$A,0)),""))</f>
        <v/>
      </c>
      <c r="D433">
        <f>IF($A433="","",IFERROR(INDEX('[AQ_2022.xlsx]原始数据'!$B:$B,MATCH($A433,'[AQ_2022.xlsx]原始数据'!$A:$A,0)),""))</f>
        <v/>
      </c>
      <c r="E433">
        <f>IF($A433="","",IFERROR(INDEX('[AQ_2023.xlsx]原始数据'!$B:$B,MATCH($A433,'[AQ_2023.xlsx]原始数据'!$A:$A,0)),""))</f>
        <v/>
      </c>
      <c r="F433">
        <f>IF($A433="","",IFERROR(INDEX('[AQ_2024.xlsx]原始数据'!$B:$B,MATCH($A433,'[AQ_2024.xlsx]原始数据'!$A:$A,0)),""))</f>
        <v/>
      </c>
      <c r="G433">
        <f>IF($A433="","",IFERROR(INDEX('[AQ_2020.xlsx]原始数据'!$C:$C,MATCH($A433,'[AQ_2020.xlsx]原始数据'!$A:$A,0)),""))</f>
        <v/>
      </c>
      <c r="H433">
        <f>IF($A433="","",IFERROR(INDEX('[AQ_2021.xlsx]原始数据'!$C:$C,MATCH($A433,'[AQ_2021.xlsx]原始数据'!$A:$A,0)),""))</f>
        <v/>
      </c>
      <c r="I433">
        <f>IF($A433="","",IFERROR(INDEX('[AQ_2022.xlsx]原始数据'!$C:$C,MATCH($A433,'[AQ_2022.xlsx]原始数据'!$A:$A,0)),""))</f>
        <v/>
      </c>
      <c r="J433">
        <f>IF($A433="","",IFERROR(INDEX('[AQ_2023.xlsx]原始数据'!$C:$C,MATCH($A433,'[AQ_2023.xlsx]原始数据'!$A:$A,0)),""))</f>
        <v/>
      </c>
      <c r="K433">
        <f>IF($A433="","",IFERROR(INDEX('[AQ_2024.xlsx]原始数据'!$C:$C,MATCH($A433,'[AQ_2024.xlsx]原始数据'!$A:$A,0)),""))</f>
        <v/>
      </c>
      <c r="L433">
        <f>IF($A433="","",IFERROR(INDEX('[AQ_2020.xlsx]原始数据'!$D:$D,MATCH($A433,'[AQ_2020.xlsx]原始数据'!$A:$A,0)),""))</f>
        <v/>
      </c>
      <c r="M433">
        <f>IF($A433="","",IFERROR(INDEX('[AQ_2021.xlsx]原始数据'!$D:$D,MATCH($A433,'[AQ_2021.xlsx]原始数据'!$A:$A,0)),""))</f>
        <v/>
      </c>
      <c r="N433">
        <f>IF($A433="","",IFERROR(INDEX('[AQ_2022.xlsx]原始数据'!$D:$D,MATCH($A433,'[AQ_2022.xlsx]原始数据'!$A:$A,0)),""))</f>
        <v/>
      </c>
      <c r="O433">
        <f>IF($A433="","",IFERROR(INDEX('[AQ_2023.xlsx]原始数据'!$D:$D,MATCH($A433,'[AQ_2023.xlsx]原始数据'!$A:$A,0)),""))</f>
        <v/>
      </c>
      <c r="P433">
        <f>IF($A433="","",IFERROR(INDEX('[AQ_2024.xlsx]原始数据'!$D:$D,MATCH($A433,'[AQ_2024.xlsx]原始数据'!$A:$A,0)),""))</f>
        <v/>
      </c>
      <c r="Q433">
        <f>IF($A433="","",IFERROR(INDEX('[AQ_2020.xlsx]原始数据'!$E:$E,MATCH($A433,'[AQ_2020.xlsx]原始数据'!$A:$A,0)),""))</f>
        <v/>
      </c>
      <c r="R433">
        <f>IF($A433="","",IFERROR(INDEX('[AQ_2021.xlsx]原始数据'!$E:$E,MATCH($A433,'[AQ_2021.xlsx]原始数据'!$A:$A,0)),""))</f>
        <v/>
      </c>
      <c r="S433">
        <f>IF($A433="","",IFERROR(INDEX('[AQ_2022.xlsx]原始数据'!$E:$E,MATCH($A433,'[AQ_2022.xlsx]原始数据'!$A:$A,0)),""))</f>
        <v/>
      </c>
      <c r="T433">
        <f>IF($A433="","",IFERROR(INDEX('[AQ_2023.xlsx]原始数据'!$E:$E,MATCH($A433,'[AQ_2023.xlsx]原始数据'!$A:$A,0)),""))</f>
        <v/>
      </c>
      <c r="U433">
        <f>IF($A433="","",IFERROR(INDEX('[AQ_2024.xlsx]原始数据'!$E:$E,MATCH($A433,'[AQ_2024.xlsx]原始数据'!$A:$A,0)),""))</f>
        <v/>
      </c>
      <c r="V433">
        <f>IF($A433="","",IFERROR(INDEX('[AQ_2020.xlsx]原始数据'!$F:$F,MATCH($A433,'[AQ_2020.xlsx]原始数据'!$A:$A,0)),""))</f>
        <v/>
      </c>
      <c r="W433">
        <f>IF($A433="","",IFERROR(INDEX('[AQ_2021.xlsx]原始数据'!$F:$F,MATCH($A433,'[AQ_2021.xlsx]原始数据'!$A:$A,0)),""))</f>
        <v/>
      </c>
      <c r="X433">
        <f>IF($A433="","",IFERROR(INDEX('[AQ_2022.xlsx]原始数据'!$F:$F,MATCH($A433,'[AQ_2022.xlsx]原始数据'!$A:$A,0)),""))</f>
        <v/>
      </c>
      <c r="Y433">
        <f>IF($A433="","",IFERROR(INDEX('[AQ_2023.xlsx]原始数据'!$F:$F,MATCH($A433,'[AQ_2023.xlsx]原始数据'!$A:$A,0)),""))</f>
        <v/>
      </c>
      <c r="Z433">
        <f>IF($A433="","",IFERROR(INDEX('[AQ_2024.xlsx]原始数据'!$F:$F,MATCH($A433,'[AQ_2024.xlsx]原始数据'!$A:$A,0)),""))</f>
        <v/>
      </c>
      <c r="AA433" s="2">
        <f>IFERROR(G433/B433,"")</f>
        <v/>
      </c>
      <c r="AB433" s="2">
        <f>IFERROR(H433/C433,"")</f>
        <v/>
      </c>
      <c r="AC433" s="2">
        <f>IFERROR(I433/D433,"")</f>
        <v/>
      </c>
      <c r="AD433" s="2">
        <f>IFERROR(J433/E433,"")</f>
        <v/>
      </c>
      <c r="AE433" s="2">
        <f>IFERROR(K433/F433,"")</f>
        <v/>
      </c>
      <c r="AF433" s="2">
        <f>IFERROR(L433/B433,"")</f>
        <v/>
      </c>
      <c r="AG433" s="2">
        <f>IFERROR(M433/C433,"")</f>
        <v/>
      </c>
      <c r="AH433" s="2">
        <f>IFERROR(N433/D433,"")</f>
        <v/>
      </c>
      <c r="AI433" s="2">
        <f>IFERROR(O433/E433,"")</f>
        <v/>
      </c>
      <c r="AJ433" s="2">
        <f>IFERROR(P433/F433,"")</f>
        <v/>
      </c>
      <c r="AK433" s="2">
        <f>IFERROR(Q433/B433,"")</f>
        <v/>
      </c>
      <c r="AL433" s="2">
        <f>IFERROR(R433/C433,"")</f>
        <v/>
      </c>
      <c r="AM433" s="2">
        <f>IFERROR(S433/D433,"")</f>
        <v/>
      </c>
      <c r="AN433" s="2">
        <f>IFERROR(T433/E433,"")</f>
        <v/>
      </c>
      <c r="AO433" s="2">
        <f>IFERROR(U433/F433,"")</f>
        <v/>
      </c>
    </row>
    <row r="434">
      <c r="B434">
        <f>IF($A434="","",IFERROR(INDEX('[AQ_2020.xlsx]原始数据'!$B:$B,MATCH($A434,'[AQ_2020.xlsx]原始数据'!$A:$A,0)),""))</f>
        <v/>
      </c>
      <c r="C434">
        <f>IF($A434="","",IFERROR(INDEX('[AQ_2021.xlsx]原始数据'!$B:$B,MATCH($A434,'[AQ_2021.xlsx]原始数据'!$A:$A,0)),""))</f>
        <v/>
      </c>
      <c r="D434">
        <f>IF($A434="","",IFERROR(INDEX('[AQ_2022.xlsx]原始数据'!$B:$B,MATCH($A434,'[AQ_2022.xlsx]原始数据'!$A:$A,0)),""))</f>
        <v/>
      </c>
      <c r="E434">
        <f>IF($A434="","",IFERROR(INDEX('[AQ_2023.xlsx]原始数据'!$B:$B,MATCH($A434,'[AQ_2023.xlsx]原始数据'!$A:$A,0)),""))</f>
        <v/>
      </c>
      <c r="F434">
        <f>IF($A434="","",IFERROR(INDEX('[AQ_2024.xlsx]原始数据'!$B:$B,MATCH($A434,'[AQ_2024.xlsx]原始数据'!$A:$A,0)),""))</f>
        <v/>
      </c>
      <c r="G434">
        <f>IF($A434="","",IFERROR(INDEX('[AQ_2020.xlsx]原始数据'!$C:$C,MATCH($A434,'[AQ_2020.xlsx]原始数据'!$A:$A,0)),""))</f>
        <v/>
      </c>
      <c r="H434">
        <f>IF($A434="","",IFERROR(INDEX('[AQ_2021.xlsx]原始数据'!$C:$C,MATCH($A434,'[AQ_2021.xlsx]原始数据'!$A:$A,0)),""))</f>
        <v/>
      </c>
      <c r="I434">
        <f>IF($A434="","",IFERROR(INDEX('[AQ_2022.xlsx]原始数据'!$C:$C,MATCH($A434,'[AQ_2022.xlsx]原始数据'!$A:$A,0)),""))</f>
        <v/>
      </c>
      <c r="J434">
        <f>IF($A434="","",IFERROR(INDEX('[AQ_2023.xlsx]原始数据'!$C:$C,MATCH($A434,'[AQ_2023.xlsx]原始数据'!$A:$A,0)),""))</f>
        <v/>
      </c>
      <c r="K434">
        <f>IF($A434="","",IFERROR(INDEX('[AQ_2024.xlsx]原始数据'!$C:$C,MATCH($A434,'[AQ_2024.xlsx]原始数据'!$A:$A,0)),""))</f>
        <v/>
      </c>
      <c r="L434">
        <f>IF($A434="","",IFERROR(INDEX('[AQ_2020.xlsx]原始数据'!$D:$D,MATCH($A434,'[AQ_2020.xlsx]原始数据'!$A:$A,0)),""))</f>
        <v/>
      </c>
      <c r="M434">
        <f>IF($A434="","",IFERROR(INDEX('[AQ_2021.xlsx]原始数据'!$D:$D,MATCH($A434,'[AQ_2021.xlsx]原始数据'!$A:$A,0)),""))</f>
        <v/>
      </c>
      <c r="N434">
        <f>IF($A434="","",IFERROR(INDEX('[AQ_2022.xlsx]原始数据'!$D:$D,MATCH($A434,'[AQ_2022.xlsx]原始数据'!$A:$A,0)),""))</f>
        <v/>
      </c>
      <c r="O434">
        <f>IF($A434="","",IFERROR(INDEX('[AQ_2023.xlsx]原始数据'!$D:$D,MATCH($A434,'[AQ_2023.xlsx]原始数据'!$A:$A,0)),""))</f>
        <v/>
      </c>
      <c r="P434">
        <f>IF($A434="","",IFERROR(INDEX('[AQ_2024.xlsx]原始数据'!$D:$D,MATCH($A434,'[AQ_2024.xlsx]原始数据'!$A:$A,0)),""))</f>
        <v/>
      </c>
      <c r="Q434">
        <f>IF($A434="","",IFERROR(INDEX('[AQ_2020.xlsx]原始数据'!$E:$E,MATCH($A434,'[AQ_2020.xlsx]原始数据'!$A:$A,0)),""))</f>
        <v/>
      </c>
      <c r="R434">
        <f>IF($A434="","",IFERROR(INDEX('[AQ_2021.xlsx]原始数据'!$E:$E,MATCH($A434,'[AQ_2021.xlsx]原始数据'!$A:$A,0)),""))</f>
        <v/>
      </c>
      <c r="S434">
        <f>IF($A434="","",IFERROR(INDEX('[AQ_2022.xlsx]原始数据'!$E:$E,MATCH($A434,'[AQ_2022.xlsx]原始数据'!$A:$A,0)),""))</f>
        <v/>
      </c>
      <c r="T434">
        <f>IF($A434="","",IFERROR(INDEX('[AQ_2023.xlsx]原始数据'!$E:$E,MATCH($A434,'[AQ_2023.xlsx]原始数据'!$A:$A,0)),""))</f>
        <v/>
      </c>
      <c r="U434">
        <f>IF($A434="","",IFERROR(INDEX('[AQ_2024.xlsx]原始数据'!$E:$E,MATCH($A434,'[AQ_2024.xlsx]原始数据'!$A:$A,0)),""))</f>
        <v/>
      </c>
      <c r="V434">
        <f>IF($A434="","",IFERROR(INDEX('[AQ_2020.xlsx]原始数据'!$F:$F,MATCH($A434,'[AQ_2020.xlsx]原始数据'!$A:$A,0)),""))</f>
        <v/>
      </c>
      <c r="W434">
        <f>IF($A434="","",IFERROR(INDEX('[AQ_2021.xlsx]原始数据'!$F:$F,MATCH($A434,'[AQ_2021.xlsx]原始数据'!$A:$A,0)),""))</f>
        <v/>
      </c>
      <c r="X434">
        <f>IF($A434="","",IFERROR(INDEX('[AQ_2022.xlsx]原始数据'!$F:$F,MATCH($A434,'[AQ_2022.xlsx]原始数据'!$A:$A,0)),""))</f>
        <v/>
      </c>
      <c r="Y434">
        <f>IF($A434="","",IFERROR(INDEX('[AQ_2023.xlsx]原始数据'!$F:$F,MATCH($A434,'[AQ_2023.xlsx]原始数据'!$A:$A,0)),""))</f>
        <v/>
      </c>
      <c r="Z434">
        <f>IF($A434="","",IFERROR(INDEX('[AQ_2024.xlsx]原始数据'!$F:$F,MATCH($A434,'[AQ_2024.xlsx]原始数据'!$A:$A,0)),""))</f>
        <v/>
      </c>
      <c r="AA434" s="2">
        <f>IFERROR(G434/B434,"")</f>
        <v/>
      </c>
      <c r="AB434" s="2">
        <f>IFERROR(H434/C434,"")</f>
        <v/>
      </c>
      <c r="AC434" s="2">
        <f>IFERROR(I434/D434,"")</f>
        <v/>
      </c>
      <c r="AD434" s="2">
        <f>IFERROR(J434/E434,"")</f>
        <v/>
      </c>
      <c r="AE434" s="2">
        <f>IFERROR(K434/F434,"")</f>
        <v/>
      </c>
      <c r="AF434" s="2">
        <f>IFERROR(L434/B434,"")</f>
        <v/>
      </c>
      <c r="AG434" s="2">
        <f>IFERROR(M434/C434,"")</f>
        <v/>
      </c>
      <c r="AH434" s="2">
        <f>IFERROR(N434/D434,"")</f>
        <v/>
      </c>
      <c r="AI434" s="2">
        <f>IFERROR(O434/E434,"")</f>
        <v/>
      </c>
      <c r="AJ434" s="2">
        <f>IFERROR(P434/F434,"")</f>
        <v/>
      </c>
      <c r="AK434" s="2">
        <f>IFERROR(Q434/B434,"")</f>
        <v/>
      </c>
      <c r="AL434" s="2">
        <f>IFERROR(R434/C434,"")</f>
        <v/>
      </c>
      <c r="AM434" s="2">
        <f>IFERROR(S434/D434,"")</f>
        <v/>
      </c>
      <c r="AN434" s="2">
        <f>IFERROR(T434/E434,"")</f>
        <v/>
      </c>
      <c r="AO434" s="2">
        <f>IFERROR(U434/F434,"")</f>
        <v/>
      </c>
    </row>
    <row r="435">
      <c r="B435">
        <f>IF($A435="","",IFERROR(INDEX('[AQ_2020.xlsx]原始数据'!$B:$B,MATCH($A435,'[AQ_2020.xlsx]原始数据'!$A:$A,0)),""))</f>
        <v/>
      </c>
      <c r="C435">
        <f>IF($A435="","",IFERROR(INDEX('[AQ_2021.xlsx]原始数据'!$B:$B,MATCH($A435,'[AQ_2021.xlsx]原始数据'!$A:$A,0)),""))</f>
        <v/>
      </c>
      <c r="D435">
        <f>IF($A435="","",IFERROR(INDEX('[AQ_2022.xlsx]原始数据'!$B:$B,MATCH($A435,'[AQ_2022.xlsx]原始数据'!$A:$A,0)),""))</f>
        <v/>
      </c>
      <c r="E435">
        <f>IF($A435="","",IFERROR(INDEX('[AQ_2023.xlsx]原始数据'!$B:$B,MATCH($A435,'[AQ_2023.xlsx]原始数据'!$A:$A,0)),""))</f>
        <v/>
      </c>
      <c r="F435">
        <f>IF($A435="","",IFERROR(INDEX('[AQ_2024.xlsx]原始数据'!$B:$B,MATCH($A435,'[AQ_2024.xlsx]原始数据'!$A:$A,0)),""))</f>
        <v/>
      </c>
      <c r="G435">
        <f>IF($A435="","",IFERROR(INDEX('[AQ_2020.xlsx]原始数据'!$C:$C,MATCH($A435,'[AQ_2020.xlsx]原始数据'!$A:$A,0)),""))</f>
        <v/>
      </c>
      <c r="H435">
        <f>IF($A435="","",IFERROR(INDEX('[AQ_2021.xlsx]原始数据'!$C:$C,MATCH($A435,'[AQ_2021.xlsx]原始数据'!$A:$A,0)),""))</f>
        <v/>
      </c>
      <c r="I435">
        <f>IF($A435="","",IFERROR(INDEX('[AQ_2022.xlsx]原始数据'!$C:$C,MATCH($A435,'[AQ_2022.xlsx]原始数据'!$A:$A,0)),""))</f>
        <v/>
      </c>
      <c r="J435">
        <f>IF($A435="","",IFERROR(INDEX('[AQ_2023.xlsx]原始数据'!$C:$C,MATCH($A435,'[AQ_2023.xlsx]原始数据'!$A:$A,0)),""))</f>
        <v/>
      </c>
      <c r="K435">
        <f>IF($A435="","",IFERROR(INDEX('[AQ_2024.xlsx]原始数据'!$C:$C,MATCH($A435,'[AQ_2024.xlsx]原始数据'!$A:$A,0)),""))</f>
        <v/>
      </c>
      <c r="L435">
        <f>IF($A435="","",IFERROR(INDEX('[AQ_2020.xlsx]原始数据'!$D:$D,MATCH($A435,'[AQ_2020.xlsx]原始数据'!$A:$A,0)),""))</f>
        <v/>
      </c>
      <c r="M435">
        <f>IF($A435="","",IFERROR(INDEX('[AQ_2021.xlsx]原始数据'!$D:$D,MATCH($A435,'[AQ_2021.xlsx]原始数据'!$A:$A,0)),""))</f>
        <v/>
      </c>
      <c r="N435">
        <f>IF($A435="","",IFERROR(INDEX('[AQ_2022.xlsx]原始数据'!$D:$D,MATCH($A435,'[AQ_2022.xlsx]原始数据'!$A:$A,0)),""))</f>
        <v/>
      </c>
      <c r="O435">
        <f>IF($A435="","",IFERROR(INDEX('[AQ_2023.xlsx]原始数据'!$D:$D,MATCH($A435,'[AQ_2023.xlsx]原始数据'!$A:$A,0)),""))</f>
        <v/>
      </c>
      <c r="P435">
        <f>IF($A435="","",IFERROR(INDEX('[AQ_2024.xlsx]原始数据'!$D:$D,MATCH($A435,'[AQ_2024.xlsx]原始数据'!$A:$A,0)),""))</f>
        <v/>
      </c>
      <c r="Q435">
        <f>IF($A435="","",IFERROR(INDEX('[AQ_2020.xlsx]原始数据'!$E:$E,MATCH($A435,'[AQ_2020.xlsx]原始数据'!$A:$A,0)),""))</f>
        <v/>
      </c>
      <c r="R435">
        <f>IF($A435="","",IFERROR(INDEX('[AQ_2021.xlsx]原始数据'!$E:$E,MATCH($A435,'[AQ_2021.xlsx]原始数据'!$A:$A,0)),""))</f>
        <v/>
      </c>
      <c r="S435">
        <f>IF($A435="","",IFERROR(INDEX('[AQ_2022.xlsx]原始数据'!$E:$E,MATCH($A435,'[AQ_2022.xlsx]原始数据'!$A:$A,0)),""))</f>
        <v/>
      </c>
      <c r="T435">
        <f>IF($A435="","",IFERROR(INDEX('[AQ_2023.xlsx]原始数据'!$E:$E,MATCH($A435,'[AQ_2023.xlsx]原始数据'!$A:$A,0)),""))</f>
        <v/>
      </c>
      <c r="U435">
        <f>IF($A435="","",IFERROR(INDEX('[AQ_2024.xlsx]原始数据'!$E:$E,MATCH($A435,'[AQ_2024.xlsx]原始数据'!$A:$A,0)),""))</f>
        <v/>
      </c>
      <c r="V435">
        <f>IF($A435="","",IFERROR(INDEX('[AQ_2020.xlsx]原始数据'!$F:$F,MATCH($A435,'[AQ_2020.xlsx]原始数据'!$A:$A,0)),""))</f>
        <v/>
      </c>
      <c r="W435">
        <f>IF($A435="","",IFERROR(INDEX('[AQ_2021.xlsx]原始数据'!$F:$F,MATCH($A435,'[AQ_2021.xlsx]原始数据'!$A:$A,0)),""))</f>
        <v/>
      </c>
      <c r="X435">
        <f>IF($A435="","",IFERROR(INDEX('[AQ_2022.xlsx]原始数据'!$F:$F,MATCH($A435,'[AQ_2022.xlsx]原始数据'!$A:$A,0)),""))</f>
        <v/>
      </c>
      <c r="Y435">
        <f>IF($A435="","",IFERROR(INDEX('[AQ_2023.xlsx]原始数据'!$F:$F,MATCH($A435,'[AQ_2023.xlsx]原始数据'!$A:$A,0)),""))</f>
        <v/>
      </c>
      <c r="Z435">
        <f>IF($A435="","",IFERROR(INDEX('[AQ_2024.xlsx]原始数据'!$F:$F,MATCH($A435,'[AQ_2024.xlsx]原始数据'!$A:$A,0)),""))</f>
        <v/>
      </c>
      <c r="AA435" s="2">
        <f>IFERROR(G435/B435,"")</f>
        <v/>
      </c>
      <c r="AB435" s="2">
        <f>IFERROR(H435/C435,"")</f>
        <v/>
      </c>
      <c r="AC435" s="2">
        <f>IFERROR(I435/D435,"")</f>
        <v/>
      </c>
      <c r="AD435" s="2">
        <f>IFERROR(J435/E435,"")</f>
        <v/>
      </c>
      <c r="AE435" s="2">
        <f>IFERROR(K435/F435,"")</f>
        <v/>
      </c>
      <c r="AF435" s="2">
        <f>IFERROR(L435/B435,"")</f>
        <v/>
      </c>
      <c r="AG435" s="2">
        <f>IFERROR(M435/C435,"")</f>
        <v/>
      </c>
      <c r="AH435" s="2">
        <f>IFERROR(N435/D435,"")</f>
        <v/>
      </c>
      <c r="AI435" s="2">
        <f>IFERROR(O435/E435,"")</f>
        <v/>
      </c>
      <c r="AJ435" s="2">
        <f>IFERROR(P435/F435,"")</f>
        <v/>
      </c>
      <c r="AK435" s="2">
        <f>IFERROR(Q435/B435,"")</f>
        <v/>
      </c>
      <c r="AL435" s="2">
        <f>IFERROR(R435/C435,"")</f>
        <v/>
      </c>
      <c r="AM435" s="2">
        <f>IFERROR(S435/D435,"")</f>
        <v/>
      </c>
      <c r="AN435" s="2">
        <f>IFERROR(T435/E435,"")</f>
        <v/>
      </c>
      <c r="AO435" s="2">
        <f>IFERROR(U435/F435,"")</f>
        <v/>
      </c>
    </row>
    <row r="436">
      <c r="B436">
        <f>IF($A436="","",IFERROR(INDEX('[AQ_2020.xlsx]原始数据'!$B:$B,MATCH($A436,'[AQ_2020.xlsx]原始数据'!$A:$A,0)),""))</f>
        <v/>
      </c>
      <c r="C436">
        <f>IF($A436="","",IFERROR(INDEX('[AQ_2021.xlsx]原始数据'!$B:$B,MATCH($A436,'[AQ_2021.xlsx]原始数据'!$A:$A,0)),""))</f>
        <v/>
      </c>
      <c r="D436">
        <f>IF($A436="","",IFERROR(INDEX('[AQ_2022.xlsx]原始数据'!$B:$B,MATCH($A436,'[AQ_2022.xlsx]原始数据'!$A:$A,0)),""))</f>
        <v/>
      </c>
      <c r="E436">
        <f>IF($A436="","",IFERROR(INDEX('[AQ_2023.xlsx]原始数据'!$B:$B,MATCH($A436,'[AQ_2023.xlsx]原始数据'!$A:$A,0)),""))</f>
        <v/>
      </c>
      <c r="F436">
        <f>IF($A436="","",IFERROR(INDEX('[AQ_2024.xlsx]原始数据'!$B:$B,MATCH($A436,'[AQ_2024.xlsx]原始数据'!$A:$A,0)),""))</f>
        <v/>
      </c>
      <c r="G436">
        <f>IF($A436="","",IFERROR(INDEX('[AQ_2020.xlsx]原始数据'!$C:$C,MATCH($A436,'[AQ_2020.xlsx]原始数据'!$A:$A,0)),""))</f>
        <v/>
      </c>
      <c r="H436">
        <f>IF($A436="","",IFERROR(INDEX('[AQ_2021.xlsx]原始数据'!$C:$C,MATCH($A436,'[AQ_2021.xlsx]原始数据'!$A:$A,0)),""))</f>
        <v/>
      </c>
      <c r="I436">
        <f>IF($A436="","",IFERROR(INDEX('[AQ_2022.xlsx]原始数据'!$C:$C,MATCH($A436,'[AQ_2022.xlsx]原始数据'!$A:$A,0)),""))</f>
        <v/>
      </c>
      <c r="J436">
        <f>IF($A436="","",IFERROR(INDEX('[AQ_2023.xlsx]原始数据'!$C:$C,MATCH($A436,'[AQ_2023.xlsx]原始数据'!$A:$A,0)),""))</f>
        <v/>
      </c>
      <c r="K436">
        <f>IF($A436="","",IFERROR(INDEX('[AQ_2024.xlsx]原始数据'!$C:$C,MATCH($A436,'[AQ_2024.xlsx]原始数据'!$A:$A,0)),""))</f>
        <v/>
      </c>
      <c r="L436">
        <f>IF($A436="","",IFERROR(INDEX('[AQ_2020.xlsx]原始数据'!$D:$D,MATCH($A436,'[AQ_2020.xlsx]原始数据'!$A:$A,0)),""))</f>
        <v/>
      </c>
      <c r="M436">
        <f>IF($A436="","",IFERROR(INDEX('[AQ_2021.xlsx]原始数据'!$D:$D,MATCH($A436,'[AQ_2021.xlsx]原始数据'!$A:$A,0)),""))</f>
        <v/>
      </c>
      <c r="N436">
        <f>IF($A436="","",IFERROR(INDEX('[AQ_2022.xlsx]原始数据'!$D:$D,MATCH($A436,'[AQ_2022.xlsx]原始数据'!$A:$A,0)),""))</f>
        <v/>
      </c>
      <c r="O436">
        <f>IF($A436="","",IFERROR(INDEX('[AQ_2023.xlsx]原始数据'!$D:$D,MATCH($A436,'[AQ_2023.xlsx]原始数据'!$A:$A,0)),""))</f>
        <v/>
      </c>
      <c r="P436">
        <f>IF($A436="","",IFERROR(INDEX('[AQ_2024.xlsx]原始数据'!$D:$D,MATCH($A436,'[AQ_2024.xlsx]原始数据'!$A:$A,0)),""))</f>
        <v/>
      </c>
      <c r="Q436">
        <f>IF($A436="","",IFERROR(INDEX('[AQ_2020.xlsx]原始数据'!$E:$E,MATCH($A436,'[AQ_2020.xlsx]原始数据'!$A:$A,0)),""))</f>
        <v/>
      </c>
      <c r="R436">
        <f>IF($A436="","",IFERROR(INDEX('[AQ_2021.xlsx]原始数据'!$E:$E,MATCH($A436,'[AQ_2021.xlsx]原始数据'!$A:$A,0)),""))</f>
        <v/>
      </c>
      <c r="S436">
        <f>IF($A436="","",IFERROR(INDEX('[AQ_2022.xlsx]原始数据'!$E:$E,MATCH($A436,'[AQ_2022.xlsx]原始数据'!$A:$A,0)),""))</f>
        <v/>
      </c>
      <c r="T436">
        <f>IF($A436="","",IFERROR(INDEX('[AQ_2023.xlsx]原始数据'!$E:$E,MATCH($A436,'[AQ_2023.xlsx]原始数据'!$A:$A,0)),""))</f>
        <v/>
      </c>
      <c r="U436">
        <f>IF($A436="","",IFERROR(INDEX('[AQ_2024.xlsx]原始数据'!$E:$E,MATCH($A436,'[AQ_2024.xlsx]原始数据'!$A:$A,0)),""))</f>
        <v/>
      </c>
      <c r="V436">
        <f>IF($A436="","",IFERROR(INDEX('[AQ_2020.xlsx]原始数据'!$F:$F,MATCH($A436,'[AQ_2020.xlsx]原始数据'!$A:$A,0)),""))</f>
        <v/>
      </c>
      <c r="W436">
        <f>IF($A436="","",IFERROR(INDEX('[AQ_2021.xlsx]原始数据'!$F:$F,MATCH($A436,'[AQ_2021.xlsx]原始数据'!$A:$A,0)),""))</f>
        <v/>
      </c>
      <c r="X436">
        <f>IF($A436="","",IFERROR(INDEX('[AQ_2022.xlsx]原始数据'!$F:$F,MATCH($A436,'[AQ_2022.xlsx]原始数据'!$A:$A,0)),""))</f>
        <v/>
      </c>
      <c r="Y436">
        <f>IF($A436="","",IFERROR(INDEX('[AQ_2023.xlsx]原始数据'!$F:$F,MATCH($A436,'[AQ_2023.xlsx]原始数据'!$A:$A,0)),""))</f>
        <v/>
      </c>
      <c r="Z436">
        <f>IF($A436="","",IFERROR(INDEX('[AQ_2024.xlsx]原始数据'!$F:$F,MATCH($A436,'[AQ_2024.xlsx]原始数据'!$A:$A,0)),""))</f>
        <v/>
      </c>
      <c r="AA436" s="2">
        <f>IFERROR(G436/B436,"")</f>
        <v/>
      </c>
      <c r="AB436" s="2">
        <f>IFERROR(H436/C436,"")</f>
        <v/>
      </c>
      <c r="AC436" s="2">
        <f>IFERROR(I436/D436,"")</f>
        <v/>
      </c>
      <c r="AD436" s="2">
        <f>IFERROR(J436/E436,"")</f>
        <v/>
      </c>
      <c r="AE436" s="2">
        <f>IFERROR(K436/F436,"")</f>
        <v/>
      </c>
      <c r="AF436" s="2">
        <f>IFERROR(L436/B436,"")</f>
        <v/>
      </c>
      <c r="AG436" s="2">
        <f>IFERROR(M436/C436,"")</f>
        <v/>
      </c>
      <c r="AH436" s="2">
        <f>IFERROR(N436/D436,"")</f>
        <v/>
      </c>
      <c r="AI436" s="2">
        <f>IFERROR(O436/E436,"")</f>
        <v/>
      </c>
      <c r="AJ436" s="2">
        <f>IFERROR(P436/F436,"")</f>
        <v/>
      </c>
      <c r="AK436" s="2">
        <f>IFERROR(Q436/B436,"")</f>
        <v/>
      </c>
      <c r="AL436" s="2">
        <f>IFERROR(R436/C436,"")</f>
        <v/>
      </c>
      <c r="AM436" s="2">
        <f>IFERROR(S436/D436,"")</f>
        <v/>
      </c>
      <c r="AN436" s="2">
        <f>IFERROR(T436/E436,"")</f>
        <v/>
      </c>
      <c r="AO436" s="2">
        <f>IFERROR(U436/F436,"")</f>
        <v/>
      </c>
    </row>
    <row r="437">
      <c r="B437">
        <f>IF($A437="","",IFERROR(INDEX('[AQ_2020.xlsx]原始数据'!$B:$B,MATCH($A437,'[AQ_2020.xlsx]原始数据'!$A:$A,0)),""))</f>
        <v/>
      </c>
      <c r="C437">
        <f>IF($A437="","",IFERROR(INDEX('[AQ_2021.xlsx]原始数据'!$B:$B,MATCH($A437,'[AQ_2021.xlsx]原始数据'!$A:$A,0)),""))</f>
        <v/>
      </c>
      <c r="D437">
        <f>IF($A437="","",IFERROR(INDEX('[AQ_2022.xlsx]原始数据'!$B:$B,MATCH($A437,'[AQ_2022.xlsx]原始数据'!$A:$A,0)),""))</f>
        <v/>
      </c>
      <c r="E437">
        <f>IF($A437="","",IFERROR(INDEX('[AQ_2023.xlsx]原始数据'!$B:$B,MATCH($A437,'[AQ_2023.xlsx]原始数据'!$A:$A,0)),""))</f>
        <v/>
      </c>
      <c r="F437">
        <f>IF($A437="","",IFERROR(INDEX('[AQ_2024.xlsx]原始数据'!$B:$B,MATCH($A437,'[AQ_2024.xlsx]原始数据'!$A:$A,0)),""))</f>
        <v/>
      </c>
      <c r="G437">
        <f>IF($A437="","",IFERROR(INDEX('[AQ_2020.xlsx]原始数据'!$C:$C,MATCH($A437,'[AQ_2020.xlsx]原始数据'!$A:$A,0)),""))</f>
        <v/>
      </c>
      <c r="H437">
        <f>IF($A437="","",IFERROR(INDEX('[AQ_2021.xlsx]原始数据'!$C:$C,MATCH($A437,'[AQ_2021.xlsx]原始数据'!$A:$A,0)),""))</f>
        <v/>
      </c>
      <c r="I437">
        <f>IF($A437="","",IFERROR(INDEX('[AQ_2022.xlsx]原始数据'!$C:$C,MATCH($A437,'[AQ_2022.xlsx]原始数据'!$A:$A,0)),""))</f>
        <v/>
      </c>
      <c r="J437">
        <f>IF($A437="","",IFERROR(INDEX('[AQ_2023.xlsx]原始数据'!$C:$C,MATCH($A437,'[AQ_2023.xlsx]原始数据'!$A:$A,0)),""))</f>
        <v/>
      </c>
      <c r="K437">
        <f>IF($A437="","",IFERROR(INDEX('[AQ_2024.xlsx]原始数据'!$C:$C,MATCH($A437,'[AQ_2024.xlsx]原始数据'!$A:$A,0)),""))</f>
        <v/>
      </c>
      <c r="L437">
        <f>IF($A437="","",IFERROR(INDEX('[AQ_2020.xlsx]原始数据'!$D:$D,MATCH($A437,'[AQ_2020.xlsx]原始数据'!$A:$A,0)),""))</f>
        <v/>
      </c>
      <c r="M437">
        <f>IF($A437="","",IFERROR(INDEX('[AQ_2021.xlsx]原始数据'!$D:$D,MATCH($A437,'[AQ_2021.xlsx]原始数据'!$A:$A,0)),""))</f>
        <v/>
      </c>
      <c r="N437">
        <f>IF($A437="","",IFERROR(INDEX('[AQ_2022.xlsx]原始数据'!$D:$D,MATCH($A437,'[AQ_2022.xlsx]原始数据'!$A:$A,0)),""))</f>
        <v/>
      </c>
      <c r="O437">
        <f>IF($A437="","",IFERROR(INDEX('[AQ_2023.xlsx]原始数据'!$D:$D,MATCH($A437,'[AQ_2023.xlsx]原始数据'!$A:$A,0)),""))</f>
        <v/>
      </c>
      <c r="P437">
        <f>IF($A437="","",IFERROR(INDEX('[AQ_2024.xlsx]原始数据'!$D:$D,MATCH($A437,'[AQ_2024.xlsx]原始数据'!$A:$A,0)),""))</f>
        <v/>
      </c>
      <c r="Q437">
        <f>IF($A437="","",IFERROR(INDEX('[AQ_2020.xlsx]原始数据'!$E:$E,MATCH($A437,'[AQ_2020.xlsx]原始数据'!$A:$A,0)),""))</f>
        <v/>
      </c>
      <c r="R437">
        <f>IF($A437="","",IFERROR(INDEX('[AQ_2021.xlsx]原始数据'!$E:$E,MATCH($A437,'[AQ_2021.xlsx]原始数据'!$A:$A,0)),""))</f>
        <v/>
      </c>
      <c r="S437">
        <f>IF($A437="","",IFERROR(INDEX('[AQ_2022.xlsx]原始数据'!$E:$E,MATCH($A437,'[AQ_2022.xlsx]原始数据'!$A:$A,0)),""))</f>
        <v/>
      </c>
      <c r="T437">
        <f>IF($A437="","",IFERROR(INDEX('[AQ_2023.xlsx]原始数据'!$E:$E,MATCH($A437,'[AQ_2023.xlsx]原始数据'!$A:$A,0)),""))</f>
        <v/>
      </c>
      <c r="U437">
        <f>IF($A437="","",IFERROR(INDEX('[AQ_2024.xlsx]原始数据'!$E:$E,MATCH($A437,'[AQ_2024.xlsx]原始数据'!$A:$A,0)),""))</f>
        <v/>
      </c>
      <c r="V437">
        <f>IF($A437="","",IFERROR(INDEX('[AQ_2020.xlsx]原始数据'!$F:$F,MATCH($A437,'[AQ_2020.xlsx]原始数据'!$A:$A,0)),""))</f>
        <v/>
      </c>
      <c r="W437">
        <f>IF($A437="","",IFERROR(INDEX('[AQ_2021.xlsx]原始数据'!$F:$F,MATCH($A437,'[AQ_2021.xlsx]原始数据'!$A:$A,0)),""))</f>
        <v/>
      </c>
      <c r="X437">
        <f>IF($A437="","",IFERROR(INDEX('[AQ_2022.xlsx]原始数据'!$F:$F,MATCH($A437,'[AQ_2022.xlsx]原始数据'!$A:$A,0)),""))</f>
        <v/>
      </c>
      <c r="Y437">
        <f>IF($A437="","",IFERROR(INDEX('[AQ_2023.xlsx]原始数据'!$F:$F,MATCH($A437,'[AQ_2023.xlsx]原始数据'!$A:$A,0)),""))</f>
        <v/>
      </c>
      <c r="Z437">
        <f>IF($A437="","",IFERROR(INDEX('[AQ_2024.xlsx]原始数据'!$F:$F,MATCH($A437,'[AQ_2024.xlsx]原始数据'!$A:$A,0)),""))</f>
        <v/>
      </c>
      <c r="AA437" s="2">
        <f>IFERROR(G437/B437,"")</f>
        <v/>
      </c>
      <c r="AB437" s="2">
        <f>IFERROR(H437/C437,"")</f>
        <v/>
      </c>
      <c r="AC437" s="2">
        <f>IFERROR(I437/D437,"")</f>
        <v/>
      </c>
      <c r="AD437" s="2">
        <f>IFERROR(J437/E437,"")</f>
        <v/>
      </c>
      <c r="AE437" s="2">
        <f>IFERROR(K437/F437,"")</f>
        <v/>
      </c>
      <c r="AF437" s="2">
        <f>IFERROR(L437/B437,"")</f>
        <v/>
      </c>
      <c r="AG437" s="2">
        <f>IFERROR(M437/C437,"")</f>
        <v/>
      </c>
      <c r="AH437" s="2">
        <f>IFERROR(N437/D437,"")</f>
        <v/>
      </c>
      <c r="AI437" s="2">
        <f>IFERROR(O437/E437,"")</f>
        <v/>
      </c>
      <c r="AJ437" s="2">
        <f>IFERROR(P437/F437,"")</f>
        <v/>
      </c>
      <c r="AK437" s="2">
        <f>IFERROR(Q437/B437,"")</f>
        <v/>
      </c>
      <c r="AL437" s="2">
        <f>IFERROR(R437/C437,"")</f>
        <v/>
      </c>
      <c r="AM437" s="2">
        <f>IFERROR(S437/D437,"")</f>
        <v/>
      </c>
      <c r="AN437" s="2">
        <f>IFERROR(T437/E437,"")</f>
        <v/>
      </c>
      <c r="AO437" s="2">
        <f>IFERROR(U437/F437,"")</f>
        <v/>
      </c>
    </row>
    <row r="438">
      <c r="B438">
        <f>IF($A438="","",IFERROR(INDEX('[AQ_2020.xlsx]原始数据'!$B:$B,MATCH($A438,'[AQ_2020.xlsx]原始数据'!$A:$A,0)),""))</f>
        <v/>
      </c>
      <c r="C438">
        <f>IF($A438="","",IFERROR(INDEX('[AQ_2021.xlsx]原始数据'!$B:$B,MATCH($A438,'[AQ_2021.xlsx]原始数据'!$A:$A,0)),""))</f>
        <v/>
      </c>
      <c r="D438">
        <f>IF($A438="","",IFERROR(INDEX('[AQ_2022.xlsx]原始数据'!$B:$B,MATCH($A438,'[AQ_2022.xlsx]原始数据'!$A:$A,0)),""))</f>
        <v/>
      </c>
      <c r="E438">
        <f>IF($A438="","",IFERROR(INDEX('[AQ_2023.xlsx]原始数据'!$B:$B,MATCH($A438,'[AQ_2023.xlsx]原始数据'!$A:$A,0)),""))</f>
        <v/>
      </c>
      <c r="F438">
        <f>IF($A438="","",IFERROR(INDEX('[AQ_2024.xlsx]原始数据'!$B:$B,MATCH($A438,'[AQ_2024.xlsx]原始数据'!$A:$A,0)),""))</f>
        <v/>
      </c>
      <c r="G438">
        <f>IF($A438="","",IFERROR(INDEX('[AQ_2020.xlsx]原始数据'!$C:$C,MATCH($A438,'[AQ_2020.xlsx]原始数据'!$A:$A,0)),""))</f>
        <v/>
      </c>
      <c r="H438">
        <f>IF($A438="","",IFERROR(INDEX('[AQ_2021.xlsx]原始数据'!$C:$C,MATCH($A438,'[AQ_2021.xlsx]原始数据'!$A:$A,0)),""))</f>
        <v/>
      </c>
      <c r="I438">
        <f>IF($A438="","",IFERROR(INDEX('[AQ_2022.xlsx]原始数据'!$C:$C,MATCH($A438,'[AQ_2022.xlsx]原始数据'!$A:$A,0)),""))</f>
        <v/>
      </c>
      <c r="J438">
        <f>IF($A438="","",IFERROR(INDEX('[AQ_2023.xlsx]原始数据'!$C:$C,MATCH($A438,'[AQ_2023.xlsx]原始数据'!$A:$A,0)),""))</f>
        <v/>
      </c>
      <c r="K438">
        <f>IF($A438="","",IFERROR(INDEX('[AQ_2024.xlsx]原始数据'!$C:$C,MATCH($A438,'[AQ_2024.xlsx]原始数据'!$A:$A,0)),""))</f>
        <v/>
      </c>
      <c r="L438">
        <f>IF($A438="","",IFERROR(INDEX('[AQ_2020.xlsx]原始数据'!$D:$D,MATCH($A438,'[AQ_2020.xlsx]原始数据'!$A:$A,0)),""))</f>
        <v/>
      </c>
      <c r="M438">
        <f>IF($A438="","",IFERROR(INDEX('[AQ_2021.xlsx]原始数据'!$D:$D,MATCH($A438,'[AQ_2021.xlsx]原始数据'!$A:$A,0)),""))</f>
        <v/>
      </c>
      <c r="N438">
        <f>IF($A438="","",IFERROR(INDEX('[AQ_2022.xlsx]原始数据'!$D:$D,MATCH($A438,'[AQ_2022.xlsx]原始数据'!$A:$A,0)),""))</f>
        <v/>
      </c>
      <c r="O438">
        <f>IF($A438="","",IFERROR(INDEX('[AQ_2023.xlsx]原始数据'!$D:$D,MATCH($A438,'[AQ_2023.xlsx]原始数据'!$A:$A,0)),""))</f>
        <v/>
      </c>
      <c r="P438">
        <f>IF($A438="","",IFERROR(INDEX('[AQ_2024.xlsx]原始数据'!$D:$D,MATCH($A438,'[AQ_2024.xlsx]原始数据'!$A:$A,0)),""))</f>
        <v/>
      </c>
      <c r="Q438">
        <f>IF($A438="","",IFERROR(INDEX('[AQ_2020.xlsx]原始数据'!$E:$E,MATCH($A438,'[AQ_2020.xlsx]原始数据'!$A:$A,0)),""))</f>
        <v/>
      </c>
      <c r="R438">
        <f>IF($A438="","",IFERROR(INDEX('[AQ_2021.xlsx]原始数据'!$E:$E,MATCH($A438,'[AQ_2021.xlsx]原始数据'!$A:$A,0)),""))</f>
        <v/>
      </c>
      <c r="S438">
        <f>IF($A438="","",IFERROR(INDEX('[AQ_2022.xlsx]原始数据'!$E:$E,MATCH($A438,'[AQ_2022.xlsx]原始数据'!$A:$A,0)),""))</f>
        <v/>
      </c>
      <c r="T438">
        <f>IF($A438="","",IFERROR(INDEX('[AQ_2023.xlsx]原始数据'!$E:$E,MATCH($A438,'[AQ_2023.xlsx]原始数据'!$A:$A,0)),""))</f>
        <v/>
      </c>
      <c r="U438">
        <f>IF($A438="","",IFERROR(INDEX('[AQ_2024.xlsx]原始数据'!$E:$E,MATCH($A438,'[AQ_2024.xlsx]原始数据'!$A:$A,0)),""))</f>
        <v/>
      </c>
      <c r="V438">
        <f>IF($A438="","",IFERROR(INDEX('[AQ_2020.xlsx]原始数据'!$F:$F,MATCH($A438,'[AQ_2020.xlsx]原始数据'!$A:$A,0)),""))</f>
        <v/>
      </c>
      <c r="W438">
        <f>IF($A438="","",IFERROR(INDEX('[AQ_2021.xlsx]原始数据'!$F:$F,MATCH($A438,'[AQ_2021.xlsx]原始数据'!$A:$A,0)),""))</f>
        <v/>
      </c>
      <c r="X438">
        <f>IF($A438="","",IFERROR(INDEX('[AQ_2022.xlsx]原始数据'!$F:$F,MATCH($A438,'[AQ_2022.xlsx]原始数据'!$A:$A,0)),""))</f>
        <v/>
      </c>
      <c r="Y438">
        <f>IF($A438="","",IFERROR(INDEX('[AQ_2023.xlsx]原始数据'!$F:$F,MATCH($A438,'[AQ_2023.xlsx]原始数据'!$A:$A,0)),""))</f>
        <v/>
      </c>
      <c r="Z438">
        <f>IF($A438="","",IFERROR(INDEX('[AQ_2024.xlsx]原始数据'!$F:$F,MATCH($A438,'[AQ_2024.xlsx]原始数据'!$A:$A,0)),""))</f>
        <v/>
      </c>
      <c r="AA438" s="2">
        <f>IFERROR(G438/B438,"")</f>
        <v/>
      </c>
      <c r="AB438" s="2">
        <f>IFERROR(H438/C438,"")</f>
        <v/>
      </c>
      <c r="AC438" s="2">
        <f>IFERROR(I438/D438,"")</f>
        <v/>
      </c>
      <c r="AD438" s="2">
        <f>IFERROR(J438/E438,"")</f>
        <v/>
      </c>
      <c r="AE438" s="2">
        <f>IFERROR(K438/F438,"")</f>
        <v/>
      </c>
      <c r="AF438" s="2">
        <f>IFERROR(L438/B438,"")</f>
        <v/>
      </c>
      <c r="AG438" s="2">
        <f>IFERROR(M438/C438,"")</f>
        <v/>
      </c>
      <c r="AH438" s="2">
        <f>IFERROR(N438/D438,"")</f>
        <v/>
      </c>
      <c r="AI438" s="2">
        <f>IFERROR(O438/E438,"")</f>
        <v/>
      </c>
      <c r="AJ438" s="2">
        <f>IFERROR(P438/F438,"")</f>
        <v/>
      </c>
      <c r="AK438" s="2">
        <f>IFERROR(Q438/B438,"")</f>
        <v/>
      </c>
      <c r="AL438" s="2">
        <f>IFERROR(R438/C438,"")</f>
        <v/>
      </c>
      <c r="AM438" s="2">
        <f>IFERROR(S438/D438,"")</f>
        <v/>
      </c>
      <c r="AN438" s="2">
        <f>IFERROR(T438/E438,"")</f>
        <v/>
      </c>
      <c r="AO438" s="2">
        <f>IFERROR(U438/F438,"")</f>
        <v/>
      </c>
    </row>
    <row r="439">
      <c r="B439">
        <f>IF($A439="","",IFERROR(INDEX('[AQ_2020.xlsx]原始数据'!$B:$B,MATCH($A439,'[AQ_2020.xlsx]原始数据'!$A:$A,0)),""))</f>
        <v/>
      </c>
      <c r="C439">
        <f>IF($A439="","",IFERROR(INDEX('[AQ_2021.xlsx]原始数据'!$B:$B,MATCH($A439,'[AQ_2021.xlsx]原始数据'!$A:$A,0)),""))</f>
        <v/>
      </c>
      <c r="D439">
        <f>IF($A439="","",IFERROR(INDEX('[AQ_2022.xlsx]原始数据'!$B:$B,MATCH($A439,'[AQ_2022.xlsx]原始数据'!$A:$A,0)),""))</f>
        <v/>
      </c>
      <c r="E439">
        <f>IF($A439="","",IFERROR(INDEX('[AQ_2023.xlsx]原始数据'!$B:$B,MATCH($A439,'[AQ_2023.xlsx]原始数据'!$A:$A,0)),""))</f>
        <v/>
      </c>
      <c r="F439">
        <f>IF($A439="","",IFERROR(INDEX('[AQ_2024.xlsx]原始数据'!$B:$B,MATCH($A439,'[AQ_2024.xlsx]原始数据'!$A:$A,0)),""))</f>
        <v/>
      </c>
      <c r="G439">
        <f>IF($A439="","",IFERROR(INDEX('[AQ_2020.xlsx]原始数据'!$C:$C,MATCH($A439,'[AQ_2020.xlsx]原始数据'!$A:$A,0)),""))</f>
        <v/>
      </c>
      <c r="H439">
        <f>IF($A439="","",IFERROR(INDEX('[AQ_2021.xlsx]原始数据'!$C:$C,MATCH($A439,'[AQ_2021.xlsx]原始数据'!$A:$A,0)),""))</f>
        <v/>
      </c>
      <c r="I439">
        <f>IF($A439="","",IFERROR(INDEX('[AQ_2022.xlsx]原始数据'!$C:$C,MATCH($A439,'[AQ_2022.xlsx]原始数据'!$A:$A,0)),""))</f>
        <v/>
      </c>
      <c r="J439">
        <f>IF($A439="","",IFERROR(INDEX('[AQ_2023.xlsx]原始数据'!$C:$C,MATCH($A439,'[AQ_2023.xlsx]原始数据'!$A:$A,0)),""))</f>
        <v/>
      </c>
      <c r="K439">
        <f>IF($A439="","",IFERROR(INDEX('[AQ_2024.xlsx]原始数据'!$C:$C,MATCH($A439,'[AQ_2024.xlsx]原始数据'!$A:$A,0)),""))</f>
        <v/>
      </c>
      <c r="L439">
        <f>IF($A439="","",IFERROR(INDEX('[AQ_2020.xlsx]原始数据'!$D:$D,MATCH($A439,'[AQ_2020.xlsx]原始数据'!$A:$A,0)),""))</f>
        <v/>
      </c>
      <c r="M439">
        <f>IF($A439="","",IFERROR(INDEX('[AQ_2021.xlsx]原始数据'!$D:$D,MATCH($A439,'[AQ_2021.xlsx]原始数据'!$A:$A,0)),""))</f>
        <v/>
      </c>
      <c r="N439">
        <f>IF($A439="","",IFERROR(INDEX('[AQ_2022.xlsx]原始数据'!$D:$D,MATCH($A439,'[AQ_2022.xlsx]原始数据'!$A:$A,0)),""))</f>
        <v/>
      </c>
      <c r="O439">
        <f>IF($A439="","",IFERROR(INDEX('[AQ_2023.xlsx]原始数据'!$D:$D,MATCH($A439,'[AQ_2023.xlsx]原始数据'!$A:$A,0)),""))</f>
        <v/>
      </c>
      <c r="P439">
        <f>IF($A439="","",IFERROR(INDEX('[AQ_2024.xlsx]原始数据'!$D:$D,MATCH($A439,'[AQ_2024.xlsx]原始数据'!$A:$A,0)),""))</f>
        <v/>
      </c>
      <c r="Q439">
        <f>IF($A439="","",IFERROR(INDEX('[AQ_2020.xlsx]原始数据'!$E:$E,MATCH($A439,'[AQ_2020.xlsx]原始数据'!$A:$A,0)),""))</f>
        <v/>
      </c>
      <c r="R439">
        <f>IF($A439="","",IFERROR(INDEX('[AQ_2021.xlsx]原始数据'!$E:$E,MATCH($A439,'[AQ_2021.xlsx]原始数据'!$A:$A,0)),""))</f>
        <v/>
      </c>
      <c r="S439">
        <f>IF($A439="","",IFERROR(INDEX('[AQ_2022.xlsx]原始数据'!$E:$E,MATCH($A439,'[AQ_2022.xlsx]原始数据'!$A:$A,0)),""))</f>
        <v/>
      </c>
      <c r="T439">
        <f>IF($A439="","",IFERROR(INDEX('[AQ_2023.xlsx]原始数据'!$E:$E,MATCH($A439,'[AQ_2023.xlsx]原始数据'!$A:$A,0)),""))</f>
        <v/>
      </c>
      <c r="U439">
        <f>IF($A439="","",IFERROR(INDEX('[AQ_2024.xlsx]原始数据'!$E:$E,MATCH($A439,'[AQ_2024.xlsx]原始数据'!$A:$A,0)),""))</f>
        <v/>
      </c>
      <c r="V439">
        <f>IF($A439="","",IFERROR(INDEX('[AQ_2020.xlsx]原始数据'!$F:$F,MATCH($A439,'[AQ_2020.xlsx]原始数据'!$A:$A,0)),""))</f>
        <v/>
      </c>
      <c r="W439">
        <f>IF($A439="","",IFERROR(INDEX('[AQ_2021.xlsx]原始数据'!$F:$F,MATCH($A439,'[AQ_2021.xlsx]原始数据'!$A:$A,0)),""))</f>
        <v/>
      </c>
      <c r="X439">
        <f>IF($A439="","",IFERROR(INDEX('[AQ_2022.xlsx]原始数据'!$F:$F,MATCH($A439,'[AQ_2022.xlsx]原始数据'!$A:$A,0)),""))</f>
        <v/>
      </c>
      <c r="Y439">
        <f>IF($A439="","",IFERROR(INDEX('[AQ_2023.xlsx]原始数据'!$F:$F,MATCH($A439,'[AQ_2023.xlsx]原始数据'!$A:$A,0)),""))</f>
        <v/>
      </c>
      <c r="Z439">
        <f>IF($A439="","",IFERROR(INDEX('[AQ_2024.xlsx]原始数据'!$F:$F,MATCH($A439,'[AQ_2024.xlsx]原始数据'!$A:$A,0)),""))</f>
        <v/>
      </c>
      <c r="AA439" s="2">
        <f>IFERROR(G439/B439,"")</f>
        <v/>
      </c>
      <c r="AB439" s="2">
        <f>IFERROR(H439/C439,"")</f>
        <v/>
      </c>
      <c r="AC439" s="2">
        <f>IFERROR(I439/D439,"")</f>
        <v/>
      </c>
      <c r="AD439" s="2">
        <f>IFERROR(J439/E439,"")</f>
        <v/>
      </c>
      <c r="AE439" s="2">
        <f>IFERROR(K439/F439,"")</f>
        <v/>
      </c>
      <c r="AF439" s="2">
        <f>IFERROR(L439/B439,"")</f>
        <v/>
      </c>
      <c r="AG439" s="2">
        <f>IFERROR(M439/C439,"")</f>
        <v/>
      </c>
      <c r="AH439" s="2">
        <f>IFERROR(N439/D439,"")</f>
        <v/>
      </c>
      <c r="AI439" s="2">
        <f>IFERROR(O439/E439,"")</f>
        <v/>
      </c>
      <c r="AJ439" s="2">
        <f>IFERROR(P439/F439,"")</f>
        <v/>
      </c>
      <c r="AK439" s="2">
        <f>IFERROR(Q439/B439,"")</f>
        <v/>
      </c>
      <c r="AL439" s="2">
        <f>IFERROR(R439/C439,"")</f>
        <v/>
      </c>
      <c r="AM439" s="2">
        <f>IFERROR(S439/D439,"")</f>
        <v/>
      </c>
      <c r="AN439" s="2">
        <f>IFERROR(T439/E439,"")</f>
        <v/>
      </c>
      <c r="AO439" s="2">
        <f>IFERROR(U439/F439,"")</f>
        <v/>
      </c>
    </row>
    <row r="440">
      <c r="B440">
        <f>IF($A440="","",IFERROR(INDEX('[AQ_2020.xlsx]原始数据'!$B:$B,MATCH($A440,'[AQ_2020.xlsx]原始数据'!$A:$A,0)),""))</f>
        <v/>
      </c>
      <c r="C440">
        <f>IF($A440="","",IFERROR(INDEX('[AQ_2021.xlsx]原始数据'!$B:$B,MATCH($A440,'[AQ_2021.xlsx]原始数据'!$A:$A,0)),""))</f>
        <v/>
      </c>
      <c r="D440">
        <f>IF($A440="","",IFERROR(INDEX('[AQ_2022.xlsx]原始数据'!$B:$B,MATCH($A440,'[AQ_2022.xlsx]原始数据'!$A:$A,0)),""))</f>
        <v/>
      </c>
      <c r="E440">
        <f>IF($A440="","",IFERROR(INDEX('[AQ_2023.xlsx]原始数据'!$B:$B,MATCH($A440,'[AQ_2023.xlsx]原始数据'!$A:$A,0)),""))</f>
        <v/>
      </c>
      <c r="F440">
        <f>IF($A440="","",IFERROR(INDEX('[AQ_2024.xlsx]原始数据'!$B:$B,MATCH($A440,'[AQ_2024.xlsx]原始数据'!$A:$A,0)),""))</f>
        <v/>
      </c>
      <c r="G440">
        <f>IF($A440="","",IFERROR(INDEX('[AQ_2020.xlsx]原始数据'!$C:$C,MATCH($A440,'[AQ_2020.xlsx]原始数据'!$A:$A,0)),""))</f>
        <v/>
      </c>
      <c r="H440">
        <f>IF($A440="","",IFERROR(INDEX('[AQ_2021.xlsx]原始数据'!$C:$C,MATCH($A440,'[AQ_2021.xlsx]原始数据'!$A:$A,0)),""))</f>
        <v/>
      </c>
      <c r="I440">
        <f>IF($A440="","",IFERROR(INDEX('[AQ_2022.xlsx]原始数据'!$C:$C,MATCH($A440,'[AQ_2022.xlsx]原始数据'!$A:$A,0)),""))</f>
        <v/>
      </c>
      <c r="J440">
        <f>IF($A440="","",IFERROR(INDEX('[AQ_2023.xlsx]原始数据'!$C:$C,MATCH($A440,'[AQ_2023.xlsx]原始数据'!$A:$A,0)),""))</f>
        <v/>
      </c>
      <c r="K440">
        <f>IF($A440="","",IFERROR(INDEX('[AQ_2024.xlsx]原始数据'!$C:$C,MATCH($A440,'[AQ_2024.xlsx]原始数据'!$A:$A,0)),""))</f>
        <v/>
      </c>
      <c r="L440">
        <f>IF($A440="","",IFERROR(INDEX('[AQ_2020.xlsx]原始数据'!$D:$D,MATCH($A440,'[AQ_2020.xlsx]原始数据'!$A:$A,0)),""))</f>
        <v/>
      </c>
      <c r="M440">
        <f>IF($A440="","",IFERROR(INDEX('[AQ_2021.xlsx]原始数据'!$D:$D,MATCH($A440,'[AQ_2021.xlsx]原始数据'!$A:$A,0)),""))</f>
        <v/>
      </c>
      <c r="N440">
        <f>IF($A440="","",IFERROR(INDEX('[AQ_2022.xlsx]原始数据'!$D:$D,MATCH($A440,'[AQ_2022.xlsx]原始数据'!$A:$A,0)),""))</f>
        <v/>
      </c>
      <c r="O440">
        <f>IF($A440="","",IFERROR(INDEX('[AQ_2023.xlsx]原始数据'!$D:$D,MATCH($A440,'[AQ_2023.xlsx]原始数据'!$A:$A,0)),""))</f>
        <v/>
      </c>
      <c r="P440">
        <f>IF($A440="","",IFERROR(INDEX('[AQ_2024.xlsx]原始数据'!$D:$D,MATCH($A440,'[AQ_2024.xlsx]原始数据'!$A:$A,0)),""))</f>
        <v/>
      </c>
      <c r="Q440">
        <f>IF($A440="","",IFERROR(INDEX('[AQ_2020.xlsx]原始数据'!$E:$E,MATCH($A440,'[AQ_2020.xlsx]原始数据'!$A:$A,0)),""))</f>
        <v/>
      </c>
      <c r="R440">
        <f>IF($A440="","",IFERROR(INDEX('[AQ_2021.xlsx]原始数据'!$E:$E,MATCH($A440,'[AQ_2021.xlsx]原始数据'!$A:$A,0)),""))</f>
        <v/>
      </c>
      <c r="S440">
        <f>IF($A440="","",IFERROR(INDEX('[AQ_2022.xlsx]原始数据'!$E:$E,MATCH($A440,'[AQ_2022.xlsx]原始数据'!$A:$A,0)),""))</f>
        <v/>
      </c>
      <c r="T440">
        <f>IF($A440="","",IFERROR(INDEX('[AQ_2023.xlsx]原始数据'!$E:$E,MATCH($A440,'[AQ_2023.xlsx]原始数据'!$A:$A,0)),""))</f>
        <v/>
      </c>
      <c r="U440">
        <f>IF($A440="","",IFERROR(INDEX('[AQ_2024.xlsx]原始数据'!$E:$E,MATCH($A440,'[AQ_2024.xlsx]原始数据'!$A:$A,0)),""))</f>
        <v/>
      </c>
      <c r="V440">
        <f>IF($A440="","",IFERROR(INDEX('[AQ_2020.xlsx]原始数据'!$F:$F,MATCH($A440,'[AQ_2020.xlsx]原始数据'!$A:$A,0)),""))</f>
        <v/>
      </c>
      <c r="W440">
        <f>IF($A440="","",IFERROR(INDEX('[AQ_2021.xlsx]原始数据'!$F:$F,MATCH($A440,'[AQ_2021.xlsx]原始数据'!$A:$A,0)),""))</f>
        <v/>
      </c>
      <c r="X440">
        <f>IF($A440="","",IFERROR(INDEX('[AQ_2022.xlsx]原始数据'!$F:$F,MATCH($A440,'[AQ_2022.xlsx]原始数据'!$A:$A,0)),""))</f>
        <v/>
      </c>
      <c r="Y440">
        <f>IF($A440="","",IFERROR(INDEX('[AQ_2023.xlsx]原始数据'!$F:$F,MATCH($A440,'[AQ_2023.xlsx]原始数据'!$A:$A,0)),""))</f>
        <v/>
      </c>
      <c r="Z440">
        <f>IF($A440="","",IFERROR(INDEX('[AQ_2024.xlsx]原始数据'!$F:$F,MATCH($A440,'[AQ_2024.xlsx]原始数据'!$A:$A,0)),""))</f>
        <v/>
      </c>
      <c r="AA440" s="2">
        <f>IFERROR(G440/B440,"")</f>
        <v/>
      </c>
      <c r="AB440" s="2">
        <f>IFERROR(H440/C440,"")</f>
        <v/>
      </c>
      <c r="AC440" s="2">
        <f>IFERROR(I440/D440,"")</f>
        <v/>
      </c>
      <c r="AD440" s="2">
        <f>IFERROR(J440/E440,"")</f>
        <v/>
      </c>
      <c r="AE440" s="2">
        <f>IFERROR(K440/F440,"")</f>
        <v/>
      </c>
      <c r="AF440" s="2">
        <f>IFERROR(L440/B440,"")</f>
        <v/>
      </c>
      <c r="AG440" s="2">
        <f>IFERROR(M440/C440,"")</f>
        <v/>
      </c>
      <c r="AH440" s="2">
        <f>IFERROR(N440/D440,"")</f>
        <v/>
      </c>
      <c r="AI440" s="2">
        <f>IFERROR(O440/E440,"")</f>
        <v/>
      </c>
      <c r="AJ440" s="2">
        <f>IFERROR(P440/F440,"")</f>
        <v/>
      </c>
      <c r="AK440" s="2">
        <f>IFERROR(Q440/B440,"")</f>
        <v/>
      </c>
      <c r="AL440" s="2">
        <f>IFERROR(R440/C440,"")</f>
        <v/>
      </c>
      <c r="AM440" s="2">
        <f>IFERROR(S440/D440,"")</f>
        <v/>
      </c>
      <c r="AN440" s="2">
        <f>IFERROR(T440/E440,"")</f>
        <v/>
      </c>
      <c r="AO440" s="2">
        <f>IFERROR(U440/F440,"")</f>
        <v/>
      </c>
    </row>
    <row r="441">
      <c r="B441">
        <f>IF($A441="","",IFERROR(INDEX('[AQ_2020.xlsx]原始数据'!$B:$B,MATCH($A441,'[AQ_2020.xlsx]原始数据'!$A:$A,0)),""))</f>
        <v/>
      </c>
      <c r="C441">
        <f>IF($A441="","",IFERROR(INDEX('[AQ_2021.xlsx]原始数据'!$B:$B,MATCH($A441,'[AQ_2021.xlsx]原始数据'!$A:$A,0)),""))</f>
        <v/>
      </c>
      <c r="D441">
        <f>IF($A441="","",IFERROR(INDEX('[AQ_2022.xlsx]原始数据'!$B:$B,MATCH($A441,'[AQ_2022.xlsx]原始数据'!$A:$A,0)),""))</f>
        <v/>
      </c>
      <c r="E441">
        <f>IF($A441="","",IFERROR(INDEX('[AQ_2023.xlsx]原始数据'!$B:$B,MATCH($A441,'[AQ_2023.xlsx]原始数据'!$A:$A,0)),""))</f>
        <v/>
      </c>
      <c r="F441">
        <f>IF($A441="","",IFERROR(INDEX('[AQ_2024.xlsx]原始数据'!$B:$B,MATCH($A441,'[AQ_2024.xlsx]原始数据'!$A:$A,0)),""))</f>
        <v/>
      </c>
      <c r="G441">
        <f>IF($A441="","",IFERROR(INDEX('[AQ_2020.xlsx]原始数据'!$C:$C,MATCH($A441,'[AQ_2020.xlsx]原始数据'!$A:$A,0)),""))</f>
        <v/>
      </c>
      <c r="H441">
        <f>IF($A441="","",IFERROR(INDEX('[AQ_2021.xlsx]原始数据'!$C:$C,MATCH($A441,'[AQ_2021.xlsx]原始数据'!$A:$A,0)),""))</f>
        <v/>
      </c>
      <c r="I441">
        <f>IF($A441="","",IFERROR(INDEX('[AQ_2022.xlsx]原始数据'!$C:$C,MATCH($A441,'[AQ_2022.xlsx]原始数据'!$A:$A,0)),""))</f>
        <v/>
      </c>
      <c r="J441">
        <f>IF($A441="","",IFERROR(INDEX('[AQ_2023.xlsx]原始数据'!$C:$C,MATCH($A441,'[AQ_2023.xlsx]原始数据'!$A:$A,0)),""))</f>
        <v/>
      </c>
      <c r="K441">
        <f>IF($A441="","",IFERROR(INDEX('[AQ_2024.xlsx]原始数据'!$C:$C,MATCH($A441,'[AQ_2024.xlsx]原始数据'!$A:$A,0)),""))</f>
        <v/>
      </c>
      <c r="L441">
        <f>IF($A441="","",IFERROR(INDEX('[AQ_2020.xlsx]原始数据'!$D:$D,MATCH($A441,'[AQ_2020.xlsx]原始数据'!$A:$A,0)),""))</f>
        <v/>
      </c>
      <c r="M441">
        <f>IF($A441="","",IFERROR(INDEX('[AQ_2021.xlsx]原始数据'!$D:$D,MATCH($A441,'[AQ_2021.xlsx]原始数据'!$A:$A,0)),""))</f>
        <v/>
      </c>
      <c r="N441">
        <f>IF($A441="","",IFERROR(INDEX('[AQ_2022.xlsx]原始数据'!$D:$D,MATCH($A441,'[AQ_2022.xlsx]原始数据'!$A:$A,0)),""))</f>
        <v/>
      </c>
      <c r="O441">
        <f>IF($A441="","",IFERROR(INDEX('[AQ_2023.xlsx]原始数据'!$D:$D,MATCH($A441,'[AQ_2023.xlsx]原始数据'!$A:$A,0)),""))</f>
        <v/>
      </c>
      <c r="P441">
        <f>IF($A441="","",IFERROR(INDEX('[AQ_2024.xlsx]原始数据'!$D:$D,MATCH($A441,'[AQ_2024.xlsx]原始数据'!$A:$A,0)),""))</f>
        <v/>
      </c>
      <c r="Q441">
        <f>IF($A441="","",IFERROR(INDEX('[AQ_2020.xlsx]原始数据'!$E:$E,MATCH($A441,'[AQ_2020.xlsx]原始数据'!$A:$A,0)),""))</f>
        <v/>
      </c>
      <c r="R441">
        <f>IF($A441="","",IFERROR(INDEX('[AQ_2021.xlsx]原始数据'!$E:$E,MATCH($A441,'[AQ_2021.xlsx]原始数据'!$A:$A,0)),""))</f>
        <v/>
      </c>
      <c r="S441">
        <f>IF($A441="","",IFERROR(INDEX('[AQ_2022.xlsx]原始数据'!$E:$E,MATCH($A441,'[AQ_2022.xlsx]原始数据'!$A:$A,0)),""))</f>
        <v/>
      </c>
      <c r="T441">
        <f>IF($A441="","",IFERROR(INDEX('[AQ_2023.xlsx]原始数据'!$E:$E,MATCH($A441,'[AQ_2023.xlsx]原始数据'!$A:$A,0)),""))</f>
        <v/>
      </c>
      <c r="U441">
        <f>IF($A441="","",IFERROR(INDEX('[AQ_2024.xlsx]原始数据'!$E:$E,MATCH($A441,'[AQ_2024.xlsx]原始数据'!$A:$A,0)),""))</f>
        <v/>
      </c>
      <c r="V441">
        <f>IF($A441="","",IFERROR(INDEX('[AQ_2020.xlsx]原始数据'!$F:$F,MATCH($A441,'[AQ_2020.xlsx]原始数据'!$A:$A,0)),""))</f>
        <v/>
      </c>
      <c r="W441">
        <f>IF($A441="","",IFERROR(INDEX('[AQ_2021.xlsx]原始数据'!$F:$F,MATCH($A441,'[AQ_2021.xlsx]原始数据'!$A:$A,0)),""))</f>
        <v/>
      </c>
      <c r="X441">
        <f>IF($A441="","",IFERROR(INDEX('[AQ_2022.xlsx]原始数据'!$F:$F,MATCH($A441,'[AQ_2022.xlsx]原始数据'!$A:$A,0)),""))</f>
        <v/>
      </c>
      <c r="Y441">
        <f>IF($A441="","",IFERROR(INDEX('[AQ_2023.xlsx]原始数据'!$F:$F,MATCH($A441,'[AQ_2023.xlsx]原始数据'!$A:$A,0)),""))</f>
        <v/>
      </c>
      <c r="Z441">
        <f>IF($A441="","",IFERROR(INDEX('[AQ_2024.xlsx]原始数据'!$F:$F,MATCH($A441,'[AQ_2024.xlsx]原始数据'!$A:$A,0)),""))</f>
        <v/>
      </c>
      <c r="AA441" s="2">
        <f>IFERROR(G441/B441,"")</f>
        <v/>
      </c>
      <c r="AB441" s="2">
        <f>IFERROR(H441/C441,"")</f>
        <v/>
      </c>
      <c r="AC441" s="2">
        <f>IFERROR(I441/D441,"")</f>
        <v/>
      </c>
      <c r="AD441" s="2">
        <f>IFERROR(J441/E441,"")</f>
        <v/>
      </c>
      <c r="AE441" s="2">
        <f>IFERROR(K441/F441,"")</f>
        <v/>
      </c>
      <c r="AF441" s="2">
        <f>IFERROR(L441/B441,"")</f>
        <v/>
      </c>
      <c r="AG441" s="2">
        <f>IFERROR(M441/C441,"")</f>
        <v/>
      </c>
      <c r="AH441" s="2">
        <f>IFERROR(N441/D441,"")</f>
        <v/>
      </c>
      <c r="AI441" s="2">
        <f>IFERROR(O441/E441,"")</f>
        <v/>
      </c>
      <c r="AJ441" s="2">
        <f>IFERROR(P441/F441,"")</f>
        <v/>
      </c>
      <c r="AK441" s="2">
        <f>IFERROR(Q441/B441,"")</f>
        <v/>
      </c>
      <c r="AL441" s="2">
        <f>IFERROR(R441/C441,"")</f>
        <v/>
      </c>
      <c r="AM441" s="2">
        <f>IFERROR(S441/D441,"")</f>
        <v/>
      </c>
      <c r="AN441" s="2">
        <f>IFERROR(T441/E441,"")</f>
        <v/>
      </c>
      <c r="AO441" s="2">
        <f>IFERROR(U441/F441,"")</f>
        <v/>
      </c>
    </row>
    <row r="442">
      <c r="B442">
        <f>IF($A442="","",IFERROR(INDEX('[AQ_2020.xlsx]原始数据'!$B:$B,MATCH($A442,'[AQ_2020.xlsx]原始数据'!$A:$A,0)),""))</f>
        <v/>
      </c>
      <c r="C442">
        <f>IF($A442="","",IFERROR(INDEX('[AQ_2021.xlsx]原始数据'!$B:$B,MATCH($A442,'[AQ_2021.xlsx]原始数据'!$A:$A,0)),""))</f>
        <v/>
      </c>
      <c r="D442">
        <f>IF($A442="","",IFERROR(INDEX('[AQ_2022.xlsx]原始数据'!$B:$B,MATCH($A442,'[AQ_2022.xlsx]原始数据'!$A:$A,0)),""))</f>
        <v/>
      </c>
      <c r="E442">
        <f>IF($A442="","",IFERROR(INDEX('[AQ_2023.xlsx]原始数据'!$B:$B,MATCH($A442,'[AQ_2023.xlsx]原始数据'!$A:$A,0)),""))</f>
        <v/>
      </c>
      <c r="F442">
        <f>IF($A442="","",IFERROR(INDEX('[AQ_2024.xlsx]原始数据'!$B:$B,MATCH($A442,'[AQ_2024.xlsx]原始数据'!$A:$A,0)),""))</f>
        <v/>
      </c>
      <c r="G442">
        <f>IF($A442="","",IFERROR(INDEX('[AQ_2020.xlsx]原始数据'!$C:$C,MATCH($A442,'[AQ_2020.xlsx]原始数据'!$A:$A,0)),""))</f>
        <v/>
      </c>
      <c r="H442">
        <f>IF($A442="","",IFERROR(INDEX('[AQ_2021.xlsx]原始数据'!$C:$C,MATCH($A442,'[AQ_2021.xlsx]原始数据'!$A:$A,0)),""))</f>
        <v/>
      </c>
      <c r="I442">
        <f>IF($A442="","",IFERROR(INDEX('[AQ_2022.xlsx]原始数据'!$C:$C,MATCH($A442,'[AQ_2022.xlsx]原始数据'!$A:$A,0)),""))</f>
        <v/>
      </c>
      <c r="J442">
        <f>IF($A442="","",IFERROR(INDEX('[AQ_2023.xlsx]原始数据'!$C:$C,MATCH($A442,'[AQ_2023.xlsx]原始数据'!$A:$A,0)),""))</f>
        <v/>
      </c>
      <c r="K442">
        <f>IF($A442="","",IFERROR(INDEX('[AQ_2024.xlsx]原始数据'!$C:$C,MATCH($A442,'[AQ_2024.xlsx]原始数据'!$A:$A,0)),""))</f>
        <v/>
      </c>
      <c r="L442">
        <f>IF($A442="","",IFERROR(INDEX('[AQ_2020.xlsx]原始数据'!$D:$D,MATCH($A442,'[AQ_2020.xlsx]原始数据'!$A:$A,0)),""))</f>
        <v/>
      </c>
      <c r="M442">
        <f>IF($A442="","",IFERROR(INDEX('[AQ_2021.xlsx]原始数据'!$D:$D,MATCH($A442,'[AQ_2021.xlsx]原始数据'!$A:$A,0)),""))</f>
        <v/>
      </c>
      <c r="N442">
        <f>IF($A442="","",IFERROR(INDEX('[AQ_2022.xlsx]原始数据'!$D:$D,MATCH($A442,'[AQ_2022.xlsx]原始数据'!$A:$A,0)),""))</f>
        <v/>
      </c>
      <c r="O442">
        <f>IF($A442="","",IFERROR(INDEX('[AQ_2023.xlsx]原始数据'!$D:$D,MATCH($A442,'[AQ_2023.xlsx]原始数据'!$A:$A,0)),""))</f>
        <v/>
      </c>
      <c r="P442">
        <f>IF($A442="","",IFERROR(INDEX('[AQ_2024.xlsx]原始数据'!$D:$D,MATCH($A442,'[AQ_2024.xlsx]原始数据'!$A:$A,0)),""))</f>
        <v/>
      </c>
      <c r="Q442">
        <f>IF($A442="","",IFERROR(INDEX('[AQ_2020.xlsx]原始数据'!$E:$E,MATCH($A442,'[AQ_2020.xlsx]原始数据'!$A:$A,0)),""))</f>
        <v/>
      </c>
      <c r="R442">
        <f>IF($A442="","",IFERROR(INDEX('[AQ_2021.xlsx]原始数据'!$E:$E,MATCH($A442,'[AQ_2021.xlsx]原始数据'!$A:$A,0)),""))</f>
        <v/>
      </c>
      <c r="S442">
        <f>IF($A442="","",IFERROR(INDEX('[AQ_2022.xlsx]原始数据'!$E:$E,MATCH($A442,'[AQ_2022.xlsx]原始数据'!$A:$A,0)),""))</f>
        <v/>
      </c>
      <c r="T442">
        <f>IF($A442="","",IFERROR(INDEX('[AQ_2023.xlsx]原始数据'!$E:$E,MATCH($A442,'[AQ_2023.xlsx]原始数据'!$A:$A,0)),""))</f>
        <v/>
      </c>
      <c r="U442">
        <f>IF($A442="","",IFERROR(INDEX('[AQ_2024.xlsx]原始数据'!$E:$E,MATCH($A442,'[AQ_2024.xlsx]原始数据'!$A:$A,0)),""))</f>
        <v/>
      </c>
      <c r="V442">
        <f>IF($A442="","",IFERROR(INDEX('[AQ_2020.xlsx]原始数据'!$F:$F,MATCH($A442,'[AQ_2020.xlsx]原始数据'!$A:$A,0)),""))</f>
        <v/>
      </c>
      <c r="W442">
        <f>IF($A442="","",IFERROR(INDEX('[AQ_2021.xlsx]原始数据'!$F:$F,MATCH($A442,'[AQ_2021.xlsx]原始数据'!$A:$A,0)),""))</f>
        <v/>
      </c>
      <c r="X442">
        <f>IF($A442="","",IFERROR(INDEX('[AQ_2022.xlsx]原始数据'!$F:$F,MATCH($A442,'[AQ_2022.xlsx]原始数据'!$A:$A,0)),""))</f>
        <v/>
      </c>
      <c r="Y442">
        <f>IF($A442="","",IFERROR(INDEX('[AQ_2023.xlsx]原始数据'!$F:$F,MATCH($A442,'[AQ_2023.xlsx]原始数据'!$A:$A,0)),""))</f>
        <v/>
      </c>
      <c r="Z442">
        <f>IF($A442="","",IFERROR(INDEX('[AQ_2024.xlsx]原始数据'!$F:$F,MATCH($A442,'[AQ_2024.xlsx]原始数据'!$A:$A,0)),""))</f>
        <v/>
      </c>
      <c r="AA442" s="2">
        <f>IFERROR(G442/B442,"")</f>
        <v/>
      </c>
      <c r="AB442" s="2">
        <f>IFERROR(H442/C442,"")</f>
        <v/>
      </c>
      <c r="AC442" s="2">
        <f>IFERROR(I442/D442,"")</f>
        <v/>
      </c>
      <c r="AD442" s="2">
        <f>IFERROR(J442/E442,"")</f>
        <v/>
      </c>
      <c r="AE442" s="2">
        <f>IFERROR(K442/F442,"")</f>
        <v/>
      </c>
      <c r="AF442" s="2">
        <f>IFERROR(L442/B442,"")</f>
        <v/>
      </c>
      <c r="AG442" s="2">
        <f>IFERROR(M442/C442,"")</f>
        <v/>
      </c>
      <c r="AH442" s="2">
        <f>IFERROR(N442/D442,"")</f>
        <v/>
      </c>
      <c r="AI442" s="2">
        <f>IFERROR(O442/E442,"")</f>
        <v/>
      </c>
      <c r="AJ442" s="2">
        <f>IFERROR(P442/F442,"")</f>
        <v/>
      </c>
      <c r="AK442" s="2">
        <f>IFERROR(Q442/B442,"")</f>
        <v/>
      </c>
      <c r="AL442" s="2">
        <f>IFERROR(R442/C442,"")</f>
        <v/>
      </c>
      <c r="AM442" s="2">
        <f>IFERROR(S442/D442,"")</f>
        <v/>
      </c>
      <c r="AN442" s="2">
        <f>IFERROR(T442/E442,"")</f>
        <v/>
      </c>
      <c r="AO442" s="2">
        <f>IFERROR(U442/F442,"")</f>
        <v/>
      </c>
    </row>
    <row r="443">
      <c r="B443">
        <f>IF($A443="","",IFERROR(INDEX('[AQ_2020.xlsx]原始数据'!$B:$B,MATCH($A443,'[AQ_2020.xlsx]原始数据'!$A:$A,0)),""))</f>
        <v/>
      </c>
      <c r="C443">
        <f>IF($A443="","",IFERROR(INDEX('[AQ_2021.xlsx]原始数据'!$B:$B,MATCH($A443,'[AQ_2021.xlsx]原始数据'!$A:$A,0)),""))</f>
        <v/>
      </c>
      <c r="D443">
        <f>IF($A443="","",IFERROR(INDEX('[AQ_2022.xlsx]原始数据'!$B:$B,MATCH($A443,'[AQ_2022.xlsx]原始数据'!$A:$A,0)),""))</f>
        <v/>
      </c>
      <c r="E443">
        <f>IF($A443="","",IFERROR(INDEX('[AQ_2023.xlsx]原始数据'!$B:$B,MATCH($A443,'[AQ_2023.xlsx]原始数据'!$A:$A,0)),""))</f>
        <v/>
      </c>
      <c r="F443">
        <f>IF($A443="","",IFERROR(INDEX('[AQ_2024.xlsx]原始数据'!$B:$B,MATCH($A443,'[AQ_2024.xlsx]原始数据'!$A:$A,0)),""))</f>
        <v/>
      </c>
      <c r="G443">
        <f>IF($A443="","",IFERROR(INDEX('[AQ_2020.xlsx]原始数据'!$C:$C,MATCH($A443,'[AQ_2020.xlsx]原始数据'!$A:$A,0)),""))</f>
        <v/>
      </c>
      <c r="H443">
        <f>IF($A443="","",IFERROR(INDEX('[AQ_2021.xlsx]原始数据'!$C:$C,MATCH($A443,'[AQ_2021.xlsx]原始数据'!$A:$A,0)),""))</f>
        <v/>
      </c>
      <c r="I443">
        <f>IF($A443="","",IFERROR(INDEX('[AQ_2022.xlsx]原始数据'!$C:$C,MATCH($A443,'[AQ_2022.xlsx]原始数据'!$A:$A,0)),""))</f>
        <v/>
      </c>
      <c r="J443">
        <f>IF($A443="","",IFERROR(INDEX('[AQ_2023.xlsx]原始数据'!$C:$C,MATCH($A443,'[AQ_2023.xlsx]原始数据'!$A:$A,0)),""))</f>
        <v/>
      </c>
      <c r="K443">
        <f>IF($A443="","",IFERROR(INDEX('[AQ_2024.xlsx]原始数据'!$C:$C,MATCH($A443,'[AQ_2024.xlsx]原始数据'!$A:$A,0)),""))</f>
        <v/>
      </c>
      <c r="L443">
        <f>IF($A443="","",IFERROR(INDEX('[AQ_2020.xlsx]原始数据'!$D:$D,MATCH($A443,'[AQ_2020.xlsx]原始数据'!$A:$A,0)),""))</f>
        <v/>
      </c>
      <c r="M443">
        <f>IF($A443="","",IFERROR(INDEX('[AQ_2021.xlsx]原始数据'!$D:$D,MATCH($A443,'[AQ_2021.xlsx]原始数据'!$A:$A,0)),""))</f>
        <v/>
      </c>
      <c r="N443">
        <f>IF($A443="","",IFERROR(INDEX('[AQ_2022.xlsx]原始数据'!$D:$D,MATCH($A443,'[AQ_2022.xlsx]原始数据'!$A:$A,0)),""))</f>
        <v/>
      </c>
      <c r="O443">
        <f>IF($A443="","",IFERROR(INDEX('[AQ_2023.xlsx]原始数据'!$D:$D,MATCH($A443,'[AQ_2023.xlsx]原始数据'!$A:$A,0)),""))</f>
        <v/>
      </c>
      <c r="P443">
        <f>IF($A443="","",IFERROR(INDEX('[AQ_2024.xlsx]原始数据'!$D:$D,MATCH($A443,'[AQ_2024.xlsx]原始数据'!$A:$A,0)),""))</f>
        <v/>
      </c>
      <c r="Q443">
        <f>IF($A443="","",IFERROR(INDEX('[AQ_2020.xlsx]原始数据'!$E:$E,MATCH($A443,'[AQ_2020.xlsx]原始数据'!$A:$A,0)),""))</f>
        <v/>
      </c>
      <c r="R443">
        <f>IF($A443="","",IFERROR(INDEX('[AQ_2021.xlsx]原始数据'!$E:$E,MATCH($A443,'[AQ_2021.xlsx]原始数据'!$A:$A,0)),""))</f>
        <v/>
      </c>
      <c r="S443">
        <f>IF($A443="","",IFERROR(INDEX('[AQ_2022.xlsx]原始数据'!$E:$E,MATCH($A443,'[AQ_2022.xlsx]原始数据'!$A:$A,0)),""))</f>
        <v/>
      </c>
      <c r="T443">
        <f>IF($A443="","",IFERROR(INDEX('[AQ_2023.xlsx]原始数据'!$E:$E,MATCH($A443,'[AQ_2023.xlsx]原始数据'!$A:$A,0)),""))</f>
        <v/>
      </c>
      <c r="U443">
        <f>IF($A443="","",IFERROR(INDEX('[AQ_2024.xlsx]原始数据'!$E:$E,MATCH($A443,'[AQ_2024.xlsx]原始数据'!$A:$A,0)),""))</f>
        <v/>
      </c>
      <c r="V443">
        <f>IF($A443="","",IFERROR(INDEX('[AQ_2020.xlsx]原始数据'!$F:$F,MATCH($A443,'[AQ_2020.xlsx]原始数据'!$A:$A,0)),""))</f>
        <v/>
      </c>
      <c r="W443">
        <f>IF($A443="","",IFERROR(INDEX('[AQ_2021.xlsx]原始数据'!$F:$F,MATCH($A443,'[AQ_2021.xlsx]原始数据'!$A:$A,0)),""))</f>
        <v/>
      </c>
      <c r="X443">
        <f>IF($A443="","",IFERROR(INDEX('[AQ_2022.xlsx]原始数据'!$F:$F,MATCH($A443,'[AQ_2022.xlsx]原始数据'!$A:$A,0)),""))</f>
        <v/>
      </c>
      <c r="Y443">
        <f>IF($A443="","",IFERROR(INDEX('[AQ_2023.xlsx]原始数据'!$F:$F,MATCH($A443,'[AQ_2023.xlsx]原始数据'!$A:$A,0)),""))</f>
        <v/>
      </c>
      <c r="Z443">
        <f>IF($A443="","",IFERROR(INDEX('[AQ_2024.xlsx]原始数据'!$F:$F,MATCH($A443,'[AQ_2024.xlsx]原始数据'!$A:$A,0)),""))</f>
        <v/>
      </c>
      <c r="AA443" s="2">
        <f>IFERROR(G443/B443,"")</f>
        <v/>
      </c>
      <c r="AB443" s="2">
        <f>IFERROR(H443/C443,"")</f>
        <v/>
      </c>
      <c r="AC443" s="2">
        <f>IFERROR(I443/D443,"")</f>
        <v/>
      </c>
      <c r="AD443" s="2">
        <f>IFERROR(J443/E443,"")</f>
        <v/>
      </c>
      <c r="AE443" s="2">
        <f>IFERROR(K443/F443,"")</f>
        <v/>
      </c>
      <c r="AF443" s="2">
        <f>IFERROR(L443/B443,"")</f>
        <v/>
      </c>
      <c r="AG443" s="2">
        <f>IFERROR(M443/C443,"")</f>
        <v/>
      </c>
      <c r="AH443" s="2">
        <f>IFERROR(N443/D443,"")</f>
        <v/>
      </c>
      <c r="AI443" s="2">
        <f>IFERROR(O443/E443,"")</f>
        <v/>
      </c>
      <c r="AJ443" s="2">
        <f>IFERROR(P443/F443,"")</f>
        <v/>
      </c>
      <c r="AK443" s="2">
        <f>IFERROR(Q443/B443,"")</f>
        <v/>
      </c>
      <c r="AL443" s="2">
        <f>IFERROR(R443/C443,"")</f>
        <v/>
      </c>
      <c r="AM443" s="2">
        <f>IFERROR(S443/D443,"")</f>
        <v/>
      </c>
      <c r="AN443" s="2">
        <f>IFERROR(T443/E443,"")</f>
        <v/>
      </c>
      <c r="AO443" s="2">
        <f>IFERROR(U443/F443,"")</f>
        <v/>
      </c>
    </row>
    <row r="444">
      <c r="B444">
        <f>IF($A444="","",IFERROR(INDEX('[AQ_2020.xlsx]原始数据'!$B:$B,MATCH($A444,'[AQ_2020.xlsx]原始数据'!$A:$A,0)),""))</f>
        <v/>
      </c>
      <c r="C444">
        <f>IF($A444="","",IFERROR(INDEX('[AQ_2021.xlsx]原始数据'!$B:$B,MATCH($A444,'[AQ_2021.xlsx]原始数据'!$A:$A,0)),""))</f>
        <v/>
      </c>
      <c r="D444">
        <f>IF($A444="","",IFERROR(INDEX('[AQ_2022.xlsx]原始数据'!$B:$B,MATCH($A444,'[AQ_2022.xlsx]原始数据'!$A:$A,0)),""))</f>
        <v/>
      </c>
      <c r="E444">
        <f>IF($A444="","",IFERROR(INDEX('[AQ_2023.xlsx]原始数据'!$B:$B,MATCH($A444,'[AQ_2023.xlsx]原始数据'!$A:$A,0)),""))</f>
        <v/>
      </c>
      <c r="F444">
        <f>IF($A444="","",IFERROR(INDEX('[AQ_2024.xlsx]原始数据'!$B:$B,MATCH($A444,'[AQ_2024.xlsx]原始数据'!$A:$A,0)),""))</f>
        <v/>
      </c>
      <c r="G444">
        <f>IF($A444="","",IFERROR(INDEX('[AQ_2020.xlsx]原始数据'!$C:$C,MATCH($A444,'[AQ_2020.xlsx]原始数据'!$A:$A,0)),""))</f>
        <v/>
      </c>
      <c r="H444">
        <f>IF($A444="","",IFERROR(INDEX('[AQ_2021.xlsx]原始数据'!$C:$C,MATCH($A444,'[AQ_2021.xlsx]原始数据'!$A:$A,0)),""))</f>
        <v/>
      </c>
      <c r="I444">
        <f>IF($A444="","",IFERROR(INDEX('[AQ_2022.xlsx]原始数据'!$C:$C,MATCH($A444,'[AQ_2022.xlsx]原始数据'!$A:$A,0)),""))</f>
        <v/>
      </c>
      <c r="J444">
        <f>IF($A444="","",IFERROR(INDEX('[AQ_2023.xlsx]原始数据'!$C:$C,MATCH($A444,'[AQ_2023.xlsx]原始数据'!$A:$A,0)),""))</f>
        <v/>
      </c>
      <c r="K444">
        <f>IF($A444="","",IFERROR(INDEX('[AQ_2024.xlsx]原始数据'!$C:$C,MATCH($A444,'[AQ_2024.xlsx]原始数据'!$A:$A,0)),""))</f>
        <v/>
      </c>
      <c r="L444">
        <f>IF($A444="","",IFERROR(INDEX('[AQ_2020.xlsx]原始数据'!$D:$D,MATCH($A444,'[AQ_2020.xlsx]原始数据'!$A:$A,0)),""))</f>
        <v/>
      </c>
      <c r="M444">
        <f>IF($A444="","",IFERROR(INDEX('[AQ_2021.xlsx]原始数据'!$D:$D,MATCH($A444,'[AQ_2021.xlsx]原始数据'!$A:$A,0)),""))</f>
        <v/>
      </c>
      <c r="N444">
        <f>IF($A444="","",IFERROR(INDEX('[AQ_2022.xlsx]原始数据'!$D:$D,MATCH($A444,'[AQ_2022.xlsx]原始数据'!$A:$A,0)),""))</f>
        <v/>
      </c>
      <c r="O444">
        <f>IF($A444="","",IFERROR(INDEX('[AQ_2023.xlsx]原始数据'!$D:$D,MATCH($A444,'[AQ_2023.xlsx]原始数据'!$A:$A,0)),""))</f>
        <v/>
      </c>
      <c r="P444">
        <f>IF($A444="","",IFERROR(INDEX('[AQ_2024.xlsx]原始数据'!$D:$D,MATCH($A444,'[AQ_2024.xlsx]原始数据'!$A:$A,0)),""))</f>
        <v/>
      </c>
      <c r="Q444">
        <f>IF($A444="","",IFERROR(INDEX('[AQ_2020.xlsx]原始数据'!$E:$E,MATCH($A444,'[AQ_2020.xlsx]原始数据'!$A:$A,0)),""))</f>
        <v/>
      </c>
      <c r="R444">
        <f>IF($A444="","",IFERROR(INDEX('[AQ_2021.xlsx]原始数据'!$E:$E,MATCH($A444,'[AQ_2021.xlsx]原始数据'!$A:$A,0)),""))</f>
        <v/>
      </c>
      <c r="S444">
        <f>IF($A444="","",IFERROR(INDEX('[AQ_2022.xlsx]原始数据'!$E:$E,MATCH($A444,'[AQ_2022.xlsx]原始数据'!$A:$A,0)),""))</f>
        <v/>
      </c>
      <c r="T444">
        <f>IF($A444="","",IFERROR(INDEX('[AQ_2023.xlsx]原始数据'!$E:$E,MATCH($A444,'[AQ_2023.xlsx]原始数据'!$A:$A,0)),""))</f>
        <v/>
      </c>
      <c r="U444">
        <f>IF($A444="","",IFERROR(INDEX('[AQ_2024.xlsx]原始数据'!$E:$E,MATCH($A444,'[AQ_2024.xlsx]原始数据'!$A:$A,0)),""))</f>
        <v/>
      </c>
      <c r="V444">
        <f>IF($A444="","",IFERROR(INDEX('[AQ_2020.xlsx]原始数据'!$F:$F,MATCH($A444,'[AQ_2020.xlsx]原始数据'!$A:$A,0)),""))</f>
        <v/>
      </c>
      <c r="W444">
        <f>IF($A444="","",IFERROR(INDEX('[AQ_2021.xlsx]原始数据'!$F:$F,MATCH($A444,'[AQ_2021.xlsx]原始数据'!$A:$A,0)),""))</f>
        <v/>
      </c>
      <c r="X444">
        <f>IF($A444="","",IFERROR(INDEX('[AQ_2022.xlsx]原始数据'!$F:$F,MATCH($A444,'[AQ_2022.xlsx]原始数据'!$A:$A,0)),""))</f>
        <v/>
      </c>
      <c r="Y444">
        <f>IF($A444="","",IFERROR(INDEX('[AQ_2023.xlsx]原始数据'!$F:$F,MATCH($A444,'[AQ_2023.xlsx]原始数据'!$A:$A,0)),""))</f>
        <v/>
      </c>
      <c r="Z444">
        <f>IF($A444="","",IFERROR(INDEX('[AQ_2024.xlsx]原始数据'!$F:$F,MATCH($A444,'[AQ_2024.xlsx]原始数据'!$A:$A,0)),""))</f>
        <v/>
      </c>
      <c r="AA444" s="2">
        <f>IFERROR(G444/B444,"")</f>
        <v/>
      </c>
      <c r="AB444" s="2">
        <f>IFERROR(H444/C444,"")</f>
        <v/>
      </c>
      <c r="AC444" s="2">
        <f>IFERROR(I444/D444,"")</f>
        <v/>
      </c>
      <c r="AD444" s="2">
        <f>IFERROR(J444/E444,"")</f>
        <v/>
      </c>
      <c r="AE444" s="2">
        <f>IFERROR(K444/F444,"")</f>
        <v/>
      </c>
      <c r="AF444" s="2">
        <f>IFERROR(L444/B444,"")</f>
        <v/>
      </c>
      <c r="AG444" s="2">
        <f>IFERROR(M444/C444,"")</f>
        <v/>
      </c>
      <c r="AH444" s="2">
        <f>IFERROR(N444/D444,"")</f>
        <v/>
      </c>
      <c r="AI444" s="2">
        <f>IFERROR(O444/E444,"")</f>
        <v/>
      </c>
      <c r="AJ444" s="2">
        <f>IFERROR(P444/F444,"")</f>
        <v/>
      </c>
      <c r="AK444" s="2">
        <f>IFERROR(Q444/B444,"")</f>
        <v/>
      </c>
      <c r="AL444" s="2">
        <f>IFERROR(R444/C444,"")</f>
        <v/>
      </c>
      <c r="AM444" s="2">
        <f>IFERROR(S444/D444,"")</f>
        <v/>
      </c>
      <c r="AN444" s="2">
        <f>IFERROR(T444/E444,"")</f>
        <v/>
      </c>
      <c r="AO444" s="2">
        <f>IFERROR(U444/F444,"")</f>
        <v/>
      </c>
    </row>
    <row r="445">
      <c r="B445">
        <f>IF($A445="","",IFERROR(INDEX('[AQ_2020.xlsx]原始数据'!$B:$B,MATCH($A445,'[AQ_2020.xlsx]原始数据'!$A:$A,0)),""))</f>
        <v/>
      </c>
      <c r="C445">
        <f>IF($A445="","",IFERROR(INDEX('[AQ_2021.xlsx]原始数据'!$B:$B,MATCH($A445,'[AQ_2021.xlsx]原始数据'!$A:$A,0)),""))</f>
        <v/>
      </c>
      <c r="D445">
        <f>IF($A445="","",IFERROR(INDEX('[AQ_2022.xlsx]原始数据'!$B:$B,MATCH($A445,'[AQ_2022.xlsx]原始数据'!$A:$A,0)),""))</f>
        <v/>
      </c>
      <c r="E445">
        <f>IF($A445="","",IFERROR(INDEX('[AQ_2023.xlsx]原始数据'!$B:$B,MATCH($A445,'[AQ_2023.xlsx]原始数据'!$A:$A,0)),""))</f>
        <v/>
      </c>
      <c r="F445">
        <f>IF($A445="","",IFERROR(INDEX('[AQ_2024.xlsx]原始数据'!$B:$B,MATCH($A445,'[AQ_2024.xlsx]原始数据'!$A:$A,0)),""))</f>
        <v/>
      </c>
      <c r="G445">
        <f>IF($A445="","",IFERROR(INDEX('[AQ_2020.xlsx]原始数据'!$C:$C,MATCH($A445,'[AQ_2020.xlsx]原始数据'!$A:$A,0)),""))</f>
        <v/>
      </c>
      <c r="H445">
        <f>IF($A445="","",IFERROR(INDEX('[AQ_2021.xlsx]原始数据'!$C:$C,MATCH($A445,'[AQ_2021.xlsx]原始数据'!$A:$A,0)),""))</f>
        <v/>
      </c>
      <c r="I445">
        <f>IF($A445="","",IFERROR(INDEX('[AQ_2022.xlsx]原始数据'!$C:$C,MATCH($A445,'[AQ_2022.xlsx]原始数据'!$A:$A,0)),""))</f>
        <v/>
      </c>
      <c r="J445">
        <f>IF($A445="","",IFERROR(INDEX('[AQ_2023.xlsx]原始数据'!$C:$C,MATCH($A445,'[AQ_2023.xlsx]原始数据'!$A:$A,0)),""))</f>
        <v/>
      </c>
      <c r="K445">
        <f>IF($A445="","",IFERROR(INDEX('[AQ_2024.xlsx]原始数据'!$C:$C,MATCH($A445,'[AQ_2024.xlsx]原始数据'!$A:$A,0)),""))</f>
        <v/>
      </c>
      <c r="L445">
        <f>IF($A445="","",IFERROR(INDEX('[AQ_2020.xlsx]原始数据'!$D:$D,MATCH($A445,'[AQ_2020.xlsx]原始数据'!$A:$A,0)),""))</f>
        <v/>
      </c>
      <c r="M445">
        <f>IF($A445="","",IFERROR(INDEX('[AQ_2021.xlsx]原始数据'!$D:$D,MATCH($A445,'[AQ_2021.xlsx]原始数据'!$A:$A,0)),""))</f>
        <v/>
      </c>
      <c r="N445">
        <f>IF($A445="","",IFERROR(INDEX('[AQ_2022.xlsx]原始数据'!$D:$D,MATCH($A445,'[AQ_2022.xlsx]原始数据'!$A:$A,0)),""))</f>
        <v/>
      </c>
      <c r="O445">
        <f>IF($A445="","",IFERROR(INDEX('[AQ_2023.xlsx]原始数据'!$D:$D,MATCH($A445,'[AQ_2023.xlsx]原始数据'!$A:$A,0)),""))</f>
        <v/>
      </c>
      <c r="P445">
        <f>IF($A445="","",IFERROR(INDEX('[AQ_2024.xlsx]原始数据'!$D:$D,MATCH($A445,'[AQ_2024.xlsx]原始数据'!$A:$A,0)),""))</f>
        <v/>
      </c>
      <c r="Q445">
        <f>IF($A445="","",IFERROR(INDEX('[AQ_2020.xlsx]原始数据'!$E:$E,MATCH($A445,'[AQ_2020.xlsx]原始数据'!$A:$A,0)),""))</f>
        <v/>
      </c>
      <c r="R445">
        <f>IF($A445="","",IFERROR(INDEX('[AQ_2021.xlsx]原始数据'!$E:$E,MATCH($A445,'[AQ_2021.xlsx]原始数据'!$A:$A,0)),""))</f>
        <v/>
      </c>
      <c r="S445">
        <f>IF($A445="","",IFERROR(INDEX('[AQ_2022.xlsx]原始数据'!$E:$E,MATCH($A445,'[AQ_2022.xlsx]原始数据'!$A:$A,0)),""))</f>
        <v/>
      </c>
      <c r="T445">
        <f>IF($A445="","",IFERROR(INDEX('[AQ_2023.xlsx]原始数据'!$E:$E,MATCH($A445,'[AQ_2023.xlsx]原始数据'!$A:$A,0)),""))</f>
        <v/>
      </c>
      <c r="U445">
        <f>IF($A445="","",IFERROR(INDEX('[AQ_2024.xlsx]原始数据'!$E:$E,MATCH($A445,'[AQ_2024.xlsx]原始数据'!$A:$A,0)),""))</f>
        <v/>
      </c>
      <c r="V445">
        <f>IF($A445="","",IFERROR(INDEX('[AQ_2020.xlsx]原始数据'!$F:$F,MATCH($A445,'[AQ_2020.xlsx]原始数据'!$A:$A,0)),""))</f>
        <v/>
      </c>
      <c r="W445">
        <f>IF($A445="","",IFERROR(INDEX('[AQ_2021.xlsx]原始数据'!$F:$F,MATCH($A445,'[AQ_2021.xlsx]原始数据'!$A:$A,0)),""))</f>
        <v/>
      </c>
      <c r="X445">
        <f>IF($A445="","",IFERROR(INDEX('[AQ_2022.xlsx]原始数据'!$F:$F,MATCH($A445,'[AQ_2022.xlsx]原始数据'!$A:$A,0)),""))</f>
        <v/>
      </c>
      <c r="Y445">
        <f>IF($A445="","",IFERROR(INDEX('[AQ_2023.xlsx]原始数据'!$F:$F,MATCH($A445,'[AQ_2023.xlsx]原始数据'!$A:$A,0)),""))</f>
        <v/>
      </c>
      <c r="Z445">
        <f>IF($A445="","",IFERROR(INDEX('[AQ_2024.xlsx]原始数据'!$F:$F,MATCH($A445,'[AQ_2024.xlsx]原始数据'!$A:$A,0)),""))</f>
        <v/>
      </c>
      <c r="AA445" s="2">
        <f>IFERROR(G445/B445,"")</f>
        <v/>
      </c>
      <c r="AB445" s="2">
        <f>IFERROR(H445/C445,"")</f>
        <v/>
      </c>
      <c r="AC445" s="2">
        <f>IFERROR(I445/D445,"")</f>
        <v/>
      </c>
      <c r="AD445" s="2">
        <f>IFERROR(J445/E445,"")</f>
        <v/>
      </c>
      <c r="AE445" s="2">
        <f>IFERROR(K445/F445,"")</f>
        <v/>
      </c>
      <c r="AF445" s="2">
        <f>IFERROR(L445/B445,"")</f>
        <v/>
      </c>
      <c r="AG445" s="2">
        <f>IFERROR(M445/C445,"")</f>
        <v/>
      </c>
      <c r="AH445" s="2">
        <f>IFERROR(N445/D445,"")</f>
        <v/>
      </c>
      <c r="AI445" s="2">
        <f>IFERROR(O445/E445,"")</f>
        <v/>
      </c>
      <c r="AJ445" s="2">
        <f>IFERROR(P445/F445,"")</f>
        <v/>
      </c>
      <c r="AK445" s="2">
        <f>IFERROR(Q445/B445,"")</f>
        <v/>
      </c>
      <c r="AL445" s="2">
        <f>IFERROR(R445/C445,"")</f>
        <v/>
      </c>
      <c r="AM445" s="2">
        <f>IFERROR(S445/D445,"")</f>
        <v/>
      </c>
      <c r="AN445" s="2">
        <f>IFERROR(T445/E445,"")</f>
        <v/>
      </c>
      <c r="AO445" s="2">
        <f>IFERROR(U445/F445,"")</f>
        <v/>
      </c>
    </row>
    <row r="446">
      <c r="B446">
        <f>IF($A446="","",IFERROR(INDEX('[AQ_2020.xlsx]原始数据'!$B:$B,MATCH($A446,'[AQ_2020.xlsx]原始数据'!$A:$A,0)),""))</f>
        <v/>
      </c>
      <c r="C446">
        <f>IF($A446="","",IFERROR(INDEX('[AQ_2021.xlsx]原始数据'!$B:$B,MATCH($A446,'[AQ_2021.xlsx]原始数据'!$A:$A,0)),""))</f>
        <v/>
      </c>
      <c r="D446">
        <f>IF($A446="","",IFERROR(INDEX('[AQ_2022.xlsx]原始数据'!$B:$B,MATCH($A446,'[AQ_2022.xlsx]原始数据'!$A:$A,0)),""))</f>
        <v/>
      </c>
      <c r="E446">
        <f>IF($A446="","",IFERROR(INDEX('[AQ_2023.xlsx]原始数据'!$B:$B,MATCH($A446,'[AQ_2023.xlsx]原始数据'!$A:$A,0)),""))</f>
        <v/>
      </c>
      <c r="F446">
        <f>IF($A446="","",IFERROR(INDEX('[AQ_2024.xlsx]原始数据'!$B:$B,MATCH($A446,'[AQ_2024.xlsx]原始数据'!$A:$A,0)),""))</f>
        <v/>
      </c>
      <c r="G446">
        <f>IF($A446="","",IFERROR(INDEX('[AQ_2020.xlsx]原始数据'!$C:$C,MATCH($A446,'[AQ_2020.xlsx]原始数据'!$A:$A,0)),""))</f>
        <v/>
      </c>
      <c r="H446">
        <f>IF($A446="","",IFERROR(INDEX('[AQ_2021.xlsx]原始数据'!$C:$C,MATCH($A446,'[AQ_2021.xlsx]原始数据'!$A:$A,0)),""))</f>
        <v/>
      </c>
      <c r="I446">
        <f>IF($A446="","",IFERROR(INDEX('[AQ_2022.xlsx]原始数据'!$C:$C,MATCH($A446,'[AQ_2022.xlsx]原始数据'!$A:$A,0)),""))</f>
        <v/>
      </c>
      <c r="J446">
        <f>IF($A446="","",IFERROR(INDEX('[AQ_2023.xlsx]原始数据'!$C:$C,MATCH($A446,'[AQ_2023.xlsx]原始数据'!$A:$A,0)),""))</f>
        <v/>
      </c>
      <c r="K446">
        <f>IF($A446="","",IFERROR(INDEX('[AQ_2024.xlsx]原始数据'!$C:$C,MATCH($A446,'[AQ_2024.xlsx]原始数据'!$A:$A,0)),""))</f>
        <v/>
      </c>
      <c r="L446">
        <f>IF($A446="","",IFERROR(INDEX('[AQ_2020.xlsx]原始数据'!$D:$D,MATCH($A446,'[AQ_2020.xlsx]原始数据'!$A:$A,0)),""))</f>
        <v/>
      </c>
      <c r="M446">
        <f>IF($A446="","",IFERROR(INDEX('[AQ_2021.xlsx]原始数据'!$D:$D,MATCH($A446,'[AQ_2021.xlsx]原始数据'!$A:$A,0)),""))</f>
        <v/>
      </c>
      <c r="N446">
        <f>IF($A446="","",IFERROR(INDEX('[AQ_2022.xlsx]原始数据'!$D:$D,MATCH($A446,'[AQ_2022.xlsx]原始数据'!$A:$A,0)),""))</f>
        <v/>
      </c>
      <c r="O446">
        <f>IF($A446="","",IFERROR(INDEX('[AQ_2023.xlsx]原始数据'!$D:$D,MATCH($A446,'[AQ_2023.xlsx]原始数据'!$A:$A,0)),""))</f>
        <v/>
      </c>
      <c r="P446">
        <f>IF($A446="","",IFERROR(INDEX('[AQ_2024.xlsx]原始数据'!$D:$D,MATCH($A446,'[AQ_2024.xlsx]原始数据'!$A:$A,0)),""))</f>
        <v/>
      </c>
      <c r="Q446">
        <f>IF($A446="","",IFERROR(INDEX('[AQ_2020.xlsx]原始数据'!$E:$E,MATCH($A446,'[AQ_2020.xlsx]原始数据'!$A:$A,0)),""))</f>
        <v/>
      </c>
      <c r="R446">
        <f>IF($A446="","",IFERROR(INDEX('[AQ_2021.xlsx]原始数据'!$E:$E,MATCH($A446,'[AQ_2021.xlsx]原始数据'!$A:$A,0)),""))</f>
        <v/>
      </c>
      <c r="S446">
        <f>IF($A446="","",IFERROR(INDEX('[AQ_2022.xlsx]原始数据'!$E:$E,MATCH($A446,'[AQ_2022.xlsx]原始数据'!$A:$A,0)),""))</f>
        <v/>
      </c>
      <c r="T446">
        <f>IF($A446="","",IFERROR(INDEX('[AQ_2023.xlsx]原始数据'!$E:$E,MATCH($A446,'[AQ_2023.xlsx]原始数据'!$A:$A,0)),""))</f>
        <v/>
      </c>
      <c r="U446">
        <f>IF($A446="","",IFERROR(INDEX('[AQ_2024.xlsx]原始数据'!$E:$E,MATCH($A446,'[AQ_2024.xlsx]原始数据'!$A:$A,0)),""))</f>
        <v/>
      </c>
      <c r="V446">
        <f>IF($A446="","",IFERROR(INDEX('[AQ_2020.xlsx]原始数据'!$F:$F,MATCH($A446,'[AQ_2020.xlsx]原始数据'!$A:$A,0)),""))</f>
        <v/>
      </c>
      <c r="W446">
        <f>IF($A446="","",IFERROR(INDEX('[AQ_2021.xlsx]原始数据'!$F:$F,MATCH($A446,'[AQ_2021.xlsx]原始数据'!$A:$A,0)),""))</f>
        <v/>
      </c>
      <c r="X446">
        <f>IF($A446="","",IFERROR(INDEX('[AQ_2022.xlsx]原始数据'!$F:$F,MATCH($A446,'[AQ_2022.xlsx]原始数据'!$A:$A,0)),""))</f>
        <v/>
      </c>
      <c r="Y446">
        <f>IF($A446="","",IFERROR(INDEX('[AQ_2023.xlsx]原始数据'!$F:$F,MATCH($A446,'[AQ_2023.xlsx]原始数据'!$A:$A,0)),""))</f>
        <v/>
      </c>
      <c r="Z446">
        <f>IF($A446="","",IFERROR(INDEX('[AQ_2024.xlsx]原始数据'!$F:$F,MATCH($A446,'[AQ_2024.xlsx]原始数据'!$A:$A,0)),""))</f>
        <v/>
      </c>
      <c r="AA446" s="2">
        <f>IFERROR(G446/B446,"")</f>
        <v/>
      </c>
      <c r="AB446" s="2">
        <f>IFERROR(H446/C446,"")</f>
        <v/>
      </c>
      <c r="AC446" s="2">
        <f>IFERROR(I446/D446,"")</f>
        <v/>
      </c>
      <c r="AD446" s="2">
        <f>IFERROR(J446/E446,"")</f>
        <v/>
      </c>
      <c r="AE446" s="2">
        <f>IFERROR(K446/F446,"")</f>
        <v/>
      </c>
      <c r="AF446" s="2">
        <f>IFERROR(L446/B446,"")</f>
        <v/>
      </c>
      <c r="AG446" s="2">
        <f>IFERROR(M446/C446,"")</f>
        <v/>
      </c>
      <c r="AH446" s="2">
        <f>IFERROR(N446/D446,"")</f>
        <v/>
      </c>
      <c r="AI446" s="2">
        <f>IFERROR(O446/E446,"")</f>
        <v/>
      </c>
      <c r="AJ446" s="2">
        <f>IFERROR(P446/F446,"")</f>
        <v/>
      </c>
      <c r="AK446" s="2">
        <f>IFERROR(Q446/B446,"")</f>
        <v/>
      </c>
      <c r="AL446" s="2">
        <f>IFERROR(R446/C446,"")</f>
        <v/>
      </c>
      <c r="AM446" s="2">
        <f>IFERROR(S446/D446,"")</f>
        <v/>
      </c>
      <c r="AN446" s="2">
        <f>IFERROR(T446/E446,"")</f>
        <v/>
      </c>
      <c r="AO446" s="2">
        <f>IFERROR(U446/F446,"")</f>
        <v/>
      </c>
    </row>
    <row r="447">
      <c r="B447">
        <f>IF($A447="","",IFERROR(INDEX('[AQ_2020.xlsx]原始数据'!$B:$B,MATCH($A447,'[AQ_2020.xlsx]原始数据'!$A:$A,0)),""))</f>
        <v/>
      </c>
      <c r="C447">
        <f>IF($A447="","",IFERROR(INDEX('[AQ_2021.xlsx]原始数据'!$B:$B,MATCH($A447,'[AQ_2021.xlsx]原始数据'!$A:$A,0)),""))</f>
        <v/>
      </c>
      <c r="D447">
        <f>IF($A447="","",IFERROR(INDEX('[AQ_2022.xlsx]原始数据'!$B:$B,MATCH($A447,'[AQ_2022.xlsx]原始数据'!$A:$A,0)),""))</f>
        <v/>
      </c>
      <c r="E447">
        <f>IF($A447="","",IFERROR(INDEX('[AQ_2023.xlsx]原始数据'!$B:$B,MATCH($A447,'[AQ_2023.xlsx]原始数据'!$A:$A,0)),""))</f>
        <v/>
      </c>
      <c r="F447">
        <f>IF($A447="","",IFERROR(INDEX('[AQ_2024.xlsx]原始数据'!$B:$B,MATCH($A447,'[AQ_2024.xlsx]原始数据'!$A:$A,0)),""))</f>
        <v/>
      </c>
      <c r="G447">
        <f>IF($A447="","",IFERROR(INDEX('[AQ_2020.xlsx]原始数据'!$C:$C,MATCH($A447,'[AQ_2020.xlsx]原始数据'!$A:$A,0)),""))</f>
        <v/>
      </c>
      <c r="H447">
        <f>IF($A447="","",IFERROR(INDEX('[AQ_2021.xlsx]原始数据'!$C:$C,MATCH($A447,'[AQ_2021.xlsx]原始数据'!$A:$A,0)),""))</f>
        <v/>
      </c>
      <c r="I447">
        <f>IF($A447="","",IFERROR(INDEX('[AQ_2022.xlsx]原始数据'!$C:$C,MATCH($A447,'[AQ_2022.xlsx]原始数据'!$A:$A,0)),""))</f>
        <v/>
      </c>
      <c r="J447">
        <f>IF($A447="","",IFERROR(INDEX('[AQ_2023.xlsx]原始数据'!$C:$C,MATCH($A447,'[AQ_2023.xlsx]原始数据'!$A:$A,0)),""))</f>
        <v/>
      </c>
      <c r="K447">
        <f>IF($A447="","",IFERROR(INDEX('[AQ_2024.xlsx]原始数据'!$C:$C,MATCH($A447,'[AQ_2024.xlsx]原始数据'!$A:$A,0)),""))</f>
        <v/>
      </c>
      <c r="L447">
        <f>IF($A447="","",IFERROR(INDEX('[AQ_2020.xlsx]原始数据'!$D:$D,MATCH($A447,'[AQ_2020.xlsx]原始数据'!$A:$A,0)),""))</f>
        <v/>
      </c>
      <c r="M447">
        <f>IF($A447="","",IFERROR(INDEX('[AQ_2021.xlsx]原始数据'!$D:$D,MATCH($A447,'[AQ_2021.xlsx]原始数据'!$A:$A,0)),""))</f>
        <v/>
      </c>
      <c r="N447">
        <f>IF($A447="","",IFERROR(INDEX('[AQ_2022.xlsx]原始数据'!$D:$D,MATCH($A447,'[AQ_2022.xlsx]原始数据'!$A:$A,0)),""))</f>
        <v/>
      </c>
      <c r="O447">
        <f>IF($A447="","",IFERROR(INDEX('[AQ_2023.xlsx]原始数据'!$D:$D,MATCH($A447,'[AQ_2023.xlsx]原始数据'!$A:$A,0)),""))</f>
        <v/>
      </c>
      <c r="P447">
        <f>IF($A447="","",IFERROR(INDEX('[AQ_2024.xlsx]原始数据'!$D:$D,MATCH($A447,'[AQ_2024.xlsx]原始数据'!$A:$A,0)),""))</f>
        <v/>
      </c>
      <c r="Q447">
        <f>IF($A447="","",IFERROR(INDEX('[AQ_2020.xlsx]原始数据'!$E:$E,MATCH($A447,'[AQ_2020.xlsx]原始数据'!$A:$A,0)),""))</f>
        <v/>
      </c>
      <c r="R447">
        <f>IF($A447="","",IFERROR(INDEX('[AQ_2021.xlsx]原始数据'!$E:$E,MATCH($A447,'[AQ_2021.xlsx]原始数据'!$A:$A,0)),""))</f>
        <v/>
      </c>
      <c r="S447">
        <f>IF($A447="","",IFERROR(INDEX('[AQ_2022.xlsx]原始数据'!$E:$E,MATCH($A447,'[AQ_2022.xlsx]原始数据'!$A:$A,0)),""))</f>
        <v/>
      </c>
      <c r="T447">
        <f>IF($A447="","",IFERROR(INDEX('[AQ_2023.xlsx]原始数据'!$E:$E,MATCH($A447,'[AQ_2023.xlsx]原始数据'!$A:$A,0)),""))</f>
        <v/>
      </c>
      <c r="U447">
        <f>IF($A447="","",IFERROR(INDEX('[AQ_2024.xlsx]原始数据'!$E:$E,MATCH($A447,'[AQ_2024.xlsx]原始数据'!$A:$A,0)),""))</f>
        <v/>
      </c>
      <c r="V447">
        <f>IF($A447="","",IFERROR(INDEX('[AQ_2020.xlsx]原始数据'!$F:$F,MATCH($A447,'[AQ_2020.xlsx]原始数据'!$A:$A,0)),""))</f>
        <v/>
      </c>
      <c r="W447">
        <f>IF($A447="","",IFERROR(INDEX('[AQ_2021.xlsx]原始数据'!$F:$F,MATCH($A447,'[AQ_2021.xlsx]原始数据'!$A:$A,0)),""))</f>
        <v/>
      </c>
      <c r="X447">
        <f>IF($A447="","",IFERROR(INDEX('[AQ_2022.xlsx]原始数据'!$F:$F,MATCH($A447,'[AQ_2022.xlsx]原始数据'!$A:$A,0)),""))</f>
        <v/>
      </c>
      <c r="Y447">
        <f>IF($A447="","",IFERROR(INDEX('[AQ_2023.xlsx]原始数据'!$F:$F,MATCH($A447,'[AQ_2023.xlsx]原始数据'!$A:$A,0)),""))</f>
        <v/>
      </c>
      <c r="Z447">
        <f>IF($A447="","",IFERROR(INDEX('[AQ_2024.xlsx]原始数据'!$F:$F,MATCH($A447,'[AQ_2024.xlsx]原始数据'!$A:$A,0)),""))</f>
        <v/>
      </c>
      <c r="AA447" s="2">
        <f>IFERROR(G447/B447,"")</f>
        <v/>
      </c>
      <c r="AB447" s="2">
        <f>IFERROR(H447/C447,"")</f>
        <v/>
      </c>
      <c r="AC447" s="2">
        <f>IFERROR(I447/D447,"")</f>
        <v/>
      </c>
      <c r="AD447" s="2">
        <f>IFERROR(J447/E447,"")</f>
        <v/>
      </c>
      <c r="AE447" s="2">
        <f>IFERROR(K447/F447,"")</f>
        <v/>
      </c>
      <c r="AF447" s="2">
        <f>IFERROR(L447/B447,"")</f>
        <v/>
      </c>
      <c r="AG447" s="2">
        <f>IFERROR(M447/C447,"")</f>
        <v/>
      </c>
      <c r="AH447" s="2">
        <f>IFERROR(N447/D447,"")</f>
        <v/>
      </c>
      <c r="AI447" s="2">
        <f>IFERROR(O447/E447,"")</f>
        <v/>
      </c>
      <c r="AJ447" s="2">
        <f>IFERROR(P447/F447,"")</f>
        <v/>
      </c>
      <c r="AK447" s="2">
        <f>IFERROR(Q447/B447,"")</f>
        <v/>
      </c>
      <c r="AL447" s="2">
        <f>IFERROR(R447/C447,"")</f>
        <v/>
      </c>
      <c r="AM447" s="2">
        <f>IFERROR(S447/D447,"")</f>
        <v/>
      </c>
      <c r="AN447" s="2">
        <f>IFERROR(T447/E447,"")</f>
        <v/>
      </c>
      <c r="AO447" s="2">
        <f>IFERROR(U447/F447,"")</f>
        <v/>
      </c>
    </row>
    <row r="448">
      <c r="B448">
        <f>IF($A448="","",IFERROR(INDEX('[AQ_2020.xlsx]原始数据'!$B:$B,MATCH($A448,'[AQ_2020.xlsx]原始数据'!$A:$A,0)),""))</f>
        <v/>
      </c>
      <c r="C448">
        <f>IF($A448="","",IFERROR(INDEX('[AQ_2021.xlsx]原始数据'!$B:$B,MATCH($A448,'[AQ_2021.xlsx]原始数据'!$A:$A,0)),""))</f>
        <v/>
      </c>
      <c r="D448">
        <f>IF($A448="","",IFERROR(INDEX('[AQ_2022.xlsx]原始数据'!$B:$B,MATCH($A448,'[AQ_2022.xlsx]原始数据'!$A:$A,0)),""))</f>
        <v/>
      </c>
      <c r="E448">
        <f>IF($A448="","",IFERROR(INDEX('[AQ_2023.xlsx]原始数据'!$B:$B,MATCH($A448,'[AQ_2023.xlsx]原始数据'!$A:$A,0)),""))</f>
        <v/>
      </c>
      <c r="F448">
        <f>IF($A448="","",IFERROR(INDEX('[AQ_2024.xlsx]原始数据'!$B:$B,MATCH($A448,'[AQ_2024.xlsx]原始数据'!$A:$A,0)),""))</f>
        <v/>
      </c>
      <c r="G448">
        <f>IF($A448="","",IFERROR(INDEX('[AQ_2020.xlsx]原始数据'!$C:$C,MATCH($A448,'[AQ_2020.xlsx]原始数据'!$A:$A,0)),""))</f>
        <v/>
      </c>
      <c r="H448">
        <f>IF($A448="","",IFERROR(INDEX('[AQ_2021.xlsx]原始数据'!$C:$C,MATCH($A448,'[AQ_2021.xlsx]原始数据'!$A:$A,0)),""))</f>
        <v/>
      </c>
      <c r="I448">
        <f>IF($A448="","",IFERROR(INDEX('[AQ_2022.xlsx]原始数据'!$C:$C,MATCH($A448,'[AQ_2022.xlsx]原始数据'!$A:$A,0)),""))</f>
        <v/>
      </c>
      <c r="J448">
        <f>IF($A448="","",IFERROR(INDEX('[AQ_2023.xlsx]原始数据'!$C:$C,MATCH($A448,'[AQ_2023.xlsx]原始数据'!$A:$A,0)),""))</f>
        <v/>
      </c>
      <c r="K448">
        <f>IF($A448="","",IFERROR(INDEX('[AQ_2024.xlsx]原始数据'!$C:$C,MATCH($A448,'[AQ_2024.xlsx]原始数据'!$A:$A,0)),""))</f>
        <v/>
      </c>
      <c r="L448">
        <f>IF($A448="","",IFERROR(INDEX('[AQ_2020.xlsx]原始数据'!$D:$D,MATCH($A448,'[AQ_2020.xlsx]原始数据'!$A:$A,0)),""))</f>
        <v/>
      </c>
      <c r="M448">
        <f>IF($A448="","",IFERROR(INDEX('[AQ_2021.xlsx]原始数据'!$D:$D,MATCH($A448,'[AQ_2021.xlsx]原始数据'!$A:$A,0)),""))</f>
        <v/>
      </c>
      <c r="N448">
        <f>IF($A448="","",IFERROR(INDEX('[AQ_2022.xlsx]原始数据'!$D:$D,MATCH($A448,'[AQ_2022.xlsx]原始数据'!$A:$A,0)),""))</f>
        <v/>
      </c>
      <c r="O448">
        <f>IF($A448="","",IFERROR(INDEX('[AQ_2023.xlsx]原始数据'!$D:$D,MATCH($A448,'[AQ_2023.xlsx]原始数据'!$A:$A,0)),""))</f>
        <v/>
      </c>
      <c r="P448">
        <f>IF($A448="","",IFERROR(INDEX('[AQ_2024.xlsx]原始数据'!$D:$D,MATCH($A448,'[AQ_2024.xlsx]原始数据'!$A:$A,0)),""))</f>
        <v/>
      </c>
      <c r="Q448">
        <f>IF($A448="","",IFERROR(INDEX('[AQ_2020.xlsx]原始数据'!$E:$E,MATCH($A448,'[AQ_2020.xlsx]原始数据'!$A:$A,0)),""))</f>
        <v/>
      </c>
      <c r="R448">
        <f>IF($A448="","",IFERROR(INDEX('[AQ_2021.xlsx]原始数据'!$E:$E,MATCH($A448,'[AQ_2021.xlsx]原始数据'!$A:$A,0)),""))</f>
        <v/>
      </c>
      <c r="S448">
        <f>IF($A448="","",IFERROR(INDEX('[AQ_2022.xlsx]原始数据'!$E:$E,MATCH($A448,'[AQ_2022.xlsx]原始数据'!$A:$A,0)),""))</f>
        <v/>
      </c>
      <c r="T448">
        <f>IF($A448="","",IFERROR(INDEX('[AQ_2023.xlsx]原始数据'!$E:$E,MATCH($A448,'[AQ_2023.xlsx]原始数据'!$A:$A,0)),""))</f>
        <v/>
      </c>
      <c r="U448">
        <f>IF($A448="","",IFERROR(INDEX('[AQ_2024.xlsx]原始数据'!$E:$E,MATCH($A448,'[AQ_2024.xlsx]原始数据'!$A:$A,0)),""))</f>
        <v/>
      </c>
      <c r="V448">
        <f>IF($A448="","",IFERROR(INDEX('[AQ_2020.xlsx]原始数据'!$F:$F,MATCH($A448,'[AQ_2020.xlsx]原始数据'!$A:$A,0)),""))</f>
        <v/>
      </c>
      <c r="W448">
        <f>IF($A448="","",IFERROR(INDEX('[AQ_2021.xlsx]原始数据'!$F:$F,MATCH($A448,'[AQ_2021.xlsx]原始数据'!$A:$A,0)),""))</f>
        <v/>
      </c>
      <c r="X448">
        <f>IF($A448="","",IFERROR(INDEX('[AQ_2022.xlsx]原始数据'!$F:$F,MATCH($A448,'[AQ_2022.xlsx]原始数据'!$A:$A,0)),""))</f>
        <v/>
      </c>
      <c r="Y448">
        <f>IF($A448="","",IFERROR(INDEX('[AQ_2023.xlsx]原始数据'!$F:$F,MATCH($A448,'[AQ_2023.xlsx]原始数据'!$A:$A,0)),""))</f>
        <v/>
      </c>
      <c r="Z448">
        <f>IF($A448="","",IFERROR(INDEX('[AQ_2024.xlsx]原始数据'!$F:$F,MATCH($A448,'[AQ_2024.xlsx]原始数据'!$A:$A,0)),""))</f>
        <v/>
      </c>
      <c r="AA448" s="2">
        <f>IFERROR(G448/B448,"")</f>
        <v/>
      </c>
      <c r="AB448" s="2">
        <f>IFERROR(H448/C448,"")</f>
        <v/>
      </c>
      <c r="AC448" s="2">
        <f>IFERROR(I448/D448,"")</f>
        <v/>
      </c>
      <c r="AD448" s="2">
        <f>IFERROR(J448/E448,"")</f>
        <v/>
      </c>
      <c r="AE448" s="2">
        <f>IFERROR(K448/F448,"")</f>
        <v/>
      </c>
      <c r="AF448" s="2">
        <f>IFERROR(L448/B448,"")</f>
        <v/>
      </c>
      <c r="AG448" s="2">
        <f>IFERROR(M448/C448,"")</f>
        <v/>
      </c>
      <c r="AH448" s="2">
        <f>IFERROR(N448/D448,"")</f>
        <v/>
      </c>
      <c r="AI448" s="2">
        <f>IFERROR(O448/E448,"")</f>
        <v/>
      </c>
      <c r="AJ448" s="2">
        <f>IFERROR(P448/F448,"")</f>
        <v/>
      </c>
      <c r="AK448" s="2">
        <f>IFERROR(Q448/B448,"")</f>
        <v/>
      </c>
      <c r="AL448" s="2">
        <f>IFERROR(R448/C448,"")</f>
        <v/>
      </c>
      <c r="AM448" s="2">
        <f>IFERROR(S448/D448,"")</f>
        <v/>
      </c>
      <c r="AN448" s="2">
        <f>IFERROR(T448/E448,"")</f>
        <v/>
      </c>
      <c r="AO448" s="2">
        <f>IFERROR(U448/F448,"")</f>
        <v/>
      </c>
    </row>
    <row r="449">
      <c r="B449">
        <f>IF($A449="","",IFERROR(INDEX('[AQ_2020.xlsx]原始数据'!$B:$B,MATCH($A449,'[AQ_2020.xlsx]原始数据'!$A:$A,0)),""))</f>
        <v/>
      </c>
      <c r="C449">
        <f>IF($A449="","",IFERROR(INDEX('[AQ_2021.xlsx]原始数据'!$B:$B,MATCH($A449,'[AQ_2021.xlsx]原始数据'!$A:$A,0)),""))</f>
        <v/>
      </c>
      <c r="D449">
        <f>IF($A449="","",IFERROR(INDEX('[AQ_2022.xlsx]原始数据'!$B:$B,MATCH($A449,'[AQ_2022.xlsx]原始数据'!$A:$A,0)),""))</f>
        <v/>
      </c>
      <c r="E449">
        <f>IF($A449="","",IFERROR(INDEX('[AQ_2023.xlsx]原始数据'!$B:$B,MATCH($A449,'[AQ_2023.xlsx]原始数据'!$A:$A,0)),""))</f>
        <v/>
      </c>
      <c r="F449">
        <f>IF($A449="","",IFERROR(INDEX('[AQ_2024.xlsx]原始数据'!$B:$B,MATCH($A449,'[AQ_2024.xlsx]原始数据'!$A:$A,0)),""))</f>
        <v/>
      </c>
      <c r="G449">
        <f>IF($A449="","",IFERROR(INDEX('[AQ_2020.xlsx]原始数据'!$C:$C,MATCH($A449,'[AQ_2020.xlsx]原始数据'!$A:$A,0)),""))</f>
        <v/>
      </c>
      <c r="H449">
        <f>IF($A449="","",IFERROR(INDEX('[AQ_2021.xlsx]原始数据'!$C:$C,MATCH($A449,'[AQ_2021.xlsx]原始数据'!$A:$A,0)),""))</f>
        <v/>
      </c>
      <c r="I449">
        <f>IF($A449="","",IFERROR(INDEX('[AQ_2022.xlsx]原始数据'!$C:$C,MATCH($A449,'[AQ_2022.xlsx]原始数据'!$A:$A,0)),""))</f>
        <v/>
      </c>
      <c r="J449">
        <f>IF($A449="","",IFERROR(INDEX('[AQ_2023.xlsx]原始数据'!$C:$C,MATCH($A449,'[AQ_2023.xlsx]原始数据'!$A:$A,0)),""))</f>
        <v/>
      </c>
      <c r="K449">
        <f>IF($A449="","",IFERROR(INDEX('[AQ_2024.xlsx]原始数据'!$C:$C,MATCH($A449,'[AQ_2024.xlsx]原始数据'!$A:$A,0)),""))</f>
        <v/>
      </c>
      <c r="L449">
        <f>IF($A449="","",IFERROR(INDEX('[AQ_2020.xlsx]原始数据'!$D:$D,MATCH($A449,'[AQ_2020.xlsx]原始数据'!$A:$A,0)),""))</f>
        <v/>
      </c>
      <c r="M449">
        <f>IF($A449="","",IFERROR(INDEX('[AQ_2021.xlsx]原始数据'!$D:$D,MATCH($A449,'[AQ_2021.xlsx]原始数据'!$A:$A,0)),""))</f>
        <v/>
      </c>
      <c r="N449">
        <f>IF($A449="","",IFERROR(INDEX('[AQ_2022.xlsx]原始数据'!$D:$D,MATCH($A449,'[AQ_2022.xlsx]原始数据'!$A:$A,0)),""))</f>
        <v/>
      </c>
      <c r="O449">
        <f>IF($A449="","",IFERROR(INDEX('[AQ_2023.xlsx]原始数据'!$D:$D,MATCH($A449,'[AQ_2023.xlsx]原始数据'!$A:$A,0)),""))</f>
        <v/>
      </c>
      <c r="P449">
        <f>IF($A449="","",IFERROR(INDEX('[AQ_2024.xlsx]原始数据'!$D:$D,MATCH($A449,'[AQ_2024.xlsx]原始数据'!$A:$A,0)),""))</f>
        <v/>
      </c>
      <c r="Q449">
        <f>IF($A449="","",IFERROR(INDEX('[AQ_2020.xlsx]原始数据'!$E:$E,MATCH($A449,'[AQ_2020.xlsx]原始数据'!$A:$A,0)),""))</f>
        <v/>
      </c>
      <c r="R449">
        <f>IF($A449="","",IFERROR(INDEX('[AQ_2021.xlsx]原始数据'!$E:$E,MATCH($A449,'[AQ_2021.xlsx]原始数据'!$A:$A,0)),""))</f>
        <v/>
      </c>
      <c r="S449">
        <f>IF($A449="","",IFERROR(INDEX('[AQ_2022.xlsx]原始数据'!$E:$E,MATCH($A449,'[AQ_2022.xlsx]原始数据'!$A:$A,0)),""))</f>
        <v/>
      </c>
      <c r="T449">
        <f>IF($A449="","",IFERROR(INDEX('[AQ_2023.xlsx]原始数据'!$E:$E,MATCH($A449,'[AQ_2023.xlsx]原始数据'!$A:$A,0)),""))</f>
        <v/>
      </c>
      <c r="U449">
        <f>IF($A449="","",IFERROR(INDEX('[AQ_2024.xlsx]原始数据'!$E:$E,MATCH($A449,'[AQ_2024.xlsx]原始数据'!$A:$A,0)),""))</f>
        <v/>
      </c>
      <c r="V449">
        <f>IF($A449="","",IFERROR(INDEX('[AQ_2020.xlsx]原始数据'!$F:$F,MATCH($A449,'[AQ_2020.xlsx]原始数据'!$A:$A,0)),""))</f>
        <v/>
      </c>
      <c r="W449">
        <f>IF($A449="","",IFERROR(INDEX('[AQ_2021.xlsx]原始数据'!$F:$F,MATCH($A449,'[AQ_2021.xlsx]原始数据'!$A:$A,0)),""))</f>
        <v/>
      </c>
      <c r="X449">
        <f>IF($A449="","",IFERROR(INDEX('[AQ_2022.xlsx]原始数据'!$F:$F,MATCH($A449,'[AQ_2022.xlsx]原始数据'!$A:$A,0)),""))</f>
        <v/>
      </c>
      <c r="Y449">
        <f>IF($A449="","",IFERROR(INDEX('[AQ_2023.xlsx]原始数据'!$F:$F,MATCH($A449,'[AQ_2023.xlsx]原始数据'!$A:$A,0)),""))</f>
        <v/>
      </c>
      <c r="Z449">
        <f>IF($A449="","",IFERROR(INDEX('[AQ_2024.xlsx]原始数据'!$F:$F,MATCH($A449,'[AQ_2024.xlsx]原始数据'!$A:$A,0)),""))</f>
        <v/>
      </c>
      <c r="AA449" s="2">
        <f>IFERROR(G449/B449,"")</f>
        <v/>
      </c>
      <c r="AB449" s="2">
        <f>IFERROR(H449/C449,"")</f>
        <v/>
      </c>
      <c r="AC449" s="2">
        <f>IFERROR(I449/D449,"")</f>
        <v/>
      </c>
      <c r="AD449" s="2">
        <f>IFERROR(J449/E449,"")</f>
        <v/>
      </c>
      <c r="AE449" s="2">
        <f>IFERROR(K449/F449,"")</f>
        <v/>
      </c>
      <c r="AF449" s="2">
        <f>IFERROR(L449/B449,"")</f>
        <v/>
      </c>
      <c r="AG449" s="2">
        <f>IFERROR(M449/C449,"")</f>
        <v/>
      </c>
      <c r="AH449" s="2">
        <f>IFERROR(N449/D449,"")</f>
        <v/>
      </c>
      <c r="AI449" s="2">
        <f>IFERROR(O449/E449,"")</f>
        <v/>
      </c>
      <c r="AJ449" s="2">
        <f>IFERROR(P449/F449,"")</f>
        <v/>
      </c>
      <c r="AK449" s="2">
        <f>IFERROR(Q449/B449,"")</f>
        <v/>
      </c>
      <c r="AL449" s="2">
        <f>IFERROR(R449/C449,"")</f>
        <v/>
      </c>
      <c r="AM449" s="2">
        <f>IFERROR(S449/D449,"")</f>
        <v/>
      </c>
      <c r="AN449" s="2">
        <f>IFERROR(T449/E449,"")</f>
        <v/>
      </c>
      <c r="AO449" s="2">
        <f>IFERROR(U449/F449,"")</f>
        <v/>
      </c>
    </row>
    <row r="450">
      <c r="B450">
        <f>IF($A450="","",IFERROR(INDEX('[AQ_2020.xlsx]原始数据'!$B:$B,MATCH($A450,'[AQ_2020.xlsx]原始数据'!$A:$A,0)),""))</f>
        <v/>
      </c>
      <c r="C450">
        <f>IF($A450="","",IFERROR(INDEX('[AQ_2021.xlsx]原始数据'!$B:$B,MATCH($A450,'[AQ_2021.xlsx]原始数据'!$A:$A,0)),""))</f>
        <v/>
      </c>
      <c r="D450">
        <f>IF($A450="","",IFERROR(INDEX('[AQ_2022.xlsx]原始数据'!$B:$B,MATCH($A450,'[AQ_2022.xlsx]原始数据'!$A:$A,0)),""))</f>
        <v/>
      </c>
      <c r="E450">
        <f>IF($A450="","",IFERROR(INDEX('[AQ_2023.xlsx]原始数据'!$B:$B,MATCH($A450,'[AQ_2023.xlsx]原始数据'!$A:$A,0)),""))</f>
        <v/>
      </c>
      <c r="F450">
        <f>IF($A450="","",IFERROR(INDEX('[AQ_2024.xlsx]原始数据'!$B:$B,MATCH($A450,'[AQ_2024.xlsx]原始数据'!$A:$A,0)),""))</f>
        <v/>
      </c>
      <c r="G450">
        <f>IF($A450="","",IFERROR(INDEX('[AQ_2020.xlsx]原始数据'!$C:$C,MATCH($A450,'[AQ_2020.xlsx]原始数据'!$A:$A,0)),""))</f>
        <v/>
      </c>
      <c r="H450">
        <f>IF($A450="","",IFERROR(INDEX('[AQ_2021.xlsx]原始数据'!$C:$C,MATCH($A450,'[AQ_2021.xlsx]原始数据'!$A:$A,0)),""))</f>
        <v/>
      </c>
      <c r="I450">
        <f>IF($A450="","",IFERROR(INDEX('[AQ_2022.xlsx]原始数据'!$C:$C,MATCH($A450,'[AQ_2022.xlsx]原始数据'!$A:$A,0)),""))</f>
        <v/>
      </c>
      <c r="J450">
        <f>IF($A450="","",IFERROR(INDEX('[AQ_2023.xlsx]原始数据'!$C:$C,MATCH($A450,'[AQ_2023.xlsx]原始数据'!$A:$A,0)),""))</f>
        <v/>
      </c>
      <c r="K450">
        <f>IF($A450="","",IFERROR(INDEX('[AQ_2024.xlsx]原始数据'!$C:$C,MATCH($A450,'[AQ_2024.xlsx]原始数据'!$A:$A,0)),""))</f>
        <v/>
      </c>
      <c r="L450">
        <f>IF($A450="","",IFERROR(INDEX('[AQ_2020.xlsx]原始数据'!$D:$D,MATCH($A450,'[AQ_2020.xlsx]原始数据'!$A:$A,0)),""))</f>
        <v/>
      </c>
      <c r="M450">
        <f>IF($A450="","",IFERROR(INDEX('[AQ_2021.xlsx]原始数据'!$D:$D,MATCH($A450,'[AQ_2021.xlsx]原始数据'!$A:$A,0)),""))</f>
        <v/>
      </c>
      <c r="N450">
        <f>IF($A450="","",IFERROR(INDEX('[AQ_2022.xlsx]原始数据'!$D:$D,MATCH($A450,'[AQ_2022.xlsx]原始数据'!$A:$A,0)),""))</f>
        <v/>
      </c>
      <c r="O450">
        <f>IF($A450="","",IFERROR(INDEX('[AQ_2023.xlsx]原始数据'!$D:$D,MATCH($A450,'[AQ_2023.xlsx]原始数据'!$A:$A,0)),""))</f>
        <v/>
      </c>
      <c r="P450">
        <f>IF($A450="","",IFERROR(INDEX('[AQ_2024.xlsx]原始数据'!$D:$D,MATCH($A450,'[AQ_2024.xlsx]原始数据'!$A:$A,0)),""))</f>
        <v/>
      </c>
      <c r="Q450">
        <f>IF($A450="","",IFERROR(INDEX('[AQ_2020.xlsx]原始数据'!$E:$E,MATCH($A450,'[AQ_2020.xlsx]原始数据'!$A:$A,0)),""))</f>
        <v/>
      </c>
      <c r="R450">
        <f>IF($A450="","",IFERROR(INDEX('[AQ_2021.xlsx]原始数据'!$E:$E,MATCH($A450,'[AQ_2021.xlsx]原始数据'!$A:$A,0)),""))</f>
        <v/>
      </c>
      <c r="S450">
        <f>IF($A450="","",IFERROR(INDEX('[AQ_2022.xlsx]原始数据'!$E:$E,MATCH($A450,'[AQ_2022.xlsx]原始数据'!$A:$A,0)),""))</f>
        <v/>
      </c>
      <c r="T450">
        <f>IF($A450="","",IFERROR(INDEX('[AQ_2023.xlsx]原始数据'!$E:$E,MATCH($A450,'[AQ_2023.xlsx]原始数据'!$A:$A,0)),""))</f>
        <v/>
      </c>
      <c r="U450">
        <f>IF($A450="","",IFERROR(INDEX('[AQ_2024.xlsx]原始数据'!$E:$E,MATCH($A450,'[AQ_2024.xlsx]原始数据'!$A:$A,0)),""))</f>
        <v/>
      </c>
      <c r="V450">
        <f>IF($A450="","",IFERROR(INDEX('[AQ_2020.xlsx]原始数据'!$F:$F,MATCH($A450,'[AQ_2020.xlsx]原始数据'!$A:$A,0)),""))</f>
        <v/>
      </c>
      <c r="W450">
        <f>IF($A450="","",IFERROR(INDEX('[AQ_2021.xlsx]原始数据'!$F:$F,MATCH($A450,'[AQ_2021.xlsx]原始数据'!$A:$A,0)),""))</f>
        <v/>
      </c>
      <c r="X450">
        <f>IF($A450="","",IFERROR(INDEX('[AQ_2022.xlsx]原始数据'!$F:$F,MATCH($A450,'[AQ_2022.xlsx]原始数据'!$A:$A,0)),""))</f>
        <v/>
      </c>
      <c r="Y450">
        <f>IF($A450="","",IFERROR(INDEX('[AQ_2023.xlsx]原始数据'!$F:$F,MATCH($A450,'[AQ_2023.xlsx]原始数据'!$A:$A,0)),""))</f>
        <v/>
      </c>
      <c r="Z450">
        <f>IF($A450="","",IFERROR(INDEX('[AQ_2024.xlsx]原始数据'!$F:$F,MATCH($A450,'[AQ_2024.xlsx]原始数据'!$A:$A,0)),""))</f>
        <v/>
      </c>
      <c r="AA450" s="2">
        <f>IFERROR(G450/B450,"")</f>
        <v/>
      </c>
      <c r="AB450" s="2">
        <f>IFERROR(H450/C450,"")</f>
        <v/>
      </c>
      <c r="AC450" s="2">
        <f>IFERROR(I450/D450,"")</f>
        <v/>
      </c>
      <c r="AD450" s="2">
        <f>IFERROR(J450/E450,"")</f>
        <v/>
      </c>
      <c r="AE450" s="2">
        <f>IFERROR(K450/F450,"")</f>
        <v/>
      </c>
      <c r="AF450" s="2">
        <f>IFERROR(L450/B450,"")</f>
        <v/>
      </c>
      <c r="AG450" s="2">
        <f>IFERROR(M450/C450,"")</f>
        <v/>
      </c>
      <c r="AH450" s="2">
        <f>IFERROR(N450/D450,"")</f>
        <v/>
      </c>
      <c r="AI450" s="2">
        <f>IFERROR(O450/E450,"")</f>
        <v/>
      </c>
      <c r="AJ450" s="2">
        <f>IFERROR(P450/F450,"")</f>
        <v/>
      </c>
      <c r="AK450" s="2">
        <f>IFERROR(Q450/B450,"")</f>
        <v/>
      </c>
      <c r="AL450" s="2">
        <f>IFERROR(R450/C450,"")</f>
        <v/>
      </c>
      <c r="AM450" s="2">
        <f>IFERROR(S450/D450,"")</f>
        <v/>
      </c>
      <c r="AN450" s="2">
        <f>IFERROR(T450/E450,"")</f>
        <v/>
      </c>
      <c r="AO450" s="2">
        <f>IFERROR(U450/F450,"")</f>
        <v/>
      </c>
    </row>
    <row r="451">
      <c r="B451">
        <f>IF($A451="","",IFERROR(INDEX('[AQ_2020.xlsx]原始数据'!$B:$B,MATCH($A451,'[AQ_2020.xlsx]原始数据'!$A:$A,0)),""))</f>
        <v/>
      </c>
      <c r="C451">
        <f>IF($A451="","",IFERROR(INDEX('[AQ_2021.xlsx]原始数据'!$B:$B,MATCH($A451,'[AQ_2021.xlsx]原始数据'!$A:$A,0)),""))</f>
        <v/>
      </c>
      <c r="D451">
        <f>IF($A451="","",IFERROR(INDEX('[AQ_2022.xlsx]原始数据'!$B:$B,MATCH($A451,'[AQ_2022.xlsx]原始数据'!$A:$A,0)),""))</f>
        <v/>
      </c>
      <c r="E451">
        <f>IF($A451="","",IFERROR(INDEX('[AQ_2023.xlsx]原始数据'!$B:$B,MATCH($A451,'[AQ_2023.xlsx]原始数据'!$A:$A,0)),""))</f>
        <v/>
      </c>
      <c r="F451">
        <f>IF($A451="","",IFERROR(INDEX('[AQ_2024.xlsx]原始数据'!$B:$B,MATCH($A451,'[AQ_2024.xlsx]原始数据'!$A:$A,0)),""))</f>
        <v/>
      </c>
      <c r="G451">
        <f>IF($A451="","",IFERROR(INDEX('[AQ_2020.xlsx]原始数据'!$C:$C,MATCH($A451,'[AQ_2020.xlsx]原始数据'!$A:$A,0)),""))</f>
        <v/>
      </c>
      <c r="H451">
        <f>IF($A451="","",IFERROR(INDEX('[AQ_2021.xlsx]原始数据'!$C:$C,MATCH($A451,'[AQ_2021.xlsx]原始数据'!$A:$A,0)),""))</f>
        <v/>
      </c>
      <c r="I451">
        <f>IF($A451="","",IFERROR(INDEX('[AQ_2022.xlsx]原始数据'!$C:$C,MATCH($A451,'[AQ_2022.xlsx]原始数据'!$A:$A,0)),""))</f>
        <v/>
      </c>
      <c r="J451">
        <f>IF($A451="","",IFERROR(INDEX('[AQ_2023.xlsx]原始数据'!$C:$C,MATCH($A451,'[AQ_2023.xlsx]原始数据'!$A:$A,0)),""))</f>
        <v/>
      </c>
      <c r="K451">
        <f>IF($A451="","",IFERROR(INDEX('[AQ_2024.xlsx]原始数据'!$C:$C,MATCH($A451,'[AQ_2024.xlsx]原始数据'!$A:$A,0)),""))</f>
        <v/>
      </c>
      <c r="L451">
        <f>IF($A451="","",IFERROR(INDEX('[AQ_2020.xlsx]原始数据'!$D:$D,MATCH($A451,'[AQ_2020.xlsx]原始数据'!$A:$A,0)),""))</f>
        <v/>
      </c>
      <c r="M451">
        <f>IF($A451="","",IFERROR(INDEX('[AQ_2021.xlsx]原始数据'!$D:$D,MATCH($A451,'[AQ_2021.xlsx]原始数据'!$A:$A,0)),""))</f>
        <v/>
      </c>
      <c r="N451">
        <f>IF($A451="","",IFERROR(INDEX('[AQ_2022.xlsx]原始数据'!$D:$D,MATCH($A451,'[AQ_2022.xlsx]原始数据'!$A:$A,0)),""))</f>
        <v/>
      </c>
      <c r="O451">
        <f>IF($A451="","",IFERROR(INDEX('[AQ_2023.xlsx]原始数据'!$D:$D,MATCH($A451,'[AQ_2023.xlsx]原始数据'!$A:$A,0)),""))</f>
        <v/>
      </c>
      <c r="P451">
        <f>IF($A451="","",IFERROR(INDEX('[AQ_2024.xlsx]原始数据'!$D:$D,MATCH($A451,'[AQ_2024.xlsx]原始数据'!$A:$A,0)),""))</f>
        <v/>
      </c>
      <c r="Q451">
        <f>IF($A451="","",IFERROR(INDEX('[AQ_2020.xlsx]原始数据'!$E:$E,MATCH($A451,'[AQ_2020.xlsx]原始数据'!$A:$A,0)),""))</f>
        <v/>
      </c>
      <c r="R451">
        <f>IF($A451="","",IFERROR(INDEX('[AQ_2021.xlsx]原始数据'!$E:$E,MATCH($A451,'[AQ_2021.xlsx]原始数据'!$A:$A,0)),""))</f>
        <v/>
      </c>
      <c r="S451">
        <f>IF($A451="","",IFERROR(INDEX('[AQ_2022.xlsx]原始数据'!$E:$E,MATCH($A451,'[AQ_2022.xlsx]原始数据'!$A:$A,0)),""))</f>
        <v/>
      </c>
      <c r="T451">
        <f>IF($A451="","",IFERROR(INDEX('[AQ_2023.xlsx]原始数据'!$E:$E,MATCH($A451,'[AQ_2023.xlsx]原始数据'!$A:$A,0)),""))</f>
        <v/>
      </c>
      <c r="U451">
        <f>IF($A451="","",IFERROR(INDEX('[AQ_2024.xlsx]原始数据'!$E:$E,MATCH($A451,'[AQ_2024.xlsx]原始数据'!$A:$A,0)),""))</f>
        <v/>
      </c>
      <c r="V451">
        <f>IF($A451="","",IFERROR(INDEX('[AQ_2020.xlsx]原始数据'!$F:$F,MATCH($A451,'[AQ_2020.xlsx]原始数据'!$A:$A,0)),""))</f>
        <v/>
      </c>
      <c r="W451">
        <f>IF($A451="","",IFERROR(INDEX('[AQ_2021.xlsx]原始数据'!$F:$F,MATCH($A451,'[AQ_2021.xlsx]原始数据'!$A:$A,0)),""))</f>
        <v/>
      </c>
      <c r="X451">
        <f>IF($A451="","",IFERROR(INDEX('[AQ_2022.xlsx]原始数据'!$F:$F,MATCH($A451,'[AQ_2022.xlsx]原始数据'!$A:$A,0)),""))</f>
        <v/>
      </c>
      <c r="Y451">
        <f>IF($A451="","",IFERROR(INDEX('[AQ_2023.xlsx]原始数据'!$F:$F,MATCH($A451,'[AQ_2023.xlsx]原始数据'!$A:$A,0)),""))</f>
        <v/>
      </c>
      <c r="Z451">
        <f>IF($A451="","",IFERROR(INDEX('[AQ_2024.xlsx]原始数据'!$F:$F,MATCH($A451,'[AQ_2024.xlsx]原始数据'!$A:$A,0)),""))</f>
        <v/>
      </c>
      <c r="AA451" s="2">
        <f>IFERROR(G451/B451,"")</f>
        <v/>
      </c>
      <c r="AB451" s="2">
        <f>IFERROR(H451/C451,"")</f>
        <v/>
      </c>
      <c r="AC451" s="2">
        <f>IFERROR(I451/D451,"")</f>
        <v/>
      </c>
      <c r="AD451" s="2">
        <f>IFERROR(J451/E451,"")</f>
        <v/>
      </c>
      <c r="AE451" s="2">
        <f>IFERROR(K451/F451,"")</f>
        <v/>
      </c>
      <c r="AF451" s="2">
        <f>IFERROR(L451/B451,"")</f>
        <v/>
      </c>
      <c r="AG451" s="2">
        <f>IFERROR(M451/C451,"")</f>
        <v/>
      </c>
      <c r="AH451" s="2">
        <f>IFERROR(N451/D451,"")</f>
        <v/>
      </c>
      <c r="AI451" s="2">
        <f>IFERROR(O451/E451,"")</f>
        <v/>
      </c>
      <c r="AJ451" s="2">
        <f>IFERROR(P451/F451,"")</f>
        <v/>
      </c>
      <c r="AK451" s="2">
        <f>IFERROR(Q451/B451,"")</f>
        <v/>
      </c>
      <c r="AL451" s="2">
        <f>IFERROR(R451/C451,"")</f>
        <v/>
      </c>
      <c r="AM451" s="2">
        <f>IFERROR(S451/D451,"")</f>
        <v/>
      </c>
      <c r="AN451" s="2">
        <f>IFERROR(T451/E451,"")</f>
        <v/>
      </c>
      <c r="AO451" s="2">
        <f>IFERROR(U451/F451,"")</f>
        <v/>
      </c>
    </row>
    <row r="452">
      <c r="B452">
        <f>IF($A452="","",IFERROR(INDEX('[AQ_2020.xlsx]原始数据'!$B:$B,MATCH($A452,'[AQ_2020.xlsx]原始数据'!$A:$A,0)),""))</f>
        <v/>
      </c>
      <c r="C452">
        <f>IF($A452="","",IFERROR(INDEX('[AQ_2021.xlsx]原始数据'!$B:$B,MATCH($A452,'[AQ_2021.xlsx]原始数据'!$A:$A,0)),""))</f>
        <v/>
      </c>
      <c r="D452">
        <f>IF($A452="","",IFERROR(INDEX('[AQ_2022.xlsx]原始数据'!$B:$B,MATCH($A452,'[AQ_2022.xlsx]原始数据'!$A:$A,0)),""))</f>
        <v/>
      </c>
      <c r="E452">
        <f>IF($A452="","",IFERROR(INDEX('[AQ_2023.xlsx]原始数据'!$B:$B,MATCH($A452,'[AQ_2023.xlsx]原始数据'!$A:$A,0)),""))</f>
        <v/>
      </c>
      <c r="F452">
        <f>IF($A452="","",IFERROR(INDEX('[AQ_2024.xlsx]原始数据'!$B:$B,MATCH($A452,'[AQ_2024.xlsx]原始数据'!$A:$A,0)),""))</f>
        <v/>
      </c>
      <c r="G452">
        <f>IF($A452="","",IFERROR(INDEX('[AQ_2020.xlsx]原始数据'!$C:$C,MATCH($A452,'[AQ_2020.xlsx]原始数据'!$A:$A,0)),""))</f>
        <v/>
      </c>
      <c r="H452">
        <f>IF($A452="","",IFERROR(INDEX('[AQ_2021.xlsx]原始数据'!$C:$C,MATCH($A452,'[AQ_2021.xlsx]原始数据'!$A:$A,0)),""))</f>
        <v/>
      </c>
      <c r="I452">
        <f>IF($A452="","",IFERROR(INDEX('[AQ_2022.xlsx]原始数据'!$C:$C,MATCH($A452,'[AQ_2022.xlsx]原始数据'!$A:$A,0)),""))</f>
        <v/>
      </c>
      <c r="J452">
        <f>IF($A452="","",IFERROR(INDEX('[AQ_2023.xlsx]原始数据'!$C:$C,MATCH($A452,'[AQ_2023.xlsx]原始数据'!$A:$A,0)),""))</f>
        <v/>
      </c>
      <c r="K452">
        <f>IF($A452="","",IFERROR(INDEX('[AQ_2024.xlsx]原始数据'!$C:$C,MATCH($A452,'[AQ_2024.xlsx]原始数据'!$A:$A,0)),""))</f>
        <v/>
      </c>
      <c r="L452">
        <f>IF($A452="","",IFERROR(INDEX('[AQ_2020.xlsx]原始数据'!$D:$D,MATCH($A452,'[AQ_2020.xlsx]原始数据'!$A:$A,0)),""))</f>
        <v/>
      </c>
      <c r="M452">
        <f>IF($A452="","",IFERROR(INDEX('[AQ_2021.xlsx]原始数据'!$D:$D,MATCH($A452,'[AQ_2021.xlsx]原始数据'!$A:$A,0)),""))</f>
        <v/>
      </c>
      <c r="N452">
        <f>IF($A452="","",IFERROR(INDEX('[AQ_2022.xlsx]原始数据'!$D:$D,MATCH($A452,'[AQ_2022.xlsx]原始数据'!$A:$A,0)),""))</f>
        <v/>
      </c>
      <c r="O452">
        <f>IF($A452="","",IFERROR(INDEX('[AQ_2023.xlsx]原始数据'!$D:$D,MATCH($A452,'[AQ_2023.xlsx]原始数据'!$A:$A,0)),""))</f>
        <v/>
      </c>
      <c r="P452">
        <f>IF($A452="","",IFERROR(INDEX('[AQ_2024.xlsx]原始数据'!$D:$D,MATCH($A452,'[AQ_2024.xlsx]原始数据'!$A:$A,0)),""))</f>
        <v/>
      </c>
      <c r="Q452">
        <f>IF($A452="","",IFERROR(INDEX('[AQ_2020.xlsx]原始数据'!$E:$E,MATCH($A452,'[AQ_2020.xlsx]原始数据'!$A:$A,0)),""))</f>
        <v/>
      </c>
      <c r="R452">
        <f>IF($A452="","",IFERROR(INDEX('[AQ_2021.xlsx]原始数据'!$E:$E,MATCH($A452,'[AQ_2021.xlsx]原始数据'!$A:$A,0)),""))</f>
        <v/>
      </c>
      <c r="S452">
        <f>IF($A452="","",IFERROR(INDEX('[AQ_2022.xlsx]原始数据'!$E:$E,MATCH($A452,'[AQ_2022.xlsx]原始数据'!$A:$A,0)),""))</f>
        <v/>
      </c>
      <c r="T452">
        <f>IF($A452="","",IFERROR(INDEX('[AQ_2023.xlsx]原始数据'!$E:$E,MATCH($A452,'[AQ_2023.xlsx]原始数据'!$A:$A,0)),""))</f>
        <v/>
      </c>
      <c r="U452">
        <f>IF($A452="","",IFERROR(INDEX('[AQ_2024.xlsx]原始数据'!$E:$E,MATCH($A452,'[AQ_2024.xlsx]原始数据'!$A:$A,0)),""))</f>
        <v/>
      </c>
      <c r="V452">
        <f>IF($A452="","",IFERROR(INDEX('[AQ_2020.xlsx]原始数据'!$F:$F,MATCH($A452,'[AQ_2020.xlsx]原始数据'!$A:$A,0)),""))</f>
        <v/>
      </c>
      <c r="W452">
        <f>IF($A452="","",IFERROR(INDEX('[AQ_2021.xlsx]原始数据'!$F:$F,MATCH($A452,'[AQ_2021.xlsx]原始数据'!$A:$A,0)),""))</f>
        <v/>
      </c>
      <c r="X452">
        <f>IF($A452="","",IFERROR(INDEX('[AQ_2022.xlsx]原始数据'!$F:$F,MATCH($A452,'[AQ_2022.xlsx]原始数据'!$A:$A,0)),""))</f>
        <v/>
      </c>
      <c r="Y452">
        <f>IF($A452="","",IFERROR(INDEX('[AQ_2023.xlsx]原始数据'!$F:$F,MATCH($A452,'[AQ_2023.xlsx]原始数据'!$A:$A,0)),""))</f>
        <v/>
      </c>
      <c r="Z452">
        <f>IF($A452="","",IFERROR(INDEX('[AQ_2024.xlsx]原始数据'!$F:$F,MATCH($A452,'[AQ_2024.xlsx]原始数据'!$A:$A,0)),""))</f>
        <v/>
      </c>
      <c r="AA452" s="2">
        <f>IFERROR(G452/B452,"")</f>
        <v/>
      </c>
      <c r="AB452" s="2">
        <f>IFERROR(H452/C452,"")</f>
        <v/>
      </c>
      <c r="AC452" s="2">
        <f>IFERROR(I452/D452,"")</f>
        <v/>
      </c>
      <c r="AD452" s="2">
        <f>IFERROR(J452/E452,"")</f>
        <v/>
      </c>
      <c r="AE452" s="2">
        <f>IFERROR(K452/F452,"")</f>
        <v/>
      </c>
      <c r="AF452" s="2">
        <f>IFERROR(L452/B452,"")</f>
        <v/>
      </c>
      <c r="AG452" s="2">
        <f>IFERROR(M452/C452,"")</f>
        <v/>
      </c>
      <c r="AH452" s="2">
        <f>IFERROR(N452/D452,"")</f>
        <v/>
      </c>
      <c r="AI452" s="2">
        <f>IFERROR(O452/E452,"")</f>
        <v/>
      </c>
      <c r="AJ452" s="2">
        <f>IFERROR(P452/F452,"")</f>
        <v/>
      </c>
      <c r="AK452" s="2">
        <f>IFERROR(Q452/B452,"")</f>
        <v/>
      </c>
      <c r="AL452" s="2">
        <f>IFERROR(R452/C452,"")</f>
        <v/>
      </c>
      <c r="AM452" s="2">
        <f>IFERROR(S452/D452,"")</f>
        <v/>
      </c>
      <c r="AN452" s="2">
        <f>IFERROR(T452/E452,"")</f>
        <v/>
      </c>
      <c r="AO452" s="2">
        <f>IFERROR(U452/F452,"")</f>
        <v/>
      </c>
    </row>
    <row r="453">
      <c r="B453">
        <f>IF($A453="","",IFERROR(INDEX('[AQ_2020.xlsx]原始数据'!$B:$B,MATCH($A453,'[AQ_2020.xlsx]原始数据'!$A:$A,0)),""))</f>
        <v/>
      </c>
      <c r="C453">
        <f>IF($A453="","",IFERROR(INDEX('[AQ_2021.xlsx]原始数据'!$B:$B,MATCH($A453,'[AQ_2021.xlsx]原始数据'!$A:$A,0)),""))</f>
        <v/>
      </c>
      <c r="D453">
        <f>IF($A453="","",IFERROR(INDEX('[AQ_2022.xlsx]原始数据'!$B:$B,MATCH($A453,'[AQ_2022.xlsx]原始数据'!$A:$A,0)),""))</f>
        <v/>
      </c>
      <c r="E453">
        <f>IF($A453="","",IFERROR(INDEX('[AQ_2023.xlsx]原始数据'!$B:$B,MATCH($A453,'[AQ_2023.xlsx]原始数据'!$A:$A,0)),""))</f>
        <v/>
      </c>
      <c r="F453">
        <f>IF($A453="","",IFERROR(INDEX('[AQ_2024.xlsx]原始数据'!$B:$B,MATCH($A453,'[AQ_2024.xlsx]原始数据'!$A:$A,0)),""))</f>
        <v/>
      </c>
      <c r="G453">
        <f>IF($A453="","",IFERROR(INDEX('[AQ_2020.xlsx]原始数据'!$C:$C,MATCH($A453,'[AQ_2020.xlsx]原始数据'!$A:$A,0)),""))</f>
        <v/>
      </c>
      <c r="H453">
        <f>IF($A453="","",IFERROR(INDEX('[AQ_2021.xlsx]原始数据'!$C:$C,MATCH($A453,'[AQ_2021.xlsx]原始数据'!$A:$A,0)),""))</f>
        <v/>
      </c>
      <c r="I453">
        <f>IF($A453="","",IFERROR(INDEX('[AQ_2022.xlsx]原始数据'!$C:$C,MATCH($A453,'[AQ_2022.xlsx]原始数据'!$A:$A,0)),""))</f>
        <v/>
      </c>
      <c r="J453">
        <f>IF($A453="","",IFERROR(INDEX('[AQ_2023.xlsx]原始数据'!$C:$C,MATCH($A453,'[AQ_2023.xlsx]原始数据'!$A:$A,0)),""))</f>
        <v/>
      </c>
      <c r="K453">
        <f>IF($A453="","",IFERROR(INDEX('[AQ_2024.xlsx]原始数据'!$C:$C,MATCH($A453,'[AQ_2024.xlsx]原始数据'!$A:$A,0)),""))</f>
        <v/>
      </c>
      <c r="L453">
        <f>IF($A453="","",IFERROR(INDEX('[AQ_2020.xlsx]原始数据'!$D:$D,MATCH($A453,'[AQ_2020.xlsx]原始数据'!$A:$A,0)),""))</f>
        <v/>
      </c>
      <c r="M453">
        <f>IF($A453="","",IFERROR(INDEX('[AQ_2021.xlsx]原始数据'!$D:$D,MATCH($A453,'[AQ_2021.xlsx]原始数据'!$A:$A,0)),""))</f>
        <v/>
      </c>
      <c r="N453">
        <f>IF($A453="","",IFERROR(INDEX('[AQ_2022.xlsx]原始数据'!$D:$D,MATCH($A453,'[AQ_2022.xlsx]原始数据'!$A:$A,0)),""))</f>
        <v/>
      </c>
      <c r="O453">
        <f>IF($A453="","",IFERROR(INDEX('[AQ_2023.xlsx]原始数据'!$D:$D,MATCH($A453,'[AQ_2023.xlsx]原始数据'!$A:$A,0)),""))</f>
        <v/>
      </c>
      <c r="P453">
        <f>IF($A453="","",IFERROR(INDEX('[AQ_2024.xlsx]原始数据'!$D:$D,MATCH($A453,'[AQ_2024.xlsx]原始数据'!$A:$A,0)),""))</f>
        <v/>
      </c>
      <c r="Q453">
        <f>IF($A453="","",IFERROR(INDEX('[AQ_2020.xlsx]原始数据'!$E:$E,MATCH($A453,'[AQ_2020.xlsx]原始数据'!$A:$A,0)),""))</f>
        <v/>
      </c>
      <c r="R453">
        <f>IF($A453="","",IFERROR(INDEX('[AQ_2021.xlsx]原始数据'!$E:$E,MATCH($A453,'[AQ_2021.xlsx]原始数据'!$A:$A,0)),""))</f>
        <v/>
      </c>
      <c r="S453">
        <f>IF($A453="","",IFERROR(INDEX('[AQ_2022.xlsx]原始数据'!$E:$E,MATCH($A453,'[AQ_2022.xlsx]原始数据'!$A:$A,0)),""))</f>
        <v/>
      </c>
      <c r="T453">
        <f>IF($A453="","",IFERROR(INDEX('[AQ_2023.xlsx]原始数据'!$E:$E,MATCH($A453,'[AQ_2023.xlsx]原始数据'!$A:$A,0)),""))</f>
        <v/>
      </c>
      <c r="U453">
        <f>IF($A453="","",IFERROR(INDEX('[AQ_2024.xlsx]原始数据'!$E:$E,MATCH($A453,'[AQ_2024.xlsx]原始数据'!$A:$A,0)),""))</f>
        <v/>
      </c>
      <c r="V453">
        <f>IF($A453="","",IFERROR(INDEX('[AQ_2020.xlsx]原始数据'!$F:$F,MATCH($A453,'[AQ_2020.xlsx]原始数据'!$A:$A,0)),""))</f>
        <v/>
      </c>
      <c r="W453">
        <f>IF($A453="","",IFERROR(INDEX('[AQ_2021.xlsx]原始数据'!$F:$F,MATCH($A453,'[AQ_2021.xlsx]原始数据'!$A:$A,0)),""))</f>
        <v/>
      </c>
      <c r="X453">
        <f>IF($A453="","",IFERROR(INDEX('[AQ_2022.xlsx]原始数据'!$F:$F,MATCH($A453,'[AQ_2022.xlsx]原始数据'!$A:$A,0)),""))</f>
        <v/>
      </c>
      <c r="Y453">
        <f>IF($A453="","",IFERROR(INDEX('[AQ_2023.xlsx]原始数据'!$F:$F,MATCH($A453,'[AQ_2023.xlsx]原始数据'!$A:$A,0)),""))</f>
        <v/>
      </c>
      <c r="Z453">
        <f>IF($A453="","",IFERROR(INDEX('[AQ_2024.xlsx]原始数据'!$F:$F,MATCH($A453,'[AQ_2024.xlsx]原始数据'!$A:$A,0)),""))</f>
        <v/>
      </c>
      <c r="AA453" s="2">
        <f>IFERROR(G453/B453,"")</f>
        <v/>
      </c>
      <c r="AB453" s="2">
        <f>IFERROR(H453/C453,"")</f>
        <v/>
      </c>
      <c r="AC453" s="2">
        <f>IFERROR(I453/D453,"")</f>
        <v/>
      </c>
      <c r="AD453" s="2">
        <f>IFERROR(J453/E453,"")</f>
        <v/>
      </c>
      <c r="AE453" s="2">
        <f>IFERROR(K453/F453,"")</f>
        <v/>
      </c>
      <c r="AF453" s="2">
        <f>IFERROR(L453/B453,"")</f>
        <v/>
      </c>
      <c r="AG453" s="2">
        <f>IFERROR(M453/C453,"")</f>
        <v/>
      </c>
      <c r="AH453" s="2">
        <f>IFERROR(N453/D453,"")</f>
        <v/>
      </c>
      <c r="AI453" s="2">
        <f>IFERROR(O453/E453,"")</f>
        <v/>
      </c>
      <c r="AJ453" s="2">
        <f>IFERROR(P453/F453,"")</f>
        <v/>
      </c>
      <c r="AK453" s="2">
        <f>IFERROR(Q453/B453,"")</f>
        <v/>
      </c>
      <c r="AL453" s="2">
        <f>IFERROR(R453/C453,"")</f>
        <v/>
      </c>
      <c r="AM453" s="2">
        <f>IFERROR(S453/D453,"")</f>
        <v/>
      </c>
      <c r="AN453" s="2">
        <f>IFERROR(T453/E453,"")</f>
        <v/>
      </c>
      <c r="AO453" s="2">
        <f>IFERROR(U453/F453,"")</f>
        <v/>
      </c>
    </row>
    <row r="454">
      <c r="B454">
        <f>IF($A454="","",IFERROR(INDEX('[AQ_2020.xlsx]原始数据'!$B:$B,MATCH($A454,'[AQ_2020.xlsx]原始数据'!$A:$A,0)),""))</f>
        <v/>
      </c>
      <c r="C454">
        <f>IF($A454="","",IFERROR(INDEX('[AQ_2021.xlsx]原始数据'!$B:$B,MATCH($A454,'[AQ_2021.xlsx]原始数据'!$A:$A,0)),""))</f>
        <v/>
      </c>
      <c r="D454">
        <f>IF($A454="","",IFERROR(INDEX('[AQ_2022.xlsx]原始数据'!$B:$B,MATCH($A454,'[AQ_2022.xlsx]原始数据'!$A:$A,0)),""))</f>
        <v/>
      </c>
      <c r="E454">
        <f>IF($A454="","",IFERROR(INDEX('[AQ_2023.xlsx]原始数据'!$B:$B,MATCH($A454,'[AQ_2023.xlsx]原始数据'!$A:$A,0)),""))</f>
        <v/>
      </c>
      <c r="F454">
        <f>IF($A454="","",IFERROR(INDEX('[AQ_2024.xlsx]原始数据'!$B:$B,MATCH($A454,'[AQ_2024.xlsx]原始数据'!$A:$A,0)),""))</f>
        <v/>
      </c>
      <c r="G454">
        <f>IF($A454="","",IFERROR(INDEX('[AQ_2020.xlsx]原始数据'!$C:$C,MATCH($A454,'[AQ_2020.xlsx]原始数据'!$A:$A,0)),""))</f>
        <v/>
      </c>
      <c r="H454">
        <f>IF($A454="","",IFERROR(INDEX('[AQ_2021.xlsx]原始数据'!$C:$C,MATCH($A454,'[AQ_2021.xlsx]原始数据'!$A:$A,0)),""))</f>
        <v/>
      </c>
      <c r="I454">
        <f>IF($A454="","",IFERROR(INDEX('[AQ_2022.xlsx]原始数据'!$C:$C,MATCH($A454,'[AQ_2022.xlsx]原始数据'!$A:$A,0)),""))</f>
        <v/>
      </c>
      <c r="J454">
        <f>IF($A454="","",IFERROR(INDEX('[AQ_2023.xlsx]原始数据'!$C:$C,MATCH($A454,'[AQ_2023.xlsx]原始数据'!$A:$A,0)),""))</f>
        <v/>
      </c>
      <c r="K454">
        <f>IF($A454="","",IFERROR(INDEX('[AQ_2024.xlsx]原始数据'!$C:$C,MATCH($A454,'[AQ_2024.xlsx]原始数据'!$A:$A,0)),""))</f>
        <v/>
      </c>
      <c r="L454">
        <f>IF($A454="","",IFERROR(INDEX('[AQ_2020.xlsx]原始数据'!$D:$D,MATCH($A454,'[AQ_2020.xlsx]原始数据'!$A:$A,0)),""))</f>
        <v/>
      </c>
      <c r="M454">
        <f>IF($A454="","",IFERROR(INDEX('[AQ_2021.xlsx]原始数据'!$D:$D,MATCH($A454,'[AQ_2021.xlsx]原始数据'!$A:$A,0)),""))</f>
        <v/>
      </c>
      <c r="N454">
        <f>IF($A454="","",IFERROR(INDEX('[AQ_2022.xlsx]原始数据'!$D:$D,MATCH($A454,'[AQ_2022.xlsx]原始数据'!$A:$A,0)),""))</f>
        <v/>
      </c>
      <c r="O454">
        <f>IF($A454="","",IFERROR(INDEX('[AQ_2023.xlsx]原始数据'!$D:$D,MATCH($A454,'[AQ_2023.xlsx]原始数据'!$A:$A,0)),""))</f>
        <v/>
      </c>
      <c r="P454">
        <f>IF($A454="","",IFERROR(INDEX('[AQ_2024.xlsx]原始数据'!$D:$D,MATCH($A454,'[AQ_2024.xlsx]原始数据'!$A:$A,0)),""))</f>
        <v/>
      </c>
      <c r="Q454">
        <f>IF($A454="","",IFERROR(INDEX('[AQ_2020.xlsx]原始数据'!$E:$E,MATCH($A454,'[AQ_2020.xlsx]原始数据'!$A:$A,0)),""))</f>
        <v/>
      </c>
      <c r="R454">
        <f>IF($A454="","",IFERROR(INDEX('[AQ_2021.xlsx]原始数据'!$E:$E,MATCH($A454,'[AQ_2021.xlsx]原始数据'!$A:$A,0)),""))</f>
        <v/>
      </c>
      <c r="S454">
        <f>IF($A454="","",IFERROR(INDEX('[AQ_2022.xlsx]原始数据'!$E:$E,MATCH($A454,'[AQ_2022.xlsx]原始数据'!$A:$A,0)),""))</f>
        <v/>
      </c>
      <c r="T454">
        <f>IF($A454="","",IFERROR(INDEX('[AQ_2023.xlsx]原始数据'!$E:$E,MATCH($A454,'[AQ_2023.xlsx]原始数据'!$A:$A,0)),""))</f>
        <v/>
      </c>
      <c r="U454">
        <f>IF($A454="","",IFERROR(INDEX('[AQ_2024.xlsx]原始数据'!$E:$E,MATCH($A454,'[AQ_2024.xlsx]原始数据'!$A:$A,0)),""))</f>
        <v/>
      </c>
      <c r="V454">
        <f>IF($A454="","",IFERROR(INDEX('[AQ_2020.xlsx]原始数据'!$F:$F,MATCH($A454,'[AQ_2020.xlsx]原始数据'!$A:$A,0)),""))</f>
        <v/>
      </c>
      <c r="W454">
        <f>IF($A454="","",IFERROR(INDEX('[AQ_2021.xlsx]原始数据'!$F:$F,MATCH($A454,'[AQ_2021.xlsx]原始数据'!$A:$A,0)),""))</f>
        <v/>
      </c>
      <c r="X454">
        <f>IF($A454="","",IFERROR(INDEX('[AQ_2022.xlsx]原始数据'!$F:$F,MATCH($A454,'[AQ_2022.xlsx]原始数据'!$A:$A,0)),""))</f>
        <v/>
      </c>
      <c r="Y454">
        <f>IF($A454="","",IFERROR(INDEX('[AQ_2023.xlsx]原始数据'!$F:$F,MATCH($A454,'[AQ_2023.xlsx]原始数据'!$A:$A,0)),""))</f>
        <v/>
      </c>
      <c r="Z454">
        <f>IF($A454="","",IFERROR(INDEX('[AQ_2024.xlsx]原始数据'!$F:$F,MATCH($A454,'[AQ_2024.xlsx]原始数据'!$A:$A,0)),""))</f>
        <v/>
      </c>
      <c r="AA454" s="2">
        <f>IFERROR(G454/B454,"")</f>
        <v/>
      </c>
      <c r="AB454" s="2">
        <f>IFERROR(H454/C454,"")</f>
        <v/>
      </c>
      <c r="AC454" s="2">
        <f>IFERROR(I454/D454,"")</f>
        <v/>
      </c>
      <c r="AD454" s="2">
        <f>IFERROR(J454/E454,"")</f>
        <v/>
      </c>
      <c r="AE454" s="2">
        <f>IFERROR(K454/F454,"")</f>
        <v/>
      </c>
      <c r="AF454" s="2">
        <f>IFERROR(L454/B454,"")</f>
        <v/>
      </c>
      <c r="AG454" s="2">
        <f>IFERROR(M454/C454,"")</f>
        <v/>
      </c>
      <c r="AH454" s="2">
        <f>IFERROR(N454/D454,"")</f>
        <v/>
      </c>
      <c r="AI454" s="2">
        <f>IFERROR(O454/E454,"")</f>
        <v/>
      </c>
      <c r="AJ454" s="2">
        <f>IFERROR(P454/F454,"")</f>
        <v/>
      </c>
      <c r="AK454" s="2">
        <f>IFERROR(Q454/B454,"")</f>
        <v/>
      </c>
      <c r="AL454" s="2">
        <f>IFERROR(R454/C454,"")</f>
        <v/>
      </c>
      <c r="AM454" s="2">
        <f>IFERROR(S454/D454,"")</f>
        <v/>
      </c>
      <c r="AN454" s="2">
        <f>IFERROR(T454/E454,"")</f>
        <v/>
      </c>
      <c r="AO454" s="2">
        <f>IFERROR(U454/F454,"")</f>
        <v/>
      </c>
    </row>
    <row r="455">
      <c r="B455">
        <f>IF($A455="","",IFERROR(INDEX('[AQ_2020.xlsx]原始数据'!$B:$B,MATCH($A455,'[AQ_2020.xlsx]原始数据'!$A:$A,0)),""))</f>
        <v/>
      </c>
      <c r="C455">
        <f>IF($A455="","",IFERROR(INDEX('[AQ_2021.xlsx]原始数据'!$B:$B,MATCH($A455,'[AQ_2021.xlsx]原始数据'!$A:$A,0)),""))</f>
        <v/>
      </c>
      <c r="D455">
        <f>IF($A455="","",IFERROR(INDEX('[AQ_2022.xlsx]原始数据'!$B:$B,MATCH($A455,'[AQ_2022.xlsx]原始数据'!$A:$A,0)),""))</f>
        <v/>
      </c>
      <c r="E455">
        <f>IF($A455="","",IFERROR(INDEX('[AQ_2023.xlsx]原始数据'!$B:$B,MATCH($A455,'[AQ_2023.xlsx]原始数据'!$A:$A,0)),""))</f>
        <v/>
      </c>
      <c r="F455">
        <f>IF($A455="","",IFERROR(INDEX('[AQ_2024.xlsx]原始数据'!$B:$B,MATCH($A455,'[AQ_2024.xlsx]原始数据'!$A:$A,0)),""))</f>
        <v/>
      </c>
      <c r="G455">
        <f>IF($A455="","",IFERROR(INDEX('[AQ_2020.xlsx]原始数据'!$C:$C,MATCH($A455,'[AQ_2020.xlsx]原始数据'!$A:$A,0)),""))</f>
        <v/>
      </c>
      <c r="H455">
        <f>IF($A455="","",IFERROR(INDEX('[AQ_2021.xlsx]原始数据'!$C:$C,MATCH($A455,'[AQ_2021.xlsx]原始数据'!$A:$A,0)),""))</f>
        <v/>
      </c>
      <c r="I455">
        <f>IF($A455="","",IFERROR(INDEX('[AQ_2022.xlsx]原始数据'!$C:$C,MATCH($A455,'[AQ_2022.xlsx]原始数据'!$A:$A,0)),""))</f>
        <v/>
      </c>
      <c r="J455">
        <f>IF($A455="","",IFERROR(INDEX('[AQ_2023.xlsx]原始数据'!$C:$C,MATCH($A455,'[AQ_2023.xlsx]原始数据'!$A:$A,0)),""))</f>
        <v/>
      </c>
      <c r="K455">
        <f>IF($A455="","",IFERROR(INDEX('[AQ_2024.xlsx]原始数据'!$C:$C,MATCH($A455,'[AQ_2024.xlsx]原始数据'!$A:$A,0)),""))</f>
        <v/>
      </c>
      <c r="L455">
        <f>IF($A455="","",IFERROR(INDEX('[AQ_2020.xlsx]原始数据'!$D:$D,MATCH($A455,'[AQ_2020.xlsx]原始数据'!$A:$A,0)),""))</f>
        <v/>
      </c>
      <c r="M455">
        <f>IF($A455="","",IFERROR(INDEX('[AQ_2021.xlsx]原始数据'!$D:$D,MATCH($A455,'[AQ_2021.xlsx]原始数据'!$A:$A,0)),""))</f>
        <v/>
      </c>
      <c r="N455">
        <f>IF($A455="","",IFERROR(INDEX('[AQ_2022.xlsx]原始数据'!$D:$D,MATCH($A455,'[AQ_2022.xlsx]原始数据'!$A:$A,0)),""))</f>
        <v/>
      </c>
      <c r="O455">
        <f>IF($A455="","",IFERROR(INDEX('[AQ_2023.xlsx]原始数据'!$D:$D,MATCH($A455,'[AQ_2023.xlsx]原始数据'!$A:$A,0)),""))</f>
        <v/>
      </c>
      <c r="P455">
        <f>IF($A455="","",IFERROR(INDEX('[AQ_2024.xlsx]原始数据'!$D:$D,MATCH($A455,'[AQ_2024.xlsx]原始数据'!$A:$A,0)),""))</f>
        <v/>
      </c>
      <c r="Q455">
        <f>IF($A455="","",IFERROR(INDEX('[AQ_2020.xlsx]原始数据'!$E:$E,MATCH($A455,'[AQ_2020.xlsx]原始数据'!$A:$A,0)),""))</f>
        <v/>
      </c>
      <c r="R455">
        <f>IF($A455="","",IFERROR(INDEX('[AQ_2021.xlsx]原始数据'!$E:$E,MATCH($A455,'[AQ_2021.xlsx]原始数据'!$A:$A,0)),""))</f>
        <v/>
      </c>
      <c r="S455">
        <f>IF($A455="","",IFERROR(INDEX('[AQ_2022.xlsx]原始数据'!$E:$E,MATCH($A455,'[AQ_2022.xlsx]原始数据'!$A:$A,0)),""))</f>
        <v/>
      </c>
      <c r="T455">
        <f>IF($A455="","",IFERROR(INDEX('[AQ_2023.xlsx]原始数据'!$E:$E,MATCH($A455,'[AQ_2023.xlsx]原始数据'!$A:$A,0)),""))</f>
        <v/>
      </c>
      <c r="U455">
        <f>IF($A455="","",IFERROR(INDEX('[AQ_2024.xlsx]原始数据'!$E:$E,MATCH($A455,'[AQ_2024.xlsx]原始数据'!$A:$A,0)),""))</f>
        <v/>
      </c>
      <c r="V455">
        <f>IF($A455="","",IFERROR(INDEX('[AQ_2020.xlsx]原始数据'!$F:$F,MATCH($A455,'[AQ_2020.xlsx]原始数据'!$A:$A,0)),""))</f>
        <v/>
      </c>
      <c r="W455">
        <f>IF($A455="","",IFERROR(INDEX('[AQ_2021.xlsx]原始数据'!$F:$F,MATCH($A455,'[AQ_2021.xlsx]原始数据'!$A:$A,0)),""))</f>
        <v/>
      </c>
      <c r="X455">
        <f>IF($A455="","",IFERROR(INDEX('[AQ_2022.xlsx]原始数据'!$F:$F,MATCH($A455,'[AQ_2022.xlsx]原始数据'!$A:$A,0)),""))</f>
        <v/>
      </c>
      <c r="Y455">
        <f>IF($A455="","",IFERROR(INDEX('[AQ_2023.xlsx]原始数据'!$F:$F,MATCH($A455,'[AQ_2023.xlsx]原始数据'!$A:$A,0)),""))</f>
        <v/>
      </c>
      <c r="Z455">
        <f>IF($A455="","",IFERROR(INDEX('[AQ_2024.xlsx]原始数据'!$F:$F,MATCH($A455,'[AQ_2024.xlsx]原始数据'!$A:$A,0)),""))</f>
        <v/>
      </c>
      <c r="AA455" s="2">
        <f>IFERROR(G455/B455,"")</f>
        <v/>
      </c>
      <c r="AB455" s="2">
        <f>IFERROR(H455/C455,"")</f>
        <v/>
      </c>
      <c r="AC455" s="2">
        <f>IFERROR(I455/D455,"")</f>
        <v/>
      </c>
      <c r="AD455" s="2">
        <f>IFERROR(J455/E455,"")</f>
        <v/>
      </c>
      <c r="AE455" s="2">
        <f>IFERROR(K455/F455,"")</f>
        <v/>
      </c>
      <c r="AF455" s="2">
        <f>IFERROR(L455/B455,"")</f>
        <v/>
      </c>
      <c r="AG455" s="2">
        <f>IFERROR(M455/C455,"")</f>
        <v/>
      </c>
      <c r="AH455" s="2">
        <f>IFERROR(N455/D455,"")</f>
        <v/>
      </c>
      <c r="AI455" s="2">
        <f>IFERROR(O455/E455,"")</f>
        <v/>
      </c>
      <c r="AJ455" s="2">
        <f>IFERROR(P455/F455,"")</f>
        <v/>
      </c>
      <c r="AK455" s="2">
        <f>IFERROR(Q455/B455,"")</f>
        <v/>
      </c>
      <c r="AL455" s="2">
        <f>IFERROR(R455/C455,"")</f>
        <v/>
      </c>
      <c r="AM455" s="2">
        <f>IFERROR(S455/D455,"")</f>
        <v/>
      </c>
      <c r="AN455" s="2">
        <f>IFERROR(T455/E455,"")</f>
        <v/>
      </c>
      <c r="AO455" s="2">
        <f>IFERROR(U455/F455,"")</f>
        <v/>
      </c>
    </row>
    <row r="456">
      <c r="B456">
        <f>IF($A456="","",IFERROR(INDEX('[AQ_2020.xlsx]原始数据'!$B:$B,MATCH($A456,'[AQ_2020.xlsx]原始数据'!$A:$A,0)),""))</f>
        <v/>
      </c>
      <c r="C456">
        <f>IF($A456="","",IFERROR(INDEX('[AQ_2021.xlsx]原始数据'!$B:$B,MATCH($A456,'[AQ_2021.xlsx]原始数据'!$A:$A,0)),""))</f>
        <v/>
      </c>
      <c r="D456">
        <f>IF($A456="","",IFERROR(INDEX('[AQ_2022.xlsx]原始数据'!$B:$B,MATCH($A456,'[AQ_2022.xlsx]原始数据'!$A:$A,0)),""))</f>
        <v/>
      </c>
      <c r="E456">
        <f>IF($A456="","",IFERROR(INDEX('[AQ_2023.xlsx]原始数据'!$B:$B,MATCH($A456,'[AQ_2023.xlsx]原始数据'!$A:$A,0)),""))</f>
        <v/>
      </c>
      <c r="F456">
        <f>IF($A456="","",IFERROR(INDEX('[AQ_2024.xlsx]原始数据'!$B:$B,MATCH($A456,'[AQ_2024.xlsx]原始数据'!$A:$A,0)),""))</f>
        <v/>
      </c>
      <c r="G456">
        <f>IF($A456="","",IFERROR(INDEX('[AQ_2020.xlsx]原始数据'!$C:$C,MATCH($A456,'[AQ_2020.xlsx]原始数据'!$A:$A,0)),""))</f>
        <v/>
      </c>
      <c r="H456">
        <f>IF($A456="","",IFERROR(INDEX('[AQ_2021.xlsx]原始数据'!$C:$C,MATCH($A456,'[AQ_2021.xlsx]原始数据'!$A:$A,0)),""))</f>
        <v/>
      </c>
      <c r="I456">
        <f>IF($A456="","",IFERROR(INDEX('[AQ_2022.xlsx]原始数据'!$C:$C,MATCH($A456,'[AQ_2022.xlsx]原始数据'!$A:$A,0)),""))</f>
        <v/>
      </c>
      <c r="J456">
        <f>IF($A456="","",IFERROR(INDEX('[AQ_2023.xlsx]原始数据'!$C:$C,MATCH($A456,'[AQ_2023.xlsx]原始数据'!$A:$A,0)),""))</f>
        <v/>
      </c>
      <c r="K456">
        <f>IF($A456="","",IFERROR(INDEX('[AQ_2024.xlsx]原始数据'!$C:$C,MATCH($A456,'[AQ_2024.xlsx]原始数据'!$A:$A,0)),""))</f>
        <v/>
      </c>
      <c r="L456">
        <f>IF($A456="","",IFERROR(INDEX('[AQ_2020.xlsx]原始数据'!$D:$D,MATCH($A456,'[AQ_2020.xlsx]原始数据'!$A:$A,0)),""))</f>
        <v/>
      </c>
      <c r="M456">
        <f>IF($A456="","",IFERROR(INDEX('[AQ_2021.xlsx]原始数据'!$D:$D,MATCH($A456,'[AQ_2021.xlsx]原始数据'!$A:$A,0)),""))</f>
        <v/>
      </c>
      <c r="N456">
        <f>IF($A456="","",IFERROR(INDEX('[AQ_2022.xlsx]原始数据'!$D:$D,MATCH($A456,'[AQ_2022.xlsx]原始数据'!$A:$A,0)),""))</f>
        <v/>
      </c>
      <c r="O456">
        <f>IF($A456="","",IFERROR(INDEX('[AQ_2023.xlsx]原始数据'!$D:$D,MATCH($A456,'[AQ_2023.xlsx]原始数据'!$A:$A,0)),""))</f>
        <v/>
      </c>
      <c r="P456">
        <f>IF($A456="","",IFERROR(INDEX('[AQ_2024.xlsx]原始数据'!$D:$D,MATCH($A456,'[AQ_2024.xlsx]原始数据'!$A:$A,0)),""))</f>
        <v/>
      </c>
      <c r="Q456">
        <f>IF($A456="","",IFERROR(INDEX('[AQ_2020.xlsx]原始数据'!$E:$E,MATCH($A456,'[AQ_2020.xlsx]原始数据'!$A:$A,0)),""))</f>
        <v/>
      </c>
      <c r="R456">
        <f>IF($A456="","",IFERROR(INDEX('[AQ_2021.xlsx]原始数据'!$E:$E,MATCH($A456,'[AQ_2021.xlsx]原始数据'!$A:$A,0)),""))</f>
        <v/>
      </c>
      <c r="S456">
        <f>IF($A456="","",IFERROR(INDEX('[AQ_2022.xlsx]原始数据'!$E:$E,MATCH($A456,'[AQ_2022.xlsx]原始数据'!$A:$A,0)),""))</f>
        <v/>
      </c>
      <c r="T456">
        <f>IF($A456="","",IFERROR(INDEX('[AQ_2023.xlsx]原始数据'!$E:$E,MATCH($A456,'[AQ_2023.xlsx]原始数据'!$A:$A,0)),""))</f>
        <v/>
      </c>
      <c r="U456">
        <f>IF($A456="","",IFERROR(INDEX('[AQ_2024.xlsx]原始数据'!$E:$E,MATCH($A456,'[AQ_2024.xlsx]原始数据'!$A:$A,0)),""))</f>
        <v/>
      </c>
      <c r="V456">
        <f>IF($A456="","",IFERROR(INDEX('[AQ_2020.xlsx]原始数据'!$F:$F,MATCH($A456,'[AQ_2020.xlsx]原始数据'!$A:$A,0)),""))</f>
        <v/>
      </c>
      <c r="W456">
        <f>IF($A456="","",IFERROR(INDEX('[AQ_2021.xlsx]原始数据'!$F:$F,MATCH($A456,'[AQ_2021.xlsx]原始数据'!$A:$A,0)),""))</f>
        <v/>
      </c>
      <c r="X456">
        <f>IF($A456="","",IFERROR(INDEX('[AQ_2022.xlsx]原始数据'!$F:$F,MATCH($A456,'[AQ_2022.xlsx]原始数据'!$A:$A,0)),""))</f>
        <v/>
      </c>
      <c r="Y456">
        <f>IF($A456="","",IFERROR(INDEX('[AQ_2023.xlsx]原始数据'!$F:$F,MATCH($A456,'[AQ_2023.xlsx]原始数据'!$A:$A,0)),""))</f>
        <v/>
      </c>
      <c r="Z456">
        <f>IF($A456="","",IFERROR(INDEX('[AQ_2024.xlsx]原始数据'!$F:$F,MATCH($A456,'[AQ_2024.xlsx]原始数据'!$A:$A,0)),""))</f>
        <v/>
      </c>
      <c r="AA456" s="2">
        <f>IFERROR(G456/B456,"")</f>
        <v/>
      </c>
      <c r="AB456" s="2">
        <f>IFERROR(H456/C456,"")</f>
        <v/>
      </c>
      <c r="AC456" s="2">
        <f>IFERROR(I456/D456,"")</f>
        <v/>
      </c>
      <c r="AD456" s="2">
        <f>IFERROR(J456/E456,"")</f>
        <v/>
      </c>
      <c r="AE456" s="2">
        <f>IFERROR(K456/F456,"")</f>
        <v/>
      </c>
      <c r="AF456" s="2">
        <f>IFERROR(L456/B456,"")</f>
        <v/>
      </c>
      <c r="AG456" s="2">
        <f>IFERROR(M456/C456,"")</f>
        <v/>
      </c>
      <c r="AH456" s="2">
        <f>IFERROR(N456/D456,"")</f>
        <v/>
      </c>
      <c r="AI456" s="2">
        <f>IFERROR(O456/E456,"")</f>
        <v/>
      </c>
      <c r="AJ456" s="2">
        <f>IFERROR(P456/F456,"")</f>
        <v/>
      </c>
      <c r="AK456" s="2">
        <f>IFERROR(Q456/B456,"")</f>
        <v/>
      </c>
      <c r="AL456" s="2">
        <f>IFERROR(R456/C456,"")</f>
        <v/>
      </c>
      <c r="AM456" s="2">
        <f>IFERROR(S456/D456,"")</f>
        <v/>
      </c>
      <c r="AN456" s="2">
        <f>IFERROR(T456/E456,"")</f>
        <v/>
      </c>
      <c r="AO456" s="2">
        <f>IFERROR(U456/F456,"")</f>
        <v/>
      </c>
    </row>
    <row r="457">
      <c r="B457">
        <f>IF($A457="","",IFERROR(INDEX('[AQ_2020.xlsx]原始数据'!$B:$B,MATCH($A457,'[AQ_2020.xlsx]原始数据'!$A:$A,0)),""))</f>
        <v/>
      </c>
      <c r="C457">
        <f>IF($A457="","",IFERROR(INDEX('[AQ_2021.xlsx]原始数据'!$B:$B,MATCH($A457,'[AQ_2021.xlsx]原始数据'!$A:$A,0)),""))</f>
        <v/>
      </c>
      <c r="D457">
        <f>IF($A457="","",IFERROR(INDEX('[AQ_2022.xlsx]原始数据'!$B:$B,MATCH($A457,'[AQ_2022.xlsx]原始数据'!$A:$A,0)),""))</f>
        <v/>
      </c>
      <c r="E457">
        <f>IF($A457="","",IFERROR(INDEX('[AQ_2023.xlsx]原始数据'!$B:$B,MATCH($A457,'[AQ_2023.xlsx]原始数据'!$A:$A,0)),""))</f>
        <v/>
      </c>
      <c r="F457">
        <f>IF($A457="","",IFERROR(INDEX('[AQ_2024.xlsx]原始数据'!$B:$B,MATCH($A457,'[AQ_2024.xlsx]原始数据'!$A:$A,0)),""))</f>
        <v/>
      </c>
      <c r="G457">
        <f>IF($A457="","",IFERROR(INDEX('[AQ_2020.xlsx]原始数据'!$C:$C,MATCH($A457,'[AQ_2020.xlsx]原始数据'!$A:$A,0)),""))</f>
        <v/>
      </c>
      <c r="H457">
        <f>IF($A457="","",IFERROR(INDEX('[AQ_2021.xlsx]原始数据'!$C:$C,MATCH($A457,'[AQ_2021.xlsx]原始数据'!$A:$A,0)),""))</f>
        <v/>
      </c>
      <c r="I457">
        <f>IF($A457="","",IFERROR(INDEX('[AQ_2022.xlsx]原始数据'!$C:$C,MATCH($A457,'[AQ_2022.xlsx]原始数据'!$A:$A,0)),""))</f>
        <v/>
      </c>
      <c r="J457">
        <f>IF($A457="","",IFERROR(INDEX('[AQ_2023.xlsx]原始数据'!$C:$C,MATCH($A457,'[AQ_2023.xlsx]原始数据'!$A:$A,0)),""))</f>
        <v/>
      </c>
      <c r="K457">
        <f>IF($A457="","",IFERROR(INDEX('[AQ_2024.xlsx]原始数据'!$C:$C,MATCH($A457,'[AQ_2024.xlsx]原始数据'!$A:$A,0)),""))</f>
        <v/>
      </c>
      <c r="L457">
        <f>IF($A457="","",IFERROR(INDEX('[AQ_2020.xlsx]原始数据'!$D:$D,MATCH($A457,'[AQ_2020.xlsx]原始数据'!$A:$A,0)),""))</f>
        <v/>
      </c>
      <c r="M457">
        <f>IF($A457="","",IFERROR(INDEX('[AQ_2021.xlsx]原始数据'!$D:$D,MATCH($A457,'[AQ_2021.xlsx]原始数据'!$A:$A,0)),""))</f>
        <v/>
      </c>
      <c r="N457">
        <f>IF($A457="","",IFERROR(INDEX('[AQ_2022.xlsx]原始数据'!$D:$D,MATCH($A457,'[AQ_2022.xlsx]原始数据'!$A:$A,0)),""))</f>
        <v/>
      </c>
      <c r="O457">
        <f>IF($A457="","",IFERROR(INDEX('[AQ_2023.xlsx]原始数据'!$D:$D,MATCH($A457,'[AQ_2023.xlsx]原始数据'!$A:$A,0)),""))</f>
        <v/>
      </c>
      <c r="P457">
        <f>IF($A457="","",IFERROR(INDEX('[AQ_2024.xlsx]原始数据'!$D:$D,MATCH($A457,'[AQ_2024.xlsx]原始数据'!$A:$A,0)),""))</f>
        <v/>
      </c>
      <c r="Q457">
        <f>IF($A457="","",IFERROR(INDEX('[AQ_2020.xlsx]原始数据'!$E:$E,MATCH($A457,'[AQ_2020.xlsx]原始数据'!$A:$A,0)),""))</f>
        <v/>
      </c>
      <c r="R457">
        <f>IF($A457="","",IFERROR(INDEX('[AQ_2021.xlsx]原始数据'!$E:$E,MATCH($A457,'[AQ_2021.xlsx]原始数据'!$A:$A,0)),""))</f>
        <v/>
      </c>
      <c r="S457">
        <f>IF($A457="","",IFERROR(INDEX('[AQ_2022.xlsx]原始数据'!$E:$E,MATCH($A457,'[AQ_2022.xlsx]原始数据'!$A:$A,0)),""))</f>
        <v/>
      </c>
      <c r="T457">
        <f>IF($A457="","",IFERROR(INDEX('[AQ_2023.xlsx]原始数据'!$E:$E,MATCH($A457,'[AQ_2023.xlsx]原始数据'!$A:$A,0)),""))</f>
        <v/>
      </c>
      <c r="U457">
        <f>IF($A457="","",IFERROR(INDEX('[AQ_2024.xlsx]原始数据'!$E:$E,MATCH($A457,'[AQ_2024.xlsx]原始数据'!$A:$A,0)),""))</f>
        <v/>
      </c>
      <c r="V457">
        <f>IF($A457="","",IFERROR(INDEX('[AQ_2020.xlsx]原始数据'!$F:$F,MATCH($A457,'[AQ_2020.xlsx]原始数据'!$A:$A,0)),""))</f>
        <v/>
      </c>
      <c r="W457">
        <f>IF($A457="","",IFERROR(INDEX('[AQ_2021.xlsx]原始数据'!$F:$F,MATCH($A457,'[AQ_2021.xlsx]原始数据'!$A:$A,0)),""))</f>
        <v/>
      </c>
      <c r="X457">
        <f>IF($A457="","",IFERROR(INDEX('[AQ_2022.xlsx]原始数据'!$F:$F,MATCH($A457,'[AQ_2022.xlsx]原始数据'!$A:$A,0)),""))</f>
        <v/>
      </c>
      <c r="Y457">
        <f>IF($A457="","",IFERROR(INDEX('[AQ_2023.xlsx]原始数据'!$F:$F,MATCH($A457,'[AQ_2023.xlsx]原始数据'!$A:$A,0)),""))</f>
        <v/>
      </c>
      <c r="Z457">
        <f>IF($A457="","",IFERROR(INDEX('[AQ_2024.xlsx]原始数据'!$F:$F,MATCH($A457,'[AQ_2024.xlsx]原始数据'!$A:$A,0)),""))</f>
        <v/>
      </c>
      <c r="AA457" s="2">
        <f>IFERROR(G457/B457,"")</f>
        <v/>
      </c>
      <c r="AB457" s="2">
        <f>IFERROR(H457/C457,"")</f>
        <v/>
      </c>
      <c r="AC457" s="2">
        <f>IFERROR(I457/D457,"")</f>
        <v/>
      </c>
      <c r="AD457" s="2">
        <f>IFERROR(J457/E457,"")</f>
        <v/>
      </c>
      <c r="AE457" s="2">
        <f>IFERROR(K457/F457,"")</f>
        <v/>
      </c>
      <c r="AF457" s="2">
        <f>IFERROR(L457/B457,"")</f>
        <v/>
      </c>
      <c r="AG457" s="2">
        <f>IFERROR(M457/C457,"")</f>
        <v/>
      </c>
      <c r="AH457" s="2">
        <f>IFERROR(N457/D457,"")</f>
        <v/>
      </c>
      <c r="AI457" s="2">
        <f>IFERROR(O457/E457,"")</f>
        <v/>
      </c>
      <c r="AJ457" s="2">
        <f>IFERROR(P457/F457,"")</f>
        <v/>
      </c>
      <c r="AK457" s="2">
        <f>IFERROR(Q457/B457,"")</f>
        <v/>
      </c>
      <c r="AL457" s="2">
        <f>IFERROR(R457/C457,"")</f>
        <v/>
      </c>
      <c r="AM457" s="2">
        <f>IFERROR(S457/D457,"")</f>
        <v/>
      </c>
      <c r="AN457" s="2">
        <f>IFERROR(T457/E457,"")</f>
        <v/>
      </c>
      <c r="AO457" s="2">
        <f>IFERROR(U457/F457,"")</f>
        <v/>
      </c>
    </row>
    <row r="458">
      <c r="B458">
        <f>IF($A458="","",IFERROR(INDEX('[AQ_2020.xlsx]原始数据'!$B:$B,MATCH($A458,'[AQ_2020.xlsx]原始数据'!$A:$A,0)),""))</f>
        <v/>
      </c>
      <c r="C458">
        <f>IF($A458="","",IFERROR(INDEX('[AQ_2021.xlsx]原始数据'!$B:$B,MATCH($A458,'[AQ_2021.xlsx]原始数据'!$A:$A,0)),""))</f>
        <v/>
      </c>
      <c r="D458">
        <f>IF($A458="","",IFERROR(INDEX('[AQ_2022.xlsx]原始数据'!$B:$B,MATCH($A458,'[AQ_2022.xlsx]原始数据'!$A:$A,0)),""))</f>
        <v/>
      </c>
      <c r="E458">
        <f>IF($A458="","",IFERROR(INDEX('[AQ_2023.xlsx]原始数据'!$B:$B,MATCH($A458,'[AQ_2023.xlsx]原始数据'!$A:$A,0)),""))</f>
        <v/>
      </c>
      <c r="F458">
        <f>IF($A458="","",IFERROR(INDEX('[AQ_2024.xlsx]原始数据'!$B:$B,MATCH($A458,'[AQ_2024.xlsx]原始数据'!$A:$A,0)),""))</f>
        <v/>
      </c>
      <c r="G458">
        <f>IF($A458="","",IFERROR(INDEX('[AQ_2020.xlsx]原始数据'!$C:$C,MATCH($A458,'[AQ_2020.xlsx]原始数据'!$A:$A,0)),""))</f>
        <v/>
      </c>
      <c r="H458">
        <f>IF($A458="","",IFERROR(INDEX('[AQ_2021.xlsx]原始数据'!$C:$C,MATCH($A458,'[AQ_2021.xlsx]原始数据'!$A:$A,0)),""))</f>
        <v/>
      </c>
      <c r="I458">
        <f>IF($A458="","",IFERROR(INDEX('[AQ_2022.xlsx]原始数据'!$C:$C,MATCH($A458,'[AQ_2022.xlsx]原始数据'!$A:$A,0)),""))</f>
        <v/>
      </c>
      <c r="J458">
        <f>IF($A458="","",IFERROR(INDEX('[AQ_2023.xlsx]原始数据'!$C:$C,MATCH($A458,'[AQ_2023.xlsx]原始数据'!$A:$A,0)),""))</f>
        <v/>
      </c>
      <c r="K458">
        <f>IF($A458="","",IFERROR(INDEX('[AQ_2024.xlsx]原始数据'!$C:$C,MATCH($A458,'[AQ_2024.xlsx]原始数据'!$A:$A,0)),""))</f>
        <v/>
      </c>
      <c r="L458">
        <f>IF($A458="","",IFERROR(INDEX('[AQ_2020.xlsx]原始数据'!$D:$D,MATCH($A458,'[AQ_2020.xlsx]原始数据'!$A:$A,0)),""))</f>
        <v/>
      </c>
      <c r="M458">
        <f>IF($A458="","",IFERROR(INDEX('[AQ_2021.xlsx]原始数据'!$D:$D,MATCH($A458,'[AQ_2021.xlsx]原始数据'!$A:$A,0)),""))</f>
        <v/>
      </c>
      <c r="N458">
        <f>IF($A458="","",IFERROR(INDEX('[AQ_2022.xlsx]原始数据'!$D:$D,MATCH($A458,'[AQ_2022.xlsx]原始数据'!$A:$A,0)),""))</f>
        <v/>
      </c>
      <c r="O458">
        <f>IF($A458="","",IFERROR(INDEX('[AQ_2023.xlsx]原始数据'!$D:$D,MATCH($A458,'[AQ_2023.xlsx]原始数据'!$A:$A,0)),""))</f>
        <v/>
      </c>
      <c r="P458">
        <f>IF($A458="","",IFERROR(INDEX('[AQ_2024.xlsx]原始数据'!$D:$D,MATCH($A458,'[AQ_2024.xlsx]原始数据'!$A:$A,0)),""))</f>
        <v/>
      </c>
      <c r="Q458">
        <f>IF($A458="","",IFERROR(INDEX('[AQ_2020.xlsx]原始数据'!$E:$E,MATCH($A458,'[AQ_2020.xlsx]原始数据'!$A:$A,0)),""))</f>
        <v/>
      </c>
      <c r="R458">
        <f>IF($A458="","",IFERROR(INDEX('[AQ_2021.xlsx]原始数据'!$E:$E,MATCH($A458,'[AQ_2021.xlsx]原始数据'!$A:$A,0)),""))</f>
        <v/>
      </c>
      <c r="S458">
        <f>IF($A458="","",IFERROR(INDEX('[AQ_2022.xlsx]原始数据'!$E:$E,MATCH($A458,'[AQ_2022.xlsx]原始数据'!$A:$A,0)),""))</f>
        <v/>
      </c>
      <c r="T458">
        <f>IF($A458="","",IFERROR(INDEX('[AQ_2023.xlsx]原始数据'!$E:$E,MATCH($A458,'[AQ_2023.xlsx]原始数据'!$A:$A,0)),""))</f>
        <v/>
      </c>
      <c r="U458">
        <f>IF($A458="","",IFERROR(INDEX('[AQ_2024.xlsx]原始数据'!$E:$E,MATCH($A458,'[AQ_2024.xlsx]原始数据'!$A:$A,0)),""))</f>
        <v/>
      </c>
      <c r="V458">
        <f>IF($A458="","",IFERROR(INDEX('[AQ_2020.xlsx]原始数据'!$F:$F,MATCH($A458,'[AQ_2020.xlsx]原始数据'!$A:$A,0)),""))</f>
        <v/>
      </c>
      <c r="W458">
        <f>IF($A458="","",IFERROR(INDEX('[AQ_2021.xlsx]原始数据'!$F:$F,MATCH($A458,'[AQ_2021.xlsx]原始数据'!$A:$A,0)),""))</f>
        <v/>
      </c>
      <c r="X458">
        <f>IF($A458="","",IFERROR(INDEX('[AQ_2022.xlsx]原始数据'!$F:$F,MATCH($A458,'[AQ_2022.xlsx]原始数据'!$A:$A,0)),""))</f>
        <v/>
      </c>
      <c r="Y458">
        <f>IF($A458="","",IFERROR(INDEX('[AQ_2023.xlsx]原始数据'!$F:$F,MATCH($A458,'[AQ_2023.xlsx]原始数据'!$A:$A,0)),""))</f>
        <v/>
      </c>
      <c r="Z458">
        <f>IF($A458="","",IFERROR(INDEX('[AQ_2024.xlsx]原始数据'!$F:$F,MATCH($A458,'[AQ_2024.xlsx]原始数据'!$A:$A,0)),""))</f>
        <v/>
      </c>
      <c r="AA458" s="2">
        <f>IFERROR(G458/B458,"")</f>
        <v/>
      </c>
      <c r="AB458" s="2">
        <f>IFERROR(H458/C458,"")</f>
        <v/>
      </c>
      <c r="AC458" s="2">
        <f>IFERROR(I458/D458,"")</f>
        <v/>
      </c>
      <c r="AD458" s="2">
        <f>IFERROR(J458/E458,"")</f>
        <v/>
      </c>
      <c r="AE458" s="2">
        <f>IFERROR(K458/F458,"")</f>
        <v/>
      </c>
      <c r="AF458" s="2">
        <f>IFERROR(L458/B458,"")</f>
        <v/>
      </c>
      <c r="AG458" s="2">
        <f>IFERROR(M458/C458,"")</f>
        <v/>
      </c>
      <c r="AH458" s="2">
        <f>IFERROR(N458/D458,"")</f>
        <v/>
      </c>
      <c r="AI458" s="2">
        <f>IFERROR(O458/E458,"")</f>
        <v/>
      </c>
      <c r="AJ458" s="2">
        <f>IFERROR(P458/F458,"")</f>
        <v/>
      </c>
      <c r="AK458" s="2">
        <f>IFERROR(Q458/B458,"")</f>
        <v/>
      </c>
      <c r="AL458" s="2">
        <f>IFERROR(R458/C458,"")</f>
        <v/>
      </c>
      <c r="AM458" s="2">
        <f>IFERROR(S458/D458,"")</f>
        <v/>
      </c>
      <c r="AN458" s="2">
        <f>IFERROR(T458/E458,"")</f>
        <v/>
      </c>
      <c r="AO458" s="2">
        <f>IFERROR(U458/F458,"")</f>
        <v/>
      </c>
    </row>
    <row r="459">
      <c r="B459">
        <f>IF($A459="","",IFERROR(INDEX('[AQ_2020.xlsx]原始数据'!$B:$B,MATCH($A459,'[AQ_2020.xlsx]原始数据'!$A:$A,0)),""))</f>
        <v/>
      </c>
      <c r="C459">
        <f>IF($A459="","",IFERROR(INDEX('[AQ_2021.xlsx]原始数据'!$B:$B,MATCH($A459,'[AQ_2021.xlsx]原始数据'!$A:$A,0)),""))</f>
        <v/>
      </c>
      <c r="D459">
        <f>IF($A459="","",IFERROR(INDEX('[AQ_2022.xlsx]原始数据'!$B:$B,MATCH($A459,'[AQ_2022.xlsx]原始数据'!$A:$A,0)),""))</f>
        <v/>
      </c>
      <c r="E459">
        <f>IF($A459="","",IFERROR(INDEX('[AQ_2023.xlsx]原始数据'!$B:$B,MATCH($A459,'[AQ_2023.xlsx]原始数据'!$A:$A,0)),""))</f>
        <v/>
      </c>
      <c r="F459">
        <f>IF($A459="","",IFERROR(INDEX('[AQ_2024.xlsx]原始数据'!$B:$B,MATCH($A459,'[AQ_2024.xlsx]原始数据'!$A:$A,0)),""))</f>
        <v/>
      </c>
      <c r="G459">
        <f>IF($A459="","",IFERROR(INDEX('[AQ_2020.xlsx]原始数据'!$C:$C,MATCH($A459,'[AQ_2020.xlsx]原始数据'!$A:$A,0)),""))</f>
        <v/>
      </c>
      <c r="H459">
        <f>IF($A459="","",IFERROR(INDEX('[AQ_2021.xlsx]原始数据'!$C:$C,MATCH($A459,'[AQ_2021.xlsx]原始数据'!$A:$A,0)),""))</f>
        <v/>
      </c>
      <c r="I459">
        <f>IF($A459="","",IFERROR(INDEX('[AQ_2022.xlsx]原始数据'!$C:$C,MATCH($A459,'[AQ_2022.xlsx]原始数据'!$A:$A,0)),""))</f>
        <v/>
      </c>
      <c r="J459">
        <f>IF($A459="","",IFERROR(INDEX('[AQ_2023.xlsx]原始数据'!$C:$C,MATCH($A459,'[AQ_2023.xlsx]原始数据'!$A:$A,0)),""))</f>
        <v/>
      </c>
      <c r="K459">
        <f>IF($A459="","",IFERROR(INDEX('[AQ_2024.xlsx]原始数据'!$C:$C,MATCH($A459,'[AQ_2024.xlsx]原始数据'!$A:$A,0)),""))</f>
        <v/>
      </c>
      <c r="L459">
        <f>IF($A459="","",IFERROR(INDEX('[AQ_2020.xlsx]原始数据'!$D:$D,MATCH($A459,'[AQ_2020.xlsx]原始数据'!$A:$A,0)),""))</f>
        <v/>
      </c>
      <c r="M459">
        <f>IF($A459="","",IFERROR(INDEX('[AQ_2021.xlsx]原始数据'!$D:$D,MATCH($A459,'[AQ_2021.xlsx]原始数据'!$A:$A,0)),""))</f>
        <v/>
      </c>
      <c r="N459">
        <f>IF($A459="","",IFERROR(INDEX('[AQ_2022.xlsx]原始数据'!$D:$D,MATCH($A459,'[AQ_2022.xlsx]原始数据'!$A:$A,0)),""))</f>
        <v/>
      </c>
      <c r="O459">
        <f>IF($A459="","",IFERROR(INDEX('[AQ_2023.xlsx]原始数据'!$D:$D,MATCH($A459,'[AQ_2023.xlsx]原始数据'!$A:$A,0)),""))</f>
        <v/>
      </c>
      <c r="P459">
        <f>IF($A459="","",IFERROR(INDEX('[AQ_2024.xlsx]原始数据'!$D:$D,MATCH($A459,'[AQ_2024.xlsx]原始数据'!$A:$A,0)),""))</f>
        <v/>
      </c>
      <c r="Q459">
        <f>IF($A459="","",IFERROR(INDEX('[AQ_2020.xlsx]原始数据'!$E:$E,MATCH($A459,'[AQ_2020.xlsx]原始数据'!$A:$A,0)),""))</f>
        <v/>
      </c>
      <c r="R459">
        <f>IF($A459="","",IFERROR(INDEX('[AQ_2021.xlsx]原始数据'!$E:$E,MATCH($A459,'[AQ_2021.xlsx]原始数据'!$A:$A,0)),""))</f>
        <v/>
      </c>
      <c r="S459">
        <f>IF($A459="","",IFERROR(INDEX('[AQ_2022.xlsx]原始数据'!$E:$E,MATCH($A459,'[AQ_2022.xlsx]原始数据'!$A:$A,0)),""))</f>
        <v/>
      </c>
      <c r="T459">
        <f>IF($A459="","",IFERROR(INDEX('[AQ_2023.xlsx]原始数据'!$E:$E,MATCH($A459,'[AQ_2023.xlsx]原始数据'!$A:$A,0)),""))</f>
        <v/>
      </c>
      <c r="U459">
        <f>IF($A459="","",IFERROR(INDEX('[AQ_2024.xlsx]原始数据'!$E:$E,MATCH($A459,'[AQ_2024.xlsx]原始数据'!$A:$A,0)),""))</f>
        <v/>
      </c>
      <c r="V459">
        <f>IF($A459="","",IFERROR(INDEX('[AQ_2020.xlsx]原始数据'!$F:$F,MATCH($A459,'[AQ_2020.xlsx]原始数据'!$A:$A,0)),""))</f>
        <v/>
      </c>
      <c r="W459">
        <f>IF($A459="","",IFERROR(INDEX('[AQ_2021.xlsx]原始数据'!$F:$F,MATCH($A459,'[AQ_2021.xlsx]原始数据'!$A:$A,0)),""))</f>
        <v/>
      </c>
      <c r="X459">
        <f>IF($A459="","",IFERROR(INDEX('[AQ_2022.xlsx]原始数据'!$F:$F,MATCH($A459,'[AQ_2022.xlsx]原始数据'!$A:$A,0)),""))</f>
        <v/>
      </c>
      <c r="Y459">
        <f>IF($A459="","",IFERROR(INDEX('[AQ_2023.xlsx]原始数据'!$F:$F,MATCH($A459,'[AQ_2023.xlsx]原始数据'!$A:$A,0)),""))</f>
        <v/>
      </c>
      <c r="Z459">
        <f>IF($A459="","",IFERROR(INDEX('[AQ_2024.xlsx]原始数据'!$F:$F,MATCH($A459,'[AQ_2024.xlsx]原始数据'!$A:$A,0)),""))</f>
        <v/>
      </c>
      <c r="AA459" s="2">
        <f>IFERROR(G459/B459,"")</f>
        <v/>
      </c>
      <c r="AB459" s="2">
        <f>IFERROR(H459/C459,"")</f>
        <v/>
      </c>
      <c r="AC459" s="2">
        <f>IFERROR(I459/D459,"")</f>
        <v/>
      </c>
      <c r="AD459" s="2">
        <f>IFERROR(J459/E459,"")</f>
        <v/>
      </c>
      <c r="AE459" s="2">
        <f>IFERROR(K459/F459,"")</f>
        <v/>
      </c>
      <c r="AF459" s="2">
        <f>IFERROR(L459/B459,"")</f>
        <v/>
      </c>
      <c r="AG459" s="2">
        <f>IFERROR(M459/C459,"")</f>
        <v/>
      </c>
      <c r="AH459" s="2">
        <f>IFERROR(N459/D459,"")</f>
        <v/>
      </c>
      <c r="AI459" s="2">
        <f>IFERROR(O459/E459,"")</f>
        <v/>
      </c>
      <c r="AJ459" s="2">
        <f>IFERROR(P459/F459,"")</f>
        <v/>
      </c>
      <c r="AK459" s="2">
        <f>IFERROR(Q459/B459,"")</f>
        <v/>
      </c>
      <c r="AL459" s="2">
        <f>IFERROR(R459/C459,"")</f>
        <v/>
      </c>
      <c r="AM459" s="2">
        <f>IFERROR(S459/D459,"")</f>
        <v/>
      </c>
      <c r="AN459" s="2">
        <f>IFERROR(T459/E459,"")</f>
        <v/>
      </c>
      <c r="AO459" s="2">
        <f>IFERROR(U459/F459,"")</f>
        <v/>
      </c>
    </row>
    <row r="460">
      <c r="B460">
        <f>IF($A460="","",IFERROR(INDEX('[AQ_2020.xlsx]原始数据'!$B:$B,MATCH($A460,'[AQ_2020.xlsx]原始数据'!$A:$A,0)),""))</f>
        <v/>
      </c>
      <c r="C460">
        <f>IF($A460="","",IFERROR(INDEX('[AQ_2021.xlsx]原始数据'!$B:$B,MATCH($A460,'[AQ_2021.xlsx]原始数据'!$A:$A,0)),""))</f>
        <v/>
      </c>
      <c r="D460">
        <f>IF($A460="","",IFERROR(INDEX('[AQ_2022.xlsx]原始数据'!$B:$B,MATCH($A460,'[AQ_2022.xlsx]原始数据'!$A:$A,0)),""))</f>
        <v/>
      </c>
      <c r="E460">
        <f>IF($A460="","",IFERROR(INDEX('[AQ_2023.xlsx]原始数据'!$B:$B,MATCH($A460,'[AQ_2023.xlsx]原始数据'!$A:$A,0)),""))</f>
        <v/>
      </c>
      <c r="F460">
        <f>IF($A460="","",IFERROR(INDEX('[AQ_2024.xlsx]原始数据'!$B:$B,MATCH($A460,'[AQ_2024.xlsx]原始数据'!$A:$A,0)),""))</f>
        <v/>
      </c>
      <c r="G460">
        <f>IF($A460="","",IFERROR(INDEX('[AQ_2020.xlsx]原始数据'!$C:$C,MATCH($A460,'[AQ_2020.xlsx]原始数据'!$A:$A,0)),""))</f>
        <v/>
      </c>
      <c r="H460">
        <f>IF($A460="","",IFERROR(INDEX('[AQ_2021.xlsx]原始数据'!$C:$C,MATCH($A460,'[AQ_2021.xlsx]原始数据'!$A:$A,0)),""))</f>
        <v/>
      </c>
      <c r="I460">
        <f>IF($A460="","",IFERROR(INDEX('[AQ_2022.xlsx]原始数据'!$C:$C,MATCH($A460,'[AQ_2022.xlsx]原始数据'!$A:$A,0)),""))</f>
        <v/>
      </c>
      <c r="J460">
        <f>IF($A460="","",IFERROR(INDEX('[AQ_2023.xlsx]原始数据'!$C:$C,MATCH($A460,'[AQ_2023.xlsx]原始数据'!$A:$A,0)),""))</f>
        <v/>
      </c>
      <c r="K460">
        <f>IF($A460="","",IFERROR(INDEX('[AQ_2024.xlsx]原始数据'!$C:$C,MATCH($A460,'[AQ_2024.xlsx]原始数据'!$A:$A,0)),""))</f>
        <v/>
      </c>
      <c r="L460">
        <f>IF($A460="","",IFERROR(INDEX('[AQ_2020.xlsx]原始数据'!$D:$D,MATCH($A460,'[AQ_2020.xlsx]原始数据'!$A:$A,0)),""))</f>
        <v/>
      </c>
      <c r="M460">
        <f>IF($A460="","",IFERROR(INDEX('[AQ_2021.xlsx]原始数据'!$D:$D,MATCH($A460,'[AQ_2021.xlsx]原始数据'!$A:$A,0)),""))</f>
        <v/>
      </c>
      <c r="N460">
        <f>IF($A460="","",IFERROR(INDEX('[AQ_2022.xlsx]原始数据'!$D:$D,MATCH($A460,'[AQ_2022.xlsx]原始数据'!$A:$A,0)),""))</f>
        <v/>
      </c>
      <c r="O460">
        <f>IF($A460="","",IFERROR(INDEX('[AQ_2023.xlsx]原始数据'!$D:$D,MATCH($A460,'[AQ_2023.xlsx]原始数据'!$A:$A,0)),""))</f>
        <v/>
      </c>
      <c r="P460">
        <f>IF($A460="","",IFERROR(INDEX('[AQ_2024.xlsx]原始数据'!$D:$D,MATCH($A460,'[AQ_2024.xlsx]原始数据'!$A:$A,0)),""))</f>
        <v/>
      </c>
      <c r="Q460">
        <f>IF($A460="","",IFERROR(INDEX('[AQ_2020.xlsx]原始数据'!$E:$E,MATCH($A460,'[AQ_2020.xlsx]原始数据'!$A:$A,0)),""))</f>
        <v/>
      </c>
      <c r="R460">
        <f>IF($A460="","",IFERROR(INDEX('[AQ_2021.xlsx]原始数据'!$E:$E,MATCH($A460,'[AQ_2021.xlsx]原始数据'!$A:$A,0)),""))</f>
        <v/>
      </c>
      <c r="S460">
        <f>IF($A460="","",IFERROR(INDEX('[AQ_2022.xlsx]原始数据'!$E:$E,MATCH($A460,'[AQ_2022.xlsx]原始数据'!$A:$A,0)),""))</f>
        <v/>
      </c>
      <c r="T460">
        <f>IF($A460="","",IFERROR(INDEX('[AQ_2023.xlsx]原始数据'!$E:$E,MATCH($A460,'[AQ_2023.xlsx]原始数据'!$A:$A,0)),""))</f>
        <v/>
      </c>
      <c r="U460">
        <f>IF($A460="","",IFERROR(INDEX('[AQ_2024.xlsx]原始数据'!$E:$E,MATCH($A460,'[AQ_2024.xlsx]原始数据'!$A:$A,0)),""))</f>
        <v/>
      </c>
      <c r="V460">
        <f>IF($A460="","",IFERROR(INDEX('[AQ_2020.xlsx]原始数据'!$F:$F,MATCH($A460,'[AQ_2020.xlsx]原始数据'!$A:$A,0)),""))</f>
        <v/>
      </c>
      <c r="W460">
        <f>IF($A460="","",IFERROR(INDEX('[AQ_2021.xlsx]原始数据'!$F:$F,MATCH($A460,'[AQ_2021.xlsx]原始数据'!$A:$A,0)),""))</f>
        <v/>
      </c>
      <c r="X460">
        <f>IF($A460="","",IFERROR(INDEX('[AQ_2022.xlsx]原始数据'!$F:$F,MATCH($A460,'[AQ_2022.xlsx]原始数据'!$A:$A,0)),""))</f>
        <v/>
      </c>
      <c r="Y460">
        <f>IF($A460="","",IFERROR(INDEX('[AQ_2023.xlsx]原始数据'!$F:$F,MATCH($A460,'[AQ_2023.xlsx]原始数据'!$A:$A,0)),""))</f>
        <v/>
      </c>
      <c r="Z460">
        <f>IF($A460="","",IFERROR(INDEX('[AQ_2024.xlsx]原始数据'!$F:$F,MATCH($A460,'[AQ_2024.xlsx]原始数据'!$A:$A,0)),""))</f>
        <v/>
      </c>
      <c r="AA460" s="2">
        <f>IFERROR(G460/B460,"")</f>
        <v/>
      </c>
      <c r="AB460" s="2">
        <f>IFERROR(H460/C460,"")</f>
        <v/>
      </c>
      <c r="AC460" s="2">
        <f>IFERROR(I460/D460,"")</f>
        <v/>
      </c>
      <c r="AD460" s="2">
        <f>IFERROR(J460/E460,"")</f>
        <v/>
      </c>
      <c r="AE460" s="2">
        <f>IFERROR(K460/F460,"")</f>
        <v/>
      </c>
      <c r="AF460" s="2">
        <f>IFERROR(L460/B460,"")</f>
        <v/>
      </c>
      <c r="AG460" s="2">
        <f>IFERROR(M460/C460,"")</f>
        <v/>
      </c>
      <c r="AH460" s="2">
        <f>IFERROR(N460/D460,"")</f>
        <v/>
      </c>
      <c r="AI460" s="2">
        <f>IFERROR(O460/E460,"")</f>
        <v/>
      </c>
      <c r="AJ460" s="2">
        <f>IFERROR(P460/F460,"")</f>
        <v/>
      </c>
      <c r="AK460" s="2">
        <f>IFERROR(Q460/B460,"")</f>
        <v/>
      </c>
      <c r="AL460" s="2">
        <f>IFERROR(R460/C460,"")</f>
        <v/>
      </c>
      <c r="AM460" s="2">
        <f>IFERROR(S460/D460,"")</f>
        <v/>
      </c>
      <c r="AN460" s="2">
        <f>IFERROR(T460/E460,"")</f>
        <v/>
      </c>
      <c r="AO460" s="2">
        <f>IFERROR(U460/F460,"")</f>
        <v/>
      </c>
    </row>
    <row r="461">
      <c r="B461">
        <f>IF($A461="","",IFERROR(INDEX('[AQ_2020.xlsx]原始数据'!$B:$B,MATCH($A461,'[AQ_2020.xlsx]原始数据'!$A:$A,0)),""))</f>
        <v/>
      </c>
      <c r="C461">
        <f>IF($A461="","",IFERROR(INDEX('[AQ_2021.xlsx]原始数据'!$B:$B,MATCH($A461,'[AQ_2021.xlsx]原始数据'!$A:$A,0)),""))</f>
        <v/>
      </c>
      <c r="D461">
        <f>IF($A461="","",IFERROR(INDEX('[AQ_2022.xlsx]原始数据'!$B:$B,MATCH($A461,'[AQ_2022.xlsx]原始数据'!$A:$A,0)),""))</f>
        <v/>
      </c>
      <c r="E461">
        <f>IF($A461="","",IFERROR(INDEX('[AQ_2023.xlsx]原始数据'!$B:$B,MATCH($A461,'[AQ_2023.xlsx]原始数据'!$A:$A,0)),""))</f>
        <v/>
      </c>
      <c r="F461">
        <f>IF($A461="","",IFERROR(INDEX('[AQ_2024.xlsx]原始数据'!$B:$B,MATCH($A461,'[AQ_2024.xlsx]原始数据'!$A:$A,0)),""))</f>
        <v/>
      </c>
      <c r="G461">
        <f>IF($A461="","",IFERROR(INDEX('[AQ_2020.xlsx]原始数据'!$C:$C,MATCH($A461,'[AQ_2020.xlsx]原始数据'!$A:$A,0)),""))</f>
        <v/>
      </c>
      <c r="H461">
        <f>IF($A461="","",IFERROR(INDEX('[AQ_2021.xlsx]原始数据'!$C:$C,MATCH($A461,'[AQ_2021.xlsx]原始数据'!$A:$A,0)),""))</f>
        <v/>
      </c>
      <c r="I461">
        <f>IF($A461="","",IFERROR(INDEX('[AQ_2022.xlsx]原始数据'!$C:$C,MATCH($A461,'[AQ_2022.xlsx]原始数据'!$A:$A,0)),""))</f>
        <v/>
      </c>
      <c r="J461">
        <f>IF($A461="","",IFERROR(INDEX('[AQ_2023.xlsx]原始数据'!$C:$C,MATCH($A461,'[AQ_2023.xlsx]原始数据'!$A:$A,0)),""))</f>
        <v/>
      </c>
      <c r="K461">
        <f>IF($A461="","",IFERROR(INDEX('[AQ_2024.xlsx]原始数据'!$C:$C,MATCH($A461,'[AQ_2024.xlsx]原始数据'!$A:$A,0)),""))</f>
        <v/>
      </c>
      <c r="L461">
        <f>IF($A461="","",IFERROR(INDEX('[AQ_2020.xlsx]原始数据'!$D:$D,MATCH($A461,'[AQ_2020.xlsx]原始数据'!$A:$A,0)),""))</f>
        <v/>
      </c>
      <c r="M461">
        <f>IF($A461="","",IFERROR(INDEX('[AQ_2021.xlsx]原始数据'!$D:$D,MATCH($A461,'[AQ_2021.xlsx]原始数据'!$A:$A,0)),""))</f>
        <v/>
      </c>
      <c r="N461">
        <f>IF($A461="","",IFERROR(INDEX('[AQ_2022.xlsx]原始数据'!$D:$D,MATCH($A461,'[AQ_2022.xlsx]原始数据'!$A:$A,0)),""))</f>
        <v/>
      </c>
      <c r="O461">
        <f>IF($A461="","",IFERROR(INDEX('[AQ_2023.xlsx]原始数据'!$D:$D,MATCH($A461,'[AQ_2023.xlsx]原始数据'!$A:$A,0)),""))</f>
        <v/>
      </c>
      <c r="P461">
        <f>IF($A461="","",IFERROR(INDEX('[AQ_2024.xlsx]原始数据'!$D:$D,MATCH($A461,'[AQ_2024.xlsx]原始数据'!$A:$A,0)),""))</f>
        <v/>
      </c>
      <c r="Q461">
        <f>IF($A461="","",IFERROR(INDEX('[AQ_2020.xlsx]原始数据'!$E:$E,MATCH($A461,'[AQ_2020.xlsx]原始数据'!$A:$A,0)),""))</f>
        <v/>
      </c>
      <c r="R461">
        <f>IF($A461="","",IFERROR(INDEX('[AQ_2021.xlsx]原始数据'!$E:$E,MATCH($A461,'[AQ_2021.xlsx]原始数据'!$A:$A,0)),""))</f>
        <v/>
      </c>
      <c r="S461">
        <f>IF($A461="","",IFERROR(INDEX('[AQ_2022.xlsx]原始数据'!$E:$E,MATCH($A461,'[AQ_2022.xlsx]原始数据'!$A:$A,0)),""))</f>
        <v/>
      </c>
      <c r="T461">
        <f>IF($A461="","",IFERROR(INDEX('[AQ_2023.xlsx]原始数据'!$E:$E,MATCH($A461,'[AQ_2023.xlsx]原始数据'!$A:$A,0)),""))</f>
        <v/>
      </c>
      <c r="U461">
        <f>IF($A461="","",IFERROR(INDEX('[AQ_2024.xlsx]原始数据'!$E:$E,MATCH($A461,'[AQ_2024.xlsx]原始数据'!$A:$A,0)),""))</f>
        <v/>
      </c>
      <c r="V461">
        <f>IF($A461="","",IFERROR(INDEX('[AQ_2020.xlsx]原始数据'!$F:$F,MATCH($A461,'[AQ_2020.xlsx]原始数据'!$A:$A,0)),""))</f>
        <v/>
      </c>
      <c r="W461">
        <f>IF($A461="","",IFERROR(INDEX('[AQ_2021.xlsx]原始数据'!$F:$F,MATCH($A461,'[AQ_2021.xlsx]原始数据'!$A:$A,0)),""))</f>
        <v/>
      </c>
      <c r="X461">
        <f>IF($A461="","",IFERROR(INDEX('[AQ_2022.xlsx]原始数据'!$F:$F,MATCH($A461,'[AQ_2022.xlsx]原始数据'!$A:$A,0)),""))</f>
        <v/>
      </c>
      <c r="Y461">
        <f>IF($A461="","",IFERROR(INDEX('[AQ_2023.xlsx]原始数据'!$F:$F,MATCH($A461,'[AQ_2023.xlsx]原始数据'!$A:$A,0)),""))</f>
        <v/>
      </c>
      <c r="Z461">
        <f>IF($A461="","",IFERROR(INDEX('[AQ_2024.xlsx]原始数据'!$F:$F,MATCH($A461,'[AQ_2024.xlsx]原始数据'!$A:$A,0)),""))</f>
        <v/>
      </c>
      <c r="AA461" s="2">
        <f>IFERROR(G461/B461,"")</f>
        <v/>
      </c>
      <c r="AB461" s="2">
        <f>IFERROR(H461/C461,"")</f>
        <v/>
      </c>
      <c r="AC461" s="2">
        <f>IFERROR(I461/D461,"")</f>
        <v/>
      </c>
      <c r="AD461" s="2">
        <f>IFERROR(J461/E461,"")</f>
        <v/>
      </c>
      <c r="AE461" s="2">
        <f>IFERROR(K461/F461,"")</f>
        <v/>
      </c>
      <c r="AF461" s="2">
        <f>IFERROR(L461/B461,"")</f>
        <v/>
      </c>
      <c r="AG461" s="2">
        <f>IFERROR(M461/C461,"")</f>
        <v/>
      </c>
      <c r="AH461" s="2">
        <f>IFERROR(N461/D461,"")</f>
        <v/>
      </c>
      <c r="AI461" s="2">
        <f>IFERROR(O461/E461,"")</f>
        <v/>
      </c>
      <c r="AJ461" s="2">
        <f>IFERROR(P461/F461,"")</f>
        <v/>
      </c>
      <c r="AK461" s="2">
        <f>IFERROR(Q461/B461,"")</f>
        <v/>
      </c>
      <c r="AL461" s="2">
        <f>IFERROR(R461/C461,"")</f>
        <v/>
      </c>
      <c r="AM461" s="2">
        <f>IFERROR(S461/D461,"")</f>
        <v/>
      </c>
      <c r="AN461" s="2">
        <f>IFERROR(T461/E461,"")</f>
        <v/>
      </c>
      <c r="AO461" s="2">
        <f>IFERROR(U461/F461,"")</f>
        <v/>
      </c>
    </row>
    <row r="462">
      <c r="B462">
        <f>IF($A462="","",IFERROR(INDEX('[AQ_2020.xlsx]原始数据'!$B:$B,MATCH($A462,'[AQ_2020.xlsx]原始数据'!$A:$A,0)),""))</f>
        <v/>
      </c>
      <c r="C462">
        <f>IF($A462="","",IFERROR(INDEX('[AQ_2021.xlsx]原始数据'!$B:$B,MATCH($A462,'[AQ_2021.xlsx]原始数据'!$A:$A,0)),""))</f>
        <v/>
      </c>
      <c r="D462">
        <f>IF($A462="","",IFERROR(INDEX('[AQ_2022.xlsx]原始数据'!$B:$B,MATCH($A462,'[AQ_2022.xlsx]原始数据'!$A:$A,0)),""))</f>
        <v/>
      </c>
      <c r="E462">
        <f>IF($A462="","",IFERROR(INDEX('[AQ_2023.xlsx]原始数据'!$B:$B,MATCH($A462,'[AQ_2023.xlsx]原始数据'!$A:$A,0)),""))</f>
        <v/>
      </c>
      <c r="F462">
        <f>IF($A462="","",IFERROR(INDEX('[AQ_2024.xlsx]原始数据'!$B:$B,MATCH($A462,'[AQ_2024.xlsx]原始数据'!$A:$A,0)),""))</f>
        <v/>
      </c>
      <c r="G462">
        <f>IF($A462="","",IFERROR(INDEX('[AQ_2020.xlsx]原始数据'!$C:$C,MATCH($A462,'[AQ_2020.xlsx]原始数据'!$A:$A,0)),""))</f>
        <v/>
      </c>
      <c r="H462">
        <f>IF($A462="","",IFERROR(INDEX('[AQ_2021.xlsx]原始数据'!$C:$C,MATCH($A462,'[AQ_2021.xlsx]原始数据'!$A:$A,0)),""))</f>
        <v/>
      </c>
      <c r="I462">
        <f>IF($A462="","",IFERROR(INDEX('[AQ_2022.xlsx]原始数据'!$C:$C,MATCH($A462,'[AQ_2022.xlsx]原始数据'!$A:$A,0)),""))</f>
        <v/>
      </c>
      <c r="J462">
        <f>IF($A462="","",IFERROR(INDEX('[AQ_2023.xlsx]原始数据'!$C:$C,MATCH($A462,'[AQ_2023.xlsx]原始数据'!$A:$A,0)),""))</f>
        <v/>
      </c>
      <c r="K462">
        <f>IF($A462="","",IFERROR(INDEX('[AQ_2024.xlsx]原始数据'!$C:$C,MATCH($A462,'[AQ_2024.xlsx]原始数据'!$A:$A,0)),""))</f>
        <v/>
      </c>
      <c r="L462">
        <f>IF($A462="","",IFERROR(INDEX('[AQ_2020.xlsx]原始数据'!$D:$D,MATCH($A462,'[AQ_2020.xlsx]原始数据'!$A:$A,0)),""))</f>
        <v/>
      </c>
      <c r="M462">
        <f>IF($A462="","",IFERROR(INDEX('[AQ_2021.xlsx]原始数据'!$D:$D,MATCH($A462,'[AQ_2021.xlsx]原始数据'!$A:$A,0)),""))</f>
        <v/>
      </c>
      <c r="N462">
        <f>IF($A462="","",IFERROR(INDEX('[AQ_2022.xlsx]原始数据'!$D:$D,MATCH($A462,'[AQ_2022.xlsx]原始数据'!$A:$A,0)),""))</f>
        <v/>
      </c>
      <c r="O462">
        <f>IF($A462="","",IFERROR(INDEX('[AQ_2023.xlsx]原始数据'!$D:$D,MATCH($A462,'[AQ_2023.xlsx]原始数据'!$A:$A,0)),""))</f>
        <v/>
      </c>
      <c r="P462">
        <f>IF($A462="","",IFERROR(INDEX('[AQ_2024.xlsx]原始数据'!$D:$D,MATCH($A462,'[AQ_2024.xlsx]原始数据'!$A:$A,0)),""))</f>
        <v/>
      </c>
      <c r="Q462">
        <f>IF($A462="","",IFERROR(INDEX('[AQ_2020.xlsx]原始数据'!$E:$E,MATCH($A462,'[AQ_2020.xlsx]原始数据'!$A:$A,0)),""))</f>
        <v/>
      </c>
      <c r="R462">
        <f>IF($A462="","",IFERROR(INDEX('[AQ_2021.xlsx]原始数据'!$E:$E,MATCH($A462,'[AQ_2021.xlsx]原始数据'!$A:$A,0)),""))</f>
        <v/>
      </c>
      <c r="S462">
        <f>IF($A462="","",IFERROR(INDEX('[AQ_2022.xlsx]原始数据'!$E:$E,MATCH($A462,'[AQ_2022.xlsx]原始数据'!$A:$A,0)),""))</f>
        <v/>
      </c>
      <c r="T462">
        <f>IF($A462="","",IFERROR(INDEX('[AQ_2023.xlsx]原始数据'!$E:$E,MATCH($A462,'[AQ_2023.xlsx]原始数据'!$A:$A,0)),""))</f>
        <v/>
      </c>
      <c r="U462">
        <f>IF($A462="","",IFERROR(INDEX('[AQ_2024.xlsx]原始数据'!$E:$E,MATCH($A462,'[AQ_2024.xlsx]原始数据'!$A:$A,0)),""))</f>
        <v/>
      </c>
      <c r="V462">
        <f>IF($A462="","",IFERROR(INDEX('[AQ_2020.xlsx]原始数据'!$F:$F,MATCH($A462,'[AQ_2020.xlsx]原始数据'!$A:$A,0)),""))</f>
        <v/>
      </c>
      <c r="W462">
        <f>IF($A462="","",IFERROR(INDEX('[AQ_2021.xlsx]原始数据'!$F:$F,MATCH($A462,'[AQ_2021.xlsx]原始数据'!$A:$A,0)),""))</f>
        <v/>
      </c>
      <c r="X462">
        <f>IF($A462="","",IFERROR(INDEX('[AQ_2022.xlsx]原始数据'!$F:$F,MATCH($A462,'[AQ_2022.xlsx]原始数据'!$A:$A,0)),""))</f>
        <v/>
      </c>
      <c r="Y462">
        <f>IF($A462="","",IFERROR(INDEX('[AQ_2023.xlsx]原始数据'!$F:$F,MATCH($A462,'[AQ_2023.xlsx]原始数据'!$A:$A,0)),""))</f>
        <v/>
      </c>
      <c r="Z462">
        <f>IF($A462="","",IFERROR(INDEX('[AQ_2024.xlsx]原始数据'!$F:$F,MATCH($A462,'[AQ_2024.xlsx]原始数据'!$A:$A,0)),""))</f>
        <v/>
      </c>
      <c r="AA462" s="2">
        <f>IFERROR(G462/B462,"")</f>
        <v/>
      </c>
      <c r="AB462" s="2">
        <f>IFERROR(H462/C462,"")</f>
        <v/>
      </c>
      <c r="AC462" s="2">
        <f>IFERROR(I462/D462,"")</f>
        <v/>
      </c>
      <c r="AD462" s="2">
        <f>IFERROR(J462/E462,"")</f>
        <v/>
      </c>
      <c r="AE462" s="2">
        <f>IFERROR(K462/F462,"")</f>
        <v/>
      </c>
      <c r="AF462" s="2">
        <f>IFERROR(L462/B462,"")</f>
        <v/>
      </c>
      <c r="AG462" s="2">
        <f>IFERROR(M462/C462,"")</f>
        <v/>
      </c>
      <c r="AH462" s="2">
        <f>IFERROR(N462/D462,"")</f>
        <v/>
      </c>
      <c r="AI462" s="2">
        <f>IFERROR(O462/E462,"")</f>
        <v/>
      </c>
      <c r="AJ462" s="2">
        <f>IFERROR(P462/F462,"")</f>
        <v/>
      </c>
      <c r="AK462" s="2">
        <f>IFERROR(Q462/B462,"")</f>
        <v/>
      </c>
      <c r="AL462" s="2">
        <f>IFERROR(R462/C462,"")</f>
        <v/>
      </c>
      <c r="AM462" s="2">
        <f>IFERROR(S462/D462,"")</f>
        <v/>
      </c>
      <c r="AN462" s="2">
        <f>IFERROR(T462/E462,"")</f>
        <v/>
      </c>
      <c r="AO462" s="2">
        <f>IFERROR(U462/F462,"")</f>
        <v/>
      </c>
    </row>
    <row r="463">
      <c r="B463">
        <f>IF($A463="","",IFERROR(INDEX('[AQ_2020.xlsx]原始数据'!$B:$B,MATCH($A463,'[AQ_2020.xlsx]原始数据'!$A:$A,0)),""))</f>
        <v/>
      </c>
      <c r="C463">
        <f>IF($A463="","",IFERROR(INDEX('[AQ_2021.xlsx]原始数据'!$B:$B,MATCH($A463,'[AQ_2021.xlsx]原始数据'!$A:$A,0)),""))</f>
        <v/>
      </c>
      <c r="D463">
        <f>IF($A463="","",IFERROR(INDEX('[AQ_2022.xlsx]原始数据'!$B:$B,MATCH($A463,'[AQ_2022.xlsx]原始数据'!$A:$A,0)),""))</f>
        <v/>
      </c>
      <c r="E463">
        <f>IF($A463="","",IFERROR(INDEX('[AQ_2023.xlsx]原始数据'!$B:$B,MATCH($A463,'[AQ_2023.xlsx]原始数据'!$A:$A,0)),""))</f>
        <v/>
      </c>
      <c r="F463">
        <f>IF($A463="","",IFERROR(INDEX('[AQ_2024.xlsx]原始数据'!$B:$B,MATCH($A463,'[AQ_2024.xlsx]原始数据'!$A:$A,0)),""))</f>
        <v/>
      </c>
      <c r="G463">
        <f>IF($A463="","",IFERROR(INDEX('[AQ_2020.xlsx]原始数据'!$C:$C,MATCH($A463,'[AQ_2020.xlsx]原始数据'!$A:$A,0)),""))</f>
        <v/>
      </c>
      <c r="H463">
        <f>IF($A463="","",IFERROR(INDEX('[AQ_2021.xlsx]原始数据'!$C:$C,MATCH($A463,'[AQ_2021.xlsx]原始数据'!$A:$A,0)),""))</f>
        <v/>
      </c>
      <c r="I463">
        <f>IF($A463="","",IFERROR(INDEX('[AQ_2022.xlsx]原始数据'!$C:$C,MATCH($A463,'[AQ_2022.xlsx]原始数据'!$A:$A,0)),""))</f>
        <v/>
      </c>
      <c r="J463">
        <f>IF($A463="","",IFERROR(INDEX('[AQ_2023.xlsx]原始数据'!$C:$C,MATCH($A463,'[AQ_2023.xlsx]原始数据'!$A:$A,0)),""))</f>
        <v/>
      </c>
      <c r="K463">
        <f>IF($A463="","",IFERROR(INDEX('[AQ_2024.xlsx]原始数据'!$C:$C,MATCH($A463,'[AQ_2024.xlsx]原始数据'!$A:$A,0)),""))</f>
        <v/>
      </c>
      <c r="L463">
        <f>IF($A463="","",IFERROR(INDEX('[AQ_2020.xlsx]原始数据'!$D:$D,MATCH($A463,'[AQ_2020.xlsx]原始数据'!$A:$A,0)),""))</f>
        <v/>
      </c>
      <c r="M463">
        <f>IF($A463="","",IFERROR(INDEX('[AQ_2021.xlsx]原始数据'!$D:$D,MATCH($A463,'[AQ_2021.xlsx]原始数据'!$A:$A,0)),""))</f>
        <v/>
      </c>
      <c r="N463">
        <f>IF($A463="","",IFERROR(INDEX('[AQ_2022.xlsx]原始数据'!$D:$D,MATCH($A463,'[AQ_2022.xlsx]原始数据'!$A:$A,0)),""))</f>
        <v/>
      </c>
      <c r="O463">
        <f>IF($A463="","",IFERROR(INDEX('[AQ_2023.xlsx]原始数据'!$D:$D,MATCH($A463,'[AQ_2023.xlsx]原始数据'!$A:$A,0)),""))</f>
        <v/>
      </c>
      <c r="P463">
        <f>IF($A463="","",IFERROR(INDEX('[AQ_2024.xlsx]原始数据'!$D:$D,MATCH($A463,'[AQ_2024.xlsx]原始数据'!$A:$A,0)),""))</f>
        <v/>
      </c>
      <c r="Q463">
        <f>IF($A463="","",IFERROR(INDEX('[AQ_2020.xlsx]原始数据'!$E:$E,MATCH($A463,'[AQ_2020.xlsx]原始数据'!$A:$A,0)),""))</f>
        <v/>
      </c>
      <c r="R463">
        <f>IF($A463="","",IFERROR(INDEX('[AQ_2021.xlsx]原始数据'!$E:$E,MATCH($A463,'[AQ_2021.xlsx]原始数据'!$A:$A,0)),""))</f>
        <v/>
      </c>
      <c r="S463">
        <f>IF($A463="","",IFERROR(INDEX('[AQ_2022.xlsx]原始数据'!$E:$E,MATCH($A463,'[AQ_2022.xlsx]原始数据'!$A:$A,0)),""))</f>
        <v/>
      </c>
      <c r="T463">
        <f>IF($A463="","",IFERROR(INDEX('[AQ_2023.xlsx]原始数据'!$E:$E,MATCH($A463,'[AQ_2023.xlsx]原始数据'!$A:$A,0)),""))</f>
        <v/>
      </c>
      <c r="U463">
        <f>IF($A463="","",IFERROR(INDEX('[AQ_2024.xlsx]原始数据'!$E:$E,MATCH($A463,'[AQ_2024.xlsx]原始数据'!$A:$A,0)),""))</f>
        <v/>
      </c>
      <c r="V463">
        <f>IF($A463="","",IFERROR(INDEX('[AQ_2020.xlsx]原始数据'!$F:$F,MATCH($A463,'[AQ_2020.xlsx]原始数据'!$A:$A,0)),""))</f>
        <v/>
      </c>
      <c r="W463">
        <f>IF($A463="","",IFERROR(INDEX('[AQ_2021.xlsx]原始数据'!$F:$F,MATCH($A463,'[AQ_2021.xlsx]原始数据'!$A:$A,0)),""))</f>
        <v/>
      </c>
      <c r="X463">
        <f>IF($A463="","",IFERROR(INDEX('[AQ_2022.xlsx]原始数据'!$F:$F,MATCH($A463,'[AQ_2022.xlsx]原始数据'!$A:$A,0)),""))</f>
        <v/>
      </c>
      <c r="Y463">
        <f>IF($A463="","",IFERROR(INDEX('[AQ_2023.xlsx]原始数据'!$F:$F,MATCH($A463,'[AQ_2023.xlsx]原始数据'!$A:$A,0)),""))</f>
        <v/>
      </c>
      <c r="Z463">
        <f>IF($A463="","",IFERROR(INDEX('[AQ_2024.xlsx]原始数据'!$F:$F,MATCH($A463,'[AQ_2024.xlsx]原始数据'!$A:$A,0)),""))</f>
        <v/>
      </c>
      <c r="AA463" s="2">
        <f>IFERROR(G463/B463,"")</f>
        <v/>
      </c>
      <c r="AB463" s="2">
        <f>IFERROR(H463/C463,"")</f>
        <v/>
      </c>
      <c r="AC463" s="2">
        <f>IFERROR(I463/D463,"")</f>
        <v/>
      </c>
      <c r="AD463" s="2">
        <f>IFERROR(J463/E463,"")</f>
        <v/>
      </c>
      <c r="AE463" s="2">
        <f>IFERROR(K463/F463,"")</f>
        <v/>
      </c>
      <c r="AF463" s="2">
        <f>IFERROR(L463/B463,"")</f>
        <v/>
      </c>
      <c r="AG463" s="2">
        <f>IFERROR(M463/C463,"")</f>
        <v/>
      </c>
      <c r="AH463" s="2">
        <f>IFERROR(N463/D463,"")</f>
        <v/>
      </c>
      <c r="AI463" s="2">
        <f>IFERROR(O463/E463,"")</f>
        <v/>
      </c>
      <c r="AJ463" s="2">
        <f>IFERROR(P463/F463,"")</f>
        <v/>
      </c>
      <c r="AK463" s="2">
        <f>IFERROR(Q463/B463,"")</f>
        <v/>
      </c>
      <c r="AL463" s="2">
        <f>IFERROR(R463/C463,"")</f>
        <v/>
      </c>
      <c r="AM463" s="2">
        <f>IFERROR(S463/D463,"")</f>
        <v/>
      </c>
      <c r="AN463" s="2">
        <f>IFERROR(T463/E463,"")</f>
        <v/>
      </c>
      <c r="AO463" s="2">
        <f>IFERROR(U463/F463,"")</f>
        <v/>
      </c>
    </row>
    <row r="464">
      <c r="B464">
        <f>IF($A464="","",IFERROR(INDEX('[AQ_2020.xlsx]原始数据'!$B:$B,MATCH($A464,'[AQ_2020.xlsx]原始数据'!$A:$A,0)),""))</f>
        <v/>
      </c>
      <c r="C464">
        <f>IF($A464="","",IFERROR(INDEX('[AQ_2021.xlsx]原始数据'!$B:$B,MATCH($A464,'[AQ_2021.xlsx]原始数据'!$A:$A,0)),""))</f>
        <v/>
      </c>
      <c r="D464">
        <f>IF($A464="","",IFERROR(INDEX('[AQ_2022.xlsx]原始数据'!$B:$B,MATCH($A464,'[AQ_2022.xlsx]原始数据'!$A:$A,0)),""))</f>
        <v/>
      </c>
      <c r="E464">
        <f>IF($A464="","",IFERROR(INDEX('[AQ_2023.xlsx]原始数据'!$B:$B,MATCH($A464,'[AQ_2023.xlsx]原始数据'!$A:$A,0)),""))</f>
        <v/>
      </c>
      <c r="F464">
        <f>IF($A464="","",IFERROR(INDEX('[AQ_2024.xlsx]原始数据'!$B:$B,MATCH($A464,'[AQ_2024.xlsx]原始数据'!$A:$A,0)),""))</f>
        <v/>
      </c>
      <c r="G464">
        <f>IF($A464="","",IFERROR(INDEX('[AQ_2020.xlsx]原始数据'!$C:$C,MATCH($A464,'[AQ_2020.xlsx]原始数据'!$A:$A,0)),""))</f>
        <v/>
      </c>
      <c r="H464">
        <f>IF($A464="","",IFERROR(INDEX('[AQ_2021.xlsx]原始数据'!$C:$C,MATCH($A464,'[AQ_2021.xlsx]原始数据'!$A:$A,0)),""))</f>
        <v/>
      </c>
      <c r="I464">
        <f>IF($A464="","",IFERROR(INDEX('[AQ_2022.xlsx]原始数据'!$C:$C,MATCH($A464,'[AQ_2022.xlsx]原始数据'!$A:$A,0)),""))</f>
        <v/>
      </c>
      <c r="J464">
        <f>IF($A464="","",IFERROR(INDEX('[AQ_2023.xlsx]原始数据'!$C:$C,MATCH($A464,'[AQ_2023.xlsx]原始数据'!$A:$A,0)),""))</f>
        <v/>
      </c>
      <c r="K464">
        <f>IF($A464="","",IFERROR(INDEX('[AQ_2024.xlsx]原始数据'!$C:$C,MATCH($A464,'[AQ_2024.xlsx]原始数据'!$A:$A,0)),""))</f>
        <v/>
      </c>
      <c r="L464">
        <f>IF($A464="","",IFERROR(INDEX('[AQ_2020.xlsx]原始数据'!$D:$D,MATCH($A464,'[AQ_2020.xlsx]原始数据'!$A:$A,0)),""))</f>
        <v/>
      </c>
      <c r="M464">
        <f>IF($A464="","",IFERROR(INDEX('[AQ_2021.xlsx]原始数据'!$D:$D,MATCH($A464,'[AQ_2021.xlsx]原始数据'!$A:$A,0)),""))</f>
        <v/>
      </c>
      <c r="N464">
        <f>IF($A464="","",IFERROR(INDEX('[AQ_2022.xlsx]原始数据'!$D:$D,MATCH($A464,'[AQ_2022.xlsx]原始数据'!$A:$A,0)),""))</f>
        <v/>
      </c>
      <c r="O464">
        <f>IF($A464="","",IFERROR(INDEX('[AQ_2023.xlsx]原始数据'!$D:$D,MATCH($A464,'[AQ_2023.xlsx]原始数据'!$A:$A,0)),""))</f>
        <v/>
      </c>
      <c r="P464">
        <f>IF($A464="","",IFERROR(INDEX('[AQ_2024.xlsx]原始数据'!$D:$D,MATCH($A464,'[AQ_2024.xlsx]原始数据'!$A:$A,0)),""))</f>
        <v/>
      </c>
      <c r="Q464">
        <f>IF($A464="","",IFERROR(INDEX('[AQ_2020.xlsx]原始数据'!$E:$E,MATCH($A464,'[AQ_2020.xlsx]原始数据'!$A:$A,0)),""))</f>
        <v/>
      </c>
      <c r="R464">
        <f>IF($A464="","",IFERROR(INDEX('[AQ_2021.xlsx]原始数据'!$E:$E,MATCH($A464,'[AQ_2021.xlsx]原始数据'!$A:$A,0)),""))</f>
        <v/>
      </c>
      <c r="S464">
        <f>IF($A464="","",IFERROR(INDEX('[AQ_2022.xlsx]原始数据'!$E:$E,MATCH($A464,'[AQ_2022.xlsx]原始数据'!$A:$A,0)),""))</f>
        <v/>
      </c>
      <c r="T464">
        <f>IF($A464="","",IFERROR(INDEX('[AQ_2023.xlsx]原始数据'!$E:$E,MATCH($A464,'[AQ_2023.xlsx]原始数据'!$A:$A,0)),""))</f>
        <v/>
      </c>
      <c r="U464">
        <f>IF($A464="","",IFERROR(INDEX('[AQ_2024.xlsx]原始数据'!$E:$E,MATCH($A464,'[AQ_2024.xlsx]原始数据'!$A:$A,0)),""))</f>
        <v/>
      </c>
      <c r="V464">
        <f>IF($A464="","",IFERROR(INDEX('[AQ_2020.xlsx]原始数据'!$F:$F,MATCH($A464,'[AQ_2020.xlsx]原始数据'!$A:$A,0)),""))</f>
        <v/>
      </c>
      <c r="W464">
        <f>IF($A464="","",IFERROR(INDEX('[AQ_2021.xlsx]原始数据'!$F:$F,MATCH($A464,'[AQ_2021.xlsx]原始数据'!$A:$A,0)),""))</f>
        <v/>
      </c>
      <c r="X464">
        <f>IF($A464="","",IFERROR(INDEX('[AQ_2022.xlsx]原始数据'!$F:$F,MATCH($A464,'[AQ_2022.xlsx]原始数据'!$A:$A,0)),""))</f>
        <v/>
      </c>
      <c r="Y464">
        <f>IF($A464="","",IFERROR(INDEX('[AQ_2023.xlsx]原始数据'!$F:$F,MATCH($A464,'[AQ_2023.xlsx]原始数据'!$A:$A,0)),""))</f>
        <v/>
      </c>
      <c r="Z464">
        <f>IF($A464="","",IFERROR(INDEX('[AQ_2024.xlsx]原始数据'!$F:$F,MATCH($A464,'[AQ_2024.xlsx]原始数据'!$A:$A,0)),""))</f>
        <v/>
      </c>
      <c r="AA464" s="2">
        <f>IFERROR(G464/B464,"")</f>
        <v/>
      </c>
      <c r="AB464" s="2">
        <f>IFERROR(H464/C464,"")</f>
        <v/>
      </c>
      <c r="AC464" s="2">
        <f>IFERROR(I464/D464,"")</f>
        <v/>
      </c>
      <c r="AD464" s="2">
        <f>IFERROR(J464/E464,"")</f>
        <v/>
      </c>
      <c r="AE464" s="2">
        <f>IFERROR(K464/F464,"")</f>
        <v/>
      </c>
      <c r="AF464" s="2">
        <f>IFERROR(L464/B464,"")</f>
        <v/>
      </c>
      <c r="AG464" s="2">
        <f>IFERROR(M464/C464,"")</f>
        <v/>
      </c>
      <c r="AH464" s="2">
        <f>IFERROR(N464/D464,"")</f>
        <v/>
      </c>
      <c r="AI464" s="2">
        <f>IFERROR(O464/E464,"")</f>
        <v/>
      </c>
      <c r="AJ464" s="2">
        <f>IFERROR(P464/F464,"")</f>
        <v/>
      </c>
      <c r="AK464" s="2">
        <f>IFERROR(Q464/B464,"")</f>
        <v/>
      </c>
      <c r="AL464" s="2">
        <f>IFERROR(R464/C464,"")</f>
        <v/>
      </c>
      <c r="AM464" s="2">
        <f>IFERROR(S464/D464,"")</f>
        <v/>
      </c>
      <c r="AN464" s="2">
        <f>IFERROR(T464/E464,"")</f>
        <v/>
      </c>
      <c r="AO464" s="2">
        <f>IFERROR(U464/F464,"")</f>
        <v/>
      </c>
    </row>
    <row r="465">
      <c r="B465">
        <f>IF($A465="","",IFERROR(INDEX('[AQ_2020.xlsx]原始数据'!$B:$B,MATCH($A465,'[AQ_2020.xlsx]原始数据'!$A:$A,0)),""))</f>
        <v/>
      </c>
      <c r="C465">
        <f>IF($A465="","",IFERROR(INDEX('[AQ_2021.xlsx]原始数据'!$B:$B,MATCH($A465,'[AQ_2021.xlsx]原始数据'!$A:$A,0)),""))</f>
        <v/>
      </c>
      <c r="D465">
        <f>IF($A465="","",IFERROR(INDEX('[AQ_2022.xlsx]原始数据'!$B:$B,MATCH($A465,'[AQ_2022.xlsx]原始数据'!$A:$A,0)),""))</f>
        <v/>
      </c>
      <c r="E465">
        <f>IF($A465="","",IFERROR(INDEX('[AQ_2023.xlsx]原始数据'!$B:$B,MATCH($A465,'[AQ_2023.xlsx]原始数据'!$A:$A,0)),""))</f>
        <v/>
      </c>
      <c r="F465">
        <f>IF($A465="","",IFERROR(INDEX('[AQ_2024.xlsx]原始数据'!$B:$B,MATCH($A465,'[AQ_2024.xlsx]原始数据'!$A:$A,0)),""))</f>
        <v/>
      </c>
      <c r="G465">
        <f>IF($A465="","",IFERROR(INDEX('[AQ_2020.xlsx]原始数据'!$C:$C,MATCH($A465,'[AQ_2020.xlsx]原始数据'!$A:$A,0)),""))</f>
        <v/>
      </c>
      <c r="H465">
        <f>IF($A465="","",IFERROR(INDEX('[AQ_2021.xlsx]原始数据'!$C:$C,MATCH($A465,'[AQ_2021.xlsx]原始数据'!$A:$A,0)),""))</f>
        <v/>
      </c>
      <c r="I465">
        <f>IF($A465="","",IFERROR(INDEX('[AQ_2022.xlsx]原始数据'!$C:$C,MATCH($A465,'[AQ_2022.xlsx]原始数据'!$A:$A,0)),""))</f>
        <v/>
      </c>
      <c r="J465">
        <f>IF($A465="","",IFERROR(INDEX('[AQ_2023.xlsx]原始数据'!$C:$C,MATCH($A465,'[AQ_2023.xlsx]原始数据'!$A:$A,0)),""))</f>
        <v/>
      </c>
      <c r="K465">
        <f>IF($A465="","",IFERROR(INDEX('[AQ_2024.xlsx]原始数据'!$C:$C,MATCH($A465,'[AQ_2024.xlsx]原始数据'!$A:$A,0)),""))</f>
        <v/>
      </c>
      <c r="L465">
        <f>IF($A465="","",IFERROR(INDEX('[AQ_2020.xlsx]原始数据'!$D:$D,MATCH($A465,'[AQ_2020.xlsx]原始数据'!$A:$A,0)),""))</f>
        <v/>
      </c>
      <c r="M465">
        <f>IF($A465="","",IFERROR(INDEX('[AQ_2021.xlsx]原始数据'!$D:$D,MATCH($A465,'[AQ_2021.xlsx]原始数据'!$A:$A,0)),""))</f>
        <v/>
      </c>
      <c r="N465">
        <f>IF($A465="","",IFERROR(INDEX('[AQ_2022.xlsx]原始数据'!$D:$D,MATCH($A465,'[AQ_2022.xlsx]原始数据'!$A:$A,0)),""))</f>
        <v/>
      </c>
      <c r="O465">
        <f>IF($A465="","",IFERROR(INDEX('[AQ_2023.xlsx]原始数据'!$D:$D,MATCH($A465,'[AQ_2023.xlsx]原始数据'!$A:$A,0)),""))</f>
        <v/>
      </c>
      <c r="P465">
        <f>IF($A465="","",IFERROR(INDEX('[AQ_2024.xlsx]原始数据'!$D:$D,MATCH($A465,'[AQ_2024.xlsx]原始数据'!$A:$A,0)),""))</f>
        <v/>
      </c>
      <c r="Q465">
        <f>IF($A465="","",IFERROR(INDEX('[AQ_2020.xlsx]原始数据'!$E:$E,MATCH($A465,'[AQ_2020.xlsx]原始数据'!$A:$A,0)),""))</f>
        <v/>
      </c>
      <c r="R465">
        <f>IF($A465="","",IFERROR(INDEX('[AQ_2021.xlsx]原始数据'!$E:$E,MATCH($A465,'[AQ_2021.xlsx]原始数据'!$A:$A,0)),""))</f>
        <v/>
      </c>
      <c r="S465">
        <f>IF($A465="","",IFERROR(INDEX('[AQ_2022.xlsx]原始数据'!$E:$E,MATCH($A465,'[AQ_2022.xlsx]原始数据'!$A:$A,0)),""))</f>
        <v/>
      </c>
      <c r="T465">
        <f>IF($A465="","",IFERROR(INDEX('[AQ_2023.xlsx]原始数据'!$E:$E,MATCH($A465,'[AQ_2023.xlsx]原始数据'!$A:$A,0)),""))</f>
        <v/>
      </c>
      <c r="U465">
        <f>IF($A465="","",IFERROR(INDEX('[AQ_2024.xlsx]原始数据'!$E:$E,MATCH($A465,'[AQ_2024.xlsx]原始数据'!$A:$A,0)),""))</f>
        <v/>
      </c>
      <c r="V465">
        <f>IF($A465="","",IFERROR(INDEX('[AQ_2020.xlsx]原始数据'!$F:$F,MATCH($A465,'[AQ_2020.xlsx]原始数据'!$A:$A,0)),""))</f>
        <v/>
      </c>
      <c r="W465">
        <f>IF($A465="","",IFERROR(INDEX('[AQ_2021.xlsx]原始数据'!$F:$F,MATCH($A465,'[AQ_2021.xlsx]原始数据'!$A:$A,0)),""))</f>
        <v/>
      </c>
      <c r="X465">
        <f>IF($A465="","",IFERROR(INDEX('[AQ_2022.xlsx]原始数据'!$F:$F,MATCH($A465,'[AQ_2022.xlsx]原始数据'!$A:$A,0)),""))</f>
        <v/>
      </c>
      <c r="Y465">
        <f>IF($A465="","",IFERROR(INDEX('[AQ_2023.xlsx]原始数据'!$F:$F,MATCH($A465,'[AQ_2023.xlsx]原始数据'!$A:$A,0)),""))</f>
        <v/>
      </c>
      <c r="Z465">
        <f>IF($A465="","",IFERROR(INDEX('[AQ_2024.xlsx]原始数据'!$F:$F,MATCH($A465,'[AQ_2024.xlsx]原始数据'!$A:$A,0)),""))</f>
        <v/>
      </c>
      <c r="AA465" s="2">
        <f>IFERROR(G465/B465,"")</f>
        <v/>
      </c>
      <c r="AB465" s="2">
        <f>IFERROR(H465/C465,"")</f>
        <v/>
      </c>
      <c r="AC465" s="2">
        <f>IFERROR(I465/D465,"")</f>
        <v/>
      </c>
      <c r="AD465" s="2">
        <f>IFERROR(J465/E465,"")</f>
        <v/>
      </c>
      <c r="AE465" s="2">
        <f>IFERROR(K465/F465,"")</f>
        <v/>
      </c>
      <c r="AF465" s="2">
        <f>IFERROR(L465/B465,"")</f>
        <v/>
      </c>
      <c r="AG465" s="2">
        <f>IFERROR(M465/C465,"")</f>
        <v/>
      </c>
      <c r="AH465" s="2">
        <f>IFERROR(N465/D465,"")</f>
        <v/>
      </c>
      <c r="AI465" s="2">
        <f>IFERROR(O465/E465,"")</f>
        <v/>
      </c>
      <c r="AJ465" s="2">
        <f>IFERROR(P465/F465,"")</f>
        <v/>
      </c>
      <c r="AK465" s="2">
        <f>IFERROR(Q465/B465,"")</f>
        <v/>
      </c>
      <c r="AL465" s="2">
        <f>IFERROR(R465/C465,"")</f>
        <v/>
      </c>
      <c r="AM465" s="2">
        <f>IFERROR(S465/D465,"")</f>
        <v/>
      </c>
      <c r="AN465" s="2">
        <f>IFERROR(T465/E465,"")</f>
        <v/>
      </c>
      <c r="AO465" s="2">
        <f>IFERROR(U465/F465,"")</f>
        <v/>
      </c>
    </row>
    <row r="466">
      <c r="B466">
        <f>IF($A466="","",IFERROR(INDEX('[AQ_2020.xlsx]原始数据'!$B:$B,MATCH($A466,'[AQ_2020.xlsx]原始数据'!$A:$A,0)),""))</f>
        <v/>
      </c>
      <c r="C466">
        <f>IF($A466="","",IFERROR(INDEX('[AQ_2021.xlsx]原始数据'!$B:$B,MATCH($A466,'[AQ_2021.xlsx]原始数据'!$A:$A,0)),""))</f>
        <v/>
      </c>
      <c r="D466">
        <f>IF($A466="","",IFERROR(INDEX('[AQ_2022.xlsx]原始数据'!$B:$B,MATCH($A466,'[AQ_2022.xlsx]原始数据'!$A:$A,0)),""))</f>
        <v/>
      </c>
      <c r="E466">
        <f>IF($A466="","",IFERROR(INDEX('[AQ_2023.xlsx]原始数据'!$B:$B,MATCH($A466,'[AQ_2023.xlsx]原始数据'!$A:$A,0)),""))</f>
        <v/>
      </c>
      <c r="F466">
        <f>IF($A466="","",IFERROR(INDEX('[AQ_2024.xlsx]原始数据'!$B:$B,MATCH($A466,'[AQ_2024.xlsx]原始数据'!$A:$A,0)),""))</f>
        <v/>
      </c>
      <c r="G466">
        <f>IF($A466="","",IFERROR(INDEX('[AQ_2020.xlsx]原始数据'!$C:$C,MATCH($A466,'[AQ_2020.xlsx]原始数据'!$A:$A,0)),""))</f>
        <v/>
      </c>
      <c r="H466">
        <f>IF($A466="","",IFERROR(INDEX('[AQ_2021.xlsx]原始数据'!$C:$C,MATCH($A466,'[AQ_2021.xlsx]原始数据'!$A:$A,0)),""))</f>
        <v/>
      </c>
      <c r="I466">
        <f>IF($A466="","",IFERROR(INDEX('[AQ_2022.xlsx]原始数据'!$C:$C,MATCH($A466,'[AQ_2022.xlsx]原始数据'!$A:$A,0)),""))</f>
        <v/>
      </c>
      <c r="J466">
        <f>IF($A466="","",IFERROR(INDEX('[AQ_2023.xlsx]原始数据'!$C:$C,MATCH($A466,'[AQ_2023.xlsx]原始数据'!$A:$A,0)),""))</f>
        <v/>
      </c>
      <c r="K466">
        <f>IF($A466="","",IFERROR(INDEX('[AQ_2024.xlsx]原始数据'!$C:$C,MATCH($A466,'[AQ_2024.xlsx]原始数据'!$A:$A,0)),""))</f>
        <v/>
      </c>
      <c r="L466">
        <f>IF($A466="","",IFERROR(INDEX('[AQ_2020.xlsx]原始数据'!$D:$D,MATCH($A466,'[AQ_2020.xlsx]原始数据'!$A:$A,0)),""))</f>
        <v/>
      </c>
      <c r="M466">
        <f>IF($A466="","",IFERROR(INDEX('[AQ_2021.xlsx]原始数据'!$D:$D,MATCH($A466,'[AQ_2021.xlsx]原始数据'!$A:$A,0)),""))</f>
        <v/>
      </c>
      <c r="N466">
        <f>IF($A466="","",IFERROR(INDEX('[AQ_2022.xlsx]原始数据'!$D:$D,MATCH($A466,'[AQ_2022.xlsx]原始数据'!$A:$A,0)),""))</f>
        <v/>
      </c>
      <c r="O466">
        <f>IF($A466="","",IFERROR(INDEX('[AQ_2023.xlsx]原始数据'!$D:$D,MATCH($A466,'[AQ_2023.xlsx]原始数据'!$A:$A,0)),""))</f>
        <v/>
      </c>
      <c r="P466">
        <f>IF($A466="","",IFERROR(INDEX('[AQ_2024.xlsx]原始数据'!$D:$D,MATCH($A466,'[AQ_2024.xlsx]原始数据'!$A:$A,0)),""))</f>
        <v/>
      </c>
      <c r="Q466">
        <f>IF($A466="","",IFERROR(INDEX('[AQ_2020.xlsx]原始数据'!$E:$E,MATCH($A466,'[AQ_2020.xlsx]原始数据'!$A:$A,0)),""))</f>
        <v/>
      </c>
      <c r="R466">
        <f>IF($A466="","",IFERROR(INDEX('[AQ_2021.xlsx]原始数据'!$E:$E,MATCH($A466,'[AQ_2021.xlsx]原始数据'!$A:$A,0)),""))</f>
        <v/>
      </c>
      <c r="S466">
        <f>IF($A466="","",IFERROR(INDEX('[AQ_2022.xlsx]原始数据'!$E:$E,MATCH($A466,'[AQ_2022.xlsx]原始数据'!$A:$A,0)),""))</f>
        <v/>
      </c>
      <c r="T466">
        <f>IF($A466="","",IFERROR(INDEX('[AQ_2023.xlsx]原始数据'!$E:$E,MATCH($A466,'[AQ_2023.xlsx]原始数据'!$A:$A,0)),""))</f>
        <v/>
      </c>
      <c r="U466">
        <f>IF($A466="","",IFERROR(INDEX('[AQ_2024.xlsx]原始数据'!$E:$E,MATCH($A466,'[AQ_2024.xlsx]原始数据'!$A:$A,0)),""))</f>
        <v/>
      </c>
      <c r="V466">
        <f>IF($A466="","",IFERROR(INDEX('[AQ_2020.xlsx]原始数据'!$F:$F,MATCH($A466,'[AQ_2020.xlsx]原始数据'!$A:$A,0)),""))</f>
        <v/>
      </c>
      <c r="W466">
        <f>IF($A466="","",IFERROR(INDEX('[AQ_2021.xlsx]原始数据'!$F:$F,MATCH($A466,'[AQ_2021.xlsx]原始数据'!$A:$A,0)),""))</f>
        <v/>
      </c>
      <c r="X466">
        <f>IF($A466="","",IFERROR(INDEX('[AQ_2022.xlsx]原始数据'!$F:$F,MATCH($A466,'[AQ_2022.xlsx]原始数据'!$A:$A,0)),""))</f>
        <v/>
      </c>
      <c r="Y466">
        <f>IF($A466="","",IFERROR(INDEX('[AQ_2023.xlsx]原始数据'!$F:$F,MATCH($A466,'[AQ_2023.xlsx]原始数据'!$A:$A,0)),""))</f>
        <v/>
      </c>
      <c r="Z466">
        <f>IF($A466="","",IFERROR(INDEX('[AQ_2024.xlsx]原始数据'!$F:$F,MATCH($A466,'[AQ_2024.xlsx]原始数据'!$A:$A,0)),""))</f>
        <v/>
      </c>
      <c r="AA466" s="2">
        <f>IFERROR(G466/B466,"")</f>
        <v/>
      </c>
      <c r="AB466" s="2">
        <f>IFERROR(H466/C466,"")</f>
        <v/>
      </c>
      <c r="AC466" s="2">
        <f>IFERROR(I466/D466,"")</f>
        <v/>
      </c>
      <c r="AD466" s="2">
        <f>IFERROR(J466/E466,"")</f>
        <v/>
      </c>
      <c r="AE466" s="2">
        <f>IFERROR(K466/F466,"")</f>
        <v/>
      </c>
      <c r="AF466" s="2">
        <f>IFERROR(L466/B466,"")</f>
        <v/>
      </c>
      <c r="AG466" s="2">
        <f>IFERROR(M466/C466,"")</f>
        <v/>
      </c>
      <c r="AH466" s="2">
        <f>IFERROR(N466/D466,"")</f>
        <v/>
      </c>
      <c r="AI466" s="2">
        <f>IFERROR(O466/E466,"")</f>
        <v/>
      </c>
      <c r="AJ466" s="2">
        <f>IFERROR(P466/F466,"")</f>
        <v/>
      </c>
      <c r="AK466" s="2">
        <f>IFERROR(Q466/B466,"")</f>
        <v/>
      </c>
      <c r="AL466" s="2">
        <f>IFERROR(R466/C466,"")</f>
        <v/>
      </c>
      <c r="AM466" s="2">
        <f>IFERROR(S466/D466,"")</f>
        <v/>
      </c>
      <c r="AN466" s="2">
        <f>IFERROR(T466/E466,"")</f>
        <v/>
      </c>
      <c r="AO466" s="2">
        <f>IFERROR(U466/F466,"")</f>
        <v/>
      </c>
    </row>
    <row r="467">
      <c r="B467">
        <f>IF($A467="","",IFERROR(INDEX('[AQ_2020.xlsx]原始数据'!$B:$B,MATCH($A467,'[AQ_2020.xlsx]原始数据'!$A:$A,0)),""))</f>
        <v/>
      </c>
      <c r="C467">
        <f>IF($A467="","",IFERROR(INDEX('[AQ_2021.xlsx]原始数据'!$B:$B,MATCH($A467,'[AQ_2021.xlsx]原始数据'!$A:$A,0)),""))</f>
        <v/>
      </c>
      <c r="D467">
        <f>IF($A467="","",IFERROR(INDEX('[AQ_2022.xlsx]原始数据'!$B:$B,MATCH($A467,'[AQ_2022.xlsx]原始数据'!$A:$A,0)),""))</f>
        <v/>
      </c>
      <c r="E467">
        <f>IF($A467="","",IFERROR(INDEX('[AQ_2023.xlsx]原始数据'!$B:$B,MATCH($A467,'[AQ_2023.xlsx]原始数据'!$A:$A,0)),""))</f>
        <v/>
      </c>
      <c r="F467">
        <f>IF($A467="","",IFERROR(INDEX('[AQ_2024.xlsx]原始数据'!$B:$B,MATCH($A467,'[AQ_2024.xlsx]原始数据'!$A:$A,0)),""))</f>
        <v/>
      </c>
      <c r="G467">
        <f>IF($A467="","",IFERROR(INDEX('[AQ_2020.xlsx]原始数据'!$C:$C,MATCH($A467,'[AQ_2020.xlsx]原始数据'!$A:$A,0)),""))</f>
        <v/>
      </c>
      <c r="H467">
        <f>IF($A467="","",IFERROR(INDEX('[AQ_2021.xlsx]原始数据'!$C:$C,MATCH($A467,'[AQ_2021.xlsx]原始数据'!$A:$A,0)),""))</f>
        <v/>
      </c>
      <c r="I467">
        <f>IF($A467="","",IFERROR(INDEX('[AQ_2022.xlsx]原始数据'!$C:$C,MATCH($A467,'[AQ_2022.xlsx]原始数据'!$A:$A,0)),""))</f>
        <v/>
      </c>
      <c r="J467">
        <f>IF($A467="","",IFERROR(INDEX('[AQ_2023.xlsx]原始数据'!$C:$C,MATCH($A467,'[AQ_2023.xlsx]原始数据'!$A:$A,0)),""))</f>
        <v/>
      </c>
      <c r="K467">
        <f>IF($A467="","",IFERROR(INDEX('[AQ_2024.xlsx]原始数据'!$C:$C,MATCH($A467,'[AQ_2024.xlsx]原始数据'!$A:$A,0)),""))</f>
        <v/>
      </c>
      <c r="L467">
        <f>IF($A467="","",IFERROR(INDEX('[AQ_2020.xlsx]原始数据'!$D:$D,MATCH($A467,'[AQ_2020.xlsx]原始数据'!$A:$A,0)),""))</f>
        <v/>
      </c>
      <c r="M467">
        <f>IF($A467="","",IFERROR(INDEX('[AQ_2021.xlsx]原始数据'!$D:$D,MATCH($A467,'[AQ_2021.xlsx]原始数据'!$A:$A,0)),""))</f>
        <v/>
      </c>
      <c r="N467">
        <f>IF($A467="","",IFERROR(INDEX('[AQ_2022.xlsx]原始数据'!$D:$D,MATCH($A467,'[AQ_2022.xlsx]原始数据'!$A:$A,0)),""))</f>
        <v/>
      </c>
      <c r="O467">
        <f>IF($A467="","",IFERROR(INDEX('[AQ_2023.xlsx]原始数据'!$D:$D,MATCH($A467,'[AQ_2023.xlsx]原始数据'!$A:$A,0)),""))</f>
        <v/>
      </c>
      <c r="P467">
        <f>IF($A467="","",IFERROR(INDEX('[AQ_2024.xlsx]原始数据'!$D:$D,MATCH($A467,'[AQ_2024.xlsx]原始数据'!$A:$A,0)),""))</f>
        <v/>
      </c>
      <c r="Q467">
        <f>IF($A467="","",IFERROR(INDEX('[AQ_2020.xlsx]原始数据'!$E:$E,MATCH($A467,'[AQ_2020.xlsx]原始数据'!$A:$A,0)),""))</f>
        <v/>
      </c>
      <c r="R467">
        <f>IF($A467="","",IFERROR(INDEX('[AQ_2021.xlsx]原始数据'!$E:$E,MATCH($A467,'[AQ_2021.xlsx]原始数据'!$A:$A,0)),""))</f>
        <v/>
      </c>
      <c r="S467">
        <f>IF($A467="","",IFERROR(INDEX('[AQ_2022.xlsx]原始数据'!$E:$E,MATCH($A467,'[AQ_2022.xlsx]原始数据'!$A:$A,0)),""))</f>
        <v/>
      </c>
      <c r="T467">
        <f>IF($A467="","",IFERROR(INDEX('[AQ_2023.xlsx]原始数据'!$E:$E,MATCH($A467,'[AQ_2023.xlsx]原始数据'!$A:$A,0)),""))</f>
        <v/>
      </c>
      <c r="U467">
        <f>IF($A467="","",IFERROR(INDEX('[AQ_2024.xlsx]原始数据'!$E:$E,MATCH($A467,'[AQ_2024.xlsx]原始数据'!$A:$A,0)),""))</f>
        <v/>
      </c>
      <c r="V467">
        <f>IF($A467="","",IFERROR(INDEX('[AQ_2020.xlsx]原始数据'!$F:$F,MATCH($A467,'[AQ_2020.xlsx]原始数据'!$A:$A,0)),""))</f>
        <v/>
      </c>
      <c r="W467">
        <f>IF($A467="","",IFERROR(INDEX('[AQ_2021.xlsx]原始数据'!$F:$F,MATCH($A467,'[AQ_2021.xlsx]原始数据'!$A:$A,0)),""))</f>
        <v/>
      </c>
      <c r="X467">
        <f>IF($A467="","",IFERROR(INDEX('[AQ_2022.xlsx]原始数据'!$F:$F,MATCH($A467,'[AQ_2022.xlsx]原始数据'!$A:$A,0)),""))</f>
        <v/>
      </c>
      <c r="Y467">
        <f>IF($A467="","",IFERROR(INDEX('[AQ_2023.xlsx]原始数据'!$F:$F,MATCH($A467,'[AQ_2023.xlsx]原始数据'!$A:$A,0)),""))</f>
        <v/>
      </c>
      <c r="Z467">
        <f>IF($A467="","",IFERROR(INDEX('[AQ_2024.xlsx]原始数据'!$F:$F,MATCH($A467,'[AQ_2024.xlsx]原始数据'!$A:$A,0)),""))</f>
        <v/>
      </c>
      <c r="AA467" s="2">
        <f>IFERROR(G467/B467,"")</f>
        <v/>
      </c>
      <c r="AB467" s="2">
        <f>IFERROR(H467/C467,"")</f>
        <v/>
      </c>
      <c r="AC467" s="2">
        <f>IFERROR(I467/D467,"")</f>
        <v/>
      </c>
      <c r="AD467" s="2">
        <f>IFERROR(J467/E467,"")</f>
        <v/>
      </c>
      <c r="AE467" s="2">
        <f>IFERROR(K467/F467,"")</f>
        <v/>
      </c>
      <c r="AF467" s="2">
        <f>IFERROR(L467/B467,"")</f>
        <v/>
      </c>
      <c r="AG467" s="2">
        <f>IFERROR(M467/C467,"")</f>
        <v/>
      </c>
      <c r="AH467" s="2">
        <f>IFERROR(N467/D467,"")</f>
        <v/>
      </c>
      <c r="AI467" s="2">
        <f>IFERROR(O467/E467,"")</f>
        <v/>
      </c>
      <c r="AJ467" s="2">
        <f>IFERROR(P467/F467,"")</f>
        <v/>
      </c>
      <c r="AK467" s="2">
        <f>IFERROR(Q467/B467,"")</f>
        <v/>
      </c>
      <c r="AL467" s="2">
        <f>IFERROR(R467/C467,"")</f>
        <v/>
      </c>
      <c r="AM467" s="2">
        <f>IFERROR(S467/D467,"")</f>
        <v/>
      </c>
      <c r="AN467" s="2">
        <f>IFERROR(T467/E467,"")</f>
        <v/>
      </c>
      <c r="AO467" s="2">
        <f>IFERROR(U467/F467,"")</f>
        <v/>
      </c>
    </row>
    <row r="468">
      <c r="B468">
        <f>IF($A468="","",IFERROR(INDEX('[AQ_2020.xlsx]原始数据'!$B:$B,MATCH($A468,'[AQ_2020.xlsx]原始数据'!$A:$A,0)),""))</f>
        <v/>
      </c>
      <c r="C468">
        <f>IF($A468="","",IFERROR(INDEX('[AQ_2021.xlsx]原始数据'!$B:$B,MATCH($A468,'[AQ_2021.xlsx]原始数据'!$A:$A,0)),""))</f>
        <v/>
      </c>
      <c r="D468">
        <f>IF($A468="","",IFERROR(INDEX('[AQ_2022.xlsx]原始数据'!$B:$B,MATCH($A468,'[AQ_2022.xlsx]原始数据'!$A:$A,0)),""))</f>
        <v/>
      </c>
      <c r="E468">
        <f>IF($A468="","",IFERROR(INDEX('[AQ_2023.xlsx]原始数据'!$B:$B,MATCH($A468,'[AQ_2023.xlsx]原始数据'!$A:$A,0)),""))</f>
        <v/>
      </c>
      <c r="F468">
        <f>IF($A468="","",IFERROR(INDEX('[AQ_2024.xlsx]原始数据'!$B:$B,MATCH($A468,'[AQ_2024.xlsx]原始数据'!$A:$A,0)),""))</f>
        <v/>
      </c>
      <c r="G468">
        <f>IF($A468="","",IFERROR(INDEX('[AQ_2020.xlsx]原始数据'!$C:$C,MATCH($A468,'[AQ_2020.xlsx]原始数据'!$A:$A,0)),""))</f>
        <v/>
      </c>
      <c r="H468">
        <f>IF($A468="","",IFERROR(INDEX('[AQ_2021.xlsx]原始数据'!$C:$C,MATCH($A468,'[AQ_2021.xlsx]原始数据'!$A:$A,0)),""))</f>
        <v/>
      </c>
      <c r="I468">
        <f>IF($A468="","",IFERROR(INDEX('[AQ_2022.xlsx]原始数据'!$C:$C,MATCH($A468,'[AQ_2022.xlsx]原始数据'!$A:$A,0)),""))</f>
        <v/>
      </c>
      <c r="J468">
        <f>IF($A468="","",IFERROR(INDEX('[AQ_2023.xlsx]原始数据'!$C:$C,MATCH($A468,'[AQ_2023.xlsx]原始数据'!$A:$A,0)),""))</f>
        <v/>
      </c>
      <c r="K468">
        <f>IF($A468="","",IFERROR(INDEX('[AQ_2024.xlsx]原始数据'!$C:$C,MATCH($A468,'[AQ_2024.xlsx]原始数据'!$A:$A,0)),""))</f>
        <v/>
      </c>
      <c r="L468">
        <f>IF($A468="","",IFERROR(INDEX('[AQ_2020.xlsx]原始数据'!$D:$D,MATCH($A468,'[AQ_2020.xlsx]原始数据'!$A:$A,0)),""))</f>
        <v/>
      </c>
      <c r="M468">
        <f>IF($A468="","",IFERROR(INDEX('[AQ_2021.xlsx]原始数据'!$D:$D,MATCH($A468,'[AQ_2021.xlsx]原始数据'!$A:$A,0)),""))</f>
        <v/>
      </c>
      <c r="N468">
        <f>IF($A468="","",IFERROR(INDEX('[AQ_2022.xlsx]原始数据'!$D:$D,MATCH($A468,'[AQ_2022.xlsx]原始数据'!$A:$A,0)),""))</f>
        <v/>
      </c>
      <c r="O468">
        <f>IF($A468="","",IFERROR(INDEX('[AQ_2023.xlsx]原始数据'!$D:$D,MATCH($A468,'[AQ_2023.xlsx]原始数据'!$A:$A,0)),""))</f>
        <v/>
      </c>
      <c r="P468">
        <f>IF($A468="","",IFERROR(INDEX('[AQ_2024.xlsx]原始数据'!$D:$D,MATCH($A468,'[AQ_2024.xlsx]原始数据'!$A:$A,0)),""))</f>
        <v/>
      </c>
      <c r="Q468">
        <f>IF($A468="","",IFERROR(INDEX('[AQ_2020.xlsx]原始数据'!$E:$E,MATCH($A468,'[AQ_2020.xlsx]原始数据'!$A:$A,0)),""))</f>
        <v/>
      </c>
      <c r="R468">
        <f>IF($A468="","",IFERROR(INDEX('[AQ_2021.xlsx]原始数据'!$E:$E,MATCH($A468,'[AQ_2021.xlsx]原始数据'!$A:$A,0)),""))</f>
        <v/>
      </c>
      <c r="S468">
        <f>IF($A468="","",IFERROR(INDEX('[AQ_2022.xlsx]原始数据'!$E:$E,MATCH($A468,'[AQ_2022.xlsx]原始数据'!$A:$A,0)),""))</f>
        <v/>
      </c>
      <c r="T468">
        <f>IF($A468="","",IFERROR(INDEX('[AQ_2023.xlsx]原始数据'!$E:$E,MATCH($A468,'[AQ_2023.xlsx]原始数据'!$A:$A,0)),""))</f>
        <v/>
      </c>
      <c r="U468">
        <f>IF($A468="","",IFERROR(INDEX('[AQ_2024.xlsx]原始数据'!$E:$E,MATCH($A468,'[AQ_2024.xlsx]原始数据'!$A:$A,0)),""))</f>
        <v/>
      </c>
      <c r="V468">
        <f>IF($A468="","",IFERROR(INDEX('[AQ_2020.xlsx]原始数据'!$F:$F,MATCH($A468,'[AQ_2020.xlsx]原始数据'!$A:$A,0)),""))</f>
        <v/>
      </c>
      <c r="W468">
        <f>IF($A468="","",IFERROR(INDEX('[AQ_2021.xlsx]原始数据'!$F:$F,MATCH($A468,'[AQ_2021.xlsx]原始数据'!$A:$A,0)),""))</f>
        <v/>
      </c>
      <c r="X468">
        <f>IF($A468="","",IFERROR(INDEX('[AQ_2022.xlsx]原始数据'!$F:$F,MATCH($A468,'[AQ_2022.xlsx]原始数据'!$A:$A,0)),""))</f>
        <v/>
      </c>
      <c r="Y468">
        <f>IF($A468="","",IFERROR(INDEX('[AQ_2023.xlsx]原始数据'!$F:$F,MATCH($A468,'[AQ_2023.xlsx]原始数据'!$A:$A,0)),""))</f>
        <v/>
      </c>
      <c r="Z468">
        <f>IF($A468="","",IFERROR(INDEX('[AQ_2024.xlsx]原始数据'!$F:$F,MATCH($A468,'[AQ_2024.xlsx]原始数据'!$A:$A,0)),""))</f>
        <v/>
      </c>
      <c r="AA468" s="2">
        <f>IFERROR(G468/B468,"")</f>
        <v/>
      </c>
      <c r="AB468" s="2">
        <f>IFERROR(H468/C468,"")</f>
        <v/>
      </c>
      <c r="AC468" s="2">
        <f>IFERROR(I468/D468,"")</f>
        <v/>
      </c>
      <c r="AD468" s="2">
        <f>IFERROR(J468/E468,"")</f>
        <v/>
      </c>
      <c r="AE468" s="2">
        <f>IFERROR(K468/F468,"")</f>
        <v/>
      </c>
      <c r="AF468" s="2">
        <f>IFERROR(L468/B468,"")</f>
        <v/>
      </c>
      <c r="AG468" s="2">
        <f>IFERROR(M468/C468,"")</f>
        <v/>
      </c>
      <c r="AH468" s="2">
        <f>IFERROR(N468/D468,"")</f>
        <v/>
      </c>
      <c r="AI468" s="2">
        <f>IFERROR(O468/E468,"")</f>
        <v/>
      </c>
      <c r="AJ468" s="2">
        <f>IFERROR(P468/F468,"")</f>
        <v/>
      </c>
      <c r="AK468" s="2">
        <f>IFERROR(Q468/B468,"")</f>
        <v/>
      </c>
      <c r="AL468" s="2">
        <f>IFERROR(R468/C468,"")</f>
        <v/>
      </c>
      <c r="AM468" s="2">
        <f>IFERROR(S468/D468,"")</f>
        <v/>
      </c>
      <c r="AN468" s="2">
        <f>IFERROR(T468/E468,"")</f>
        <v/>
      </c>
      <c r="AO468" s="2">
        <f>IFERROR(U468/F468,"")</f>
        <v/>
      </c>
    </row>
    <row r="469">
      <c r="B469">
        <f>IF($A469="","",IFERROR(INDEX('[AQ_2020.xlsx]原始数据'!$B:$B,MATCH($A469,'[AQ_2020.xlsx]原始数据'!$A:$A,0)),""))</f>
        <v/>
      </c>
      <c r="C469">
        <f>IF($A469="","",IFERROR(INDEX('[AQ_2021.xlsx]原始数据'!$B:$B,MATCH($A469,'[AQ_2021.xlsx]原始数据'!$A:$A,0)),""))</f>
        <v/>
      </c>
      <c r="D469">
        <f>IF($A469="","",IFERROR(INDEX('[AQ_2022.xlsx]原始数据'!$B:$B,MATCH($A469,'[AQ_2022.xlsx]原始数据'!$A:$A,0)),""))</f>
        <v/>
      </c>
      <c r="E469">
        <f>IF($A469="","",IFERROR(INDEX('[AQ_2023.xlsx]原始数据'!$B:$B,MATCH($A469,'[AQ_2023.xlsx]原始数据'!$A:$A,0)),""))</f>
        <v/>
      </c>
      <c r="F469">
        <f>IF($A469="","",IFERROR(INDEX('[AQ_2024.xlsx]原始数据'!$B:$B,MATCH($A469,'[AQ_2024.xlsx]原始数据'!$A:$A,0)),""))</f>
        <v/>
      </c>
      <c r="G469">
        <f>IF($A469="","",IFERROR(INDEX('[AQ_2020.xlsx]原始数据'!$C:$C,MATCH($A469,'[AQ_2020.xlsx]原始数据'!$A:$A,0)),""))</f>
        <v/>
      </c>
      <c r="H469">
        <f>IF($A469="","",IFERROR(INDEX('[AQ_2021.xlsx]原始数据'!$C:$C,MATCH($A469,'[AQ_2021.xlsx]原始数据'!$A:$A,0)),""))</f>
        <v/>
      </c>
      <c r="I469">
        <f>IF($A469="","",IFERROR(INDEX('[AQ_2022.xlsx]原始数据'!$C:$C,MATCH($A469,'[AQ_2022.xlsx]原始数据'!$A:$A,0)),""))</f>
        <v/>
      </c>
      <c r="J469">
        <f>IF($A469="","",IFERROR(INDEX('[AQ_2023.xlsx]原始数据'!$C:$C,MATCH($A469,'[AQ_2023.xlsx]原始数据'!$A:$A,0)),""))</f>
        <v/>
      </c>
      <c r="K469">
        <f>IF($A469="","",IFERROR(INDEX('[AQ_2024.xlsx]原始数据'!$C:$C,MATCH($A469,'[AQ_2024.xlsx]原始数据'!$A:$A,0)),""))</f>
        <v/>
      </c>
      <c r="L469">
        <f>IF($A469="","",IFERROR(INDEX('[AQ_2020.xlsx]原始数据'!$D:$D,MATCH($A469,'[AQ_2020.xlsx]原始数据'!$A:$A,0)),""))</f>
        <v/>
      </c>
      <c r="M469">
        <f>IF($A469="","",IFERROR(INDEX('[AQ_2021.xlsx]原始数据'!$D:$D,MATCH($A469,'[AQ_2021.xlsx]原始数据'!$A:$A,0)),""))</f>
        <v/>
      </c>
      <c r="N469">
        <f>IF($A469="","",IFERROR(INDEX('[AQ_2022.xlsx]原始数据'!$D:$D,MATCH($A469,'[AQ_2022.xlsx]原始数据'!$A:$A,0)),""))</f>
        <v/>
      </c>
      <c r="O469">
        <f>IF($A469="","",IFERROR(INDEX('[AQ_2023.xlsx]原始数据'!$D:$D,MATCH($A469,'[AQ_2023.xlsx]原始数据'!$A:$A,0)),""))</f>
        <v/>
      </c>
      <c r="P469">
        <f>IF($A469="","",IFERROR(INDEX('[AQ_2024.xlsx]原始数据'!$D:$D,MATCH($A469,'[AQ_2024.xlsx]原始数据'!$A:$A,0)),""))</f>
        <v/>
      </c>
      <c r="Q469">
        <f>IF($A469="","",IFERROR(INDEX('[AQ_2020.xlsx]原始数据'!$E:$E,MATCH($A469,'[AQ_2020.xlsx]原始数据'!$A:$A,0)),""))</f>
        <v/>
      </c>
      <c r="R469">
        <f>IF($A469="","",IFERROR(INDEX('[AQ_2021.xlsx]原始数据'!$E:$E,MATCH($A469,'[AQ_2021.xlsx]原始数据'!$A:$A,0)),""))</f>
        <v/>
      </c>
      <c r="S469">
        <f>IF($A469="","",IFERROR(INDEX('[AQ_2022.xlsx]原始数据'!$E:$E,MATCH($A469,'[AQ_2022.xlsx]原始数据'!$A:$A,0)),""))</f>
        <v/>
      </c>
      <c r="T469">
        <f>IF($A469="","",IFERROR(INDEX('[AQ_2023.xlsx]原始数据'!$E:$E,MATCH($A469,'[AQ_2023.xlsx]原始数据'!$A:$A,0)),""))</f>
        <v/>
      </c>
      <c r="U469">
        <f>IF($A469="","",IFERROR(INDEX('[AQ_2024.xlsx]原始数据'!$E:$E,MATCH($A469,'[AQ_2024.xlsx]原始数据'!$A:$A,0)),""))</f>
        <v/>
      </c>
      <c r="V469">
        <f>IF($A469="","",IFERROR(INDEX('[AQ_2020.xlsx]原始数据'!$F:$F,MATCH($A469,'[AQ_2020.xlsx]原始数据'!$A:$A,0)),""))</f>
        <v/>
      </c>
      <c r="W469">
        <f>IF($A469="","",IFERROR(INDEX('[AQ_2021.xlsx]原始数据'!$F:$F,MATCH($A469,'[AQ_2021.xlsx]原始数据'!$A:$A,0)),""))</f>
        <v/>
      </c>
      <c r="X469">
        <f>IF($A469="","",IFERROR(INDEX('[AQ_2022.xlsx]原始数据'!$F:$F,MATCH($A469,'[AQ_2022.xlsx]原始数据'!$A:$A,0)),""))</f>
        <v/>
      </c>
      <c r="Y469">
        <f>IF($A469="","",IFERROR(INDEX('[AQ_2023.xlsx]原始数据'!$F:$F,MATCH($A469,'[AQ_2023.xlsx]原始数据'!$A:$A,0)),""))</f>
        <v/>
      </c>
      <c r="Z469">
        <f>IF($A469="","",IFERROR(INDEX('[AQ_2024.xlsx]原始数据'!$F:$F,MATCH($A469,'[AQ_2024.xlsx]原始数据'!$A:$A,0)),""))</f>
        <v/>
      </c>
      <c r="AA469" s="2">
        <f>IFERROR(G469/B469,"")</f>
        <v/>
      </c>
      <c r="AB469" s="2">
        <f>IFERROR(H469/C469,"")</f>
        <v/>
      </c>
      <c r="AC469" s="2">
        <f>IFERROR(I469/D469,"")</f>
        <v/>
      </c>
      <c r="AD469" s="2">
        <f>IFERROR(J469/E469,"")</f>
        <v/>
      </c>
      <c r="AE469" s="2">
        <f>IFERROR(K469/F469,"")</f>
        <v/>
      </c>
      <c r="AF469" s="2">
        <f>IFERROR(L469/B469,"")</f>
        <v/>
      </c>
      <c r="AG469" s="2">
        <f>IFERROR(M469/C469,"")</f>
        <v/>
      </c>
      <c r="AH469" s="2">
        <f>IFERROR(N469/D469,"")</f>
        <v/>
      </c>
      <c r="AI469" s="2">
        <f>IFERROR(O469/E469,"")</f>
        <v/>
      </c>
      <c r="AJ469" s="2">
        <f>IFERROR(P469/F469,"")</f>
        <v/>
      </c>
      <c r="AK469" s="2">
        <f>IFERROR(Q469/B469,"")</f>
        <v/>
      </c>
      <c r="AL469" s="2">
        <f>IFERROR(R469/C469,"")</f>
        <v/>
      </c>
      <c r="AM469" s="2">
        <f>IFERROR(S469/D469,"")</f>
        <v/>
      </c>
      <c r="AN469" s="2">
        <f>IFERROR(T469/E469,"")</f>
        <v/>
      </c>
      <c r="AO469" s="2">
        <f>IFERROR(U469/F469,"")</f>
        <v/>
      </c>
    </row>
    <row r="470">
      <c r="B470">
        <f>IF($A470="","",IFERROR(INDEX('[AQ_2020.xlsx]原始数据'!$B:$B,MATCH($A470,'[AQ_2020.xlsx]原始数据'!$A:$A,0)),""))</f>
        <v/>
      </c>
      <c r="C470">
        <f>IF($A470="","",IFERROR(INDEX('[AQ_2021.xlsx]原始数据'!$B:$B,MATCH($A470,'[AQ_2021.xlsx]原始数据'!$A:$A,0)),""))</f>
        <v/>
      </c>
      <c r="D470">
        <f>IF($A470="","",IFERROR(INDEX('[AQ_2022.xlsx]原始数据'!$B:$B,MATCH($A470,'[AQ_2022.xlsx]原始数据'!$A:$A,0)),""))</f>
        <v/>
      </c>
      <c r="E470">
        <f>IF($A470="","",IFERROR(INDEX('[AQ_2023.xlsx]原始数据'!$B:$B,MATCH($A470,'[AQ_2023.xlsx]原始数据'!$A:$A,0)),""))</f>
        <v/>
      </c>
      <c r="F470">
        <f>IF($A470="","",IFERROR(INDEX('[AQ_2024.xlsx]原始数据'!$B:$B,MATCH($A470,'[AQ_2024.xlsx]原始数据'!$A:$A,0)),""))</f>
        <v/>
      </c>
      <c r="G470">
        <f>IF($A470="","",IFERROR(INDEX('[AQ_2020.xlsx]原始数据'!$C:$C,MATCH($A470,'[AQ_2020.xlsx]原始数据'!$A:$A,0)),""))</f>
        <v/>
      </c>
      <c r="H470">
        <f>IF($A470="","",IFERROR(INDEX('[AQ_2021.xlsx]原始数据'!$C:$C,MATCH($A470,'[AQ_2021.xlsx]原始数据'!$A:$A,0)),""))</f>
        <v/>
      </c>
      <c r="I470">
        <f>IF($A470="","",IFERROR(INDEX('[AQ_2022.xlsx]原始数据'!$C:$C,MATCH($A470,'[AQ_2022.xlsx]原始数据'!$A:$A,0)),""))</f>
        <v/>
      </c>
      <c r="J470">
        <f>IF($A470="","",IFERROR(INDEX('[AQ_2023.xlsx]原始数据'!$C:$C,MATCH($A470,'[AQ_2023.xlsx]原始数据'!$A:$A,0)),""))</f>
        <v/>
      </c>
      <c r="K470">
        <f>IF($A470="","",IFERROR(INDEX('[AQ_2024.xlsx]原始数据'!$C:$C,MATCH($A470,'[AQ_2024.xlsx]原始数据'!$A:$A,0)),""))</f>
        <v/>
      </c>
      <c r="L470">
        <f>IF($A470="","",IFERROR(INDEX('[AQ_2020.xlsx]原始数据'!$D:$D,MATCH($A470,'[AQ_2020.xlsx]原始数据'!$A:$A,0)),""))</f>
        <v/>
      </c>
      <c r="M470">
        <f>IF($A470="","",IFERROR(INDEX('[AQ_2021.xlsx]原始数据'!$D:$D,MATCH($A470,'[AQ_2021.xlsx]原始数据'!$A:$A,0)),""))</f>
        <v/>
      </c>
      <c r="N470">
        <f>IF($A470="","",IFERROR(INDEX('[AQ_2022.xlsx]原始数据'!$D:$D,MATCH($A470,'[AQ_2022.xlsx]原始数据'!$A:$A,0)),""))</f>
        <v/>
      </c>
      <c r="O470">
        <f>IF($A470="","",IFERROR(INDEX('[AQ_2023.xlsx]原始数据'!$D:$D,MATCH($A470,'[AQ_2023.xlsx]原始数据'!$A:$A,0)),""))</f>
        <v/>
      </c>
      <c r="P470">
        <f>IF($A470="","",IFERROR(INDEX('[AQ_2024.xlsx]原始数据'!$D:$D,MATCH($A470,'[AQ_2024.xlsx]原始数据'!$A:$A,0)),""))</f>
        <v/>
      </c>
      <c r="Q470">
        <f>IF($A470="","",IFERROR(INDEX('[AQ_2020.xlsx]原始数据'!$E:$E,MATCH($A470,'[AQ_2020.xlsx]原始数据'!$A:$A,0)),""))</f>
        <v/>
      </c>
      <c r="R470">
        <f>IF($A470="","",IFERROR(INDEX('[AQ_2021.xlsx]原始数据'!$E:$E,MATCH($A470,'[AQ_2021.xlsx]原始数据'!$A:$A,0)),""))</f>
        <v/>
      </c>
      <c r="S470">
        <f>IF($A470="","",IFERROR(INDEX('[AQ_2022.xlsx]原始数据'!$E:$E,MATCH($A470,'[AQ_2022.xlsx]原始数据'!$A:$A,0)),""))</f>
        <v/>
      </c>
      <c r="T470">
        <f>IF($A470="","",IFERROR(INDEX('[AQ_2023.xlsx]原始数据'!$E:$E,MATCH($A470,'[AQ_2023.xlsx]原始数据'!$A:$A,0)),""))</f>
        <v/>
      </c>
      <c r="U470">
        <f>IF($A470="","",IFERROR(INDEX('[AQ_2024.xlsx]原始数据'!$E:$E,MATCH($A470,'[AQ_2024.xlsx]原始数据'!$A:$A,0)),""))</f>
        <v/>
      </c>
      <c r="V470">
        <f>IF($A470="","",IFERROR(INDEX('[AQ_2020.xlsx]原始数据'!$F:$F,MATCH($A470,'[AQ_2020.xlsx]原始数据'!$A:$A,0)),""))</f>
        <v/>
      </c>
      <c r="W470">
        <f>IF($A470="","",IFERROR(INDEX('[AQ_2021.xlsx]原始数据'!$F:$F,MATCH($A470,'[AQ_2021.xlsx]原始数据'!$A:$A,0)),""))</f>
        <v/>
      </c>
      <c r="X470">
        <f>IF($A470="","",IFERROR(INDEX('[AQ_2022.xlsx]原始数据'!$F:$F,MATCH($A470,'[AQ_2022.xlsx]原始数据'!$A:$A,0)),""))</f>
        <v/>
      </c>
      <c r="Y470">
        <f>IF($A470="","",IFERROR(INDEX('[AQ_2023.xlsx]原始数据'!$F:$F,MATCH($A470,'[AQ_2023.xlsx]原始数据'!$A:$A,0)),""))</f>
        <v/>
      </c>
      <c r="Z470">
        <f>IF($A470="","",IFERROR(INDEX('[AQ_2024.xlsx]原始数据'!$F:$F,MATCH($A470,'[AQ_2024.xlsx]原始数据'!$A:$A,0)),""))</f>
        <v/>
      </c>
      <c r="AA470" s="2">
        <f>IFERROR(G470/B470,"")</f>
        <v/>
      </c>
      <c r="AB470" s="2">
        <f>IFERROR(H470/C470,"")</f>
        <v/>
      </c>
      <c r="AC470" s="2">
        <f>IFERROR(I470/D470,"")</f>
        <v/>
      </c>
      <c r="AD470" s="2">
        <f>IFERROR(J470/E470,"")</f>
        <v/>
      </c>
      <c r="AE470" s="2">
        <f>IFERROR(K470/F470,"")</f>
        <v/>
      </c>
      <c r="AF470" s="2">
        <f>IFERROR(L470/B470,"")</f>
        <v/>
      </c>
      <c r="AG470" s="2">
        <f>IFERROR(M470/C470,"")</f>
        <v/>
      </c>
      <c r="AH470" s="2">
        <f>IFERROR(N470/D470,"")</f>
        <v/>
      </c>
      <c r="AI470" s="2">
        <f>IFERROR(O470/E470,"")</f>
        <v/>
      </c>
      <c r="AJ470" s="2">
        <f>IFERROR(P470/F470,"")</f>
        <v/>
      </c>
      <c r="AK470" s="2">
        <f>IFERROR(Q470/B470,"")</f>
        <v/>
      </c>
      <c r="AL470" s="2">
        <f>IFERROR(R470/C470,"")</f>
        <v/>
      </c>
      <c r="AM470" s="2">
        <f>IFERROR(S470/D470,"")</f>
        <v/>
      </c>
      <c r="AN470" s="2">
        <f>IFERROR(T470/E470,"")</f>
        <v/>
      </c>
      <c r="AO470" s="2">
        <f>IFERROR(U470/F470,"")</f>
        <v/>
      </c>
    </row>
    <row r="471">
      <c r="B471">
        <f>IF($A471="","",IFERROR(INDEX('[AQ_2020.xlsx]原始数据'!$B:$B,MATCH($A471,'[AQ_2020.xlsx]原始数据'!$A:$A,0)),""))</f>
        <v/>
      </c>
      <c r="C471">
        <f>IF($A471="","",IFERROR(INDEX('[AQ_2021.xlsx]原始数据'!$B:$B,MATCH($A471,'[AQ_2021.xlsx]原始数据'!$A:$A,0)),""))</f>
        <v/>
      </c>
      <c r="D471">
        <f>IF($A471="","",IFERROR(INDEX('[AQ_2022.xlsx]原始数据'!$B:$B,MATCH($A471,'[AQ_2022.xlsx]原始数据'!$A:$A,0)),""))</f>
        <v/>
      </c>
      <c r="E471">
        <f>IF($A471="","",IFERROR(INDEX('[AQ_2023.xlsx]原始数据'!$B:$B,MATCH($A471,'[AQ_2023.xlsx]原始数据'!$A:$A,0)),""))</f>
        <v/>
      </c>
      <c r="F471">
        <f>IF($A471="","",IFERROR(INDEX('[AQ_2024.xlsx]原始数据'!$B:$B,MATCH($A471,'[AQ_2024.xlsx]原始数据'!$A:$A,0)),""))</f>
        <v/>
      </c>
      <c r="G471">
        <f>IF($A471="","",IFERROR(INDEX('[AQ_2020.xlsx]原始数据'!$C:$C,MATCH($A471,'[AQ_2020.xlsx]原始数据'!$A:$A,0)),""))</f>
        <v/>
      </c>
      <c r="H471">
        <f>IF($A471="","",IFERROR(INDEX('[AQ_2021.xlsx]原始数据'!$C:$C,MATCH($A471,'[AQ_2021.xlsx]原始数据'!$A:$A,0)),""))</f>
        <v/>
      </c>
      <c r="I471">
        <f>IF($A471="","",IFERROR(INDEX('[AQ_2022.xlsx]原始数据'!$C:$C,MATCH($A471,'[AQ_2022.xlsx]原始数据'!$A:$A,0)),""))</f>
        <v/>
      </c>
      <c r="J471">
        <f>IF($A471="","",IFERROR(INDEX('[AQ_2023.xlsx]原始数据'!$C:$C,MATCH($A471,'[AQ_2023.xlsx]原始数据'!$A:$A,0)),""))</f>
        <v/>
      </c>
      <c r="K471">
        <f>IF($A471="","",IFERROR(INDEX('[AQ_2024.xlsx]原始数据'!$C:$C,MATCH($A471,'[AQ_2024.xlsx]原始数据'!$A:$A,0)),""))</f>
        <v/>
      </c>
      <c r="L471">
        <f>IF($A471="","",IFERROR(INDEX('[AQ_2020.xlsx]原始数据'!$D:$D,MATCH($A471,'[AQ_2020.xlsx]原始数据'!$A:$A,0)),""))</f>
        <v/>
      </c>
      <c r="M471">
        <f>IF($A471="","",IFERROR(INDEX('[AQ_2021.xlsx]原始数据'!$D:$D,MATCH($A471,'[AQ_2021.xlsx]原始数据'!$A:$A,0)),""))</f>
        <v/>
      </c>
      <c r="N471">
        <f>IF($A471="","",IFERROR(INDEX('[AQ_2022.xlsx]原始数据'!$D:$D,MATCH($A471,'[AQ_2022.xlsx]原始数据'!$A:$A,0)),""))</f>
        <v/>
      </c>
      <c r="O471">
        <f>IF($A471="","",IFERROR(INDEX('[AQ_2023.xlsx]原始数据'!$D:$D,MATCH($A471,'[AQ_2023.xlsx]原始数据'!$A:$A,0)),""))</f>
        <v/>
      </c>
      <c r="P471">
        <f>IF($A471="","",IFERROR(INDEX('[AQ_2024.xlsx]原始数据'!$D:$D,MATCH($A471,'[AQ_2024.xlsx]原始数据'!$A:$A,0)),""))</f>
        <v/>
      </c>
      <c r="Q471">
        <f>IF($A471="","",IFERROR(INDEX('[AQ_2020.xlsx]原始数据'!$E:$E,MATCH($A471,'[AQ_2020.xlsx]原始数据'!$A:$A,0)),""))</f>
        <v/>
      </c>
      <c r="R471">
        <f>IF($A471="","",IFERROR(INDEX('[AQ_2021.xlsx]原始数据'!$E:$E,MATCH($A471,'[AQ_2021.xlsx]原始数据'!$A:$A,0)),""))</f>
        <v/>
      </c>
      <c r="S471">
        <f>IF($A471="","",IFERROR(INDEX('[AQ_2022.xlsx]原始数据'!$E:$E,MATCH($A471,'[AQ_2022.xlsx]原始数据'!$A:$A,0)),""))</f>
        <v/>
      </c>
      <c r="T471">
        <f>IF($A471="","",IFERROR(INDEX('[AQ_2023.xlsx]原始数据'!$E:$E,MATCH($A471,'[AQ_2023.xlsx]原始数据'!$A:$A,0)),""))</f>
        <v/>
      </c>
      <c r="U471">
        <f>IF($A471="","",IFERROR(INDEX('[AQ_2024.xlsx]原始数据'!$E:$E,MATCH($A471,'[AQ_2024.xlsx]原始数据'!$A:$A,0)),""))</f>
        <v/>
      </c>
      <c r="V471">
        <f>IF($A471="","",IFERROR(INDEX('[AQ_2020.xlsx]原始数据'!$F:$F,MATCH($A471,'[AQ_2020.xlsx]原始数据'!$A:$A,0)),""))</f>
        <v/>
      </c>
      <c r="W471">
        <f>IF($A471="","",IFERROR(INDEX('[AQ_2021.xlsx]原始数据'!$F:$F,MATCH($A471,'[AQ_2021.xlsx]原始数据'!$A:$A,0)),""))</f>
        <v/>
      </c>
      <c r="X471">
        <f>IF($A471="","",IFERROR(INDEX('[AQ_2022.xlsx]原始数据'!$F:$F,MATCH($A471,'[AQ_2022.xlsx]原始数据'!$A:$A,0)),""))</f>
        <v/>
      </c>
      <c r="Y471">
        <f>IF($A471="","",IFERROR(INDEX('[AQ_2023.xlsx]原始数据'!$F:$F,MATCH($A471,'[AQ_2023.xlsx]原始数据'!$A:$A,0)),""))</f>
        <v/>
      </c>
      <c r="Z471">
        <f>IF($A471="","",IFERROR(INDEX('[AQ_2024.xlsx]原始数据'!$F:$F,MATCH($A471,'[AQ_2024.xlsx]原始数据'!$A:$A,0)),""))</f>
        <v/>
      </c>
      <c r="AA471" s="2">
        <f>IFERROR(G471/B471,"")</f>
        <v/>
      </c>
      <c r="AB471" s="2">
        <f>IFERROR(H471/C471,"")</f>
        <v/>
      </c>
      <c r="AC471" s="2">
        <f>IFERROR(I471/D471,"")</f>
        <v/>
      </c>
      <c r="AD471" s="2">
        <f>IFERROR(J471/E471,"")</f>
        <v/>
      </c>
      <c r="AE471" s="2">
        <f>IFERROR(K471/F471,"")</f>
        <v/>
      </c>
      <c r="AF471" s="2">
        <f>IFERROR(L471/B471,"")</f>
        <v/>
      </c>
      <c r="AG471" s="2">
        <f>IFERROR(M471/C471,"")</f>
        <v/>
      </c>
      <c r="AH471" s="2">
        <f>IFERROR(N471/D471,"")</f>
        <v/>
      </c>
      <c r="AI471" s="2">
        <f>IFERROR(O471/E471,"")</f>
        <v/>
      </c>
      <c r="AJ471" s="2">
        <f>IFERROR(P471/F471,"")</f>
        <v/>
      </c>
      <c r="AK471" s="2">
        <f>IFERROR(Q471/B471,"")</f>
        <v/>
      </c>
      <c r="AL471" s="2">
        <f>IFERROR(R471/C471,"")</f>
        <v/>
      </c>
      <c r="AM471" s="2">
        <f>IFERROR(S471/D471,"")</f>
        <v/>
      </c>
      <c r="AN471" s="2">
        <f>IFERROR(T471/E471,"")</f>
        <v/>
      </c>
      <c r="AO471" s="2">
        <f>IFERROR(U471/F471,"")</f>
        <v/>
      </c>
    </row>
    <row r="472">
      <c r="B472">
        <f>IF($A472="","",IFERROR(INDEX('[AQ_2020.xlsx]原始数据'!$B:$B,MATCH($A472,'[AQ_2020.xlsx]原始数据'!$A:$A,0)),""))</f>
        <v/>
      </c>
      <c r="C472">
        <f>IF($A472="","",IFERROR(INDEX('[AQ_2021.xlsx]原始数据'!$B:$B,MATCH($A472,'[AQ_2021.xlsx]原始数据'!$A:$A,0)),""))</f>
        <v/>
      </c>
      <c r="D472">
        <f>IF($A472="","",IFERROR(INDEX('[AQ_2022.xlsx]原始数据'!$B:$B,MATCH($A472,'[AQ_2022.xlsx]原始数据'!$A:$A,0)),""))</f>
        <v/>
      </c>
      <c r="E472">
        <f>IF($A472="","",IFERROR(INDEX('[AQ_2023.xlsx]原始数据'!$B:$B,MATCH($A472,'[AQ_2023.xlsx]原始数据'!$A:$A,0)),""))</f>
        <v/>
      </c>
      <c r="F472">
        <f>IF($A472="","",IFERROR(INDEX('[AQ_2024.xlsx]原始数据'!$B:$B,MATCH($A472,'[AQ_2024.xlsx]原始数据'!$A:$A,0)),""))</f>
        <v/>
      </c>
      <c r="G472">
        <f>IF($A472="","",IFERROR(INDEX('[AQ_2020.xlsx]原始数据'!$C:$C,MATCH($A472,'[AQ_2020.xlsx]原始数据'!$A:$A,0)),""))</f>
        <v/>
      </c>
      <c r="H472">
        <f>IF($A472="","",IFERROR(INDEX('[AQ_2021.xlsx]原始数据'!$C:$C,MATCH($A472,'[AQ_2021.xlsx]原始数据'!$A:$A,0)),""))</f>
        <v/>
      </c>
      <c r="I472">
        <f>IF($A472="","",IFERROR(INDEX('[AQ_2022.xlsx]原始数据'!$C:$C,MATCH($A472,'[AQ_2022.xlsx]原始数据'!$A:$A,0)),""))</f>
        <v/>
      </c>
      <c r="J472">
        <f>IF($A472="","",IFERROR(INDEX('[AQ_2023.xlsx]原始数据'!$C:$C,MATCH($A472,'[AQ_2023.xlsx]原始数据'!$A:$A,0)),""))</f>
        <v/>
      </c>
      <c r="K472">
        <f>IF($A472="","",IFERROR(INDEX('[AQ_2024.xlsx]原始数据'!$C:$C,MATCH($A472,'[AQ_2024.xlsx]原始数据'!$A:$A,0)),""))</f>
        <v/>
      </c>
      <c r="L472">
        <f>IF($A472="","",IFERROR(INDEX('[AQ_2020.xlsx]原始数据'!$D:$D,MATCH($A472,'[AQ_2020.xlsx]原始数据'!$A:$A,0)),""))</f>
        <v/>
      </c>
      <c r="M472">
        <f>IF($A472="","",IFERROR(INDEX('[AQ_2021.xlsx]原始数据'!$D:$D,MATCH($A472,'[AQ_2021.xlsx]原始数据'!$A:$A,0)),""))</f>
        <v/>
      </c>
      <c r="N472">
        <f>IF($A472="","",IFERROR(INDEX('[AQ_2022.xlsx]原始数据'!$D:$D,MATCH($A472,'[AQ_2022.xlsx]原始数据'!$A:$A,0)),""))</f>
        <v/>
      </c>
      <c r="O472">
        <f>IF($A472="","",IFERROR(INDEX('[AQ_2023.xlsx]原始数据'!$D:$D,MATCH($A472,'[AQ_2023.xlsx]原始数据'!$A:$A,0)),""))</f>
        <v/>
      </c>
      <c r="P472">
        <f>IF($A472="","",IFERROR(INDEX('[AQ_2024.xlsx]原始数据'!$D:$D,MATCH($A472,'[AQ_2024.xlsx]原始数据'!$A:$A,0)),""))</f>
        <v/>
      </c>
      <c r="Q472">
        <f>IF($A472="","",IFERROR(INDEX('[AQ_2020.xlsx]原始数据'!$E:$E,MATCH($A472,'[AQ_2020.xlsx]原始数据'!$A:$A,0)),""))</f>
        <v/>
      </c>
      <c r="R472">
        <f>IF($A472="","",IFERROR(INDEX('[AQ_2021.xlsx]原始数据'!$E:$E,MATCH($A472,'[AQ_2021.xlsx]原始数据'!$A:$A,0)),""))</f>
        <v/>
      </c>
      <c r="S472">
        <f>IF($A472="","",IFERROR(INDEX('[AQ_2022.xlsx]原始数据'!$E:$E,MATCH($A472,'[AQ_2022.xlsx]原始数据'!$A:$A,0)),""))</f>
        <v/>
      </c>
      <c r="T472">
        <f>IF($A472="","",IFERROR(INDEX('[AQ_2023.xlsx]原始数据'!$E:$E,MATCH($A472,'[AQ_2023.xlsx]原始数据'!$A:$A,0)),""))</f>
        <v/>
      </c>
      <c r="U472">
        <f>IF($A472="","",IFERROR(INDEX('[AQ_2024.xlsx]原始数据'!$E:$E,MATCH($A472,'[AQ_2024.xlsx]原始数据'!$A:$A,0)),""))</f>
        <v/>
      </c>
      <c r="V472">
        <f>IF($A472="","",IFERROR(INDEX('[AQ_2020.xlsx]原始数据'!$F:$F,MATCH($A472,'[AQ_2020.xlsx]原始数据'!$A:$A,0)),""))</f>
        <v/>
      </c>
      <c r="W472">
        <f>IF($A472="","",IFERROR(INDEX('[AQ_2021.xlsx]原始数据'!$F:$F,MATCH($A472,'[AQ_2021.xlsx]原始数据'!$A:$A,0)),""))</f>
        <v/>
      </c>
      <c r="X472">
        <f>IF($A472="","",IFERROR(INDEX('[AQ_2022.xlsx]原始数据'!$F:$F,MATCH($A472,'[AQ_2022.xlsx]原始数据'!$A:$A,0)),""))</f>
        <v/>
      </c>
      <c r="Y472">
        <f>IF($A472="","",IFERROR(INDEX('[AQ_2023.xlsx]原始数据'!$F:$F,MATCH($A472,'[AQ_2023.xlsx]原始数据'!$A:$A,0)),""))</f>
        <v/>
      </c>
      <c r="Z472">
        <f>IF($A472="","",IFERROR(INDEX('[AQ_2024.xlsx]原始数据'!$F:$F,MATCH($A472,'[AQ_2024.xlsx]原始数据'!$A:$A,0)),""))</f>
        <v/>
      </c>
      <c r="AA472" s="2">
        <f>IFERROR(G472/B472,"")</f>
        <v/>
      </c>
      <c r="AB472" s="2">
        <f>IFERROR(H472/C472,"")</f>
        <v/>
      </c>
      <c r="AC472" s="2">
        <f>IFERROR(I472/D472,"")</f>
        <v/>
      </c>
      <c r="AD472" s="2">
        <f>IFERROR(J472/E472,"")</f>
        <v/>
      </c>
      <c r="AE472" s="2">
        <f>IFERROR(K472/F472,"")</f>
        <v/>
      </c>
      <c r="AF472" s="2">
        <f>IFERROR(L472/B472,"")</f>
        <v/>
      </c>
      <c r="AG472" s="2">
        <f>IFERROR(M472/C472,"")</f>
        <v/>
      </c>
      <c r="AH472" s="2">
        <f>IFERROR(N472/D472,"")</f>
        <v/>
      </c>
      <c r="AI472" s="2">
        <f>IFERROR(O472/E472,"")</f>
        <v/>
      </c>
      <c r="AJ472" s="2">
        <f>IFERROR(P472/F472,"")</f>
        <v/>
      </c>
      <c r="AK472" s="2">
        <f>IFERROR(Q472/B472,"")</f>
        <v/>
      </c>
      <c r="AL472" s="2">
        <f>IFERROR(R472/C472,"")</f>
        <v/>
      </c>
      <c r="AM472" s="2">
        <f>IFERROR(S472/D472,"")</f>
        <v/>
      </c>
      <c r="AN472" s="2">
        <f>IFERROR(T472/E472,"")</f>
        <v/>
      </c>
      <c r="AO472" s="2">
        <f>IFERROR(U472/F472,"")</f>
        <v/>
      </c>
    </row>
    <row r="473">
      <c r="B473">
        <f>IF($A473="","",IFERROR(INDEX('[AQ_2020.xlsx]原始数据'!$B:$B,MATCH($A473,'[AQ_2020.xlsx]原始数据'!$A:$A,0)),""))</f>
        <v/>
      </c>
      <c r="C473">
        <f>IF($A473="","",IFERROR(INDEX('[AQ_2021.xlsx]原始数据'!$B:$B,MATCH($A473,'[AQ_2021.xlsx]原始数据'!$A:$A,0)),""))</f>
        <v/>
      </c>
      <c r="D473">
        <f>IF($A473="","",IFERROR(INDEX('[AQ_2022.xlsx]原始数据'!$B:$B,MATCH($A473,'[AQ_2022.xlsx]原始数据'!$A:$A,0)),""))</f>
        <v/>
      </c>
      <c r="E473">
        <f>IF($A473="","",IFERROR(INDEX('[AQ_2023.xlsx]原始数据'!$B:$B,MATCH($A473,'[AQ_2023.xlsx]原始数据'!$A:$A,0)),""))</f>
        <v/>
      </c>
      <c r="F473">
        <f>IF($A473="","",IFERROR(INDEX('[AQ_2024.xlsx]原始数据'!$B:$B,MATCH($A473,'[AQ_2024.xlsx]原始数据'!$A:$A,0)),""))</f>
        <v/>
      </c>
      <c r="G473">
        <f>IF($A473="","",IFERROR(INDEX('[AQ_2020.xlsx]原始数据'!$C:$C,MATCH($A473,'[AQ_2020.xlsx]原始数据'!$A:$A,0)),""))</f>
        <v/>
      </c>
      <c r="H473">
        <f>IF($A473="","",IFERROR(INDEX('[AQ_2021.xlsx]原始数据'!$C:$C,MATCH($A473,'[AQ_2021.xlsx]原始数据'!$A:$A,0)),""))</f>
        <v/>
      </c>
      <c r="I473">
        <f>IF($A473="","",IFERROR(INDEX('[AQ_2022.xlsx]原始数据'!$C:$C,MATCH($A473,'[AQ_2022.xlsx]原始数据'!$A:$A,0)),""))</f>
        <v/>
      </c>
      <c r="J473">
        <f>IF($A473="","",IFERROR(INDEX('[AQ_2023.xlsx]原始数据'!$C:$C,MATCH($A473,'[AQ_2023.xlsx]原始数据'!$A:$A,0)),""))</f>
        <v/>
      </c>
      <c r="K473">
        <f>IF($A473="","",IFERROR(INDEX('[AQ_2024.xlsx]原始数据'!$C:$C,MATCH($A473,'[AQ_2024.xlsx]原始数据'!$A:$A,0)),""))</f>
        <v/>
      </c>
      <c r="L473">
        <f>IF($A473="","",IFERROR(INDEX('[AQ_2020.xlsx]原始数据'!$D:$D,MATCH($A473,'[AQ_2020.xlsx]原始数据'!$A:$A,0)),""))</f>
        <v/>
      </c>
      <c r="M473">
        <f>IF($A473="","",IFERROR(INDEX('[AQ_2021.xlsx]原始数据'!$D:$D,MATCH($A473,'[AQ_2021.xlsx]原始数据'!$A:$A,0)),""))</f>
        <v/>
      </c>
      <c r="N473">
        <f>IF($A473="","",IFERROR(INDEX('[AQ_2022.xlsx]原始数据'!$D:$D,MATCH($A473,'[AQ_2022.xlsx]原始数据'!$A:$A,0)),""))</f>
        <v/>
      </c>
      <c r="O473">
        <f>IF($A473="","",IFERROR(INDEX('[AQ_2023.xlsx]原始数据'!$D:$D,MATCH($A473,'[AQ_2023.xlsx]原始数据'!$A:$A,0)),""))</f>
        <v/>
      </c>
      <c r="P473">
        <f>IF($A473="","",IFERROR(INDEX('[AQ_2024.xlsx]原始数据'!$D:$D,MATCH($A473,'[AQ_2024.xlsx]原始数据'!$A:$A,0)),""))</f>
        <v/>
      </c>
      <c r="Q473">
        <f>IF($A473="","",IFERROR(INDEX('[AQ_2020.xlsx]原始数据'!$E:$E,MATCH($A473,'[AQ_2020.xlsx]原始数据'!$A:$A,0)),""))</f>
        <v/>
      </c>
      <c r="R473">
        <f>IF($A473="","",IFERROR(INDEX('[AQ_2021.xlsx]原始数据'!$E:$E,MATCH($A473,'[AQ_2021.xlsx]原始数据'!$A:$A,0)),""))</f>
        <v/>
      </c>
      <c r="S473">
        <f>IF($A473="","",IFERROR(INDEX('[AQ_2022.xlsx]原始数据'!$E:$E,MATCH($A473,'[AQ_2022.xlsx]原始数据'!$A:$A,0)),""))</f>
        <v/>
      </c>
      <c r="T473">
        <f>IF($A473="","",IFERROR(INDEX('[AQ_2023.xlsx]原始数据'!$E:$E,MATCH($A473,'[AQ_2023.xlsx]原始数据'!$A:$A,0)),""))</f>
        <v/>
      </c>
      <c r="U473">
        <f>IF($A473="","",IFERROR(INDEX('[AQ_2024.xlsx]原始数据'!$E:$E,MATCH($A473,'[AQ_2024.xlsx]原始数据'!$A:$A,0)),""))</f>
        <v/>
      </c>
      <c r="V473">
        <f>IF($A473="","",IFERROR(INDEX('[AQ_2020.xlsx]原始数据'!$F:$F,MATCH($A473,'[AQ_2020.xlsx]原始数据'!$A:$A,0)),""))</f>
        <v/>
      </c>
      <c r="W473">
        <f>IF($A473="","",IFERROR(INDEX('[AQ_2021.xlsx]原始数据'!$F:$F,MATCH($A473,'[AQ_2021.xlsx]原始数据'!$A:$A,0)),""))</f>
        <v/>
      </c>
      <c r="X473">
        <f>IF($A473="","",IFERROR(INDEX('[AQ_2022.xlsx]原始数据'!$F:$F,MATCH($A473,'[AQ_2022.xlsx]原始数据'!$A:$A,0)),""))</f>
        <v/>
      </c>
      <c r="Y473">
        <f>IF($A473="","",IFERROR(INDEX('[AQ_2023.xlsx]原始数据'!$F:$F,MATCH($A473,'[AQ_2023.xlsx]原始数据'!$A:$A,0)),""))</f>
        <v/>
      </c>
      <c r="Z473">
        <f>IF($A473="","",IFERROR(INDEX('[AQ_2024.xlsx]原始数据'!$F:$F,MATCH($A473,'[AQ_2024.xlsx]原始数据'!$A:$A,0)),""))</f>
        <v/>
      </c>
      <c r="AA473" s="2">
        <f>IFERROR(G473/B473,"")</f>
        <v/>
      </c>
      <c r="AB473" s="2">
        <f>IFERROR(H473/C473,"")</f>
        <v/>
      </c>
      <c r="AC473" s="2">
        <f>IFERROR(I473/D473,"")</f>
        <v/>
      </c>
      <c r="AD473" s="2">
        <f>IFERROR(J473/E473,"")</f>
        <v/>
      </c>
      <c r="AE473" s="2">
        <f>IFERROR(K473/F473,"")</f>
        <v/>
      </c>
      <c r="AF473" s="2">
        <f>IFERROR(L473/B473,"")</f>
        <v/>
      </c>
      <c r="AG473" s="2">
        <f>IFERROR(M473/C473,"")</f>
        <v/>
      </c>
      <c r="AH473" s="2">
        <f>IFERROR(N473/D473,"")</f>
        <v/>
      </c>
      <c r="AI473" s="2">
        <f>IFERROR(O473/E473,"")</f>
        <v/>
      </c>
      <c r="AJ473" s="2">
        <f>IFERROR(P473/F473,"")</f>
        <v/>
      </c>
      <c r="AK473" s="2">
        <f>IFERROR(Q473/B473,"")</f>
        <v/>
      </c>
      <c r="AL473" s="2">
        <f>IFERROR(R473/C473,"")</f>
        <v/>
      </c>
      <c r="AM473" s="2">
        <f>IFERROR(S473/D473,"")</f>
        <v/>
      </c>
      <c r="AN473" s="2">
        <f>IFERROR(T473/E473,"")</f>
        <v/>
      </c>
      <c r="AO473" s="2">
        <f>IFERROR(U473/F473,"")</f>
        <v/>
      </c>
    </row>
    <row r="474">
      <c r="B474">
        <f>IF($A474="","",IFERROR(INDEX('[AQ_2020.xlsx]原始数据'!$B:$B,MATCH($A474,'[AQ_2020.xlsx]原始数据'!$A:$A,0)),""))</f>
        <v/>
      </c>
      <c r="C474">
        <f>IF($A474="","",IFERROR(INDEX('[AQ_2021.xlsx]原始数据'!$B:$B,MATCH($A474,'[AQ_2021.xlsx]原始数据'!$A:$A,0)),""))</f>
        <v/>
      </c>
      <c r="D474">
        <f>IF($A474="","",IFERROR(INDEX('[AQ_2022.xlsx]原始数据'!$B:$B,MATCH($A474,'[AQ_2022.xlsx]原始数据'!$A:$A,0)),""))</f>
        <v/>
      </c>
      <c r="E474">
        <f>IF($A474="","",IFERROR(INDEX('[AQ_2023.xlsx]原始数据'!$B:$B,MATCH($A474,'[AQ_2023.xlsx]原始数据'!$A:$A,0)),""))</f>
        <v/>
      </c>
      <c r="F474">
        <f>IF($A474="","",IFERROR(INDEX('[AQ_2024.xlsx]原始数据'!$B:$B,MATCH($A474,'[AQ_2024.xlsx]原始数据'!$A:$A,0)),""))</f>
        <v/>
      </c>
      <c r="G474">
        <f>IF($A474="","",IFERROR(INDEX('[AQ_2020.xlsx]原始数据'!$C:$C,MATCH($A474,'[AQ_2020.xlsx]原始数据'!$A:$A,0)),""))</f>
        <v/>
      </c>
      <c r="H474">
        <f>IF($A474="","",IFERROR(INDEX('[AQ_2021.xlsx]原始数据'!$C:$C,MATCH($A474,'[AQ_2021.xlsx]原始数据'!$A:$A,0)),""))</f>
        <v/>
      </c>
      <c r="I474">
        <f>IF($A474="","",IFERROR(INDEX('[AQ_2022.xlsx]原始数据'!$C:$C,MATCH($A474,'[AQ_2022.xlsx]原始数据'!$A:$A,0)),""))</f>
        <v/>
      </c>
      <c r="J474">
        <f>IF($A474="","",IFERROR(INDEX('[AQ_2023.xlsx]原始数据'!$C:$C,MATCH($A474,'[AQ_2023.xlsx]原始数据'!$A:$A,0)),""))</f>
        <v/>
      </c>
      <c r="K474">
        <f>IF($A474="","",IFERROR(INDEX('[AQ_2024.xlsx]原始数据'!$C:$C,MATCH($A474,'[AQ_2024.xlsx]原始数据'!$A:$A,0)),""))</f>
        <v/>
      </c>
      <c r="L474">
        <f>IF($A474="","",IFERROR(INDEX('[AQ_2020.xlsx]原始数据'!$D:$D,MATCH($A474,'[AQ_2020.xlsx]原始数据'!$A:$A,0)),""))</f>
        <v/>
      </c>
      <c r="M474">
        <f>IF($A474="","",IFERROR(INDEX('[AQ_2021.xlsx]原始数据'!$D:$D,MATCH($A474,'[AQ_2021.xlsx]原始数据'!$A:$A,0)),""))</f>
        <v/>
      </c>
      <c r="N474">
        <f>IF($A474="","",IFERROR(INDEX('[AQ_2022.xlsx]原始数据'!$D:$D,MATCH($A474,'[AQ_2022.xlsx]原始数据'!$A:$A,0)),""))</f>
        <v/>
      </c>
      <c r="O474">
        <f>IF($A474="","",IFERROR(INDEX('[AQ_2023.xlsx]原始数据'!$D:$D,MATCH($A474,'[AQ_2023.xlsx]原始数据'!$A:$A,0)),""))</f>
        <v/>
      </c>
      <c r="P474">
        <f>IF($A474="","",IFERROR(INDEX('[AQ_2024.xlsx]原始数据'!$D:$D,MATCH($A474,'[AQ_2024.xlsx]原始数据'!$A:$A,0)),""))</f>
        <v/>
      </c>
      <c r="Q474">
        <f>IF($A474="","",IFERROR(INDEX('[AQ_2020.xlsx]原始数据'!$E:$E,MATCH($A474,'[AQ_2020.xlsx]原始数据'!$A:$A,0)),""))</f>
        <v/>
      </c>
      <c r="R474">
        <f>IF($A474="","",IFERROR(INDEX('[AQ_2021.xlsx]原始数据'!$E:$E,MATCH($A474,'[AQ_2021.xlsx]原始数据'!$A:$A,0)),""))</f>
        <v/>
      </c>
      <c r="S474">
        <f>IF($A474="","",IFERROR(INDEX('[AQ_2022.xlsx]原始数据'!$E:$E,MATCH($A474,'[AQ_2022.xlsx]原始数据'!$A:$A,0)),""))</f>
        <v/>
      </c>
      <c r="T474">
        <f>IF($A474="","",IFERROR(INDEX('[AQ_2023.xlsx]原始数据'!$E:$E,MATCH($A474,'[AQ_2023.xlsx]原始数据'!$A:$A,0)),""))</f>
        <v/>
      </c>
      <c r="U474">
        <f>IF($A474="","",IFERROR(INDEX('[AQ_2024.xlsx]原始数据'!$E:$E,MATCH($A474,'[AQ_2024.xlsx]原始数据'!$A:$A,0)),""))</f>
        <v/>
      </c>
      <c r="V474">
        <f>IF($A474="","",IFERROR(INDEX('[AQ_2020.xlsx]原始数据'!$F:$F,MATCH($A474,'[AQ_2020.xlsx]原始数据'!$A:$A,0)),""))</f>
        <v/>
      </c>
      <c r="W474">
        <f>IF($A474="","",IFERROR(INDEX('[AQ_2021.xlsx]原始数据'!$F:$F,MATCH($A474,'[AQ_2021.xlsx]原始数据'!$A:$A,0)),""))</f>
        <v/>
      </c>
      <c r="X474">
        <f>IF($A474="","",IFERROR(INDEX('[AQ_2022.xlsx]原始数据'!$F:$F,MATCH($A474,'[AQ_2022.xlsx]原始数据'!$A:$A,0)),""))</f>
        <v/>
      </c>
      <c r="Y474">
        <f>IF($A474="","",IFERROR(INDEX('[AQ_2023.xlsx]原始数据'!$F:$F,MATCH($A474,'[AQ_2023.xlsx]原始数据'!$A:$A,0)),""))</f>
        <v/>
      </c>
      <c r="Z474">
        <f>IF($A474="","",IFERROR(INDEX('[AQ_2024.xlsx]原始数据'!$F:$F,MATCH($A474,'[AQ_2024.xlsx]原始数据'!$A:$A,0)),""))</f>
        <v/>
      </c>
      <c r="AA474" s="2">
        <f>IFERROR(G474/B474,"")</f>
        <v/>
      </c>
      <c r="AB474" s="2">
        <f>IFERROR(H474/C474,"")</f>
        <v/>
      </c>
      <c r="AC474" s="2">
        <f>IFERROR(I474/D474,"")</f>
        <v/>
      </c>
      <c r="AD474" s="2">
        <f>IFERROR(J474/E474,"")</f>
        <v/>
      </c>
      <c r="AE474" s="2">
        <f>IFERROR(K474/F474,"")</f>
        <v/>
      </c>
      <c r="AF474" s="2">
        <f>IFERROR(L474/B474,"")</f>
        <v/>
      </c>
      <c r="AG474" s="2">
        <f>IFERROR(M474/C474,"")</f>
        <v/>
      </c>
      <c r="AH474" s="2">
        <f>IFERROR(N474/D474,"")</f>
        <v/>
      </c>
      <c r="AI474" s="2">
        <f>IFERROR(O474/E474,"")</f>
        <v/>
      </c>
      <c r="AJ474" s="2">
        <f>IFERROR(P474/F474,"")</f>
        <v/>
      </c>
      <c r="AK474" s="2">
        <f>IFERROR(Q474/B474,"")</f>
        <v/>
      </c>
      <c r="AL474" s="2">
        <f>IFERROR(R474/C474,"")</f>
        <v/>
      </c>
      <c r="AM474" s="2">
        <f>IFERROR(S474/D474,"")</f>
        <v/>
      </c>
      <c r="AN474" s="2">
        <f>IFERROR(T474/E474,"")</f>
        <v/>
      </c>
      <c r="AO474" s="2">
        <f>IFERROR(U474/F474,"")</f>
        <v/>
      </c>
    </row>
    <row r="475">
      <c r="B475">
        <f>IF($A475="","",IFERROR(INDEX('[AQ_2020.xlsx]原始数据'!$B:$B,MATCH($A475,'[AQ_2020.xlsx]原始数据'!$A:$A,0)),""))</f>
        <v/>
      </c>
      <c r="C475">
        <f>IF($A475="","",IFERROR(INDEX('[AQ_2021.xlsx]原始数据'!$B:$B,MATCH($A475,'[AQ_2021.xlsx]原始数据'!$A:$A,0)),""))</f>
        <v/>
      </c>
      <c r="D475">
        <f>IF($A475="","",IFERROR(INDEX('[AQ_2022.xlsx]原始数据'!$B:$B,MATCH($A475,'[AQ_2022.xlsx]原始数据'!$A:$A,0)),""))</f>
        <v/>
      </c>
      <c r="E475">
        <f>IF($A475="","",IFERROR(INDEX('[AQ_2023.xlsx]原始数据'!$B:$B,MATCH($A475,'[AQ_2023.xlsx]原始数据'!$A:$A,0)),""))</f>
        <v/>
      </c>
      <c r="F475">
        <f>IF($A475="","",IFERROR(INDEX('[AQ_2024.xlsx]原始数据'!$B:$B,MATCH($A475,'[AQ_2024.xlsx]原始数据'!$A:$A,0)),""))</f>
        <v/>
      </c>
      <c r="G475">
        <f>IF($A475="","",IFERROR(INDEX('[AQ_2020.xlsx]原始数据'!$C:$C,MATCH($A475,'[AQ_2020.xlsx]原始数据'!$A:$A,0)),""))</f>
        <v/>
      </c>
      <c r="H475">
        <f>IF($A475="","",IFERROR(INDEX('[AQ_2021.xlsx]原始数据'!$C:$C,MATCH($A475,'[AQ_2021.xlsx]原始数据'!$A:$A,0)),""))</f>
        <v/>
      </c>
      <c r="I475">
        <f>IF($A475="","",IFERROR(INDEX('[AQ_2022.xlsx]原始数据'!$C:$C,MATCH($A475,'[AQ_2022.xlsx]原始数据'!$A:$A,0)),""))</f>
        <v/>
      </c>
      <c r="J475">
        <f>IF($A475="","",IFERROR(INDEX('[AQ_2023.xlsx]原始数据'!$C:$C,MATCH($A475,'[AQ_2023.xlsx]原始数据'!$A:$A,0)),""))</f>
        <v/>
      </c>
      <c r="K475">
        <f>IF($A475="","",IFERROR(INDEX('[AQ_2024.xlsx]原始数据'!$C:$C,MATCH($A475,'[AQ_2024.xlsx]原始数据'!$A:$A,0)),""))</f>
        <v/>
      </c>
      <c r="L475">
        <f>IF($A475="","",IFERROR(INDEX('[AQ_2020.xlsx]原始数据'!$D:$D,MATCH($A475,'[AQ_2020.xlsx]原始数据'!$A:$A,0)),""))</f>
        <v/>
      </c>
      <c r="M475">
        <f>IF($A475="","",IFERROR(INDEX('[AQ_2021.xlsx]原始数据'!$D:$D,MATCH($A475,'[AQ_2021.xlsx]原始数据'!$A:$A,0)),""))</f>
        <v/>
      </c>
      <c r="N475">
        <f>IF($A475="","",IFERROR(INDEX('[AQ_2022.xlsx]原始数据'!$D:$D,MATCH($A475,'[AQ_2022.xlsx]原始数据'!$A:$A,0)),""))</f>
        <v/>
      </c>
      <c r="O475">
        <f>IF($A475="","",IFERROR(INDEX('[AQ_2023.xlsx]原始数据'!$D:$D,MATCH($A475,'[AQ_2023.xlsx]原始数据'!$A:$A,0)),""))</f>
        <v/>
      </c>
      <c r="P475">
        <f>IF($A475="","",IFERROR(INDEX('[AQ_2024.xlsx]原始数据'!$D:$D,MATCH($A475,'[AQ_2024.xlsx]原始数据'!$A:$A,0)),""))</f>
        <v/>
      </c>
      <c r="Q475">
        <f>IF($A475="","",IFERROR(INDEX('[AQ_2020.xlsx]原始数据'!$E:$E,MATCH($A475,'[AQ_2020.xlsx]原始数据'!$A:$A,0)),""))</f>
        <v/>
      </c>
      <c r="R475">
        <f>IF($A475="","",IFERROR(INDEX('[AQ_2021.xlsx]原始数据'!$E:$E,MATCH($A475,'[AQ_2021.xlsx]原始数据'!$A:$A,0)),""))</f>
        <v/>
      </c>
      <c r="S475">
        <f>IF($A475="","",IFERROR(INDEX('[AQ_2022.xlsx]原始数据'!$E:$E,MATCH($A475,'[AQ_2022.xlsx]原始数据'!$A:$A,0)),""))</f>
        <v/>
      </c>
      <c r="T475">
        <f>IF($A475="","",IFERROR(INDEX('[AQ_2023.xlsx]原始数据'!$E:$E,MATCH($A475,'[AQ_2023.xlsx]原始数据'!$A:$A,0)),""))</f>
        <v/>
      </c>
      <c r="U475">
        <f>IF($A475="","",IFERROR(INDEX('[AQ_2024.xlsx]原始数据'!$E:$E,MATCH($A475,'[AQ_2024.xlsx]原始数据'!$A:$A,0)),""))</f>
        <v/>
      </c>
      <c r="V475">
        <f>IF($A475="","",IFERROR(INDEX('[AQ_2020.xlsx]原始数据'!$F:$F,MATCH($A475,'[AQ_2020.xlsx]原始数据'!$A:$A,0)),""))</f>
        <v/>
      </c>
      <c r="W475">
        <f>IF($A475="","",IFERROR(INDEX('[AQ_2021.xlsx]原始数据'!$F:$F,MATCH($A475,'[AQ_2021.xlsx]原始数据'!$A:$A,0)),""))</f>
        <v/>
      </c>
      <c r="X475">
        <f>IF($A475="","",IFERROR(INDEX('[AQ_2022.xlsx]原始数据'!$F:$F,MATCH($A475,'[AQ_2022.xlsx]原始数据'!$A:$A,0)),""))</f>
        <v/>
      </c>
      <c r="Y475">
        <f>IF($A475="","",IFERROR(INDEX('[AQ_2023.xlsx]原始数据'!$F:$F,MATCH($A475,'[AQ_2023.xlsx]原始数据'!$A:$A,0)),""))</f>
        <v/>
      </c>
      <c r="Z475">
        <f>IF($A475="","",IFERROR(INDEX('[AQ_2024.xlsx]原始数据'!$F:$F,MATCH($A475,'[AQ_2024.xlsx]原始数据'!$A:$A,0)),""))</f>
        <v/>
      </c>
      <c r="AA475" s="2">
        <f>IFERROR(G475/B475,"")</f>
        <v/>
      </c>
      <c r="AB475" s="2">
        <f>IFERROR(H475/C475,"")</f>
        <v/>
      </c>
      <c r="AC475" s="2">
        <f>IFERROR(I475/D475,"")</f>
        <v/>
      </c>
      <c r="AD475" s="2">
        <f>IFERROR(J475/E475,"")</f>
        <v/>
      </c>
      <c r="AE475" s="2">
        <f>IFERROR(K475/F475,"")</f>
        <v/>
      </c>
      <c r="AF475" s="2">
        <f>IFERROR(L475/B475,"")</f>
        <v/>
      </c>
      <c r="AG475" s="2">
        <f>IFERROR(M475/C475,"")</f>
        <v/>
      </c>
      <c r="AH475" s="2">
        <f>IFERROR(N475/D475,"")</f>
        <v/>
      </c>
      <c r="AI475" s="2">
        <f>IFERROR(O475/E475,"")</f>
        <v/>
      </c>
      <c r="AJ475" s="2">
        <f>IFERROR(P475/F475,"")</f>
        <v/>
      </c>
      <c r="AK475" s="2">
        <f>IFERROR(Q475/B475,"")</f>
        <v/>
      </c>
      <c r="AL475" s="2">
        <f>IFERROR(R475/C475,"")</f>
        <v/>
      </c>
      <c r="AM475" s="2">
        <f>IFERROR(S475/D475,"")</f>
        <v/>
      </c>
      <c r="AN475" s="2">
        <f>IFERROR(T475/E475,"")</f>
        <v/>
      </c>
      <c r="AO475" s="2">
        <f>IFERROR(U475/F475,"")</f>
        <v/>
      </c>
    </row>
    <row r="476">
      <c r="B476">
        <f>IF($A476="","",IFERROR(INDEX('[AQ_2020.xlsx]原始数据'!$B:$B,MATCH($A476,'[AQ_2020.xlsx]原始数据'!$A:$A,0)),""))</f>
        <v/>
      </c>
      <c r="C476">
        <f>IF($A476="","",IFERROR(INDEX('[AQ_2021.xlsx]原始数据'!$B:$B,MATCH($A476,'[AQ_2021.xlsx]原始数据'!$A:$A,0)),""))</f>
        <v/>
      </c>
      <c r="D476">
        <f>IF($A476="","",IFERROR(INDEX('[AQ_2022.xlsx]原始数据'!$B:$B,MATCH($A476,'[AQ_2022.xlsx]原始数据'!$A:$A,0)),""))</f>
        <v/>
      </c>
      <c r="E476">
        <f>IF($A476="","",IFERROR(INDEX('[AQ_2023.xlsx]原始数据'!$B:$B,MATCH($A476,'[AQ_2023.xlsx]原始数据'!$A:$A,0)),""))</f>
        <v/>
      </c>
      <c r="F476">
        <f>IF($A476="","",IFERROR(INDEX('[AQ_2024.xlsx]原始数据'!$B:$B,MATCH($A476,'[AQ_2024.xlsx]原始数据'!$A:$A,0)),""))</f>
        <v/>
      </c>
      <c r="G476">
        <f>IF($A476="","",IFERROR(INDEX('[AQ_2020.xlsx]原始数据'!$C:$C,MATCH($A476,'[AQ_2020.xlsx]原始数据'!$A:$A,0)),""))</f>
        <v/>
      </c>
      <c r="H476">
        <f>IF($A476="","",IFERROR(INDEX('[AQ_2021.xlsx]原始数据'!$C:$C,MATCH($A476,'[AQ_2021.xlsx]原始数据'!$A:$A,0)),""))</f>
        <v/>
      </c>
      <c r="I476">
        <f>IF($A476="","",IFERROR(INDEX('[AQ_2022.xlsx]原始数据'!$C:$C,MATCH($A476,'[AQ_2022.xlsx]原始数据'!$A:$A,0)),""))</f>
        <v/>
      </c>
      <c r="J476">
        <f>IF($A476="","",IFERROR(INDEX('[AQ_2023.xlsx]原始数据'!$C:$C,MATCH($A476,'[AQ_2023.xlsx]原始数据'!$A:$A,0)),""))</f>
        <v/>
      </c>
      <c r="K476">
        <f>IF($A476="","",IFERROR(INDEX('[AQ_2024.xlsx]原始数据'!$C:$C,MATCH($A476,'[AQ_2024.xlsx]原始数据'!$A:$A,0)),""))</f>
        <v/>
      </c>
      <c r="L476">
        <f>IF($A476="","",IFERROR(INDEX('[AQ_2020.xlsx]原始数据'!$D:$D,MATCH($A476,'[AQ_2020.xlsx]原始数据'!$A:$A,0)),""))</f>
        <v/>
      </c>
      <c r="M476">
        <f>IF($A476="","",IFERROR(INDEX('[AQ_2021.xlsx]原始数据'!$D:$D,MATCH($A476,'[AQ_2021.xlsx]原始数据'!$A:$A,0)),""))</f>
        <v/>
      </c>
      <c r="N476">
        <f>IF($A476="","",IFERROR(INDEX('[AQ_2022.xlsx]原始数据'!$D:$D,MATCH($A476,'[AQ_2022.xlsx]原始数据'!$A:$A,0)),""))</f>
        <v/>
      </c>
      <c r="O476">
        <f>IF($A476="","",IFERROR(INDEX('[AQ_2023.xlsx]原始数据'!$D:$D,MATCH($A476,'[AQ_2023.xlsx]原始数据'!$A:$A,0)),""))</f>
        <v/>
      </c>
      <c r="P476">
        <f>IF($A476="","",IFERROR(INDEX('[AQ_2024.xlsx]原始数据'!$D:$D,MATCH($A476,'[AQ_2024.xlsx]原始数据'!$A:$A,0)),""))</f>
        <v/>
      </c>
      <c r="Q476">
        <f>IF($A476="","",IFERROR(INDEX('[AQ_2020.xlsx]原始数据'!$E:$E,MATCH($A476,'[AQ_2020.xlsx]原始数据'!$A:$A,0)),""))</f>
        <v/>
      </c>
      <c r="R476">
        <f>IF($A476="","",IFERROR(INDEX('[AQ_2021.xlsx]原始数据'!$E:$E,MATCH($A476,'[AQ_2021.xlsx]原始数据'!$A:$A,0)),""))</f>
        <v/>
      </c>
      <c r="S476">
        <f>IF($A476="","",IFERROR(INDEX('[AQ_2022.xlsx]原始数据'!$E:$E,MATCH($A476,'[AQ_2022.xlsx]原始数据'!$A:$A,0)),""))</f>
        <v/>
      </c>
      <c r="T476">
        <f>IF($A476="","",IFERROR(INDEX('[AQ_2023.xlsx]原始数据'!$E:$E,MATCH($A476,'[AQ_2023.xlsx]原始数据'!$A:$A,0)),""))</f>
        <v/>
      </c>
      <c r="U476">
        <f>IF($A476="","",IFERROR(INDEX('[AQ_2024.xlsx]原始数据'!$E:$E,MATCH($A476,'[AQ_2024.xlsx]原始数据'!$A:$A,0)),""))</f>
        <v/>
      </c>
      <c r="V476">
        <f>IF($A476="","",IFERROR(INDEX('[AQ_2020.xlsx]原始数据'!$F:$F,MATCH($A476,'[AQ_2020.xlsx]原始数据'!$A:$A,0)),""))</f>
        <v/>
      </c>
      <c r="W476">
        <f>IF($A476="","",IFERROR(INDEX('[AQ_2021.xlsx]原始数据'!$F:$F,MATCH($A476,'[AQ_2021.xlsx]原始数据'!$A:$A,0)),""))</f>
        <v/>
      </c>
      <c r="X476">
        <f>IF($A476="","",IFERROR(INDEX('[AQ_2022.xlsx]原始数据'!$F:$F,MATCH($A476,'[AQ_2022.xlsx]原始数据'!$A:$A,0)),""))</f>
        <v/>
      </c>
      <c r="Y476">
        <f>IF($A476="","",IFERROR(INDEX('[AQ_2023.xlsx]原始数据'!$F:$F,MATCH($A476,'[AQ_2023.xlsx]原始数据'!$A:$A,0)),""))</f>
        <v/>
      </c>
      <c r="Z476">
        <f>IF($A476="","",IFERROR(INDEX('[AQ_2024.xlsx]原始数据'!$F:$F,MATCH($A476,'[AQ_2024.xlsx]原始数据'!$A:$A,0)),""))</f>
        <v/>
      </c>
      <c r="AA476" s="2">
        <f>IFERROR(G476/B476,"")</f>
        <v/>
      </c>
      <c r="AB476" s="2">
        <f>IFERROR(H476/C476,"")</f>
        <v/>
      </c>
      <c r="AC476" s="2">
        <f>IFERROR(I476/D476,"")</f>
        <v/>
      </c>
      <c r="AD476" s="2">
        <f>IFERROR(J476/E476,"")</f>
        <v/>
      </c>
      <c r="AE476" s="2">
        <f>IFERROR(K476/F476,"")</f>
        <v/>
      </c>
      <c r="AF476" s="2">
        <f>IFERROR(L476/B476,"")</f>
        <v/>
      </c>
      <c r="AG476" s="2">
        <f>IFERROR(M476/C476,"")</f>
        <v/>
      </c>
      <c r="AH476" s="2">
        <f>IFERROR(N476/D476,"")</f>
        <v/>
      </c>
      <c r="AI476" s="2">
        <f>IFERROR(O476/E476,"")</f>
        <v/>
      </c>
      <c r="AJ476" s="2">
        <f>IFERROR(P476/F476,"")</f>
        <v/>
      </c>
      <c r="AK476" s="2">
        <f>IFERROR(Q476/B476,"")</f>
        <v/>
      </c>
      <c r="AL476" s="2">
        <f>IFERROR(R476/C476,"")</f>
        <v/>
      </c>
      <c r="AM476" s="2">
        <f>IFERROR(S476/D476,"")</f>
        <v/>
      </c>
      <c r="AN476" s="2">
        <f>IFERROR(T476/E476,"")</f>
        <v/>
      </c>
      <c r="AO476" s="2">
        <f>IFERROR(U476/F476,"")</f>
        <v/>
      </c>
    </row>
    <row r="477">
      <c r="B477">
        <f>IF($A477="","",IFERROR(INDEX('[AQ_2020.xlsx]原始数据'!$B:$B,MATCH($A477,'[AQ_2020.xlsx]原始数据'!$A:$A,0)),""))</f>
        <v/>
      </c>
      <c r="C477">
        <f>IF($A477="","",IFERROR(INDEX('[AQ_2021.xlsx]原始数据'!$B:$B,MATCH($A477,'[AQ_2021.xlsx]原始数据'!$A:$A,0)),""))</f>
        <v/>
      </c>
      <c r="D477">
        <f>IF($A477="","",IFERROR(INDEX('[AQ_2022.xlsx]原始数据'!$B:$B,MATCH($A477,'[AQ_2022.xlsx]原始数据'!$A:$A,0)),""))</f>
        <v/>
      </c>
      <c r="E477">
        <f>IF($A477="","",IFERROR(INDEX('[AQ_2023.xlsx]原始数据'!$B:$B,MATCH($A477,'[AQ_2023.xlsx]原始数据'!$A:$A,0)),""))</f>
        <v/>
      </c>
      <c r="F477">
        <f>IF($A477="","",IFERROR(INDEX('[AQ_2024.xlsx]原始数据'!$B:$B,MATCH($A477,'[AQ_2024.xlsx]原始数据'!$A:$A,0)),""))</f>
        <v/>
      </c>
      <c r="G477">
        <f>IF($A477="","",IFERROR(INDEX('[AQ_2020.xlsx]原始数据'!$C:$C,MATCH($A477,'[AQ_2020.xlsx]原始数据'!$A:$A,0)),""))</f>
        <v/>
      </c>
      <c r="H477">
        <f>IF($A477="","",IFERROR(INDEX('[AQ_2021.xlsx]原始数据'!$C:$C,MATCH($A477,'[AQ_2021.xlsx]原始数据'!$A:$A,0)),""))</f>
        <v/>
      </c>
      <c r="I477">
        <f>IF($A477="","",IFERROR(INDEX('[AQ_2022.xlsx]原始数据'!$C:$C,MATCH($A477,'[AQ_2022.xlsx]原始数据'!$A:$A,0)),""))</f>
        <v/>
      </c>
      <c r="J477">
        <f>IF($A477="","",IFERROR(INDEX('[AQ_2023.xlsx]原始数据'!$C:$C,MATCH($A477,'[AQ_2023.xlsx]原始数据'!$A:$A,0)),""))</f>
        <v/>
      </c>
      <c r="K477">
        <f>IF($A477="","",IFERROR(INDEX('[AQ_2024.xlsx]原始数据'!$C:$C,MATCH($A477,'[AQ_2024.xlsx]原始数据'!$A:$A,0)),""))</f>
        <v/>
      </c>
      <c r="L477">
        <f>IF($A477="","",IFERROR(INDEX('[AQ_2020.xlsx]原始数据'!$D:$D,MATCH($A477,'[AQ_2020.xlsx]原始数据'!$A:$A,0)),""))</f>
        <v/>
      </c>
      <c r="M477">
        <f>IF($A477="","",IFERROR(INDEX('[AQ_2021.xlsx]原始数据'!$D:$D,MATCH($A477,'[AQ_2021.xlsx]原始数据'!$A:$A,0)),""))</f>
        <v/>
      </c>
      <c r="N477">
        <f>IF($A477="","",IFERROR(INDEX('[AQ_2022.xlsx]原始数据'!$D:$D,MATCH($A477,'[AQ_2022.xlsx]原始数据'!$A:$A,0)),""))</f>
        <v/>
      </c>
      <c r="O477">
        <f>IF($A477="","",IFERROR(INDEX('[AQ_2023.xlsx]原始数据'!$D:$D,MATCH($A477,'[AQ_2023.xlsx]原始数据'!$A:$A,0)),""))</f>
        <v/>
      </c>
      <c r="P477">
        <f>IF($A477="","",IFERROR(INDEX('[AQ_2024.xlsx]原始数据'!$D:$D,MATCH($A477,'[AQ_2024.xlsx]原始数据'!$A:$A,0)),""))</f>
        <v/>
      </c>
      <c r="Q477">
        <f>IF($A477="","",IFERROR(INDEX('[AQ_2020.xlsx]原始数据'!$E:$E,MATCH($A477,'[AQ_2020.xlsx]原始数据'!$A:$A,0)),""))</f>
        <v/>
      </c>
      <c r="R477">
        <f>IF($A477="","",IFERROR(INDEX('[AQ_2021.xlsx]原始数据'!$E:$E,MATCH($A477,'[AQ_2021.xlsx]原始数据'!$A:$A,0)),""))</f>
        <v/>
      </c>
      <c r="S477">
        <f>IF($A477="","",IFERROR(INDEX('[AQ_2022.xlsx]原始数据'!$E:$E,MATCH($A477,'[AQ_2022.xlsx]原始数据'!$A:$A,0)),""))</f>
        <v/>
      </c>
      <c r="T477">
        <f>IF($A477="","",IFERROR(INDEX('[AQ_2023.xlsx]原始数据'!$E:$E,MATCH($A477,'[AQ_2023.xlsx]原始数据'!$A:$A,0)),""))</f>
        <v/>
      </c>
      <c r="U477">
        <f>IF($A477="","",IFERROR(INDEX('[AQ_2024.xlsx]原始数据'!$E:$E,MATCH($A477,'[AQ_2024.xlsx]原始数据'!$A:$A,0)),""))</f>
        <v/>
      </c>
      <c r="V477">
        <f>IF($A477="","",IFERROR(INDEX('[AQ_2020.xlsx]原始数据'!$F:$F,MATCH($A477,'[AQ_2020.xlsx]原始数据'!$A:$A,0)),""))</f>
        <v/>
      </c>
      <c r="W477">
        <f>IF($A477="","",IFERROR(INDEX('[AQ_2021.xlsx]原始数据'!$F:$F,MATCH($A477,'[AQ_2021.xlsx]原始数据'!$A:$A,0)),""))</f>
        <v/>
      </c>
      <c r="X477">
        <f>IF($A477="","",IFERROR(INDEX('[AQ_2022.xlsx]原始数据'!$F:$F,MATCH($A477,'[AQ_2022.xlsx]原始数据'!$A:$A,0)),""))</f>
        <v/>
      </c>
      <c r="Y477">
        <f>IF($A477="","",IFERROR(INDEX('[AQ_2023.xlsx]原始数据'!$F:$F,MATCH($A477,'[AQ_2023.xlsx]原始数据'!$A:$A,0)),""))</f>
        <v/>
      </c>
      <c r="Z477">
        <f>IF($A477="","",IFERROR(INDEX('[AQ_2024.xlsx]原始数据'!$F:$F,MATCH($A477,'[AQ_2024.xlsx]原始数据'!$A:$A,0)),""))</f>
        <v/>
      </c>
      <c r="AA477" s="2">
        <f>IFERROR(G477/B477,"")</f>
        <v/>
      </c>
      <c r="AB477" s="2">
        <f>IFERROR(H477/C477,"")</f>
        <v/>
      </c>
      <c r="AC477" s="2">
        <f>IFERROR(I477/D477,"")</f>
        <v/>
      </c>
      <c r="AD477" s="2">
        <f>IFERROR(J477/E477,"")</f>
        <v/>
      </c>
      <c r="AE477" s="2">
        <f>IFERROR(K477/F477,"")</f>
        <v/>
      </c>
      <c r="AF477" s="2">
        <f>IFERROR(L477/B477,"")</f>
        <v/>
      </c>
      <c r="AG477" s="2">
        <f>IFERROR(M477/C477,"")</f>
        <v/>
      </c>
      <c r="AH477" s="2">
        <f>IFERROR(N477/D477,"")</f>
        <v/>
      </c>
      <c r="AI477" s="2">
        <f>IFERROR(O477/E477,"")</f>
        <v/>
      </c>
      <c r="AJ477" s="2">
        <f>IFERROR(P477/F477,"")</f>
        <v/>
      </c>
      <c r="AK477" s="2">
        <f>IFERROR(Q477/B477,"")</f>
        <v/>
      </c>
      <c r="AL477" s="2">
        <f>IFERROR(R477/C477,"")</f>
        <v/>
      </c>
      <c r="AM477" s="2">
        <f>IFERROR(S477/D477,"")</f>
        <v/>
      </c>
      <c r="AN477" s="2">
        <f>IFERROR(T477/E477,"")</f>
        <v/>
      </c>
      <c r="AO477" s="2">
        <f>IFERROR(U477/F477,"")</f>
        <v/>
      </c>
    </row>
    <row r="478">
      <c r="B478">
        <f>IF($A478="","",IFERROR(INDEX('[AQ_2020.xlsx]原始数据'!$B:$B,MATCH($A478,'[AQ_2020.xlsx]原始数据'!$A:$A,0)),""))</f>
        <v/>
      </c>
      <c r="C478">
        <f>IF($A478="","",IFERROR(INDEX('[AQ_2021.xlsx]原始数据'!$B:$B,MATCH($A478,'[AQ_2021.xlsx]原始数据'!$A:$A,0)),""))</f>
        <v/>
      </c>
      <c r="D478">
        <f>IF($A478="","",IFERROR(INDEX('[AQ_2022.xlsx]原始数据'!$B:$B,MATCH($A478,'[AQ_2022.xlsx]原始数据'!$A:$A,0)),""))</f>
        <v/>
      </c>
      <c r="E478">
        <f>IF($A478="","",IFERROR(INDEX('[AQ_2023.xlsx]原始数据'!$B:$B,MATCH($A478,'[AQ_2023.xlsx]原始数据'!$A:$A,0)),""))</f>
        <v/>
      </c>
      <c r="F478">
        <f>IF($A478="","",IFERROR(INDEX('[AQ_2024.xlsx]原始数据'!$B:$B,MATCH($A478,'[AQ_2024.xlsx]原始数据'!$A:$A,0)),""))</f>
        <v/>
      </c>
      <c r="G478">
        <f>IF($A478="","",IFERROR(INDEX('[AQ_2020.xlsx]原始数据'!$C:$C,MATCH($A478,'[AQ_2020.xlsx]原始数据'!$A:$A,0)),""))</f>
        <v/>
      </c>
      <c r="H478">
        <f>IF($A478="","",IFERROR(INDEX('[AQ_2021.xlsx]原始数据'!$C:$C,MATCH($A478,'[AQ_2021.xlsx]原始数据'!$A:$A,0)),""))</f>
        <v/>
      </c>
      <c r="I478">
        <f>IF($A478="","",IFERROR(INDEX('[AQ_2022.xlsx]原始数据'!$C:$C,MATCH($A478,'[AQ_2022.xlsx]原始数据'!$A:$A,0)),""))</f>
        <v/>
      </c>
      <c r="J478">
        <f>IF($A478="","",IFERROR(INDEX('[AQ_2023.xlsx]原始数据'!$C:$C,MATCH($A478,'[AQ_2023.xlsx]原始数据'!$A:$A,0)),""))</f>
        <v/>
      </c>
      <c r="K478">
        <f>IF($A478="","",IFERROR(INDEX('[AQ_2024.xlsx]原始数据'!$C:$C,MATCH($A478,'[AQ_2024.xlsx]原始数据'!$A:$A,0)),""))</f>
        <v/>
      </c>
      <c r="L478">
        <f>IF($A478="","",IFERROR(INDEX('[AQ_2020.xlsx]原始数据'!$D:$D,MATCH($A478,'[AQ_2020.xlsx]原始数据'!$A:$A,0)),""))</f>
        <v/>
      </c>
      <c r="M478">
        <f>IF($A478="","",IFERROR(INDEX('[AQ_2021.xlsx]原始数据'!$D:$D,MATCH($A478,'[AQ_2021.xlsx]原始数据'!$A:$A,0)),""))</f>
        <v/>
      </c>
      <c r="N478">
        <f>IF($A478="","",IFERROR(INDEX('[AQ_2022.xlsx]原始数据'!$D:$D,MATCH($A478,'[AQ_2022.xlsx]原始数据'!$A:$A,0)),""))</f>
        <v/>
      </c>
      <c r="O478">
        <f>IF($A478="","",IFERROR(INDEX('[AQ_2023.xlsx]原始数据'!$D:$D,MATCH($A478,'[AQ_2023.xlsx]原始数据'!$A:$A,0)),""))</f>
        <v/>
      </c>
      <c r="P478">
        <f>IF($A478="","",IFERROR(INDEX('[AQ_2024.xlsx]原始数据'!$D:$D,MATCH($A478,'[AQ_2024.xlsx]原始数据'!$A:$A,0)),""))</f>
        <v/>
      </c>
      <c r="Q478">
        <f>IF($A478="","",IFERROR(INDEX('[AQ_2020.xlsx]原始数据'!$E:$E,MATCH($A478,'[AQ_2020.xlsx]原始数据'!$A:$A,0)),""))</f>
        <v/>
      </c>
      <c r="R478">
        <f>IF($A478="","",IFERROR(INDEX('[AQ_2021.xlsx]原始数据'!$E:$E,MATCH($A478,'[AQ_2021.xlsx]原始数据'!$A:$A,0)),""))</f>
        <v/>
      </c>
      <c r="S478">
        <f>IF($A478="","",IFERROR(INDEX('[AQ_2022.xlsx]原始数据'!$E:$E,MATCH($A478,'[AQ_2022.xlsx]原始数据'!$A:$A,0)),""))</f>
        <v/>
      </c>
      <c r="T478">
        <f>IF($A478="","",IFERROR(INDEX('[AQ_2023.xlsx]原始数据'!$E:$E,MATCH($A478,'[AQ_2023.xlsx]原始数据'!$A:$A,0)),""))</f>
        <v/>
      </c>
      <c r="U478">
        <f>IF($A478="","",IFERROR(INDEX('[AQ_2024.xlsx]原始数据'!$E:$E,MATCH($A478,'[AQ_2024.xlsx]原始数据'!$A:$A,0)),""))</f>
        <v/>
      </c>
      <c r="V478">
        <f>IF($A478="","",IFERROR(INDEX('[AQ_2020.xlsx]原始数据'!$F:$F,MATCH($A478,'[AQ_2020.xlsx]原始数据'!$A:$A,0)),""))</f>
        <v/>
      </c>
      <c r="W478">
        <f>IF($A478="","",IFERROR(INDEX('[AQ_2021.xlsx]原始数据'!$F:$F,MATCH($A478,'[AQ_2021.xlsx]原始数据'!$A:$A,0)),""))</f>
        <v/>
      </c>
      <c r="X478">
        <f>IF($A478="","",IFERROR(INDEX('[AQ_2022.xlsx]原始数据'!$F:$F,MATCH($A478,'[AQ_2022.xlsx]原始数据'!$A:$A,0)),""))</f>
        <v/>
      </c>
      <c r="Y478">
        <f>IF($A478="","",IFERROR(INDEX('[AQ_2023.xlsx]原始数据'!$F:$F,MATCH($A478,'[AQ_2023.xlsx]原始数据'!$A:$A,0)),""))</f>
        <v/>
      </c>
      <c r="Z478">
        <f>IF($A478="","",IFERROR(INDEX('[AQ_2024.xlsx]原始数据'!$F:$F,MATCH($A478,'[AQ_2024.xlsx]原始数据'!$A:$A,0)),""))</f>
        <v/>
      </c>
      <c r="AA478" s="2">
        <f>IFERROR(G478/B478,"")</f>
        <v/>
      </c>
      <c r="AB478" s="2">
        <f>IFERROR(H478/C478,"")</f>
        <v/>
      </c>
      <c r="AC478" s="2">
        <f>IFERROR(I478/D478,"")</f>
        <v/>
      </c>
      <c r="AD478" s="2">
        <f>IFERROR(J478/E478,"")</f>
        <v/>
      </c>
      <c r="AE478" s="2">
        <f>IFERROR(K478/F478,"")</f>
        <v/>
      </c>
      <c r="AF478" s="2">
        <f>IFERROR(L478/B478,"")</f>
        <v/>
      </c>
      <c r="AG478" s="2">
        <f>IFERROR(M478/C478,"")</f>
        <v/>
      </c>
      <c r="AH478" s="2">
        <f>IFERROR(N478/D478,"")</f>
        <v/>
      </c>
      <c r="AI478" s="2">
        <f>IFERROR(O478/E478,"")</f>
        <v/>
      </c>
      <c r="AJ478" s="2">
        <f>IFERROR(P478/F478,"")</f>
        <v/>
      </c>
      <c r="AK478" s="2">
        <f>IFERROR(Q478/B478,"")</f>
        <v/>
      </c>
      <c r="AL478" s="2">
        <f>IFERROR(R478/C478,"")</f>
        <v/>
      </c>
      <c r="AM478" s="2">
        <f>IFERROR(S478/D478,"")</f>
        <v/>
      </c>
      <c r="AN478" s="2">
        <f>IFERROR(T478/E478,"")</f>
        <v/>
      </c>
      <c r="AO478" s="2">
        <f>IFERROR(U478/F478,"")</f>
        <v/>
      </c>
    </row>
    <row r="479">
      <c r="B479">
        <f>IF($A479="","",IFERROR(INDEX('[AQ_2020.xlsx]原始数据'!$B:$B,MATCH($A479,'[AQ_2020.xlsx]原始数据'!$A:$A,0)),""))</f>
        <v/>
      </c>
      <c r="C479">
        <f>IF($A479="","",IFERROR(INDEX('[AQ_2021.xlsx]原始数据'!$B:$B,MATCH($A479,'[AQ_2021.xlsx]原始数据'!$A:$A,0)),""))</f>
        <v/>
      </c>
      <c r="D479">
        <f>IF($A479="","",IFERROR(INDEX('[AQ_2022.xlsx]原始数据'!$B:$B,MATCH($A479,'[AQ_2022.xlsx]原始数据'!$A:$A,0)),""))</f>
        <v/>
      </c>
      <c r="E479">
        <f>IF($A479="","",IFERROR(INDEX('[AQ_2023.xlsx]原始数据'!$B:$B,MATCH($A479,'[AQ_2023.xlsx]原始数据'!$A:$A,0)),""))</f>
        <v/>
      </c>
      <c r="F479">
        <f>IF($A479="","",IFERROR(INDEX('[AQ_2024.xlsx]原始数据'!$B:$B,MATCH($A479,'[AQ_2024.xlsx]原始数据'!$A:$A,0)),""))</f>
        <v/>
      </c>
      <c r="G479">
        <f>IF($A479="","",IFERROR(INDEX('[AQ_2020.xlsx]原始数据'!$C:$C,MATCH($A479,'[AQ_2020.xlsx]原始数据'!$A:$A,0)),""))</f>
        <v/>
      </c>
      <c r="H479">
        <f>IF($A479="","",IFERROR(INDEX('[AQ_2021.xlsx]原始数据'!$C:$C,MATCH($A479,'[AQ_2021.xlsx]原始数据'!$A:$A,0)),""))</f>
        <v/>
      </c>
      <c r="I479">
        <f>IF($A479="","",IFERROR(INDEX('[AQ_2022.xlsx]原始数据'!$C:$C,MATCH($A479,'[AQ_2022.xlsx]原始数据'!$A:$A,0)),""))</f>
        <v/>
      </c>
      <c r="J479">
        <f>IF($A479="","",IFERROR(INDEX('[AQ_2023.xlsx]原始数据'!$C:$C,MATCH($A479,'[AQ_2023.xlsx]原始数据'!$A:$A,0)),""))</f>
        <v/>
      </c>
      <c r="K479">
        <f>IF($A479="","",IFERROR(INDEX('[AQ_2024.xlsx]原始数据'!$C:$C,MATCH($A479,'[AQ_2024.xlsx]原始数据'!$A:$A,0)),""))</f>
        <v/>
      </c>
      <c r="L479">
        <f>IF($A479="","",IFERROR(INDEX('[AQ_2020.xlsx]原始数据'!$D:$D,MATCH($A479,'[AQ_2020.xlsx]原始数据'!$A:$A,0)),""))</f>
        <v/>
      </c>
      <c r="M479">
        <f>IF($A479="","",IFERROR(INDEX('[AQ_2021.xlsx]原始数据'!$D:$D,MATCH($A479,'[AQ_2021.xlsx]原始数据'!$A:$A,0)),""))</f>
        <v/>
      </c>
      <c r="N479">
        <f>IF($A479="","",IFERROR(INDEX('[AQ_2022.xlsx]原始数据'!$D:$D,MATCH($A479,'[AQ_2022.xlsx]原始数据'!$A:$A,0)),""))</f>
        <v/>
      </c>
      <c r="O479">
        <f>IF($A479="","",IFERROR(INDEX('[AQ_2023.xlsx]原始数据'!$D:$D,MATCH($A479,'[AQ_2023.xlsx]原始数据'!$A:$A,0)),""))</f>
        <v/>
      </c>
      <c r="P479">
        <f>IF($A479="","",IFERROR(INDEX('[AQ_2024.xlsx]原始数据'!$D:$D,MATCH($A479,'[AQ_2024.xlsx]原始数据'!$A:$A,0)),""))</f>
        <v/>
      </c>
      <c r="Q479">
        <f>IF($A479="","",IFERROR(INDEX('[AQ_2020.xlsx]原始数据'!$E:$E,MATCH($A479,'[AQ_2020.xlsx]原始数据'!$A:$A,0)),""))</f>
        <v/>
      </c>
      <c r="R479">
        <f>IF($A479="","",IFERROR(INDEX('[AQ_2021.xlsx]原始数据'!$E:$E,MATCH($A479,'[AQ_2021.xlsx]原始数据'!$A:$A,0)),""))</f>
        <v/>
      </c>
      <c r="S479">
        <f>IF($A479="","",IFERROR(INDEX('[AQ_2022.xlsx]原始数据'!$E:$E,MATCH($A479,'[AQ_2022.xlsx]原始数据'!$A:$A,0)),""))</f>
        <v/>
      </c>
      <c r="T479">
        <f>IF($A479="","",IFERROR(INDEX('[AQ_2023.xlsx]原始数据'!$E:$E,MATCH($A479,'[AQ_2023.xlsx]原始数据'!$A:$A,0)),""))</f>
        <v/>
      </c>
      <c r="U479">
        <f>IF($A479="","",IFERROR(INDEX('[AQ_2024.xlsx]原始数据'!$E:$E,MATCH($A479,'[AQ_2024.xlsx]原始数据'!$A:$A,0)),""))</f>
        <v/>
      </c>
      <c r="V479">
        <f>IF($A479="","",IFERROR(INDEX('[AQ_2020.xlsx]原始数据'!$F:$F,MATCH($A479,'[AQ_2020.xlsx]原始数据'!$A:$A,0)),""))</f>
        <v/>
      </c>
      <c r="W479">
        <f>IF($A479="","",IFERROR(INDEX('[AQ_2021.xlsx]原始数据'!$F:$F,MATCH($A479,'[AQ_2021.xlsx]原始数据'!$A:$A,0)),""))</f>
        <v/>
      </c>
      <c r="X479">
        <f>IF($A479="","",IFERROR(INDEX('[AQ_2022.xlsx]原始数据'!$F:$F,MATCH($A479,'[AQ_2022.xlsx]原始数据'!$A:$A,0)),""))</f>
        <v/>
      </c>
      <c r="Y479">
        <f>IF($A479="","",IFERROR(INDEX('[AQ_2023.xlsx]原始数据'!$F:$F,MATCH($A479,'[AQ_2023.xlsx]原始数据'!$A:$A,0)),""))</f>
        <v/>
      </c>
      <c r="Z479">
        <f>IF($A479="","",IFERROR(INDEX('[AQ_2024.xlsx]原始数据'!$F:$F,MATCH($A479,'[AQ_2024.xlsx]原始数据'!$A:$A,0)),""))</f>
        <v/>
      </c>
      <c r="AA479" s="2">
        <f>IFERROR(G479/B479,"")</f>
        <v/>
      </c>
      <c r="AB479" s="2">
        <f>IFERROR(H479/C479,"")</f>
        <v/>
      </c>
      <c r="AC479" s="2">
        <f>IFERROR(I479/D479,"")</f>
        <v/>
      </c>
      <c r="AD479" s="2">
        <f>IFERROR(J479/E479,"")</f>
        <v/>
      </c>
      <c r="AE479" s="2">
        <f>IFERROR(K479/F479,"")</f>
        <v/>
      </c>
      <c r="AF479" s="2">
        <f>IFERROR(L479/B479,"")</f>
        <v/>
      </c>
      <c r="AG479" s="2">
        <f>IFERROR(M479/C479,"")</f>
        <v/>
      </c>
      <c r="AH479" s="2">
        <f>IFERROR(N479/D479,"")</f>
        <v/>
      </c>
      <c r="AI479" s="2">
        <f>IFERROR(O479/E479,"")</f>
        <v/>
      </c>
      <c r="AJ479" s="2">
        <f>IFERROR(P479/F479,"")</f>
        <v/>
      </c>
      <c r="AK479" s="2">
        <f>IFERROR(Q479/B479,"")</f>
        <v/>
      </c>
      <c r="AL479" s="2">
        <f>IFERROR(R479/C479,"")</f>
        <v/>
      </c>
      <c r="AM479" s="2">
        <f>IFERROR(S479/D479,"")</f>
        <v/>
      </c>
      <c r="AN479" s="2">
        <f>IFERROR(T479/E479,"")</f>
        <v/>
      </c>
      <c r="AO479" s="2">
        <f>IFERROR(U479/F479,"")</f>
        <v/>
      </c>
    </row>
    <row r="480">
      <c r="B480">
        <f>IF($A480="","",IFERROR(INDEX('[AQ_2020.xlsx]原始数据'!$B:$B,MATCH($A480,'[AQ_2020.xlsx]原始数据'!$A:$A,0)),""))</f>
        <v/>
      </c>
      <c r="C480">
        <f>IF($A480="","",IFERROR(INDEX('[AQ_2021.xlsx]原始数据'!$B:$B,MATCH($A480,'[AQ_2021.xlsx]原始数据'!$A:$A,0)),""))</f>
        <v/>
      </c>
      <c r="D480">
        <f>IF($A480="","",IFERROR(INDEX('[AQ_2022.xlsx]原始数据'!$B:$B,MATCH($A480,'[AQ_2022.xlsx]原始数据'!$A:$A,0)),""))</f>
        <v/>
      </c>
      <c r="E480">
        <f>IF($A480="","",IFERROR(INDEX('[AQ_2023.xlsx]原始数据'!$B:$B,MATCH($A480,'[AQ_2023.xlsx]原始数据'!$A:$A,0)),""))</f>
        <v/>
      </c>
      <c r="F480">
        <f>IF($A480="","",IFERROR(INDEX('[AQ_2024.xlsx]原始数据'!$B:$B,MATCH($A480,'[AQ_2024.xlsx]原始数据'!$A:$A,0)),""))</f>
        <v/>
      </c>
      <c r="G480">
        <f>IF($A480="","",IFERROR(INDEX('[AQ_2020.xlsx]原始数据'!$C:$C,MATCH($A480,'[AQ_2020.xlsx]原始数据'!$A:$A,0)),""))</f>
        <v/>
      </c>
      <c r="H480">
        <f>IF($A480="","",IFERROR(INDEX('[AQ_2021.xlsx]原始数据'!$C:$C,MATCH($A480,'[AQ_2021.xlsx]原始数据'!$A:$A,0)),""))</f>
        <v/>
      </c>
      <c r="I480">
        <f>IF($A480="","",IFERROR(INDEX('[AQ_2022.xlsx]原始数据'!$C:$C,MATCH($A480,'[AQ_2022.xlsx]原始数据'!$A:$A,0)),""))</f>
        <v/>
      </c>
      <c r="J480">
        <f>IF($A480="","",IFERROR(INDEX('[AQ_2023.xlsx]原始数据'!$C:$C,MATCH($A480,'[AQ_2023.xlsx]原始数据'!$A:$A,0)),""))</f>
        <v/>
      </c>
      <c r="K480">
        <f>IF($A480="","",IFERROR(INDEX('[AQ_2024.xlsx]原始数据'!$C:$C,MATCH($A480,'[AQ_2024.xlsx]原始数据'!$A:$A,0)),""))</f>
        <v/>
      </c>
      <c r="L480">
        <f>IF($A480="","",IFERROR(INDEX('[AQ_2020.xlsx]原始数据'!$D:$D,MATCH($A480,'[AQ_2020.xlsx]原始数据'!$A:$A,0)),""))</f>
        <v/>
      </c>
      <c r="M480">
        <f>IF($A480="","",IFERROR(INDEX('[AQ_2021.xlsx]原始数据'!$D:$D,MATCH($A480,'[AQ_2021.xlsx]原始数据'!$A:$A,0)),""))</f>
        <v/>
      </c>
      <c r="N480">
        <f>IF($A480="","",IFERROR(INDEX('[AQ_2022.xlsx]原始数据'!$D:$D,MATCH($A480,'[AQ_2022.xlsx]原始数据'!$A:$A,0)),""))</f>
        <v/>
      </c>
      <c r="O480">
        <f>IF($A480="","",IFERROR(INDEX('[AQ_2023.xlsx]原始数据'!$D:$D,MATCH($A480,'[AQ_2023.xlsx]原始数据'!$A:$A,0)),""))</f>
        <v/>
      </c>
      <c r="P480">
        <f>IF($A480="","",IFERROR(INDEX('[AQ_2024.xlsx]原始数据'!$D:$D,MATCH($A480,'[AQ_2024.xlsx]原始数据'!$A:$A,0)),""))</f>
        <v/>
      </c>
      <c r="Q480">
        <f>IF($A480="","",IFERROR(INDEX('[AQ_2020.xlsx]原始数据'!$E:$E,MATCH($A480,'[AQ_2020.xlsx]原始数据'!$A:$A,0)),""))</f>
        <v/>
      </c>
      <c r="R480">
        <f>IF($A480="","",IFERROR(INDEX('[AQ_2021.xlsx]原始数据'!$E:$E,MATCH($A480,'[AQ_2021.xlsx]原始数据'!$A:$A,0)),""))</f>
        <v/>
      </c>
      <c r="S480">
        <f>IF($A480="","",IFERROR(INDEX('[AQ_2022.xlsx]原始数据'!$E:$E,MATCH($A480,'[AQ_2022.xlsx]原始数据'!$A:$A,0)),""))</f>
        <v/>
      </c>
      <c r="T480">
        <f>IF($A480="","",IFERROR(INDEX('[AQ_2023.xlsx]原始数据'!$E:$E,MATCH($A480,'[AQ_2023.xlsx]原始数据'!$A:$A,0)),""))</f>
        <v/>
      </c>
      <c r="U480">
        <f>IF($A480="","",IFERROR(INDEX('[AQ_2024.xlsx]原始数据'!$E:$E,MATCH($A480,'[AQ_2024.xlsx]原始数据'!$A:$A,0)),""))</f>
        <v/>
      </c>
      <c r="V480">
        <f>IF($A480="","",IFERROR(INDEX('[AQ_2020.xlsx]原始数据'!$F:$F,MATCH($A480,'[AQ_2020.xlsx]原始数据'!$A:$A,0)),""))</f>
        <v/>
      </c>
      <c r="W480">
        <f>IF($A480="","",IFERROR(INDEX('[AQ_2021.xlsx]原始数据'!$F:$F,MATCH($A480,'[AQ_2021.xlsx]原始数据'!$A:$A,0)),""))</f>
        <v/>
      </c>
      <c r="X480">
        <f>IF($A480="","",IFERROR(INDEX('[AQ_2022.xlsx]原始数据'!$F:$F,MATCH($A480,'[AQ_2022.xlsx]原始数据'!$A:$A,0)),""))</f>
        <v/>
      </c>
      <c r="Y480">
        <f>IF($A480="","",IFERROR(INDEX('[AQ_2023.xlsx]原始数据'!$F:$F,MATCH($A480,'[AQ_2023.xlsx]原始数据'!$A:$A,0)),""))</f>
        <v/>
      </c>
      <c r="Z480">
        <f>IF($A480="","",IFERROR(INDEX('[AQ_2024.xlsx]原始数据'!$F:$F,MATCH($A480,'[AQ_2024.xlsx]原始数据'!$A:$A,0)),""))</f>
        <v/>
      </c>
      <c r="AA480" s="2">
        <f>IFERROR(G480/B480,"")</f>
        <v/>
      </c>
      <c r="AB480" s="2">
        <f>IFERROR(H480/C480,"")</f>
        <v/>
      </c>
      <c r="AC480" s="2">
        <f>IFERROR(I480/D480,"")</f>
        <v/>
      </c>
      <c r="AD480" s="2">
        <f>IFERROR(J480/E480,"")</f>
        <v/>
      </c>
      <c r="AE480" s="2">
        <f>IFERROR(K480/F480,"")</f>
        <v/>
      </c>
      <c r="AF480" s="2">
        <f>IFERROR(L480/B480,"")</f>
        <v/>
      </c>
      <c r="AG480" s="2">
        <f>IFERROR(M480/C480,"")</f>
        <v/>
      </c>
      <c r="AH480" s="2">
        <f>IFERROR(N480/D480,"")</f>
        <v/>
      </c>
      <c r="AI480" s="2">
        <f>IFERROR(O480/E480,"")</f>
        <v/>
      </c>
      <c r="AJ480" s="2">
        <f>IFERROR(P480/F480,"")</f>
        <v/>
      </c>
      <c r="AK480" s="2">
        <f>IFERROR(Q480/B480,"")</f>
        <v/>
      </c>
      <c r="AL480" s="2">
        <f>IFERROR(R480/C480,"")</f>
        <v/>
      </c>
      <c r="AM480" s="2">
        <f>IFERROR(S480/D480,"")</f>
        <v/>
      </c>
      <c r="AN480" s="2">
        <f>IFERROR(T480/E480,"")</f>
        <v/>
      </c>
      <c r="AO480" s="2">
        <f>IFERROR(U480/F480,"")</f>
        <v/>
      </c>
    </row>
    <row r="481">
      <c r="B481">
        <f>IF($A481="","",IFERROR(INDEX('[AQ_2020.xlsx]原始数据'!$B:$B,MATCH($A481,'[AQ_2020.xlsx]原始数据'!$A:$A,0)),""))</f>
        <v/>
      </c>
      <c r="C481">
        <f>IF($A481="","",IFERROR(INDEX('[AQ_2021.xlsx]原始数据'!$B:$B,MATCH($A481,'[AQ_2021.xlsx]原始数据'!$A:$A,0)),""))</f>
        <v/>
      </c>
      <c r="D481">
        <f>IF($A481="","",IFERROR(INDEX('[AQ_2022.xlsx]原始数据'!$B:$B,MATCH($A481,'[AQ_2022.xlsx]原始数据'!$A:$A,0)),""))</f>
        <v/>
      </c>
      <c r="E481">
        <f>IF($A481="","",IFERROR(INDEX('[AQ_2023.xlsx]原始数据'!$B:$B,MATCH($A481,'[AQ_2023.xlsx]原始数据'!$A:$A,0)),""))</f>
        <v/>
      </c>
      <c r="F481">
        <f>IF($A481="","",IFERROR(INDEX('[AQ_2024.xlsx]原始数据'!$B:$B,MATCH($A481,'[AQ_2024.xlsx]原始数据'!$A:$A,0)),""))</f>
        <v/>
      </c>
      <c r="G481">
        <f>IF($A481="","",IFERROR(INDEX('[AQ_2020.xlsx]原始数据'!$C:$C,MATCH($A481,'[AQ_2020.xlsx]原始数据'!$A:$A,0)),""))</f>
        <v/>
      </c>
      <c r="H481">
        <f>IF($A481="","",IFERROR(INDEX('[AQ_2021.xlsx]原始数据'!$C:$C,MATCH($A481,'[AQ_2021.xlsx]原始数据'!$A:$A,0)),""))</f>
        <v/>
      </c>
      <c r="I481">
        <f>IF($A481="","",IFERROR(INDEX('[AQ_2022.xlsx]原始数据'!$C:$C,MATCH($A481,'[AQ_2022.xlsx]原始数据'!$A:$A,0)),""))</f>
        <v/>
      </c>
      <c r="J481">
        <f>IF($A481="","",IFERROR(INDEX('[AQ_2023.xlsx]原始数据'!$C:$C,MATCH($A481,'[AQ_2023.xlsx]原始数据'!$A:$A,0)),""))</f>
        <v/>
      </c>
      <c r="K481">
        <f>IF($A481="","",IFERROR(INDEX('[AQ_2024.xlsx]原始数据'!$C:$C,MATCH($A481,'[AQ_2024.xlsx]原始数据'!$A:$A,0)),""))</f>
        <v/>
      </c>
      <c r="L481">
        <f>IF($A481="","",IFERROR(INDEX('[AQ_2020.xlsx]原始数据'!$D:$D,MATCH($A481,'[AQ_2020.xlsx]原始数据'!$A:$A,0)),""))</f>
        <v/>
      </c>
      <c r="M481">
        <f>IF($A481="","",IFERROR(INDEX('[AQ_2021.xlsx]原始数据'!$D:$D,MATCH($A481,'[AQ_2021.xlsx]原始数据'!$A:$A,0)),""))</f>
        <v/>
      </c>
      <c r="N481">
        <f>IF($A481="","",IFERROR(INDEX('[AQ_2022.xlsx]原始数据'!$D:$D,MATCH($A481,'[AQ_2022.xlsx]原始数据'!$A:$A,0)),""))</f>
        <v/>
      </c>
      <c r="O481">
        <f>IF($A481="","",IFERROR(INDEX('[AQ_2023.xlsx]原始数据'!$D:$D,MATCH($A481,'[AQ_2023.xlsx]原始数据'!$A:$A,0)),""))</f>
        <v/>
      </c>
      <c r="P481">
        <f>IF($A481="","",IFERROR(INDEX('[AQ_2024.xlsx]原始数据'!$D:$D,MATCH($A481,'[AQ_2024.xlsx]原始数据'!$A:$A,0)),""))</f>
        <v/>
      </c>
      <c r="Q481">
        <f>IF($A481="","",IFERROR(INDEX('[AQ_2020.xlsx]原始数据'!$E:$E,MATCH($A481,'[AQ_2020.xlsx]原始数据'!$A:$A,0)),""))</f>
        <v/>
      </c>
      <c r="R481">
        <f>IF($A481="","",IFERROR(INDEX('[AQ_2021.xlsx]原始数据'!$E:$E,MATCH($A481,'[AQ_2021.xlsx]原始数据'!$A:$A,0)),""))</f>
        <v/>
      </c>
      <c r="S481">
        <f>IF($A481="","",IFERROR(INDEX('[AQ_2022.xlsx]原始数据'!$E:$E,MATCH($A481,'[AQ_2022.xlsx]原始数据'!$A:$A,0)),""))</f>
        <v/>
      </c>
      <c r="T481">
        <f>IF($A481="","",IFERROR(INDEX('[AQ_2023.xlsx]原始数据'!$E:$E,MATCH($A481,'[AQ_2023.xlsx]原始数据'!$A:$A,0)),""))</f>
        <v/>
      </c>
      <c r="U481">
        <f>IF($A481="","",IFERROR(INDEX('[AQ_2024.xlsx]原始数据'!$E:$E,MATCH($A481,'[AQ_2024.xlsx]原始数据'!$A:$A,0)),""))</f>
        <v/>
      </c>
      <c r="V481">
        <f>IF($A481="","",IFERROR(INDEX('[AQ_2020.xlsx]原始数据'!$F:$F,MATCH($A481,'[AQ_2020.xlsx]原始数据'!$A:$A,0)),""))</f>
        <v/>
      </c>
      <c r="W481">
        <f>IF($A481="","",IFERROR(INDEX('[AQ_2021.xlsx]原始数据'!$F:$F,MATCH($A481,'[AQ_2021.xlsx]原始数据'!$A:$A,0)),""))</f>
        <v/>
      </c>
      <c r="X481">
        <f>IF($A481="","",IFERROR(INDEX('[AQ_2022.xlsx]原始数据'!$F:$F,MATCH($A481,'[AQ_2022.xlsx]原始数据'!$A:$A,0)),""))</f>
        <v/>
      </c>
      <c r="Y481">
        <f>IF($A481="","",IFERROR(INDEX('[AQ_2023.xlsx]原始数据'!$F:$F,MATCH($A481,'[AQ_2023.xlsx]原始数据'!$A:$A,0)),""))</f>
        <v/>
      </c>
      <c r="Z481">
        <f>IF($A481="","",IFERROR(INDEX('[AQ_2024.xlsx]原始数据'!$F:$F,MATCH($A481,'[AQ_2024.xlsx]原始数据'!$A:$A,0)),""))</f>
        <v/>
      </c>
      <c r="AA481" s="2">
        <f>IFERROR(G481/B481,"")</f>
        <v/>
      </c>
      <c r="AB481" s="2">
        <f>IFERROR(H481/C481,"")</f>
        <v/>
      </c>
      <c r="AC481" s="2">
        <f>IFERROR(I481/D481,"")</f>
        <v/>
      </c>
      <c r="AD481" s="2">
        <f>IFERROR(J481/E481,"")</f>
        <v/>
      </c>
      <c r="AE481" s="2">
        <f>IFERROR(K481/F481,"")</f>
        <v/>
      </c>
      <c r="AF481" s="2">
        <f>IFERROR(L481/B481,"")</f>
        <v/>
      </c>
      <c r="AG481" s="2">
        <f>IFERROR(M481/C481,"")</f>
        <v/>
      </c>
      <c r="AH481" s="2">
        <f>IFERROR(N481/D481,"")</f>
        <v/>
      </c>
      <c r="AI481" s="2">
        <f>IFERROR(O481/E481,"")</f>
        <v/>
      </c>
      <c r="AJ481" s="2">
        <f>IFERROR(P481/F481,"")</f>
        <v/>
      </c>
      <c r="AK481" s="2">
        <f>IFERROR(Q481/B481,"")</f>
        <v/>
      </c>
      <c r="AL481" s="2">
        <f>IFERROR(R481/C481,"")</f>
        <v/>
      </c>
      <c r="AM481" s="2">
        <f>IFERROR(S481/D481,"")</f>
        <v/>
      </c>
      <c r="AN481" s="2">
        <f>IFERROR(T481/E481,"")</f>
        <v/>
      </c>
      <c r="AO481" s="2">
        <f>IFERROR(U481/F481,"")</f>
        <v/>
      </c>
    </row>
    <row r="482">
      <c r="B482">
        <f>IF($A482="","",IFERROR(INDEX('[AQ_2020.xlsx]原始数据'!$B:$B,MATCH($A482,'[AQ_2020.xlsx]原始数据'!$A:$A,0)),""))</f>
        <v/>
      </c>
      <c r="C482">
        <f>IF($A482="","",IFERROR(INDEX('[AQ_2021.xlsx]原始数据'!$B:$B,MATCH($A482,'[AQ_2021.xlsx]原始数据'!$A:$A,0)),""))</f>
        <v/>
      </c>
      <c r="D482">
        <f>IF($A482="","",IFERROR(INDEX('[AQ_2022.xlsx]原始数据'!$B:$B,MATCH($A482,'[AQ_2022.xlsx]原始数据'!$A:$A,0)),""))</f>
        <v/>
      </c>
      <c r="E482">
        <f>IF($A482="","",IFERROR(INDEX('[AQ_2023.xlsx]原始数据'!$B:$B,MATCH($A482,'[AQ_2023.xlsx]原始数据'!$A:$A,0)),""))</f>
        <v/>
      </c>
      <c r="F482">
        <f>IF($A482="","",IFERROR(INDEX('[AQ_2024.xlsx]原始数据'!$B:$B,MATCH($A482,'[AQ_2024.xlsx]原始数据'!$A:$A,0)),""))</f>
        <v/>
      </c>
      <c r="G482">
        <f>IF($A482="","",IFERROR(INDEX('[AQ_2020.xlsx]原始数据'!$C:$C,MATCH($A482,'[AQ_2020.xlsx]原始数据'!$A:$A,0)),""))</f>
        <v/>
      </c>
      <c r="H482">
        <f>IF($A482="","",IFERROR(INDEX('[AQ_2021.xlsx]原始数据'!$C:$C,MATCH($A482,'[AQ_2021.xlsx]原始数据'!$A:$A,0)),""))</f>
        <v/>
      </c>
      <c r="I482">
        <f>IF($A482="","",IFERROR(INDEX('[AQ_2022.xlsx]原始数据'!$C:$C,MATCH($A482,'[AQ_2022.xlsx]原始数据'!$A:$A,0)),""))</f>
        <v/>
      </c>
      <c r="J482">
        <f>IF($A482="","",IFERROR(INDEX('[AQ_2023.xlsx]原始数据'!$C:$C,MATCH($A482,'[AQ_2023.xlsx]原始数据'!$A:$A,0)),""))</f>
        <v/>
      </c>
      <c r="K482">
        <f>IF($A482="","",IFERROR(INDEX('[AQ_2024.xlsx]原始数据'!$C:$C,MATCH($A482,'[AQ_2024.xlsx]原始数据'!$A:$A,0)),""))</f>
        <v/>
      </c>
      <c r="L482">
        <f>IF($A482="","",IFERROR(INDEX('[AQ_2020.xlsx]原始数据'!$D:$D,MATCH($A482,'[AQ_2020.xlsx]原始数据'!$A:$A,0)),""))</f>
        <v/>
      </c>
      <c r="M482">
        <f>IF($A482="","",IFERROR(INDEX('[AQ_2021.xlsx]原始数据'!$D:$D,MATCH($A482,'[AQ_2021.xlsx]原始数据'!$A:$A,0)),""))</f>
        <v/>
      </c>
      <c r="N482">
        <f>IF($A482="","",IFERROR(INDEX('[AQ_2022.xlsx]原始数据'!$D:$D,MATCH($A482,'[AQ_2022.xlsx]原始数据'!$A:$A,0)),""))</f>
        <v/>
      </c>
      <c r="O482">
        <f>IF($A482="","",IFERROR(INDEX('[AQ_2023.xlsx]原始数据'!$D:$D,MATCH($A482,'[AQ_2023.xlsx]原始数据'!$A:$A,0)),""))</f>
        <v/>
      </c>
      <c r="P482">
        <f>IF($A482="","",IFERROR(INDEX('[AQ_2024.xlsx]原始数据'!$D:$D,MATCH($A482,'[AQ_2024.xlsx]原始数据'!$A:$A,0)),""))</f>
        <v/>
      </c>
      <c r="Q482">
        <f>IF($A482="","",IFERROR(INDEX('[AQ_2020.xlsx]原始数据'!$E:$E,MATCH($A482,'[AQ_2020.xlsx]原始数据'!$A:$A,0)),""))</f>
        <v/>
      </c>
      <c r="R482">
        <f>IF($A482="","",IFERROR(INDEX('[AQ_2021.xlsx]原始数据'!$E:$E,MATCH($A482,'[AQ_2021.xlsx]原始数据'!$A:$A,0)),""))</f>
        <v/>
      </c>
      <c r="S482">
        <f>IF($A482="","",IFERROR(INDEX('[AQ_2022.xlsx]原始数据'!$E:$E,MATCH($A482,'[AQ_2022.xlsx]原始数据'!$A:$A,0)),""))</f>
        <v/>
      </c>
      <c r="T482">
        <f>IF($A482="","",IFERROR(INDEX('[AQ_2023.xlsx]原始数据'!$E:$E,MATCH($A482,'[AQ_2023.xlsx]原始数据'!$A:$A,0)),""))</f>
        <v/>
      </c>
      <c r="U482">
        <f>IF($A482="","",IFERROR(INDEX('[AQ_2024.xlsx]原始数据'!$E:$E,MATCH($A482,'[AQ_2024.xlsx]原始数据'!$A:$A,0)),""))</f>
        <v/>
      </c>
      <c r="V482">
        <f>IF($A482="","",IFERROR(INDEX('[AQ_2020.xlsx]原始数据'!$F:$F,MATCH($A482,'[AQ_2020.xlsx]原始数据'!$A:$A,0)),""))</f>
        <v/>
      </c>
      <c r="W482">
        <f>IF($A482="","",IFERROR(INDEX('[AQ_2021.xlsx]原始数据'!$F:$F,MATCH($A482,'[AQ_2021.xlsx]原始数据'!$A:$A,0)),""))</f>
        <v/>
      </c>
      <c r="X482">
        <f>IF($A482="","",IFERROR(INDEX('[AQ_2022.xlsx]原始数据'!$F:$F,MATCH($A482,'[AQ_2022.xlsx]原始数据'!$A:$A,0)),""))</f>
        <v/>
      </c>
      <c r="Y482">
        <f>IF($A482="","",IFERROR(INDEX('[AQ_2023.xlsx]原始数据'!$F:$F,MATCH($A482,'[AQ_2023.xlsx]原始数据'!$A:$A,0)),""))</f>
        <v/>
      </c>
      <c r="Z482">
        <f>IF($A482="","",IFERROR(INDEX('[AQ_2024.xlsx]原始数据'!$F:$F,MATCH($A482,'[AQ_2024.xlsx]原始数据'!$A:$A,0)),""))</f>
        <v/>
      </c>
      <c r="AA482" s="2">
        <f>IFERROR(G482/B482,"")</f>
        <v/>
      </c>
      <c r="AB482" s="2">
        <f>IFERROR(H482/C482,"")</f>
        <v/>
      </c>
      <c r="AC482" s="2">
        <f>IFERROR(I482/D482,"")</f>
        <v/>
      </c>
      <c r="AD482" s="2">
        <f>IFERROR(J482/E482,"")</f>
        <v/>
      </c>
      <c r="AE482" s="2">
        <f>IFERROR(K482/F482,"")</f>
        <v/>
      </c>
      <c r="AF482" s="2">
        <f>IFERROR(L482/B482,"")</f>
        <v/>
      </c>
      <c r="AG482" s="2">
        <f>IFERROR(M482/C482,"")</f>
        <v/>
      </c>
      <c r="AH482" s="2">
        <f>IFERROR(N482/D482,"")</f>
        <v/>
      </c>
      <c r="AI482" s="2">
        <f>IFERROR(O482/E482,"")</f>
        <v/>
      </c>
      <c r="AJ482" s="2">
        <f>IFERROR(P482/F482,"")</f>
        <v/>
      </c>
      <c r="AK482" s="2">
        <f>IFERROR(Q482/B482,"")</f>
        <v/>
      </c>
      <c r="AL482" s="2">
        <f>IFERROR(R482/C482,"")</f>
        <v/>
      </c>
      <c r="AM482" s="2">
        <f>IFERROR(S482/D482,"")</f>
        <v/>
      </c>
      <c r="AN482" s="2">
        <f>IFERROR(T482/E482,"")</f>
        <v/>
      </c>
      <c r="AO482" s="2">
        <f>IFERROR(U482/F482,"")</f>
        <v/>
      </c>
    </row>
    <row r="483">
      <c r="B483">
        <f>IF($A483="","",IFERROR(INDEX('[AQ_2020.xlsx]原始数据'!$B:$B,MATCH($A483,'[AQ_2020.xlsx]原始数据'!$A:$A,0)),""))</f>
        <v/>
      </c>
      <c r="C483">
        <f>IF($A483="","",IFERROR(INDEX('[AQ_2021.xlsx]原始数据'!$B:$B,MATCH($A483,'[AQ_2021.xlsx]原始数据'!$A:$A,0)),""))</f>
        <v/>
      </c>
      <c r="D483">
        <f>IF($A483="","",IFERROR(INDEX('[AQ_2022.xlsx]原始数据'!$B:$B,MATCH($A483,'[AQ_2022.xlsx]原始数据'!$A:$A,0)),""))</f>
        <v/>
      </c>
      <c r="E483">
        <f>IF($A483="","",IFERROR(INDEX('[AQ_2023.xlsx]原始数据'!$B:$B,MATCH($A483,'[AQ_2023.xlsx]原始数据'!$A:$A,0)),""))</f>
        <v/>
      </c>
      <c r="F483">
        <f>IF($A483="","",IFERROR(INDEX('[AQ_2024.xlsx]原始数据'!$B:$B,MATCH($A483,'[AQ_2024.xlsx]原始数据'!$A:$A,0)),""))</f>
        <v/>
      </c>
      <c r="G483">
        <f>IF($A483="","",IFERROR(INDEX('[AQ_2020.xlsx]原始数据'!$C:$C,MATCH($A483,'[AQ_2020.xlsx]原始数据'!$A:$A,0)),""))</f>
        <v/>
      </c>
      <c r="H483">
        <f>IF($A483="","",IFERROR(INDEX('[AQ_2021.xlsx]原始数据'!$C:$C,MATCH($A483,'[AQ_2021.xlsx]原始数据'!$A:$A,0)),""))</f>
        <v/>
      </c>
      <c r="I483">
        <f>IF($A483="","",IFERROR(INDEX('[AQ_2022.xlsx]原始数据'!$C:$C,MATCH($A483,'[AQ_2022.xlsx]原始数据'!$A:$A,0)),""))</f>
        <v/>
      </c>
      <c r="J483">
        <f>IF($A483="","",IFERROR(INDEX('[AQ_2023.xlsx]原始数据'!$C:$C,MATCH($A483,'[AQ_2023.xlsx]原始数据'!$A:$A,0)),""))</f>
        <v/>
      </c>
      <c r="K483">
        <f>IF($A483="","",IFERROR(INDEX('[AQ_2024.xlsx]原始数据'!$C:$C,MATCH($A483,'[AQ_2024.xlsx]原始数据'!$A:$A,0)),""))</f>
        <v/>
      </c>
      <c r="L483">
        <f>IF($A483="","",IFERROR(INDEX('[AQ_2020.xlsx]原始数据'!$D:$D,MATCH($A483,'[AQ_2020.xlsx]原始数据'!$A:$A,0)),""))</f>
        <v/>
      </c>
      <c r="M483">
        <f>IF($A483="","",IFERROR(INDEX('[AQ_2021.xlsx]原始数据'!$D:$D,MATCH($A483,'[AQ_2021.xlsx]原始数据'!$A:$A,0)),""))</f>
        <v/>
      </c>
      <c r="N483">
        <f>IF($A483="","",IFERROR(INDEX('[AQ_2022.xlsx]原始数据'!$D:$D,MATCH($A483,'[AQ_2022.xlsx]原始数据'!$A:$A,0)),""))</f>
        <v/>
      </c>
      <c r="O483">
        <f>IF($A483="","",IFERROR(INDEX('[AQ_2023.xlsx]原始数据'!$D:$D,MATCH($A483,'[AQ_2023.xlsx]原始数据'!$A:$A,0)),""))</f>
        <v/>
      </c>
      <c r="P483">
        <f>IF($A483="","",IFERROR(INDEX('[AQ_2024.xlsx]原始数据'!$D:$D,MATCH($A483,'[AQ_2024.xlsx]原始数据'!$A:$A,0)),""))</f>
        <v/>
      </c>
      <c r="Q483">
        <f>IF($A483="","",IFERROR(INDEX('[AQ_2020.xlsx]原始数据'!$E:$E,MATCH($A483,'[AQ_2020.xlsx]原始数据'!$A:$A,0)),""))</f>
        <v/>
      </c>
      <c r="R483">
        <f>IF($A483="","",IFERROR(INDEX('[AQ_2021.xlsx]原始数据'!$E:$E,MATCH($A483,'[AQ_2021.xlsx]原始数据'!$A:$A,0)),""))</f>
        <v/>
      </c>
      <c r="S483">
        <f>IF($A483="","",IFERROR(INDEX('[AQ_2022.xlsx]原始数据'!$E:$E,MATCH($A483,'[AQ_2022.xlsx]原始数据'!$A:$A,0)),""))</f>
        <v/>
      </c>
      <c r="T483">
        <f>IF($A483="","",IFERROR(INDEX('[AQ_2023.xlsx]原始数据'!$E:$E,MATCH($A483,'[AQ_2023.xlsx]原始数据'!$A:$A,0)),""))</f>
        <v/>
      </c>
      <c r="U483">
        <f>IF($A483="","",IFERROR(INDEX('[AQ_2024.xlsx]原始数据'!$E:$E,MATCH($A483,'[AQ_2024.xlsx]原始数据'!$A:$A,0)),""))</f>
        <v/>
      </c>
      <c r="V483">
        <f>IF($A483="","",IFERROR(INDEX('[AQ_2020.xlsx]原始数据'!$F:$F,MATCH($A483,'[AQ_2020.xlsx]原始数据'!$A:$A,0)),""))</f>
        <v/>
      </c>
      <c r="W483">
        <f>IF($A483="","",IFERROR(INDEX('[AQ_2021.xlsx]原始数据'!$F:$F,MATCH($A483,'[AQ_2021.xlsx]原始数据'!$A:$A,0)),""))</f>
        <v/>
      </c>
      <c r="X483">
        <f>IF($A483="","",IFERROR(INDEX('[AQ_2022.xlsx]原始数据'!$F:$F,MATCH($A483,'[AQ_2022.xlsx]原始数据'!$A:$A,0)),""))</f>
        <v/>
      </c>
      <c r="Y483">
        <f>IF($A483="","",IFERROR(INDEX('[AQ_2023.xlsx]原始数据'!$F:$F,MATCH($A483,'[AQ_2023.xlsx]原始数据'!$A:$A,0)),""))</f>
        <v/>
      </c>
      <c r="Z483">
        <f>IF($A483="","",IFERROR(INDEX('[AQ_2024.xlsx]原始数据'!$F:$F,MATCH($A483,'[AQ_2024.xlsx]原始数据'!$A:$A,0)),""))</f>
        <v/>
      </c>
      <c r="AA483" s="2">
        <f>IFERROR(G483/B483,"")</f>
        <v/>
      </c>
      <c r="AB483" s="2">
        <f>IFERROR(H483/C483,"")</f>
        <v/>
      </c>
      <c r="AC483" s="2">
        <f>IFERROR(I483/D483,"")</f>
        <v/>
      </c>
      <c r="AD483" s="2">
        <f>IFERROR(J483/E483,"")</f>
        <v/>
      </c>
      <c r="AE483" s="2">
        <f>IFERROR(K483/F483,"")</f>
        <v/>
      </c>
      <c r="AF483" s="2">
        <f>IFERROR(L483/B483,"")</f>
        <v/>
      </c>
      <c r="AG483" s="2">
        <f>IFERROR(M483/C483,"")</f>
        <v/>
      </c>
      <c r="AH483" s="2">
        <f>IFERROR(N483/D483,"")</f>
        <v/>
      </c>
      <c r="AI483" s="2">
        <f>IFERROR(O483/E483,"")</f>
        <v/>
      </c>
      <c r="AJ483" s="2">
        <f>IFERROR(P483/F483,"")</f>
        <v/>
      </c>
      <c r="AK483" s="2">
        <f>IFERROR(Q483/B483,"")</f>
        <v/>
      </c>
      <c r="AL483" s="2">
        <f>IFERROR(R483/C483,"")</f>
        <v/>
      </c>
      <c r="AM483" s="2">
        <f>IFERROR(S483/D483,"")</f>
        <v/>
      </c>
      <c r="AN483" s="2">
        <f>IFERROR(T483/E483,"")</f>
        <v/>
      </c>
      <c r="AO483" s="2">
        <f>IFERROR(U483/F483,"")</f>
        <v/>
      </c>
    </row>
    <row r="484">
      <c r="B484">
        <f>IF($A484="","",IFERROR(INDEX('[AQ_2020.xlsx]原始数据'!$B:$B,MATCH($A484,'[AQ_2020.xlsx]原始数据'!$A:$A,0)),""))</f>
        <v/>
      </c>
      <c r="C484">
        <f>IF($A484="","",IFERROR(INDEX('[AQ_2021.xlsx]原始数据'!$B:$B,MATCH($A484,'[AQ_2021.xlsx]原始数据'!$A:$A,0)),""))</f>
        <v/>
      </c>
      <c r="D484">
        <f>IF($A484="","",IFERROR(INDEX('[AQ_2022.xlsx]原始数据'!$B:$B,MATCH($A484,'[AQ_2022.xlsx]原始数据'!$A:$A,0)),""))</f>
        <v/>
      </c>
      <c r="E484">
        <f>IF($A484="","",IFERROR(INDEX('[AQ_2023.xlsx]原始数据'!$B:$B,MATCH($A484,'[AQ_2023.xlsx]原始数据'!$A:$A,0)),""))</f>
        <v/>
      </c>
      <c r="F484">
        <f>IF($A484="","",IFERROR(INDEX('[AQ_2024.xlsx]原始数据'!$B:$B,MATCH($A484,'[AQ_2024.xlsx]原始数据'!$A:$A,0)),""))</f>
        <v/>
      </c>
      <c r="G484">
        <f>IF($A484="","",IFERROR(INDEX('[AQ_2020.xlsx]原始数据'!$C:$C,MATCH($A484,'[AQ_2020.xlsx]原始数据'!$A:$A,0)),""))</f>
        <v/>
      </c>
      <c r="H484">
        <f>IF($A484="","",IFERROR(INDEX('[AQ_2021.xlsx]原始数据'!$C:$C,MATCH($A484,'[AQ_2021.xlsx]原始数据'!$A:$A,0)),""))</f>
        <v/>
      </c>
      <c r="I484">
        <f>IF($A484="","",IFERROR(INDEX('[AQ_2022.xlsx]原始数据'!$C:$C,MATCH($A484,'[AQ_2022.xlsx]原始数据'!$A:$A,0)),""))</f>
        <v/>
      </c>
      <c r="J484">
        <f>IF($A484="","",IFERROR(INDEX('[AQ_2023.xlsx]原始数据'!$C:$C,MATCH($A484,'[AQ_2023.xlsx]原始数据'!$A:$A,0)),""))</f>
        <v/>
      </c>
      <c r="K484">
        <f>IF($A484="","",IFERROR(INDEX('[AQ_2024.xlsx]原始数据'!$C:$C,MATCH($A484,'[AQ_2024.xlsx]原始数据'!$A:$A,0)),""))</f>
        <v/>
      </c>
      <c r="L484">
        <f>IF($A484="","",IFERROR(INDEX('[AQ_2020.xlsx]原始数据'!$D:$D,MATCH($A484,'[AQ_2020.xlsx]原始数据'!$A:$A,0)),""))</f>
        <v/>
      </c>
      <c r="M484">
        <f>IF($A484="","",IFERROR(INDEX('[AQ_2021.xlsx]原始数据'!$D:$D,MATCH($A484,'[AQ_2021.xlsx]原始数据'!$A:$A,0)),""))</f>
        <v/>
      </c>
      <c r="N484">
        <f>IF($A484="","",IFERROR(INDEX('[AQ_2022.xlsx]原始数据'!$D:$D,MATCH($A484,'[AQ_2022.xlsx]原始数据'!$A:$A,0)),""))</f>
        <v/>
      </c>
      <c r="O484">
        <f>IF($A484="","",IFERROR(INDEX('[AQ_2023.xlsx]原始数据'!$D:$D,MATCH($A484,'[AQ_2023.xlsx]原始数据'!$A:$A,0)),""))</f>
        <v/>
      </c>
      <c r="P484">
        <f>IF($A484="","",IFERROR(INDEX('[AQ_2024.xlsx]原始数据'!$D:$D,MATCH($A484,'[AQ_2024.xlsx]原始数据'!$A:$A,0)),""))</f>
        <v/>
      </c>
      <c r="Q484">
        <f>IF($A484="","",IFERROR(INDEX('[AQ_2020.xlsx]原始数据'!$E:$E,MATCH($A484,'[AQ_2020.xlsx]原始数据'!$A:$A,0)),""))</f>
        <v/>
      </c>
      <c r="R484">
        <f>IF($A484="","",IFERROR(INDEX('[AQ_2021.xlsx]原始数据'!$E:$E,MATCH($A484,'[AQ_2021.xlsx]原始数据'!$A:$A,0)),""))</f>
        <v/>
      </c>
      <c r="S484">
        <f>IF($A484="","",IFERROR(INDEX('[AQ_2022.xlsx]原始数据'!$E:$E,MATCH($A484,'[AQ_2022.xlsx]原始数据'!$A:$A,0)),""))</f>
        <v/>
      </c>
      <c r="T484">
        <f>IF($A484="","",IFERROR(INDEX('[AQ_2023.xlsx]原始数据'!$E:$E,MATCH($A484,'[AQ_2023.xlsx]原始数据'!$A:$A,0)),""))</f>
        <v/>
      </c>
      <c r="U484">
        <f>IF($A484="","",IFERROR(INDEX('[AQ_2024.xlsx]原始数据'!$E:$E,MATCH($A484,'[AQ_2024.xlsx]原始数据'!$A:$A,0)),""))</f>
        <v/>
      </c>
      <c r="V484">
        <f>IF($A484="","",IFERROR(INDEX('[AQ_2020.xlsx]原始数据'!$F:$F,MATCH($A484,'[AQ_2020.xlsx]原始数据'!$A:$A,0)),""))</f>
        <v/>
      </c>
      <c r="W484">
        <f>IF($A484="","",IFERROR(INDEX('[AQ_2021.xlsx]原始数据'!$F:$F,MATCH($A484,'[AQ_2021.xlsx]原始数据'!$A:$A,0)),""))</f>
        <v/>
      </c>
      <c r="X484">
        <f>IF($A484="","",IFERROR(INDEX('[AQ_2022.xlsx]原始数据'!$F:$F,MATCH($A484,'[AQ_2022.xlsx]原始数据'!$A:$A,0)),""))</f>
        <v/>
      </c>
      <c r="Y484">
        <f>IF($A484="","",IFERROR(INDEX('[AQ_2023.xlsx]原始数据'!$F:$F,MATCH($A484,'[AQ_2023.xlsx]原始数据'!$A:$A,0)),""))</f>
        <v/>
      </c>
      <c r="Z484">
        <f>IF($A484="","",IFERROR(INDEX('[AQ_2024.xlsx]原始数据'!$F:$F,MATCH($A484,'[AQ_2024.xlsx]原始数据'!$A:$A,0)),""))</f>
        <v/>
      </c>
      <c r="AA484" s="2">
        <f>IFERROR(G484/B484,"")</f>
        <v/>
      </c>
      <c r="AB484" s="2">
        <f>IFERROR(H484/C484,"")</f>
        <v/>
      </c>
      <c r="AC484" s="2">
        <f>IFERROR(I484/D484,"")</f>
        <v/>
      </c>
      <c r="AD484" s="2">
        <f>IFERROR(J484/E484,"")</f>
        <v/>
      </c>
      <c r="AE484" s="2">
        <f>IFERROR(K484/F484,"")</f>
        <v/>
      </c>
      <c r="AF484" s="2">
        <f>IFERROR(L484/B484,"")</f>
        <v/>
      </c>
      <c r="AG484" s="2">
        <f>IFERROR(M484/C484,"")</f>
        <v/>
      </c>
      <c r="AH484" s="2">
        <f>IFERROR(N484/D484,"")</f>
        <v/>
      </c>
      <c r="AI484" s="2">
        <f>IFERROR(O484/E484,"")</f>
        <v/>
      </c>
      <c r="AJ484" s="2">
        <f>IFERROR(P484/F484,"")</f>
        <v/>
      </c>
      <c r="AK484" s="2">
        <f>IFERROR(Q484/B484,"")</f>
        <v/>
      </c>
      <c r="AL484" s="2">
        <f>IFERROR(R484/C484,"")</f>
        <v/>
      </c>
      <c r="AM484" s="2">
        <f>IFERROR(S484/D484,"")</f>
        <v/>
      </c>
      <c r="AN484" s="2">
        <f>IFERROR(T484/E484,"")</f>
        <v/>
      </c>
      <c r="AO484" s="2">
        <f>IFERROR(U484/F484,"")</f>
        <v/>
      </c>
    </row>
    <row r="485">
      <c r="B485">
        <f>IF($A485="","",IFERROR(INDEX('[AQ_2020.xlsx]原始数据'!$B:$B,MATCH($A485,'[AQ_2020.xlsx]原始数据'!$A:$A,0)),""))</f>
        <v/>
      </c>
      <c r="C485">
        <f>IF($A485="","",IFERROR(INDEX('[AQ_2021.xlsx]原始数据'!$B:$B,MATCH($A485,'[AQ_2021.xlsx]原始数据'!$A:$A,0)),""))</f>
        <v/>
      </c>
      <c r="D485">
        <f>IF($A485="","",IFERROR(INDEX('[AQ_2022.xlsx]原始数据'!$B:$B,MATCH($A485,'[AQ_2022.xlsx]原始数据'!$A:$A,0)),""))</f>
        <v/>
      </c>
      <c r="E485">
        <f>IF($A485="","",IFERROR(INDEX('[AQ_2023.xlsx]原始数据'!$B:$B,MATCH($A485,'[AQ_2023.xlsx]原始数据'!$A:$A,0)),""))</f>
        <v/>
      </c>
      <c r="F485">
        <f>IF($A485="","",IFERROR(INDEX('[AQ_2024.xlsx]原始数据'!$B:$B,MATCH($A485,'[AQ_2024.xlsx]原始数据'!$A:$A,0)),""))</f>
        <v/>
      </c>
      <c r="G485">
        <f>IF($A485="","",IFERROR(INDEX('[AQ_2020.xlsx]原始数据'!$C:$C,MATCH($A485,'[AQ_2020.xlsx]原始数据'!$A:$A,0)),""))</f>
        <v/>
      </c>
      <c r="H485">
        <f>IF($A485="","",IFERROR(INDEX('[AQ_2021.xlsx]原始数据'!$C:$C,MATCH($A485,'[AQ_2021.xlsx]原始数据'!$A:$A,0)),""))</f>
        <v/>
      </c>
      <c r="I485">
        <f>IF($A485="","",IFERROR(INDEX('[AQ_2022.xlsx]原始数据'!$C:$C,MATCH($A485,'[AQ_2022.xlsx]原始数据'!$A:$A,0)),""))</f>
        <v/>
      </c>
      <c r="J485">
        <f>IF($A485="","",IFERROR(INDEX('[AQ_2023.xlsx]原始数据'!$C:$C,MATCH($A485,'[AQ_2023.xlsx]原始数据'!$A:$A,0)),""))</f>
        <v/>
      </c>
      <c r="K485">
        <f>IF($A485="","",IFERROR(INDEX('[AQ_2024.xlsx]原始数据'!$C:$C,MATCH($A485,'[AQ_2024.xlsx]原始数据'!$A:$A,0)),""))</f>
        <v/>
      </c>
      <c r="L485">
        <f>IF($A485="","",IFERROR(INDEX('[AQ_2020.xlsx]原始数据'!$D:$D,MATCH($A485,'[AQ_2020.xlsx]原始数据'!$A:$A,0)),""))</f>
        <v/>
      </c>
      <c r="M485">
        <f>IF($A485="","",IFERROR(INDEX('[AQ_2021.xlsx]原始数据'!$D:$D,MATCH($A485,'[AQ_2021.xlsx]原始数据'!$A:$A,0)),""))</f>
        <v/>
      </c>
      <c r="N485">
        <f>IF($A485="","",IFERROR(INDEX('[AQ_2022.xlsx]原始数据'!$D:$D,MATCH($A485,'[AQ_2022.xlsx]原始数据'!$A:$A,0)),""))</f>
        <v/>
      </c>
      <c r="O485">
        <f>IF($A485="","",IFERROR(INDEX('[AQ_2023.xlsx]原始数据'!$D:$D,MATCH($A485,'[AQ_2023.xlsx]原始数据'!$A:$A,0)),""))</f>
        <v/>
      </c>
      <c r="P485">
        <f>IF($A485="","",IFERROR(INDEX('[AQ_2024.xlsx]原始数据'!$D:$D,MATCH($A485,'[AQ_2024.xlsx]原始数据'!$A:$A,0)),""))</f>
        <v/>
      </c>
      <c r="Q485">
        <f>IF($A485="","",IFERROR(INDEX('[AQ_2020.xlsx]原始数据'!$E:$E,MATCH($A485,'[AQ_2020.xlsx]原始数据'!$A:$A,0)),""))</f>
        <v/>
      </c>
      <c r="R485">
        <f>IF($A485="","",IFERROR(INDEX('[AQ_2021.xlsx]原始数据'!$E:$E,MATCH($A485,'[AQ_2021.xlsx]原始数据'!$A:$A,0)),""))</f>
        <v/>
      </c>
      <c r="S485">
        <f>IF($A485="","",IFERROR(INDEX('[AQ_2022.xlsx]原始数据'!$E:$E,MATCH($A485,'[AQ_2022.xlsx]原始数据'!$A:$A,0)),""))</f>
        <v/>
      </c>
      <c r="T485">
        <f>IF($A485="","",IFERROR(INDEX('[AQ_2023.xlsx]原始数据'!$E:$E,MATCH($A485,'[AQ_2023.xlsx]原始数据'!$A:$A,0)),""))</f>
        <v/>
      </c>
      <c r="U485">
        <f>IF($A485="","",IFERROR(INDEX('[AQ_2024.xlsx]原始数据'!$E:$E,MATCH($A485,'[AQ_2024.xlsx]原始数据'!$A:$A,0)),""))</f>
        <v/>
      </c>
      <c r="V485">
        <f>IF($A485="","",IFERROR(INDEX('[AQ_2020.xlsx]原始数据'!$F:$F,MATCH($A485,'[AQ_2020.xlsx]原始数据'!$A:$A,0)),""))</f>
        <v/>
      </c>
      <c r="W485">
        <f>IF($A485="","",IFERROR(INDEX('[AQ_2021.xlsx]原始数据'!$F:$F,MATCH($A485,'[AQ_2021.xlsx]原始数据'!$A:$A,0)),""))</f>
        <v/>
      </c>
      <c r="X485">
        <f>IF($A485="","",IFERROR(INDEX('[AQ_2022.xlsx]原始数据'!$F:$F,MATCH($A485,'[AQ_2022.xlsx]原始数据'!$A:$A,0)),""))</f>
        <v/>
      </c>
      <c r="Y485">
        <f>IF($A485="","",IFERROR(INDEX('[AQ_2023.xlsx]原始数据'!$F:$F,MATCH($A485,'[AQ_2023.xlsx]原始数据'!$A:$A,0)),""))</f>
        <v/>
      </c>
      <c r="Z485">
        <f>IF($A485="","",IFERROR(INDEX('[AQ_2024.xlsx]原始数据'!$F:$F,MATCH($A485,'[AQ_2024.xlsx]原始数据'!$A:$A,0)),""))</f>
        <v/>
      </c>
      <c r="AA485" s="2">
        <f>IFERROR(G485/B485,"")</f>
        <v/>
      </c>
      <c r="AB485" s="2">
        <f>IFERROR(H485/C485,"")</f>
        <v/>
      </c>
      <c r="AC485" s="2">
        <f>IFERROR(I485/D485,"")</f>
        <v/>
      </c>
      <c r="AD485" s="2">
        <f>IFERROR(J485/E485,"")</f>
        <v/>
      </c>
      <c r="AE485" s="2">
        <f>IFERROR(K485/F485,"")</f>
        <v/>
      </c>
      <c r="AF485" s="2">
        <f>IFERROR(L485/B485,"")</f>
        <v/>
      </c>
      <c r="AG485" s="2">
        <f>IFERROR(M485/C485,"")</f>
        <v/>
      </c>
      <c r="AH485" s="2">
        <f>IFERROR(N485/D485,"")</f>
        <v/>
      </c>
      <c r="AI485" s="2">
        <f>IFERROR(O485/E485,"")</f>
        <v/>
      </c>
      <c r="AJ485" s="2">
        <f>IFERROR(P485/F485,"")</f>
        <v/>
      </c>
      <c r="AK485" s="2">
        <f>IFERROR(Q485/B485,"")</f>
        <v/>
      </c>
      <c r="AL485" s="2">
        <f>IFERROR(R485/C485,"")</f>
        <v/>
      </c>
      <c r="AM485" s="2">
        <f>IFERROR(S485/D485,"")</f>
        <v/>
      </c>
      <c r="AN485" s="2">
        <f>IFERROR(T485/E485,"")</f>
        <v/>
      </c>
      <c r="AO485" s="2">
        <f>IFERROR(U485/F485,"")</f>
        <v/>
      </c>
    </row>
    <row r="486">
      <c r="B486">
        <f>IF($A486="","",IFERROR(INDEX('[AQ_2020.xlsx]原始数据'!$B:$B,MATCH($A486,'[AQ_2020.xlsx]原始数据'!$A:$A,0)),""))</f>
        <v/>
      </c>
      <c r="C486">
        <f>IF($A486="","",IFERROR(INDEX('[AQ_2021.xlsx]原始数据'!$B:$B,MATCH($A486,'[AQ_2021.xlsx]原始数据'!$A:$A,0)),""))</f>
        <v/>
      </c>
      <c r="D486">
        <f>IF($A486="","",IFERROR(INDEX('[AQ_2022.xlsx]原始数据'!$B:$B,MATCH($A486,'[AQ_2022.xlsx]原始数据'!$A:$A,0)),""))</f>
        <v/>
      </c>
      <c r="E486">
        <f>IF($A486="","",IFERROR(INDEX('[AQ_2023.xlsx]原始数据'!$B:$B,MATCH($A486,'[AQ_2023.xlsx]原始数据'!$A:$A,0)),""))</f>
        <v/>
      </c>
      <c r="F486">
        <f>IF($A486="","",IFERROR(INDEX('[AQ_2024.xlsx]原始数据'!$B:$B,MATCH($A486,'[AQ_2024.xlsx]原始数据'!$A:$A,0)),""))</f>
        <v/>
      </c>
      <c r="G486">
        <f>IF($A486="","",IFERROR(INDEX('[AQ_2020.xlsx]原始数据'!$C:$C,MATCH($A486,'[AQ_2020.xlsx]原始数据'!$A:$A,0)),""))</f>
        <v/>
      </c>
      <c r="H486">
        <f>IF($A486="","",IFERROR(INDEX('[AQ_2021.xlsx]原始数据'!$C:$C,MATCH($A486,'[AQ_2021.xlsx]原始数据'!$A:$A,0)),""))</f>
        <v/>
      </c>
      <c r="I486">
        <f>IF($A486="","",IFERROR(INDEX('[AQ_2022.xlsx]原始数据'!$C:$C,MATCH($A486,'[AQ_2022.xlsx]原始数据'!$A:$A,0)),""))</f>
        <v/>
      </c>
      <c r="J486">
        <f>IF($A486="","",IFERROR(INDEX('[AQ_2023.xlsx]原始数据'!$C:$C,MATCH($A486,'[AQ_2023.xlsx]原始数据'!$A:$A,0)),""))</f>
        <v/>
      </c>
      <c r="K486">
        <f>IF($A486="","",IFERROR(INDEX('[AQ_2024.xlsx]原始数据'!$C:$C,MATCH($A486,'[AQ_2024.xlsx]原始数据'!$A:$A,0)),""))</f>
        <v/>
      </c>
      <c r="L486">
        <f>IF($A486="","",IFERROR(INDEX('[AQ_2020.xlsx]原始数据'!$D:$D,MATCH($A486,'[AQ_2020.xlsx]原始数据'!$A:$A,0)),""))</f>
        <v/>
      </c>
      <c r="M486">
        <f>IF($A486="","",IFERROR(INDEX('[AQ_2021.xlsx]原始数据'!$D:$D,MATCH($A486,'[AQ_2021.xlsx]原始数据'!$A:$A,0)),""))</f>
        <v/>
      </c>
      <c r="N486">
        <f>IF($A486="","",IFERROR(INDEX('[AQ_2022.xlsx]原始数据'!$D:$D,MATCH($A486,'[AQ_2022.xlsx]原始数据'!$A:$A,0)),""))</f>
        <v/>
      </c>
      <c r="O486">
        <f>IF($A486="","",IFERROR(INDEX('[AQ_2023.xlsx]原始数据'!$D:$D,MATCH($A486,'[AQ_2023.xlsx]原始数据'!$A:$A,0)),""))</f>
        <v/>
      </c>
      <c r="P486">
        <f>IF($A486="","",IFERROR(INDEX('[AQ_2024.xlsx]原始数据'!$D:$D,MATCH($A486,'[AQ_2024.xlsx]原始数据'!$A:$A,0)),""))</f>
        <v/>
      </c>
      <c r="Q486">
        <f>IF($A486="","",IFERROR(INDEX('[AQ_2020.xlsx]原始数据'!$E:$E,MATCH($A486,'[AQ_2020.xlsx]原始数据'!$A:$A,0)),""))</f>
        <v/>
      </c>
      <c r="R486">
        <f>IF($A486="","",IFERROR(INDEX('[AQ_2021.xlsx]原始数据'!$E:$E,MATCH($A486,'[AQ_2021.xlsx]原始数据'!$A:$A,0)),""))</f>
        <v/>
      </c>
      <c r="S486">
        <f>IF($A486="","",IFERROR(INDEX('[AQ_2022.xlsx]原始数据'!$E:$E,MATCH($A486,'[AQ_2022.xlsx]原始数据'!$A:$A,0)),""))</f>
        <v/>
      </c>
      <c r="T486">
        <f>IF($A486="","",IFERROR(INDEX('[AQ_2023.xlsx]原始数据'!$E:$E,MATCH($A486,'[AQ_2023.xlsx]原始数据'!$A:$A,0)),""))</f>
        <v/>
      </c>
      <c r="U486">
        <f>IF($A486="","",IFERROR(INDEX('[AQ_2024.xlsx]原始数据'!$E:$E,MATCH($A486,'[AQ_2024.xlsx]原始数据'!$A:$A,0)),""))</f>
        <v/>
      </c>
      <c r="V486">
        <f>IF($A486="","",IFERROR(INDEX('[AQ_2020.xlsx]原始数据'!$F:$F,MATCH($A486,'[AQ_2020.xlsx]原始数据'!$A:$A,0)),""))</f>
        <v/>
      </c>
      <c r="W486">
        <f>IF($A486="","",IFERROR(INDEX('[AQ_2021.xlsx]原始数据'!$F:$F,MATCH($A486,'[AQ_2021.xlsx]原始数据'!$A:$A,0)),""))</f>
        <v/>
      </c>
      <c r="X486">
        <f>IF($A486="","",IFERROR(INDEX('[AQ_2022.xlsx]原始数据'!$F:$F,MATCH($A486,'[AQ_2022.xlsx]原始数据'!$A:$A,0)),""))</f>
        <v/>
      </c>
      <c r="Y486">
        <f>IF($A486="","",IFERROR(INDEX('[AQ_2023.xlsx]原始数据'!$F:$F,MATCH($A486,'[AQ_2023.xlsx]原始数据'!$A:$A,0)),""))</f>
        <v/>
      </c>
      <c r="Z486">
        <f>IF($A486="","",IFERROR(INDEX('[AQ_2024.xlsx]原始数据'!$F:$F,MATCH($A486,'[AQ_2024.xlsx]原始数据'!$A:$A,0)),""))</f>
        <v/>
      </c>
      <c r="AA486" s="2">
        <f>IFERROR(G486/B486,"")</f>
        <v/>
      </c>
      <c r="AB486" s="2">
        <f>IFERROR(H486/C486,"")</f>
        <v/>
      </c>
      <c r="AC486" s="2">
        <f>IFERROR(I486/D486,"")</f>
        <v/>
      </c>
      <c r="AD486" s="2">
        <f>IFERROR(J486/E486,"")</f>
        <v/>
      </c>
      <c r="AE486" s="2">
        <f>IFERROR(K486/F486,"")</f>
        <v/>
      </c>
      <c r="AF486" s="2">
        <f>IFERROR(L486/B486,"")</f>
        <v/>
      </c>
      <c r="AG486" s="2">
        <f>IFERROR(M486/C486,"")</f>
        <v/>
      </c>
      <c r="AH486" s="2">
        <f>IFERROR(N486/D486,"")</f>
        <v/>
      </c>
      <c r="AI486" s="2">
        <f>IFERROR(O486/E486,"")</f>
        <v/>
      </c>
      <c r="AJ486" s="2">
        <f>IFERROR(P486/F486,"")</f>
        <v/>
      </c>
      <c r="AK486" s="2">
        <f>IFERROR(Q486/B486,"")</f>
        <v/>
      </c>
      <c r="AL486" s="2">
        <f>IFERROR(R486/C486,"")</f>
        <v/>
      </c>
      <c r="AM486" s="2">
        <f>IFERROR(S486/D486,"")</f>
        <v/>
      </c>
      <c r="AN486" s="2">
        <f>IFERROR(T486/E486,"")</f>
        <v/>
      </c>
      <c r="AO486" s="2">
        <f>IFERROR(U486/F486,"")</f>
        <v/>
      </c>
    </row>
    <row r="487">
      <c r="B487">
        <f>IF($A487="","",IFERROR(INDEX('[AQ_2020.xlsx]原始数据'!$B:$B,MATCH($A487,'[AQ_2020.xlsx]原始数据'!$A:$A,0)),""))</f>
        <v/>
      </c>
      <c r="C487">
        <f>IF($A487="","",IFERROR(INDEX('[AQ_2021.xlsx]原始数据'!$B:$B,MATCH($A487,'[AQ_2021.xlsx]原始数据'!$A:$A,0)),""))</f>
        <v/>
      </c>
      <c r="D487">
        <f>IF($A487="","",IFERROR(INDEX('[AQ_2022.xlsx]原始数据'!$B:$B,MATCH($A487,'[AQ_2022.xlsx]原始数据'!$A:$A,0)),""))</f>
        <v/>
      </c>
      <c r="E487">
        <f>IF($A487="","",IFERROR(INDEX('[AQ_2023.xlsx]原始数据'!$B:$B,MATCH($A487,'[AQ_2023.xlsx]原始数据'!$A:$A,0)),""))</f>
        <v/>
      </c>
      <c r="F487">
        <f>IF($A487="","",IFERROR(INDEX('[AQ_2024.xlsx]原始数据'!$B:$B,MATCH($A487,'[AQ_2024.xlsx]原始数据'!$A:$A,0)),""))</f>
        <v/>
      </c>
      <c r="G487">
        <f>IF($A487="","",IFERROR(INDEX('[AQ_2020.xlsx]原始数据'!$C:$C,MATCH($A487,'[AQ_2020.xlsx]原始数据'!$A:$A,0)),""))</f>
        <v/>
      </c>
      <c r="H487">
        <f>IF($A487="","",IFERROR(INDEX('[AQ_2021.xlsx]原始数据'!$C:$C,MATCH($A487,'[AQ_2021.xlsx]原始数据'!$A:$A,0)),""))</f>
        <v/>
      </c>
      <c r="I487">
        <f>IF($A487="","",IFERROR(INDEX('[AQ_2022.xlsx]原始数据'!$C:$C,MATCH($A487,'[AQ_2022.xlsx]原始数据'!$A:$A,0)),""))</f>
        <v/>
      </c>
      <c r="J487">
        <f>IF($A487="","",IFERROR(INDEX('[AQ_2023.xlsx]原始数据'!$C:$C,MATCH($A487,'[AQ_2023.xlsx]原始数据'!$A:$A,0)),""))</f>
        <v/>
      </c>
      <c r="K487">
        <f>IF($A487="","",IFERROR(INDEX('[AQ_2024.xlsx]原始数据'!$C:$C,MATCH($A487,'[AQ_2024.xlsx]原始数据'!$A:$A,0)),""))</f>
        <v/>
      </c>
      <c r="L487">
        <f>IF($A487="","",IFERROR(INDEX('[AQ_2020.xlsx]原始数据'!$D:$D,MATCH($A487,'[AQ_2020.xlsx]原始数据'!$A:$A,0)),""))</f>
        <v/>
      </c>
      <c r="M487">
        <f>IF($A487="","",IFERROR(INDEX('[AQ_2021.xlsx]原始数据'!$D:$D,MATCH($A487,'[AQ_2021.xlsx]原始数据'!$A:$A,0)),""))</f>
        <v/>
      </c>
      <c r="N487">
        <f>IF($A487="","",IFERROR(INDEX('[AQ_2022.xlsx]原始数据'!$D:$D,MATCH($A487,'[AQ_2022.xlsx]原始数据'!$A:$A,0)),""))</f>
        <v/>
      </c>
      <c r="O487">
        <f>IF($A487="","",IFERROR(INDEX('[AQ_2023.xlsx]原始数据'!$D:$D,MATCH($A487,'[AQ_2023.xlsx]原始数据'!$A:$A,0)),""))</f>
        <v/>
      </c>
      <c r="P487">
        <f>IF($A487="","",IFERROR(INDEX('[AQ_2024.xlsx]原始数据'!$D:$D,MATCH($A487,'[AQ_2024.xlsx]原始数据'!$A:$A,0)),""))</f>
        <v/>
      </c>
      <c r="Q487">
        <f>IF($A487="","",IFERROR(INDEX('[AQ_2020.xlsx]原始数据'!$E:$E,MATCH($A487,'[AQ_2020.xlsx]原始数据'!$A:$A,0)),""))</f>
        <v/>
      </c>
      <c r="R487">
        <f>IF($A487="","",IFERROR(INDEX('[AQ_2021.xlsx]原始数据'!$E:$E,MATCH($A487,'[AQ_2021.xlsx]原始数据'!$A:$A,0)),""))</f>
        <v/>
      </c>
      <c r="S487">
        <f>IF($A487="","",IFERROR(INDEX('[AQ_2022.xlsx]原始数据'!$E:$E,MATCH($A487,'[AQ_2022.xlsx]原始数据'!$A:$A,0)),""))</f>
        <v/>
      </c>
      <c r="T487">
        <f>IF($A487="","",IFERROR(INDEX('[AQ_2023.xlsx]原始数据'!$E:$E,MATCH($A487,'[AQ_2023.xlsx]原始数据'!$A:$A,0)),""))</f>
        <v/>
      </c>
      <c r="U487">
        <f>IF($A487="","",IFERROR(INDEX('[AQ_2024.xlsx]原始数据'!$E:$E,MATCH($A487,'[AQ_2024.xlsx]原始数据'!$A:$A,0)),""))</f>
        <v/>
      </c>
      <c r="V487">
        <f>IF($A487="","",IFERROR(INDEX('[AQ_2020.xlsx]原始数据'!$F:$F,MATCH($A487,'[AQ_2020.xlsx]原始数据'!$A:$A,0)),""))</f>
        <v/>
      </c>
      <c r="W487">
        <f>IF($A487="","",IFERROR(INDEX('[AQ_2021.xlsx]原始数据'!$F:$F,MATCH($A487,'[AQ_2021.xlsx]原始数据'!$A:$A,0)),""))</f>
        <v/>
      </c>
      <c r="X487">
        <f>IF($A487="","",IFERROR(INDEX('[AQ_2022.xlsx]原始数据'!$F:$F,MATCH($A487,'[AQ_2022.xlsx]原始数据'!$A:$A,0)),""))</f>
        <v/>
      </c>
      <c r="Y487">
        <f>IF($A487="","",IFERROR(INDEX('[AQ_2023.xlsx]原始数据'!$F:$F,MATCH($A487,'[AQ_2023.xlsx]原始数据'!$A:$A,0)),""))</f>
        <v/>
      </c>
      <c r="Z487">
        <f>IF($A487="","",IFERROR(INDEX('[AQ_2024.xlsx]原始数据'!$F:$F,MATCH($A487,'[AQ_2024.xlsx]原始数据'!$A:$A,0)),""))</f>
        <v/>
      </c>
      <c r="AA487" s="2">
        <f>IFERROR(G487/B487,"")</f>
        <v/>
      </c>
      <c r="AB487" s="2">
        <f>IFERROR(H487/C487,"")</f>
        <v/>
      </c>
      <c r="AC487" s="2">
        <f>IFERROR(I487/D487,"")</f>
        <v/>
      </c>
      <c r="AD487" s="2">
        <f>IFERROR(J487/E487,"")</f>
        <v/>
      </c>
      <c r="AE487" s="2">
        <f>IFERROR(K487/F487,"")</f>
        <v/>
      </c>
      <c r="AF487" s="2">
        <f>IFERROR(L487/B487,"")</f>
        <v/>
      </c>
      <c r="AG487" s="2">
        <f>IFERROR(M487/C487,"")</f>
        <v/>
      </c>
      <c r="AH487" s="2">
        <f>IFERROR(N487/D487,"")</f>
        <v/>
      </c>
      <c r="AI487" s="2">
        <f>IFERROR(O487/E487,"")</f>
        <v/>
      </c>
      <c r="AJ487" s="2">
        <f>IFERROR(P487/F487,"")</f>
        <v/>
      </c>
      <c r="AK487" s="2">
        <f>IFERROR(Q487/B487,"")</f>
        <v/>
      </c>
      <c r="AL487" s="2">
        <f>IFERROR(R487/C487,"")</f>
        <v/>
      </c>
      <c r="AM487" s="2">
        <f>IFERROR(S487/D487,"")</f>
        <v/>
      </c>
      <c r="AN487" s="2">
        <f>IFERROR(T487/E487,"")</f>
        <v/>
      </c>
      <c r="AO487" s="2">
        <f>IFERROR(U487/F487,"")</f>
        <v/>
      </c>
    </row>
    <row r="488">
      <c r="B488">
        <f>IF($A488="","",IFERROR(INDEX('[AQ_2020.xlsx]原始数据'!$B:$B,MATCH($A488,'[AQ_2020.xlsx]原始数据'!$A:$A,0)),""))</f>
        <v/>
      </c>
      <c r="C488">
        <f>IF($A488="","",IFERROR(INDEX('[AQ_2021.xlsx]原始数据'!$B:$B,MATCH($A488,'[AQ_2021.xlsx]原始数据'!$A:$A,0)),""))</f>
        <v/>
      </c>
      <c r="D488">
        <f>IF($A488="","",IFERROR(INDEX('[AQ_2022.xlsx]原始数据'!$B:$B,MATCH($A488,'[AQ_2022.xlsx]原始数据'!$A:$A,0)),""))</f>
        <v/>
      </c>
      <c r="E488">
        <f>IF($A488="","",IFERROR(INDEX('[AQ_2023.xlsx]原始数据'!$B:$B,MATCH($A488,'[AQ_2023.xlsx]原始数据'!$A:$A,0)),""))</f>
        <v/>
      </c>
      <c r="F488">
        <f>IF($A488="","",IFERROR(INDEX('[AQ_2024.xlsx]原始数据'!$B:$B,MATCH($A488,'[AQ_2024.xlsx]原始数据'!$A:$A,0)),""))</f>
        <v/>
      </c>
      <c r="G488">
        <f>IF($A488="","",IFERROR(INDEX('[AQ_2020.xlsx]原始数据'!$C:$C,MATCH($A488,'[AQ_2020.xlsx]原始数据'!$A:$A,0)),""))</f>
        <v/>
      </c>
      <c r="H488">
        <f>IF($A488="","",IFERROR(INDEX('[AQ_2021.xlsx]原始数据'!$C:$C,MATCH($A488,'[AQ_2021.xlsx]原始数据'!$A:$A,0)),""))</f>
        <v/>
      </c>
      <c r="I488">
        <f>IF($A488="","",IFERROR(INDEX('[AQ_2022.xlsx]原始数据'!$C:$C,MATCH($A488,'[AQ_2022.xlsx]原始数据'!$A:$A,0)),""))</f>
        <v/>
      </c>
      <c r="J488">
        <f>IF($A488="","",IFERROR(INDEX('[AQ_2023.xlsx]原始数据'!$C:$C,MATCH($A488,'[AQ_2023.xlsx]原始数据'!$A:$A,0)),""))</f>
        <v/>
      </c>
      <c r="K488">
        <f>IF($A488="","",IFERROR(INDEX('[AQ_2024.xlsx]原始数据'!$C:$C,MATCH($A488,'[AQ_2024.xlsx]原始数据'!$A:$A,0)),""))</f>
        <v/>
      </c>
      <c r="L488">
        <f>IF($A488="","",IFERROR(INDEX('[AQ_2020.xlsx]原始数据'!$D:$D,MATCH($A488,'[AQ_2020.xlsx]原始数据'!$A:$A,0)),""))</f>
        <v/>
      </c>
      <c r="M488">
        <f>IF($A488="","",IFERROR(INDEX('[AQ_2021.xlsx]原始数据'!$D:$D,MATCH($A488,'[AQ_2021.xlsx]原始数据'!$A:$A,0)),""))</f>
        <v/>
      </c>
      <c r="N488">
        <f>IF($A488="","",IFERROR(INDEX('[AQ_2022.xlsx]原始数据'!$D:$D,MATCH($A488,'[AQ_2022.xlsx]原始数据'!$A:$A,0)),""))</f>
        <v/>
      </c>
      <c r="O488">
        <f>IF($A488="","",IFERROR(INDEX('[AQ_2023.xlsx]原始数据'!$D:$D,MATCH($A488,'[AQ_2023.xlsx]原始数据'!$A:$A,0)),""))</f>
        <v/>
      </c>
      <c r="P488">
        <f>IF($A488="","",IFERROR(INDEX('[AQ_2024.xlsx]原始数据'!$D:$D,MATCH($A488,'[AQ_2024.xlsx]原始数据'!$A:$A,0)),""))</f>
        <v/>
      </c>
      <c r="Q488">
        <f>IF($A488="","",IFERROR(INDEX('[AQ_2020.xlsx]原始数据'!$E:$E,MATCH($A488,'[AQ_2020.xlsx]原始数据'!$A:$A,0)),""))</f>
        <v/>
      </c>
      <c r="R488">
        <f>IF($A488="","",IFERROR(INDEX('[AQ_2021.xlsx]原始数据'!$E:$E,MATCH($A488,'[AQ_2021.xlsx]原始数据'!$A:$A,0)),""))</f>
        <v/>
      </c>
      <c r="S488">
        <f>IF($A488="","",IFERROR(INDEX('[AQ_2022.xlsx]原始数据'!$E:$E,MATCH($A488,'[AQ_2022.xlsx]原始数据'!$A:$A,0)),""))</f>
        <v/>
      </c>
      <c r="T488">
        <f>IF($A488="","",IFERROR(INDEX('[AQ_2023.xlsx]原始数据'!$E:$E,MATCH($A488,'[AQ_2023.xlsx]原始数据'!$A:$A,0)),""))</f>
        <v/>
      </c>
      <c r="U488">
        <f>IF($A488="","",IFERROR(INDEX('[AQ_2024.xlsx]原始数据'!$E:$E,MATCH($A488,'[AQ_2024.xlsx]原始数据'!$A:$A,0)),""))</f>
        <v/>
      </c>
      <c r="V488">
        <f>IF($A488="","",IFERROR(INDEX('[AQ_2020.xlsx]原始数据'!$F:$F,MATCH($A488,'[AQ_2020.xlsx]原始数据'!$A:$A,0)),""))</f>
        <v/>
      </c>
      <c r="W488">
        <f>IF($A488="","",IFERROR(INDEX('[AQ_2021.xlsx]原始数据'!$F:$F,MATCH($A488,'[AQ_2021.xlsx]原始数据'!$A:$A,0)),""))</f>
        <v/>
      </c>
      <c r="X488">
        <f>IF($A488="","",IFERROR(INDEX('[AQ_2022.xlsx]原始数据'!$F:$F,MATCH($A488,'[AQ_2022.xlsx]原始数据'!$A:$A,0)),""))</f>
        <v/>
      </c>
      <c r="Y488">
        <f>IF($A488="","",IFERROR(INDEX('[AQ_2023.xlsx]原始数据'!$F:$F,MATCH($A488,'[AQ_2023.xlsx]原始数据'!$A:$A,0)),""))</f>
        <v/>
      </c>
      <c r="Z488">
        <f>IF($A488="","",IFERROR(INDEX('[AQ_2024.xlsx]原始数据'!$F:$F,MATCH($A488,'[AQ_2024.xlsx]原始数据'!$A:$A,0)),""))</f>
        <v/>
      </c>
      <c r="AA488" s="2">
        <f>IFERROR(G488/B488,"")</f>
        <v/>
      </c>
      <c r="AB488" s="2">
        <f>IFERROR(H488/C488,"")</f>
        <v/>
      </c>
      <c r="AC488" s="2">
        <f>IFERROR(I488/D488,"")</f>
        <v/>
      </c>
      <c r="AD488" s="2">
        <f>IFERROR(J488/E488,"")</f>
        <v/>
      </c>
      <c r="AE488" s="2">
        <f>IFERROR(K488/F488,"")</f>
        <v/>
      </c>
      <c r="AF488" s="2">
        <f>IFERROR(L488/B488,"")</f>
        <v/>
      </c>
      <c r="AG488" s="2">
        <f>IFERROR(M488/C488,"")</f>
        <v/>
      </c>
      <c r="AH488" s="2">
        <f>IFERROR(N488/D488,"")</f>
        <v/>
      </c>
      <c r="AI488" s="2">
        <f>IFERROR(O488/E488,"")</f>
        <v/>
      </c>
      <c r="AJ488" s="2">
        <f>IFERROR(P488/F488,"")</f>
        <v/>
      </c>
      <c r="AK488" s="2">
        <f>IFERROR(Q488/B488,"")</f>
        <v/>
      </c>
      <c r="AL488" s="2">
        <f>IFERROR(R488/C488,"")</f>
        <v/>
      </c>
      <c r="AM488" s="2">
        <f>IFERROR(S488/D488,"")</f>
        <v/>
      </c>
      <c r="AN488" s="2">
        <f>IFERROR(T488/E488,"")</f>
        <v/>
      </c>
      <c r="AO488" s="2">
        <f>IFERROR(U488/F488,"")</f>
        <v/>
      </c>
    </row>
    <row r="489">
      <c r="B489">
        <f>IF($A489="","",IFERROR(INDEX('[AQ_2020.xlsx]原始数据'!$B:$B,MATCH($A489,'[AQ_2020.xlsx]原始数据'!$A:$A,0)),""))</f>
        <v/>
      </c>
      <c r="C489">
        <f>IF($A489="","",IFERROR(INDEX('[AQ_2021.xlsx]原始数据'!$B:$B,MATCH($A489,'[AQ_2021.xlsx]原始数据'!$A:$A,0)),""))</f>
        <v/>
      </c>
      <c r="D489">
        <f>IF($A489="","",IFERROR(INDEX('[AQ_2022.xlsx]原始数据'!$B:$B,MATCH($A489,'[AQ_2022.xlsx]原始数据'!$A:$A,0)),""))</f>
        <v/>
      </c>
      <c r="E489">
        <f>IF($A489="","",IFERROR(INDEX('[AQ_2023.xlsx]原始数据'!$B:$B,MATCH($A489,'[AQ_2023.xlsx]原始数据'!$A:$A,0)),""))</f>
        <v/>
      </c>
      <c r="F489">
        <f>IF($A489="","",IFERROR(INDEX('[AQ_2024.xlsx]原始数据'!$B:$B,MATCH($A489,'[AQ_2024.xlsx]原始数据'!$A:$A,0)),""))</f>
        <v/>
      </c>
      <c r="G489">
        <f>IF($A489="","",IFERROR(INDEX('[AQ_2020.xlsx]原始数据'!$C:$C,MATCH($A489,'[AQ_2020.xlsx]原始数据'!$A:$A,0)),""))</f>
        <v/>
      </c>
      <c r="H489">
        <f>IF($A489="","",IFERROR(INDEX('[AQ_2021.xlsx]原始数据'!$C:$C,MATCH($A489,'[AQ_2021.xlsx]原始数据'!$A:$A,0)),""))</f>
        <v/>
      </c>
      <c r="I489">
        <f>IF($A489="","",IFERROR(INDEX('[AQ_2022.xlsx]原始数据'!$C:$C,MATCH($A489,'[AQ_2022.xlsx]原始数据'!$A:$A,0)),""))</f>
        <v/>
      </c>
      <c r="J489">
        <f>IF($A489="","",IFERROR(INDEX('[AQ_2023.xlsx]原始数据'!$C:$C,MATCH($A489,'[AQ_2023.xlsx]原始数据'!$A:$A,0)),""))</f>
        <v/>
      </c>
      <c r="K489">
        <f>IF($A489="","",IFERROR(INDEX('[AQ_2024.xlsx]原始数据'!$C:$C,MATCH($A489,'[AQ_2024.xlsx]原始数据'!$A:$A,0)),""))</f>
        <v/>
      </c>
      <c r="L489">
        <f>IF($A489="","",IFERROR(INDEX('[AQ_2020.xlsx]原始数据'!$D:$D,MATCH($A489,'[AQ_2020.xlsx]原始数据'!$A:$A,0)),""))</f>
        <v/>
      </c>
      <c r="M489">
        <f>IF($A489="","",IFERROR(INDEX('[AQ_2021.xlsx]原始数据'!$D:$D,MATCH($A489,'[AQ_2021.xlsx]原始数据'!$A:$A,0)),""))</f>
        <v/>
      </c>
      <c r="N489">
        <f>IF($A489="","",IFERROR(INDEX('[AQ_2022.xlsx]原始数据'!$D:$D,MATCH($A489,'[AQ_2022.xlsx]原始数据'!$A:$A,0)),""))</f>
        <v/>
      </c>
      <c r="O489">
        <f>IF($A489="","",IFERROR(INDEX('[AQ_2023.xlsx]原始数据'!$D:$D,MATCH($A489,'[AQ_2023.xlsx]原始数据'!$A:$A,0)),""))</f>
        <v/>
      </c>
      <c r="P489">
        <f>IF($A489="","",IFERROR(INDEX('[AQ_2024.xlsx]原始数据'!$D:$D,MATCH($A489,'[AQ_2024.xlsx]原始数据'!$A:$A,0)),""))</f>
        <v/>
      </c>
      <c r="Q489">
        <f>IF($A489="","",IFERROR(INDEX('[AQ_2020.xlsx]原始数据'!$E:$E,MATCH($A489,'[AQ_2020.xlsx]原始数据'!$A:$A,0)),""))</f>
        <v/>
      </c>
      <c r="R489">
        <f>IF($A489="","",IFERROR(INDEX('[AQ_2021.xlsx]原始数据'!$E:$E,MATCH($A489,'[AQ_2021.xlsx]原始数据'!$A:$A,0)),""))</f>
        <v/>
      </c>
      <c r="S489">
        <f>IF($A489="","",IFERROR(INDEX('[AQ_2022.xlsx]原始数据'!$E:$E,MATCH($A489,'[AQ_2022.xlsx]原始数据'!$A:$A,0)),""))</f>
        <v/>
      </c>
      <c r="T489">
        <f>IF($A489="","",IFERROR(INDEX('[AQ_2023.xlsx]原始数据'!$E:$E,MATCH($A489,'[AQ_2023.xlsx]原始数据'!$A:$A,0)),""))</f>
        <v/>
      </c>
      <c r="U489">
        <f>IF($A489="","",IFERROR(INDEX('[AQ_2024.xlsx]原始数据'!$E:$E,MATCH($A489,'[AQ_2024.xlsx]原始数据'!$A:$A,0)),""))</f>
        <v/>
      </c>
      <c r="V489">
        <f>IF($A489="","",IFERROR(INDEX('[AQ_2020.xlsx]原始数据'!$F:$F,MATCH($A489,'[AQ_2020.xlsx]原始数据'!$A:$A,0)),""))</f>
        <v/>
      </c>
      <c r="W489">
        <f>IF($A489="","",IFERROR(INDEX('[AQ_2021.xlsx]原始数据'!$F:$F,MATCH($A489,'[AQ_2021.xlsx]原始数据'!$A:$A,0)),""))</f>
        <v/>
      </c>
      <c r="X489">
        <f>IF($A489="","",IFERROR(INDEX('[AQ_2022.xlsx]原始数据'!$F:$F,MATCH($A489,'[AQ_2022.xlsx]原始数据'!$A:$A,0)),""))</f>
        <v/>
      </c>
      <c r="Y489">
        <f>IF($A489="","",IFERROR(INDEX('[AQ_2023.xlsx]原始数据'!$F:$F,MATCH($A489,'[AQ_2023.xlsx]原始数据'!$A:$A,0)),""))</f>
        <v/>
      </c>
      <c r="Z489">
        <f>IF($A489="","",IFERROR(INDEX('[AQ_2024.xlsx]原始数据'!$F:$F,MATCH($A489,'[AQ_2024.xlsx]原始数据'!$A:$A,0)),""))</f>
        <v/>
      </c>
      <c r="AA489" s="2">
        <f>IFERROR(G489/B489,"")</f>
        <v/>
      </c>
      <c r="AB489" s="2">
        <f>IFERROR(H489/C489,"")</f>
        <v/>
      </c>
      <c r="AC489" s="2">
        <f>IFERROR(I489/D489,"")</f>
        <v/>
      </c>
      <c r="AD489" s="2">
        <f>IFERROR(J489/E489,"")</f>
        <v/>
      </c>
      <c r="AE489" s="2">
        <f>IFERROR(K489/F489,"")</f>
        <v/>
      </c>
      <c r="AF489" s="2">
        <f>IFERROR(L489/B489,"")</f>
        <v/>
      </c>
      <c r="AG489" s="2">
        <f>IFERROR(M489/C489,"")</f>
        <v/>
      </c>
      <c r="AH489" s="2">
        <f>IFERROR(N489/D489,"")</f>
        <v/>
      </c>
      <c r="AI489" s="2">
        <f>IFERROR(O489/E489,"")</f>
        <v/>
      </c>
      <c r="AJ489" s="2">
        <f>IFERROR(P489/F489,"")</f>
        <v/>
      </c>
      <c r="AK489" s="2">
        <f>IFERROR(Q489/B489,"")</f>
        <v/>
      </c>
      <c r="AL489" s="2">
        <f>IFERROR(R489/C489,"")</f>
        <v/>
      </c>
      <c r="AM489" s="2">
        <f>IFERROR(S489/D489,"")</f>
        <v/>
      </c>
      <c r="AN489" s="2">
        <f>IFERROR(T489/E489,"")</f>
        <v/>
      </c>
      <c r="AO489" s="2">
        <f>IFERROR(U489/F489,"")</f>
        <v/>
      </c>
    </row>
    <row r="490">
      <c r="B490">
        <f>IF($A490="","",IFERROR(INDEX('[AQ_2020.xlsx]原始数据'!$B:$B,MATCH($A490,'[AQ_2020.xlsx]原始数据'!$A:$A,0)),""))</f>
        <v/>
      </c>
      <c r="C490">
        <f>IF($A490="","",IFERROR(INDEX('[AQ_2021.xlsx]原始数据'!$B:$B,MATCH($A490,'[AQ_2021.xlsx]原始数据'!$A:$A,0)),""))</f>
        <v/>
      </c>
      <c r="D490">
        <f>IF($A490="","",IFERROR(INDEX('[AQ_2022.xlsx]原始数据'!$B:$B,MATCH($A490,'[AQ_2022.xlsx]原始数据'!$A:$A,0)),""))</f>
        <v/>
      </c>
      <c r="E490">
        <f>IF($A490="","",IFERROR(INDEX('[AQ_2023.xlsx]原始数据'!$B:$B,MATCH($A490,'[AQ_2023.xlsx]原始数据'!$A:$A,0)),""))</f>
        <v/>
      </c>
      <c r="F490">
        <f>IF($A490="","",IFERROR(INDEX('[AQ_2024.xlsx]原始数据'!$B:$B,MATCH($A490,'[AQ_2024.xlsx]原始数据'!$A:$A,0)),""))</f>
        <v/>
      </c>
      <c r="G490">
        <f>IF($A490="","",IFERROR(INDEX('[AQ_2020.xlsx]原始数据'!$C:$C,MATCH($A490,'[AQ_2020.xlsx]原始数据'!$A:$A,0)),""))</f>
        <v/>
      </c>
      <c r="H490">
        <f>IF($A490="","",IFERROR(INDEX('[AQ_2021.xlsx]原始数据'!$C:$C,MATCH($A490,'[AQ_2021.xlsx]原始数据'!$A:$A,0)),""))</f>
        <v/>
      </c>
      <c r="I490">
        <f>IF($A490="","",IFERROR(INDEX('[AQ_2022.xlsx]原始数据'!$C:$C,MATCH($A490,'[AQ_2022.xlsx]原始数据'!$A:$A,0)),""))</f>
        <v/>
      </c>
      <c r="J490">
        <f>IF($A490="","",IFERROR(INDEX('[AQ_2023.xlsx]原始数据'!$C:$C,MATCH($A490,'[AQ_2023.xlsx]原始数据'!$A:$A,0)),""))</f>
        <v/>
      </c>
      <c r="K490">
        <f>IF($A490="","",IFERROR(INDEX('[AQ_2024.xlsx]原始数据'!$C:$C,MATCH($A490,'[AQ_2024.xlsx]原始数据'!$A:$A,0)),""))</f>
        <v/>
      </c>
      <c r="L490">
        <f>IF($A490="","",IFERROR(INDEX('[AQ_2020.xlsx]原始数据'!$D:$D,MATCH($A490,'[AQ_2020.xlsx]原始数据'!$A:$A,0)),""))</f>
        <v/>
      </c>
      <c r="M490">
        <f>IF($A490="","",IFERROR(INDEX('[AQ_2021.xlsx]原始数据'!$D:$D,MATCH($A490,'[AQ_2021.xlsx]原始数据'!$A:$A,0)),""))</f>
        <v/>
      </c>
      <c r="N490">
        <f>IF($A490="","",IFERROR(INDEX('[AQ_2022.xlsx]原始数据'!$D:$D,MATCH($A490,'[AQ_2022.xlsx]原始数据'!$A:$A,0)),""))</f>
        <v/>
      </c>
      <c r="O490">
        <f>IF($A490="","",IFERROR(INDEX('[AQ_2023.xlsx]原始数据'!$D:$D,MATCH($A490,'[AQ_2023.xlsx]原始数据'!$A:$A,0)),""))</f>
        <v/>
      </c>
      <c r="P490">
        <f>IF($A490="","",IFERROR(INDEX('[AQ_2024.xlsx]原始数据'!$D:$D,MATCH($A490,'[AQ_2024.xlsx]原始数据'!$A:$A,0)),""))</f>
        <v/>
      </c>
      <c r="Q490">
        <f>IF($A490="","",IFERROR(INDEX('[AQ_2020.xlsx]原始数据'!$E:$E,MATCH($A490,'[AQ_2020.xlsx]原始数据'!$A:$A,0)),""))</f>
        <v/>
      </c>
      <c r="R490">
        <f>IF($A490="","",IFERROR(INDEX('[AQ_2021.xlsx]原始数据'!$E:$E,MATCH($A490,'[AQ_2021.xlsx]原始数据'!$A:$A,0)),""))</f>
        <v/>
      </c>
      <c r="S490">
        <f>IF($A490="","",IFERROR(INDEX('[AQ_2022.xlsx]原始数据'!$E:$E,MATCH($A490,'[AQ_2022.xlsx]原始数据'!$A:$A,0)),""))</f>
        <v/>
      </c>
      <c r="T490">
        <f>IF($A490="","",IFERROR(INDEX('[AQ_2023.xlsx]原始数据'!$E:$E,MATCH($A490,'[AQ_2023.xlsx]原始数据'!$A:$A,0)),""))</f>
        <v/>
      </c>
      <c r="U490">
        <f>IF($A490="","",IFERROR(INDEX('[AQ_2024.xlsx]原始数据'!$E:$E,MATCH($A490,'[AQ_2024.xlsx]原始数据'!$A:$A,0)),""))</f>
        <v/>
      </c>
      <c r="V490">
        <f>IF($A490="","",IFERROR(INDEX('[AQ_2020.xlsx]原始数据'!$F:$F,MATCH($A490,'[AQ_2020.xlsx]原始数据'!$A:$A,0)),""))</f>
        <v/>
      </c>
      <c r="W490">
        <f>IF($A490="","",IFERROR(INDEX('[AQ_2021.xlsx]原始数据'!$F:$F,MATCH($A490,'[AQ_2021.xlsx]原始数据'!$A:$A,0)),""))</f>
        <v/>
      </c>
      <c r="X490">
        <f>IF($A490="","",IFERROR(INDEX('[AQ_2022.xlsx]原始数据'!$F:$F,MATCH($A490,'[AQ_2022.xlsx]原始数据'!$A:$A,0)),""))</f>
        <v/>
      </c>
      <c r="Y490">
        <f>IF($A490="","",IFERROR(INDEX('[AQ_2023.xlsx]原始数据'!$F:$F,MATCH($A490,'[AQ_2023.xlsx]原始数据'!$A:$A,0)),""))</f>
        <v/>
      </c>
      <c r="Z490">
        <f>IF($A490="","",IFERROR(INDEX('[AQ_2024.xlsx]原始数据'!$F:$F,MATCH($A490,'[AQ_2024.xlsx]原始数据'!$A:$A,0)),""))</f>
        <v/>
      </c>
      <c r="AA490" s="2">
        <f>IFERROR(G490/B490,"")</f>
        <v/>
      </c>
      <c r="AB490" s="2">
        <f>IFERROR(H490/C490,"")</f>
        <v/>
      </c>
      <c r="AC490" s="2">
        <f>IFERROR(I490/D490,"")</f>
        <v/>
      </c>
      <c r="AD490" s="2">
        <f>IFERROR(J490/E490,"")</f>
        <v/>
      </c>
      <c r="AE490" s="2">
        <f>IFERROR(K490/F490,"")</f>
        <v/>
      </c>
      <c r="AF490" s="2">
        <f>IFERROR(L490/B490,"")</f>
        <v/>
      </c>
      <c r="AG490" s="2">
        <f>IFERROR(M490/C490,"")</f>
        <v/>
      </c>
      <c r="AH490" s="2">
        <f>IFERROR(N490/D490,"")</f>
        <v/>
      </c>
      <c r="AI490" s="2">
        <f>IFERROR(O490/E490,"")</f>
        <v/>
      </c>
      <c r="AJ490" s="2">
        <f>IFERROR(P490/F490,"")</f>
        <v/>
      </c>
      <c r="AK490" s="2">
        <f>IFERROR(Q490/B490,"")</f>
        <v/>
      </c>
      <c r="AL490" s="2">
        <f>IFERROR(R490/C490,"")</f>
        <v/>
      </c>
      <c r="AM490" s="2">
        <f>IFERROR(S490/D490,"")</f>
        <v/>
      </c>
      <c r="AN490" s="2">
        <f>IFERROR(T490/E490,"")</f>
        <v/>
      </c>
      <c r="AO490" s="2">
        <f>IFERROR(U490/F490,"")</f>
        <v/>
      </c>
    </row>
    <row r="491">
      <c r="B491">
        <f>IF($A491="","",IFERROR(INDEX('[AQ_2020.xlsx]原始数据'!$B:$B,MATCH($A491,'[AQ_2020.xlsx]原始数据'!$A:$A,0)),""))</f>
        <v/>
      </c>
      <c r="C491">
        <f>IF($A491="","",IFERROR(INDEX('[AQ_2021.xlsx]原始数据'!$B:$B,MATCH($A491,'[AQ_2021.xlsx]原始数据'!$A:$A,0)),""))</f>
        <v/>
      </c>
      <c r="D491">
        <f>IF($A491="","",IFERROR(INDEX('[AQ_2022.xlsx]原始数据'!$B:$B,MATCH($A491,'[AQ_2022.xlsx]原始数据'!$A:$A,0)),""))</f>
        <v/>
      </c>
      <c r="E491">
        <f>IF($A491="","",IFERROR(INDEX('[AQ_2023.xlsx]原始数据'!$B:$B,MATCH($A491,'[AQ_2023.xlsx]原始数据'!$A:$A,0)),""))</f>
        <v/>
      </c>
      <c r="F491">
        <f>IF($A491="","",IFERROR(INDEX('[AQ_2024.xlsx]原始数据'!$B:$B,MATCH($A491,'[AQ_2024.xlsx]原始数据'!$A:$A,0)),""))</f>
        <v/>
      </c>
      <c r="G491">
        <f>IF($A491="","",IFERROR(INDEX('[AQ_2020.xlsx]原始数据'!$C:$C,MATCH($A491,'[AQ_2020.xlsx]原始数据'!$A:$A,0)),""))</f>
        <v/>
      </c>
      <c r="H491">
        <f>IF($A491="","",IFERROR(INDEX('[AQ_2021.xlsx]原始数据'!$C:$C,MATCH($A491,'[AQ_2021.xlsx]原始数据'!$A:$A,0)),""))</f>
        <v/>
      </c>
      <c r="I491">
        <f>IF($A491="","",IFERROR(INDEX('[AQ_2022.xlsx]原始数据'!$C:$C,MATCH($A491,'[AQ_2022.xlsx]原始数据'!$A:$A,0)),""))</f>
        <v/>
      </c>
      <c r="J491">
        <f>IF($A491="","",IFERROR(INDEX('[AQ_2023.xlsx]原始数据'!$C:$C,MATCH($A491,'[AQ_2023.xlsx]原始数据'!$A:$A,0)),""))</f>
        <v/>
      </c>
      <c r="K491">
        <f>IF($A491="","",IFERROR(INDEX('[AQ_2024.xlsx]原始数据'!$C:$C,MATCH($A491,'[AQ_2024.xlsx]原始数据'!$A:$A,0)),""))</f>
        <v/>
      </c>
      <c r="L491">
        <f>IF($A491="","",IFERROR(INDEX('[AQ_2020.xlsx]原始数据'!$D:$D,MATCH($A491,'[AQ_2020.xlsx]原始数据'!$A:$A,0)),""))</f>
        <v/>
      </c>
      <c r="M491">
        <f>IF($A491="","",IFERROR(INDEX('[AQ_2021.xlsx]原始数据'!$D:$D,MATCH($A491,'[AQ_2021.xlsx]原始数据'!$A:$A,0)),""))</f>
        <v/>
      </c>
      <c r="N491">
        <f>IF($A491="","",IFERROR(INDEX('[AQ_2022.xlsx]原始数据'!$D:$D,MATCH($A491,'[AQ_2022.xlsx]原始数据'!$A:$A,0)),""))</f>
        <v/>
      </c>
      <c r="O491">
        <f>IF($A491="","",IFERROR(INDEX('[AQ_2023.xlsx]原始数据'!$D:$D,MATCH($A491,'[AQ_2023.xlsx]原始数据'!$A:$A,0)),""))</f>
        <v/>
      </c>
      <c r="P491">
        <f>IF($A491="","",IFERROR(INDEX('[AQ_2024.xlsx]原始数据'!$D:$D,MATCH($A491,'[AQ_2024.xlsx]原始数据'!$A:$A,0)),""))</f>
        <v/>
      </c>
      <c r="Q491">
        <f>IF($A491="","",IFERROR(INDEX('[AQ_2020.xlsx]原始数据'!$E:$E,MATCH($A491,'[AQ_2020.xlsx]原始数据'!$A:$A,0)),""))</f>
        <v/>
      </c>
      <c r="R491">
        <f>IF($A491="","",IFERROR(INDEX('[AQ_2021.xlsx]原始数据'!$E:$E,MATCH($A491,'[AQ_2021.xlsx]原始数据'!$A:$A,0)),""))</f>
        <v/>
      </c>
      <c r="S491">
        <f>IF($A491="","",IFERROR(INDEX('[AQ_2022.xlsx]原始数据'!$E:$E,MATCH($A491,'[AQ_2022.xlsx]原始数据'!$A:$A,0)),""))</f>
        <v/>
      </c>
      <c r="T491">
        <f>IF($A491="","",IFERROR(INDEX('[AQ_2023.xlsx]原始数据'!$E:$E,MATCH($A491,'[AQ_2023.xlsx]原始数据'!$A:$A,0)),""))</f>
        <v/>
      </c>
      <c r="U491">
        <f>IF($A491="","",IFERROR(INDEX('[AQ_2024.xlsx]原始数据'!$E:$E,MATCH($A491,'[AQ_2024.xlsx]原始数据'!$A:$A,0)),""))</f>
        <v/>
      </c>
      <c r="V491">
        <f>IF($A491="","",IFERROR(INDEX('[AQ_2020.xlsx]原始数据'!$F:$F,MATCH($A491,'[AQ_2020.xlsx]原始数据'!$A:$A,0)),""))</f>
        <v/>
      </c>
      <c r="W491">
        <f>IF($A491="","",IFERROR(INDEX('[AQ_2021.xlsx]原始数据'!$F:$F,MATCH($A491,'[AQ_2021.xlsx]原始数据'!$A:$A,0)),""))</f>
        <v/>
      </c>
      <c r="X491">
        <f>IF($A491="","",IFERROR(INDEX('[AQ_2022.xlsx]原始数据'!$F:$F,MATCH($A491,'[AQ_2022.xlsx]原始数据'!$A:$A,0)),""))</f>
        <v/>
      </c>
      <c r="Y491">
        <f>IF($A491="","",IFERROR(INDEX('[AQ_2023.xlsx]原始数据'!$F:$F,MATCH($A491,'[AQ_2023.xlsx]原始数据'!$A:$A,0)),""))</f>
        <v/>
      </c>
      <c r="Z491">
        <f>IF($A491="","",IFERROR(INDEX('[AQ_2024.xlsx]原始数据'!$F:$F,MATCH($A491,'[AQ_2024.xlsx]原始数据'!$A:$A,0)),""))</f>
        <v/>
      </c>
      <c r="AA491" s="2">
        <f>IFERROR(G491/B491,"")</f>
        <v/>
      </c>
      <c r="AB491" s="2">
        <f>IFERROR(H491/C491,"")</f>
        <v/>
      </c>
      <c r="AC491" s="2">
        <f>IFERROR(I491/D491,"")</f>
        <v/>
      </c>
      <c r="AD491" s="2">
        <f>IFERROR(J491/E491,"")</f>
        <v/>
      </c>
      <c r="AE491" s="2">
        <f>IFERROR(K491/F491,"")</f>
        <v/>
      </c>
      <c r="AF491" s="2">
        <f>IFERROR(L491/B491,"")</f>
        <v/>
      </c>
      <c r="AG491" s="2">
        <f>IFERROR(M491/C491,"")</f>
        <v/>
      </c>
      <c r="AH491" s="2">
        <f>IFERROR(N491/D491,"")</f>
        <v/>
      </c>
      <c r="AI491" s="2">
        <f>IFERROR(O491/E491,"")</f>
        <v/>
      </c>
      <c r="AJ491" s="2">
        <f>IFERROR(P491/F491,"")</f>
        <v/>
      </c>
      <c r="AK491" s="2">
        <f>IFERROR(Q491/B491,"")</f>
        <v/>
      </c>
      <c r="AL491" s="2">
        <f>IFERROR(R491/C491,"")</f>
        <v/>
      </c>
      <c r="AM491" s="2">
        <f>IFERROR(S491/D491,"")</f>
        <v/>
      </c>
      <c r="AN491" s="2">
        <f>IFERROR(T491/E491,"")</f>
        <v/>
      </c>
      <c r="AO491" s="2">
        <f>IFERROR(U491/F491,"")</f>
        <v/>
      </c>
    </row>
    <row r="492">
      <c r="B492">
        <f>IF($A492="","",IFERROR(INDEX('[AQ_2020.xlsx]原始数据'!$B:$B,MATCH($A492,'[AQ_2020.xlsx]原始数据'!$A:$A,0)),""))</f>
        <v/>
      </c>
      <c r="C492">
        <f>IF($A492="","",IFERROR(INDEX('[AQ_2021.xlsx]原始数据'!$B:$B,MATCH($A492,'[AQ_2021.xlsx]原始数据'!$A:$A,0)),""))</f>
        <v/>
      </c>
      <c r="D492">
        <f>IF($A492="","",IFERROR(INDEX('[AQ_2022.xlsx]原始数据'!$B:$B,MATCH($A492,'[AQ_2022.xlsx]原始数据'!$A:$A,0)),""))</f>
        <v/>
      </c>
      <c r="E492">
        <f>IF($A492="","",IFERROR(INDEX('[AQ_2023.xlsx]原始数据'!$B:$B,MATCH($A492,'[AQ_2023.xlsx]原始数据'!$A:$A,0)),""))</f>
        <v/>
      </c>
      <c r="F492">
        <f>IF($A492="","",IFERROR(INDEX('[AQ_2024.xlsx]原始数据'!$B:$B,MATCH($A492,'[AQ_2024.xlsx]原始数据'!$A:$A,0)),""))</f>
        <v/>
      </c>
      <c r="G492">
        <f>IF($A492="","",IFERROR(INDEX('[AQ_2020.xlsx]原始数据'!$C:$C,MATCH($A492,'[AQ_2020.xlsx]原始数据'!$A:$A,0)),""))</f>
        <v/>
      </c>
      <c r="H492">
        <f>IF($A492="","",IFERROR(INDEX('[AQ_2021.xlsx]原始数据'!$C:$C,MATCH($A492,'[AQ_2021.xlsx]原始数据'!$A:$A,0)),""))</f>
        <v/>
      </c>
      <c r="I492">
        <f>IF($A492="","",IFERROR(INDEX('[AQ_2022.xlsx]原始数据'!$C:$C,MATCH($A492,'[AQ_2022.xlsx]原始数据'!$A:$A,0)),""))</f>
        <v/>
      </c>
      <c r="J492">
        <f>IF($A492="","",IFERROR(INDEX('[AQ_2023.xlsx]原始数据'!$C:$C,MATCH($A492,'[AQ_2023.xlsx]原始数据'!$A:$A,0)),""))</f>
        <v/>
      </c>
      <c r="K492">
        <f>IF($A492="","",IFERROR(INDEX('[AQ_2024.xlsx]原始数据'!$C:$C,MATCH($A492,'[AQ_2024.xlsx]原始数据'!$A:$A,0)),""))</f>
        <v/>
      </c>
      <c r="L492">
        <f>IF($A492="","",IFERROR(INDEX('[AQ_2020.xlsx]原始数据'!$D:$D,MATCH($A492,'[AQ_2020.xlsx]原始数据'!$A:$A,0)),""))</f>
        <v/>
      </c>
      <c r="M492">
        <f>IF($A492="","",IFERROR(INDEX('[AQ_2021.xlsx]原始数据'!$D:$D,MATCH($A492,'[AQ_2021.xlsx]原始数据'!$A:$A,0)),""))</f>
        <v/>
      </c>
      <c r="N492">
        <f>IF($A492="","",IFERROR(INDEX('[AQ_2022.xlsx]原始数据'!$D:$D,MATCH($A492,'[AQ_2022.xlsx]原始数据'!$A:$A,0)),""))</f>
        <v/>
      </c>
      <c r="O492">
        <f>IF($A492="","",IFERROR(INDEX('[AQ_2023.xlsx]原始数据'!$D:$D,MATCH($A492,'[AQ_2023.xlsx]原始数据'!$A:$A,0)),""))</f>
        <v/>
      </c>
      <c r="P492">
        <f>IF($A492="","",IFERROR(INDEX('[AQ_2024.xlsx]原始数据'!$D:$D,MATCH($A492,'[AQ_2024.xlsx]原始数据'!$A:$A,0)),""))</f>
        <v/>
      </c>
      <c r="Q492">
        <f>IF($A492="","",IFERROR(INDEX('[AQ_2020.xlsx]原始数据'!$E:$E,MATCH($A492,'[AQ_2020.xlsx]原始数据'!$A:$A,0)),""))</f>
        <v/>
      </c>
      <c r="R492">
        <f>IF($A492="","",IFERROR(INDEX('[AQ_2021.xlsx]原始数据'!$E:$E,MATCH($A492,'[AQ_2021.xlsx]原始数据'!$A:$A,0)),""))</f>
        <v/>
      </c>
      <c r="S492">
        <f>IF($A492="","",IFERROR(INDEX('[AQ_2022.xlsx]原始数据'!$E:$E,MATCH($A492,'[AQ_2022.xlsx]原始数据'!$A:$A,0)),""))</f>
        <v/>
      </c>
      <c r="T492">
        <f>IF($A492="","",IFERROR(INDEX('[AQ_2023.xlsx]原始数据'!$E:$E,MATCH($A492,'[AQ_2023.xlsx]原始数据'!$A:$A,0)),""))</f>
        <v/>
      </c>
      <c r="U492">
        <f>IF($A492="","",IFERROR(INDEX('[AQ_2024.xlsx]原始数据'!$E:$E,MATCH($A492,'[AQ_2024.xlsx]原始数据'!$A:$A,0)),""))</f>
        <v/>
      </c>
      <c r="V492">
        <f>IF($A492="","",IFERROR(INDEX('[AQ_2020.xlsx]原始数据'!$F:$F,MATCH($A492,'[AQ_2020.xlsx]原始数据'!$A:$A,0)),""))</f>
        <v/>
      </c>
      <c r="W492">
        <f>IF($A492="","",IFERROR(INDEX('[AQ_2021.xlsx]原始数据'!$F:$F,MATCH($A492,'[AQ_2021.xlsx]原始数据'!$A:$A,0)),""))</f>
        <v/>
      </c>
      <c r="X492">
        <f>IF($A492="","",IFERROR(INDEX('[AQ_2022.xlsx]原始数据'!$F:$F,MATCH($A492,'[AQ_2022.xlsx]原始数据'!$A:$A,0)),""))</f>
        <v/>
      </c>
      <c r="Y492">
        <f>IF($A492="","",IFERROR(INDEX('[AQ_2023.xlsx]原始数据'!$F:$F,MATCH($A492,'[AQ_2023.xlsx]原始数据'!$A:$A,0)),""))</f>
        <v/>
      </c>
      <c r="Z492">
        <f>IF($A492="","",IFERROR(INDEX('[AQ_2024.xlsx]原始数据'!$F:$F,MATCH($A492,'[AQ_2024.xlsx]原始数据'!$A:$A,0)),""))</f>
        <v/>
      </c>
      <c r="AA492" s="2">
        <f>IFERROR(G492/B492,"")</f>
        <v/>
      </c>
      <c r="AB492" s="2">
        <f>IFERROR(H492/C492,"")</f>
        <v/>
      </c>
      <c r="AC492" s="2">
        <f>IFERROR(I492/D492,"")</f>
        <v/>
      </c>
      <c r="AD492" s="2">
        <f>IFERROR(J492/E492,"")</f>
        <v/>
      </c>
      <c r="AE492" s="2">
        <f>IFERROR(K492/F492,"")</f>
        <v/>
      </c>
      <c r="AF492" s="2">
        <f>IFERROR(L492/B492,"")</f>
        <v/>
      </c>
      <c r="AG492" s="2">
        <f>IFERROR(M492/C492,"")</f>
        <v/>
      </c>
      <c r="AH492" s="2">
        <f>IFERROR(N492/D492,"")</f>
        <v/>
      </c>
      <c r="AI492" s="2">
        <f>IFERROR(O492/E492,"")</f>
        <v/>
      </c>
      <c r="AJ492" s="2">
        <f>IFERROR(P492/F492,"")</f>
        <v/>
      </c>
      <c r="AK492" s="2">
        <f>IFERROR(Q492/B492,"")</f>
        <v/>
      </c>
      <c r="AL492" s="2">
        <f>IFERROR(R492/C492,"")</f>
        <v/>
      </c>
      <c r="AM492" s="2">
        <f>IFERROR(S492/D492,"")</f>
        <v/>
      </c>
      <c r="AN492" s="2">
        <f>IFERROR(T492/E492,"")</f>
        <v/>
      </c>
      <c r="AO492" s="2">
        <f>IFERROR(U492/F492,"")</f>
        <v/>
      </c>
    </row>
    <row r="493">
      <c r="B493">
        <f>IF($A493="","",IFERROR(INDEX('[AQ_2020.xlsx]原始数据'!$B:$B,MATCH($A493,'[AQ_2020.xlsx]原始数据'!$A:$A,0)),""))</f>
        <v/>
      </c>
      <c r="C493">
        <f>IF($A493="","",IFERROR(INDEX('[AQ_2021.xlsx]原始数据'!$B:$B,MATCH($A493,'[AQ_2021.xlsx]原始数据'!$A:$A,0)),""))</f>
        <v/>
      </c>
      <c r="D493">
        <f>IF($A493="","",IFERROR(INDEX('[AQ_2022.xlsx]原始数据'!$B:$B,MATCH($A493,'[AQ_2022.xlsx]原始数据'!$A:$A,0)),""))</f>
        <v/>
      </c>
      <c r="E493">
        <f>IF($A493="","",IFERROR(INDEX('[AQ_2023.xlsx]原始数据'!$B:$B,MATCH($A493,'[AQ_2023.xlsx]原始数据'!$A:$A,0)),""))</f>
        <v/>
      </c>
      <c r="F493">
        <f>IF($A493="","",IFERROR(INDEX('[AQ_2024.xlsx]原始数据'!$B:$B,MATCH($A493,'[AQ_2024.xlsx]原始数据'!$A:$A,0)),""))</f>
        <v/>
      </c>
      <c r="G493">
        <f>IF($A493="","",IFERROR(INDEX('[AQ_2020.xlsx]原始数据'!$C:$C,MATCH($A493,'[AQ_2020.xlsx]原始数据'!$A:$A,0)),""))</f>
        <v/>
      </c>
      <c r="H493">
        <f>IF($A493="","",IFERROR(INDEX('[AQ_2021.xlsx]原始数据'!$C:$C,MATCH($A493,'[AQ_2021.xlsx]原始数据'!$A:$A,0)),""))</f>
        <v/>
      </c>
      <c r="I493">
        <f>IF($A493="","",IFERROR(INDEX('[AQ_2022.xlsx]原始数据'!$C:$C,MATCH($A493,'[AQ_2022.xlsx]原始数据'!$A:$A,0)),""))</f>
        <v/>
      </c>
      <c r="J493">
        <f>IF($A493="","",IFERROR(INDEX('[AQ_2023.xlsx]原始数据'!$C:$C,MATCH($A493,'[AQ_2023.xlsx]原始数据'!$A:$A,0)),""))</f>
        <v/>
      </c>
      <c r="K493">
        <f>IF($A493="","",IFERROR(INDEX('[AQ_2024.xlsx]原始数据'!$C:$C,MATCH($A493,'[AQ_2024.xlsx]原始数据'!$A:$A,0)),""))</f>
        <v/>
      </c>
      <c r="L493">
        <f>IF($A493="","",IFERROR(INDEX('[AQ_2020.xlsx]原始数据'!$D:$D,MATCH($A493,'[AQ_2020.xlsx]原始数据'!$A:$A,0)),""))</f>
        <v/>
      </c>
      <c r="M493">
        <f>IF($A493="","",IFERROR(INDEX('[AQ_2021.xlsx]原始数据'!$D:$D,MATCH($A493,'[AQ_2021.xlsx]原始数据'!$A:$A,0)),""))</f>
        <v/>
      </c>
      <c r="N493">
        <f>IF($A493="","",IFERROR(INDEX('[AQ_2022.xlsx]原始数据'!$D:$D,MATCH($A493,'[AQ_2022.xlsx]原始数据'!$A:$A,0)),""))</f>
        <v/>
      </c>
      <c r="O493">
        <f>IF($A493="","",IFERROR(INDEX('[AQ_2023.xlsx]原始数据'!$D:$D,MATCH($A493,'[AQ_2023.xlsx]原始数据'!$A:$A,0)),""))</f>
        <v/>
      </c>
      <c r="P493">
        <f>IF($A493="","",IFERROR(INDEX('[AQ_2024.xlsx]原始数据'!$D:$D,MATCH($A493,'[AQ_2024.xlsx]原始数据'!$A:$A,0)),""))</f>
        <v/>
      </c>
      <c r="Q493">
        <f>IF($A493="","",IFERROR(INDEX('[AQ_2020.xlsx]原始数据'!$E:$E,MATCH($A493,'[AQ_2020.xlsx]原始数据'!$A:$A,0)),""))</f>
        <v/>
      </c>
      <c r="R493">
        <f>IF($A493="","",IFERROR(INDEX('[AQ_2021.xlsx]原始数据'!$E:$E,MATCH($A493,'[AQ_2021.xlsx]原始数据'!$A:$A,0)),""))</f>
        <v/>
      </c>
      <c r="S493">
        <f>IF($A493="","",IFERROR(INDEX('[AQ_2022.xlsx]原始数据'!$E:$E,MATCH($A493,'[AQ_2022.xlsx]原始数据'!$A:$A,0)),""))</f>
        <v/>
      </c>
      <c r="T493">
        <f>IF($A493="","",IFERROR(INDEX('[AQ_2023.xlsx]原始数据'!$E:$E,MATCH($A493,'[AQ_2023.xlsx]原始数据'!$A:$A,0)),""))</f>
        <v/>
      </c>
      <c r="U493">
        <f>IF($A493="","",IFERROR(INDEX('[AQ_2024.xlsx]原始数据'!$E:$E,MATCH($A493,'[AQ_2024.xlsx]原始数据'!$A:$A,0)),""))</f>
        <v/>
      </c>
      <c r="V493">
        <f>IF($A493="","",IFERROR(INDEX('[AQ_2020.xlsx]原始数据'!$F:$F,MATCH($A493,'[AQ_2020.xlsx]原始数据'!$A:$A,0)),""))</f>
        <v/>
      </c>
      <c r="W493">
        <f>IF($A493="","",IFERROR(INDEX('[AQ_2021.xlsx]原始数据'!$F:$F,MATCH($A493,'[AQ_2021.xlsx]原始数据'!$A:$A,0)),""))</f>
        <v/>
      </c>
      <c r="X493">
        <f>IF($A493="","",IFERROR(INDEX('[AQ_2022.xlsx]原始数据'!$F:$F,MATCH($A493,'[AQ_2022.xlsx]原始数据'!$A:$A,0)),""))</f>
        <v/>
      </c>
      <c r="Y493">
        <f>IF($A493="","",IFERROR(INDEX('[AQ_2023.xlsx]原始数据'!$F:$F,MATCH($A493,'[AQ_2023.xlsx]原始数据'!$A:$A,0)),""))</f>
        <v/>
      </c>
      <c r="Z493">
        <f>IF($A493="","",IFERROR(INDEX('[AQ_2024.xlsx]原始数据'!$F:$F,MATCH($A493,'[AQ_2024.xlsx]原始数据'!$A:$A,0)),""))</f>
        <v/>
      </c>
      <c r="AA493" s="2">
        <f>IFERROR(G493/B493,"")</f>
        <v/>
      </c>
      <c r="AB493" s="2">
        <f>IFERROR(H493/C493,"")</f>
        <v/>
      </c>
      <c r="AC493" s="2">
        <f>IFERROR(I493/D493,"")</f>
        <v/>
      </c>
      <c r="AD493" s="2">
        <f>IFERROR(J493/E493,"")</f>
        <v/>
      </c>
      <c r="AE493" s="2">
        <f>IFERROR(K493/F493,"")</f>
        <v/>
      </c>
      <c r="AF493" s="2">
        <f>IFERROR(L493/B493,"")</f>
        <v/>
      </c>
      <c r="AG493" s="2">
        <f>IFERROR(M493/C493,"")</f>
        <v/>
      </c>
      <c r="AH493" s="2">
        <f>IFERROR(N493/D493,"")</f>
        <v/>
      </c>
      <c r="AI493" s="2">
        <f>IFERROR(O493/E493,"")</f>
        <v/>
      </c>
      <c r="AJ493" s="2">
        <f>IFERROR(P493/F493,"")</f>
        <v/>
      </c>
      <c r="AK493" s="2">
        <f>IFERROR(Q493/B493,"")</f>
        <v/>
      </c>
      <c r="AL493" s="2">
        <f>IFERROR(R493/C493,"")</f>
        <v/>
      </c>
      <c r="AM493" s="2">
        <f>IFERROR(S493/D493,"")</f>
        <v/>
      </c>
      <c r="AN493" s="2">
        <f>IFERROR(T493/E493,"")</f>
        <v/>
      </c>
      <c r="AO493" s="2">
        <f>IFERROR(U493/F493,"")</f>
        <v/>
      </c>
    </row>
    <row r="494">
      <c r="B494">
        <f>IF($A494="","",IFERROR(INDEX('[AQ_2020.xlsx]原始数据'!$B:$B,MATCH($A494,'[AQ_2020.xlsx]原始数据'!$A:$A,0)),""))</f>
        <v/>
      </c>
      <c r="C494">
        <f>IF($A494="","",IFERROR(INDEX('[AQ_2021.xlsx]原始数据'!$B:$B,MATCH($A494,'[AQ_2021.xlsx]原始数据'!$A:$A,0)),""))</f>
        <v/>
      </c>
      <c r="D494">
        <f>IF($A494="","",IFERROR(INDEX('[AQ_2022.xlsx]原始数据'!$B:$B,MATCH($A494,'[AQ_2022.xlsx]原始数据'!$A:$A,0)),""))</f>
        <v/>
      </c>
      <c r="E494">
        <f>IF($A494="","",IFERROR(INDEX('[AQ_2023.xlsx]原始数据'!$B:$B,MATCH($A494,'[AQ_2023.xlsx]原始数据'!$A:$A,0)),""))</f>
        <v/>
      </c>
      <c r="F494">
        <f>IF($A494="","",IFERROR(INDEX('[AQ_2024.xlsx]原始数据'!$B:$B,MATCH($A494,'[AQ_2024.xlsx]原始数据'!$A:$A,0)),""))</f>
        <v/>
      </c>
      <c r="G494">
        <f>IF($A494="","",IFERROR(INDEX('[AQ_2020.xlsx]原始数据'!$C:$C,MATCH($A494,'[AQ_2020.xlsx]原始数据'!$A:$A,0)),""))</f>
        <v/>
      </c>
      <c r="H494">
        <f>IF($A494="","",IFERROR(INDEX('[AQ_2021.xlsx]原始数据'!$C:$C,MATCH($A494,'[AQ_2021.xlsx]原始数据'!$A:$A,0)),""))</f>
        <v/>
      </c>
      <c r="I494">
        <f>IF($A494="","",IFERROR(INDEX('[AQ_2022.xlsx]原始数据'!$C:$C,MATCH($A494,'[AQ_2022.xlsx]原始数据'!$A:$A,0)),""))</f>
        <v/>
      </c>
      <c r="J494">
        <f>IF($A494="","",IFERROR(INDEX('[AQ_2023.xlsx]原始数据'!$C:$C,MATCH($A494,'[AQ_2023.xlsx]原始数据'!$A:$A,0)),""))</f>
        <v/>
      </c>
      <c r="K494">
        <f>IF($A494="","",IFERROR(INDEX('[AQ_2024.xlsx]原始数据'!$C:$C,MATCH($A494,'[AQ_2024.xlsx]原始数据'!$A:$A,0)),""))</f>
        <v/>
      </c>
      <c r="L494">
        <f>IF($A494="","",IFERROR(INDEX('[AQ_2020.xlsx]原始数据'!$D:$D,MATCH($A494,'[AQ_2020.xlsx]原始数据'!$A:$A,0)),""))</f>
        <v/>
      </c>
      <c r="M494">
        <f>IF($A494="","",IFERROR(INDEX('[AQ_2021.xlsx]原始数据'!$D:$D,MATCH($A494,'[AQ_2021.xlsx]原始数据'!$A:$A,0)),""))</f>
        <v/>
      </c>
      <c r="N494">
        <f>IF($A494="","",IFERROR(INDEX('[AQ_2022.xlsx]原始数据'!$D:$D,MATCH($A494,'[AQ_2022.xlsx]原始数据'!$A:$A,0)),""))</f>
        <v/>
      </c>
      <c r="O494">
        <f>IF($A494="","",IFERROR(INDEX('[AQ_2023.xlsx]原始数据'!$D:$D,MATCH($A494,'[AQ_2023.xlsx]原始数据'!$A:$A,0)),""))</f>
        <v/>
      </c>
      <c r="P494">
        <f>IF($A494="","",IFERROR(INDEX('[AQ_2024.xlsx]原始数据'!$D:$D,MATCH($A494,'[AQ_2024.xlsx]原始数据'!$A:$A,0)),""))</f>
        <v/>
      </c>
      <c r="Q494">
        <f>IF($A494="","",IFERROR(INDEX('[AQ_2020.xlsx]原始数据'!$E:$E,MATCH($A494,'[AQ_2020.xlsx]原始数据'!$A:$A,0)),""))</f>
        <v/>
      </c>
      <c r="R494">
        <f>IF($A494="","",IFERROR(INDEX('[AQ_2021.xlsx]原始数据'!$E:$E,MATCH($A494,'[AQ_2021.xlsx]原始数据'!$A:$A,0)),""))</f>
        <v/>
      </c>
      <c r="S494">
        <f>IF($A494="","",IFERROR(INDEX('[AQ_2022.xlsx]原始数据'!$E:$E,MATCH($A494,'[AQ_2022.xlsx]原始数据'!$A:$A,0)),""))</f>
        <v/>
      </c>
      <c r="T494">
        <f>IF($A494="","",IFERROR(INDEX('[AQ_2023.xlsx]原始数据'!$E:$E,MATCH($A494,'[AQ_2023.xlsx]原始数据'!$A:$A,0)),""))</f>
        <v/>
      </c>
      <c r="U494">
        <f>IF($A494="","",IFERROR(INDEX('[AQ_2024.xlsx]原始数据'!$E:$E,MATCH($A494,'[AQ_2024.xlsx]原始数据'!$A:$A,0)),""))</f>
        <v/>
      </c>
      <c r="V494">
        <f>IF($A494="","",IFERROR(INDEX('[AQ_2020.xlsx]原始数据'!$F:$F,MATCH($A494,'[AQ_2020.xlsx]原始数据'!$A:$A,0)),""))</f>
        <v/>
      </c>
      <c r="W494">
        <f>IF($A494="","",IFERROR(INDEX('[AQ_2021.xlsx]原始数据'!$F:$F,MATCH($A494,'[AQ_2021.xlsx]原始数据'!$A:$A,0)),""))</f>
        <v/>
      </c>
      <c r="X494">
        <f>IF($A494="","",IFERROR(INDEX('[AQ_2022.xlsx]原始数据'!$F:$F,MATCH($A494,'[AQ_2022.xlsx]原始数据'!$A:$A,0)),""))</f>
        <v/>
      </c>
      <c r="Y494">
        <f>IF($A494="","",IFERROR(INDEX('[AQ_2023.xlsx]原始数据'!$F:$F,MATCH($A494,'[AQ_2023.xlsx]原始数据'!$A:$A,0)),""))</f>
        <v/>
      </c>
      <c r="Z494">
        <f>IF($A494="","",IFERROR(INDEX('[AQ_2024.xlsx]原始数据'!$F:$F,MATCH($A494,'[AQ_2024.xlsx]原始数据'!$A:$A,0)),""))</f>
        <v/>
      </c>
      <c r="AA494" s="2">
        <f>IFERROR(G494/B494,"")</f>
        <v/>
      </c>
      <c r="AB494" s="2">
        <f>IFERROR(H494/C494,"")</f>
        <v/>
      </c>
      <c r="AC494" s="2">
        <f>IFERROR(I494/D494,"")</f>
        <v/>
      </c>
      <c r="AD494" s="2">
        <f>IFERROR(J494/E494,"")</f>
        <v/>
      </c>
      <c r="AE494" s="2">
        <f>IFERROR(K494/F494,"")</f>
        <v/>
      </c>
      <c r="AF494" s="2">
        <f>IFERROR(L494/B494,"")</f>
        <v/>
      </c>
      <c r="AG494" s="2">
        <f>IFERROR(M494/C494,"")</f>
        <v/>
      </c>
      <c r="AH494" s="2">
        <f>IFERROR(N494/D494,"")</f>
        <v/>
      </c>
      <c r="AI494" s="2">
        <f>IFERROR(O494/E494,"")</f>
        <v/>
      </c>
      <c r="AJ494" s="2">
        <f>IFERROR(P494/F494,"")</f>
        <v/>
      </c>
      <c r="AK494" s="2">
        <f>IFERROR(Q494/B494,"")</f>
        <v/>
      </c>
      <c r="AL494" s="2">
        <f>IFERROR(R494/C494,"")</f>
        <v/>
      </c>
      <c r="AM494" s="2">
        <f>IFERROR(S494/D494,"")</f>
        <v/>
      </c>
      <c r="AN494" s="2">
        <f>IFERROR(T494/E494,"")</f>
        <v/>
      </c>
      <c r="AO494" s="2">
        <f>IFERROR(U494/F494,"")</f>
        <v/>
      </c>
    </row>
    <row r="495">
      <c r="B495">
        <f>IF($A495="","",IFERROR(INDEX('[AQ_2020.xlsx]原始数据'!$B:$B,MATCH($A495,'[AQ_2020.xlsx]原始数据'!$A:$A,0)),""))</f>
        <v/>
      </c>
      <c r="C495">
        <f>IF($A495="","",IFERROR(INDEX('[AQ_2021.xlsx]原始数据'!$B:$B,MATCH($A495,'[AQ_2021.xlsx]原始数据'!$A:$A,0)),""))</f>
        <v/>
      </c>
      <c r="D495">
        <f>IF($A495="","",IFERROR(INDEX('[AQ_2022.xlsx]原始数据'!$B:$B,MATCH($A495,'[AQ_2022.xlsx]原始数据'!$A:$A,0)),""))</f>
        <v/>
      </c>
      <c r="E495">
        <f>IF($A495="","",IFERROR(INDEX('[AQ_2023.xlsx]原始数据'!$B:$B,MATCH($A495,'[AQ_2023.xlsx]原始数据'!$A:$A,0)),""))</f>
        <v/>
      </c>
      <c r="F495">
        <f>IF($A495="","",IFERROR(INDEX('[AQ_2024.xlsx]原始数据'!$B:$B,MATCH($A495,'[AQ_2024.xlsx]原始数据'!$A:$A,0)),""))</f>
        <v/>
      </c>
      <c r="G495">
        <f>IF($A495="","",IFERROR(INDEX('[AQ_2020.xlsx]原始数据'!$C:$C,MATCH($A495,'[AQ_2020.xlsx]原始数据'!$A:$A,0)),""))</f>
        <v/>
      </c>
      <c r="H495">
        <f>IF($A495="","",IFERROR(INDEX('[AQ_2021.xlsx]原始数据'!$C:$C,MATCH($A495,'[AQ_2021.xlsx]原始数据'!$A:$A,0)),""))</f>
        <v/>
      </c>
      <c r="I495">
        <f>IF($A495="","",IFERROR(INDEX('[AQ_2022.xlsx]原始数据'!$C:$C,MATCH($A495,'[AQ_2022.xlsx]原始数据'!$A:$A,0)),""))</f>
        <v/>
      </c>
      <c r="J495">
        <f>IF($A495="","",IFERROR(INDEX('[AQ_2023.xlsx]原始数据'!$C:$C,MATCH($A495,'[AQ_2023.xlsx]原始数据'!$A:$A,0)),""))</f>
        <v/>
      </c>
      <c r="K495">
        <f>IF($A495="","",IFERROR(INDEX('[AQ_2024.xlsx]原始数据'!$C:$C,MATCH($A495,'[AQ_2024.xlsx]原始数据'!$A:$A,0)),""))</f>
        <v/>
      </c>
      <c r="L495">
        <f>IF($A495="","",IFERROR(INDEX('[AQ_2020.xlsx]原始数据'!$D:$D,MATCH($A495,'[AQ_2020.xlsx]原始数据'!$A:$A,0)),""))</f>
        <v/>
      </c>
      <c r="M495">
        <f>IF($A495="","",IFERROR(INDEX('[AQ_2021.xlsx]原始数据'!$D:$D,MATCH($A495,'[AQ_2021.xlsx]原始数据'!$A:$A,0)),""))</f>
        <v/>
      </c>
      <c r="N495">
        <f>IF($A495="","",IFERROR(INDEX('[AQ_2022.xlsx]原始数据'!$D:$D,MATCH($A495,'[AQ_2022.xlsx]原始数据'!$A:$A,0)),""))</f>
        <v/>
      </c>
      <c r="O495">
        <f>IF($A495="","",IFERROR(INDEX('[AQ_2023.xlsx]原始数据'!$D:$D,MATCH($A495,'[AQ_2023.xlsx]原始数据'!$A:$A,0)),""))</f>
        <v/>
      </c>
      <c r="P495">
        <f>IF($A495="","",IFERROR(INDEX('[AQ_2024.xlsx]原始数据'!$D:$D,MATCH($A495,'[AQ_2024.xlsx]原始数据'!$A:$A,0)),""))</f>
        <v/>
      </c>
      <c r="Q495">
        <f>IF($A495="","",IFERROR(INDEX('[AQ_2020.xlsx]原始数据'!$E:$E,MATCH($A495,'[AQ_2020.xlsx]原始数据'!$A:$A,0)),""))</f>
        <v/>
      </c>
      <c r="R495">
        <f>IF($A495="","",IFERROR(INDEX('[AQ_2021.xlsx]原始数据'!$E:$E,MATCH($A495,'[AQ_2021.xlsx]原始数据'!$A:$A,0)),""))</f>
        <v/>
      </c>
      <c r="S495">
        <f>IF($A495="","",IFERROR(INDEX('[AQ_2022.xlsx]原始数据'!$E:$E,MATCH($A495,'[AQ_2022.xlsx]原始数据'!$A:$A,0)),""))</f>
        <v/>
      </c>
      <c r="T495">
        <f>IF($A495="","",IFERROR(INDEX('[AQ_2023.xlsx]原始数据'!$E:$E,MATCH($A495,'[AQ_2023.xlsx]原始数据'!$A:$A,0)),""))</f>
        <v/>
      </c>
      <c r="U495">
        <f>IF($A495="","",IFERROR(INDEX('[AQ_2024.xlsx]原始数据'!$E:$E,MATCH($A495,'[AQ_2024.xlsx]原始数据'!$A:$A,0)),""))</f>
        <v/>
      </c>
      <c r="V495">
        <f>IF($A495="","",IFERROR(INDEX('[AQ_2020.xlsx]原始数据'!$F:$F,MATCH($A495,'[AQ_2020.xlsx]原始数据'!$A:$A,0)),""))</f>
        <v/>
      </c>
      <c r="W495">
        <f>IF($A495="","",IFERROR(INDEX('[AQ_2021.xlsx]原始数据'!$F:$F,MATCH($A495,'[AQ_2021.xlsx]原始数据'!$A:$A,0)),""))</f>
        <v/>
      </c>
      <c r="X495">
        <f>IF($A495="","",IFERROR(INDEX('[AQ_2022.xlsx]原始数据'!$F:$F,MATCH($A495,'[AQ_2022.xlsx]原始数据'!$A:$A,0)),""))</f>
        <v/>
      </c>
      <c r="Y495">
        <f>IF($A495="","",IFERROR(INDEX('[AQ_2023.xlsx]原始数据'!$F:$F,MATCH($A495,'[AQ_2023.xlsx]原始数据'!$A:$A,0)),""))</f>
        <v/>
      </c>
      <c r="Z495">
        <f>IF($A495="","",IFERROR(INDEX('[AQ_2024.xlsx]原始数据'!$F:$F,MATCH($A495,'[AQ_2024.xlsx]原始数据'!$A:$A,0)),""))</f>
        <v/>
      </c>
      <c r="AA495" s="2">
        <f>IFERROR(G495/B495,"")</f>
        <v/>
      </c>
      <c r="AB495" s="2">
        <f>IFERROR(H495/C495,"")</f>
        <v/>
      </c>
      <c r="AC495" s="2">
        <f>IFERROR(I495/D495,"")</f>
        <v/>
      </c>
      <c r="AD495" s="2">
        <f>IFERROR(J495/E495,"")</f>
        <v/>
      </c>
      <c r="AE495" s="2">
        <f>IFERROR(K495/F495,"")</f>
        <v/>
      </c>
      <c r="AF495" s="2">
        <f>IFERROR(L495/B495,"")</f>
        <v/>
      </c>
      <c r="AG495" s="2">
        <f>IFERROR(M495/C495,"")</f>
        <v/>
      </c>
      <c r="AH495" s="2">
        <f>IFERROR(N495/D495,"")</f>
        <v/>
      </c>
      <c r="AI495" s="2">
        <f>IFERROR(O495/E495,"")</f>
        <v/>
      </c>
      <c r="AJ495" s="2">
        <f>IFERROR(P495/F495,"")</f>
        <v/>
      </c>
      <c r="AK495" s="2">
        <f>IFERROR(Q495/B495,"")</f>
        <v/>
      </c>
      <c r="AL495" s="2">
        <f>IFERROR(R495/C495,"")</f>
        <v/>
      </c>
      <c r="AM495" s="2">
        <f>IFERROR(S495/D495,"")</f>
        <v/>
      </c>
      <c r="AN495" s="2">
        <f>IFERROR(T495/E495,"")</f>
        <v/>
      </c>
      <c r="AO495" s="2">
        <f>IFERROR(U495/F495,"")</f>
        <v/>
      </c>
    </row>
    <row r="496">
      <c r="B496">
        <f>IF($A496="","",IFERROR(INDEX('[AQ_2020.xlsx]原始数据'!$B:$B,MATCH($A496,'[AQ_2020.xlsx]原始数据'!$A:$A,0)),""))</f>
        <v/>
      </c>
      <c r="C496">
        <f>IF($A496="","",IFERROR(INDEX('[AQ_2021.xlsx]原始数据'!$B:$B,MATCH($A496,'[AQ_2021.xlsx]原始数据'!$A:$A,0)),""))</f>
        <v/>
      </c>
      <c r="D496">
        <f>IF($A496="","",IFERROR(INDEX('[AQ_2022.xlsx]原始数据'!$B:$B,MATCH($A496,'[AQ_2022.xlsx]原始数据'!$A:$A,0)),""))</f>
        <v/>
      </c>
      <c r="E496">
        <f>IF($A496="","",IFERROR(INDEX('[AQ_2023.xlsx]原始数据'!$B:$B,MATCH($A496,'[AQ_2023.xlsx]原始数据'!$A:$A,0)),""))</f>
        <v/>
      </c>
      <c r="F496">
        <f>IF($A496="","",IFERROR(INDEX('[AQ_2024.xlsx]原始数据'!$B:$B,MATCH($A496,'[AQ_2024.xlsx]原始数据'!$A:$A,0)),""))</f>
        <v/>
      </c>
      <c r="G496">
        <f>IF($A496="","",IFERROR(INDEX('[AQ_2020.xlsx]原始数据'!$C:$C,MATCH($A496,'[AQ_2020.xlsx]原始数据'!$A:$A,0)),""))</f>
        <v/>
      </c>
      <c r="H496">
        <f>IF($A496="","",IFERROR(INDEX('[AQ_2021.xlsx]原始数据'!$C:$C,MATCH($A496,'[AQ_2021.xlsx]原始数据'!$A:$A,0)),""))</f>
        <v/>
      </c>
      <c r="I496">
        <f>IF($A496="","",IFERROR(INDEX('[AQ_2022.xlsx]原始数据'!$C:$C,MATCH($A496,'[AQ_2022.xlsx]原始数据'!$A:$A,0)),""))</f>
        <v/>
      </c>
      <c r="J496">
        <f>IF($A496="","",IFERROR(INDEX('[AQ_2023.xlsx]原始数据'!$C:$C,MATCH($A496,'[AQ_2023.xlsx]原始数据'!$A:$A,0)),""))</f>
        <v/>
      </c>
      <c r="K496">
        <f>IF($A496="","",IFERROR(INDEX('[AQ_2024.xlsx]原始数据'!$C:$C,MATCH($A496,'[AQ_2024.xlsx]原始数据'!$A:$A,0)),""))</f>
        <v/>
      </c>
      <c r="L496">
        <f>IF($A496="","",IFERROR(INDEX('[AQ_2020.xlsx]原始数据'!$D:$D,MATCH($A496,'[AQ_2020.xlsx]原始数据'!$A:$A,0)),""))</f>
        <v/>
      </c>
      <c r="M496">
        <f>IF($A496="","",IFERROR(INDEX('[AQ_2021.xlsx]原始数据'!$D:$D,MATCH($A496,'[AQ_2021.xlsx]原始数据'!$A:$A,0)),""))</f>
        <v/>
      </c>
      <c r="N496">
        <f>IF($A496="","",IFERROR(INDEX('[AQ_2022.xlsx]原始数据'!$D:$D,MATCH($A496,'[AQ_2022.xlsx]原始数据'!$A:$A,0)),""))</f>
        <v/>
      </c>
      <c r="O496">
        <f>IF($A496="","",IFERROR(INDEX('[AQ_2023.xlsx]原始数据'!$D:$D,MATCH($A496,'[AQ_2023.xlsx]原始数据'!$A:$A,0)),""))</f>
        <v/>
      </c>
      <c r="P496">
        <f>IF($A496="","",IFERROR(INDEX('[AQ_2024.xlsx]原始数据'!$D:$D,MATCH($A496,'[AQ_2024.xlsx]原始数据'!$A:$A,0)),""))</f>
        <v/>
      </c>
      <c r="Q496">
        <f>IF($A496="","",IFERROR(INDEX('[AQ_2020.xlsx]原始数据'!$E:$E,MATCH($A496,'[AQ_2020.xlsx]原始数据'!$A:$A,0)),""))</f>
        <v/>
      </c>
      <c r="R496">
        <f>IF($A496="","",IFERROR(INDEX('[AQ_2021.xlsx]原始数据'!$E:$E,MATCH($A496,'[AQ_2021.xlsx]原始数据'!$A:$A,0)),""))</f>
        <v/>
      </c>
      <c r="S496">
        <f>IF($A496="","",IFERROR(INDEX('[AQ_2022.xlsx]原始数据'!$E:$E,MATCH($A496,'[AQ_2022.xlsx]原始数据'!$A:$A,0)),""))</f>
        <v/>
      </c>
      <c r="T496">
        <f>IF($A496="","",IFERROR(INDEX('[AQ_2023.xlsx]原始数据'!$E:$E,MATCH($A496,'[AQ_2023.xlsx]原始数据'!$A:$A,0)),""))</f>
        <v/>
      </c>
      <c r="U496">
        <f>IF($A496="","",IFERROR(INDEX('[AQ_2024.xlsx]原始数据'!$E:$E,MATCH($A496,'[AQ_2024.xlsx]原始数据'!$A:$A,0)),""))</f>
        <v/>
      </c>
      <c r="V496">
        <f>IF($A496="","",IFERROR(INDEX('[AQ_2020.xlsx]原始数据'!$F:$F,MATCH($A496,'[AQ_2020.xlsx]原始数据'!$A:$A,0)),""))</f>
        <v/>
      </c>
      <c r="W496">
        <f>IF($A496="","",IFERROR(INDEX('[AQ_2021.xlsx]原始数据'!$F:$F,MATCH($A496,'[AQ_2021.xlsx]原始数据'!$A:$A,0)),""))</f>
        <v/>
      </c>
      <c r="X496">
        <f>IF($A496="","",IFERROR(INDEX('[AQ_2022.xlsx]原始数据'!$F:$F,MATCH($A496,'[AQ_2022.xlsx]原始数据'!$A:$A,0)),""))</f>
        <v/>
      </c>
      <c r="Y496">
        <f>IF($A496="","",IFERROR(INDEX('[AQ_2023.xlsx]原始数据'!$F:$F,MATCH($A496,'[AQ_2023.xlsx]原始数据'!$A:$A,0)),""))</f>
        <v/>
      </c>
      <c r="Z496">
        <f>IF($A496="","",IFERROR(INDEX('[AQ_2024.xlsx]原始数据'!$F:$F,MATCH($A496,'[AQ_2024.xlsx]原始数据'!$A:$A,0)),""))</f>
        <v/>
      </c>
      <c r="AA496" s="2">
        <f>IFERROR(G496/B496,"")</f>
        <v/>
      </c>
      <c r="AB496" s="2">
        <f>IFERROR(H496/C496,"")</f>
        <v/>
      </c>
      <c r="AC496" s="2">
        <f>IFERROR(I496/D496,"")</f>
        <v/>
      </c>
      <c r="AD496" s="2">
        <f>IFERROR(J496/E496,"")</f>
        <v/>
      </c>
      <c r="AE496" s="2">
        <f>IFERROR(K496/F496,"")</f>
        <v/>
      </c>
      <c r="AF496" s="2">
        <f>IFERROR(L496/B496,"")</f>
        <v/>
      </c>
      <c r="AG496" s="2">
        <f>IFERROR(M496/C496,"")</f>
        <v/>
      </c>
      <c r="AH496" s="2">
        <f>IFERROR(N496/D496,"")</f>
        <v/>
      </c>
      <c r="AI496" s="2">
        <f>IFERROR(O496/E496,"")</f>
        <v/>
      </c>
      <c r="AJ496" s="2">
        <f>IFERROR(P496/F496,"")</f>
        <v/>
      </c>
      <c r="AK496" s="2">
        <f>IFERROR(Q496/B496,"")</f>
        <v/>
      </c>
      <c r="AL496" s="2">
        <f>IFERROR(R496/C496,"")</f>
        <v/>
      </c>
      <c r="AM496" s="2">
        <f>IFERROR(S496/D496,"")</f>
        <v/>
      </c>
      <c r="AN496" s="2">
        <f>IFERROR(T496/E496,"")</f>
        <v/>
      </c>
      <c r="AO496" s="2">
        <f>IFERROR(U496/F496,"")</f>
        <v/>
      </c>
    </row>
    <row r="497">
      <c r="B497">
        <f>IF($A497="","",IFERROR(INDEX('[AQ_2020.xlsx]原始数据'!$B:$B,MATCH($A497,'[AQ_2020.xlsx]原始数据'!$A:$A,0)),""))</f>
        <v/>
      </c>
      <c r="C497">
        <f>IF($A497="","",IFERROR(INDEX('[AQ_2021.xlsx]原始数据'!$B:$B,MATCH($A497,'[AQ_2021.xlsx]原始数据'!$A:$A,0)),""))</f>
        <v/>
      </c>
      <c r="D497">
        <f>IF($A497="","",IFERROR(INDEX('[AQ_2022.xlsx]原始数据'!$B:$B,MATCH($A497,'[AQ_2022.xlsx]原始数据'!$A:$A,0)),""))</f>
        <v/>
      </c>
      <c r="E497">
        <f>IF($A497="","",IFERROR(INDEX('[AQ_2023.xlsx]原始数据'!$B:$B,MATCH($A497,'[AQ_2023.xlsx]原始数据'!$A:$A,0)),""))</f>
        <v/>
      </c>
      <c r="F497">
        <f>IF($A497="","",IFERROR(INDEX('[AQ_2024.xlsx]原始数据'!$B:$B,MATCH($A497,'[AQ_2024.xlsx]原始数据'!$A:$A,0)),""))</f>
        <v/>
      </c>
      <c r="G497">
        <f>IF($A497="","",IFERROR(INDEX('[AQ_2020.xlsx]原始数据'!$C:$C,MATCH($A497,'[AQ_2020.xlsx]原始数据'!$A:$A,0)),""))</f>
        <v/>
      </c>
      <c r="H497">
        <f>IF($A497="","",IFERROR(INDEX('[AQ_2021.xlsx]原始数据'!$C:$C,MATCH($A497,'[AQ_2021.xlsx]原始数据'!$A:$A,0)),""))</f>
        <v/>
      </c>
      <c r="I497">
        <f>IF($A497="","",IFERROR(INDEX('[AQ_2022.xlsx]原始数据'!$C:$C,MATCH($A497,'[AQ_2022.xlsx]原始数据'!$A:$A,0)),""))</f>
        <v/>
      </c>
      <c r="J497">
        <f>IF($A497="","",IFERROR(INDEX('[AQ_2023.xlsx]原始数据'!$C:$C,MATCH($A497,'[AQ_2023.xlsx]原始数据'!$A:$A,0)),""))</f>
        <v/>
      </c>
      <c r="K497">
        <f>IF($A497="","",IFERROR(INDEX('[AQ_2024.xlsx]原始数据'!$C:$C,MATCH($A497,'[AQ_2024.xlsx]原始数据'!$A:$A,0)),""))</f>
        <v/>
      </c>
      <c r="L497">
        <f>IF($A497="","",IFERROR(INDEX('[AQ_2020.xlsx]原始数据'!$D:$D,MATCH($A497,'[AQ_2020.xlsx]原始数据'!$A:$A,0)),""))</f>
        <v/>
      </c>
      <c r="M497">
        <f>IF($A497="","",IFERROR(INDEX('[AQ_2021.xlsx]原始数据'!$D:$D,MATCH($A497,'[AQ_2021.xlsx]原始数据'!$A:$A,0)),""))</f>
        <v/>
      </c>
      <c r="N497">
        <f>IF($A497="","",IFERROR(INDEX('[AQ_2022.xlsx]原始数据'!$D:$D,MATCH($A497,'[AQ_2022.xlsx]原始数据'!$A:$A,0)),""))</f>
        <v/>
      </c>
      <c r="O497">
        <f>IF($A497="","",IFERROR(INDEX('[AQ_2023.xlsx]原始数据'!$D:$D,MATCH($A497,'[AQ_2023.xlsx]原始数据'!$A:$A,0)),""))</f>
        <v/>
      </c>
      <c r="P497">
        <f>IF($A497="","",IFERROR(INDEX('[AQ_2024.xlsx]原始数据'!$D:$D,MATCH($A497,'[AQ_2024.xlsx]原始数据'!$A:$A,0)),""))</f>
        <v/>
      </c>
      <c r="Q497">
        <f>IF($A497="","",IFERROR(INDEX('[AQ_2020.xlsx]原始数据'!$E:$E,MATCH($A497,'[AQ_2020.xlsx]原始数据'!$A:$A,0)),""))</f>
        <v/>
      </c>
      <c r="R497">
        <f>IF($A497="","",IFERROR(INDEX('[AQ_2021.xlsx]原始数据'!$E:$E,MATCH($A497,'[AQ_2021.xlsx]原始数据'!$A:$A,0)),""))</f>
        <v/>
      </c>
      <c r="S497">
        <f>IF($A497="","",IFERROR(INDEX('[AQ_2022.xlsx]原始数据'!$E:$E,MATCH($A497,'[AQ_2022.xlsx]原始数据'!$A:$A,0)),""))</f>
        <v/>
      </c>
      <c r="T497">
        <f>IF($A497="","",IFERROR(INDEX('[AQ_2023.xlsx]原始数据'!$E:$E,MATCH($A497,'[AQ_2023.xlsx]原始数据'!$A:$A,0)),""))</f>
        <v/>
      </c>
      <c r="U497">
        <f>IF($A497="","",IFERROR(INDEX('[AQ_2024.xlsx]原始数据'!$E:$E,MATCH($A497,'[AQ_2024.xlsx]原始数据'!$A:$A,0)),""))</f>
        <v/>
      </c>
      <c r="V497">
        <f>IF($A497="","",IFERROR(INDEX('[AQ_2020.xlsx]原始数据'!$F:$F,MATCH($A497,'[AQ_2020.xlsx]原始数据'!$A:$A,0)),""))</f>
        <v/>
      </c>
      <c r="W497">
        <f>IF($A497="","",IFERROR(INDEX('[AQ_2021.xlsx]原始数据'!$F:$F,MATCH($A497,'[AQ_2021.xlsx]原始数据'!$A:$A,0)),""))</f>
        <v/>
      </c>
      <c r="X497">
        <f>IF($A497="","",IFERROR(INDEX('[AQ_2022.xlsx]原始数据'!$F:$F,MATCH($A497,'[AQ_2022.xlsx]原始数据'!$A:$A,0)),""))</f>
        <v/>
      </c>
      <c r="Y497">
        <f>IF($A497="","",IFERROR(INDEX('[AQ_2023.xlsx]原始数据'!$F:$F,MATCH($A497,'[AQ_2023.xlsx]原始数据'!$A:$A,0)),""))</f>
        <v/>
      </c>
      <c r="Z497">
        <f>IF($A497="","",IFERROR(INDEX('[AQ_2024.xlsx]原始数据'!$F:$F,MATCH($A497,'[AQ_2024.xlsx]原始数据'!$A:$A,0)),""))</f>
        <v/>
      </c>
      <c r="AA497" s="2">
        <f>IFERROR(G497/B497,"")</f>
        <v/>
      </c>
      <c r="AB497" s="2">
        <f>IFERROR(H497/C497,"")</f>
        <v/>
      </c>
      <c r="AC497" s="2">
        <f>IFERROR(I497/D497,"")</f>
        <v/>
      </c>
      <c r="AD497" s="2">
        <f>IFERROR(J497/E497,"")</f>
        <v/>
      </c>
      <c r="AE497" s="2">
        <f>IFERROR(K497/F497,"")</f>
        <v/>
      </c>
      <c r="AF497" s="2">
        <f>IFERROR(L497/B497,"")</f>
        <v/>
      </c>
      <c r="AG497" s="2">
        <f>IFERROR(M497/C497,"")</f>
        <v/>
      </c>
      <c r="AH497" s="2">
        <f>IFERROR(N497/D497,"")</f>
        <v/>
      </c>
      <c r="AI497" s="2">
        <f>IFERROR(O497/E497,"")</f>
        <v/>
      </c>
      <c r="AJ497" s="2">
        <f>IFERROR(P497/F497,"")</f>
        <v/>
      </c>
      <c r="AK497" s="2">
        <f>IFERROR(Q497/B497,"")</f>
        <v/>
      </c>
      <c r="AL497" s="2">
        <f>IFERROR(R497/C497,"")</f>
        <v/>
      </c>
      <c r="AM497" s="2">
        <f>IFERROR(S497/D497,"")</f>
        <v/>
      </c>
      <c r="AN497" s="2">
        <f>IFERROR(T497/E497,"")</f>
        <v/>
      </c>
      <c r="AO497" s="2">
        <f>IFERROR(U497/F497,"")</f>
        <v/>
      </c>
    </row>
    <row r="498">
      <c r="B498">
        <f>IF($A498="","",IFERROR(INDEX('[AQ_2020.xlsx]原始数据'!$B:$B,MATCH($A498,'[AQ_2020.xlsx]原始数据'!$A:$A,0)),""))</f>
        <v/>
      </c>
      <c r="C498">
        <f>IF($A498="","",IFERROR(INDEX('[AQ_2021.xlsx]原始数据'!$B:$B,MATCH($A498,'[AQ_2021.xlsx]原始数据'!$A:$A,0)),""))</f>
        <v/>
      </c>
      <c r="D498">
        <f>IF($A498="","",IFERROR(INDEX('[AQ_2022.xlsx]原始数据'!$B:$B,MATCH($A498,'[AQ_2022.xlsx]原始数据'!$A:$A,0)),""))</f>
        <v/>
      </c>
      <c r="E498">
        <f>IF($A498="","",IFERROR(INDEX('[AQ_2023.xlsx]原始数据'!$B:$B,MATCH($A498,'[AQ_2023.xlsx]原始数据'!$A:$A,0)),""))</f>
        <v/>
      </c>
      <c r="F498">
        <f>IF($A498="","",IFERROR(INDEX('[AQ_2024.xlsx]原始数据'!$B:$B,MATCH($A498,'[AQ_2024.xlsx]原始数据'!$A:$A,0)),""))</f>
        <v/>
      </c>
      <c r="G498">
        <f>IF($A498="","",IFERROR(INDEX('[AQ_2020.xlsx]原始数据'!$C:$C,MATCH($A498,'[AQ_2020.xlsx]原始数据'!$A:$A,0)),""))</f>
        <v/>
      </c>
      <c r="H498">
        <f>IF($A498="","",IFERROR(INDEX('[AQ_2021.xlsx]原始数据'!$C:$C,MATCH($A498,'[AQ_2021.xlsx]原始数据'!$A:$A,0)),""))</f>
        <v/>
      </c>
      <c r="I498">
        <f>IF($A498="","",IFERROR(INDEX('[AQ_2022.xlsx]原始数据'!$C:$C,MATCH($A498,'[AQ_2022.xlsx]原始数据'!$A:$A,0)),""))</f>
        <v/>
      </c>
      <c r="J498">
        <f>IF($A498="","",IFERROR(INDEX('[AQ_2023.xlsx]原始数据'!$C:$C,MATCH($A498,'[AQ_2023.xlsx]原始数据'!$A:$A,0)),""))</f>
        <v/>
      </c>
      <c r="K498">
        <f>IF($A498="","",IFERROR(INDEX('[AQ_2024.xlsx]原始数据'!$C:$C,MATCH($A498,'[AQ_2024.xlsx]原始数据'!$A:$A,0)),""))</f>
        <v/>
      </c>
      <c r="L498">
        <f>IF($A498="","",IFERROR(INDEX('[AQ_2020.xlsx]原始数据'!$D:$D,MATCH($A498,'[AQ_2020.xlsx]原始数据'!$A:$A,0)),""))</f>
        <v/>
      </c>
      <c r="M498">
        <f>IF($A498="","",IFERROR(INDEX('[AQ_2021.xlsx]原始数据'!$D:$D,MATCH($A498,'[AQ_2021.xlsx]原始数据'!$A:$A,0)),""))</f>
        <v/>
      </c>
      <c r="N498">
        <f>IF($A498="","",IFERROR(INDEX('[AQ_2022.xlsx]原始数据'!$D:$D,MATCH($A498,'[AQ_2022.xlsx]原始数据'!$A:$A,0)),""))</f>
        <v/>
      </c>
      <c r="O498">
        <f>IF($A498="","",IFERROR(INDEX('[AQ_2023.xlsx]原始数据'!$D:$D,MATCH($A498,'[AQ_2023.xlsx]原始数据'!$A:$A,0)),""))</f>
        <v/>
      </c>
      <c r="P498">
        <f>IF($A498="","",IFERROR(INDEX('[AQ_2024.xlsx]原始数据'!$D:$D,MATCH($A498,'[AQ_2024.xlsx]原始数据'!$A:$A,0)),""))</f>
        <v/>
      </c>
      <c r="Q498">
        <f>IF($A498="","",IFERROR(INDEX('[AQ_2020.xlsx]原始数据'!$E:$E,MATCH($A498,'[AQ_2020.xlsx]原始数据'!$A:$A,0)),""))</f>
        <v/>
      </c>
      <c r="R498">
        <f>IF($A498="","",IFERROR(INDEX('[AQ_2021.xlsx]原始数据'!$E:$E,MATCH($A498,'[AQ_2021.xlsx]原始数据'!$A:$A,0)),""))</f>
        <v/>
      </c>
      <c r="S498">
        <f>IF($A498="","",IFERROR(INDEX('[AQ_2022.xlsx]原始数据'!$E:$E,MATCH($A498,'[AQ_2022.xlsx]原始数据'!$A:$A,0)),""))</f>
        <v/>
      </c>
      <c r="T498">
        <f>IF($A498="","",IFERROR(INDEX('[AQ_2023.xlsx]原始数据'!$E:$E,MATCH($A498,'[AQ_2023.xlsx]原始数据'!$A:$A,0)),""))</f>
        <v/>
      </c>
      <c r="U498">
        <f>IF($A498="","",IFERROR(INDEX('[AQ_2024.xlsx]原始数据'!$E:$E,MATCH($A498,'[AQ_2024.xlsx]原始数据'!$A:$A,0)),""))</f>
        <v/>
      </c>
      <c r="V498">
        <f>IF($A498="","",IFERROR(INDEX('[AQ_2020.xlsx]原始数据'!$F:$F,MATCH($A498,'[AQ_2020.xlsx]原始数据'!$A:$A,0)),""))</f>
        <v/>
      </c>
      <c r="W498">
        <f>IF($A498="","",IFERROR(INDEX('[AQ_2021.xlsx]原始数据'!$F:$F,MATCH($A498,'[AQ_2021.xlsx]原始数据'!$A:$A,0)),""))</f>
        <v/>
      </c>
      <c r="X498">
        <f>IF($A498="","",IFERROR(INDEX('[AQ_2022.xlsx]原始数据'!$F:$F,MATCH($A498,'[AQ_2022.xlsx]原始数据'!$A:$A,0)),""))</f>
        <v/>
      </c>
      <c r="Y498">
        <f>IF($A498="","",IFERROR(INDEX('[AQ_2023.xlsx]原始数据'!$F:$F,MATCH($A498,'[AQ_2023.xlsx]原始数据'!$A:$A,0)),""))</f>
        <v/>
      </c>
      <c r="Z498">
        <f>IF($A498="","",IFERROR(INDEX('[AQ_2024.xlsx]原始数据'!$F:$F,MATCH($A498,'[AQ_2024.xlsx]原始数据'!$A:$A,0)),""))</f>
        <v/>
      </c>
      <c r="AA498" s="2">
        <f>IFERROR(G498/B498,"")</f>
        <v/>
      </c>
      <c r="AB498" s="2">
        <f>IFERROR(H498/C498,"")</f>
        <v/>
      </c>
      <c r="AC498" s="2">
        <f>IFERROR(I498/D498,"")</f>
        <v/>
      </c>
      <c r="AD498" s="2">
        <f>IFERROR(J498/E498,"")</f>
        <v/>
      </c>
      <c r="AE498" s="2">
        <f>IFERROR(K498/F498,"")</f>
        <v/>
      </c>
      <c r="AF498" s="2">
        <f>IFERROR(L498/B498,"")</f>
        <v/>
      </c>
      <c r="AG498" s="2">
        <f>IFERROR(M498/C498,"")</f>
        <v/>
      </c>
      <c r="AH498" s="2">
        <f>IFERROR(N498/D498,"")</f>
        <v/>
      </c>
      <c r="AI498" s="2">
        <f>IFERROR(O498/E498,"")</f>
        <v/>
      </c>
      <c r="AJ498" s="2">
        <f>IFERROR(P498/F498,"")</f>
        <v/>
      </c>
      <c r="AK498" s="2">
        <f>IFERROR(Q498/B498,"")</f>
        <v/>
      </c>
      <c r="AL498" s="2">
        <f>IFERROR(R498/C498,"")</f>
        <v/>
      </c>
      <c r="AM498" s="2">
        <f>IFERROR(S498/D498,"")</f>
        <v/>
      </c>
      <c r="AN498" s="2">
        <f>IFERROR(T498/E498,"")</f>
        <v/>
      </c>
      <c r="AO498" s="2">
        <f>IFERROR(U498/F498,"")</f>
        <v/>
      </c>
    </row>
    <row r="499">
      <c r="B499">
        <f>IF($A499="","",IFERROR(INDEX('[AQ_2020.xlsx]原始数据'!$B:$B,MATCH($A499,'[AQ_2020.xlsx]原始数据'!$A:$A,0)),""))</f>
        <v/>
      </c>
      <c r="C499">
        <f>IF($A499="","",IFERROR(INDEX('[AQ_2021.xlsx]原始数据'!$B:$B,MATCH($A499,'[AQ_2021.xlsx]原始数据'!$A:$A,0)),""))</f>
        <v/>
      </c>
      <c r="D499">
        <f>IF($A499="","",IFERROR(INDEX('[AQ_2022.xlsx]原始数据'!$B:$B,MATCH($A499,'[AQ_2022.xlsx]原始数据'!$A:$A,0)),""))</f>
        <v/>
      </c>
      <c r="E499">
        <f>IF($A499="","",IFERROR(INDEX('[AQ_2023.xlsx]原始数据'!$B:$B,MATCH($A499,'[AQ_2023.xlsx]原始数据'!$A:$A,0)),""))</f>
        <v/>
      </c>
      <c r="F499">
        <f>IF($A499="","",IFERROR(INDEX('[AQ_2024.xlsx]原始数据'!$B:$B,MATCH($A499,'[AQ_2024.xlsx]原始数据'!$A:$A,0)),""))</f>
        <v/>
      </c>
      <c r="G499">
        <f>IF($A499="","",IFERROR(INDEX('[AQ_2020.xlsx]原始数据'!$C:$C,MATCH($A499,'[AQ_2020.xlsx]原始数据'!$A:$A,0)),""))</f>
        <v/>
      </c>
      <c r="H499">
        <f>IF($A499="","",IFERROR(INDEX('[AQ_2021.xlsx]原始数据'!$C:$C,MATCH($A499,'[AQ_2021.xlsx]原始数据'!$A:$A,0)),""))</f>
        <v/>
      </c>
      <c r="I499">
        <f>IF($A499="","",IFERROR(INDEX('[AQ_2022.xlsx]原始数据'!$C:$C,MATCH($A499,'[AQ_2022.xlsx]原始数据'!$A:$A,0)),""))</f>
        <v/>
      </c>
      <c r="J499">
        <f>IF($A499="","",IFERROR(INDEX('[AQ_2023.xlsx]原始数据'!$C:$C,MATCH($A499,'[AQ_2023.xlsx]原始数据'!$A:$A,0)),""))</f>
        <v/>
      </c>
      <c r="K499">
        <f>IF($A499="","",IFERROR(INDEX('[AQ_2024.xlsx]原始数据'!$C:$C,MATCH($A499,'[AQ_2024.xlsx]原始数据'!$A:$A,0)),""))</f>
        <v/>
      </c>
      <c r="L499">
        <f>IF($A499="","",IFERROR(INDEX('[AQ_2020.xlsx]原始数据'!$D:$D,MATCH($A499,'[AQ_2020.xlsx]原始数据'!$A:$A,0)),""))</f>
        <v/>
      </c>
      <c r="M499">
        <f>IF($A499="","",IFERROR(INDEX('[AQ_2021.xlsx]原始数据'!$D:$D,MATCH($A499,'[AQ_2021.xlsx]原始数据'!$A:$A,0)),""))</f>
        <v/>
      </c>
      <c r="N499">
        <f>IF($A499="","",IFERROR(INDEX('[AQ_2022.xlsx]原始数据'!$D:$D,MATCH($A499,'[AQ_2022.xlsx]原始数据'!$A:$A,0)),""))</f>
        <v/>
      </c>
      <c r="O499">
        <f>IF($A499="","",IFERROR(INDEX('[AQ_2023.xlsx]原始数据'!$D:$D,MATCH($A499,'[AQ_2023.xlsx]原始数据'!$A:$A,0)),""))</f>
        <v/>
      </c>
      <c r="P499">
        <f>IF($A499="","",IFERROR(INDEX('[AQ_2024.xlsx]原始数据'!$D:$D,MATCH($A499,'[AQ_2024.xlsx]原始数据'!$A:$A,0)),""))</f>
        <v/>
      </c>
      <c r="Q499">
        <f>IF($A499="","",IFERROR(INDEX('[AQ_2020.xlsx]原始数据'!$E:$E,MATCH($A499,'[AQ_2020.xlsx]原始数据'!$A:$A,0)),""))</f>
        <v/>
      </c>
      <c r="R499">
        <f>IF($A499="","",IFERROR(INDEX('[AQ_2021.xlsx]原始数据'!$E:$E,MATCH($A499,'[AQ_2021.xlsx]原始数据'!$A:$A,0)),""))</f>
        <v/>
      </c>
      <c r="S499">
        <f>IF($A499="","",IFERROR(INDEX('[AQ_2022.xlsx]原始数据'!$E:$E,MATCH($A499,'[AQ_2022.xlsx]原始数据'!$A:$A,0)),""))</f>
        <v/>
      </c>
      <c r="T499">
        <f>IF($A499="","",IFERROR(INDEX('[AQ_2023.xlsx]原始数据'!$E:$E,MATCH($A499,'[AQ_2023.xlsx]原始数据'!$A:$A,0)),""))</f>
        <v/>
      </c>
      <c r="U499">
        <f>IF($A499="","",IFERROR(INDEX('[AQ_2024.xlsx]原始数据'!$E:$E,MATCH($A499,'[AQ_2024.xlsx]原始数据'!$A:$A,0)),""))</f>
        <v/>
      </c>
      <c r="V499">
        <f>IF($A499="","",IFERROR(INDEX('[AQ_2020.xlsx]原始数据'!$F:$F,MATCH($A499,'[AQ_2020.xlsx]原始数据'!$A:$A,0)),""))</f>
        <v/>
      </c>
      <c r="W499">
        <f>IF($A499="","",IFERROR(INDEX('[AQ_2021.xlsx]原始数据'!$F:$F,MATCH($A499,'[AQ_2021.xlsx]原始数据'!$A:$A,0)),""))</f>
        <v/>
      </c>
      <c r="X499">
        <f>IF($A499="","",IFERROR(INDEX('[AQ_2022.xlsx]原始数据'!$F:$F,MATCH($A499,'[AQ_2022.xlsx]原始数据'!$A:$A,0)),""))</f>
        <v/>
      </c>
      <c r="Y499">
        <f>IF($A499="","",IFERROR(INDEX('[AQ_2023.xlsx]原始数据'!$F:$F,MATCH($A499,'[AQ_2023.xlsx]原始数据'!$A:$A,0)),""))</f>
        <v/>
      </c>
      <c r="Z499">
        <f>IF($A499="","",IFERROR(INDEX('[AQ_2024.xlsx]原始数据'!$F:$F,MATCH($A499,'[AQ_2024.xlsx]原始数据'!$A:$A,0)),""))</f>
        <v/>
      </c>
      <c r="AA499" s="2">
        <f>IFERROR(G499/B499,"")</f>
        <v/>
      </c>
      <c r="AB499" s="2">
        <f>IFERROR(H499/C499,"")</f>
        <v/>
      </c>
      <c r="AC499" s="2">
        <f>IFERROR(I499/D499,"")</f>
        <v/>
      </c>
      <c r="AD499" s="2">
        <f>IFERROR(J499/E499,"")</f>
        <v/>
      </c>
      <c r="AE499" s="2">
        <f>IFERROR(K499/F499,"")</f>
        <v/>
      </c>
      <c r="AF499" s="2">
        <f>IFERROR(L499/B499,"")</f>
        <v/>
      </c>
      <c r="AG499" s="2">
        <f>IFERROR(M499/C499,"")</f>
        <v/>
      </c>
      <c r="AH499" s="2">
        <f>IFERROR(N499/D499,"")</f>
        <v/>
      </c>
      <c r="AI499" s="2">
        <f>IFERROR(O499/E499,"")</f>
        <v/>
      </c>
      <c r="AJ499" s="2">
        <f>IFERROR(P499/F499,"")</f>
        <v/>
      </c>
      <c r="AK499" s="2">
        <f>IFERROR(Q499/B499,"")</f>
        <v/>
      </c>
      <c r="AL499" s="2">
        <f>IFERROR(R499/C499,"")</f>
        <v/>
      </c>
      <c r="AM499" s="2">
        <f>IFERROR(S499/D499,"")</f>
        <v/>
      </c>
      <c r="AN499" s="2">
        <f>IFERROR(T499/E499,"")</f>
        <v/>
      </c>
      <c r="AO499" s="2">
        <f>IFERROR(U499/F499,"")</f>
        <v/>
      </c>
    </row>
    <row r="500">
      <c r="B500">
        <f>IF($A500="","",IFERROR(INDEX('[AQ_2020.xlsx]原始数据'!$B:$B,MATCH($A500,'[AQ_2020.xlsx]原始数据'!$A:$A,0)),""))</f>
        <v/>
      </c>
      <c r="C500">
        <f>IF($A500="","",IFERROR(INDEX('[AQ_2021.xlsx]原始数据'!$B:$B,MATCH($A500,'[AQ_2021.xlsx]原始数据'!$A:$A,0)),""))</f>
        <v/>
      </c>
      <c r="D500">
        <f>IF($A500="","",IFERROR(INDEX('[AQ_2022.xlsx]原始数据'!$B:$B,MATCH($A500,'[AQ_2022.xlsx]原始数据'!$A:$A,0)),""))</f>
        <v/>
      </c>
      <c r="E500">
        <f>IF($A500="","",IFERROR(INDEX('[AQ_2023.xlsx]原始数据'!$B:$B,MATCH($A500,'[AQ_2023.xlsx]原始数据'!$A:$A,0)),""))</f>
        <v/>
      </c>
      <c r="F500">
        <f>IF($A500="","",IFERROR(INDEX('[AQ_2024.xlsx]原始数据'!$B:$B,MATCH($A500,'[AQ_2024.xlsx]原始数据'!$A:$A,0)),""))</f>
        <v/>
      </c>
      <c r="G500">
        <f>IF($A500="","",IFERROR(INDEX('[AQ_2020.xlsx]原始数据'!$C:$C,MATCH($A500,'[AQ_2020.xlsx]原始数据'!$A:$A,0)),""))</f>
        <v/>
      </c>
      <c r="H500">
        <f>IF($A500="","",IFERROR(INDEX('[AQ_2021.xlsx]原始数据'!$C:$C,MATCH($A500,'[AQ_2021.xlsx]原始数据'!$A:$A,0)),""))</f>
        <v/>
      </c>
      <c r="I500">
        <f>IF($A500="","",IFERROR(INDEX('[AQ_2022.xlsx]原始数据'!$C:$C,MATCH($A500,'[AQ_2022.xlsx]原始数据'!$A:$A,0)),""))</f>
        <v/>
      </c>
      <c r="J500">
        <f>IF($A500="","",IFERROR(INDEX('[AQ_2023.xlsx]原始数据'!$C:$C,MATCH($A500,'[AQ_2023.xlsx]原始数据'!$A:$A,0)),""))</f>
        <v/>
      </c>
      <c r="K500">
        <f>IF($A500="","",IFERROR(INDEX('[AQ_2024.xlsx]原始数据'!$C:$C,MATCH($A500,'[AQ_2024.xlsx]原始数据'!$A:$A,0)),""))</f>
        <v/>
      </c>
      <c r="L500">
        <f>IF($A500="","",IFERROR(INDEX('[AQ_2020.xlsx]原始数据'!$D:$D,MATCH($A500,'[AQ_2020.xlsx]原始数据'!$A:$A,0)),""))</f>
        <v/>
      </c>
      <c r="M500">
        <f>IF($A500="","",IFERROR(INDEX('[AQ_2021.xlsx]原始数据'!$D:$D,MATCH($A500,'[AQ_2021.xlsx]原始数据'!$A:$A,0)),""))</f>
        <v/>
      </c>
      <c r="N500">
        <f>IF($A500="","",IFERROR(INDEX('[AQ_2022.xlsx]原始数据'!$D:$D,MATCH($A500,'[AQ_2022.xlsx]原始数据'!$A:$A,0)),""))</f>
        <v/>
      </c>
      <c r="O500">
        <f>IF($A500="","",IFERROR(INDEX('[AQ_2023.xlsx]原始数据'!$D:$D,MATCH($A500,'[AQ_2023.xlsx]原始数据'!$A:$A,0)),""))</f>
        <v/>
      </c>
      <c r="P500">
        <f>IF($A500="","",IFERROR(INDEX('[AQ_2024.xlsx]原始数据'!$D:$D,MATCH($A500,'[AQ_2024.xlsx]原始数据'!$A:$A,0)),""))</f>
        <v/>
      </c>
      <c r="Q500">
        <f>IF($A500="","",IFERROR(INDEX('[AQ_2020.xlsx]原始数据'!$E:$E,MATCH($A500,'[AQ_2020.xlsx]原始数据'!$A:$A,0)),""))</f>
        <v/>
      </c>
      <c r="R500">
        <f>IF($A500="","",IFERROR(INDEX('[AQ_2021.xlsx]原始数据'!$E:$E,MATCH($A500,'[AQ_2021.xlsx]原始数据'!$A:$A,0)),""))</f>
        <v/>
      </c>
      <c r="S500">
        <f>IF($A500="","",IFERROR(INDEX('[AQ_2022.xlsx]原始数据'!$E:$E,MATCH($A500,'[AQ_2022.xlsx]原始数据'!$A:$A,0)),""))</f>
        <v/>
      </c>
      <c r="T500">
        <f>IF($A500="","",IFERROR(INDEX('[AQ_2023.xlsx]原始数据'!$E:$E,MATCH($A500,'[AQ_2023.xlsx]原始数据'!$A:$A,0)),""))</f>
        <v/>
      </c>
      <c r="U500">
        <f>IF($A500="","",IFERROR(INDEX('[AQ_2024.xlsx]原始数据'!$E:$E,MATCH($A500,'[AQ_2024.xlsx]原始数据'!$A:$A,0)),""))</f>
        <v/>
      </c>
      <c r="V500">
        <f>IF($A500="","",IFERROR(INDEX('[AQ_2020.xlsx]原始数据'!$F:$F,MATCH($A500,'[AQ_2020.xlsx]原始数据'!$A:$A,0)),""))</f>
        <v/>
      </c>
      <c r="W500">
        <f>IF($A500="","",IFERROR(INDEX('[AQ_2021.xlsx]原始数据'!$F:$F,MATCH($A500,'[AQ_2021.xlsx]原始数据'!$A:$A,0)),""))</f>
        <v/>
      </c>
      <c r="X500">
        <f>IF($A500="","",IFERROR(INDEX('[AQ_2022.xlsx]原始数据'!$F:$F,MATCH($A500,'[AQ_2022.xlsx]原始数据'!$A:$A,0)),""))</f>
        <v/>
      </c>
      <c r="Y500">
        <f>IF($A500="","",IFERROR(INDEX('[AQ_2023.xlsx]原始数据'!$F:$F,MATCH($A500,'[AQ_2023.xlsx]原始数据'!$A:$A,0)),""))</f>
        <v/>
      </c>
      <c r="Z500">
        <f>IF($A500="","",IFERROR(INDEX('[AQ_2024.xlsx]原始数据'!$F:$F,MATCH($A500,'[AQ_2024.xlsx]原始数据'!$A:$A,0)),""))</f>
        <v/>
      </c>
      <c r="AA500" s="2">
        <f>IFERROR(G500/B500,"")</f>
        <v/>
      </c>
      <c r="AB500" s="2">
        <f>IFERROR(H500/C500,"")</f>
        <v/>
      </c>
      <c r="AC500" s="2">
        <f>IFERROR(I500/D500,"")</f>
        <v/>
      </c>
      <c r="AD500" s="2">
        <f>IFERROR(J500/E500,"")</f>
        <v/>
      </c>
      <c r="AE500" s="2">
        <f>IFERROR(K500/F500,"")</f>
        <v/>
      </c>
      <c r="AF500" s="2">
        <f>IFERROR(L500/B500,"")</f>
        <v/>
      </c>
      <c r="AG500" s="2">
        <f>IFERROR(M500/C500,"")</f>
        <v/>
      </c>
      <c r="AH500" s="2">
        <f>IFERROR(N500/D500,"")</f>
        <v/>
      </c>
      <c r="AI500" s="2">
        <f>IFERROR(O500/E500,"")</f>
        <v/>
      </c>
      <c r="AJ500" s="2">
        <f>IFERROR(P500/F500,"")</f>
        <v/>
      </c>
      <c r="AK500" s="2">
        <f>IFERROR(Q500/B500,"")</f>
        <v/>
      </c>
      <c r="AL500" s="2">
        <f>IFERROR(R500/C500,"")</f>
        <v/>
      </c>
      <c r="AM500" s="2">
        <f>IFERROR(S500/D500,"")</f>
        <v/>
      </c>
      <c r="AN500" s="2">
        <f>IFERROR(T500/E500,"")</f>
        <v/>
      </c>
      <c r="AO500" s="2">
        <f>IFERROR(U500/F500,"")</f>
        <v/>
      </c>
    </row>
    <row r="501">
      <c r="B501">
        <f>IF($A501="","",IFERROR(INDEX('[AQ_2020.xlsx]原始数据'!$B:$B,MATCH($A501,'[AQ_2020.xlsx]原始数据'!$A:$A,0)),""))</f>
        <v/>
      </c>
      <c r="C501">
        <f>IF($A501="","",IFERROR(INDEX('[AQ_2021.xlsx]原始数据'!$B:$B,MATCH($A501,'[AQ_2021.xlsx]原始数据'!$A:$A,0)),""))</f>
        <v/>
      </c>
      <c r="D501">
        <f>IF($A501="","",IFERROR(INDEX('[AQ_2022.xlsx]原始数据'!$B:$B,MATCH($A501,'[AQ_2022.xlsx]原始数据'!$A:$A,0)),""))</f>
        <v/>
      </c>
      <c r="E501">
        <f>IF($A501="","",IFERROR(INDEX('[AQ_2023.xlsx]原始数据'!$B:$B,MATCH($A501,'[AQ_2023.xlsx]原始数据'!$A:$A,0)),""))</f>
        <v/>
      </c>
      <c r="F501">
        <f>IF($A501="","",IFERROR(INDEX('[AQ_2024.xlsx]原始数据'!$B:$B,MATCH($A501,'[AQ_2024.xlsx]原始数据'!$A:$A,0)),""))</f>
        <v/>
      </c>
      <c r="G501">
        <f>IF($A501="","",IFERROR(INDEX('[AQ_2020.xlsx]原始数据'!$C:$C,MATCH($A501,'[AQ_2020.xlsx]原始数据'!$A:$A,0)),""))</f>
        <v/>
      </c>
      <c r="H501">
        <f>IF($A501="","",IFERROR(INDEX('[AQ_2021.xlsx]原始数据'!$C:$C,MATCH($A501,'[AQ_2021.xlsx]原始数据'!$A:$A,0)),""))</f>
        <v/>
      </c>
      <c r="I501">
        <f>IF($A501="","",IFERROR(INDEX('[AQ_2022.xlsx]原始数据'!$C:$C,MATCH($A501,'[AQ_2022.xlsx]原始数据'!$A:$A,0)),""))</f>
        <v/>
      </c>
      <c r="J501">
        <f>IF($A501="","",IFERROR(INDEX('[AQ_2023.xlsx]原始数据'!$C:$C,MATCH($A501,'[AQ_2023.xlsx]原始数据'!$A:$A,0)),""))</f>
        <v/>
      </c>
      <c r="K501">
        <f>IF($A501="","",IFERROR(INDEX('[AQ_2024.xlsx]原始数据'!$C:$C,MATCH($A501,'[AQ_2024.xlsx]原始数据'!$A:$A,0)),""))</f>
        <v/>
      </c>
      <c r="L501">
        <f>IF($A501="","",IFERROR(INDEX('[AQ_2020.xlsx]原始数据'!$D:$D,MATCH($A501,'[AQ_2020.xlsx]原始数据'!$A:$A,0)),""))</f>
        <v/>
      </c>
      <c r="M501">
        <f>IF($A501="","",IFERROR(INDEX('[AQ_2021.xlsx]原始数据'!$D:$D,MATCH($A501,'[AQ_2021.xlsx]原始数据'!$A:$A,0)),""))</f>
        <v/>
      </c>
      <c r="N501">
        <f>IF($A501="","",IFERROR(INDEX('[AQ_2022.xlsx]原始数据'!$D:$D,MATCH($A501,'[AQ_2022.xlsx]原始数据'!$A:$A,0)),""))</f>
        <v/>
      </c>
      <c r="O501">
        <f>IF($A501="","",IFERROR(INDEX('[AQ_2023.xlsx]原始数据'!$D:$D,MATCH($A501,'[AQ_2023.xlsx]原始数据'!$A:$A,0)),""))</f>
        <v/>
      </c>
      <c r="P501">
        <f>IF($A501="","",IFERROR(INDEX('[AQ_2024.xlsx]原始数据'!$D:$D,MATCH($A501,'[AQ_2024.xlsx]原始数据'!$A:$A,0)),""))</f>
        <v/>
      </c>
      <c r="Q501">
        <f>IF($A501="","",IFERROR(INDEX('[AQ_2020.xlsx]原始数据'!$E:$E,MATCH($A501,'[AQ_2020.xlsx]原始数据'!$A:$A,0)),""))</f>
        <v/>
      </c>
      <c r="R501">
        <f>IF($A501="","",IFERROR(INDEX('[AQ_2021.xlsx]原始数据'!$E:$E,MATCH($A501,'[AQ_2021.xlsx]原始数据'!$A:$A,0)),""))</f>
        <v/>
      </c>
      <c r="S501">
        <f>IF($A501="","",IFERROR(INDEX('[AQ_2022.xlsx]原始数据'!$E:$E,MATCH($A501,'[AQ_2022.xlsx]原始数据'!$A:$A,0)),""))</f>
        <v/>
      </c>
      <c r="T501">
        <f>IF($A501="","",IFERROR(INDEX('[AQ_2023.xlsx]原始数据'!$E:$E,MATCH($A501,'[AQ_2023.xlsx]原始数据'!$A:$A,0)),""))</f>
        <v/>
      </c>
      <c r="U501">
        <f>IF($A501="","",IFERROR(INDEX('[AQ_2024.xlsx]原始数据'!$E:$E,MATCH($A501,'[AQ_2024.xlsx]原始数据'!$A:$A,0)),""))</f>
        <v/>
      </c>
      <c r="V501">
        <f>IF($A501="","",IFERROR(INDEX('[AQ_2020.xlsx]原始数据'!$F:$F,MATCH($A501,'[AQ_2020.xlsx]原始数据'!$A:$A,0)),""))</f>
        <v/>
      </c>
      <c r="W501">
        <f>IF($A501="","",IFERROR(INDEX('[AQ_2021.xlsx]原始数据'!$F:$F,MATCH($A501,'[AQ_2021.xlsx]原始数据'!$A:$A,0)),""))</f>
        <v/>
      </c>
      <c r="X501">
        <f>IF($A501="","",IFERROR(INDEX('[AQ_2022.xlsx]原始数据'!$F:$F,MATCH($A501,'[AQ_2022.xlsx]原始数据'!$A:$A,0)),""))</f>
        <v/>
      </c>
      <c r="Y501">
        <f>IF($A501="","",IFERROR(INDEX('[AQ_2023.xlsx]原始数据'!$F:$F,MATCH($A501,'[AQ_2023.xlsx]原始数据'!$A:$A,0)),""))</f>
        <v/>
      </c>
      <c r="Z501">
        <f>IF($A501="","",IFERROR(INDEX('[AQ_2024.xlsx]原始数据'!$F:$F,MATCH($A501,'[AQ_2024.xlsx]原始数据'!$A:$A,0)),""))</f>
        <v/>
      </c>
      <c r="AA501" s="2">
        <f>IFERROR(G501/B501,"")</f>
        <v/>
      </c>
      <c r="AB501" s="2">
        <f>IFERROR(H501/C501,"")</f>
        <v/>
      </c>
      <c r="AC501" s="2">
        <f>IFERROR(I501/D501,"")</f>
        <v/>
      </c>
      <c r="AD501" s="2">
        <f>IFERROR(J501/E501,"")</f>
        <v/>
      </c>
      <c r="AE501" s="2">
        <f>IFERROR(K501/F501,"")</f>
        <v/>
      </c>
      <c r="AF501" s="2">
        <f>IFERROR(L501/B501,"")</f>
        <v/>
      </c>
      <c r="AG501" s="2">
        <f>IFERROR(M501/C501,"")</f>
        <v/>
      </c>
      <c r="AH501" s="2">
        <f>IFERROR(N501/D501,"")</f>
        <v/>
      </c>
      <c r="AI501" s="2">
        <f>IFERROR(O501/E501,"")</f>
        <v/>
      </c>
      <c r="AJ501" s="2">
        <f>IFERROR(P501/F501,"")</f>
        <v/>
      </c>
      <c r="AK501" s="2">
        <f>IFERROR(Q501/B501,"")</f>
        <v/>
      </c>
      <c r="AL501" s="2">
        <f>IFERROR(R501/C501,"")</f>
        <v/>
      </c>
      <c r="AM501" s="2">
        <f>IFERROR(S501/D501,"")</f>
        <v/>
      </c>
      <c r="AN501" s="2">
        <f>IFERROR(T501/E501,"")</f>
        <v/>
      </c>
      <c r="AO501" s="2">
        <f>IFERROR(U501/F501,"")</f>
        <v/>
      </c>
    </row>
    <row r="502">
      <c r="B502">
        <f>IF($A502="","",IFERROR(INDEX('[AQ_2020.xlsx]原始数据'!$B:$B,MATCH($A502,'[AQ_2020.xlsx]原始数据'!$A:$A,0)),""))</f>
        <v/>
      </c>
      <c r="C502">
        <f>IF($A502="","",IFERROR(INDEX('[AQ_2021.xlsx]原始数据'!$B:$B,MATCH($A502,'[AQ_2021.xlsx]原始数据'!$A:$A,0)),""))</f>
        <v/>
      </c>
      <c r="D502">
        <f>IF($A502="","",IFERROR(INDEX('[AQ_2022.xlsx]原始数据'!$B:$B,MATCH($A502,'[AQ_2022.xlsx]原始数据'!$A:$A,0)),""))</f>
        <v/>
      </c>
      <c r="E502">
        <f>IF($A502="","",IFERROR(INDEX('[AQ_2023.xlsx]原始数据'!$B:$B,MATCH($A502,'[AQ_2023.xlsx]原始数据'!$A:$A,0)),""))</f>
        <v/>
      </c>
      <c r="F502">
        <f>IF($A502="","",IFERROR(INDEX('[AQ_2024.xlsx]原始数据'!$B:$B,MATCH($A502,'[AQ_2024.xlsx]原始数据'!$A:$A,0)),""))</f>
        <v/>
      </c>
      <c r="G502">
        <f>IF($A502="","",IFERROR(INDEX('[AQ_2020.xlsx]原始数据'!$C:$C,MATCH($A502,'[AQ_2020.xlsx]原始数据'!$A:$A,0)),""))</f>
        <v/>
      </c>
      <c r="H502">
        <f>IF($A502="","",IFERROR(INDEX('[AQ_2021.xlsx]原始数据'!$C:$C,MATCH($A502,'[AQ_2021.xlsx]原始数据'!$A:$A,0)),""))</f>
        <v/>
      </c>
      <c r="I502">
        <f>IF($A502="","",IFERROR(INDEX('[AQ_2022.xlsx]原始数据'!$C:$C,MATCH($A502,'[AQ_2022.xlsx]原始数据'!$A:$A,0)),""))</f>
        <v/>
      </c>
      <c r="J502">
        <f>IF($A502="","",IFERROR(INDEX('[AQ_2023.xlsx]原始数据'!$C:$C,MATCH($A502,'[AQ_2023.xlsx]原始数据'!$A:$A,0)),""))</f>
        <v/>
      </c>
      <c r="K502">
        <f>IF($A502="","",IFERROR(INDEX('[AQ_2024.xlsx]原始数据'!$C:$C,MATCH($A502,'[AQ_2024.xlsx]原始数据'!$A:$A,0)),""))</f>
        <v/>
      </c>
      <c r="L502">
        <f>IF($A502="","",IFERROR(INDEX('[AQ_2020.xlsx]原始数据'!$D:$D,MATCH($A502,'[AQ_2020.xlsx]原始数据'!$A:$A,0)),""))</f>
        <v/>
      </c>
      <c r="M502">
        <f>IF($A502="","",IFERROR(INDEX('[AQ_2021.xlsx]原始数据'!$D:$D,MATCH($A502,'[AQ_2021.xlsx]原始数据'!$A:$A,0)),""))</f>
        <v/>
      </c>
      <c r="N502">
        <f>IF($A502="","",IFERROR(INDEX('[AQ_2022.xlsx]原始数据'!$D:$D,MATCH($A502,'[AQ_2022.xlsx]原始数据'!$A:$A,0)),""))</f>
        <v/>
      </c>
      <c r="O502">
        <f>IF($A502="","",IFERROR(INDEX('[AQ_2023.xlsx]原始数据'!$D:$D,MATCH($A502,'[AQ_2023.xlsx]原始数据'!$A:$A,0)),""))</f>
        <v/>
      </c>
      <c r="P502">
        <f>IF($A502="","",IFERROR(INDEX('[AQ_2024.xlsx]原始数据'!$D:$D,MATCH($A502,'[AQ_2024.xlsx]原始数据'!$A:$A,0)),""))</f>
        <v/>
      </c>
      <c r="Q502">
        <f>IF($A502="","",IFERROR(INDEX('[AQ_2020.xlsx]原始数据'!$E:$E,MATCH($A502,'[AQ_2020.xlsx]原始数据'!$A:$A,0)),""))</f>
        <v/>
      </c>
      <c r="R502">
        <f>IF($A502="","",IFERROR(INDEX('[AQ_2021.xlsx]原始数据'!$E:$E,MATCH($A502,'[AQ_2021.xlsx]原始数据'!$A:$A,0)),""))</f>
        <v/>
      </c>
      <c r="S502">
        <f>IF($A502="","",IFERROR(INDEX('[AQ_2022.xlsx]原始数据'!$E:$E,MATCH($A502,'[AQ_2022.xlsx]原始数据'!$A:$A,0)),""))</f>
        <v/>
      </c>
      <c r="T502">
        <f>IF($A502="","",IFERROR(INDEX('[AQ_2023.xlsx]原始数据'!$E:$E,MATCH($A502,'[AQ_2023.xlsx]原始数据'!$A:$A,0)),""))</f>
        <v/>
      </c>
      <c r="U502">
        <f>IF($A502="","",IFERROR(INDEX('[AQ_2024.xlsx]原始数据'!$E:$E,MATCH($A502,'[AQ_2024.xlsx]原始数据'!$A:$A,0)),""))</f>
        <v/>
      </c>
      <c r="V502">
        <f>IF($A502="","",IFERROR(INDEX('[AQ_2020.xlsx]原始数据'!$F:$F,MATCH($A502,'[AQ_2020.xlsx]原始数据'!$A:$A,0)),""))</f>
        <v/>
      </c>
      <c r="W502">
        <f>IF($A502="","",IFERROR(INDEX('[AQ_2021.xlsx]原始数据'!$F:$F,MATCH($A502,'[AQ_2021.xlsx]原始数据'!$A:$A,0)),""))</f>
        <v/>
      </c>
      <c r="X502">
        <f>IF($A502="","",IFERROR(INDEX('[AQ_2022.xlsx]原始数据'!$F:$F,MATCH($A502,'[AQ_2022.xlsx]原始数据'!$A:$A,0)),""))</f>
        <v/>
      </c>
      <c r="Y502">
        <f>IF($A502="","",IFERROR(INDEX('[AQ_2023.xlsx]原始数据'!$F:$F,MATCH($A502,'[AQ_2023.xlsx]原始数据'!$A:$A,0)),""))</f>
        <v/>
      </c>
      <c r="Z502">
        <f>IF($A502="","",IFERROR(INDEX('[AQ_2024.xlsx]原始数据'!$F:$F,MATCH($A502,'[AQ_2024.xlsx]原始数据'!$A:$A,0)),""))</f>
        <v/>
      </c>
      <c r="AA502" s="2">
        <f>IFERROR(G502/B502,"")</f>
        <v/>
      </c>
      <c r="AB502" s="2">
        <f>IFERROR(H502/C502,"")</f>
        <v/>
      </c>
      <c r="AC502" s="2">
        <f>IFERROR(I502/D502,"")</f>
        <v/>
      </c>
      <c r="AD502" s="2">
        <f>IFERROR(J502/E502,"")</f>
        <v/>
      </c>
      <c r="AE502" s="2">
        <f>IFERROR(K502/F502,"")</f>
        <v/>
      </c>
      <c r="AF502" s="2">
        <f>IFERROR(L502/B502,"")</f>
        <v/>
      </c>
      <c r="AG502" s="2">
        <f>IFERROR(M502/C502,"")</f>
        <v/>
      </c>
      <c r="AH502" s="2">
        <f>IFERROR(N502/D502,"")</f>
        <v/>
      </c>
      <c r="AI502" s="2">
        <f>IFERROR(O502/E502,"")</f>
        <v/>
      </c>
      <c r="AJ502" s="2">
        <f>IFERROR(P502/F502,"")</f>
        <v/>
      </c>
      <c r="AK502" s="2">
        <f>IFERROR(Q502/B502,"")</f>
        <v/>
      </c>
      <c r="AL502" s="2">
        <f>IFERROR(R502/C502,"")</f>
        <v/>
      </c>
      <c r="AM502" s="2">
        <f>IFERROR(S502/D502,"")</f>
        <v/>
      </c>
      <c r="AN502" s="2">
        <f>IFERROR(T502/E502,"")</f>
        <v/>
      </c>
      <c r="AO502" s="2">
        <f>IFERROR(U502/F502,"")</f>
        <v/>
      </c>
    </row>
    <row r="503">
      <c r="B503">
        <f>IF($A503="","",IFERROR(INDEX('[AQ_2020.xlsx]原始数据'!$B:$B,MATCH($A503,'[AQ_2020.xlsx]原始数据'!$A:$A,0)),""))</f>
        <v/>
      </c>
      <c r="C503">
        <f>IF($A503="","",IFERROR(INDEX('[AQ_2021.xlsx]原始数据'!$B:$B,MATCH($A503,'[AQ_2021.xlsx]原始数据'!$A:$A,0)),""))</f>
        <v/>
      </c>
      <c r="D503">
        <f>IF($A503="","",IFERROR(INDEX('[AQ_2022.xlsx]原始数据'!$B:$B,MATCH($A503,'[AQ_2022.xlsx]原始数据'!$A:$A,0)),""))</f>
        <v/>
      </c>
      <c r="E503">
        <f>IF($A503="","",IFERROR(INDEX('[AQ_2023.xlsx]原始数据'!$B:$B,MATCH($A503,'[AQ_2023.xlsx]原始数据'!$A:$A,0)),""))</f>
        <v/>
      </c>
      <c r="F503">
        <f>IF($A503="","",IFERROR(INDEX('[AQ_2024.xlsx]原始数据'!$B:$B,MATCH($A503,'[AQ_2024.xlsx]原始数据'!$A:$A,0)),""))</f>
        <v/>
      </c>
      <c r="G503">
        <f>IF($A503="","",IFERROR(INDEX('[AQ_2020.xlsx]原始数据'!$C:$C,MATCH($A503,'[AQ_2020.xlsx]原始数据'!$A:$A,0)),""))</f>
        <v/>
      </c>
      <c r="H503">
        <f>IF($A503="","",IFERROR(INDEX('[AQ_2021.xlsx]原始数据'!$C:$C,MATCH($A503,'[AQ_2021.xlsx]原始数据'!$A:$A,0)),""))</f>
        <v/>
      </c>
      <c r="I503">
        <f>IF($A503="","",IFERROR(INDEX('[AQ_2022.xlsx]原始数据'!$C:$C,MATCH($A503,'[AQ_2022.xlsx]原始数据'!$A:$A,0)),""))</f>
        <v/>
      </c>
      <c r="J503">
        <f>IF($A503="","",IFERROR(INDEX('[AQ_2023.xlsx]原始数据'!$C:$C,MATCH($A503,'[AQ_2023.xlsx]原始数据'!$A:$A,0)),""))</f>
        <v/>
      </c>
      <c r="K503">
        <f>IF($A503="","",IFERROR(INDEX('[AQ_2024.xlsx]原始数据'!$C:$C,MATCH($A503,'[AQ_2024.xlsx]原始数据'!$A:$A,0)),""))</f>
        <v/>
      </c>
      <c r="L503">
        <f>IF($A503="","",IFERROR(INDEX('[AQ_2020.xlsx]原始数据'!$D:$D,MATCH($A503,'[AQ_2020.xlsx]原始数据'!$A:$A,0)),""))</f>
        <v/>
      </c>
      <c r="M503">
        <f>IF($A503="","",IFERROR(INDEX('[AQ_2021.xlsx]原始数据'!$D:$D,MATCH($A503,'[AQ_2021.xlsx]原始数据'!$A:$A,0)),""))</f>
        <v/>
      </c>
      <c r="N503">
        <f>IF($A503="","",IFERROR(INDEX('[AQ_2022.xlsx]原始数据'!$D:$D,MATCH($A503,'[AQ_2022.xlsx]原始数据'!$A:$A,0)),""))</f>
        <v/>
      </c>
      <c r="O503">
        <f>IF($A503="","",IFERROR(INDEX('[AQ_2023.xlsx]原始数据'!$D:$D,MATCH($A503,'[AQ_2023.xlsx]原始数据'!$A:$A,0)),""))</f>
        <v/>
      </c>
      <c r="P503">
        <f>IF($A503="","",IFERROR(INDEX('[AQ_2024.xlsx]原始数据'!$D:$D,MATCH($A503,'[AQ_2024.xlsx]原始数据'!$A:$A,0)),""))</f>
        <v/>
      </c>
      <c r="Q503">
        <f>IF($A503="","",IFERROR(INDEX('[AQ_2020.xlsx]原始数据'!$E:$E,MATCH($A503,'[AQ_2020.xlsx]原始数据'!$A:$A,0)),""))</f>
        <v/>
      </c>
      <c r="R503">
        <f>IF($A503="","",IFERROR(INDEX('[AQ_2021.xlsx]原始数据'!$E:$E,MATCH($A503,'[AQ_2021.xlsx]原始数据'!$A:$A,0)),""))</f>
        <v/>
      </c>
      <c r="S503">
        <f>IF($A503="","",IFERROR(INDEX('[AQ_2022.xlsx]原始数据'!$E:$E,MATCH($A503,'[AQ_2022.xlsx]原始数据'!$A:$A,0)),""))</f>
        <v/>
      </c>
      <c r="T503">
        <f>IF($A503="","",IFERROR(INDEX('[AQ_2023.xlsx]原始数据'!$E:$E,MATCH($A503,'[AQ_2023.xlsx]原始数据'!$A:$A,0)),""))</f>
        <v/>
      </c>
      <c r="U503">
        <f>IF($A503="","",IFERROR(INDEX('[AQ_2024.xlsx]原始数据'!$E:$E,MATCH($A503,'[AQ_2024.xlsx]原始数据'!$A:$A,0)),""))</f>
        <v/>
      </c>
      <c r="V503">
        <f>IF($A503="","",IFERROR(INDEX('[AQ_2020.xlsx]原始数据'!$F:$F,MATCH($A503,'[AQ_2020.xlsx]原始数据'!$A:$A,0)),""))</f>
        <v/>
      </c>
      <c r="W503">
        <f>IF($A503="","",IFERROR(INDEX('[AQ_2021.xlsx]原始数据'!$F:$F,MATCH($A503,'[AQ_2021.xlsx]原始数据'!$A:$A,0)),""))</f>
        <v/>
      </c>
      <c r="X503">
        <f>IF($A503="","",IFERROR(INDEX('[AQ_2022.xlsx]原始数据'!$F:$F,MATCH($A503,'[AQ_2022.xlsx]原始数据'!$A:$A,0)),""))</f>
        <v/>
      </c>
      <c r="Y503">
        <f>IF($A503="","",IFERROR(INDEX('[AQ_2023.xlsx]原始数据'!$F:$F,MATCH($A503,'[AQ_2023.xlsx]原始数据'!$A:$A,0)),""))</f>
        <v/>
      </c>
      <c r="Z503">
        <f>IF($A503="","",IFERROR(INDEX('[AQ_2024.xlsx]原始数据'!$F:$F,MATCH($A503,'[AQ_2024.xlsx]原始数据'!$A:$A,0)),""))</f>
        <v/>
      </c>
      <c r="AA503" s="2">
        <f>IFERROR(G503/B503,"")</f>
        <v/>
      </c>
      <c r="AB503" s="2">
        <f>IFERROR(H503/C503,"")</f>
        <v/>
      </c>
      <c r="AC503" s="2">
        <f>IFERROR(I503/D503,"")</f>
        <v/>
      </c>
      <c r="AD503" s="2">
        <f>IFERROR(J503/E503,"")</f>
        <v/>
      </c>
      <c r="AE503" s="2">
        <f>IFERROR(K503/F503,"")</f>
        <v/>
      </c>
      <c r="AF503" s="2">
        <f>IFERROR(L503/B503,"")</f>
        <v/>
      </c>
      <c r="AG503" s="2">
        <f>IFERROR(M503/C503,"")</f>
        <v/>
      </c>
      <c r="AH503" s="2">
        <f>IFERROR(N503/D503,"")</f>
        <v/>
      </c>
      <c r="AI503" s="2">
        <f>IFERROR(O503/E503,"")</f>
        <v/>
      </c>
      <c r="AJ503" s="2">
        <f>IFERROR(P503/F503,"")</f>
        <v/>
      </c>
      <c r="AK503" s="2">
        <f>IFERROR(Q503/B503,"")</f>
        <v/>
      </c>
      <c r="AL503" s="2">
        <f>IFERROR(R503/C503,"")</f>
        <v/>
      </c>
      <c r="AM503" s="2">
        <f>IFERROR(S503/D503,"")</f>
        <v/>
      </c>
      <c r="AN503" s="2">
        <f>IFERROR(T503/E503,"")</f>
        <v/>
      </c>
      <c r="AO503" s="2">
        <f>IFERROR(U503/F503,"")</f>
        <v/>
      </c>
    </row>
    <row r="504">
      <c r="B504">
        <f>IF($A504="","",IFERROR(INDEX('[AQ_2020.xlsx]原始数据'!$B:$B,MATCH($A504,'[AQ_2020.xlsx]原始数据'!$A:$A,0)),""))</f>
        <v/>
      </c>
      <c r="C504">
        <f>IF($A504="","",IFERROR(INDEX('[AQ_2021.xlsx]原始数据'!$B:$B,MATCH($A504,'[AQ_2021.xlsx]原始数据'!$A:$A,0)),""))</f>
        <v/>
      </c>
      <c r="D504">
        <f>IF($A504="","",IFERROR(INDEX('[AQ_2022.xlsx]原始数据'!$B:$B,MATCH($A504,'[AQ_2022.xlsx]原始数据'!$A:$A,0)),""))</f>
        <v/>
      </c>
      <c r="E504">
        <f>IF($A504="","",IFERROR(INDEX('[AQ_2023.xlsx]原始数据'!$B:$B,MATCH($A504,'[AQ_2023.xlsx]原始数据'!$A:$A,0)),""))</f>
        <v/>
      </c>
      <c r="F504">
        <f>IF($A504="","",IFERROR(INDEX('[AQ_2024.xlsx]原始数据'!$B:$B,MATCH($A504,'[AQ_2024.xlsx]原始数据'!$A:$A,0)),""))</f>
        <v/>
      </c>
      <c r="G504">
        <f>IF($A504="","",IFERROR(INDEX('[AQ_2020.xlsx]原始数据'!$C:$C,MATCH($A504,'[AQ_2020.xlsx]原始数据'!$A:$A,0)),""))</f>
        <v/>
      </c>
      <c r="H504">
        <f>IF($A504="","",IFERROR(INDEX('[AQ_2021.xlsx]原始数据'!$C:$C,MATCH($A504,'[AQ_2021.xlsx]原始数据'!$A:$A,0)),""))</f>
        <v/>
      </c>
      <c r="I504">
        <f>IF($A504="","",IFERROR(INDEX('[AQ_2022.xlsx]原始数据'!$C:$C,MATCH($A504,'[AQ_2022.xlsx]原始数据'!$A:$A,0)),""))</f>
        <v/>
      </c>
      <c r="J504">
        <f>IF($A504="","",IFERROR(INDEX('[AQ_2023.xlsx]原始数据'!$C:$C,MATCH($A504,'[AQ_2023.xlsx]原始数据'!$A:$A,0)),""))</f>
        <v/>
      </c>
      <c r="K504">
        <f>IF($A504="","",IFERROR(INDEX('[AQ_2024.xlsx]原始数据'!$C:$C,MATCH($A504,'[AQ_2024.xlsx]原始数据'!$A:$A,0)),""))</f>
        <v/>
      </c>
      <c r="L504">
        <f>IF($A504="","",IFERROR(INDEX('[AQ_2020.xlsx]原始数据'!$D:$D,MATCH($A504,'[AQ_2020.xlsx]原始数据'!$A:$A,0)),""))</f>
        <v/>
      </c>
      <c r="M504">
        <f>IF($A504="","",IFERROR(INDEX('[AQ_2021.xlsx]原始数据'!$D:$D,MATCH($A504,'[AQ_2021.xlsx]原始数据'!$A:$A,0)),""))</f>
        <v/>
      </c>
      <c r="N504">
        <f>IF($A504="","",IFERROR(INDEX('[AQ_2022.xlsx]原始数据'!$D:$D,MATCH($A504,'[AQ_2022.xlsx]原始数据'!$A:$A,0)),""))</f>
        <v/>
      </c>
      <c r="O504">
        <f>IF($A504="","",IFERROR(INDEX('[AQ_2023.xlsx]原始数据'!$D:$D,MATCH($A504,'[AQ_2023.xlsx]原始数据'!$A:$A,0)),""))</f>
        <v/>
      </c>
      <c r="P504">
        <f>IF($A504="","",IFERROR(INDEX('[AQ_2024.xlsx]原始数据'!$D:$D,MATCH($A504,'[AQ_2024.xlsx]原始数据'!$A:$A,0)),""))</f>
        <v/>
      </c>
      <c r="Q504">
        <f>IF($A504="","",IFERROR(INDEX('[AQ_2020.xlsx]原始数据'!$E:$E,MATCH($A504,'[AQ_2020.xlsx]原始数据'!$A:$A,0)),""))</f>
        <v/>
      </c>
      <c r="R504">
        <f>IF($A504="","",IFERROR(INDEX('[AQ_2021.xlsx]原始数据'!$E:$E,MATCH($A504,'[AQ_2021.xlsx]原始数据'!$A:$A,0)),""))</f>
        <v/>
      </c>
      <c r="S504">
        <f>IF($A504="","",IFERROR(INDEX('[AQ_2022.xlsx]原始数据'!$E:$E,MATCH($A504,'[AQ_2022.xlsx]原始数据'!$A:$A,0)),""))</f>
        <v/>
      </c>
      <c r="T504">
        <f>IF($A504="","",IFERROR(INDEX('[AQ_2023.xlsx]原始数据'!$E:$E,MATCH($A504,'[AQ_2023.xlsx]原始数据'!$A:$A,0)),""))</f>
        <v/>
      </c>
      <c r="U504">
        <f>IF($A504="","",IFERROR(INDEX('[AQ_2024.xlsx]原始数据'!$E:$E,MATCH($A504,'[AQ_2024.xlsx]原始数据'!$A:$A,0)),""))</f>
        <v/>
      </c>
      <c r="V504">
        <f>IF($A504="","",IFERROR(INDEX('[AQ_2020.xlsx]原始数据'!$F:$F,MATCH($A504,'[AQ_2020.xlsx]原始数据'!$A:$A,0)),""))</f>
        <v/>
      </c>
      <c r="W504">
        <f>IF($A504="","",IFERROR(INDEX('[AQ_2021.xlsx]原始数据'!$F:$F,MATCH($A504,'[AQ_2021.xlsx]原始数据'!$A:$A,0)),""))</f>
        <v/>
      </c>
      <c r="X504">
        <f>IF($A504="","",IFERROR(INDEX('[AQ_2022.xlsx]原始数据'!$F:$F,MATCH($A504,'[AQ_2022.xlsx]原始数据'!$A:$A,0)),""))</f>
        <v/>
      </c>
      <c r="Y504">
        <f>IF($A504="","",IFERROR(INDEX('[AQ_2023.xlsx]原始数据'!$F:$F,MATCH($A504,'[AQ_2023.xlsx]原始数据'!$A:$A,0)),""))</f>
        <v/>
      </c>
      <c r="Z504">
        <f>IF($A504="","",IFERROR(INDEX('[AQ_2024.xlsx]原始数据'!$F:$F,MATCH($A504,'[AQ_2024.xlsx]原始数据'!$A:$A,0)),""))</f>
        <v/>
      </c>
      <c r="AA504" s="2">
        <f>IFERROR(G504/B504,"")</f>
        <v/>
      </c>
      <c r="AB504" s="2">
        <f>IFERROR(H504/C504,"")</f>
        <v/>
      </c>
      <c r="AC504" s="2">
        <f>IFERROR(I504/D504,"")</f>
        <v/>
      </c>
      <c r="AD504" s="2">
        <f>IFERROR(J504/E504,"")</f>
        <v/>
      </c>
      <c r="AE504" s="2">
        <f>IFERROR(K504/F504,"")</f>
        <v/>
      </c>
      <c r="AF504" s="2">
        <f>IFERROR(L504/B504,"")</f>
        <v/>
      </c>
      <c r="AG504" s="2">
        <f>IFERROR(M504/C504,"")</f>
        <v/>
      </c>
      <c r="AH504" s="2">
        <f>IFERROR(N504/D504,"")</f>
        <v/>
      </c>
      <c r="AI504" s="2">
        <f>IFERROR(O504/E504,"")</f>
        <v/>
      </c>
      <c r="AJ504" s="2">
        <f>IFERROR(P504/F504,"")</f>
        <v/>
      </c>
      <c r="AK504" s="2">
        <f>IFERROR(Q504/B504,"")</f>
        <v/>
      </c>
      <c r="AL504" s="2">
        <f>IFERROR(R504/C504,"")</f>
        <v/>
      </c>
      <c r="AM504" s="2">
        <f>IFERROR(S504/D504,"")</f>
        <v/>
      </c>
      <c r="AN504" s="2">
        <f>IFERROR(T504/E504,"")</f>
        <v/>
      </c>
      <c r="AO504" s="2">
        <f>IFERROR(U504/F504,"")</f>
        <v/>
      </c>
    </row>
    <row r="505">
      <c r="B505">
        <f>IF($A505="","",IFERROR(INDEX('[AQ_2020.xlsx]原始数据'!$B:$B,MATCH($A505,'[AQ_2020.xlsx]原始数据'!$A:$A,0)),""))</f>
        <v/>
      </c>
      <c r="C505">
        <f>IF($A505="","",IFERROR(INDEX('[AQ_2021.xlsx]原始数据'!$B:$B,MATCH($A505,'[AQ_2021.xlsx]原始数据'!$A:$A,0)),""))</f>
        <v/>
      </c>
      <c r="D505">
        <f>IF($A505="","",IFERROR(INDEX('[AQ_2022.xlsx]原始数据'!$B:$B,MATCH($A505,'[AQ_2022.xlsx]原始数据'!$A:$A,0)),""))</f>
        <v/>
      </c>
      <c r="E505">
        <f>IF($A505="","",IFERROR(INDEX('[AQ_2023.xlsx]原始数据'!$B:$B,MATCH($A505,'[AQ_2023.xlsx]原始数据'!$A:$A,0)),""))</f>
        <v/>
      </c>
      <c r="F505">
        <f>IF($A505="","",IFERROR(INDEX('[AQ_2024.xlsx]原始数据'!$B:$B,MATCH($A505,'[AQ_2024.xlsx]原始数据'!$A:$A,0)),""))</f>
        <v/>
      </c>
      <c r="G505">
        <f>IF($A505="","",IFERROR(INDEX('[AQ_2020.xlsx]原始数据'!$C:$C,MATCH($A505,'[AQ_2020.xlsx]原始数据'!$A:$A,0)),""))</f>
        <v/>
      </c>
      <c r="H505">
        <f>IF($A505="","",IFERROR(INDEX('[AQ_2021.xlsx]原始数据'!$C:$C,MATCH($A505,'[AQ_2021.xlsx]原始数据'!$A:$A,0)),""))</f>
        <v/>
      </c>
      <c r="I505">
        <f>IF($A505="","",IFERROR(INDEX('[AQ_2022.xlsx]原始数据'!$C:$C,MATCH($A505,'[AQ_2022.xlsx]原始数据'!$A:$A,0)),""))</f>
        <v/>
      </c>
      <c r="J505">
        <f>IF($A505="","",IFERROR(INDEX('[AQ_2023.xlsx]原始数据'!$C:$C,MATCH($A505,'[AQ_2023.xlsx]原始数据'!$A:$A,0)),""))</f>
        <v/>
      </c>
      <c r="K505">
        <f>IF($A505="","",IFERROR(INDEX('[AQ_2024.xlsx]原始数据'!$C:$C,MATCH($A505,'[AQ_2024.xlsx]原始数据'!$A:$A,0)),""))</f>
        <v/>
      </c>
      <c r="L505">
        <f>IF($A505="","",IFERROR(INDEX('[AQ_2020.xlsx]原始数据'!$D:$D,MATCH($A505,'[AQ_2020.xlsx]原始数据'!$A:$A,0)),""))</f>
        <v/>
      </c>
      <c r="M505">
        <f>IF($A505="","",IFERROR(INDEX('[AQ_2021.xlsx]原始数据'!$D:$D,MATCH($A505,'[AQ_2021.xlsx]原始数据'!$A:$A,0)),""))</f>
        <v/>
      </c>
      <c r="N505">
        <f>IF($A505="","",IFERROR(INDEX('[AQ_2022.xlsx]原始数据'!$D:$D,MATCH($A505,'[AQ_2022.xlsx]原始数据'!$A:$A,0)),""))</f>
        <v/>
      </c>
      <c r="O505">
        <f>IF($A505="","",IFERROR(INDEX('[AQ_2023.xlsx]原始数据'!$D:$D,MATCH($A505,'[AQ_2023.xlsx]原始数据'!$A:$A,0)),""))</f>
        <v/>
      </c>
      <c r="P505">
        <f>IF($A505="","",IFERROR(INDEX('[AQ_2024.xlsx]原始数据'!$D:$D,MATCH($A505,'[AQ_2024.xlsx]原始数据'!$A:$A,0)),""))</f>
        <v/>
      </c>
      <c r="Q505">
        <f>IF($A505="","",IFERROR(INDEX('[AQ_2020.xlsx]原始数据'!$E:$E,MATCH($A505,'[AQ_2020.xlsx]原始数据'!$A:$A,0)),""))</f>
        <v/>
      </c>
      <c r="R505">
        <f>IF($A505="","",IFERROR(INDEX('[AQ_2021.xlsx]原始数据'!$E:$E,MATCH($A505,'[AQ_2021.xlsx]原始数据'!$A:$A,0)),""))</f>
        <v/>
      </c>
      <c r="S505">
        <f>IF($A505="","",IFERROR(INDEX('[AQ_2022.xlsx]原始数据'!$E:$E,MATCH($A505,'[AQ_2022.xlsx]原始数据'!$A:$A,0)),""))</f>
        <v/>
      </c>
      <c r="T505">
        <f>IF($A505="","",IFERROR(INDEX('[AQ_2023.xlsx]原始数据'!$E:$E,MATCH($A505,'[AQ_2023.xlsx]原始数据'!$A:$A,0)),""))</f>
        <v/>
      </c>
      <c r="U505">
        <f>IF($A505="","",IFERROR(INDEX('[AQ_2024.xlsx]原始数据'!$E:$E,MATCH($A505,'[AQ_2024.xlsx]原始数据'!$A:$A,0)),""))</f>
        <v/>
      </c>
      <c r="V505">
        <f>IF($A505="","",IFERROR(INDEX('[AQ_2020.xlsx]原始数据'!$F:$F,MATCH($A505,'[AQ_2020.xlsx]原始数据'!$A:$A,0)),""))</f>
        <v/>
      </c>
      <c r="W505">
        <f>IF($A505="","",IFERROR(INDEX('[AQ_2021.xlsx]原始数据'!$F:$F,MATCH($A505,'[AQ_2021.xlsx]原始数据'!$A:$A,0)),""))</f>
        <v/>
      </c>
      <c r="X505">
        <f>IF($A505="","",IFERROR(INDEX('[AQ_2022.xlsx]原始数据'!$F:$F,MATCH($A505,'[AQ_2022.xlsx]原始数据'!$A:$A,0)),""))</f>
        <v/>
      </c>
      <c r="Y505">
        <f>IF($A505="","",IFERROR(INDEX('[AQ_2023.xlsx]原始数据'!$F:$F,MATCH($A505,'[AQ_2023.xlsx]原始数据'!$A:$A,0)),""))</f>
        <v/>
      </c>
      <c r="Z505">
        <f>IF($A505="","",IFERROR(INDEX('[AQ_2024.xlsx]原始数据'!$F:$F,MATCH($A505,'[AQ_2024.xlsx]原始数据'!$A:$A,0)),""))</f>
        <v/>
      </c>
      <c r="AA505" s="2">
        <f>IFERROR(G505/B505,"")</f>
        <v/>
      </c>
      <c r="AB505" s="2">
        <f>IFERROR(H505/C505,"")</f>
        <v/>
      </c>
      <c r="AC505" s="2">
        <f>IFERROR(I505/D505,"")</f>
        <v/>
      </c>
      <c r="AD505" s="2">
        <f>IFERROR(J505/E505,"")</f>
        <v/>
      </c>
      <c r="AE505" s="2">
        <f>IFERROR(K505/F505,"")</f>
        <v/>
      </c>
      <c r="AF505" s="2">
        <f>IFERROR(L505/B505,"")</f>
        <v/>
      </c>
      <c r="AG505" s="2">
        <f>IFERROR(M505/C505,"")</f>
        <v/>
      </c>
      <c r="AH505" s="2">
        <f>IFERROR(N505/D505,"")</f>
        <v/>
      </c>
      <c r="AI505" s="2">
        <f>IFERROR(O505/E505,"")</f>
        <v/>
      </c>
      <c r="AJ505" s="2">
        <f>IFERROR(P505/F505,"")</f>
        <v/>
      </c>
      <c r="AK505" s="2">
        <f>IFERROR(Q505/B505,"")</f>
        <v/>
      </c>
      <c r="AL505" s="2">
        <f>IFERROR(R505/C505,"")</f>
        <v/>
      </c>
      <c r="AM505" s="2">
        <f>IFERROR(S505/D505,"")</f>
        <v/>
      </c>
      <c r="AN505" s="2">
        <f>IFERROR(T505/E505,"")</f>
        <v/>
      </c>
      <c r="AO505" s="2">
        <f>IFERROR(U505/F505,"")</f>
        <v/>
      </c>
    </row>
    <row r="506">
      <c r="B506">
        <f>IF($A506="","",IFERROR(INDEX('[AQ_2020.xlsx]原始数据'!$B:$B,MATCH($A506,'[AQ_2020.xlsx]原始数据'!$A:$A,0)),""))</f>
        <v/>
      </c>
      <c r="C506">
        <f>IF($A506="","",IFERROR(INDEX('[AQ_2021.xlsx]原始数据'!$B:$B,MATCH($A506,'[AQ_2021.xlsx]原始数据'!$A:$A,0)),""))</f>
        <v/>
      </c>
      <c r="D506">
        <f>IF($A506="","",IFERROR(INDEX('[AQ_2022.xlsx]原始数据'!$B:$B,MATCH($A506,'[AQ_2022.xlsx]原始数据'!$A:$A,0)),""))</f>
        <v/>
      </c>
      <c r="E506">
        <f>IF($A506="","",IFERROR(INDEX('[AQ_2023.xlsx]原始数据'!$B:$B,MATCH($A506,'[AQ_2023.xlsx]原始数据'!$A:$A,0)),""))</f>
        <v/>
      </c>
      <c r="F506">
        <f>IF($A506="","",IFERROR(INDEX('[AQ_2024.xlsx]原始数据'!$B:$B,MATCH($A506,'[AQ_2024.xlsx]原始数据'!$A:$A,0)),""))</f>
        <v/>
      </c>
      <c r="G506">
        <f>IF($A506="","",IFERROR(INDEX('[AQ_2020.xlsx]原始数据'!$C:$C,MATCH($A506,'[AQ_2020.xlsx]原始数据'!$A:$A,0)),""))</f>
        <v/>
      </c>
      <c r="H506">
        <f>IF($A506="","",IFERROR(INDEX('[AQ_2021.xlsx]原始数据'!$C:$C,MATCH($A506,'[AQ_2021.xlsx]原始数据'!$A:$A,0)),""))</f>
        <v/>
      </c>
      <c r="I506">
        <f>IF($A506="","",IFERROR(INDEX('[AQ_2022.xlsx]原始数据'!$C:$C,MATCH($A506,'[AQ_2022.xlsx]原始数据'!$A:$A,0)),""))</f>
        <v/>
      </c>
      <c r="J506">
        <f>IF($A506="","",IFERROR(INDEX('[AQ_2023.xlsx]原始数据'!$C:$C,MATCH($A506,'[AQ_2023.xlsx]原始数据'!$A:$A,0)),""))</f>
        <v/>
      </c>
      <c r="K506">
        <f>IF($A506="","",IFERROR(INDEX('[AQ_2024.xlsx]原始数据'!$C:$C,MATCH($A506,'[AQ_2024.xlsx]原始数据'!$A:$A,0)),""))</f>
        <v/>
      </c>
      <c r="L506">
        <f>IF($A506="","",IFERROR(INDEX('[AQ_2020.xlsx]原始数据'!$D:$D,MATCH($A506,'[AQ_2020.xlsx]原始数据'!$A:$A,0)),""))</f>
        <v/>
      </c>
      <c r="M506">
        <f>IF($A506="","",IFERROR(INDEX('[AQ_2021.xlsx]原始数据'!$D:$D,MATCH($A506,'[AQ_2021.xlsx]原始数据'!$A:$A,0)),""))</f>
        <v/>
      </c>
      <c r="N506">
        <f>IF($A506="","",IFERROR(INDEX('[AQ_2022.xlsx]原始数据'!$D:$D,MATCH($A506,'[AQ_2022.xlsx]原始数据'!$A:$A,0)),""))</f>
        <v/>
      </c>
      <c r="O506">
        <f>IF($A506="","",IFERROR(INDEX('[AQ_2023.xlsx]原始数据'!$D:$D,MATCH($A506,'[AQ_2023.xlsx]原始数据'!$A:$A,0)),""))</f>
        <v/>
      </c>
      <c r="P506">
        <f>IF($A506="","",IFERROR(INDEX('[AQ_2024.xlsx]原始数据'!$D:$D,MATCH($A506,'[AQ_2024.xlsx]原始数据'!$A:$A,0)),""))</f>
        <v/>
      </c>
      <c r="Q506">
        <f>IF($A506="","",IFERROR(INDEX('[AQ_2020.xlsx]原始数据'!$E:$E,MATCH($A506,'[AQ_2020.xlsx]原始数据'!$A:$A,0)),""))</f>
        <v/>
      </c>
      <c r="R506">
        <f>IF($A506="","",IFERROR(INDEX('[AQ_2021.xlsx]原始数据'!$E:$E,MATCH($A506,'[AQ_2021.xlsx]原始数据'!$A:$A,0)),""))</f>
        <v/>
      </c>
      <c r="S506">
        <f>IF($A506="","",IFERROR(INDEX('[AQ_2022.xlsx]原始数据'!$E:$E,MATCH($A506,'[AQ_2022.xlsx]原始数据'!$A:$A,0)),""))</f>
        <v/>
      </c>
      <c r="T506">
        <f>IF($A506="","",IFERROR(INDEX('[AQ_2023.xlsx]原始数据'!$E:$E,MATCH($A506,'[AQ_2023.xlsx]原始数据'!$A:$A,0)),""))</f>
        <v/>
      </c>
      <c r="U506">
        <f>IF($A506="","",IFERROR(INDEX('[AQ_2024.xlsx]原始数据'!$E:$E,MATCH($A506,'[AQ_2024.xlsx]原始数据'!$A:$A,0)),""))</f>
        <v/>
      </c>
      <c r="V506">
        <f>IF($A506="","",IFERROR(INDEX('[AQ_2020.xlsx]原始数据'!$F:$F,MATCH($A506,'[AQ_2020.xlsx]原始数据'!$A:$A,0)),""))</f>
        <v/>
      </c>
      <c r="W506">
        <f>IF($A506="","",IFERROR(INDEX('[AQ_2021.xlsx]原始数据'!$F:$F,MATCH($A506,'[AQ_2021.xlsx]原始数据'!$A:$A,0)),""))</f>
        <v/>
      </c>
      <c r="X506">
        <f>IF($A506="","",IFERROR(INDEX('[AQ_2022.xlsx]原始数据'!$F:$F,MATCH($A506,'[AQ_2022.xlsx]原始数据'!$A:$A,0)),""))</f>
        <v/>
      </c>
      <c r="Y506">
        <f>IF($A506="","",IFERROR(INDEX('[AQ_2023.xlsx]原始数据'!$F:$F,MATCH($A506,'[AQ_2023.xlsx]原始数据'!$A:$A,0)),""))</f>
        <v/>
      </c>
      <c r="Z506">
        <f>IF($A506="","",IFERROR(INDEX('[AQ_2024.xlsx]原始数据'!$F:$F,MATCH($A506,'[AQ_2024.xlsx]原始数据'!$A:$A,0)),""))</f>
        <v/>
      </c>
      <c r="AA506" s="2">
        <f>IFERROR(G506/B506,"")</f>
        <v/>
      </c>
      <c r="AB506" s="2">
        <f>IFERROR(H506/C506,"")</f>
        <v/>
      </c>
      <c r="AC506" s="2">
        <f>IFERROR(I506/D506,"")</f>
        <v/>
      </c>
      <c r="AD506" s="2">
        <f>IFERROR(J506/E506,"")</f>
        <v/>
      </c>
      <c r="AE506" s="2">
        <f>IFERROR(K506/F506,"")</f>
        <v/>
      </c>
      <c r="AF506" s="2">
        <f>IFERROR(L506/B506,"")</f>
        <v/>
      </c>
      <c r="AG506" s="2">
        <f>IFERROR(M506/C506,"")</f>
        <v/>
      </c>
      <c r="AH506" s="2">
        <f>IFERROR(N506/D506,"")</f>
        <v/>
      </c>
      <c r="AI506" s="2">
        <f>IFERROR(O506/E506,"")</f>
        <v/>
      </c>
      <c r="AJ506" s="2">
        <f>IFERROR(P506/F506,"")</f>
        <v/>
      </c>
      <c r="AK506" s="2">
        <f>IFERROR(Q506/B506,"")</f>
        <v/>
      </c>
      <c r="AL506" s="2">
        <f>IFERROR(R506/C506,"")</f>
        <v/>
      </c>
      <c r="AM506" s="2">
        <f>IFERROR(S506/D506,"")</f>
        <v/>
      </c>
      <c r="AN506" s="2">
        <f>IFERROR(T506/E506,"")</f>
        <v/>
      </c>
      <c r="AO506" s="2">
        <f>IFERROR(U506/F506,"")</f>
        <v/>
      </c>
    </row>
    <row r="507">
      <c r="B507">
        <f>IF($A507="","",IFERROR(INDEX('[AQ_2020.xlsx]原始数据'!$B:$B,MATCH($A507,'[AQ_2020.xlsx]原始数据'!$A:$A,0)),""))</f>
        <v/>
      </c>
      <c r="C507">
        <f>IF($A507="","",IFERROR(INDEX('[AQ_2021.xlsx]原始数据'!$B:$B,MATCH($A507,'[AQ_2021.xlsx]原始数据'!$A:$A,0)),""))</f>
        <v/>
      </c>
      <c r="D507">
        <f>IF($A507="","",IFERROR(INDEX('[AQ_2022.xlsx]原始数据'!$B:$B,MATCH($A507,'[AQ_2022.xlsx]原始数据'!$A:$A,0)),""))</f>
        <v/>
      </c>
      <c r="E507">
        <f>IF($A507="","",IFERROR(INDEX('[AQ_2023.xlsx]原始数据'!$B:$B,MATCH($A507,'[AQ_2023.xlsx]原始数据'!$A:$A,0)),""))</f>
        <v/>
      </c>
      <c r="F507">
        <f>IF($A507="","",IFERROR(INDEX('[AQ_2024.xlsx]原始数据'!$B:$B,MATCH($A507,'[AQ_2024.xlsx]原始数据'!$A:$A,0)),""))</f>
        <v/>
      </c>
      <c r="G507">
        <f>IF($A507="","",IFERROR(INDEX('[AQ_2020.xlsx]原始数据'!$C:$C,MATCH($A507,'[AQ_2020.xlsx]原始数据'!$A:$A,0)),""))</f>
        <v/>
      </c>
      <c r="H507">
        <f>IF($A507="","",IFERROR(INDEX('[AQ_2021.xlsx]原始数据'!$C:$C,MATCH($A507,'[AQ_2021.xlsx]原始数据'!$A:$A,0)),""))</f>
        <v/>
      </c>
      <c r="I507">
        <f>IF($A507="","",IFERROR(INDEX('[AQ_2022.xlsx]原始数据'!$C:$C,MATCH($A507,'[AQ_2022.xlsx]原始数据'!$A:$A,0)),""))</f>
        <v/>
      </c>
      <c r="J507">
        <f>IF($A507="","",IFERROR(INDEX('[AQ_2023.xlsx]原始数据'!$C:$C,MATCH($A507,'[AQ_2023.xlsx]原始数据'!$A:$A,0)),""))</f>
        <v/>
      </c>
      <c r="K507">
        <f>IF($A507="","",IFERROR(INDEX('[AQ_2024.xlsx]原始数据'!$C:$C,MATCH($A507,'[AQ_2024.xlsx]原始数据'!$A:$A,0)),""))</f>
        <v/>
      </c>
      <c r="L507">
        <f>IF($A507="","",IFERROR(INDEX('[AQ_2020.xlsx]原始数据'!$D:$D,MATCH($A507,'[AQ_2020.xlsx]原始数据'!$A:$A,0)),""))</f>
        <v/>
      </c>
      <c r="M507">
        <f>IF($A507="","",IFERROR(INDEX('[AQ_2021.xlsx]原始数据'!$D:$D,MATCH($A507,'[AQ_2021.xlsx]原始数据'!$A:$A,0)),""))</f>
        <v/>
      </c>
      <c r="N507">
        <f>IF($A507="","",IFERROR(INDEX('[AQ_2022.xlsx]原始数据'!$D:$D,MATCH($A507,'[AQ_2022.xlsx]原始数据'!$A:$A,0)),""))</f>
        <v/>
      </c>
      <c r="O507">
        <f>IF($A507="","",IFERROR(INDEX('[AQ_2023.xlsx]原始数据'!$D:$D,MATCH($A507,'[AQ_2023.xlsx]原始数据'!$A:$A,0)),""))</f>
        <v/>
      </c>
      <c r="P507">
        <f>IF($A507="","",IFERROR(INDEX('[AQ_2024.xlsx]原始数据'!$D:$D,MATCH($A507,'[AQ_2024.xlsx]原始数据'!$A:$A,0)),""))</f>
        <v/>
      </c>
      <c r="Q507">
        <f>IF($A507="","",IFERROR(INDEX('[AQ_2020.xlsx]原始数据'!$E:$E,MATCH($A507,'[AQ_2020.xlsx]原始数据'!$A:$A,0)),""))</f>
        <v/>
      </c>
      <c r="R507">
        <f>IF($A507="","",IFERROR(INDEX('[AQ_2021.xlsx]原始数据'!$E:$E,MATCH($A507,'[AQ_2021.xlsx]原始数据'!$A:$A,0)),""))</f>
        <v/>
      </c>
      <c r="S507">
        <f>IF($A507="","",IFERROR(INDEX('[AQ_2022.xlsx]原始数据'!$E:$E,MATCH($A507,'[AQ_2022.xlsx]原始数据'!$A:$A,0)),""))</f>
        <v/>
      </c>
      <c r="T507">
        <f>IF($A507="","",IFERROR(INDEX('[AQ_2023.xlsx]原始数据'!$E:$E,MATCH($A507,'[AQ_2023.xlsx]原始数据'!$A:$A,0)),""))</f>
        <v/>
      </c>
      <c r="U507">
        <f>IF($A507="","",IFERROR(INDEX('[AQ_2024.xlsx]原始数据'!$E:$E,MATCH($A507,'[AQ_2024.xlsx]原始数据'!$A:$A,0)),""))</f>
        <v/>
      </c>
      <c r="V507">
        <f>IF($A507="","",IFERROR(INDEX('[AQ_2020.xlsx]原始数据'!$F:$F,MATCH($A507,'[AQ_2020.xlsx]原始数据'!$A:$A,0)),""))</f>
        <v/>
      </c>
      <c r="W507">
        <f>IF($A507="","",IFERROR(INDEX('[AQ_2021.xlsx]原始数据'!$F:$F,MATCH($A507,'[AQ_2021.xlsx]原始数据'!$A:$A,0)),""))</f>
        <v/>
      </c>
      <c r="X507">
        <f>IF($A507="","",IFERROR(INDEX('[AQ_2022.xlsx]原始数据'!$F:$F,MATCH($A507,'[AQ_2022.xlsx]原始数据'!$A:$A,0)),""))</f>
        <v/>
      </c>
      <c r="Y507">
        <f>IF($A507="","",IFERROR(INDEX('[AQ_2023.xlsx]原始数据'!$F:$F,MATCH($A507,'[AQ_2023.xlsx]原始数据'!$A:$A,0)),""))</f>
        <v/>
      </c>
      <c r="Z507">
        <f>IF($A507="","",IFERROR(INDEX('[AQ_2024.xlsx]原始数据'!$F:$F,MATCH($A507,'[AQ_2024.xlsx]原始数据'!$A:$A,0)),""))</f>
        <v/>
      </c>
      <c r="AA507" s="2">
        <f>IFERROR(G507/B507,"")</f>
        <v/>
      </c>
      <c r="AB507" s="2">
        <f>IFERROR(H507/C507,"")</f>
        <v/>
      </c>
      <c r="AC507" s="2">
        <f>IFERROR(I507/D507,"")</f>
        <v/>
      </c>
      <c r="AD507" s="2">
        <f>IFERROR(J507/E507,"")</f>
        <v/>
      </c>
      <c r="AE507" s="2">
        <f>IFERROR(K507/F507,"")</f>
        <v/>
      </c>
      <c r="AF507" s="2">
        <f>IFERROR(L507/B507,"")</f>
        <v/>
      </c>
      <c r="AG507" s="2">
        <f>IFERROR(M507/C507,"")</f>
        <v/>
      </c>
      <c r="AH507" s="2">
        <f>IFERROR(N507/D507,"")</f>
        <v/>
      </c>
      <c r="AI507" s="2">
        <f>IFERROR(O507/E507,"")</f>
        <v/>
      </c>
      <c r="AJ507" s="2">
        <f>IFERROR(P507/F507,"")</f>
        <v/>
      </c>
      <c r="AK507" s="2">
        <f>IFERROR(Q507/B507,"")</f>
        <v/>
      </c>
      <c r="AL507" s="2">
        <f>IFERROR(R507/C507,"")</f>
        <v/>
      </c>
      <c r="AM507" s="2">
        <f>IFERROR(S507/D507,"")</f>
        <v/>
      </c>
      <c r="AN507" s="2">
        <f>IFERROR(T507/E507,"")</f>
        <v/>
      </c>
      <c r="AO507" s="2">
        <f>IFERROR(U507/F507,"")</f>
        <v/>
      </c>
    </row>
    <row r="508">
      <c r="B508">
        <f>IF($A508="","",IFERROR(INDEX('[AQ_2020.xlsx]原始数据'!$B:$B,MATCH($A508,'[AQ_2020.xlsx]原始数据'!$A:$A,0)),""))</f>
        <v/>
      </c>
      <c r="C508">
        <f>IF($A508="","",IFERROR(INDEX('[AQ_2021.xlsx]原始数据'!$B:$B,MATCH($A508,'[AQ_2021.xlsx]原始数据'!$A:$A,0)),""))</f>
        <v/>
      </c>
      <c r="D508">
        <f>IF($A508="","",IFERROR(INDEX('[AQ_2022.xlsx]原始数据'!$B:$B,MATCH($A508,'[AQ_2022.xlsx]原始数据'!$A:$A,0)),""))</f>
        <v/>
      </c>
      <c r="E508">
        <f>IF($A508="","",IFERROR(INDEX('[AQ_2023.xlsx]原始数据'!$B:$B,MATCH($A508,'[AQ_2023.xlsx]原始数据'!$A:$A,0)),""))</f>
        <v/>
      </c>
      <c r="F508">
        <f>IF($A508="","",IFERROR(INDEX('[AQ_2024.xlsx]原始数据'!$B:$B,MATCH($A508,'[AQ_2024.xlsx]原始数据'!$A:$A,0)),""))</f>
        <v/>
      </c>
      <c r="G508">
        <f>IF($A508="","",IFERROR(INDEX('[AQ_2020.xlsx]原始数据'!$C:$C,MATCH($A508,'[AQ_2020.xlsx]原始数据'!$A:$A,0)),""))</f>
        <v/>
      </c>
      <c r="H508">
        <f>IF($A508="","",IFERROR(INDEX('[AQ_2021.xlsx]原始数据'!$C:$C,MATCH($A508,'[AQ_2021.xlsx]原始数据'!$A:$A,0)),""))</f>
        <v/>
      </c>
      <c r="I508">
        <f>IF($A508="","",IFERROR(INDEX('[AQ_2022.xlsx]原始数据'!$C:$C,MATCH($A508,'[AQ_2022.xlsx]原始数据'!$A:$A,0)),""))</f>
        <v/>
      </c>
      <c r="J508">
        <f>IF($A508="","",IFERROR(INDEX('[AQ_2023.xlsx]原始数据'!$C:$C,MATCH($A508,'[AQ_2023.xlsx]原始数据'!$A:$A,0)),""))</f>
        <v/>
      </c>
      <c r="K508">
        <f>IF($A508="","",IFERROR(INDEX('[AQ_2024.xlsx]原始数据'!$C:$C,MATCH($A508,'[AQ_2024.xlsx]原始数据'!$A:$A,0)),""))</f>
        <v/>
      </c>
      <c r="L508">
        <f>IF($A508="","",IFERROR(INDEX('[AQ_2020.xlsx]原始数据'!$D:$D,MATCH($A508,'[AQ_2020.xlsx]原始数据'!$A:$A,0)),""))</f>
        <v/>
      </c>
      <c r="M508">
        <f>IF($A508="","",IFERROR(INDEX('[AQ_2021.xlsx]原始数据'!$D:$D,MATCH($A508,'[AQ_2021.xlsx]原始数据'!$A:$A,0)),""))</f>
        <v/>
      </c>
      <c r="N508">
        <f>IF($A508="","",IFERROR(INDEX('[AQ_2022.xlsx]原始数据'!$D:$D,MATCH($A508,'[AQ_2022.xlsx]原始数据'!$A:$A,0)),""))</f>
        <v/>
      </c>
      <c r="O508">
        <f>IF($A508="","",IFERROR(INDEX('[AQ_2023.xlsx]原始数据'!$D:$D,MATCH($A508,'[AQ_2023.xlsx]原始数据'!$A:$A,0)),""))</f>
        <v/>
      </c>
      <c r="P508">
        <f>IF($A508="","",IFERROR(INDEX('[AQ_2024.xlsx]原始数据'!$D:$D,MATCH($A508,'[AQ_2024.xlsx]原始数据'!$A:$A,0)),""))</f>
        <v/>
      </c>
      <c r="Q508">
        <f>IF($A508="","",IFERROR(INDEX('[AQ_2020.xlsx]原始数据'!$E:$E,MATCH($A508,'[AQ_2020.xlsx]原始数据'!$A:$A,0)),""))</f>
        <v/>
      </c>
      <c r="R508">
        <f>IF($A508="","",IFERROR(INDEX('[AQ_2021.xlsx]原始数据'!$E:$E,MATCH($A508,'[AQ_2021.xlsx]原始数据'!$A:$A,0)),""))</f>
        <v/>
      </c>
      <c r="S508">
        <f>IF($A508="","",IFERROR(INDEX('[AQ_2022.xlsx]原始数据'!$E:$E,MATCH($A508,'[AQ_2022.xlsx]原始数据'!$A:$A,0)),""))</f>
        <v/>
      </c>
      <c r="T508">
        <f>IF($A508="","",IFERROR(INDEX('[AQ_2023.xlsx]原始数据'!$E:$E,MATCH($A508,'[AQ_2023.xlsx]原始数据'!$A:$A,0)),""))</f>
        <v/>
      </c>
      <c r="U508">
        <f>IF($A508="","",IFERROR(INDEX('[AQ_2024.xlsx]原始数据'!$E:$E,MATCH($A508,'[AQ_2024.xlsx]原始数据'!$A:$A,0)),""))</f>
        <v/>
      </c>
      <c r="V508">
        <f>IF($A508="","",IFERROR(INDEX('[AQ_2020.xlsx]原始数据'!$F:$F,MATCH($A508,'[AQ_2020.xlsx]原始数据'!$A:$A,0)),""))</f>
        <v/>
      </c>
      <c r="W508">
        <f>IF($A508="","",IFERROR(INDEX('[AQ_2021.xlsx]原始数据'!$F:$F,MATCH($A508,'[AQ_2021.xlsx]原始数据'!$A:$A,0)),""))</f>
        <v/>
      </c>
      <c r="X508">
        <f>IF($A508="","",IFERROR(INDEX('[AQ_2022.xlsx]原始数据'!$F:$F,MATCH($A508,'[AQ_2022.xlsx]原始数据'!$A:$A,0)),""))</f>
        <v/>
      </c>
      <c r="Y508">
        <f>IF($A508="","",IFERROR(INDEX('[AQ_2023.xlsx]原始数据'!$F:$F,MATCH($A508,'[AQ_2023.xlsx]原始数据'!$A:$A,0)),""))</f>
        <v/>
      </c>
      <c r="Z508">
        <f>IF($A508="","",IFERROR(INDEX('[AQ_2024.xlsx]原始数据'!$F:$F,MATCH($A508,'[AQ_2024.xlsx]原始数据'!$A:$A,0)),""))</f>
        <v/>
      </c>
      <c r="AA508" s="2">
        <f>IFERROR(G508/B508,"")</f>
        <v/>
      </c>
      <c r="AB508" s="2">
        <f>IFERROR(H508/C508,"")</f>
        <v/>
      </c>
      <c r="AC508" s="2">
        <f>IFERROR(I508/D508,"")</f>
        <v/>
      </c>
      <c r="AD508" s="2">
        <f>IFERROR(J508/E508,"")</f>
        <v/>
      </c>
      <c r="AE508" s="2">
        <f>IFERROR(K508/F508,"")</f>
        <v/>
      </c>
      <c r="AF508" s="2">
        <f>IFERROR(L508/B508,"")</f>
        <v/>
      </c>
      <c r="AG508" s="2">
        <f>IFERROR(M508/C508,"")</f>
        <v/>
      </c>
      <c r="AH508" s="2">
        <f>IFERROR(N508/D508,"")</f>
        <v/>
      </c>
      <c r="AI508" s="2">
        <f>IFERROR(O508/E508,"")</f>
        <v/>
      </c>
      <c r="AJ508" s="2">
        <f>IFERROR(P508/F508,"")</f>
        <v/>
      </c>
      <c r="AK508" s="2">
        <f>IFERROR(Q508/B508,"")</f>
        <v/>
      </c>
      <c r="AL508" s="2">
        <f>IFERROR(R508/C508,"")</f>
        <v/>
      </c>
      <c r="AM508" s="2">
        <f>IFERROR(S508/D508,"")</f>
        <v/>
      </c>
      <c r="AN508" s="2">
        <f>IFERROR(T508/E508,"")</f>
        <v/>
      </c>
      <c r="AO508" s="2">
        <f>IFERROR(U508/F508,"")</f>
        <v/>
      </c>
    </row>
    <row r="509">
      <c r="B509">
        <f>IF($A509="","",IFERROR(INDEX('[AQ_2020.xlsx]原始数据'!$B:$B,MATCH($A509,'[AQ_2020.xlsx]原始数据'!$A:$A,0)),""))</f>
        <v/>
      </c>
      <c r="C509">
        <f>IF($A509="","",IFERROR(INDEX('[AQ_2021.xlsx]原始数据'!$B:$B,MATCH($A509,'[AQ_2021.xlsx]原始数据'!$A:$A,0)),""))</f>
        <v/>
      </c>
      <c r="D509">
        <f>IF($A509="","",IFERROR(INDEX('[AQ_2022.xlsx]原始数据'!$B:$B,MATCH($A509,'[AQ_2022.xlsx]原始数据'!$A:$A,0)),""))</f>
        <v/>
      </c>
      <c r="E509">
        <f>IF($A509="","",IFERROR(INDEX('[AQ_2023.xlsx]原始数据'!$B:$B,MATCH($A509,'[AQ_2023.xlsx]原始数据'!$A:$A,0)),""))</f>
        <v/>
      </c>
      <c r="F509">
        <f>IF($A509="","",IFERROR(INDEX('[AQ_2024.xlsx]原始数据'!$B:$B,MATCH($A509,'[AQ_2024.xlsx]原始数据'!$A:$A,0)),""))</f>
        <v/>
      </c>
      <c r="G509">
        <f>IF($A509="","",IFERROR(INDEX('[AQ_2020.xlsx]原始数据'!$C:$C,MATCH($A509,'[AQ_2020.xlsx]原始数据'!$A:$A,0)),""))</f>
        <v/>
      </c>
      <c r="H509">
        <f>IF($A509="","",IFERROR(INDEX('[AQ_2021.xlsx]原始数据'!$C:$C,MATCH($A509,'[AQ_2021.xlsx]原始数据'!$A:$A,0)),""))</f>
        <v/>
      </c>
      <c r="I509">
        <f>IF($A509="","",IFERROR(INDEX('[AQ_2022.xlsx]原始数据'!$C:$C,MATCH($A509,'[AQ_2022.xlsx]原始数据'!$A:$A,0)),""))</f>
        <v/>
      </c>
      <c r="J509">
        <f>IF($A509="","",IFERROR(INDEX('[AQ_2023.xlsx]原始数据'!$C:$C,MATCH($A509,'[AQ_2023.xlsx]原始数据'!$A:$A,0)),""))</f>
        <v/>
      </c>
      <c r="K509">
        <f>IF($A509="","",IFERROR(INDEX('[AQ_2024.xlsx]原始数据'!$C:$C,MATCH($A509,'[AQ_2024.xlsx]原始数据'!$A:$A,0)),""))</f>
        <v/>
      </c>
      <c r="L509">
        <f>IF($A509="","",IFERROR(INDEX('[AQ_2020.xlsx]原始数据'!$D:$D,MATCH($A509,'[AQ_2020.xlsx]原始数据'!$A:$A,0)),""))</f>
        <v/>
      </c>
      <c r="M509">
        <f>IF($A509="","",IFERROR(INDEX('[AQ_2021.xlsx]原始数据'!$D:$D,MATCH($A509,'[AQ_2021.xlsx]原始数据'!$A:$A,0)),""))</f>
        <v/>
      </c>
      <c r="N509">
        <f>IF($A509="","",IFERROR(INDEX('[AQ_2022.xlsx]原始数据'!$D:$D,MATCH($A509,'[AQ_2022.xlsx]原始数据'!$A:$A,0)),""))</f>
        <v/>
      </c>
      <c r="O509">
        <f>IF($A509="","",IFERROR(INDEX('[AQ_2023.xlsx]原始数据'!$D:$D,MATCH($A509,'[AQ_2023.xlsx]原始数据'!$A:$A,0)),""))</f>
        <v/>
      </c>
      <c r="P509">
        <f>IF($A509="","",IFERROR(INDEX('[AQ_2024.xlsx]原始数据'!$D:$D,MATCH($A509,'[AQ_2024.xlsx]原始数据'!$A:$A,0)),""))</f>
        <v/>
      </c>
      <c r="Q509">
        <f>IF($A509="","",IFERROR(INDEX('[AQ_2020.xlsx]原始数据'!$E:$E,MATCH($A509,'[AQ_2020.xlsx]原始数据'!$A:$A,0)),""))</f>
        <v/>
      </c>
      <c r="R509">
        <f>IF($A509="","",IFERROR(INDEX('[AQ_2021.xlsx]原始数据'!$E:$E,MATCH($A509,'[AQ_2021.xlsx]原始数据'!$A:$A,0)),""))</f>
        <v/>
      </c>
      <c r="S509">
        <f>IF($A509="","",IFERROR(INDEX('[AQ_2022.xlsx]原始数据'!$E:$E,MATCH($A509,'[AQ_2022.xlsx]原始数据'!$A:$A,0)),""))</f>
        <v/>
      </c>
      <c r="T509">
        <f>IF($A509="","",IFERROR(INDEX('[AQ_2023.xlsx]原始数据'!$E:$E,MATCH($A509,'[AQ_2023.xlsx]原始数据'!$A:$A,0)),""))</f>
        <v/>
      </c>
      <c r="U509">
        <f>IF($A509="","",IFERROR(INDEX('[AQ_2024.xlsx]原始数据'!$E:$E,MATCH($A509,'[AQ_2024.xlsx]原始数据'!$A:$A,0)),""))</f>
        <v/>
      </c>
      <c r="V509">
        <f>IF($A509="","",IFERROR(INDEX('[AQ_2020.xlsx]原始数据'!$F:$F,MATCH($A509,'[AQ_2020.xlsx]原始数据'!$A:$A,0)),""))</f>
        <v/>
      </c>
      <c r="W509">
        <f>IF($A509="","",IFERROR(INDEX('[AQ_2021.xlsx]原始数据'!$F:$F,MATCH($A509,'[AQ_2021.xlsx]原始数据'!$A:$A,0)),""))</f>
        <v/>
      </c>
      <c r="X509">
        <f>IF($A509="","",IFERROR(INDEX('[AQ_2022.xlsx]原始数据'!$F:$F,MATCH($A509,'[AQ_2022.xlsx]原始数据'!$A:$A,0)),""))</f>
        <v/>
      </c>
      <c r="Y509">
        <f>IF($A509="","",IFERROR(INDEX('[AQ_2023.xlsx]原始数据'!$F:$F,MATCH($A509,'[AQ_2023.xlsx]原始数据'!$A:$A,0)),""))</f>
        <v/>
      </c>
      <c r="Z509">
        <f>IF($A509="","",IFERROR(INDEX('[AQ_2024.xlsx]原始数据'!$F:$F,MATCH($A509,'[AQ_2024.xlsx]原始数据'!$A:$A,0)),""))</f>
        <v/>
      </c>
      <c r="AA509" s="2">
        <f>IFERROR(G509/B509,"")</f>
        <v/>
      </c>
      <c r="AB509" s="2">
        <f>IFERROR(H509/C509,"")</f>
        <v/>
      </c>
      <c r="AC509" s="2">
        <f>IFERROR(I509/D509,"")</f>
        <v/>
      </c>
      <c r="AD509" s="2">
        <f>IFERROR(J509/E509,"")</f>
        <v/>
      </c>
      <c r="AE509" s="2">
        <f>IFERROR(K509/F509,"")</f>
        <v/>
      </c>
      <c r="AF509" s="2">
        <f>IFERROR(L509/B509,"")</f>
        <v/>
      </c>
      <c r="AG509" s="2">
        <f>IFERROR(M509/C509,"")</f>
        <v/>
      </c>
      <c r="AH509" s="2">
        <f>IFERROR(N509/D509,"")</f>
        <v/>
      </c>
      <c r="AI509" s="2">
        <f>IFERROR(O509/E509,"")</f>
        <v/>
      </c>
      <c r="AJ509" s="2">
        <f>IFERROR(P509/F509,"")</f>
        <v/>
      </c>
      <c r="AK509" s="2">
        <f>IFERROR(Q509/B509,"")</f>
        <v/>
      </c>
      <c r="AL509" s="2">
        <f>IFERROR(R509/C509,"")</f>
        <v/>
      </c>
      <c r="AM509" s="2">
        <f>IFERROR(S509/D509,"")</f>
        <v/>
      </c>
      <c r="AN509" s="2">
        <f>IFERROR(T509/E509,"")</f>
        <v/>
      </c>
      <c r="AO509" s="2">
        <f>IFERROR(U509/F509,"")</f>
        <v/>
      </c>
    </row>
    <row r="510">
      <c r="B510">
        <f>IF($A510="","",IFERROR(INDEX('[AQ_2020.xlsx]原始数据'!$B:$B,MATCH($A510,'[AQ_2020.xlsx]原始数据'!$A:$A,0)),""))</f>
        <v/>
      </c>
      <c r="C510">
        <f>IF($A510="","",IFERROR(INDEX('[AQ_2021.xlsx]原始数据'!$B:$B,MATCH($A510,'[AQ_2021.xlsx]原始数据'!$A:$A,0)),""))</f>
        <v/>
      </c>
      <c r="D510">
        <f>IF($A510="","",IFERROR(INDEX('[AQ_2022.xlsx]原始数据'!$B:$B,MATCH($A510,'[AQ_2022.xlsx]原始数据'!$A:$A,0)),""))</f>
        <v/>
      </c>
      <c r="E510">
        <f>IF($A510="","",IFERROR(INDEX('[AQ_2023.xlsx]原始数据'!$B:$B,MATCH($A510,'[AQ_2023.xlsx]原始数据'!$A:$A,0)),""))</f>
        <v/>
      </c>
      <c r="F510">
        <f>IF($A510="","",IFERROR(INDEX('[AQ_2024.xlsx]原始数据'!$B:$B,MATCH($A510,'[AQ_2024.xlsx]原始数据'!$A:$A,0)),""))</f>
        <v/>
      </c>
      <c r="G510">
        <f>IF($A510="","",IFERROR(INDEX('[AQ_2020.xlsx]原始数据'!$C:$C,MATCH($A510,'[AQ_2020.xlsx]原始数据'!$A:$A,0)),""))</f>
        <v/>
      </c>
      <c r="H510">
        <f>IF($A510="","",IFERROR(INDEX('[AQ_2021.xlsx]原始数据'!$C:$C,MATCH($A510,'[AQ_2021.xlsx]原始数据'!$A:$A,0)),""))</f>
        <v/>
      </c>
      <c r="I510">
        <f>IF($A510="","",IFERROR(INDEX('[AQ_2022.xlsx]原始数据'!$C:$C,MATCH($A510,'[AQ_2022.xlsx]原始数据'!$A:$A,0)),""))</f>
        <v/>
      </c>
      <c r="J510">
        <f>IF($A510="","",IFERROR(INDEX('[AQ_2023.xlsx]原始数据'!$C:$C,MATCH($A510,'[AQ_2023.xlsx]原始数据'!$A:$A,0)),""))</f>
        <v/>
      </c>
      <c r="K510">
        <f>IF($A510="","",IFERROR(INDEX('[AQ_2024.xlsx]原始数据'!$C:$C,MATCH($A510,'[AQ_2024.xlsx]原始数据'!$A:$A,0)),""))</f>
        <v/>
      </c>
      <c r="L510">
        <f>IF($A510="","",IFERROR(INDEX('[AQ_2020.xlsx]原始数据'!$D:$D,MATCH($A510,'[AQ_2020.xlsx]原始数据'!$A:$A,0)),""))</f>
        <v/>
      </c>
      <c r="M510">
        <f>IF($A510="","",IFERROR(INDEX('[AQ_2021.xlsx]原始数据'!$D:$D,MATCH($A510,'[AQ_2021.xlsx]原始数据'!$A:$A,0)),""))</f>
        <v/>
      </c>
      <c r="N510">
        <f>IF($A510="","",IFERROR(INDEX('[AQ_2022.xlsx]原始数据'!$D:$D,MATCH($A510,'[AQ_2022.xlsx]原始数据'!$A:$A,0)),""))</f>
        <v/>
      </c>
      <c r="O510">
        <f>IF($A510="","",IFERROR(INDEX('[AQ_2023.xlsx]原始数据'!$D:$D,MATCH($A510,'[AQ_2023.xlsx]原始数据'!$A:$A,0)),""))</f>
        <v/>
      </c>
      <c r="P510">
        <f>IF($A510="","",IFERROR(INDEX('[AQ_2024.xlsx]原始数据'!$D:$D,MATCH($A510,'[AQ_2024.xlsx]原始数据'!$A:$A,0)),""))</f>
        <v/>
      </c>
      <c r="Q510">
        <f>IF($A510="","",IFERROR(INDEX('[AQ_2020.xlsx]原始数据'!$E:$E,MATCH($A510,'[AQ_2020.xlsx]原始数据'!$A:$A,0)),""))</f>
        <v/>
      </c>
      <c r="R510">
        <f>IF($A510="","",IFERROR(INDEX('[AQ_2021.xlsx]原始数据'!$E:$E,MATCH($A510,'[AQ_2021.xlsx]原始数据'!$A:$A,0)),""))</f>
        <v/>
      </c>
      <c r="S510">
        <f>IF($A510="","",IFERROR(INDEX('[AQ_2022.xlsx]原始数据'!$E:$E,MATCH($A510,'[AQ_2022.xlsx]原始数据'!$A:$A,0)),""))</f>
        <v/>
      </c>
      <c r="T510">
        <f>IF($A510="","",IFERROR(INDEX('[AQ_2023.xlsx]原始数据'!$E:$E,MATCH($A510,'[AQ_2023.xlsx]原始数据'!$A:$A,0)),""))</f>
        <v/>
      </c>
      <c r="U510">
        <f>IF($A510="","",IFERROR(INDEX('[AQ_2024.xlsx]原始数据'!$E:$E,MATCH($A510,'[AQ_2024.xlsx]原始数据'!$A:$A,0)),""))</f>
        <v/>
      </c>
      <c r="V510">
        <f>IF($A510="","",IFERROR(INDEX('[AQ_2020.xlsx]原始数据'!$F:$F,MATCH($A510,'[AQ_2020.xlsx]原始数据'!$A:$A,0)),""))</f>
        <v/>
      </c>
      <c r="W510">
        <f>IF($A510="","",IFERROR(INDEX('[AQ_2021.xlsx]原始数据'!$F:$F,MATCH($A510,'[AQ_2021.xlsx]原始数据'!$A:$A,0)),""))</f>
        <v/>
      </c>
      <c r="X510">
        <f>IF($A510="","",IFERROR(INDEX('[AQ_2022.xlsx]原始数据'!$F:$F,MATCH($A510,'[AQ_2022.xlsx]原始数据'!$A:$A,0)),""))</f>
        <v/>
      </c>
      <c r="Y510">
        <f>IF($A510="","",IFERROR(INDEX('[AQ_2023.xlsx]原始数据'!$F:$F,MATCH($A510,'[AQ_2023.xlsx]原始数据'!$A:$A,0)),""))</f>
        <v/>
      </c>
      <c r="Z510">
        <f>IF($A510="","",IFERROR(INDEX('[AQ_2024.xlsx]原始数据'!$F:$F,MATCH($A510,'[AQ_2024.xlsx]原始数据'!$A:$A,0)),""))</f>
        <v/>
      </c>
      <c r="AA510" s="2">
        <f>IFERROR(G510/B510,"")</f>
        <v/>
      </c>
      <c r="AB510" s="2">
        <f>IFERROR(H510/C510,"")</f>
        <v/>
      </c>
      <c r="AC510" s="2">
        <f>IFERROR(I510/D510,"")</f>
        <v/>
      </c>
      <c r="AD510" s="2">
        <f>IFERROR(J510/E510,"")</f>
        <v/>
      </c>
      <c r="AE510" s="2">
        <f>IFERROR(K510/F510,"")</f>
        <v/>
      </c>
      <c r="AF510" s="2">
        <f>IFERROR(L510/B510,"")</f>
        <v/>
      </c>
      <c r="AG510" s="2">
        <f>IFERROR(M510/C510,"")</f>
        <v/>
      </c>
      <c r="AH510" s="2">
        <f>IFERROR(N510/D510,"")</f>
        <v/>
      </c>
      <c r="AI510" s="2">
        <f>IFERROR(O510/E510,"")</f>
        <v/>
      </c>
      <c r="AJ510" s="2">
        <f>IFERROR(P510/F510,"")</f>
        <v/>
      </c>
      <c r="AK510" s="2">
        <f>IFERROR(Q510/B510,"")</f>
        <v/>
      </c>
      <c r="AL510" s="2">
        <f>IFERROR(R510/C510,"")</f>
        <v/>
      </c>
      <c r="AM510" s="2">
        <f>IFERROR(S510/D510,"")</f>
        <v/>
      </c>
      <c r="AN510" s="2">
        <f>IFERROR(T510/E510,"")</f>
        <v/>
      </c>
      <c r="AO510" s="2">
        <f>IFERROR(U510/F510,"")</f>
        <v/>
      </c>
    </row>
    <row r="511">
      <c r="B511">
        <f>IF($A511="","",IFERROR(INDEX('[AQ_2020.xlsx]原始数据'!$B:$B,MATCH($A511,'[AQ_2020.xlsx]原始数据'!$A:$A,0)),""))</f>
        <v/>
      </c>
      <c r="C511">
        <f>IF($A511="","",IFERROR(INDEX('[AQ_2021.xlsx]原始数据'!$B:$B,MATCH($A511,'[AQ_2021.xlsx]原始数据'!$A:$A,0)),""))</f>
        <v/>
      </c>
      <c r="D511">
        <f>IF($A511="","",IFERROR(INDEX('[AQ_2022.xlsx]原始数据'!$B:$B,MATCH($A511,'[AQ_2022.xlsx]原始数据'!$A:$A,0)),""))</f>
        <v/>
      </c>
      <c r="E511">
        <f>IF($A511="","",IFERROR(INDEX('[AQ_2023.xlsx]原始数据'!$B:$B,MATCH($A511,'[AQ_2023.xlsx]原始数据'!$A:$A,0)),""))</f>
        <v/>
      </c>
      <c r="F511">
        <f>IF($A511="","",IFERROR(INDEX('[AQ_2024.xlsx]原始数据'!$B:$B,MATCH($A511,'[AQ_2024.xlsx]原始数据'!$A:$A,0)),""))</f>
        <v/>
      </c>
      <c r="G511">
        <f>IF($A511="","",IFERROR(INDEX('[AQ_2020.xlsx]原始数据'!$C:$C,MATCH($A511,'[AQ_2020.xlsx]原始数据'!$A:$A,0)),""))</f>
        <v/>
      </c>
      <c r="H511">
        <f>IF($A511="","",IFERROR(INDEX('[AQ_2021.xlsx]原始数据'!$C:$C,MATCH($A511,'[AQ_2021.xlsx]原始数据'!$A:$A,0)),""))</f>
        <v/>
      </c>
      <c r="I511">
        <f>IF($A511="","",IFERROR(INDEX('[AQ_2022.xlsx]原始数据'!$C:$C,MATCH($A511,'[AQ_2022.xlsx]原始数据'!$A:$A,0)),""))</f>
        <v/>
      </c>
      <c r="J511">
        <f>IF($A511="","",IFERROR(INDEX('[AQ_2023.xlsx]原始数据'!$C:$C,MATCH($A511,'[AQ_2023.xlsx]原始数据'!$A:$A,0)),""))</f>
        <v/>
      </c>
      <c r="K511">
        <f>IF($A511="","",IFERROR(INDEX('[AQ_2024.xlsx]原始数据'!$C:$C,MATCH($A511,'[AQ_2024.xlsx]原始数据'!$A:$A,0)),""))</f>
        <v/>
      </c>
      <c r="L511">
        <f>IF($A511="","",IFERROR(INDEX('[AQ_2020.xlsx]原始数据'!$D:$D,MATCH($A511,'[AQ_2020.xlsx]原始数据'!$A:$A,0)),""))</f>
        <v/>
      </c>
      <c r="M511">
        <f>IF($A511="","",IFERROR(INDEX('[AQ_2021.xlsx]原始数据'!$D:$D,MATCH($A511,'[AQ_2021.xlsx]原始数据'!$A:$A,0)),""))</f>
        <v/>
      </c>
      <c r="N511">
        <f>IF($A511="","",IFERROR(INDEX('[AQ_2022.xlsx]原始数据'!$D:$D,MATCH($A511,'[AQ_2022.xlsx]原始数据'!$A:$A,0)),""))</f>
        <v/>
      </c>
      <c r="O511">
        <f>IF($A511="","",IFERROR(INDEX('[AQ_2023.xlsx]原始数据'!$D:$D,MATCH($A511,'[AQ_2023.xlsx]原始数据'!$A:$A,0)),""))</f>
        <v/>
      </c>
      <c r="P511">
        <f>IF($A511="","",IFERROR(INDEX('[AQ_2024.xlsx]原始数据'!$D:$D,MATCH($A511,'[AQ_2024.xlsx]原始数据'!$A:$A,0)),""))</f>
        <v/>
      </c>
      <c r="Q511">
        <f>IF($A511="","",IFERROR(INDEX('[AQ_2020.xlsx]原始数据'!$E:$E,MATCH($A511,'[AQ_2020.xlsx]原始数据'!$A:$A,0)),""))</f>
        <v/>
      </c>
      <c r="R511">
        <f>IF($A511="","",IFERROR(INDEX('[AQ_2021.xlsx]原始数据'!$E:$E,MATCH($A511,'[AQ_2021.xlsx]原始数据'!$A:$A,0)),""))</f>
        <v/>
      </c>
      <c r="S511">
        <f>IF($A511="","",IFERROR(INDEX('[AQ_2022.xlsx]原始数据'!$E:$E,MATCH($A511,'[AQ_2022.xlsx]原始数据'!$A:$A,0)),""))</f>
        <v/>
      </c>
      <c r="T511">
        <f>IF($A511="","",IFERROR(INDEX('[AQ_2023.xlsx]原始数据'!$E:$E,MATCH($A511,'[AQ_2023.xlsx]原始数据'!$A:$A,0)),""))</f>
        <v/>
      </c>
      <c r="U511">
        <f>IF($A511="","",IFERROR(INDEX('[AQ_2024.xlsx]原始数据'!$E:$E,MATCH($A511,'[AQ_2024.xlsx]原始数据'!$A:$A,0)),""))</f>
        <v/>
      </c>
      <c r="V511">
        <f>IF($A511="","",IFERROR(INDEX('[AQ_2020.xlsx]原始数据'!$F:$F,MATCH($A511,'[AQ_2020.xlsx]原始数据'!$A:$A,0)),""))</f>
        <v/>
      </c>
      <c r="W511">
        <f>IF($A511="","",IFERROR(INDEX('[AQ_2021.xlsx]原始数据'!$F:$F,MATCH($A511,'[AQ_2021.xlsx]原始数据'!$A:$A,0)),""))</f>
        <v/>
      </c>
      <c r="X511">
        <f>IF($A511="","",IFERROR(INDEX('[AQ_2022.xlsx]原始数据'!$F:$F,MATCH($A511,'[AQ_2022.xlsx]原始数据'!$A:$A,0)),""))</f>
        <v/>
      </c>
      <c r="Y511">
        <f>IF($A511="","",IFERROR(INDEX('[AQ_2023.xlsx]原始数据'!$F:$F,MATCH($A511,'[AQ_2023.xlsx]原始数据'!$A:$A,0)),""))</f>
        <v/>
      </c>
      <c r="Z511">
        <f>IF($A511="","",IFERROR(INDEX('[AQ_2024.xlsx]原始数据'!$F:$F,MATCH($A511,'[AQ_2024.xlsx]原始数据'!$A:$A,0)),""))</f>
        <v/>
      </c>
      <c r="AA511" s="2">
        <f>IFERROR(G511/B511,"")</f>
        <v/>
      </c>
      <c r="AB511" s="2">
        <f>IFERROR(H511/C511,"")</f>
        <v/>
      </c>
      <c r="AC511" s="2">
        <f>IFERROR(I511/D511,"")</f>
        <v/>
      </c>
      <c r="AD511" s="2">
        <f>IFERROR(J511/E511,"")</f>
        <v/>
      </c>
      <c r="AE511" s="2">
        <f>IFERROR(K511/F511,"")</f>
        <v/>
      </c>
      <c r="AF511" s="2">
        <f>IFERROR(L511/B511,"")</f>
        <v/>
      </c>
      <c r="AG511" s="2">
        <f>IFERROR(M511/C511,"")</f>
        <v/>
      </c>
      <c r="AH511" s="2">
        <f>IFERROR(N511/D511,"")</f>
        <v/>
      </c>
      <c r="AI511" s="2">
        <f>IFERROR(O511/E511,"")</f>
        <v/>
      </c>
      <c r="AJ511" s="2">
        <f>IFERROR(P511/F511,"")</f>
        <v/>
      </c>
      <c r="AK511" s="2">
        <f>IFERROR(Q511/B511,"")</f>
        <v/>
      </c>
      <c r="AL511" s="2">
        <f>IFERROR(R511/C511,"")</f>
        <v/>
      </c>
      <c r="AM511" s="2">
        <f>IFERROR(S511/D511,"")</f>
        <v/>
      </c>
      <c r="AN511" s="2">
        <f>IFERROR(T511/E511,"")</f>
        <v/>
      </c>
      <c r="AO511" s="2">
        <f>IFERROR(U511/F511,"")</f>
        <v/>
      </c>
    </row>
    <row r="512">
      <c r="B512">
        <f>IF($A512="","",IFERROR(INDEX('[AQ_2020.xlsx]原始数据'!$B:$B,MATCH($A512,'[AQ_2020.xlsx]原始数据'!$A:$A,0)),""))</f>
        <v/>
      </c>
      <c r="C512">
        <f>IF($A512="","",IFERROR(INDEX('[AQ_2021.xlsx]原始数据'!$B:$B,MATCH($A512,'[AQ_2021.xlsx]原始数据'!$A:$A,0)),""))</f>
        <v/>
      </c>
      <c r="D512">
        <f>IF($A512="","",IFERROR(INDEX('[AQ_2022.xlsx]原始数据'!$B:$B,MATCH($A512,'[AQ_2022.xlsx]原始数据'!$A:$A,0)),""))</f>
        <v/>
      </c>
      <c r="E512">
        <f>IF($A512="","",IFERROR(INDEX('[AQ_2023.xlsx]原始数据'!$B:$B,MATCH($A512,'[AQ_2023.xlsx]原始数据'!$A:$A,0)),""))</f>
        <v/>
      </c>
      <c r="F512">
        <f>IF($A512="","",IFERROR(INDEX('[AQ_2024.xlsx]原始数据'!$B:$B,MATCH($A512,'[AQ_2024.xlsx]原始数据'!$A:$A,0)),""))</f>
        <v/>
      </c>
      <c r="G512">
        <f>IF($A512="","",IFERROR(INDEX('[AQ_2020.xlsx]原始数据'!$C:$C,MATCH($A512,'[AQ_2020.xlsx]原始数据'!$A:$A,0)),""))</f>
        <v/>
      </c>
      <c r="H512">
        <f>IF($A512="","",IFERROR(INDEX('[AQ_2021.xlsx]原始数据'!$C:$C,MATCH($A512,'[AQ_2021.xlsx]原始数据'!$A:$A,0)),""))</f>
        <v/>
      </c>
      <c r="I512">
        <f>IF($A512="","",IFERROR(INDEX('[AQ_2022.xlsx]原始数据'!$C:$C,MATCH($A512,'[AQ_2022.xlsx]原始数据'!$A:$A,0)),""))</f>
        <v/>
      </c>
      <c r="J512">
        <f>IF($A512="","",IFERROR(INDEX('[AQ_2023.xlsx]原始数据'!$C:$C,MATCH($A512,'[AQ_2023.xlsx]原始数据'!$A:$A,0)),""))</f>
        <v/>
      </c>
      <c r="K512">
        <f>IF($A512="","",IFERROR(INDEX('[AQ_2024.xlsx]原始数据'!$C:$C,MATCH($A512,'[AQ_2024.xlsx]原始数据'!$A:$A,0)),""))</f>
        <v/>
      </c>
      <c r="L512">
        <f>IF($A512="","",IFERROR(INDEX('[AQ_2020.xlsx]原始数据'!$D:$D,MATCH($A512,'[AQ_2020.xlsx]原始数据'!$A:$A,0)),""))</f>
        <v/>
      </c>
      <c r="M512">
        <f>IF($A512="","",IFERROR(INDEX('[AQ_2021.xlsx]原始数据'!$D:$D,MATCH($A512,'[AQ_2021.xlsx]原始数据'!$A:$A,0)),""))</f>
        <v/>
      </c>
      <c r="N512">
        <f>IF($A512="","",IFERROR(INDEX('[AQ_2022.xlsx]原始数据'!$D:$D,MATCH($A512,'[AQ_2022.xlsx]原始数据'!$A:$A,0)),""))</f>
        <v/>
      </c>
      <c r="O512">
        <f>IF($A512="","",IFERROR(INDEX('[AQ_2023.xlsx]原始数据'!$D:$D,MATCH($A512,'[AQ_2023.xlsx]原始数据'!$A:$A,0)),""))</f>
        <v/>
      </c>
      <c r="P512">
        <f>IF($A512="","",IFERROR(INDEX('[AQ_2024.xlsx]原始数据'!$D:$D,MATCH($A512,'[AQ_2024.xlsx]原始数据'!$A:$A,0)),""))</f>
        <v/>
      </c>
      <c r="Q512">
        <f>IF($A512="","",IFERROR(INDEX('[AQ_2020.xlsx]原始数据'!$E:$E,MATCH($A512,'[AQ_2020.xlsx]原始数据'!$A:$A,0)),""))</f>
        <v/>
      </c>
      <c r="R512">
        <f>IF($A512="","",IFERROR(INDEX('[AQ_2021.xlsx]原始数据'!$E:$E,MATCH($A512,'[AQ_2021.xlsx]原始数据'!$A:$A,0)),""))</f>
        <v/>
      </c>
      <c r="S512">
        <f>IF($A512="","",IFERROR(INDEX('[AQ_2022.xlsx]原始数据'!$E:$E,MATCH($A512,'[AQ_2022.xlsx]原始数据'!$A:$A,0)),""))</f>
        <v/>
      </c>
      <c r="T512">
        <f>IF($A512="","",IFERROR(INDEX('[AQ_2023.xlsx]原始数据'!$E:$E,MATCH($A512,'[AQ_2023.xlsx]原始数据'!$A:$A,0)),""))</f>
        <v/>
      </c>
      <c r="U512">
        <f>IF($A512="","",IFERROR(INDEX('[AQ_2024.xlsx]原始数据'!$E:$E,MATCH($A512,'[AQ_2024.xlsx]原始数据'!$A:$A,0)),""))</f>
        <v/>
      </c>
      <c r="V512">
        <f>IF($A512="","",IFERROR(INDEX('[AQ_2020.xlsx]原始数据'!$F:$F,MATCH($A512,'[AQ_2020.xlsx]原始数据'!$A:$A,0)),""))</f>
        <v/>
      </c>
      <c r="W512">
        <f>IF($A512="","",IFERROR(INDEX('[AQ_2021.xlsx]原始数据'!$F:$F,MATCH($A512,'[AQ_2021.xlsx]原始数据'!$A:$A,0)),""))</f>
        <v/>
      </c>
      <c r="X512">
        <f>IF($A512="","",IFERROR(INDEX('[AQ_2022.xlsx]原始数据'!$F:$F,MATCH($A512,'[AQ_2022.xlsx]原始数据'!$A:$A,0)),""))</f>
        <v/>
      </c>
      <c r="Y512">
        <f>IF($A512="","",IFERROR(INDEX('[AQ_2023.xlsx]原始数据'!$F:$F,MATCH($A512,'[AQ_2023.xlsx]原始数据'!$A:$A,0)),""))</f>
        <v/>
      </c>
      <c r="Z512">
        <f>IF($A512="","",IFERROR(INDEX('[AQ_2024.xlsx]原始数据'!$F:$F,MATCH($A512,'[AQ_2024.xlsx]原始数据'!$A:$A,0)),""))</f>
        <v/>
      </c>
      <c r="AA512" s="2">
        <f>IFERROR(G512/B512,"")</f>
        <v/>
      </c>
      <c r="AB512" s="2">
        <f>IFERROR(H512/C512,"")</f>
        <v/>
      </c>
      <c r="AC512" s="2">
        <f>IFERROR(I512/D512,"")</f>
        <v/>
      </c>
      <c r="AD512" s="2">
        <f>IFERROR(J512/E512,"")</f>
        <v/>
      </c>
      <c r="AE512" s="2">
        <f>IFERROR(K512/F512,"")</f>
        <v/>
      </c>
      <c r="AF512" s="2">
        <f>IFERROR(L512/B512,"")</f>
        <v/>
      </c>
      <c r="AG512" s="2">
        <f>IFERROR(M512/C512,"")</f>
        <v/>
      </c>
      <c r="AH512" s="2">
        <f>IFERROR(N512/D512,"")</f>
        <v/>
      </c>
      <c r="AI512" s="2">
        <f>IFERROR(O512/E512,"")</f>
        <v/>
      </c>
      <c r="AJ512" s="2">
        <f>IFERROR(P512/F512,"")</f>
        <v/>
      </c>
      <c r="AK512" s="2">
        <f>IFERROR(Q512/B512,"")</f>
        <v/>
      </c>
      <c r="AL512" s="2">
        <f>IFERROR(R512/C512,"")</f>
        <v/>
      </c>
      <c r="AM512" s="2">
        <f>IFERROR(S512/D512,"")</f>
        <v/>
      </c>
      <c r="AN512" s="2">
        <f>IFERROR(T512/E512,"")</f>
        <v/>
      </c>
      <c r="AO512" s="2">
        <f>IFERROR(U512/F512,"")</f>
        <v/>
      </c>
    </row>
    <row r="513">
      <c r="B513">
        <f>IF($A513="","",IFERROR(INDEX('[AQ_2020.xlsx]原始数据'!$B:$B,MATCH($A513,'[AQ_2020.xlsx]原始数据'!$A:$A,0)),""))</f>
        <v/>
      </c>
      <c r="C513">
        <f>IF($A513="","",IFERROR(INDEX('[AQ_2021.xlsx]原始数据'!$B:$B,MATCH($A513,'[AQ_2021.xlsx]原始数据'!$A:$A,0)),""))</f>
        <v/>
      </c>
      <c r="D513">
        <f>IF($A513="","",IFERROR(INDEX('[AQ_2022.xlsx]原始数据'!$B:$B,MATCH($A513,'[AQ_2022.xlsx]原始数据'!$A:$A,0)),""))</f>
        <v/>
      </c>
      <c r="E513">
        <f>IF($A513="","",IFERROR(INDEX('[AQ_2023.xlsx]原始数据'!$B:$B,MATCH($A513,'[AQ_2023.xlsx]原始数据'!$A:$A,0)),""))</f>
        <v/>
      </c>
      <c r="F513">
        <f>IF($A513="","",IFERROR(INDEX('[AQ_2024.xlsx]原始数据'!$B:$B,MATCH($A513,'[AQ_2024.xlsx]原始数据'!$A:$A,0)),""))</f>
        <v/>
      </c>
      <c r="G513">
        <f>IF($A513="","",IFERROR(INDEX('[AQ_2020.xlsx]原始数据'!$C:$C,MATCH($A513,'[AQ_2020.xlsx]原始数据'!$A:$A,0)),""))</f>
        <v/>
      </c>
      <c r="H513">
        <f>IF($A513="","",IFERROR(INDEX('[AQ_2021.xlsx]原始数据'!$C:$C,MATCH($A513,'[AQ_2021.xlsx]原始数据'!$A:$A,0)),""))</f>
        <v/>
      </c>
      <c r="I513">
        <f>IF($A513="","",IFERROR(INDEX('[AQ_2022.xlsx]原始数据'!$C:$C,MATCH($A513,'[AQ_2022.xlsx]原始数据'!$A:$A,0)),""))</f>
        <v/>
      </c>
      <c r="J513">
        <f>IF($A513="","",IFERROR(INDEX('[AQ_2023.xlsx]原始数据'!$C:$C,MATCH($A513,'[AQ_2023.xlsx]原始数据'!$A:$A,0)),""))</f>
        <v/>
      </c>
      <c r="K513">
        <f>IF($A513="","",IFERROR(INDEX('[AQ_2024.xlsx]原始数据'!$C:$C,MATCH($A513,'[AQ_2024.xlsx]原始数据'!$A:$A,0)),""))</f>
        <v/>
      </c>
      <c r="L513">
        <f>IF($A513="","",IFERROR(INDEX('[AQ_2020.xlsx]原始数据'!$D:$D,MATCH($A513,'[AQ_2020.xlsx]原始数据'!$A:$A,0)),""))</f>
        <v/>
      </c>
      <c r="M513">
        <f>IF($A513="","",IFERROR(INDEX('[AQ_2021.xlsx]原始数据'!$D:$D,MATCH($A513,'[AQ_2021.xlsx]原始数据'!$A:$A,0)),""))</f>
        <v/>
      </c>
      <c r="N513">
        <f>IF($A513="","",IFERROR(INDEX('[AQ_2022.xlsx]原始数据'!$D:$D,MATCH($A513,'[AQ_2022.xlsx]原始数据'!$A:$A,0)),""))</f>
        <v/>
      </c>
      <c r="O513">
        <f>IF($A513="","",IFERROR(INDEX('[AQ_2023.xlsx]原始数据'!$D:$D,MATCH($A513,'[AQ_2023.xlsx]原始数据'!$A:$A,0)),""))</f>
        <v/>
      </c>
      <c r="P513">
        <f>IF($A513="","",IFERROR(INDEX('[AQ_2024.xlsx]原始数据'!$D:$D,MATCH($A513,'[AQ_2024.xlsx]原始数据'!$A:$A,0)),""))</f>
        <v/>
      </c>
      <c r="Q513">
        <f>IF($A513="","",IFERROR(INDEX('[AQ_2020.xlsx]原始数据'!$E:$E,MATCH($A513,'[AQ_2020.xlsx]原始数据'!$A:$A,0)),""))</f>
        <v/>
      </c>
      <c r="R513">
        <f>IF($A513="","",IFERROR(INDEX('[AQ_2021.xlsx]原始数据'!$E:$E,MATCH($A513,'[AQ_2021.xlsx]原始数据'!$A:$A,0)),""))</f>
        <v/>
      </c>
      <c r="S513">
        <f>IF($A513="","",IFERROR(INDEX('[AQ_2022.xlsx]原始数据'!$E:$E,MATCH($A513,'[AQ_2022.xlsx]原始数据'!$A:$A,0)),""))</f>
        <v/>
      </c>
      <c r="T513">
        <f>IF($A513="","",IFERROR(INDEX('[AQ_2023.xlsx]原始数据'!$E:$E,MATCH($A513,'[AQ_2023.xlsx]原始数据'!$A:$A,0)),""))</f>
        <v/>
      </c>
      <c r="U513">
        <f>IF($A513="","",IFERROR(INDEX('[AQ_2024.xlsx]原始数据'!$E:$E,MATCH($A513,'[AQ_2024.xlsx]原始数据'!$A:$A,0)),""))</f>
        <v/>
      </c>
      <c r="V513">
        <f>IF($A513="","",IFERROR(INDEX('[AQ_2020.xlsx]原始数据'!$F:$F,MATCH($A513,'[AQ_2020.xlsx]原始数据'!$A:$A,0)),""))</f>
        <v/>
      </c>
      <c r="W513">
        <f>IF($A513="","",IFERROR(INDEX('[AQ_2021.xlsx]原始数据'!$F:$F,MATCH($A513,'[AQ_2021.xlsx]原始数据'!$A:$A,0)),""))</f>
        <v/>
      </c>
      <c r="X513">
        <f>IF($A513="","",IFERROR(INDEX('[AQ_2022.xlsx]原始数据'!$F:$F,MATCH($A513,'[AQ_2022.xlsx]原始数据'!$A:$A,0)),""))</f>
        <v/>
      </c>
      <c r="Y513">
        <f>IF($A513="","",IFERROR(INDEX('[AQ_2023.xlsx]原始数据'!$F:$F,MATCH($A513,'[AQ_2023.xlsx]原始数据'!$A:$A,0)),""))</f>
        <v/>
      </c>
      <c r="Z513">
        <f>IF($A513="","",IFERROR(INDEX('[AQ_2024.xlsx]原始数据'!$F:$F,MATCH($A513,'[AQ_2024.xlsx]原始数据'!$A:$A,0)),""))</f>
        <v/>
      </c>
      <c r="AA513" s="2">
        <f>IFERROR(G513/B513,"")</f>
        <v/>
      </c>
      <c r="AB513" s="2">
        <f>IFERROR(H513/C513,"")</f>
        <v/>
      </c>
      <c r="AC513" s="2">
        <f>IFERROR(I513/D513,"")</f>
        <v/>
      </c>
      <c r="AD513" s="2">
        <f>IFERROR(J513/E513,"")</f>
        <v/>
      </c>
      <c r="AE513" s="2">
        <f>IFERROR(K513/F513,"")</f>
        <v/>
      </c>
      <c r="AF513" s="2">
        <f>IFERROR(L513/B513,"")</f>
        <v/>
      </c>
      <c r="AG513" s="2">
        <f>IFERROR(M513/C513,"")</f>
        <v/>
      </c>
      <c r="AH513" s="2">
        <f>IFERROR(N513/D513,"")</f>
        <v/>
      </c>
      <c r="AI513" s="2">
        <f>IFERROR(O513/E513,"")</f>
        <v/>
      </c>
      <c r="AJ513" s="2">
        <f>IFERROR(P513/F513,"")</f>
        <v/>
      </c>
      <c r="AK513" s="2">
        <f>IFERROR(Q513/B513,"")</f>
        <v/>
      </c>
      <c r="AL513" s="2">
        <f>IFERROR(R513/C513,"")</f>
        <v/>
      </c>
      <c r="AM513" s="2">
        <f>IFERROR(S513/D513,"")</f>
        <v/>
      </c>
      <c r="AN513" s="2">
        <f>IFERROR(T513/E513,"")</f>
        <v/>
      </c>
      <c r="AO513" s="2">
        <f>IFERROR(U513/F513,"")</f>
        <v/>
      </c>
    </row>
    <row r="514">
      <c r="B514">
        <f>IF($A514="","",IFERROR(INDEX('[AQ_2020.xlsx]原始数据'!$B:$B,MATCH($A514,'[AQ_2020.xlsx]原始数据'!$A:$A,0)),""))</f>
        <v/>
      </c>
      <c r="C514">
        <f>IF($A514="","",IFERROR(INDEX('[AQ_2021.xlsx]原始数据'!$B:$B,MATCH($A514,'[AQ_2021.xlsx]原始数据'!$A:$A,0)),""))</f>
        <v/>
      </c>
      <c r="D514">
        <f>IF($A514="","",IFERROR(INDEX('[AQ_2022.xlsx]原始数据'!$B:$B,MATCH($A514,'[AQ_2022.xlsx]原始数据'!$A:$A,0)),""))</f>
        <v/>
      </c>
      <c r="E514">
        <f>IF($A514="","",IFERROR(INDEX('[AQ_2023.xlsx]原始数据'!$B:$B,MATCH($A514,'[AQ_2023.xlsx]原始数据'!$A:$A,0)),""))</f>
        <v/>
      </c>
      <c r="F514">
        <f>IF($A514="","",IFERROR(INDEX('[AQ_2024.xlsx]原始数据'!$B:$B,MATCH($A514,'[AQ_2024.xlsx]原始数据'!$A:$A,0)),""))</f>
        <v/>
      </c>
      <c r="G514">
        <f>IF($A514="","",IFERROR(INDEX('[AQ_2020.xlsx]原始数据'!$C:$C,MATCH($A514,'[AQ_2020.xlsx]原始数据'!$A:$A,0)),""))</f>
        <v/>
      </c>
      <c r="H514">
        <f>IF($A514="","",IFERROR(INDEX('[AQ_2021.xlsx]原始数据'!$C:$C,MATCH($A514,'[AQ_2021.xlsx]原始数据'!$A:$A,0)),""))</f>
        <v/>
      </c>
      <c r="I514">
        <f>IF($A514="","",IFERROR(INDEX('[AQ_2022.xlsx]原始数据'!$C:$C,MATCH($A514,'[AQ_2022.xlsx]原始数据'!$A:$A,0)),""))</f>
        <v/>
      </c>
      <c r="J514">
        <f>IF($A514="","",IFERROR(INDEX('[AQ_2023.xlsx]原始数据'!$C:$C,MATCH($A514,'[AQ_2023.xlsx]原始数据'!$A:$A,0)),""))</f>
        <v/>
      </c>
      <c r="K514">
        <f>IF($A514="","",IFERROR(INDEX('[AQ_2024.xlsx]原始数据'!$C:$C,MATCH($A514,'[AQ_2024.xlsx]原始数据'!$A:$A,0)),""))</f>
        <v/>
      </c>
      <c r="L514">
        <f>IF($A514="","",IFERROR(INDEX('[AQ_2020.xlsx]原始数据'!$D:$D,MATCH($A514,'[AQ_2020.xlsx]原始数据'!$A:$A,0)),""))</f>
        <v/>
      </c>
      <c r="M514">
        <f>IF($A514="","",IFERROR(INDEX('[AQ_2021.xlsx]原始数据'!$D:$D,MATCH($A514,'[AQ_2021.xlsx]原始数据'!$A:$A,0)),""))</f>
        <v/>
      </c>
      <c r="N514">
        <f>IF($A514="","",IFERROR(INDEX('[AQ_2022.xlsx]原始数据'!$D:$D,MATCH($A514,'[AQ_2022.xlsx]原始数据'!$A:$A,0)),""))</f>
        <v/>
      </c>
      <c r="O514">
        <f>IF($A514="","",IFERROR(INDEX('[AQ_2023.xlsx]原始数据'!$D:$D,MATCH($A514,'[AQ_2023.xlsx]原始数据'!$A:$A,0)),""))</f>
        <v/>
      </c>
      <c r="P514">
        <f>IF($A514="","",IFERROR(INDEX('[AQ_2024.xlsx]原始数据'!$D:$D,MATCH($A514,'[AQ_2024.xlsx]原始数据'!$A:$A,0)),""))</f>
        <v/>
      </c>
      <c r="Q514">
        <f>IF($A514="","",IFERROR(INDEX('[AQ_2020.xlsx]原始数据'!$E:$E,MATCH($A514,'[AQ_2020.xlsx]原始数据'!$A:$A,0)),""))</f>
        <v/>
      </c>
      <c r="R514">
        <f>IF($A514="","",IFERROR(INDEX('[AQ_2021.xlsx]原始数据'!$E:$E,MATCH($A514,'[AQ_2021.xlsx]原始数据'!$A:$A,0)),""))</f>
        <v/>
      </c>
      <c r="S514">
        <f>IF($A514="","",IFERROR(INDEX('[AQ_2022.xlsx]原始数据'!$E:$E,MATCH($A514,'[AQ_2022.xlsx]原始数据'!$A:$A,0)),""))</f>
        <v/>
      </c>
      <c r="T514">
        <f>IF($A514="","",IFERROR(INDEX('[AQ_2023.xlsx]原始数据'!$E:$E,MATCH($A514,'[AQ_2023.xlsx]原始数据'!$A:$A,0)),""))</f>
        <v/>
      </c>
      <c r="U514">
        <f>IF($A514="","",IFERROR(INDEX('[AQ_2024.xlsx]原始数据'!$E:$E,MATCH($A514,'[AQ_2024.xlsx]原始数据'!$A:$A,0)),""))</f>
        <v/>
      </c>
      <c r="V514">
        <f>IF($A514="","",IFERROR(INDEX('[AQ_2020.xlsx]原始数据'!$F:$F,MATCH($A514,'[AQ_2020.xlsx]原始数据'!$A:$A,0)),""))</f>
        <v/>
      </c>
      <c r="W514">
        <f>IF($A514="","",IFERROR(INDEX('[AQ_2021.xlsx]原始数据'!$F:$F,MATCH($A514,'[AQ_2021.xlsx]原始数据'!$A:$A,0)),""))</f>
        <v/>
      </c>
      <c r="X514">
        <f>IF($A514="","",IFERROR(INDEX('[AQ_2022.xlsx]原始数据'!$F:$F,MATCH($A514,'[AQ_2022.xlsx]原始数据'!$A:$A,0)),""))</f>
        <v/>
      </c>
      <c r="Y514">
        <f>IF($A514="","",IFERROR(INDEX('[AQ_2023.xlsx]原始数据'!$F:$F,MATCH($A514,'[AQ_2023.xlsx]原始数据'!$A:$A,0)),""))</f>
        <v/>
      </c>
      <c r="Z514">
        <f>IF($A514="","",IFERROR(INDEX('[AQ_2024.xlsx]原始数据'!$F:$F,MATCH($A514,'[AQ_2024.xlsx]原始数据'!$A:$A,0)),""))</f>
        <v/>
      </c>
      <c r="AA514" s="2">
        <f>IFERROR(G514/B514,"")</f>
        <v/>
      </c>
      <c r="AB514" s="2">
        <f>IFERROR(H514/C514,"")</f>
        <v/>
      </c>
      <c r="AC514" s="2">
        <f>IFERROR(I514/D514,"")</f>
        <v/>
      </c>
      <c r="AD514" s="2">
        <f>IFERROR(J514/E514,"")</f>
        <v/>
      </c>
      <c r="AE514" s="2">
        <f>IFERROR(K514/F514,"")</f>
        <v/>
      </c>
      <c r="AF514" s="2">
        <f>IFERROR(L514/B514,"")</f>
        <v/>
      </c>
      <c r="AG514" s="2">
        <f>IFERROR(M514/C514,"")</f>
        <v/>
      </c>
      <c r="AH514" s="2">
        <f>IFERROR(N514/D514,"")</f>
        <v/>
      </c>
      <c r="AI514" s="2">
        <f>IFERROR(O514/E514,"")</f>
        <v/>
      </c>
      <c r="AJ514" s="2">
        <f>IFERROR(P514/F514,"")</f>
        <v/>
      </c>
      <c r="AK514" s="2">
        <f>IFERROR(Q514/B514,"")</f>
        <v/>
      </c>
      <c r="AL514" s="2">
        <f>IFERROR(R514/C514,"")</f>
        <v/>
      </c>
      <c r="AM514" s="2">
        <f>IFERROR(S514/D514,"")</f>
        <v/>
      </c>
      <c r="AN514" s="2">
        <f>IFERROR(T514/E514,"")</f>
        <v/>
      </c>
      <c r="AO514" s="2">
        <f>IFERROR(U514/F514,"")</f>
        <v/>
      </c>
    </row>
    <row r="515">
      <c r="B515">
        <f>IF($A515="","",IFERROR(INDEX('[AQ_2020.xlsx]原始数据'!$B:$B,MATCH($A515,'[AQ_2020.xlsx]原始数据'!$A:$A,0)),""))</f>
        <v/>
      </c>
      <c r="C515">
        <f>IF($A515="","",IFERROR(INDEX('[AQ_2021.xlsx]原始数据'!$B:$B,MATCH($A515,'[AQ_2021.xlsx]原始数据'!$A:$A,0)),""))</f>
        <v/>
      </c>
      <c r="D515">
        <f>IF($A515="","",IFERROR(INDEX('[AQ_2022.xlsx]原始数据'!$B:$B,MATCH($A515,'[AQ_2022.xlsx]原始数据'!$A:$A,0)),""))</f>
        <v/>
      </c>
      <c r="E515">
        <f>IF($A515="","",IFERROR(INDEX('[AQ_2023.xlsx]原始数据'!$B:$B,MATCH($A515,'[AQ_2023.xlsx]原始数据'!$A:$A,0)),""))</f>
        <v/>
      </c>
      <c r="F515">
        <f>IF($A515="","",IFERROR(INDEX('[AQ_2024.xlsx]原始数据'!$B:$B,MATCH($A515,'[AQ_2024.xlsx]原始数据'!$A:$A,0)),""))</f>
        <v/>
      </c>
      <c r="G515">
        <f>IF($A515="","",IFERROR(INDEX('[AQ_2020.xlsx]原始数据'!$C:$C,MATCH($A515,'[AQ_2020.xlsx]原始数据'!$A:$A,0)),""))</f>
        <v/>
      </c>
      <c r="H515">
        <f>IF($A515="","",IFERROR(INDEX('[AQ_2021.xlsx]原始数据'!$C:$C,MATCH($A515,'[AQ_2021.xlsx]原始数据'!$A:$A,0)),""))</f>
        <v/>
      </c>
      <c r="I515">
        <f>IF($A515="","",IFERROR(INDEX('[AQ_2022.xlsx]原始数据'!$C:$C,MATCH($A515,'[AQ_2022.xlsx]原始数据'!$A:$A,0)),""))</f>
        <v/>
      </c>
      <c r="J515">
        <f>IF($A515="","",IFERROR(INDEX('[AQ_2023.xlsx]原始数据'!$C:$C,MATCH($A515,'[AQ_2023.xlsx]原始数据'!$A:$A,0)),""))</f>
        <v/>
      </c>
      <c r="K515">
        <f>IF($A515="","",IFERROR(INDEX('[AQ_2024.xlsx]原始数据'!$C:$C,MATCH($A515,'[AQ_2024.xlsx]原始数据'!$A:$A,0)),""))</f>
        <v/>
      </c>
      <c r="L515">
        <f>IF($A515="","",IFERROR(INDEX('[AQ_2020.xlsx]原始数据'!$D:$D,MATCH($A515,'[AQ_2020.xlsx]原始数据'!$A:$A,0)),""))</f>
        <v/>
      </c>
      <c r="M515">
        <f>IF($A515="","",IFERROR(INDEX('[AQ_2021.xlsx]原始数据'!$D:$D,MATCH($A515,'[AQ_2021.xlsx]原始数据'!$A:$A,0)),""))</f>
        <v/>
      </c>
      <c r="N515">
        <f>IF($A515="","",IFERROR(INDEX('[AQ_2022.xlsx]原始数据'!$D:$D,MATCH($A515,'[AQ_2022.xlsx]原始数据'!$A:$A,0)),""))</f>
        <v/>
      </c>
      <c r="O515">
        <f>IF($A515="","",IFERROR(INDEX('[AQ_2023.xlsx]原始数据'!$D:$D,MATCH($A515,'[AQ_2023.xlsx]原始数据'!$A:$A,0)),""))</f>
        <v/>
      </c>
      <c r="P515">
        <f>IF($A515="","",IFERROR(INDEX('[AQ_2024.xlsx]原始数据'!$D:$D,MATCH($A515,'[AQ_2024.xlsx]原始数据'!$A:$A,0)),""))</f>
        <v/>
      </c>
      <c r="Q515">
        <f>IF($A515="","",IFERROR(INDEX('[AQ_2020.xlsx]原始数据'!$E:$E,MATCH($A515,'[AQ_2020.xlsx]原始数据'!$A:$A,0)),""))</f>
        <v/>
      </c>
      <c r="R515">
        <f>IF($A515="","",IFERROR(INDEX('[AQ_2021.xlsx]原始数据'!$E:$E,MATCH($A515,'[AQ_2021.xlsx]原始数据'!$A:$A,0)),""))</f>
        <v/>
      </c>
      <c r="S515">
        <f>IF($A515="","",IFERROR(INDEX('[AQ_2022.xlsx]原始数据'!$E:$E,MATCH($A515,'[AQ_2022.xlsx]原始数据'!$A:$A,0)),""))</f>
        <v/>
      </c>
      <c r="T515">
        <f>IF($A515="","",IFERROR(INDEX('[AQ_2023.xlsx]原始数据'!$E:$E,MATCH($A515,'[AQ_2023.xlsx]原始数据'!$A:$A,0)),""))</f>
        <v/>
      </c>
      <c r="U515">
        <f>IF($A515="","",IFERROR(INDEX('[AQ_2024.xlsx]原始数据'!$E:$E,MATCH($A515,'[AQ_2024.xlsx]原始数据'!$A:$A,0)),""))</f>
        <v/>
      </c>
      <c r="V515">
        <f>IF($A515="","",IFERROR(INDEX('[AQ_2020.xlsx]原始数据'!$F:$F,MATCH($A515,'[AQ_2020.xlsx]原始数据'!$A:$A,0)),""))</f>
        <v/>
      </c>
      <c r="W515">
        <f>IF($A515="","",IFERROR(INDEX('[AQ_2021.xlsx]原始数据'!$F:$F,MATCH($A515,'[AQ_2021.xlsx]原始数据'!$A:$A,0)),""))</f>
        <v/>
      </c>
      <c r="X515">
        <f>IF($A515="","",IFERROR(INDEX('[AQ_2022.xlsx]原始数据'!$F:$F,MATCH($A515,'[AQ_2022.xlsx]原始数据'!$A:$A,0)),""))</f>
        <v/>
      </c>
      <c r="Y515">
        <f>IF($A515="","",IFERROR(INDEX('[AQ_2023.xlsx]原始数据'!$F:$F,MATCH($A515,'[AQ_2023.xlsx]原始数据'!$A:$A,0)),""))</f>
        <v/>
      </c>
      <c r="Z515">
        <f>IF($A515="","",IFERROR(INDEX('[AQ_2024.xlsx]原始数据'!$F:$F,MATCH($A515,'[AQ_2024.xlsx]原始数据'!$A:$A,0)),""))</f>
        <v/>
      </c>
      <c r="AA515" s="2">
        <f>IFERROR(G515/B515,"")</f>
        <v/>
      </c>
      <c r="AB515" s="2">
        <f>IFERROR(H515/C515,"")</f>
        <v/>
      </c>
      <c r="AC515" s="2">
        <f>IFERROR(I515/D515,"")</f>
        <v/>
      </c>
      <c r="AD515" s="2">
        <f>IFERROR(J515/E515,"")</f>
        <v/>
      </c>
      <c r="AE515" s="2">
        <f>IFERROR(K515/F515,"")</f>
        <v/>
      </c>
      <c r="AF515" s="2">
        <f>IFERROR(L515/B515,"")</f>
        <v/>
      </c>
      <c r="AG515" s="2">
        <f>IFERROR(M515/C515,"")</f>
        <v/>
      </c>
      <c r="AH515" s="2">
        <f>IFERROR(N515/D515,"")</f>
        <v/>
      </c>
      <c r="AI515" s="2">
        <f>IFERROR(O515/E515,"")</f>
        <v/>
      </c>
      <c r="AJ515" s="2">
        <f>IFERROR(P515/F515,"")</f>
        <v/>
      </c>
      <c r="AK515" s="2">
        <f>IFERROR(Q515/B515,"")</f>
        <v/>
      </c>
      <c r="AL515" s="2">
        <f>IFERROR(R515/C515,"")</f>
        <v/>
      </c>
      <c r="AM515" s="2">
        <f>IFERROR(S515/D515,"")</f>
        <v/>
      </c>
      <c r="AN515" s="2">
        <f>IFERROR(T515/E515,"")</f>
        <v/>
      </c>
      <c r="AO515" s="2">
        <f>IFERROR(U515/F515,"")</f>
        <v/>
      </c>
    </row>
    <row r="516">
      <c r="B516">
        <f>IF($A516="","",IFERROR(INDEX('[AQ_2020.xlsx]原始数据'!$B:$B,MATCH($A516,'[AQ_2020.xlsx]原始数据'!$A:$A,0)),""))</f>
        <v/>
      </c>
      <c r="C516">
        <f>IF($A516="","",IFERROR(INDEX('[AQ_2021.xlsx]原始数据'!$B:$B,MATCH($A516,'[AQ_2021.xlsx]原始数据'!$A:$A,0)),""))</f>
        <v/>
      </c>
      <c r="D516">
        <f>IF($A516="","",IFERROR(INDEX('[AQ_2022.xlsx]原始数据'!$B:$B,MATCH($A516,'[AQ_2022.xlsx]原始数据'!$A:$A,0)),""))</f>
        <v/>
      </c>
      <c r="E516">
        <f>IF($A516="","",IFERROR(INDEX('[AQ_2023.xlsx]原始数据'!$B:$B,MATCH($A516,'[AQ_2023.xlsx]原始数据'!$A:$A,0)),""))</f>
        <v/>
      </c>
      <c r="F516">
        <f>IF($A516="","",IFERROR(INDEX('[AQ_2024.xlsx]原始数据'!$B:$B,MATCH($A516,'[AQ_2024.xlsx]原始数据'!$A:$A,0)),""))</f>
        <v/>
      </c>
      <c r="G516">
        <f>IF($A516="","",IFERROR(INDEX('[AQ_2020.xlsx]原始数据'!$C:$C,MATCH($A516,'[AQ_2020.xlsx]原始数据'!$A:$A,0)),""))</f>
        <v/>
      </c>
      <c r="H516">
        <f>IF($A516="","",IFERROR(INDEX('[AQ_2021.xlsx]原始数据'!$C:$C,MATCH($A516,'[AQ_2021.xlsx]原始数据'!$A:$A,0)),""))</f>
        <v/>
      </c>
      <c r="I516">
        <f>IF($A516="","",IFERROR(INDEX('[AQ_2022.xlsx]原始数据'!$C:$C,MATCH($A516,'[AQ_2022.xlsx]原始数据'!$A:$A,0)),""))</f>
        <v/>
      </c>
      <c r="J516">
        <f>IF($A516="","",IFERROR(INDEX('[AQ_2023.xlsx]原始数据'!$C:$C,MATCH($A516,'[AQ_2023.xlsx]原始数据'!$A:$A,0)),""))</f>
        <v/>
      </c>
      <c r="K516">
        <f>IF($A516="","",IFERROR(INDEX('[AQ_2024.xlsx]原始数据'!$C:$C,MATCH($A516,'[AQ_2024.xlsx]原始数据'!$A:$A,0)),""))</f>
        <v/>
      </c>
      <c r="L516">
        <f>IF($A516="","",IFERROR(INDEX('[AQ_2020.xlsx]原始数据'!$D:$D,MATCH($A516,'[AQ_2020.xlsx]原始数据'!$A:$A,0)),""))</f>
        <v/>
      </c>
      <c r="M516">
        <f>IF($A516="","",IFERROR(INDEX('[AQ_2021.xlsx]原始数据'!$D:$D,MATCH($A516,'[AQ_2021.xlsx]原始数据'!$A:$A,0)),""))</f>
        <v/>
      </c>
      <c r="N516">
        <f>IF($A516="","",IFERROR(INDEX('[AQ_2022.xlsx]原始数据'!$D:$D,MATCH($A516,'[AQ_2022.xlsx]原始数据'!$A:$A,0)),""))</f>
        <v/>
      </c>
      <c r="O516">
        <f>IF($A516="","",IFERROR(INDEX('[AQ_2023.xlsx]原始数据'!$D:$D,MATCH($A516,'[AQ_2023.xlsx]原始数据'!$A:$A,0)),""))</f>
        <v/>
      </c>
      <c r="P516">
        <f>IF($A516="","",IFERROR(INDEX('[AQ_2024.xlsx]原始数据'!$D:$D,MATCH($A516,'[AQ_2024.xlsx]原始数据'!$A:$A,0)),""))</f>
        <v/>
      </c>
      <c r="Q516">
        <f>IF($A516="","",IFERROR(INDEX('[AQ_2020.xlsx]原始数据'!$E:$E,MATCH($A516,'[AQ_2020.xlsx]原始数据'!$A:$A,0)),""))</f>
        <v/>
      </c>
      <c r="R516">
        <f>IF($A516="","",IFERROR(INDEX('[AQ_2021.xlsx]原始数据'!$E:$E,MATCH($A516,'[AQ_2021.xlsx]原始数据'!$A:$A,0)),""))</f>
        <v/>
      </c>
      <c r="S516">
        <f>IF($A516="","",IFERROR(INDEX('[AQ_2022.xlsx]原始数据'!$E:$E,MATCH($A516,'[AQ_2022.xlsx]原始数据'!$A:$A,0)),""))</f>
        <v/>
      </c>
      <c r="T516">
        <f>IF($A516="","",IFERROR(INDEX('[AQ_2023.xlsx]原始数据'!$E:$E,MATCH($A516,'[AQ_2023.xlsx]原始数据'!$A:$A,0)),""))</f>
        <v/>
      </c>
      <c r="U516">
        <f>IF($A516="","",IFERROR(INDEX('[AQ_2024.xlsx]原始数据'!$E:$E,MATCH($A516,'[AQ_2024.xlsx]原始数据'!$A:$A,0)),""))</f>
        <v/>
      </c>
      <c r="V516">
        <f>IF($A516="","",IFERROR(INDEX('[AQ_2020.xlsx]原始数据'!$F:$F,MATCH($A516,'[AQ_2020.xlsx]原始数据'!$A:$A,0)),""))</f>
        <v/>
      </c>
      <c r="W516">
        <f>IF($A516="","",IFERROR(INDEX('[AQ_2021.xlsx]原始数据'!$F:$F,MATCH($A516,'[AQ_2021.xlsx]原始数据'!$A:$A,0)),""))</f>
        <v/>
      </c>
      <c r="X516">
        <f>IF($A516="","",IFERROR(INDEX('[AQ_2022.xlsx]原始数据'!$F:$F,MATCH($A516,'[AQ_2022.xlsx]原始数据'!$A:$A,0)),""))</f>
        <v/>
      </c>
      <c r="Y516">
        <f>IF($A516="","",IFERROR(INDEX('[AQ_2023.xlsx]原始数据'!$F:$F,MATCH($A516,'[AQ_2023.xlsx]原始数据'!$A:$A,0)),""))</f>
        <v/>
      </c>
      <c r="Z516">
        <f>IF($A516="","",IFERROR(INDEX('[AQ_2024.xlsx]原始数据'!$F:$F,MATCH($A516,'[AQ_2024.xlsx]原始数据'!$A:$A,0)),""))</f>
        <v/>
      </c>
      <c r="AA516" s="2">
        <f>IFERROR(G516/B516,"")</f>
        <v/>
      </c>
      <c r="AB516" s="2">
        <f>IFERROR(H516/C516,"")</f>
        <v/>
      </c>
      <c r="AC516" s="2">
        <f>IFERROR(I516/D516,"")</f>
        <v/>
      </c>
      <c r="AD516" s="2">
        <f>IFERROR(J516/E516,"")</f>
        <v/>
      </c>
      <c r="AE516" s="2">
        <f>IFERROR(K516/F516,"")</f>
        <v/>
      </c>
      <c r="AF516" s="2">
        <f>IFERROR(L516/B516,"")</f>
        <v/>
      </c>
      <c r="AG516" s="2">
        <f>IFERROR(M516/C516,"")</f>
        <v/>
      </c>
      <c r="AH516" s="2">
        <f>IFERROR(N516/D516,"")</f>
        <v/>
      </c>
      <c r="AI516" s="2">
        <f>IFERROR(O516/E516,"")</f>
        <v/>
      </c>
      <c r="AJ516" s="2">
        <f>IFERROR(P516/F516,"")</f>
        <v/>
      </c>
      <c r="AK516" s="2">
        <f>IFERROR(Q516/B516,"")</f>
        <v/>
      </c>
      <c r="AL516" s="2">
        <f>IFERROR(R516/C516,"")</f>
        <v/>
      </c>
      <c r="AM516" s="2">
        <f>IFERROR(S516/D516,"")</f>
        <v/>
      </c>
      <c r="AN516" s="2">
        <f>IFERROR(T516/E516,"")</f>
        <v/>
      </c>
      <c r="AO516" s="2">
        <f>IFERROR(U516/F516,"")</f>
        <v/>
      </c>
    </row>
    <row r="517">
      <c r="B517">
        <f>IF($A517="","",IFERROR(INDEX('[AQ_2020.xlsx]原始数据'!$B:$B,MATCH($A517,'[AQ_2020.xlsx]原始数据'!$A:$A,0)),""))</f>
        <v/>
      </c>
      <c r="C517">
        <f>IF($A517="","",IFERROR(INDEX('[AQ_2021.xlsx]原始数据'!$B:$B,MATCH($A517,'[AQ_2021.xlsx]原始数据'!$A:$A,0)),""))</f>
        <v/>
      </c>
      <c r="D517">
        <f>IF($A517="","",IFERROR(INDEX('[AQ_2022.xlsx]原始数据'!$B:$B,MATCH($A517,'[AQ_2022.xlsx]原始数据'!$A:$A,0)),""))</f>
        <v/>
      </c>
      <c r="E517">
        <f>IF($A517="","",IFERROR(INDEX('[AQ_2023.xlsx]原始数据'!$B:$B,MATCH($A517,'[AQ_2023.xlsx]原始数据'!$A:$A,0)),""))</f>
        <v/>
      </c>
      <c r="F517">
        <f>IF($A517="","",IFERROR(INDEX('[AQ_2024.xlsx]原始数据'!$B:$B,MATCH($A517,'[AQ_2024.xlsx]原始数据'!$A:$A,0)),""))</f>
        <v/>
      </c>
      <c r="G517">
        <f>IF($A517="","",IFERROR(INDEX('[AQ_2020.xlsx]原始数据'!$C:$C,MATCH($A517,'[AQ_2020.xlsx]原始数据'!$A:$A,0)),""))</f>
        <v/>
      </c>
      <c r="H517">
        <f>IF($A517="","",IFERROR(INDEX('[AQ_2021.xlsx]原始数据'!$C:$C,MATCH($A517,'[AQ_2021.xlsx]原始数据'!$A:$A,0)),""))</f>
        <v/>
      </c>
      <c r="I517">
        <f>IF($A517="","",IFERROR(INDEX('[AQ_2022.xlsx]原始数据'!$C:$C,MATCH($A517,'[AQ_2022.xlsx]原始数据'!$A:$A,0)),""))</f>
        <v/>
      </c>
      <c r="J517">
        <f>IF($A517="","",IFERROR(INDEX('[AQ_2023.xlsx]原始数据'!$C:$C,MATCH($A517,'[AQ_2023.xlsx]原始数据'!$A:$A,0)),""))</f>
        <v/>
      </c>
      <c r="K517">
        <f>IF($A517="","",IFERROR(INDEX('[AQ_2024.xlsx]原始数据'!$C:$C,MATCH($A517,'[AQ_2024.xlsx]原始数据'!$A:$A,0)),""))</f>
        <v/>
      </c>
      <c r="L517">
        <f>IF($A517="","",IFERROR(INDEX('[AQ_2020.xlsx]原始数据'!$D:$D,MATCH($A517,'[AQ_2020.xlsx]原始数据'!$A:$A,0)),""))</f>
        <v/>
      </c>
      <c r="M517">
        <f>IF($A517="","",IFERROR(INDEX('[AQ_2021.xlsx]原始数据'!$D:$D,MATCH($A517,'[AQ_2021.xlsx]原始数据'!$A:$A,0)),""))</f>
        <v/>
      </c>
      <c r="N517">
        <f>IF($A517="","",IFERROR(INDEX('[AQ_2022.xlsx]原始数据'!$D:$D,MATCH($A517,'[AQ_2022.xlsx]原始数据'!$A:$A,0)),""))</f>
        <v/>
      </c>
      <c r="O517">
        <f>IF($A517="","",IFERROR(INDEX('[AQ_2023.xlsx]原始数据'!$D:$D,MATCH($A517,'[AQ_2023.xlsx]原始数据'!$A:$A,0)),""))</f>
        <v/>
      </c>
      <c r="P517">
        <f>IF($A517="","",IFERROR(INDEX('[AQ_2024.xlsx]原始数据'!$D:$D,MATCH($A517,'[AQ_2024.xlsx]原始数据'!$A:$A,0)),""))</f>
        <v/>
      </c>
      <c r="Q517">
        <f>IF($A517="","",IFERROR(INDEX('[AQ_2020.xlsx]原始数据'!$E:$E,MATCH($A517,'[AQ_2020.xlsx]原始数据'!$A:$A,0)),""))</f>
        <v/>
      </c>
      <c r="R517">
        <f>IF($A517="","",IFERROR(INDEX('[AQ_2021.xlsx]原始数据'!$E:$E,MATCH($A517,'[AQ_2021.xlsx]原始数据'!$A:$A,0)),""))</f>
        <v/>
      </c>
      <c r="S517">
        <f>IF($A517="","",IFERROR(INDEX('[AQ_2022.xlsx]原始数据'!$E:$E,MATCH($A517,'[AQ_2022.xlsx]原始数据'!$A:$A,0)),""))</f>
        <v/>
      </c>
      <c r="T517">
        <f>IF($A517="","",IFERROR(INDEX('[AQ_2023.xlsx]原始数据'!$E:$E,MATCH($A517,'[AQ_2023.xlsx]原始数据'!$A:$A,0)),""))</f>
        <v/>
      </c>
      <c r="U517">
        <f>IF($A517="","",IFERROR(INDEX('[AQ_2024.xlsx]原始数据'!$E:$E,MATCH($A517,'[AQ_2024.xlsx]原始数据'!$A:$A,0)),""))</f>
        <v/>
      </c>
      <c r="V517">
        <f>IF($A517="","",IFERROR(INDEX('[AQ_2020.xlsx]原始数据'!$F:$F,MATCH($A517,'[AQ_2020.xlsx]原始数据'!$A:$A,0)),""))</f>
        <v/>
      </c>
      <c r="W517">
        <f>IF($A517="","",IFERROR(INDEX('[AQ_2021.xlsx]原始数据'!$F:$F,MATCH($A517,'[AQ_2021.xlsx]原始数据'!$A:$A,0)),""))</f>
        <v/>
      </c>
      <c r="X517">
        <f>IF($A517="","",IFERROR(INDEX('[AQ_2022.xlsx]原始数据'!$F:$F,MATCH($A517,'[AQ_2022.xlsx]原始数据'!$A:$A,0)),""))</f>
        <v/>
      </c>
      <c r="Y517">
        <f>IF($A517="","",IFERROR(INDEX('[AQ_2023.xlsx]原始数据'!$F:$F,MATCH($A517,'[AQ_2023.xlsx]原始数据'!$A:$A,0)),""))</f>
        <v/>
      </c>
      <c r="Z517">
        <f>IF($A517="","",IFERROR(INDEX('[AQ_2024.xlsx]原始数据'!$F:$F,MATCH($A517,'[AQ_2024.xlsx]原始数据'!$A:$A,0)),""))</f>
        <v/>
      </c>
      <c r="AA517" s="2">
        <f>IFERROR(G517/B517,"")</f>
        <v/>
      </c>
      <c r="AB517" s="2">
        <f>IFERROR(H517/C517,"")</f>
        <v/>
      </c>
      <c r="AC517" s="2">
        <f>IFERROR(I517/D517,"")</f>
        <v/>
      </c>
      <c r="AD517" s="2">
        <f>IFERROR(J517/E517,"")</f>
        <v/>
      </c>
      <c r="AE517" s="2">
        <f>IFERROR(K517/F517,"")</f>
        <v/>
      </c>
      <c r="AF517" s="2">
        <f>IFERROR(L517/B517,"")</f>
        <v/>
      </c>
      <c r="AG517" s="2">
        <f>IFERROR(M517/C517,"")</f>
        <v/>
      </c>
      <c r="AH517" s="2">
        <f>IFERROR(N517/D517,"")</f>
        <v/>
      </c>
      <c r="AI517" s="2">
        <f>IFERROR(O517/E517,"")</f>
        <v/>
      </c>
      <c r="AJ517" s="2">
        <f>IFERROR(P517/F517,"")</f>
        <v/>
      </c>
      <c r="AK517" s="2">
        <f>IFERROR(Q517/B517,"")</f>
        <v/>
      </c>
      <c r="AL517" s="2">
        <f>IFERROR(R517/C517,"")</f>
        <v/>
      </c>
      <c r="AM517" s="2">
        <f>IFERROR(S517/D517,"")</f>
        <v/>
      </c>
      <c r="AN517" s="2">
        <f>IFERROR(T517/E517,"")</f>
        <v/>
      </c>
      <c r="AO517" s="2">
        <f>IFERROR(U517/F517,"")</f>
        <v/>
      </c>
    </row>
    <row r="518">
      <c r="B518">
        <f>IF($A518="","",IFERROR(INDEX('[AQ_2020.xlsx]原始数据'!$B:$B,MATCH($A518,'[AQ_2020.xlsx]原始数据'!$A:$A,0)),""))</f>
        <v/>
      </c>
      <c r="C518">
        <f>IF($A518="","",IFERROR(INDEX('[AQ_2021.xlsx]原始数据'!$B:$B,MATCH($A518,'[AQ_2021.xlsx]原始数据'!$A:$A,0)),""))</f>
        <v/>
      </c>
      <c r="D518">
        <f>IF($A518="","",IFERROR(INDEX('[AQ_2022.xlsx]原始数据'!$B:$B,MATCH($A518,'[AQ_2022.xlsx]原始数据'!$A:$A,0)),""))</f>
        <v/>
      </c>
      <c r="E518">
        <f>IF($A518="","",IFERROR(INDEX('[AQ_2023.xlsx]原始数据'!$B:$B,MATCH($A518,'[AQ_2023.xlsx]原始数据'!$A:$A,0)),""))</f>
        <v/>
      </c>
      <c r="F518">
        <f>IF($A518="","",IFERROR(INDEX('[AQ_2024.xlsx]原始数据'!$B:$B,MATCH($A518,'[AQ_2024.xlsx]原始数据'!$A:$A,0)),""))</f>
        <v/>
      </c>
      <c r="G518">
        <f>IF($A518="","",IFERROR(INDEX('[AQ_2020.xlsx]原始数据'!$C:$C,MATCH($A518,'[AQ_2020.xlsx]原始数据'!$A:$A,0)),""))</f>
        <v/>
      </c>
      <c r="H518">
        <f>IF($A518="","",IFERROR(INDEX('[AQ_2021.xlsx]原始数据'!$C:$C,MATCH($A518,'[AQ_2021.xlsx]原始数据'!$A:$A,0)),""))</f>
        <v/>
      </c>
      <c r="I518">
        <f>IF($A518="","",IFERROR(INDEX('[AQ_2022.xlsx]原始数据'!$C:$C,MATCH($A518,'[AQ_2022.xlsx]原始数据'!$A:$A,0)),""))</f>
        <v/>
      </c>
      <c r="J518">
        <f>IF($A518="","",IFERROR(INDEX('[AQ_2023.xlsx]原始数据'!$C:$C,MATCH($A518,'[AQ_2023.xlsx]原始数据'!$A:$A,0)),""))</f>
        <v/>
      </c>
      <c r="K518">
        <f>IF($A518="","",IFERROR(INDEX('[AQ_2024.xlsx]原始数据'!$C:$C,MATCH($A518,'[AQ_2024.xlsx]原始数据'!$A:$A,0)),""))</f>
        <v/>
      </c>
      <c r="L518">
        <f>IF($A518="","",IFERROR(INDEX('[AQ_2020.xlsx]原始数据'!$D:$D,MATCH($A518,'[AQ_2020.xlsx]原始数据'!$A:$A,0)),""))</f>
        <v/>
      </c>
      <c r="M518">
        <f>IF($A518="","",IFERROR(INDEX('[AQ_2021.xlsx]原始数据'!$D:$D,MATCH($A518,'[AQ_2021.xlsx]原始数据'!$A:$A,0)),""))</f>
        <v/>
      </c>
      <c r="N518">
        <f>IF($A518="","",IFERROR(INDEX('[AQ_2022.xlsx]原始数据'!$D:$D,MATCH($A518,'[AQ_2022.xlsx]原始数据'!$A:$A,0)),""))</f>
        <v/>
      </c>
      <c r="O518">
        <f>IF($A518="","",IFERROR(INDEX('[AQ_2023.xlsx]原始数据'!$D:$D,MATCH($A518,'[AQ_2023.xlsx]原始数据'!$A:$A,0)),""))</f>
        <v/>
      </c>
      <c r="P518">
        <f>IF($A518="","",IFERROR(INDEX('[AQ_2024.xlsx]原始数据'!$D:$D,MATCH($A518,'[AQ_2024.xlsx]原始数据'!$A:$A,0)),""))</f>
        <v/>
      </c>
      <c r="Q518">
        <f>IF($A518="","",IFERROR(INDEX('[AQ_2020.xlsx]原始数据'!$E:$E,MATCH($A518,'[AQ_2020.xlsx]原始数据'!$A:$A,0)),""))</f>
        <v/>
      </c>
      <c r="R518">
        <f>IF($A518="","",IFERROR(INDEX('[AQ_2021.xlsx]原始数据'!$E:$E,MATCH($A518,'[AQ_2021.xlsx]原始数据'!$A:$A,0)),""))</f>
        <v/>
      </c>
      <c r="S518">
        <f>IF($A518="","",IFERROR(INDEX('[AQ_2022.xlsx]原始数据'!$E:$E,MATCH($A518,'[AQ_2022.xlsx]原始数据'!$A:$A,0)),""))</f>
        <v/>
      </c>
      <c r="T518">
        <f>IF($A518="","",IFERROR(INDEX('[AQ_2023.xlsx]原始数据'!$E:$E,MATCH($A518,'[AQ_2023.xlsx]原始数据'!$A:$A,0)),""))</f>
        <v/>
      </c>
      <c r="U518">
        <f>IF($A518="","",IFERROR(INDEX('[AQ_2024.xlsx]原始数据'!$E:$E,MATCH($A518,'[AQ_2024.xlsx]原始数据'!$A:$A,0)),""))</f>
        <v/>
      </c>
      <c r="V518">
        <f>IF($A518="","",IFERROR(INDEX('[AQ_2020.xlsx]原始数据'!$F:$F,MATCH($A518,'[AQ_2020.xlsx]原始数据'!$A:$A,0)),""))</f>
        <v/>
      </c>
      <c r="W518">
        <f>IF($A518="","",IFERROR(INDEX('[AQ_2021.xlsx]原始数据'!$F:$F,MATCH($A518,'[AQ_2021.xlsx]原始数据'!$A:$A,0)),""))</f>
        <v/>
      </c>
      <c r="X518">
        <f>IF($A518="","",IFERROR(INDEX('[AQ_2022.xlsx]原始数据'!$F:$F,MATCH($A518,'[AQ_2022.xlsx]原始数据'!$A:$A,0)),""))</f>
        <v/>
      </c>
      <c r="Y518">
        <f>IF($A518="","",IFERROR(INDEX('[AQ_2023.xlsx]原始数据'!$F:$F,MATCH($A518,'[AQ_2023.xlsx]原始数据'!$A:$A,0)),""))</f>
        <v/>
      </c>
      <c r="Z518">
        <f>IF($A518="","",IFERROR(INDEX('[AQ_2024.xlsx]原始数据'!$F:$F,MATCH($A518,'[AQ_2024.xlsx]原始数据'!$A:$A,0)),""))</f>
        <v/>
      </c>
      <c r="AA518" s="2">
        <f>IFERROR(G518/B518,"")</f>
        <v/>
      </c>
      <c r="AB518" s="2">
        <f>IFERROR(H518/C518,"")</f>
        <v/>
      </c>
      <c r="AC518" s="2">
        <f>IFERROR(I518/D518,"")</f>
        <v/>
      </c>
      <c r="AD518" s="2">
        <f>IFERROR(J518/E518,"")</f>
        <v/>
      </c>
      <c r="AE518" s="2">
        <f>IFERROR(K518/F518,"")</f>
        <v/>
      </c>
      <c r="AF518" s="2">
        <f>IFERROR(L518/B518,"")</f>
        <v/>
      </c>
      <c r="AG518" s="2">
        <f>IFERROR(M518/C518,"")</f>
        <v/>
      </c>
      <c r="AH518" s="2">
        <f>IFERROR(N518/D518,"")</f>
        <v/>
      </c>
      <c r="AI518" s="2">
        <f>IFERROR(O518/E518,"")</f>
        <v/>
      </c>
      <c r="AJ518" s="2">
        <f>IFERROR(P518/F518,"")</f>
        <v/>
      </c>
      <c r="AK518" s="2">
        <f>IFERROR(Q518/B518,"")</f>
        <v/>
      </c>
      <c r="AL518" s="2">
        <f>IFERROR(R518/C518,"")</f>
        <v/>
      </c>
      <c r="AM518" s="2">
        <f>IFERROR(S518/D518,"")</f>
        <v/>
      </c>
      <c r="AN518" s="2">
        <f>IFERROR(T518/E518,"")</f>
        <v/>
      </c>
      <c r="AO518" s="2">
        <f>IFERROR(U518/F518,"")</f>
        <v/>
      </c>
    </row>
    <row r="519">
      <c r="B519">
        <f>IF($A519="","",IFERROR(INDEX('[AQ_2020.xlsx]原始数据'!$B:$B,MATCH($A519,'[AQ_2020.xlsx]原始数据'!$A:$A,0)),""))</f>
        <v/>
      </c>
      <c r="C519">
        <f>IF($A519="","",IFERROR(INDEX('[AQ_2021.xlsx]原始数据'!$B:$B,MATCH($A519,'[AQ_2021.xlsx]原始数据'!$A:$A,0)),""))</f>
        <v/>
      </c>
      <c r="D519">
        <f>IF($A519="","",IFERROR(INDEX('[AQ_2022.xlsx]原始数据'!$B:$B,MATCH($A519,'[AQ_2022.xlsx]原始数据'!$A:$A,0)),""))</f>
        <v/>
      </c>
      <c r="E519">
        <f>IF($A519="","",IFERROR(INDEX('[AQ_2023.xlsx]原始数据'!$B:$B,MATCH($A519,'[AQ_2023.xlsx]原始数据'!$A:$A,0)),""))</f>
        <v/>
      </c>
      <c r="F519">
        <f>IF($A519="","",IFERROR(INDEX('[AQ_2024.xlsx]原始数据'!$B:$B,MATCH($A519,'[AQ_2024.xlsx]原始数据'!$A:$A,0)),""))</f>
        <v/>
      </c>
      <c r="G519">
        <f>IF($A519="","",IFERROR(INDEX('[AQ_2020.xlsx]原始数据'!$C:$C,MATCH($A519,'[AQ_2020.xlsx]原始数据'!$A:$A,0)),""))</f>
        <v/>
      </c>
      <c r="H519">
        <f>IF($A519="","",IFERROR(INDEX('[AQ_2021.xlsx]原始数据'!$C:$C,MATCH($A519,'[AQ_2021.xlsx]原始数据'!$A:$A,0)),""))</f>
        <v/>
      </c>
      <c r="I519">
        <f>IF($A519="","",IFERROR(INDEX('[AQ_2022.xlsx]原始数据'!$C:$C,MATCH($A519,'[AQ_2022.xlsx]原始数据'!$A:$A,0)),""))</f>
        <v/>
      </c>
      <c r="J519">
        <f>IF($A519="","",IFERROR(INDEX('[AQ_2023.xlsx]原始数据'!$C:$C,MATCH($A519,'[AQ_2023.xlsx]原始数据'!$A:$A,0)),""))</f>
        <v/>
      </c>
      <c r="K519">
        <f>IF($A519="","",IFERROR(INDEX('[AQ_2024.xlsx]原始数据'!$C:$C,MATCH($A519,'[AQ_2024.xlsx]原始数据'!$A:$A,0)),""))</f>
        <v/>
      </c>
      <c r="L519">
        <f>IF($A519="","",IFERROR(INDEX('[AQ_2020.xlsx]原始数据'!$D:$D,MATCH($A519,'[AQ_2020.xlsx]原始数据'!$A:$A,0)),""))</f>
        <v/>
      </c>
      <c r="M519">
        <f>IF($A519="","",IFERROR(INDEX('[AQ_2021.xlsx]原始数据'!$D:$D,MATCH($A519,'[AQ_2021.xlsx]原始数据'!$A:$A,0)),""))</f>
        <v/>
      </c>
      <c r="N519">
        <f>IF($A519="","",IFERROR(INDEX('[AQ_2022.xlsx]原始数据'!$D:$D,MATCH($A519,'[AQ_2022.xlsx]原始数据'!$A:$A,0)),""))</f>
        <v/>
      </c>
      <c r="O519">
        <f>IF($A519="","",IFERROR(INDEX('[AQ_2023.xlsx]原始数据'!$D:$D,MATCH($A519,'[AQ_2023.xlsx]原始数据'!$A:$A,0)),""))</f>
        <v/>
      </c>
      <c r="P519">
        <f>IF($A519="","",IFERROR(INDEX('[AQ_2024.xlsx]原始数据'!$D:$D,MATCH($A519,'[AQ_2024.xlsx]原始数据'!$A:$A,0)),""))</f>
        <v/>
      </c>
      <c r="Q519">
        <f>IF($A519="","",IFERROR(INDEX('[AQ_2020.xlsx]原始数据'!$E:$E,MATCH($A519,'[AQ_2020.xlsx]原始数据'!$A:$A,0)),""))</f>
        <v/>
      </c>
      <c r="R519">
        <f>IF($A519="","",IFERROR(INDEX('[AQ_2021.xlsx]原始数据'!$E:$E,MATCH($A519,'[AQ_2021.xlsx]原始数据'!$A:$A,0)),""))</f>
        <v/>
      </c>
      <c r="S519">
        <f>IF($A519="","",IFERROR(INDEX('[AQ_2022.xlsx]原始数据'!$E:$E,MATCH($A519,'[AQ_2022.xlsx]原始数据'!$A:$A,0)),""))</f>
        <v/>
      </c>
      <c r="T519">
        <f>IF($A519="","",IFERROR(INDEX('[AQ_2023.xlsx]原始数据'!$E:$E,MATCH($A519,'[AQ_2023.xlsx]原始数据'!$A:$A,0)),""))</f>
        <v/>
      </c>
      <c r="U519">
        <f>IF($A519="","",IFERROR(INDEX('[AQ_2024.xlsx]原始数据'!$E:$E,MATCH($A519,'[AQ_2024.xlsx]原始数据'!$A:$A,0)),""))</f>
        <v/>
      </c>
      <c r="V519">
        <f>IF($A519="","",IFERROR(INDEX('[AQ_2020.xlsx]原始数据'!$F:$F,MATCH($A519,'[AQ_2020.xlsx]原始数据'!$A:$A,0)),""))</f>
        <v/>
      </c>
      <c r="W519">
        <f>IF($A519="","",IFERROR(INDEX('[AQ_2021.xlsx]原始数据'!$F:$F,MATCH($A519,'[AQ_2021.xlsx]原始数据'!$A:$A,0)),""))</f>
        <v/>
      </c>
      <c r="X519">
        <f>IF($A519="","",IFERROR(INDEX('[AQ_2022.xlsx]原始数据'!$F:$F,MATCH($A519,'[AQ_2022.xlsx]原始数据'!$A:$A,0)),""))</f>
        <v/>
      </c>
      <c r="Y519">
        <f>IF($A519="","",IFERROR(INDEX('[AQ_2023.xlsx]原始数据'!$F:$F,MATCH($A519,'[AQ_2023.xlsx]原始数据'!$A:$A,0)),""))</f>
        <v/>
      </c>
      <c r="Z519">
        <f>IF($A519="","",IFERROR(INDEX('[AQ_2024.xlsx]原始数据'!$F:$F,MATCH($A519,'[AQ_2024.xlsx]原始数据'!$A:$A,0)),""))</f>
        <v/>
      </c>
      <c r="AA519" s="2">
        <f>IFERROR(G519/B519,"")</f>
        <v/>
      </c>
      <c r="AB519" s="2">
        <f>IFERROR(H519/C519,"")</f>
        <v/>
      </c>
      <c r="AC519" s="2">
        <f>IFERROR(I519/D519,"")</f>
        <v/>
      </c>
      <c r="AD519" s="2">
        <f>IFERROR(J519/E519,"")</f>
        <v/>
      </c>
      <c r="AE519" s="2">
        <f>IFERROR(K519/F519,"")</f>
        <v/>
      </c>
      <c r="AF519" s="2">
        <f>IFERROR(L519/B519,"")</f>
        <v/>
      </c>
      <c r="AG519" s="2">
        <f>IFERROR(M519/C519,"")</f>
        <v/>
      </c>
      <c r="AH519" s="2">
        <f>IFERROR(N519/D519,"")</f>
        <v/>
      </c>
      <c r="AI519" s="2">
        <f>IFERROR(O519/E519,"")</f>
        <v/>
      </c>
      <c r="AJ519" s="2">
        <f>IFERROR(P519/F519,"")</f>
        <v/>
      </c>
      <c r="AK519" s="2">
        <f>IFERROR(Q519/B519,"")</f>
        <v/>
      </c>
      <c r="AL519" s="2">
        <f>IFERROR(R519/C519,"")</f>
        <v/>
      </c>
      <c r="AM519" s="2">
        <f>IFERROR(S519/D519,"")</f>
        <v/>
      </c>
      <c r="AN519" s="2">
        <f>IFERROR(T519/E519,"")</f>
        <v/>
      </c>
      <c r="AO519" s="2">
        <f>IFERROR(U519/F519,"")</f>
        <v/>
      </c>
    </row>
    <row r="520">
      <c r="B520">
        <f>IF($A520="","",IFERROR(INDEX('[AQ_2020.xlsx]原始数据'!$B:$B,MATCH($A520,'[AQ_2020.xlsx]原始数据'!$A:$A,0)),""))</f>
        <v/>
      </c>
      <c r="C520">
        <f>IF($A520="","",IFERROR(INDEX('[AQ_2021.xlsx]原始数据'!$B:$B,MATCH($A520,'[AQ_2021.xlsx]原始数据'!$A:$A,0)),""))</f>
        <v/>
      </c>
      <c r="D520">
        <f>IF($A520="","",IFERROR(INDEX('[AQ_2022.xlsx]原始数据'!$B:$B,MATCH($A520,'[AQ_2022.xlsx]原始数据'!$A:$A,0)),""))</f>
        <v/>
      </c>
      <c r="E520">
        <f>IF($A520="","",IFERROR(INDEX('[AQ_2023.xlsx]原始数据'!$B:$B,MATCH($A520,'[AQ_2023.xlsx]原始数据'!$A:$A,0)),""))</f>
        <v/>
      </c>
      <c r="F520">
        <f>IF($A520="","",IFERROR(INDEX('[AQ_2024.xlsx]原始数据'!$B:$B,MATCH($A520,'[AQ_2024.xlsx]原始数据'!$A:$A,0)),""))</f>
        <v/>
      </c>
      <c r="G520">
        <f>IF($A520="","",IFERROR(INDEX('[AQ_2020.xlsx]原始数据'!$C:$C,MATCH($A520,'[AQ_2020.xlsx]原始数据'!$A:$A,0)),""))</f>
        <v/>
      </c>
      <c r="H520">
        <f>IF($A520="","",IFERROR(INDEX('[AQ_2021.xlsx]原始数据'!$C:$C,MATCH($A520,'[AQ_2021.xlsx]原始数据'!$A:$A,0)),""))</f>
        <v/>
      </c>
      <c r="I520">
        <f>IF($A520="","",IFERROR(INDEX('[AQ_2022.xlsx]原始数据'!$C:$C,MATCH($A520,'[AQ_2022.xlsx]原始数据'!$A:$A,0)),""))</f>
        <v/>
      </c>
      <c r="J520">
        <f>IF($A520="","",IFERROR(INDEX('[AQ_2023.xlsx]原始数据'!$C:$C,MATCH($A520,'[AQ_2023.xlsx]原始数据'!$A:$A,0)),""))</f>
        <v/>
      </c>
      <c r="K520">
        <f>IF($A520="","",IFERROR(INDEX('[AQ_2024.xlsx]原始数据'!$C:$C,MATCH($A520,'[AQ_2024.xlsx]原始数据'!$A:$A,0)),""))</f>
        <v/>
      </c>
      <c r="L520">
        <f>IF($A520="","",IFERROR(INDEX('[AQ_2020.xlsx]原始数据'!$D:$D,MATCH($A520,'[AQ_2020.xlsx]原始数据'!$A:$A,0)),""))</f>
        <v/>
      </c>
      <c r="M520">
        <f>IF($A520="","",IFERROR(INDEX('[AQ_2021.xlsx]原始数据'!$D:$D,MATCH($A520,'[AQ_2021.xlsx]原始数据'!$A:$A,0)),""))</f>
        <v/>
      </c>
      <c r="N520">
        <f>IF($A520="","",IFERROR(INDEX('[AQ_2022.xlsx]原始数据'!$D:$D,MATCH($A520,'[AQ_2022.xlsx]原始数据'!$A:$A,0)),""))</f>
        <v/>
      </c>
      <c r="O520">
        <f>IF($A520="","",IFERROR(INDEX('[AQ_2023.xlsx]原始数据'!$D:$D,MATCH($A520,'[AQ_2023.xlsx]原始数据'!$A:$A,0)),""))</f>
        <v/>
      </c>
      <c r="P520">
        <f>IF($A520="","",IFERROR(INDEX('[AQ_2024.xlsx]原始数据'!$D:$D,MATCH($A520,'[AQ_2024.xlsx]原始数据'!$A:$A,0)),""))</f>
        <v/>
      </c>
      <c r="Q520">
        <f>IF($A520="","",IFERROR(INDEX('[AQ_2020.xlsx]原始数据'!$E:$E,MATCH($A520,'[AQ_2020.xlsx]原始数据'!$A:$A,0)),""))</f>
        <v/>
      </c>
      <c r="R520">
        <f>IF($A520="","",IFERROR(INDEX('[AQ_2021.xlsx]原始数据'!$E:$E,MATCH($A520,'[AQ_2021.xlsx]原始数据'!$A:$A,0)),""))</f>
        <v/>
      </c>
      <c r="S520">
        <f>IF($A520="","",IFERROR(INDEX('[AQ_2022.xlsx]原始数据'!$E:$E,MATCH($A520,'[AQ_2022.xlsx]原始数据'!$A:$A,0)),""))</f>
        <v/>
      </c>
      <c r="T520">
        <f>IF($A520="","",IFERROR(INDEX('[AQ_2023.xlsx]原始数据'!$E:$E,MATCH($A520,'[AQ_2023.xlsx]原始数据'!$A:$A,0)),""))</f>
        <v/>
      </c>
      <c r="U520">
        <f>IF($A520="","",IFERROR(INDEX('[AQ_2024.xlsx]原始数据'!$E:$E,MATCH($A520,'[AQ_2024.xlsx]原始数据'!$A:$A,0)),""))</f>
        <v/>
      </c>
      <c r="V520">
        <f>IF($A520="","",IFERROR(INDEX('[AQ_2020.xlsx]原始数据'!$F:$F,MATCH($A520,'[AQ_2020.xlsx]原始数据'!$A:$A,0)),""))</f>
        <v/>
      </c>
      <c r="W520">
        <f>IF($A520="","",IFERROR(INDEX('[AQ_2021.xlsx]原始数据'!$F:$F,MATCH($A520,'[AQ_2021.xlsx]原始数据'!$A:$A,0)),""))</f>
        <v/>
      </c>
      <c r="X520">
        <f>IF($A520="","",IFERROR(INDEX('[AQ_2022.xlsx]原始数据'!$F:$F,MATCH($A520,'[AQ_2022.xlsx]原始数据'!$A:$A,0)),""))</f>
        <v/>
      </c>
      <c r="Y520">
        <f>IF($A520="","",IFERROR(INDEX('[AQ_2023.xlsx]原始数据'!$F:$F,MATCH($A520,'[AQ_2023.xlsx]原始数据'!$A:$A,0)),""))</f>
        <v/>
      </c>
      <c r="Z520">
        <f>IF($A520="","",IFERROR(INDEX('[AQ_2024.xlsx]原始数据'!$F:$F,MATCH($A520,'[AQ_2024.xlsx]原始数据'!$A:$A,0)),""))</f>
        <v/>
      </c>
      <c r="AA520" s="2">
        <f>IFERROR(G520/B520,"")</f>
        <v/>
      </c>
      <c r="AB520" s="2">
        <f>IFERROR(H520/C520,"")</f>
        <v/>
      </c>
      <c r="AC520" s="2">
        <f>IFERROR(I520/D520,"")</f>
        <v/>
      </c>
      <c r="AD520" s="2">
        <f>IFERROR(J520/E520,"")</f>
        <v/>
      </c>
      <c r="AE520" s="2">
        <f>IFERROR(K520/F520,"")</f>
        <v/>
      </c>
      <c r="AF520" s="2">
        <f>IFERROR(L520/B520,"")</f>
        <v/>
      </c>
      <c r="AG520" s="2">
        <f>IFERROR(M520/C520,"")</f>
        <v/>
      </c>
      <c r="AH520" s="2">
        <f>IFERROR(N520/D520,"")</f>
        <v/>
      </c>
      <c r="AI520" s="2">
        <f>IFERROR(O520/E520,"")</f>
        <v/>
      </c>
      <c r="AJ520" s="2">
        <f>IFERROR(P520/F520,"")</f>
        <v/>
      </c>
      <c r="AK520" s="2">
        <f>IFERROR(Q520/B520,"")</f>
        <v/>
      </c>
      <c r="AL520" s="2">
        <f>IFERROR(R520/C520,"")</f>
        <v/>
      </c>
      <c r="AM520" s="2">
        <f>IFERROR(S520/D520,"")</f>
        <v/>
      </c>
      <c r="AN520" s="2">
        <f>IFERROR(T520/E520,"")</f>
        <v/>
      </c>
      <c r="AO520" s="2">
        <f>IFERROR(U520/F520,"")</f>
        <v/>
      </c>
    </row>
    <row r="521">
      <c r="B521">
        <f>IF($A521="","",IFERROR(INDEX('[AQ_2020.xlsx]原始数据'!$B:$B,MATCH($A521,'[AQ_2020.xlsx]原始数据'!$A:$A,0)),""))</f>
        <v/>
      </c>
      <c r="C521">
        <f>IF($A521="","",IFERROR(INDEX('[AQ_2021.xlsx]原始数据'!$B:$B,MATCH($A521,'[AQ_2021.xlsx]原始数据'!$A:$A,0)),""))</f>
        <v/>
      </c>
      <c r="D521">
        <f>IF($A521="","",IFERROR(INDEX('[AQ_2022.xlsx]原始数据'!$B:$B,MATCH($A521,'[AQ_2022.xlsx]原始数据'!$A:$A,0)),""))</f>
        <v/>
      </c>
      <c r="E521">
        <f>IF($A521="","",IFERROR(INDEX('[AQ_2023.xlsx]原始数据'!$B:$B,MATCH($A521,'[AQ_2023.xlsx]原始数据'!$A:$A,0)),""))</f>
        <v/>
      </c>
      <c r="F521">
        <f>IF($A521="","",IFERROR(INDEX('[AQ_2024.xlsx]原始数据'!$B:$B,MATCH($A521,'[AQ_2024.xlsx]原始数据'!$A:$A,0)),""))</f>
        <v/>
      </c>
      <c r="G521">
        <f>IF($A521="","",IFERROR(INDEX('[AQ_2020.xlsx]原始数据'!$C:$C,MATCH($A521,'[AQ_2020.xlsx]原始数据'!$A:$A,0)),""))</f>
        <v/>
      </c>
      <c r="H521">
        <f>IF($A521="","",IFERROR(INDEX('[AQ_2021.xlsx]原始数据'!$C:$C,MATCH($A521,'[AQ_2021.xlsx]原始数据'!$A:$A,0)),""))</f>
        <v/>
      </c>
      <c r="I521">
        <f>IF($A521="","",IFERROR(INDEX('[AQ_2022.xlsx]原始数据'!$C:$C,MATCH($A521,'[AQ_2022.xlsx]原始数据'!$A:$A,0)),""))</f>
        <v/>
      </c>
      <c r="J521">
        <f>IF($A521="","",IFERROR(INDEX('[AQ_2023.xlsx]原始数据'!$C:$C,MATCH($A521,'[AQ_2023.xlsx]原始数据'!$A:$A,0)),""))</f>
        <v/>
      </c>
      <c r="K521">
        <f>IF($A521="","",IFERROR(INDEX('[AQ_2024.xlsx]原始数据'!$C:$C,MATCH($A521,'[AQ_2024.xlsx]原始数据'!$A:$A,0)),""))</f>
        <v/>
      </c>
      <c r="L521">
        <f>IF($A521="","",IFERROR(INDEX('[AQ_2020.xlsx]原始数据'!$D:$D,MATCH($A521,'[AQ_2020.xlsx]原始数据'!$A:$A,0)),""))</f>
        <v/>
      </c>
      <c r="M521">
        <f>IF($A521="","",IFERROR(INDEX('[AQ_2021.xlsx]原始数据'!$D:$D,MATCH($A521,'[AQ_2021.xlsx]原始数据'!$A:$A,0)),""))</f>
        <v/>
      </c>
      <c r="N521">
        <f>IF($A521="","",IFERROR(INDEX('[AQ_2022.xlsx]原始数据'!$D:$D,MATCH($A521,'[AQ_2022.xlsx]原始数据'!$A:$A,0)),""))</f>
        <v/>
      </c>
      <c r="O521">
        <f>IF($A521="","",IFERROR(INDEX('[AQ_2023.xlsx]原始数据'!$D:$D,MATCH($A521,'[AQ_2023.xlsx]原始数据'!$A:$A,0)),""))</f>
        <v/>
      </c>
      <c r="P521">
        <f>IF($A521="","",IFERROR(INDEX('[AQ_2024.xlsx]原始数据'!$D:$D,MATCH($A521,'[AQ_2024.xlsx]原始数据'!$A:$A,0)),""))</f>
        <v/>
      </c>
      <c r="Q521">
        <f>IF($A521="","",IFERROR(INDEX('[AQ_2020.xlsx]原始数据'!$E:$E,MATCH($A521,'[AQ_2020.xlsx]原始数据'!$A:$A,0)),""))</f>
        <v/>
      </c>
      <c r="R521">
        <f>IF($A521="","",IFERROR(INDEX('[AQ_2021.xlsx]原始数据'!$E:$E,MATCH($A521,'[AQ_2021.xlsx]原始数据'!$A:$A,0)),""))</f>
        <v/>
      </c>
      <c r="S521">
        <f>IF($A521="","",IFERROR(INDEX('[AQ_2022.xlsx]原始数据'!$E:$E,MATCH($A521,'[AQ_2022.xlsx]原始数据'!$A:$A,0)),""))</f>
        <v/>
      </c>
      <c r="T521">
        <f>IF($A521="","",IFERROR(INDEX('[AQ_2023.xlsx]原始数据'!$E:$E,MATCH($A521,'[AQ_2023.xlsx]原始数据'!$A:$A,0)),""))</f>
        <v/>
      </c>
      <c r="U521">
        <f>IF($A521="","",IFERROR(INDEX('[AQ_2024.xlsx]原始数据'!$E:$E,MATCH($A521,'[AQ_2024.xlsx]原始数据'!$A:$A,0)),""))</f>
        <v/>
      </c>
      <c r="V521">
        <f>IF($A521="","",IFERROR(INDEX('[AQ_2020.xlsx]原始数据'!$F:$F,MATCH($A521,'[AQ_2020.xlsx]原始数据'!$A:$A,0)),""))</f>
        <v/>
      </c>
      <c r="W521">
        <f>IF($A521="","",IFERROR(INDEX('[AQ_2021.xlsx]原始数据'!$F:$F,MATCH($A521,'[AQ_2021.xlsx]原始数据'!$A:$A,0)),""))</f>
        <v/>
      </c>
      <c r="X521">
        <f>IF($A521="","",IFERROR(INDEX('[AQ_2022.xlsx]原始数据'!$F:$F,MATCH($A521,'[AQ_2022.xlsx]原始数据'!$A:$A,0)),""))</f>
        <v/>
      </c>
      <c r="Y521">
        <f>IF($A521="","",IFERROR(INDEX('[AQ_2023.xlsx]原始数据'!$F:$F,MATCH($A521,'[AQ_2023.xlsx]原始数据'!$A:$A,0)),""))</f>
        <v/>
      </c>
      <c r="Z521">
        <f>IF($A521="","",IFERROR(INDEX('[AQ_2024.xlsx]原始数据'!$F:$F,MATCH($A521,'[AQ_2024.xlsx]原始数据'!$A:$A,0)),""))</f>
        <v/>
      </c>
      <c r="AA521" s="2">
        <f>IFERROR(G521/B521,"")</f>
        <v/>
      </c>
      <c r="AB521" s="2">
        <f>IFERROR(H521/C521,"")</f>
        <v/>
      </c>
      <c r="AC521" s="2">
        <f>IFERROR(I521/D521,"")</f>
        <v/>
      </c>
      <c r="AD521" s="2">
        <f>IFERROR(J521/E521,"")</f>
        <v/>
      </c>
      <c r="AE521" s="2">
        <f>IFERROR(K521/F521,"")</f>
        <v/>
      </c>
      <c r="AF521" s="2">
        <f>IFERROR(L521/B521,"")</f>
        <v/>
      </c>
      <c r="AG521" s="2">
        <f>IFERROR(M521/C521,"")</f>
        <v/>
      </c>
      <c r="AH521" s="2">
        <f>IFERROR(N521/D521,"")</f>
        <v/>
      </c>
      <c r="AI521" s="2">
        <f>IFERROR(O521/E521,"")</f>
        <v/>
      </c>
      <c r="AJ521" s="2">
        <f>IFERROR(P521/F521,"")</f>
        <v/>
      </c>
      <c r="AK521" s="2">
        <f>IFERROR(Q521/B521,"")</f>
        <v/>
      </c>
      <c r="AL521" s="2">
        <f>IFERROR(R521/C521,"")</f>
        <v/>
      </c>
      <c r="AM521" s="2">
        <f>IFERROR(S521/D521,"")</f>
        <v/>
      </c>
      <c r="AN521" s="2">
        <f>IFERROR(T521/E521,"")</f>
        <v/>
      </c>
      <c r="AO521" s="2">
        <f>IFERROR(U521/F521,"")</f>
        <v/>
      </c>
    </row>
    <row r="522">
      <c r="B522">
        <f>IF($A522="","",IFERROR(INDEX('[AQ_2020.xlsx]原始数据'!$B:$B,MATCH($A522,'[AQ_2020.xlsx]原始数据'!$A:$A,0)),""))</f>
        <v/>
      </c>
      <c r="C522">
        <f>IF($A522="","",IFERROR(INDEX('[AQ_2021.xlsx]原始数据'!$B:$B,MATCH($A522,'[AQ_2021.xlsx]原始数据'!$A:$A,0)),""))</f>
        <v/>
      </c>
      <c r="D522">
        <f>IF($A522="","",IFERROR(INDEX('[AQ_2022.xlsx]原始数据'!$B:$B,MATCH($A522,'[AQ_2022.xlsx]原始数据'!$A:$A,0)),""))</f>
        <v/>
      </c>
      <c r="E522">
        <f>IF($A522="","",IFERROR(INDEX('[AQ_2023.xlsx]原始数据'!$B:$B,MATCH($A522,'[AQ_2023.xlsx]原始数据'!$A:$A,0)),""))</f>
        <v/>
      </c>
      <c r="F522">
        <f>IF($A522="","",IFERROR(INDEX('[AQ_2024.xlsx]原始数据'!$B:$B,MATCH($A522,'[AQ_2024.xlsx]原始数据'!$A:$A,0)),""))</f>
        <v/>
      </c>
      <c r="G522">
        <f>IF($A522="","",IFERROR(INDEX('[AQ_2020.xlsx]原始数据'!$C:$C,MATCH($A522,'[AQ_2020.xlsx]原始数据'!$A:$A,0)),""))</f>
        <v/>
      </c>
      <c r="H522">
        <f>IF($A522="","",IFERROR(INDEX('[AQ_2021.xlsx]原始数据'!$C:$C,MATCH($A522,'[AQ_2021.xlsx]原始数据'!$A:$A,0)),""))</f>
        <v/>
      </c>
      <c r="I522">
        <f>IF($A522="","",IFERROR(INDEX('[AQ_2022.xlsx]原始数据'!$C:$C,MATCH($A522,'[AQ_2022.xlsx]原始数据'!$A:$A,0)),""))</f>
        <v/>
      </c>
      <c r="J522">
        <f>IF($A522="","",IFERROR(INDEX('[AQ_2023.xlsx]原始数据'!$C:$C,MATCH($A522,'[AQ_2023.xlsx]原始数据'!$A:$A,0)),""))</f>
        <v/>
      </c>
      <c r="K522">
        <f>IF($A522="","",IFERROR(INDEX('[AQ_2024.xlsx]原始数据'!$C:$C,MATCH($A522,'[AQ_2024.xlsx]原始数据'!$A:$A,0)),""))</f>
        <v/>
      </c>
      <c r="L522">
        <f>IF($A522="","",IFERROR(INDEX('[AQ_2020.xlsx]原始数据'!$D:$D,MATCH($A522,'[AQ_2020.xlsx]原始数据'!$A:$A,0)),""))</f>
        <v/>
      </c>
      <c r="M522">
        <f>IF($A522="","",IFERROR(INDEX('[AQ_2021.xlsx]原始数据'!$D:$D,MATCH($A522,'[AQ_2021.xlsx]原始数据'!$A:$A,0)),""))</f>
        <v/>
      </c>
      <c r="N522">
        <f>IF($A522="","",IFERROR(INDEX('[AQ_2022.xlsx]原始数据'!$D:$D,MATCH($A522,'[AQ_2022.xlsx]原始数据'!$A:$A,0)),""))</f>
        <v/>
      </c>
      <c r="O522">
        <f>IF($A522="","",IFERROR(INDEX('[AQ_2023.xlsx]原始数据'!$D:$D,MATCH($A522,'[AQ_2023.xlsx]原始数据'!$A:$A,0)),""))</f>
        <v/>
      </c>
      <c r="P522">
        <f>IF($A522="","",IFERROR(INDEX('[AQ_2024.xlsx]原始数据'!$D:$D,MATCH($A522,'[AQ_2024.xlsx]原始数据'!$A:$A,0)),""))</f>
        <v/>
      </c>
      <c r="Q522">
        <f>IF($A522="","",IFERROR(INDEX('[AQ_2020.xlsx]原始数据'!$E:$E,MATCH($A522,'[AQ_2020.xlsx]原始数据'!$A:$A,0)),""))</f>
        <v/>
      </c>
      <c r="R522">
        <f>IF($A522="","",IFERROR(INDEX('[AQ_2021.xlsx]原始数据'!$E:$E,MATCH($A522,'[AQ_2021.xlsx]原始数据'!$A:$A,0)),""))</f>
        <v/>
      </c>
      <c r="S522">
        <f>IF($A522="","",IFERROR(INDEX('[AQ_2022.xlsx]原始数据'!$E:$E,MATCH($A522,'[AQ_2022.xlsx]原始数据'!$A:$A,0)),""))</f>
        <v/>
      </c>
      <c r="T522">
        <f>IF($A522="","",IFERROR(INDEX('[AQ_2023.xlsx]原始数据'!$E:$E,MATCH($A522,'[AQ_2023.xlsx]原始数据'!$A:$A,0)),""))</f>
        <v/>
      </c>
      <c r="U522">
        <f>IF($A522="","",IFERROR(INDEX('[AQ_2024.xlsx]原始数据'!$E:$E,MATCH($A522,'[AQ_2024.xlsx]原始数据'!$A:$A,0)),""))</f>
        <v/>
      </c>
      <c r="V522">
        <f>IF($A522="","",IFERROR(INDEX('[AQ_2020.xlsx]原始数据'!$F:$F,MATCH($A522,'[AQ_2020.xlsx]原始数据'!$A:$A,0)),""))</f>
        <v/>
      </c>
      <c r="W522">
        <f>IF($A522="","",IFERROR(INDEX('[AQ_2021.xlsx]原始数据'!$F:$F,MATCH($A522,'[AQ_2021.xlsx]原始数据'!$A:$A,0)),""))</f>
        <v/>
      </c>
      <c r="X522">
        <f>IF($A522="","",IFERROR(INDEX('[AQ_2022.xlsx]原始数据'!$F:$F,MATCH($A522,'[AQ_2022.xlsx]原始数据'!$A:$A,0)),""))</f>
        <v/>
      </c>
      <c r="Y522">
        <f>IF($A522="","",IFERROR(INDEX('[AQ_2023.xlsx]原始数据'!$F:$F,MATCH($A522,'[AQ_2023.xlsx]原始数据'!$A:$A,0)),""))</f>
        <v/>
      </c>
      <c r="Z522">
        <f>IF($A522="","",IFERROR(INDEX('[AQ_2024.xlsx]原始数据'!$F:$F,MATCH($A522,'[AQ_2024.xlsx]原始数据'!$A:$A,0)),""))</f>
        <v/>
      </c>
      <c r="AA522" s="2">
        <f>IFERROR(G522/B522,"")</f>
        <v/>
      </c>
      <c r="AB522" s="2">
        <f>IFERROR(H522/C522,"")</f>
        <v/>
      </c>
      <c r="AC522" s="2">
        <f>IFERROR(I522/D522,"")</f>
        <v/>
      </c>
      <c r="AD522" s="2">
        <f>IFERROR(J522/E522,"")</f>
        <v/>
      </c>
      <c r="AE522" s="2">
        <f>IFERROR(K522/F522,"")</f>
        <v/>
      </c>
      <c r="AF522" s="2">
        <f>IFERROR(L522/B522,"")</f>
        <v/>
      </c>
      <c r="AG522" s="2">
        <f>IFERROR(M522/C522,"")</f>
        <v/>
      </c>
      <c r="AH522" s="2">
        <f>IFERROR(N522/D522,"")</f>
        <v/>
      </c>
      <c r="AI522" s="2">
        <f>IFERROR(O522/E522,"")</f>
        <v/>
      </c>
      <c r="AJ522" s="2">
        <f>IFERROR(P522/F522,"")</f>
        <v/>
      </c>
      <c r="AK522" s="2">
        <f>IFERROR(Q522/B522,"")</f>
        <v/>
      </c>
      <c r="AL522" s="2">
        <f>IFERROR(R522/C522,"")</f>
        <v/>
      </c>
      <c r="AM522" s="2">
        <f>IFERROR(S522/D522,"")</f>
        <v/>
      </c>
      <c r="AN522" s="2">
        <f>IFERROR(T522/E522,"")</f>
        <v/>
      </c>
      <c r="AO522" s="2">
        <f>IFERROR(U522/F522,"")</f>
        <v/>
      </c>
    </row>
    <row r="523">
      <c r="B523">
        <f>IF($A523="","",IFERROR(INDEX('[AQ_2020.xlsx]原始数据'!$B:$B,MATCH($A523,'[AQ_2020.xlsx]原始数据'!$A:$A,0)),""))</f>
        <v/>
      </c>
      <c r="C523">
        <f>IF($A523="","",IFERROR(INDEX('[AQ_2021.xlsx]原始数据'!$B:$B,MATCH($A523,'[AQ_2021.xlsx]原始数据'!$A:$A,0)),""))</f>
        <v/>
      </c>
      <c r="D523">
        <f>IF($A523="","",IFERROR(INDEX('[AQ_2022.xlsx]原始数据'!$B:$B,MATCH($A523,'[AQ_2022.xlsx]原始数据'!$A:$A,0)),""))</f>
        <v/>
      </c>
      <c r="E523">
        <f>IF($A523="","",IFERROR(INDEX('[AQ_2023.xlsx]原始数据'!$B:$B,MATCH($A523,'[AQ_2023.xlsx]原始数据'!$A:$A,0)),""))</f>
        <v/>
      </c>
      <c r="F523">
        <f>IF($A523="","",IFERROR(INDEX('[AQ_2024.xlsx]原始数据'!$B:$B,MATCH($A523,'[AQ_2024.xlsx]原始数据'!$A:$A,0)),""))</f>
        <v/>
      </c>
      <c r="G523">
        <f>IF($A523="","",IFERROR(INDEX('[AQ_2020.xlsx]原始数据'!$C:$C,MATCH($A523,'[AQ_2020.xlsx]原始数据'!$A:$A,0)),""))</f>
        <v/>
      </c>
      <c r="H523">
        <f>IF($A523="","",IFERROR(INDEX('[AQ_2021.xlsx]原始数据'!$C:$C,MATCH($A523,'[AQ_2021.xlsx]原始数据'!$A:$A,0)),""))</f>
        <v/>
      </c>
      <c r="I523">
        <f>IF($A523="","",IFERROR(INDEX('[AQ_2022.xlsx]原始数据'!$C:$C,MATCH($A523,'[AQ_2022.xlsx]原始数据'!$A:$A,0)),""))</f>
        <v/>
      </c>
      <c r="J523">
        <f>IF($A523="","",IFERROR(INDEX('[AQ_2023.xlsx]原始数据'!$C:$C,MATCH($A523,'[AQ_2023.xlsx]原始数据'!$A:$A,0)),""))</f>
        <v/>
      </c>
      <c r="K523">
        <f>IF($A523="","",IFERROR(INDEX('[AQ_2024.xlsx]原始数据'!$C:$C,MATCH($A523,'[AQ_2024.xlsx]原始数据'!$A:$A,0)),""))</f>
        <v/>
      </c>
      <c r="L523">
        <f>IF($A523="","",IFERROR(INDEX('[AQ_2020.xlsx]原始数据'!$D:$D,MATCH($A523,'[AQ_2020.xlsx]原始数据'!$A:$A,0)),""))</f>
        <v/>
      </c>
      <c r="M523">
        <f>IF($A523="","",IFERROR(INDEX('[AQ_2021.xlsx]原始数据'!$D:$D,MATCH($A523,'[AQ_2021.xlsx]原始数据'!$A:$A,0)),""))</f>
        <v/>
      </c>
      <c r="N523">
        <f>IF($A523="","",IFERROR(INDEX('[AQ_2022.xlsx]原始数据'!$D:$D,MATCH($A523,'[AQ_2022.xlsx]原始数据'!$A:$A,0)),""))</f>
        <v/>
      </c>
      <c r="O523">
        <f>IF($A523="","",IFERROR(INDEX('[AQ_2023.xlsx]原始数据'!$D:$D,MATCH($A523,'[AQ_2023.xlsx]原始数据'!$A:$A,0)),""))</f>
        <v/>
      </c>
      <c r="P523">
        <f>IF($A523="","",IFERROR(INDEX('[AQ_2024.xlsx]原始数据'!$D:$D,MATCH($A523,'[AQ_2024.xlsx]原始数据'!$A:$A,0)),""))</f>
        <v/>
      </c>
      <c r="Q523">
        <f>IF($A523="","",IFERROR(INDEX('[AQ_2020.xlsx]原始数据'!$E:$E,MATCH($A523,'[AQ_2020.xlsx]原始数据'!$A:$A,0)),""))</f>
        <v/>
      </c>
      <c r="R523">
        <f>IF($A523="","",IFERROR(INDEX('[AQ_2021.xlsx]原始数据'!$E:$E,MATCH($A523,'[AQ_2021.xlsx]原始数据'!$A:$A,0)),""))</f>
        <v/>
      </c>
      <c r="S523">
        <f>IF($A523="","",IFERROR(INDEX('[AQ_2022.xlsx]原始数据'!$E:$E,MATCH($A523,'[AQ_2022.xlsx]原始数据'!$A:$A,0)),""))</f>
        <v/>
      </c>
      <c r="T523">
        <f>IF($A523="","",IFERROR(INDEX('[AQ_2023.xlsx]原始数据'!$E:$E,MATCH($A523,'[AQ_2023.xlsx]原始数据'!$A:$A,0)),""))</f>
        <v/>
      </c>
      <c r="U523">
        <f>IF($A523="","",IFERROR(INDEX('[AQ_2024.xlsx]原始数据'!$E:$E,MATCH($A523,'[AQ_2024.xlsx]原始数据'!$A:$A,0)),""))</f>
        <v/>
      </c>
      <c r="V523">
        <f>IF($A523="","",IFERROR(INDEX('[AQ_2020.xlsx]原始数据'!$F:$F,MATCH($A523,'[AQ_2020.xlsx]原始数据'!$A:$A,0)),""))</f>
        <v/>
      </c>
      <c r="W523">
        <f>IF($A523="","",IFERROR(INDEX('[AQ_2021.xlsx]原始数据'!$F:$F,MATCH($A523,'[AQ_2021.xlsx]原始数据'!$A:$A,0)),""))</f>
        <v/>
      </c>
      <c r="X523">
        <f>IF($A523="","",IFERROR(INDEX('[AQ_2022.xlsx]原始数据'!$F:$F,MATCH($A523,'[AQ_2022.xlsx]原始数据'!$A:$A,0)),""))</f>
        <v/>
      </c>
      <c r="Y523">
        <f>IF($A523="","",IFERROR(INDEX('[AQ_2023.xlsx]原始数据'!$F:$F,MATCH($A523,'[AQ_2023.xlsx]原始数据'!$A:$A,0)),""))</f>
        <v/>
      </c>
      <c r="Z523">
        <f>IF($A523="","",IFERROR(INDEX('[AQ_2024.xlsx]原始数据'!$F:$F,MATCH($A523,'[AQ_2024.xlsx]原始数据'!$A:$A,0)),""))</f>
        <v/>
      </c>
      <c r="AA523" s="2">
        <f>IFERROR(G523/B523,"")</f>
        <v/>
      </c>
      <c r="AB523" s="2">
        <f>IFERROR(H523/C523,"")</f>
        <v/>
      </c>
      <c r="AC523" s="2">
        <f>IFERROR(I523/D523,"")</f>
        <v/>
      </c>
      <c r="AD523" s="2">
        <f>IFERROR(J523/E523,"")</f>
        <v/>
      </c>
      <c r="AE523" s="2">
        <f>IFERROR(K523/F523,"")</f>
        <v/>
      </c>
      <c r="AF523" s="2">
        <f>IFERROR(L523/B523,"")</f>
        <v/>
      </c>
      <c r="AG523" s="2">
        <f>IFERROR(M523/C523,"")</f>
        <v/>
      </c>
      <c r="AH523" s="2">
        <f>IFERROR(N523/D523,"")</f>
        <v/>
      </c>
      <c r="AI523" s="2">
        <f>IFERROR(O523/E523,"")</f>
        <v/>
      </c>
      <c r="AJ523" s="2">
        <f>IFERROR(P523/F523,"")</f>
        <v/>
      </c>
      <c r="AK523" s="2">
        <f>IFERROR(Q523/B523,"")</f>
        <v/>
      </c>
      <c r="AL523" s="2">
        <f>IFERROR(R523/C523,"")</f>
        <v/>
      </c>
      <c r="AM523" s="2">
        <f>IFERROR(S523/D523,"")</f>
        <v/>
      </c>
      <c r="AN523" s="2">
        <f>IFERROR(T523/E523,"")</f>
        <v/>
      </c>
      <c r="AO523" s="2">
        <f>IFERROR(U523/F523,"")</f>
        <v/>
      </c>
    </row>
    <row r="524">
      <c r="B524">
        <f>IF($A524="","",IFERROR(INDEX('[AQ_2020.xlsx]原始数据'!$B:$B,MATCH($A524,'[AQ_2020.xlsx]原始数据'!$A:$A,0)),""))</f>
        <v/>
      </c>
      <c r="C524">
        <f>IF($A524="","",IFERROR(INDEX('[AQ_2021.xlsx]原始数据'!$B:$B,MATCH($A524,'[AQ_2021.xlsx]原始数据'!$A:$A,0)),""))</f>
        <v/>
      </c>
      <c r="D524">
        <f>IF($A524="","",IFERROR(INDEX('[AQ_2022.xlsx]原始数据'!$B:$B,MATCH($A524,'[AQ_2022.xlsx]原始数据'!$A:$A,0)),""))</f>
        <v/>
      </c>
      <c r="E524">
        <f>IF($A524="","",IFERROR(INDEX('[AQ_2023.xlsx]原始数据'!$B:$B,MATCH($A524,'[AQ_2023.xlsx]原始数据'!$A:$A,0)),""))</f>
        <v/>
      </c>
      <c r="F524">
        <f>IF($A524="","",IFERROR(INDEX('[AQ_2024.xlsx]原始数据'!$B:$B,MATCH($A524,'[AQ_2024.xlsx]原始数据'!$A:$A,0)),""))</f>
        <v/>
      </c>
      <c r="G524">
        <f>IF($A524="","",IFERROR(INDEX('[AQ_2020.xlsx]原始数据'!$C:$C,MATCH($A524,'[AQ_2020.xlsx]原始数据'!$A:$A,0)),""))</f>
        <v/>
      </c>
      <c r="H524">
        <f>IF($A524="","",IFERROR(INDEX('[AQ_2021.xlsx]原始数据'!$C:$C,MATCH($A524,'[AQ_2021.xlsx]原始数据'!$A:$A,0)),""))</f>
        <v/>
      </c>
      <c r="I524">
        <f>IF($A524="","",IFERROR(INDEX('[AQ_2022.xlsx]原始数据'!$C:$C,MATCH($A524,'[AQ_2022.xlsx]原始数据'!$A:$A,0)),""))</f>
        <v/>
      </c>
      <c r="J524">
        <f>IF($A524="","",IFERROR(INDEX('[AQ_2023.xlsx]原始数据'!$C:$C,MATCH($A524,'[AQ_2023.xlsx]原始数据'!$A:$A,0)),""))</f>
        <v/>
      </c>
      <c r="K524">
        <f>IF($A524="","",IFERROR(INDEX('[AQ_2024.xlsx]原始数据'!$C:$C,MATCH($A524,'[AQ_2024.xlsx]原始数据'!$A:$A,0)),""))</f>
        <v/>
      </c>
      <c r="L524">
        <f>IF($A524="","",IFERROR(INDEX('[AQ_2020.xlsx]原始数据'!$D:$D,MATCH($A524,'[AQ_2020.xlsx]原始数据'!$A:$A,0)),""))</f>
        <v/>
      </c>
      <c r="M524">
        <f>IF($A524="","",IFERROR(INDEX('[AQ_2021.xlsx]原始数据'!$D:$D,MATCH($A524,'[AQ_2021.xlsx]原始数据'!$A:$A,0)),""))</f>
        <v/>
      </c>
      <c r="N524">
        <f>IF($A524="","",IFERROR(INDEX('[AQ_2022.xlsx]原始数据'!$D:$D,MATCH($A524,'[AQ_2022.xlsx]原始数据'!$A:$A,0)),""))</f>
        <v/>
      </c>
      <c r="O524">
        <f>IF($A524="","",IFERROR(INDEX('[AQ_2023.xlsx]原始数据'!$D:$D,MATCH($A524,'[AQ_2023.xlsx]原始数据'!$A:$A,0)),""))</f>
        <v/>
      </c>
      <c r="P524">
        <f>IF($A524="","",IFERROR(INDEX('[AQ_2024.xlsx]原始数据'!$D:$D,MATCH($A524,'[AQ_2024.xlsx]原始数据'!$A:$A,0)),""))</f>
        <v/>
      </c>
      <c r="Q524">
        <f>IF($A524="","",IFERROR(INDEX('[AQ_2020.xlsx]原始数据'!$E:$E,MATCH($A524,'[AQ_2020.xlsx]原始数据'!$A:$A,0)),""))</f>
        <v/>
      </c>
      <c r="R524">
        <f>IF($A524="","",IFERROR(INDEX('[AQ_2021.xlsx]原始数据'!$E:$E,MATCH($A524,'[AQ_2021.xlsx]原始数据'!$A:$A,0)),""))</f>
        <v/>
      </c>
      <c r="S524">
        <f>IF($A524="","",IFERROR(INDEX('[AQ_2022.xlsx]原始数据'!$E:$E,MATCH($A524,'[AQ_2022.xlsx]原始数据'!$A:$A,0)),""))</f>
        <v/>
      </c>
      <c r="T524">
        <f>IF($A524="","",IFERROR(INDEX('[AQ_2023.xlsx]原始数据'!$E:$E,MATCH($A524,'[AQ_2023.xlsx]原始数据'!$A:$A,0)),""))</f>
        <v/>
      </c>
      <c r="U524">
        <f>IF($A524="","",IFERROR(INDEX('[AQ_2024.xlsx]原始数据'!$E:$E,MATCH($A524,'[AQ_2024.xlsx]原始数据'!$A:$A,0)),""))</f>
        <v/>
      </c>
      <c r="V524">
        <f>IF($A524="","",IFERROR(INDEX('[AQ_2020.xlsx]原始数据'!$F:$F,MATCH($A524,'[AQ_2020.xlsx]原始数据'!$A:$A,0)),""))</f>
        <v/>
      </c>
      <c r="W524">
        <f>IF($A524="","",IFERROR(INDEX('[AQ_2021.xlsx]原始数据'!$F:$F,MATCH($A524,'[AQ_2021.xlsx]原始数据'!$A:$A,0)),""))</f>
        <v/>
      </c>
      <c r="X524">
        <f>IF($A524="","",IFERROR(INDEX('[AQ_2022.xlsx]原始数据'!$F:$F,MATCH($A524,'[AQ_2022.xlsx]原始数据'!$A:$A,0)),""))</f>
        <v/>
      </c>
      <c r="Y524">
        <f>IF($A524="","",IFERROR(INDEX('[AQ_2023.xlsx]原始数据'!$F:$F,MATCH($A524,'[AQ_2023.xlsx]原始数据'!$A:$A,0)),""))</f>
        <v/>
      </c>
      <c r="Z524">
        <f>IF($A524="","",IFERROR(INDEX('[AQ_2024.xlsx]原始数据'!$F:$F,MATCH($A524,'[AQ_2024.xlsx]原始数据'!$A:$A,0)),""))</f>
        <v/>
      </c>
      <c r="AA524" s="2">
        <f>IFERROR(G524/B524,"")</f>
        <v/>
      </c>
      <c r="AB524" s="2">
        <f>IFERROR(H524/C524,"")</f>
        <v/>
      </c>
      <c r="AC524" s="2">
        <f>IFERROR(I524/D524,"")</f>
        <v/>
      </c>
      <c r="AD524" s="2">
        <f>IFERROR(J524/E524,"")</f>
        <v/>
      </c>
      <c r="AE524" s="2">
        <f>IFERROR(K524/F524,"")</f>
        <v/>
      </c>
      <c r="AF524" s="2">
        <f>IFERROR(L524/B524,"")</f>
        <v/>
      </c>
      <c r="AG524" s="2">
        <f>IFERROR(M524/C524,"")</f>
        <v/>
      </c>
      <c r="AH524" s="2">
        <f>IFERROR(N524/D524,"")</f>
        <v/>
      </c>
      <c r="AI524" s="2">
        <f>IFERROR(O524/E524,"")</f>
        <v/>
      </c>
      <c r="AJ524" s="2">
        <f>IFERROR(P524/F524,"")</f>
        <v/>
      </c>
      <c r="AK524" s="2">
        <f>IFERROR(Q524/B524,"")</f>
        <v/>
      </c>
      <c r="AL524" s="2">
        <f>IFERROR(R524/C524,"")</f>
        <v/>
      </c>
      <c r="AM524" s="2">
        <f>IFERROR(S524/D524,"")</f>
        <v/>
      </c>
      <c r="AN524" s="2">
        <f>IFERROR(T524/E524,"")</f>
        <v/>
      </c>
      <c r="AO524" s="2">
        <f>IFERROR(U524/F524,"")</f>
        <v/>
      </c>
    </row>
    <row r="525">
      <c r="B525">
        <f>IF($A525="","",IFERROR(INDEX('[AQ_2020.xlsx]原始数据'!$B:$B,MATCH($A525,'[AQ_2020.xlsx]原始数据'!$A:$A,0)),""))</f>
        <v/>
      </c>
      <c r="C525">
        <f>IF($A525="","",IFERROR(INDEX('[AQ_2021.xlsx]原始数据'!$B:$B,MATCH($A525,'[AQ_2021.xlsx]原始数据'!$A:$A,0)),""))</f>
        <v/>
      </c>
      <c r="D525">
        <f>IF($A525="","",IFERROR(INDEX('[AQ_2022.xlsx]原始数据'!$B:$B,MATCH($A525,'[AQ_2022.xlsx]原始数据'!$A:$A,0)),""))</f>
        <v/>
      </c>
      <c r="E525">
        <f>IF($A525="","",IFERROR(INDEX('[AQ_2023.xlsx]原始数据'!$B:$B,MATCH($A525,'[AQ_2023.xlsx]原始数据'!$A:$A,0)),""))</f>
        <v/>
      </c>
      <c r="F525">
        <f>IF($A525="","",IFERROR(INDEX('[AQ_2024.xlsx]原始数据'!$B:$B,MATCH($A525,'[AQ_2024.xlsx]原始数据'!$A:$A,0)),""))</f>
        <v/>
      </c>
      <c r="G525">
        <f>IF($A525="","",IFERROR(INDEX('[AQ_2020.xlsx]原始数据'!$C:$C,MATCH($A525,'[AQ_2020.xlsx]原始数据'!$A:$A,0)),""))</f>
        <v/>
      </c>
      <c r="H525">
        <f>IF($A525="","",IFERROR(INDEX('[AQ_2021.xlsx]原始数据'!$C:$C,MATCH($A525,'[AQ_2021.xlsx]原始数据'!$A:$A,0)),""))</f>
        <v/>
      </c>
      <c r="I525">
        <f>IF($A525="","",IFERROR(INDEX('[AQ_2022.xlsx]原始数据'!$C:$C,MATCH($A525,'[AQ_2022.xlsx]原始数据'!$A:$A,0)),""))</f>
        <v/>
      </c>
      <c r="J525">
        <f>IF($A525="","",IFERROR(INDEX('[AQ_2023.xlsx]原始数据'!$C:$C,MATCH($A525,'[AQ_2023.xlsx]原始数据'!$A:$A,0)),""))</f>
        <v/>
      </c>
      <c r="K525">
        <f>IF($A525="","",IFERROR(INDEX('[AQ_2024.xlsx]原始数据'!$C:$C,MATCH($A525,'[AQ_2024.xlsx]原始数据'!$A:$A,0)),""))</f>
        <v/>
      </c>
      <c r="L525">
        <f>IF($A525="","",IFERROR(INDEX('[AQ_2020.xlsx]原始数据'!$D:$D,MATCH($A525,'[AQ_2020.xlsx]原始数据'!$A:$A,0)),""))</f>
        <v/>
      </c>
      <c r="M525">
        <f>IF($A525="","",IFERROR(INDEX('[AQ_2021.xlsx]原始数据'!$D:$D,MATCH($A525,'[AQ_2021.xlsx]原始数据'!$A:$A,0)),""))</f>
        <v/>
      </c>
      <c r="N525">
        <f>IF($A525="","",IFERROR(INDEX('[AQ_2022.xlsx]原始数据'!$D:$D,MATCH($A525,'[AQ_2022.xlsx]原始数据'!$A:$A,0)),""))</f>
        <v/>
      </c>
      <c r="O525">
        <f>IF($A525="","",IFERROR(INDEX('[AQ_2023.xlsx]原始数据'!$D:$D,MATCH($A525,'[AQ_2023.xlsx]原始数据'!$A:$A,0)),""))</f>
        <v/>
      </c>
      <c r="P525">
        <f>IF($A525="","",IFERROR(INDEX('[AQ_2024.xlsx]原始数据'!$D:$D,MATCH($A525,'[AQ_2024.xlsx]原始数据'!$A:$A,0)),""))</f>
        <v/>
      </c>
      <c r="Q525">
        <f>IF($A525="","",IFERROR(INDEX('[AQ_2020.xlsx]原始数据'!$E:$E,MATCH($A525,'[AQ_2020.xlsx]原始数据'!$A:$A,0)),""))</f>
        <v/>
      </c>
      <c r="R525">
        <f>IF($A525="","",IFERROR(INDEX('[AQ_2021.xlsx]原始数据'!$E:$E,MATCH($A525,'[AQ_2021.xlsx]原始数据'!$A:$A,0)),""))</f>
        <v/>
      </c>
      <c r="S525">
        <f>IF($A525="","",IFERROR(INDEX('[AQ_2022.xlsx]原始数据'!$E:$E,MATCH($A525,'[AQ_2022.xlsx]原始数据'!$A:$A,0)),""))</f>
        <v/>
      </c>
      <c r="T525">
        <f>IF($A525="","",IFERROR(INDEX('[AQ_2023.xlsx]原始数据'!$E:$E,MATCH($A525,'[AQ_2023.xlsx]原始数据'!$A:$A,0)),""))</f>
        <v/>
      </c>
      <c r="U525">
        <f>IF($A525="","",IFERROR(INDEX('[AQ_2024.xlsx]原始数据'!$E:$E,MATCH($A525,'[AQ_2024.xlsx]原始数据'!$A:$A,0)),""))</f>
        <v/>
      </c>
      <c r="V525">
        <f>IF($A525="","",IFERROR(INDEX('[AQ_2020.xlsx]原始数据'!$F:$F,MATCH($A525,'[AQ_2020.xlsx]原始数据'!$A:$A,0)),""))</f>
        <v/>
      </c>
      <c r="W525">
        <f>IF($A525="","",IFERROR(INDEX('[AQ_2021.xlsx]原始数据'!$F:$F,MATCH($A525,'[AQ_2021.xlsx]原始数据'!$A:$A,0)),""))</f>
        <v/>
      </c>
      <c r="X525">
        <f>IF($A525="","",IFERROR(INDEX('[AQ_2022.xlsx]原始数据'!$F:$F,MATCH($A525,'[AQ_2022.xlsx]原始数据'!$A:$A,0)),""))</f>
        <v/>
      </c>
      <c r="Y525">
        <f>IF($A525="","",IFERROR(INDEX('[AQ_2023.xlsx]原始数据'!$F:$F,MATCH($A525,'[AQ_2023.xlsx]原始数据'!$A:$A,0)),""))</f>
        <v/>
      </c>
      <c r="Z525">
        <f>IF($A525="","",IFERROR(INDEX('[AQ_2024.xlsx]原始数据'!$F:$F,MATCH($A525,'[AQ_2024.xlsx]原始数据'!$A:$A,0)),""))</f>
        <v/>
      </c>
      <c r="AA525" s="2">
        <f>IFERROR(G525/B525,"")</f>
        <v/>
      </c>
      <c r="AB525" s="2">
        <f>IFERROR(H525/C525,"")</f>
        <v/>
      </c>
      <c r="AC525" s="2">
        <f>IFERROR(I525/D525,"")</f>
        <v/>
      </c>
      <c r="AD525" s="2">
        <f>IFERROR(J525/E525,"")</f>
        <v/>
      </c>
      <c r="AE525" s="2">
        <f>IFERROR(K525/F525,"")</f>
        <v/>
      </c>
      <c r="AF525" s="2">
        <f>IFERROR(L525/B525,"")</f>
        <v/>
      </c>
      <c r="AG525" s="2">
        <f>IFERROR(M525/C525,"")</f>
        <v/>
      </c>
      <c r="AH525" s="2">
        <f>IFERROR(N525/D525,"")</f>
        <v/>
      </c>
      <c r="AI525" s="2">
        <f>IFERROR(O525/E525,"")</f>
        <v/>
      </c>
      <c r="AJ525" s="2">
        <f>IFERROR(P525/F525,"")</f>
        <v/>
      </c>
      <c r="AK525" s="2">
        <f>IFERROR(Q525/B525,"")</f>
        <v/>
      </c>
      <c r="AL525" s="2">
        <f>IFERROR(R525/C525,"")</f>
        <v/>
      </c>
      <c r="AM525" s="2">
        <f>IFERROR(S525/D525,"")</f>
        <v/>
      </c>
      <c r="AN525" s="2">
        <f>IFERROR(T525/E525,"")</f>
        <v/>
      </c>
      <c r="AO525" s="2">
        <f>IFERROR(U525/F525,"")</f>
        <v/>
      </c>
    </row>
    <row r="526">
      <c r="B526">
        <f>IF($A526="","",IFERROR(INDEX('[AQ_2020.xlsx]原始数据'!$B:$B,MATCH($A526,'[AQ_2020.xlsx]原始数据'!$A:$A,0)),""))</f>
        <v/>
      </c>
      <c r="C526">
        <f>IF($A526="","",IFERROR(INDEX('[AQ_2021.xlsx]原始数据'!$B:$B,MATCH($A526,'[AQ_2021.xlsx]原始数据'!$A:$A,0)),""))</f>
        <v/>
      </c>
      <c r="D526">
        <f>IF($A526="","",IFERROR(INDEX('[AQ_2022.xlsx]原始数据'!$B:$B,MATCH($A526,'[AQ_2022.xlsx]原始数据'!$A:$A,0)),""))</f>
        <v/>
      </c>
      <c r="E526">
        <f>IF($A526="","",IFERROR(INDEX('[AQ_2023.xlsx]原始数据'!$B:$B,MATCH($A526,'[AQ_2023.xlsx]原始数据'!$A:$A,0)),""))</f>
        <v/>
      </c>
      <c r="F526">
        <f>IF($A526="","",IFERROR(INDEX('[AQ_2024.xlsx]原始数据'!$B:$B,MATCH($A526,'[AQ_2024.xlsx]原始数据'!$A:$A,0)),""))</f>
        <v/>
      </c>
      <c r="G526">
        <f>IF($A526="","",IFERROR(INDEX('[AQ_2020.xlsx]原始数据'!$C:$C,MATCH($A526,'[AQ_2020.xlsx]原始数据'!$A:$A,0)),""))</f>
        <v/>
      </c>
      <c r="H526">
        <f>IF($A526="","",IFERROR(INDEX('[AQ_2021.xlsx]原始数据'!$C:$C,MATCH($A526,'[AQ_2021.xlsx]原始数据'!$A:$A,0)),""))</f>
        <v/>
      </c>
      <c r="I526">
        <f>IF($A526="","",IFERROR(INDEX('[AQ_2022.xlsx]原始数据'!$C:$C,MATCH($A526,'[AQ_2022.xlsx]原始数据'!$A:$A,0)),""))</f>
        <v/>
      </c>
      <c r="J526">
        <f>IF($A526="","",IFERROR(INDEX('[AQ_2023.xlsx]原始数据'!$C:$C,MATCH($A526,'[AQ_2023.xlsx]原始数据'!$A:$A,0)),""))</f>
        <v/>
      </c>
      <c r="K526">
        <f>IF($A526="","",IFERROR(INDEX('[AQ_2024.xlsx]原始数据'!$C:$C,MATCH($A526,'[AQ_2024.xlsx]原始数据'!$A:$A,0)),""))</f>
        <v/>
      </c>
      <c r="L526">
        <f>IF($A526="","",IFERROR(INDEX('[AQ_2020.xlsx]原始数据'!$D:$D,MATCH($A526,'[AQ_2020.xlsx]原始数据'!$A:$A,0)),""))</f>
        <v/>
      </c>
      <c r="M526">
        <f>IF($A526="","",IFERROR(INDEX('[AQ_2021.xlsx]原始数据'!$D:$D,MATCH($A526,'[AQ_2021.xlsx]原始数据'!$A:$A,0)),""))</f>
        <v/>
      </c>
      <c r="N526">
        <f>IF($A526="","",IFERROR(INDEX('[AQ_2022.xlsx]原始数据'!$D:$D,MATCH($A526,'[AQ_2022.xlsx]原始数据'!$A:$A,0)),""))</f>
        <v/>
      </c>
      <c r="O526">
        <f>IF($A526="","",IFERROR(INDEX('[AQ_2023.xlsx]原始数据'!$D:$D,MATCH($A526,'[AQ_2023.xlsx]原始数据'!$A:$A,0)),""))</f>
        <v/>
      </c>
      <c r="P526">
        <f>IF($A526="","",IFERROR(INDEX('[AQ_2024.xlsx]原始数据'!$D:$D,MATCH($A526,'[AQ_2024.xlsx]原始数据'!$A:$A,0)),""))</f>
        <v/>
      </c>
      <c r="Q526">
        <f>IF($A526="","",IFERROR(INDEX('[AQ_2020.xlsx]原始数据'!$E:$E,MATCH($A526,'[AQ_2020.xlsx]原始数据'!$A:$A,0)),""))</f>
        <v/>
      </c>
      <c r="R526">
        <f>IF($A526="","",IFERROR(INDEX('[AQ_2021.xlsx]原始数据'!$E:$E,MATCH($A526,'[AQ_2021.xlsx]原始数据'!$A:$A,0)),""))</f>
        <v/>
      </c>
      <c r="S526">
        <f>IF($A526="","",IFERROR(INDEX('[AQ_2022.xlsx]原始数据'!$E:$E,MATCH($A526,'[AQ_2022.xlsx]原始数据'!$A:$A,0)),""))</f>
        <v/>
      </c>
      <c r="T526">
        <f>IF($A526="","",IFERROR(INDEX('[AQ_2023.xlsx]原始数据'!$E:$E,MATCH($A526,'[AQ_2023.xlsx]原始数据'!$A:$A,0)),""))</f>
        <v/>
      </c>
      <c r="U526">
        <f>IF($A526="","",IFERROR(INDEX('[AQ_2024.xlsx]原始数据'!$E:$E,MATCH($A526,'[AQ_2024.xlsx]原始数据'!$A:$A,0)),""))</f>
        <v/>
      </c>
      <c r="V526">
        <f>IF($A526="","",IFERROR(INDEX('[AQ_2020.xlsx]原始数据'!$F:$F,MATCH($A526,'[AQ_2020.xlsx]原始数据'!$A:$A,0)),""))</f>
        <v/>
      </c>
      <c r="W526">
        <f>IF($A526="","",IFERROR(INDEX('[AQ_2021.xlsx]原始数据'!$F:$F,MATCH($A526,'[AQ_2021.xlsx]原始数据'!$A:$A,0)),""))</f>
        <v/>
      </c>
      <c r="X526">
        <f>IF($A526="","",IFERROR(INDEX('[AQ_2022.xlsx]原始数据'!$F:$F,MATCH($A526,'[AQ_2022.xlsx]原始数据'!$A:$A,0)),""))</f>
        <v/>
      </c>
      <c r="Y526">
        <f>IF($A526="","",IFERROR(INDEX('[AQ_2023.xlsx]原始数据'!$F:$F,MATCH($A526,'[AQ_2023.xlsx]原始数据'!$A:$A,0)),""))</f>
        <v/>
      </c>
      <c r="Z526">
        <f>IF($A526="","",IFERROR(INDEX('[AQ_2024.xlsx]原始数据'!$F:$F,MATCH($A526,'[AQ_2024.xlsx]原始数据'!$A:$A,0)),""))</f>
        <v/>
      </c>
      <c r="AA526" s="2">
        <f>IFERROR(G526/B526,"")</f>
        <v/>
      </c>
      <c r="AB526" s="2">
        <f>IFERROR(H526/C526,"")</f>
        <v/>
      </c>
      <c r="AC526" s="2">
        <f>IFERROR(I526/D526,"")</f>
        <v/>
      </c>
      <c r="AD526" s="2">
        <f>IFERROR(J526/E526,"")</f>
        <v/>
      </c>
      <c r="AE526" s="2">
        <f>IFERROR(K526/F526,"")</f>
        <v/>
      </c>
      <c r="AF526" s="2">
        <f>IFERROR(L526/B526,"")</f>
        <v/>
      </c>
      <c r="AG526" s="2">
        <f>IFERROR(M526/C526,"")</f>
        <v/>
      </c>
      <c r="AH526" s="2">
        <f>IFERROR(N526/D526,"")</f>
        <v/>
      </c>
      <c r="AI526" s="2">
        <f>IFERROR(O526/E526,"")</f>
        <v/>
      </c>
      <c r="AJ526" s="2">
        <f>IFERROR(P526/F526,"")</f>
        <v/>
      </c>
      <c r="AK526" s="2">
        <f>IFERROR(Q526/B526,"")</f>
        <v/>
      </c>
      <c r="AL526" s="2">
        <f>IFERROR(R526/C526,"")</f>
        <v/>
      </c>
      <c r="AM526" s="2">
        <f>IFERROR(S526/D526,"")</f>
        <v/>
      </c>
      <c r="AN526" s="2">
        <f>IFERROR(T526/E526,"")</f>
        <v/>
      </c>
      <c r="AO526" s="2">
        <f>IFERROR(U526/F526,"")</f>
        <v/>
      </c>
    </row>
    <row r="527">
      <c r="B527">
        <f>IF($A527="","",IFERROR(INDEX('[AQ_2020.xlsx]原始数据'!$B:$B,MATCH($A527,'[AQ_2020.xlsx]原始数据'!$A:$A,0)),""))</f>
        <v/>
      </c>
      <c r="C527">
        <f>IF($A527="","",IFERROR(INDEX('[AQ_2021.xlsx]原始数据'!$B:$B,MATCH($A527,'[AQ_2021.xlsx]原始数据'!$A:$A,0)),""))</f>
        <v/>
      </c>
      <c r="D527">
        <f>IF($A527="","",IFERROR(INDEX('[AQ_2022.xlsx]原始数据'!$B:$B,MATCH($A527,'[AQ_2022.xlsx]原始数据'!$A:$A,0)),""))</f>
        <v/>
      </c>
      <c r="E527">
        <f>IF($A527="","",IFERROR(INDEX('[AQ_2023.xlsx]原始数据'!$B:$B,MATCH($A527,'[AQ_2023.xlsx]原始数据'!$A:$A,0)),""))</f>
        <v/>
      </c>
      <c r="F527">
        <f>IF($A527="","",IFERROR(INDEX('[AQ_2024.xlsx]原始数据'!$B:$B,MATCH($A527,'[AQ_2024.xlsx]原始数据'!$A:$A,0)),""))</f>
        <v/>
      </c>
      <c r="G527">
        <f>IF($A527="","",IFERROR(INDEX('[AQ_2020.xlsx]原始数据'!$C:$C,MATCH($A527,'[AQ_2020.xlsx]原始数据'!$A:$A,0)),""))</f>
        <v/>
      </c>
      <c r="H527">
        <f>IF($A527="","",IFERROR(INDEX('[AQ_2021.xlsx]原始数据'!$C:$C,MATCH($A527,'[AQ_2021.xlsx]原始数据'!$A:$A,0)),""))</f>
        <v/>
      </c>
      <c r="I527">
        <f>IF($A527="","",IFERROR(INDEX('[AQ_2022.xlsx]原始数据'!$C:$C,MATCH($A527,'[AQ_2022.xlsx]原始数据'!$A:$A,0)),""))</f>
        <v/>
      </c>
      <c r="J527">
        <f>IF($A527="","",IFERROR(INDEX('[AQ_2023.xlsx]原始数据'!$C:$C,MATCH($A527,'[AQ_2023.xlsx]原始数据'!$A:$A,0)),""))</f>
        <v/>
      </c>
      <c r="K527">
        <f>IF($A527="","",IFERROR(INDEX('[AQ_2024.xlsx]原始数据'!$C:$C,MATCH($A527,'[AQ_2024.xlsx]原始数据'!$A:$A,0)),""))</f>
        <v/>
      </c>
      <c r="L527">
        <f>IF($A527="","",IFERROR(INDEX('[AQ_2020.xlsx]原始数据'!$D:$D,MATCH($A527,'[AQ_2020.xlsx]原始数据'!$A:$A,0)),""))</f>
        <v/>
      </c>
      <c r="M527">
        <f>IF($A527="","",IFERROR(INDEX('[AQ_2021.xlsx]原始数据'!$D:$D,MATCH($A527,'[AQ_2021.xlsx]原始数据'!$A:$A,0)),""))</f>
        <v/>
      </c>
      <c r="N527">
        <f>IF($A527="","",IFERROR(INDEX('[AQ_2022.xlsx]原始数据'!$D:$D,MATCH($A527,'[AQ_2022.xlsx]原始数据'!$A:$A,0)),""))</f>
        <v/>
      </c>
      <c r="O527">
        <f>IF($A527="","",IFERROR(INDEX('[AQ_2023.xlsx]原始数据'!$D:$D,MATCH($A527,'[AQ_2023.xlsx]原始数据'!$A:$A,0)),""))</f>
        <v/>
      </c>
      <c r="P527">
        <f>IF($A527="","",IFERROR(INDEX('[AQ_2024.xlsx]原始数据'!$D:$D,MATCH($A527,'[AQ_2024.xlsx]原始数据'!$A:$A,0)),""))</f>
        <v/>
      </c>
      <c r="Q527">
        <f>IF($A527="","",IFERROR(INDEX('[AQ_2020.xlsx]原始数据'!$E:$E,MATCH($A527,'[AQ_2020.xlsx]原始数据'!$A:$A,0)),""))</f>
        <v/>
      </c>
      <c r="R527">
        <f>IF($A527="","",IFERROR(INDEX('[AQ_2021.xlsx]原始数据'!$E:$E,MATCH($A527,'[AQ_2021.xlsx]原始数据'!$A:$A,0)),""))</f>
        <v/>
      </c>
      <c r="S527">
        <f>IF($A527="","",IFERROR(INDEX('[AQ_2022.xlsx]原始数据'!$E:$E,MATCH($A527,'[AQ_2022.xlsx]原始数据'!$A:$A,0)),""))</f>
        <v/>
      </c>
      <c r="T527">
        <f>IF($A527="","",IFERROR(INDEX('[AQ_2023.xlsx]原始数据'!$E:$E,MATCH($A527,'[AQ_2023.xlsx]原始数据'!$A:$A,0)),""))</f>
        <v/>
      </c>
      <c r="U527">
        <f>IF($A527="","",IFERROR(INDEX('[AQ_2024.xlsx]原始数据'!$E:$E,MATCH($A527,'[AQ_2024.xlsx]原始数据'!$A:$A,0)),""))</f>
        <v/>
      </c>
      <c r="V527">
        <f>IF($A527="","",IFERROR(INDEX('[AQ_2020.xlsx]原始数据'!$F:$F,MATCH($A527,'[AQ_2020.xlsx]原始数据'!$A:$A,0)),""))</f>
        <v/>
      </c>
      <c r="W527">
        <f>IF($A527="","",IFERROR(INDEX('[AQ_2021.xlsx]原始数据'!$F:$F,MATCH($A527,'[AQ_2021.xlsx]原始数据'!$A:$A,0)),""))</f>
        <v/>
      </c>
      <c r="X527">
        <f>IF($A527="","",IFERROR(INDEX('[AQ_2022.xlsx]原始数据'!$F:$F,MATCH($A527,'[AQ_2022.xlsx]原始数据'!$A:$A,0)),""))</f>
        <v/>
      </c>
      <c r="Y527">
        <f>IF($A527="","",IFERROR(INDEX('[AQ_2023.xlsx]原始数据'!$F:$F,MATCH($A527,'[AQ_2023.xlsx]原始数据'!$A:$A,0)),""))</f>
        <v/>
      </c>
      <c r="Z527">
        <f>IF($A527="","",IFERROR(INDEX('[AQ_2024.xlsx]原始数据'!$F:$F,MATCH($A527,'[AQ_2024.xlsx]原始数据'!$A:$A,0)),""))</f>
        <v/>
      </c>
      <c r="AA527" s="2">
        <f>IFERROR(G527/B527,"")</f>
        <v/>
      </c>
      <c r="AB527" s="2">
        <f>IFERROR(H527/C527,"")</f>
        <v/>
      </c>
      <c r="AC527" s="2">
        <f>IFERROR(I527/D527,"")</f>
        <v/>
      </c>
      <c r="AD527" s="2">
        <f>IFERROR(J527/E527,"")</f>
        <v/>
      </c>
      <c r="AE527" s="2">
        <f>IFERROR(K527/F527,"")</f>
        <v/>
      </c>
      <c r="AF527" s="2">
        <f>IFERROR(L527/B527,"")</f>
        <v/>
      </c>
      <c r="AG527" s="2">
        <f>IFERROR(M527/C527,"")</f>
        <v/>
      </c>
      <c r="AH527" s="2">
        <f>IFERROR(N527/D527,"")</f>
        <v/>
      </c>
      <c r="AI527" s="2">
        <f>IFERROR(O527/E527,"")</f>
        <v/>
      </c>
      <c r="AJ527" s="2">
        <f>IFERROR(P527/F527,"")</f>
        <v/>
      </c>
      <c r="AK527" s="2">
        <f>IFERROR(Q527/B527,"")</f>
        <v/>
      </c>
      <c r="AL527" s="2">
        <f>IFERROR(R527/C527,"")</f>
        <v/>
      </c>
      <c r="AM527" s="2">
        <f>IFERROR(S527/D527,"")</f>
        <v/>
      </c>
      <c r="AN527" s="2">
        <f>IFERROR(T527/E527,"")</f>
        <v/>
      </c>
      <c r="AO527" s="2">
        <f>IFERROR(U527/F527,"")</f>
        <v/>
      </c>
    </row>
    <row r="528">
      <c r="B528">
        <f>IF($A528="","",IFERROR(INDEX('[AQ_2020.xlsx]原始数据'!$B:$B,MATCH($A528,'[AQ_2020.xlsx]原始数据'!$A:$A,0)),""))</f>
        <v/>
      </c>
      <c r="C528">
        <f>IF($A528="","",IFERROR(INDEX('[AQ_2021.xlsx]原始数据'!$B:$B,MATCH($A528,'[AQ_2021.xlsx]原始数据'!$A:$A,0)),""))</f>
        <v/>
      </c>
      <c r="D528">
        <f>IF($A528="","",IFERROR(INDEX('[AQ_2022.xlsx]原始数据'!$B:$B,MATCH($A528,'[AQ_2022.xlsx]原始数据'!$A:$A,0)),""))</f>
        <v/>
      </c>
      <c r="E528">
        <f>IF($A528="","",IFERROR(INDEX('[AQ_2023.xlsx]原始数据'!$B:$B,MATCH($A528,'[AQ_2023.xlsx]原始数据'!$A:$A,0)),""))</f>
        <v/>
      </c>
      <c r="F528">
        <f>IF($A528="","",IFERROR(INDEX('[AQ_2024.xlsx]原始数据'!$B:$B,MATCH($A528,'[AQ_2024.xlsx]原始数据'!$A:$A,0)),""))</f>
        <v/>
      </c>
      <c r="G528">
        <f>IF($A528="","",IFERROR(INDEX('[AQ_2020.xlsx]原始数据'!$C:$C,MATCH($A528,'[AQ_2020.xlsx]原始数据'!$A:$A,0)),""))</f>
        <v/>
      </c>
      <c r="H528">
        <f>IF($A528="","",IFERROR(INDEX('[AQ_2021.xlsx]原始数据'!$C:$C,MATCH($A528,'[AQ_2021.xlsx]原始数据'!$A:$A,0)),""))</f>
        <v/>
      </c>
      <c r="I528">
        <f>IF($A528="","",IFERROR(INDEX('[AQ_2022.xlsx]原始数据'!$C:$C,MATCH($A528,'[AQ_2022.xlsx]原始数据'!$A:$A,0)),""))</f>
        <v/>
      </c>
      <c r="J528">
        <f>IF($A528="","",IFERROR(INDEX('[AQ_2023.xlsx]原始数据'!$C:$C,MATCH($A528,'[AQ_2023.xlsx]原始数据'!$A:$A,0)),""))</f>
        <v/>
      </c>
      <c r="K528">
        <f>IF($A528="","",IFERROR(INDEX('[AQ_2024.xlsx]原始数据'!$C:$C,MATCH($A528,'[AQ_2024.xlsx]原始数据'!$A:$A,0)),""))</f>
        <v/>
      </c>
      <c r="L528">
        <f>IF($A528="","",IFERROR(INDEX('[AQ_2020.xlsx]原始数据'!$D:$D,MATCH($A528,'[AQ_2020.xlsx]原始数据'!$A:$A,0)),""))</f>
        <v/>
      </c>
      <c r="M528">
        <f>IF($A528="","",IFERROR(INDEX('[AQ_2021.xlsx]原始数据'!$D:$D,MATCH($A528,'[AQ_2021.xlsx]原始数据'!$A:$A,0)),""))</f>
        <v/>
      </c>
      <c r="N528">
        <f>IF($A528="","",IFERROR(INDEX('[AQ_2022.xlsx]原始数据'!$D:$D,MATCH($A528,'[AQ_2022.xlsx]原始数据'!$A:$A,0)),""))</f>
        <v/>
      </c>
      <c r="O528">
        <f>IF($A528="","",IFERROR(INDEX('[AQ_2023.xlsx]原始数据'!$D:$D,MATCH($A528,'[AQ_2023.xlsx]原始数据'!$A:$A,0)),""))</f>
        <v/>
      </c>
      <c r="P528">
        <f>IF($A528="","",IFERROR(INDEX('[AQ_2024.xlsx]原始数据'!$D:$D,MATCH($A528,'[AQ_2024.xlsx]原始数据'!$A:$A,0)),""))</f>
        <v/>
      </c>
      <c r="Q528">
        <f>IF($A528="","",IFERROR(INDEX('[AQ_2020.xlsx]原始数据'!$E:$E,MATCH($A528,'[AQ_2020.xlsx]原始数据'!$A:$A,0)),""))</f>
        <v/>
      </c>
      <c r="R528">
        <f>IF($A528="","",IFERROR(INDEX('[AQ_2021.xlsx]原始数据'!$E:$E,MATCH($A528,'[AQ_2021.xlsx]原始数据'!$A:$A,0)),""))</f>
        <v/>
      </c>
      <c r="S528">
        <f>IF($A528="","",IFERROR(INDEX('[AQ_2022.xlsx]原始数据'!$E:$E,MATCH($A528,'[AQ_2022.xlsx]原始数据'!$A:$A,0)),""))</f>
        <v/>
      </c>
      <c r="T528">
        <f>IF($A528="","",IFERROR(INDEX('[AQ_2023.xlsx]原始数据'!$E:$E,MATCH($A528,'[AQ_2023.xlsx]原始数据'!$A:$A,0)),""))</f>
        <v/>
      </c>
      <c r="U528">
        <f>IF($A528="","",IFERROR(INDEX('[AQ_2024.xlsx]原始数据'!$E:$E,MATCH($A528,'[AQ_2024.xlsx]原始数据'!$A:$A,0)),""))</f>
        <v/>
      </c>
      <c r="V528">
        <f>IF($A528="","",IFERROR(INDEX('[AQ_2020.xlsx]原始数据'!$F:$F,MATCH($A528,'[AQ_2020.xlsx]原始数据'!$A:$A,0)),""))</f>
        <v/>
      </c>
      <c r="W528">
        <f>IF($A528="","",IFERROR(INDEX('[AQ_2021.xlsx]原始数据'!$F:$F,MATCH($A528,'[AQ_2021.xlsx]原始数据'!$A:$A,0)),""))</f>
        <v/>
      </c>
      <c r="X528">
        <f>IF($A528="","",IFERROR(INDEX('[AQ_2022.xlsx]原始数据'!$F:$F,MATCH($A528,'[AQ_2022.xlsx]原始数据'!$A:$A,0)),""))</f>
        <v/>
      </c>
      <c r="Y528">
        <f>IF($A528="","",IFERROR(INDEX('[AQ_2023.xlsx]原始数据'!$F:$F,MATCH($A528,'[AQ_2023.xlsx]原始数据'!$A:$A,0)),""))</f>
        <v/>
      </c>
      <c r="Z528">
        <f>IF($A528="","",IFERROR(INDEX('[AQ_2024.xlsx]原始数据'!$F:$F,MATCH($A528,'[AQ_2024.xlsx]原始数据'!$A:$A,0)),""))</f>
        <v/>
      </c>
      <c r="AA528" s="2">
        <f>IFERROR(G528/B528,"")</f>
        <v/>
      </c>
      <c r="AB528" s="2">
        <f>IFERROR(H528/C528,"")</f>
        <v/>
      </c>
      <c r="AC528" s="2">
        <f>IFERROR(I528/D528,"")</f>
        <v/>
      </c>
      <c r="AD528" s="2">
        <f>IFERROR(J528/E528,"")</f>
        <v/>
      </c>
      <c r="AE528" s="2">
        <f>IFERROR(K528/F528,"")</f>
        <v/>
      </c>
      <c r="AF528" s="2">
        <f>IFERROR(L528/B528,"")</f>
        <v/>
      </c>
      <c r="AG528" s="2">
        <f>IFERROR(M528/C528,"")</f>
        <v/>
      </c>
      <c r="AH528" s="2">
        <f>IFERROR(N528/D528,"")</f>
        <v/>
      </c>
      <c r="AI528" s="2">
        <f>IFERROR(O528/E528,"")</f>
        <v/>
      </c>
      <c r="AJ528" s="2">
        <f>IFERROR(P528/F528,"")</f>
        <v/>
      </c>
      <c r="AK528" s="2">
        <f>IFERROR(Q528/B528,"")</f>
        <v/>
      </c>
      <c r="AL528" s="2">
        <f>IFERROR(R528/C528,"")</f>
        <v/>
      </c>
      <c r="AM528" s="2">
        <f>IFERROR(S528/D528,"")</f>
        <v/>
      </c>
      <c r="AN528" s="2">
        <f>IFERROR(T528/E528,"")</f>
        <v/>
      </c>
      <c r="AO528" s="2">
        <f>IFERROR(U528/F528,"")</f>
        <v/>
      </c>
    </row>
    <row r="529">
      <c r="B529">
        <f>IF($A529="","",IFERROR(INDEX('[AQ_2020.xlsx]原始数据'!$B:$B,MATCH($A529,'[AQ_2020.xlsx]原始数据'!$A:$A,0)),""))</f>
        <v/>
      </c>
      <c r="C529">
        <f>IF($A529="","",IFERROR(INDEX('[AQ_2021.xlsx]原始数据'!$B:$B,MATCH($A529,'[AQ_2021.xlsx]原始数据'!$A:$A,0)),""))</f>
        <v/>
      </c>
      <c r="D529">
        <f>IF($A529="","",IFERROR(INDEX('[AQ_2022.xlsx]原始数据'!$B:$B,MATCH($A529,'[AQ_2022.xlsx]原始数据'!$A:$A,0)),""))</f>
        <v/>
      </c>
      <c r="E529">
        <f>IF($A529="","",IFERROR(INDEX('[AQ_2023.xlsx]原始数据'!$B:$B,MATCH($A529,'[AQ_2023.xlsx]原始数据'!$A:$A,0)),""))</f>
        <v/>
      </c>
      <c r="F529">
        <f>IF($A529="","",IFERROR(INDEX('[AQ_2024.xlsx]原始数据'!$B:$B,MATCH($A529,'[AQ_2024.xlsx]原始数据'!$A:$A,0)),""))</f>
        <v/>
      </c>
      <c r="G529">
        <f>IF($A529="","",IFERROR(INDEX('[AQ_2020.xlsx]原始数据'!$C:$C,MATCH($A529,'[AQ_2020.xlsx]原始数据'!$A:$A,0)),""))</f>
        <v/>
      </c>
      <c r="H529">
        <f>IF($A529="","",IFERROR(INDEX('[AQ_2021.xlsx]原始数据'!$C:$C,MATCH($A529,'[AQ_2021.xlsx]原始数据'!$A:$A,0)),""))</f>
        <v/>
      </c>
      <c r="I529">
        <f>IF($A529="","",IFERROR(INDEX('[AQ_2022.xlsx]原始数据'!$C:$C,MATCH($A529,'[AQ_2022.xlsx]原始数据'!$A:$A,0)),""))</f>
        <v/>
      </c>
      <c r="J529">
        <f>IF($A529="","",IFERROR(INDEX('[AQ_2023.xlsx]原始数据'!$C:$C,MATCH($A529,'[AQ_2023.xlsx]原始数据'!$A:$A,0)),""))</f>
        <v/>
      </c>
      <c r="K529">
        <f>IF($A529="","",IFERROR(INDEX('[AQ_2024.xlsx]原始数据'!$C:$C,MATCH($A529,'[AQ_2024.xlsx]原始数据'!$A:$A,0)),""))</f>
        <v/>
      </c>
      <c r="L529">
        <f>IF($A529="","",IFERROR(INDEX('[AQ_2020.xlsx]原始数据'!$D:$D,MATCH($A529,'[AQ_2020.xlsx]原始数据'!$A:$A,0)),""))</f>
        <v/>
      </c>
      <c r="M529">
        <f>IF($A529="","",IFERROR(INDEX('[AQ_2021.xlsx]原始数据'!$D:$D,MATCH($A529,'[AQ_2021.xlsx]原始数据'!$A:$A,0)),""))</f>
        <v/>
      </c>
      <c r="N529">
        <f>IF($A529="","",IFERROR(INDEX('[AQ_2022.xlsx]原始数据'!$D:$D,MATCH($A529,'[AQ_2022.xlsx]原始数据'!$A:$A,0)),""))</f>
        <v/>
      </c>
      <c r="O529">
        <f>IF($A529="","",IFERROR(INDEX('[AQ_2023.xlsx]原始数据'!$D:$D,MATCH($A529,'[AQ_2023.xlsx]原始数据'!$A:$A,0)),""))</f>
        <v/>
      </c>
      <c r="P529">
        <f>IF($A529="","",IFERROR(INDEX('[AQ_2024.xlsx]原始数据'!$D:$D,MATCH($A529,'[AQ_2024.xlsx]原始数据'!$A:$A,0)),""))</f>
        <v/>
      </c>
      <c r="Q529">
        <f>IF($A529="","",IFERROR(INDEX('[AQ_2020.xlsx]原始数据'!$E:$E,MATCH($A529,'[AQ_2020.xlsx]原始数据'!$A:$A,0)),""))</f>
        <v/>
      </c>
      <c r="R529">
        <f>IF($A529="","",IFERROR(INDEX('[AQ_2021.xlsx]原始数据'!$E:$E,MATCH($A529,'[AQ_2021.xlsx]原始数据'!$A:$A,0)),""))</f>
        <v/>
      </c>
      <c r="S529">
        <f>IF($A529="","",IFERROR(INDEX('[AQ_2022.xlsx]原始数据'!$E:$E,MATCH($A529,'[AQ_2022.xlsx]原始数据'!$A:$A,0)),""))</f>
        <v/>
      </c>
      <c r="T529">
        <f>IF($A529="","",IFERROR(INDEX('[AQ_2023.xlsx]原始数据'!$E:$E,MATCH($A529,'[AQ_2023.xlsx]原始数据'!$A:$A,0)),""))</f>
        <v/>
      </c>
      <c r="U529">
        <f>IF($A529="","",IFERROR(INDEX('[AQ_2024.xlsx]原始数据'!$E:$E,MATCH($A529,'[AQ_2024.xlsx]原始数据'!$A:$A,0)),""))</f>
        <v/>
      </c>
      <c r="V529">
        <f>IF($A529="","",IFERROR(INDEX('[AQ_2020.xlsx]原始数据'!$F:$F,MATCH($A529,'[AQ_2020.xlsx]原始数据'!$A:$A,0)),""))</f>
        <v/>
      </c>
      <c r="W529">
        <f>IF($A529="","",IFERROR(INDEX('[AQ_2021.xlsx]原始数据'!$F:$F,MATCH($A529,'[AQ_2021.xlsx]原始数据'!$A:$A,0)),""))</f>
        <v/>
      </c>
      <c r="X529">
        <f>IF($A529="","",IFERROR(INDEX('[AQ_2022.xlsx]原始数据'!$F:$F,MATCH($A529,'[AQ_2022.xlsx]原始数据'!$A:$A,0)),""))</f>
        <v/>
      </c>
      <c r="Y529">
        <f>IF($A529="","",IFERROR(INDEX('[AQ_2023.xlsx]原始数据'!$F:$F,MATCH($A529,'[AQ_2023.xlsx]原始数据'!$A:$A,0)),""))</f>
        <v/>
      </c>
      <c r="Z529">
        <f>IF($A529="","",IFERROR(INDEX('[AQ_2024.xlsx]原始数据'!$F:$F,MATCH($A529,'[AQ_2024.xlsx]原始数据'!$A:$A,0)),""))</f>
        <v/>
      </c>
      <c r="AA529" s="2">
        <f>IFERROR(G529/B529,"")</f>
        <v/>
      </c>
      <c r="AB529" s="2">
        <f>IFERROR(H529/C529,"")</f>
        <v/>
      </c>
      <c r="AC529" s="2">
        <f>IFERROR(I529/D529,"")</f>
        <v/>
      </c>
      <c r="AD529" s="2">
        <f>IFERROR(J529/E529,"")</f>
        <v/>
      </c>
      <c r="AE529" s="2">
        <f>IFERROR(K529/F529,"")</f>
        <v/>
      </c>
      <c r="AF529" s="2">
        <f>IFERROR(L529/B529,"")</f>
        <v/>
      </c>
      <c r="AG529" s="2">
        <f>IFERROR(M529/C529,"")</f>
        <v/>
      </c>
      <c r="AH529" s="2">
        <f>IFERROR(N529/D529,"")</f>
        <v/>
      </c>
      <c r="AI529" s="2">
        <f>IFERROR(O529/E529,"")</f>
        <v/>
      </c>
      <c r="AJ529" s="2">
        <f>IFERROR(P529/F529,"")</f>
        <v/>
      </c>
      <c r="AK529" s="2">
        <f>IFERROR(Q529/B529,"")</f>
        <v/>
      </c>
      <c r="AL529" s="2">
        <f>IFERROR(R529/C529,"")</f>
        <v/>
      </c>
      <c r="AM529" s="2">
        <f>IFERROR(S529/D529,"")</f>
        <v/>
      </c>
      <c r="AN529" s="2">
        <f>IFERROR(T529/E529,"")</f>
        <v/>
      </c>
      <c r="AO529" s="2">
        <f>IFERROR(U529/F529,"")</f>
        <v/>
      </c>
    </row>
    <row r="530">
      <c r="B530">
        <f>IF($A530="","",IFERROR(INDEX('[AQ_2020.xlsx]原始数据'!$B:$B,MATCH($A530,'[AQ_2020.xlsx]原始数据'!$A:$A,0)),""))</f>
        <v/>
      </c>
      <c r="C530">
        <f>IF($A530="","",IFERROR(INDEX('[AQ_2021.xlsx]原始数据'!$B:$B,MATCH($A530,'[AQ_2021.xlsx]原始数据'!$A:$A,0)),""))</f>
        <v/>
      </c>
      <c r="D530">
        <f>IF($A530="","",IFERROR(INDEX('[AQ_2022.xlsx]原始数据'!$B:$B,MATCH($A530,'[AQ_2022.xlsx]原始数据'!$A:$A,0)),""))</f>
        <v/>
      </c>
      <c r="E530">
        <f>IF($A530="","",IFERROR(INDEX('[AQ_2023.xlsx]原始数据'!$B:$B,MATCH($A530,'[AQ_2023.xlsx]原始数据'!$A:$A,0)),""))</f>
        <v/>
      </c>
      <c r="F530">
        <f>IF($A530="","",IFERROR(INDEX('[AQ_2024.xlsx]原始数据'!$B:$B,MATCH($A530,'[AQ_2024.xlsx]原始数据'!$A:$A,0)),""))</f>
        <v/>
      </c>
      <c r="G530">
        <f>IF($A530="","",IFERROR(INDEX('[AQ_2020.xlsx]原始数据'!$C:$C,MATCH($A530,'[AQ_2020.xlsx]原始数据'!$A:$A,0)),""))</f>
        <v/>
      </c>
      <c r="H530">
        <f>IF($A530="","",IFERROR(INDEX('[AQ_2021.xlsx]原始数据'!$C:$C,MATCH($A530,'[AQ_2021.xlsx]原始数据'!$A:$A,0)),""))</f>
        <v/>
      </c>
      <c r="I530">
        <f>IF($A530="","",IFERROR(INDEX('[AQ_2022.xlsx]原始数据'!$C:$C,MATCH($A530,'[AQ_2022.xlsx]原始数据'!$A:$A,0)),""))</f>
        <v/>
      </c>
      <c r="J530">
        <f>IF($A530="","",IFERROR(INDEX('[AQ_2023.xlsx]原始数据'!$C:$C,MATCH($A530,'[AQ_2023.xlsx]原始数据'!$A:$A,0)),""))</f>
        <v/>
      </c>
      <c r="K530">
        <f>IF($A530="","",IFERROR(INDEX('[AQ_2024.xlsx]原始数据'!$C:$C,MATCH($A530,'[AQ_2024.xlsx]原始数据'!$A:$A,0)),""))</f>
        <v/>
      </c>
      <c r="L530">
        <f>IF($A530="","",IFERROR(INDEX('[AQ_2020.xlsx]原始数据'!$D:$D,MATCH($A530,'[AQ_2020.xlsx]原始数据'!$A:$A,0)),""))</f>
        <v/>
      </c>
      <c r="M530">
        <f>IF($A530="","",IFERROR(INDEX('[AQ_2021.xlsx]原始数据'!$D:$D,MATCH($A530,'[AQ_2021.xlsx]原始数据'!$A:$A,0)),""))</f>
        <v/>
      </c>
      <c r="N530">
        <f>IF($A530="","",IFERROR(INDEX('[AQ_2022.xlsx]原始数据'!$D:$D,MATCH($A530,'[AQ_2022.xlsx]原始数据'!$A:$A,0)),""))</f>
        <v/>
      </c>
      <c r="O530">
        <f>IF($A530="","",IFERROR(INDEX('[AQ_2023.xlsx]原始数据'!$D:$D,MATCH($A530,'[AQ_2023.xlsx]原始数据'!$A:$A,0)),""))</f>
        <v/>
      </c>
      <c r="P530">
        <f>IF($A530="","",IFERROR(INDEX('[AQ_2024.xlsx]原始数据'!$D:$D,MATCH($A530,'[AQ_2024.xlsx]原始数据'!$A:$A,0)),""))</f>
        <v/>
      </c>
      <c r="Q530">
        <f>IF($A530="","",IFERROR(INDEX('[AQ_2020.xlsx]原始数据'!$E:$E,MATCH($A530,'[AQ_2020.xlsx]原始数据'!$A:$A,0)),""))</f>
        <v/>
      </c>
      <c r="R530">
        <f>IF($A530="","",IFERROR(INDEX('[AQ_2021.xlsx]原始数据'!$E:$E,MATCH($A530,'[AQ_2021.xlsx]原始数据'!$A:$A,0)),""))</f>
        <v/>
      </c>
      <c r="S530">
        <f>IF($A530="","",IFERROR(INDEX('[AQ_2022.xlsx]原始数据'!$E:$E,MATCH($A530,'[AQ_2022.xlsx]原始数据'!$A:$A,0)),""))</f>
        <v/>
      </c>
      <c r="T530">
        <f>IF($A530="","",IFERROR(INDEX('[AQ_2023.xlsx]原始数据'!$E:$E,MATCH($A530,'[AQ_2023.xlsx]原始数据'!$A:$A,0)),""))</f>
        <v/>
      </c>
      <c r="U530">
        <f>IF($A530="","",IFERROR(INDEX('[AQ_2024.xlsx]原始数据'!$E:$E,MATCH($A530,'[AQ_2024.xlsx]原始数据'!$A:$A,0)),""))</f>
        <v/>
      </c>
      <c r="V530">
        <f>IF($A530="","",IFERROR(INDEX('[AQ_2020.xlsx]原始数据'!$F:$F,MATCH($A530,'[AQ_2020.xlsx]原始数据'!$A:$A,0)),""))</f>
        <v/>
      </c>
      <c r="W530">
        <f>IF($A530="","",IFERROR(INDEX('[AQ_2021.xlsx]原始数据'!$F:$F,MATCH($A530,'[AQ_2021.xlsx]原始数据'!$A:$A,0)),""))</f>
        <v/>
      </c>
      <c r="X530">
        <f>IF($A530="","",IFERROR(INDEX('[AQ_2022.xlsx]原始数据'!$F:$F,MATCH($A530,'[AQ_2022.xlsx]原始数据'!$A:$A,0)),""))</f>
        <v/>
      </c>
      <c r="Y530">
        <f>IF($A530="","",IFERROR(INDEX('[AQ_2023.xlsx]原始数据'!$F:$F,MATCH($A530,'[AQ_2023.xlsx]原始数据'!$A:$A,0)),""))</f>
        <v/>
      </c>
      <c r="Z530">
        <f>IF($A530="","",IFERROR(INDEX('[AQ_2024.xlsx]原始数据'!$F:$F,MATCH($A530,'[AQ_2024.xlsx]原始数据'!$A:$A,0)),""))</f>
        <v/>
      </c>
      <c r="AA530" s="2">
        <f>IFERROR(G530/B530,"")</f>
        <v/>
      </c>
      <c r="AB530" s="2">
        <f>IFERROR(H530/C530,"")</f>
        <v/>
      </c>
      <c r="AC530" s="2">
        <f>IFERROR(I530/D530,"")</f>
        <v/>
      </c>
      <c r="AD530" s="2">
        <f>IFERROR(J530/E530,"")</f>
        <v/>
      </c>
      <c r="AE530" s="2">
        <f>IFERROR(K530/F530,"")</f>
        <v/>
      </c>
      <c r="AF530" s="2">
        <f>IFERROR(L530/B530,"")</f>
        <v/>
      </c>
      <c r="AG530" s="2">
        <f>IFERROR(M530/C530,"")</f>
        <v/>
      </c>
      <c r="AH530" s="2">
        <f>IFERROR(N530/D530,"")</f>
        <v/>
      </c>
      <c r="AI530" s="2">
        <f>IFERROR(O530/E530,"")</f>
        <v/>
      </c>
      <c r="AJ530" s="2">
        <f>IFERROR(P530/F530,"")</f>
        <v/>
      </c>
      <c r="AK530" s="2">
        <f>IFERROR(Q530/B530,"")</f>
        <v/>
      </c>
      <c r="AL530" s="2">
        <f>IFERROR(R530/C530,"")</f>
        <v/>
      </c>
      <c r="AM530" s="2">
        <f>IFERROR(S530/D530,"")</f>
        <v/>
      </c>
      <c r="AN530" s="2">
        <f>IFERROR(T530/E530,"")</f>
        <v/>
      </c>
      <c r="AO530" s="2">
        <f>IFERROR(U530/F530,"")</f>
        <v/>
      </c>
    </row>
    <row r="531">
      <c r="B531">
        <f>IF($A531="","",IFERROR(INDEX('[AQ_2020.xlsx]原始数据'!$B:$B,MATCH($A531,'[AQ_2020.xlsx]原始数据'!$A:$A,0)),""))</f>
        <v/>
      </c>
      <c r="C531">
        <f>IF($A531="","",IFERROR(INDEX('[AQ_2021.xlsx]原始数据'!$B:$B,MATCH($A531,'[AQ_2021.xlsx]原始数据'!$A:$A,0)),""))</f>
        <v/>
      </c>
      <c r="D531">
        <f>IF($A531="","",IFERROR(INDEX('[AQ_2022.xlsx]原始数据'!$B:$B,MATCH($A531,'[AQ_2022.xlsx]原始数据'!$A:$A,0)),""))</f>
        <v/>
      </c>
      <c r="E531">
        <f>IF($A531="","",IFERROR(INDEX('[AQ_2023.xlsx]原始数据'!$B:$B,MATCH($A531,'[AQ_2023.xlsx]原始数据'!$A:$A,0)),""))</f>
        <v/>
      </c>
      <c r="F531">
        <f>IF($A531="","",IFERROR(INDEX('[AQ_2024.xlsx]原始数据'!$B:$B,MATCH($A531,'[AQ_2024.xlsx]原始数据'!$A:$A,0)),""))</f>
        <v/>
      </c>
      <c r="G531">
        <f>IF($A531="","",IFERROR(INDEX('[AQ_2020.xlsx]原始数据'!$C:$C,MATCH($A531,'[AQ_2020.xlsx]原始数据'!$A:$A,0)),""))</f>
        <v/>
      </c>
      <c r="H531">
        <f>IF($A531="","",IFERROR(INDEX('[AQ_2021.xlsx]原始数据'!$C:$C,MATCH($A531,'[AQ_2021.xlsx]原始数据'!$A:$A,0)),""))</f>
        <v/>
      </c>
      <c r="I531">
        <f>IF($A531="","",IFERROR(INDEX('[AQ_2022.xlsx]原始数据'!$C:$C,MATCH($A531,'[AQ_2022.xlsx]原始数据'!$A:$A,0)),""))</f>
        <v/>
      </c>
      <c r="J531">
        <f>IF($A531="","",IFERROR(INDEX('[AQ_2023.xlsx]原始数据'!$C:$C,MATCH($A531,'[AQ_2023.xlsx]原始数据'!$A:$A,0)),""))</f>
        <v/>
      </c>
      <c r="K531">
        <f>IF($A531="","",IFERROR(INDEX('[AQ_2024.xlsx]原始数据'!$C:$C,MATCH($A531,'[AQ_2024.xlsx]原始数据'!$A:$A,0)),""))</f>
        <v/>
      </c>
      <c r="L531">
        <f>IF($A531="","",IFERROR(INDEX('[AQ_2020.xlsx]原始数据'!$D:$D,MATCH($A531,'[AQ_2020.xlsx]原始数据'!$A:$A,0)),""))</f>
        <v/>
      </c>
      <c r="M531">
        <f>IF($A531="","",IFERROR(INDEX('[AQ_2021.xlsx]原始数据'!$D:$D,MATCH($A531,'[AQ_2021.xlsx]原始数据'!$A:$A,0)),""))</f>
        <v/>
      </c>
      <c r="N531">
        <f>IF($A531="","",IFERROR(INDEX('[AQ_2022.xlsx]原始数据'!$D:$D,MATCH($A531,'[AQ_2022.xlsx]原始数据'!$A:$A,0)),""))</f>
        <v/>
      </c>
      <c r="O531">
        <f>IF($A531="","",IFERROR(INDEX('[AQ_2023.xlsx]原始数据'!$D:$D,MATCH($A531,'[AQ_2023.xlsx]原始数据'!$A:$A,0)),""))</f>
        <v/>
      </c>
      <c r="P531">
        <f>IF($A531="","",IFERROR(INDEX('[AQ_2024.xlsx]原始数据'!$D:$D,MATCH($A531,'[AQ_2024.xlsx]原始数据'!$A:$A,0)),""))</f>
        <v/>
      </c>
      <c r="Q531">
        <f>IF($A531="","",IFERROR(INDEX('[AQ_2020.xlsx]原始数据'!$E:$E,MATCH($A531,'[AQ_2020.xlsx]原始数据'!$A:$A,0)),""))</f>
        <v/>
      </c>
      <c r="R531">
        <f>IF($A531="","",IFERROR(INDEX('[AQ_2021.xlsx]原始数据'!$E:$E,MATCH($A531,'[AQ_2021.xlsx]原始数据'!$A:$A,0)),""))</f>
        <v/>
      </c>
      <c r="S531">
        <f>IF($A531="","",IFERROR(INDEX('[AQ_2022.xlsx]原始数据'!$E:$E,MATCH($A531,'[AQ_2022.xlsx]原始数据'!$A:$A,0)),""))</f>
        <v/>
      </c>
      <c r="T531">
        <f>IF($A531="","",IFERROR(INDEX('[AQ_2023.xlsx]原始数据'!$E:$E,MATCH($A531,'[AQ_2023.xlsx]原始数据'!$A:$A,0)),""))</f>
        <v/>
      </c>
      <c r="U531">
        <f>IF($A531="","",IFERROR(INDEX('[AQ_2024.xlsx]原始数据'!$E:$E,MATCH($A531,'[AQ_2024.xlsx]原始数据'!$A:$A,0)),""))</f>
        <v/>
      </c>
      <c r="V531">
        <f>IF($A531="","",IFERROR(INDEX('[AQ_2020.xlsx]原始数据'!$F:$F,MATCH($A531,'[AQ_2020.xlsx]原始数据'!$A:$A,0)),""))</f>
        <v/>
      </c>
      <c r="W531">
        <f>IF($A531="","",IFERROR(INDEX('[AQ_2021.xlsx]原始数据'!$F:$F,MATCH($A531,'[AQ_2021.xlsx]原始数据'!$A:$A,0)),""))</f>
        <v/>
      </c>
      <c r="X531">
        <f>IF($A531="","",IFERROR(INDEX('[AQ_2022.xlsx]原始数据'!$F:$F,MATCH($A531,'[AQ_2022.xlsx]原始数据'!$A:$A,0)),""))</f>
        <v/>
      </c>
      <c r="Y531">
        <f>IF($A531="","",IFERROR(INDEX('[AQ_2023.xlsx]原始数据'!$F:$F,MATCH($A531,'[AQ_2023.xlsx]原始数据'!$A:$A,0)),""))</f>
        <v/>
      </c>
      <c r="Z531">
        <f>IF($A531="","",IFERROR(INDEX('[AQ_2024.xlsx]原始数据'!$F:$F,MATCH($A531,'[AQ_2024.xlsx]原始数据'!$A:$A,0)),""))</f>
        <v/>
      </c>
      <c r="AA531" s="2">
        <f>IFERROR(G531/B531,"")</f>
        <v/>
      </c>
      <c r="AB531" s="2">
        <f>IFERROR(H531/C531,"")</f>
        <v/>
      </c>
      <c r="AC531" s="2">
        <f>IFERROR(I531/D531,"")</f>
        <v/>
      </c>
      <c r="AD531" s="2">
        <f>IFERROR(J531/E531,"")</f>
        <v/>
      </c>
      <c r="AE531" s="2">
        <f>IFERROR(K531/F531,"")</f>
        <v/>
      </c>
      <c r="AF531" s="2">
        <f>IFERROR(L531/B531,"")</f>
        <v/>
      </c>
      <c r="AG531" s="2">
        <f>IFERROR(M531/C531,"")</f>
        <v/>
      </c>
      <c r="AH531" s="2">
        <f>IFERROR(N531/D531,"")</f>
        <v/>
      </c>
      <c r="AI531" s="2">
        <f>IFERROR(O531/E531,"")</f>
        <v/>
      </c>
      <c r="AJ531" s="2">
        <f>IFERROR(P531/F531,"")</f>
        <v/>
      </c>
      <c r="AK531" s="2">
        <f>IFERROR(Q531/B531,"")</f>
        <v/>
      </c>
      <c r="AL531" s="2">
        <f>IFERROR(R531/C531,"")</f>
        <v/>
      </c>
      <c r="AM531" s="2">
        <f>IFERROR(S531/D531,"")</f>
        <v/>
      </c>
      <c r="AN531" s="2">
        <f>IFERROR(T531/E531,"")</f>
        <v/>
      </c>
      <c r="AO531" s="2">
        <f>IFERROR(U531/F531,"")</f>
        <v/>
      </c>
    </row>
    <row r="532">
      <c r="B532">
        <f>IF($A532="","",IFERROR(INDEX('[AQ_2020.xlsx]原始数据'!$B:$B,MATCH($A532,'[AQ_2020.xlsx]原始数据'!$A:$A,0)),""))</f>
        <v/>
      </c>
      <c r="C532">
        <f>IF($A532="","",IFERROR(INDEX('[AQ_2021.xlsx]原始数据'!$B:$B,MATCH($A532,'[AQ_2021.xlsx]原始数据'!$A:$A,0)),""))</f>
        <v/>
      </c>
      <c r="D532">
        <f>IF($A532="","",IFERROR(INDEX('[AQ_2022.xlsx]原始数据'!$B:$B,MATCH($A532,'[AQ_2022.xlsx]原始数据'!$A:$A,0)),""))</f>
        <v/>
      </c>
      <c r="E532">
        <f>IF($A532="","",IFERROR(INDEX('[AQ_2023.xlsx]原始数据'!$B:$B,MATCH($A532,'[AQ_2023.xlsx]原始数据'!$A:$A,0)),""))</f>
        <v/>
      </c>
      <c r="F532">
        <f>IF($A532="","",IFERROR(INDEX('[AQ_2024.xlsx]原始数据'!$B:$B,MATCH($A532,'[AQ_2024.xlsx]原始数据'!$A:$A,0)),""))</f>
        <v/>
      </c>
      <c r="G532">
        <f>IF($A532="","",IFERROR(INDEX('[AQ_2020.xlsx]原始数据'!$C:$C,MATCH($A532,'[AQ_2020.xlsx]原始数据'!$A:$A,0)),""))</f>
        <v/>
      </c>
      <c r="H532">
        <f>IF($A532="","",IFERROR(INDEX('[AQ_2021.xlsx]原始数据'!$C:$C,MATCH($A532,'[AQ_2021.xlsx]原始数据'!$A:$A,0)),""))</f>
        <v/>
      </c>
      <c r="I532">
        <f>IF($A532="","",IFERROR(INDEX('[AQ_2022.xlsx]原始数据'!$C:$C,MATCH($A532,'[AQ_2022.xlsx]原始数据'!$A:$A,0)),""))</f>
        <v/>
      </c>
      <c r="J532">
        <f>IF($A532="","",IFERROR(INDEX('[AQ_2023.xlsx]原始数据'!$C:$C,MATCH($A532,'[AQ_2023.xlsx]原始数据'!$A:$A,0)),""))</f>
        <v/>
      </c>
      <c r="K532">
        <f>IF($A532="","",IFERROR(INDEX('[AQ_2024.xlsx]原始数据'!$C:$C,MATCH($A532,'[AQ_2024.xlsx]原始数据'!$A:$A,0)),""))</f>
        <v/>
      </c>
      <c r="L532">
        <f>IF($A532="","",IFERROR(INDEX('[AQ_2020.xlsx]原始数据'!$D:$D,MATCH($A532,'[AQ_2020.xlsx]原始数据'!$A:$A,0)),""))</f>
        <v/>
      </c>
      <c r="M532">
        <f>IF($A532="","",IFERROR(INDEX('[AQ_2021.xlsx]原始数据'!$D:$D,MATCH($A532,'[AQ_2021.xlsx]原始数据'!$A:$A,0)),""))</f>
        <v/>
      </c>
      <c r="N532">
        <f>IF($A532="","",IFERROR(INDEX('[AQ_2022.xlsx]原始数据'!$D:$D,MATCH($A532,'[AQ_2022.xlsx]原始数据'!$A:$A,0)),""))</f>
        <v/>
      </c>
      <c r="O532">
        <f>IF($A532="","",IFERROR(INDEX('[AQ_2023.xlsx]原始数据'!$D:$D,MATCH($A532,'[AQ_2023.xlsx]原始数据'!$A:$A,0)),""))</f>
        <v/>
      </c>
      <c r="P532">
        <f>IF($A532="","",IFERROR(INDEX('[AQ_2024.xlsx]原始数据'!$D:$D,MATCH($A532,'[AQ_2024.xlsx]原始数据'!$A:$A,0)),""))</f>
        <v/>
      </c>
      <c r="Q532">
        <f>IF($A532="","",IFERROR(INDEX('[AQ_2020.xlsx]原始数据'!$E:$E,MATCH($A532,'[AQ_2020.xlsx]原始数据'!$A:$A,0)),""))</f>
        <v/>
      </c>
      <c r="R532">
        <f>IF($A532="","",IFERROR(INDEX('[AQ_2021.xlsx]原始数据'!$E:$E,MATCH($A532,'[AQ_2021.xlsx]原始数据'!$A:$A,0)),""))</f>
        <v/>
      </c>
      <c r="S532">
        <f>IF($A532="","",IFERROR(INDEX('[AQ_2022.xlsx]原始数据'!$E:$E,MATCH($A532,'[AQ_2022.xlsx]原始数据'!$A:$A,0)),""))</f>
        <v/>
      </c>
      <c r="T532">
        <f>IF($A532="","",IFERROR(INDEX('[AQ_2023.xlsx]原始数据'!$E:$E,MATCH($A532,'[AQ_2023.xlsx]原始数据'!$A:$A,0)),""))</f>
        <v/>
      </c>
      <c r="U532">
        <f>IF($A532="","",IFERROR(INDEX('[AQ_2024.xlsx]原始数据'!$E:$E,MATCH($A532,'[AQ_2024.xlsx]原始数据'!$A:$A,0)),""))</f>
        <v/>
      </c>
      <c r="V532">
        <f>IF($A532="","",IFERROR(INDEX('[AQ_2020.xlsx]原始数据'!$F:$F,MATCH($A532,'[AQ_2020.xlsx]原始数据'!$A:$A,0)),""))</f>
        <v/>
      </c>
      <c r="W532">
        <f>IF($A532="","",IFERROR(INDEX('[AQ_2021.xlsx]原始数据'!$F:$F,MATCH($A532,'[AQ_2021.xlsx]原始数据'!$A:$A,0)),""))</f>
        <v/>
      </c>
      <c r="X532">
        <f>IF($A532="","",IFERROR(INDEX('[AQ_2022.xlsx]原始数据'!$F:$F,MATCH($A532,'[AQ_2022.xlsx]原始数据'!$A:$A,0)),""))</f>
        <v/>
      </c>
      <c r="Y532">
        <f>IF($A532="","",IFERROR(INDEX('[AQ_2023.xlsx]原始数据'!$F:$F,MATCH($A532,'[AQ_2023.xlsx]原始数据'!$A:$A,0)),""))</f>
        <v/>
      </c>
      <c r="Z532">
        <f>IF($A532="","",IFERROR(INDEX('[AQ_2024.xlsx]原始数据'!$F:$F,MATCH($A532,'[AQ_2024.xlsx]原始数据'!$A:$A,0)),""))</f>
        <v/>
      </c>
      <c r="AA532" s="2">
        <f>IFERROR(G532/B532,"")</f>
        <v/>
      </c>
      <c r="AB532" s="2">
        <f>IFERROR(H532/C532,"")</f>
        <v/>
      </c>
      <c r="AC532" s="2">
        <f>IFERROR(I532/D532,"")</f>
        <v/>
      </c>
      <c r="AD532" s="2">
        <f>IFERROR(J532/E532,"")</f>
        <v/>
      </c>
      <c r="AE532" s="2">
        <f>IFERROR(K532/F532,"")</f>
        <v/>
      </c>
      <c r="AF532" s="2">
        <f>IFERROR(L532/B532,"")</f>
        <v/>
      </c>
      <c r="AG532" s="2">
        <f>IFERROR(M532/C532,"")</f>
        <v/>
      </c>
      <c r="AH532" s="2">
        <f>IFERROR(N532/D532,"")</f>
        <v/>
      </c>
      <c r="AI532" s="2">
        <f>IFERROR(O532/E532,"")</f>
        <v/>
      </c>
      <c r="AJ532" s="2">
        <f>IFERROR(P532/F532,"")</f>
        <v/>
      </c>
      <c r="AK532" s="2">
        <f>IFERROR(Q532/B532,"")</f>
        <v/>
      </c>
      <c r="AL532" s="2">
        <f>IFERROR(R532/C532,"")</f>
        <v/>
      </c>
      <c r="AM532" s="2">
        <f>IFERROR(S532/D532,"")</f>
        <v/>
      </c>
      <c r="AN532" s="2">
        <f>IFERROR(T532/E532,"")</f>
        <v/>
      </c>
      <c r="AO532" s="2">
        <f>IFERROR(U532/F532,"")</f>
        <v/>
      </c>
    </row>
    <row r="533">
      <c r="B533">
        <f>IF($A533="","",IFERROR(INDEX('[AQ_2020.xlsx]原始数据'!$B:$B,MATCH($A533,'[AQ_2020.xlsx]原始数据'!$A:$A,0)),""))</f>
        <v/>
      </c>
      <c r="C533">
        <f>IF($A533="","",IFERROR(INDEX('[AQ_2021.xlsx]原始数据'!$B:$B,MATCH($A533,'[AQ_2021.xlsx]原始数据'!$A:$A,0)),""))</f>
        <v/>
      </c>
      <c r="D533">
        <f>IF($A533="","",IFERROR(INDEX('[AQ_2022.xlsx]原始数据'!$B:$B,MATCH($A533,'[AQ_2022.xlsx]原始数据'!$A:$A,0)),""))</f>
        <v/>
      </c>
      <c r="E533">
        <f>IF($A533="","",IFERROR(INDEX('[AQ_2023.xlsx]原始数据'!$B:$B,MATCH($A533,'[AQ_2023.xlsx]原始数据'!$A:$A,0)),""))</f>
        <v/>
      </c>
      <c r="F533">
        <f>IF($A533="","",IFERROR(INDEX('[AQ_2024.xlsx]原始数据'!$B:$B,MATCH($A533,'[AQ_2024.xlsx]原始数据'!$A:$A,0)),""))</f>
        <v/>
      </c>
      <c r="G533">
        <f>IF($A533="","",IFERROR(INDEX('[AQ_2020.xlsx]原始数据'!$C:$C,MATCH($A533,'[AQ_2020.xlsx]原始数据'!$A:$A,0)),""))</f>
        <v/>
      </c>
      <c r="H533">
        <f>IF($A533="","",IFERROR(INDEX('[AQ_2021.xlsx]原始数据'!$C:$C,MATCH($A533,'[AQ_2021.xlsx]原始数据'!$A:$A,0)),""))</f>
        <v/>
      </c>
      <c r="I533">
        <f>IF($A533="","",IFERROR(INDEX('[AQ_2022.xlsx]原始数据'!$C:$C,MATCH($A533,'[AQ_2022.xlsx]原始数据'!$A:$A,0)),""))</f>
        <v/>
      </c>
      <c r="J533">
        <f>IF($A533="","",IFERROR(INDEX('[AQ_2023.xlsx]原始数据'!$C:$C,MATCH($A533,'[AQ_2023.xlsx]原始数据'!$A:$A,0)),""))</f>
        <v/>
      </c>
      <c r="K533">
        <f>IF($A533="","",IFERROR(INDEX('[AQ_2024.xlsx]原始数据'!$C:$C,MATCH($A533,'[AQ_2024.xlsx]原始数据'!$A:$A,0)),""))</f>
        <v/>
      </c>
      <c r="L533">
        <f>IF($A533="","",IFERROR(INDEX('[AQ_2020.xlsx]原始数据'!$D:$D,MATCH($A533,'[AQ_2020.xlsx]原始数据'!$A:$A,0)),""))</f>
        <v/>
      </c>
      <c r="M533">
        <f>IF($A533="","",IFERROR(INDEX('[AQ_2021.xlsx]原始数据'!$D:$D,MATCH($A533,'[AQ_2021.xlsx]原始数据'!$A:$A,0)),""))</f>
        <v/>
      </c>
      <c r="N533">
        <f>IF($A533="","",IFERROR(INDEX('[AQ_2022.xlsx]原始数据'!$D:$D,MATCH($A533,'[AQ_2022.xlsx]原始数据'!$A:$A,0)),""))</f>
        <v/>
      </c>
      <c r="O533">
        <f>IF($A533="","",IFERROR(INDEX('[AQ_2023.xlsx]原始数据'!$D:$D,MATCH($A533,'[AQ_2023.xlsx]原始数据'!$A:$A,0)),""))</f>
        <v/>
      </c>
      <c r="P533">
        <f>IF($A533="","",IFERROR(INDEX('[AQ_2024.xlsx]原始数据'!$D:$D,MATCH($A533,'[AQ_2024.xlsx]原始数据'!$A:$A,0)),""))</f>
        <v/>
      </c>
      <c r="Q533">
        <f>IF($A533="","",IFERROR(INDEX('[AQ_2020.xlsx]原始数据'!$E:$E,MATCH($A533,'[AQ_2020.xlsx]原始数据'!$A:$A,0)),""))</f>
        <v/>
      </c>
      <c r="R533">
        <f>IF($A533="","",IFERROR(INDEX('[AQ_2021.xlsx]原始数据'!$E:$E,MATCH($A533,'[AQ_2021.xlsx]原始数据'!$A:$A,0)),""))</f>
        <v/>
      </c>
      <c r="S533">
        <f>IF($A533="","",IFERROR(INDEX('[AQ_2022.xlsx]原始数据'!$E:$E,MATCH($A533,'[AQ_2022.xlsx]原始数据'!$A:$A,0)),""))</f>
        <v/>
      </c>
      <c r="T533">
        <f>IF($A533="","",IFERROR(INDEX('[AQ_2023.xlsx]原始数据'!$E:$E,MATCH($A533,'[AQ_2023.xlsx]原始数据'!$A:$A,0)),""))</f>
        <v/>
      </c>
      <c r="U533">
        <f>IF($A533="","",IFERROR(INDEX('[AQ_2024.xlsx]原始数据'!$E:$E,MATCH($A533,'[AQ_2024.xlsx]原始数据'!$A:$A,0)),""))</f>
        <v/>
      </c>
      <c r="V533">
        <f>IF($A533="","",IFERROR(INDEX('[AQ_2020.xlsx]原始数据'!$F:$F,MATCH($A533,'[AQ_2020.xlsx]原始数据'!$A:$A,0)),""))</f>
        <v/>
      </c>
      <c r="W533">
        <f>IF($A533="","",IFERROR(INDEX('[AQ_2021.xlsx]原始数据'!$F:$F,MATCH($A533,'[AQ_2021.xlsx]原始数据'!$A:$A,0)),""))</f>
        <v/>
      </c>
      <c r="X533">
        <f>IF($A533="","",IFERROR(INDEX('[AQ_2022.xlsx]原始数据'!$F:$F,MATCH($A533,'[AQ_2022.xlsx]原始数据'!$A:$A,0)),""))</f>
        <v/>
      </c>
      <c r="Y533">
        <f>IF($A533="","",IFERROR(INDEX('[AQ_2023.xlsx]原始数据'!$F:$F,MATCH($A533,'[AQ_2023.xlsx]原始数据'!$A:$A,0)),""))</f>
        <v/>
      </c>
      <c r="Z533">
        <f>IF($A533="","",IFERROR(INDEX('[AQ_2024.xlsx]原始数据'!$F:$F,MATCH($A533,'[AQ_2024.xlsx]原始数据'!$A:$A,0)),""))</f>
        <v/>
      </c>
      <c r="AA533" s="2">
        <f>IFERROR(G533/B533,"")</f>
        <v/>
      </c>
      <c r="AB533" s="2">
        <f>IFERROR(H533/C533,"")</f>
        <v/>
      </c>
      <c r="AC533" s="2">
        <f>IFERROR(I533/D533,"")</f>
        <v/>
      </c>
      <c r="AD533" s="2">
        <f>IFERROR(J533/E533,"")</f>
        <v/>
      </c>
      <c r="AE533" s="2">
        <f>IFERROR(K533/F533,"")</f>
        <v/>
      </c>
      <c r="AF533" s="2">
        <f>IFERROR(L533/B533,"")</f>
        <v/>
      </c>
      <c r="AG533" s="2">
        <f>IFERROR(M533/C533,"")</f>
        <v/>
      </c>
      <c r="AH533" s="2">
        <f>IFERROR(N533/D533,"")</f>
        <v/>
      </c>
      <c r="AI533" s="2">
        <f>IFERROR(O533/E533,"")</f>
        <v/>
      </c>
      <c r="AJ533" s="2">
        <f>IFERROR(P533/F533,"")</f>
        <v/>
      </c>
      <c r="AK533" s="2">
        <f>IFERROR(Q533/B533,"")</f>
        <v/>
      </c>
      <c r="AL533" s="2">
        <f>IFERROR(R533/C533,"")</f>
        <v/>
      </c>
      <c r="AM533" s="2">
        <f>IFERROR(S533/D533,"")</f>
        <v/>
      </c>
      <c r="AN533" s="2">
        <f>IFERROR(T533/E533,"")</f>
        <v/>
      </c>
      <c r="AO533" s="2">
        <f>IFERROR(U533/F533,"")</f>
        <v/>
      </c>
    </row>
    <row r="534">
      <c r="B534">
        <f>IF($A534="","",IFERROR(INDEX('[AQ_2020.xlsx]原始数据'!$B:$B,MATCH($A534,'[AQ_2020.xlsx]原始数据'!$A:$A,0)),""))</f>
        <v/>
      </c>
      <c r="C534">
        <f>IF($A534="","",IFERROR(INDEX('[AQ_2021.xlsx]原始数据'!$B:$B,MATCH($A534,'[AQ_2021.xlsx]原始数据'!$A:$A,0)),""))</f>
        <v/>
      </c>
      <c r="D534">
        <f>IF($A534="","",IFERROR(INDEX('[AQ_2022.xlsx]原始数据'!$B:$B,MATCH($A534,'[AQ_2022.xlsx]原始数据'!$A:$A,0)),""))</f>
        <v/>
      </c>
      <c r="E534">
        <f>IF($A534="","",IFERROR(INDEX('[AQ_2023.xlsx]原始数据'!$B:$B,MATCH($A534,'[AQ_2023.xlsx]原始数据'!$A:$A,0)),""))</f>
        <v/>
      </c>
      <c r="F534">
        <f>IF($A534="","",IFERROR(INDEX('[AQ_2024.xlsx]原始数据'!$B:$B,MATCH($A534,'[AQ_2024.xlsx]原始数据'!$A:$A,0)),""))</f>
        <v/>
      </c>
      <c r="G534">
        <f>IF($A534="","",IFERROR(INDEX('[AQ_2020.xlsx]原始数据'!$C:$C,MATCH($A534,'[AQ_2020.xlsx]原始数据'!$A:$A,0)),""))</f>
        <v/>
      </c>
      <c r="H534">
        <f>IF($A534="","",IFERROR(INDEX('[AQ_2021.xlsx]原始数据'!$C:$C,MATCH($A534,'[AQ_2021.xlsx]原始数据'!$A:$A,0)),""))</f>
        <v/>
      </c>
      <c r="I534">
        <f>IF($A534="","",IFERROR(INDEX('[AQ_2022.xlsx]原始数据'!$C:$C,MATCH($A534,'[AQ_2022.xlsx]原始数据'!$A:$A,0)),""))</f>
        <v/>
      </c>
      <c r="J534">
        <f>IF($A534="","",IFERROR(INDEX('[AQ_2023.xlsx]原始数据'!$C:$C,MATCH($A534,'[AQ_2023.xlsx]原始数据'!$A:$A,0)),""))</f>
        <v/>
      </c>
      <c r="K534">
        <f>IF($A534="","",IFERROR(INDEX('[AQ_2024.xlsx]原始数据'!$C:$C,MATCH($A534,'[AQ_2024.xlsx]原始数据'!$A:$A,0)),""))</f>
        <v/>
      </c>
      <c r="L534">
        <f>IF($A534="","",IFERROR(INDEX('[AQ_2020.xlsx]原始数据'!$D:$D,MATCH($A534,'[AQ_2020.xlsx]原始数据'!$A:$A,0)),""))</f>
        <v/>
      </c>
      <c r="M534">
        <f>IF($A534="","",IFERROR(INDEX('[AQ_2021.xlsx]原始数据'!$D:$D,MATCH($A534,'[AQ_2021.xlsx]原始数据'!$A:$A,0)),""))</f>
        <v/>
      </c>
      <c r="N534">
        <f>IF($A534="","",IFERROR(INDEX('[AQ_2022.xlsx]原始数据'!$D:$D,MATCH($A534,'[AQ_2022.xlsx]原始数据'!$A:$A,0)),""))</f>
        <v/>
      </c>
      <c r="O534">
        <f>IF($A534="","",IFERROR(INDEX('[AQ_2023.xlsx]原始数据'!$D:$D,MATCH($A534,'[AQ_2023.xlsx]原始数据'!$A:$A,0)),""))</f>
        <v/>
      </c>
      <c r="P534">
        <f>IF($A534="","",IFERROR(INDEX('[AQ_2024.xlsx]原始数据'!$D:$D,MATCH($A534,'[AQ_2024.xlsx]原始数据'!$A:$A,0)),""))</f>
        <v/>
      </c>
      <c r="Q534">
        <f>IF($A534="","",IFERROR(INDEX('[AQ_2020.xlsx]原始数据'!$E:$E,MATCH($A534,'[AQ_2020.xlsx]原始数据'!$A:$A,0)),""))</f>
        <v/>
      </c>
      <c r="R534">
        <f>IF($A534="","",IFERROR(INDEX('[AQ_2021.xlsx]原始数据'!$E:$E,MATCH($A534,'[AQ_2021.xlsx]原始数据'!$A:$A,0)),""))</f>
        <v/>
      </c>
      <c r="S534">
        <f>IF($A534="","",IFERROR(INDEX('[AQ_2022.xlsx]原始数据'!$E:$E,MATCH($A534,'[AQ_2022.xlsx]原始数据'!$A:$A,0)),""))</f>
        <v/>
      </c>
      <c r="T534">
        <f>IF($A534="","",IFERROR(INDEX('[AQ_2023.xlsx]原始数据'!$E:$E,MATCH($A534,'[AQ_2023.xlsx]原始数据'!$A:$A,0)),""))</f>
        <v/>
      </c>
      <c r="U534">
        <f>IF($A534="","",IFERROR(INDEX('[AQ_2024.xlsx]原始数据'!$E:$E,MATCH($A534,'[AQ_2024.xlsx]原始数据'!$A:$A,0)),""))</f>
        <v/>
      </c>
      <c r="V534">
        <f>IF($A534="","",IFERROR(INDEX('[AQ_2020.xlsx]原始数据'!$F:$F,MATCH($A534,'[AQ_2020.xlsx]原始数据'!$A:$A,0)),""))</f>
        <v/>
      </c>
      <c r="W534">
        <f>IF($A534="","",IFERROR(INDEX('[AQ_2021.xlsx]原始数据'!$F:$F,MATCH($A534,'[AQ_2021.xlsx]原始数据'!$A:$A,0)),""))</f>
        <v/>
      </c>
      <c r="X534">
        <f>IF($A534="","",IFERROR(INDEX('[AQ_2022.xlsx]原始数据'!$F:$F,MATCH($A534,'[AQ_2022.xlsx]原始数据'!$A:$A,0)),""))</f>
        <v/>
      </c>
      <c r="Y534">
        <f>IF($A534="","",IFERROR(INDEX('[AQ_2023.xlsx]原始数据'!$F:$F,MATCH($A534,'[AQ_2023.xlsx]原始数据'!$A:$A,0)),""))</f>
        <v/>
      </c>
      <c r="Z534">
        <f>IF($A534="","",IFERROR(INDEX('[AQ_2024.xlsx]原始数据'!$F:$F,MATCH($A534,'[AQ_2024.xlsx]原始数据'!$A:$A,0)),""))</f>
        <v/>
      </c>
      <c r="AA534" s="2">
        <f>IFERROR(G534/B534,"")</f>
        <v/>
      </c>
      <c r="AB534" s="2">
        <f>IFERROR(H534/C534,"")</f>
        <v/>
      </c>
      <c r="AC534" s="2">
        <f>IFERROR(I534/D534,"")</f>
        <v/>
      </c>
      <c r="AD534" s="2">
        <f>IFERROR(J534/E534,"")</f>
        <v/>
      </c>
      <c r="AE534" s="2">
        <f>IFERROR(K534/F534,"")</f>
        <v/>
      </c>
      <c r="AF534" s="2">
        <f>IFERROR(L534/B534,"")</f>
        <v/>
      </c>
      <c r="AG534" s="2">
        <f>IFERROR(M534/C534,"")</f>
        <v/>
      </c>
      <c r="AH534" s="2">
        <f>IFERROR(N534/D534,"")</f>
        <v/>
      </c>
      <c r="AI534" s="2">
        <f>IFERROR(O534/E534,"")</f>
        <v/>
      </c>
      <c r="AJ534" s="2">
        <f>IFERROR(P534/F534,"")</f>
        <v/>
      </c>
      <c r="AK534" s="2">
        <f>IFERROR(Q534/B534,"")</f>
        <v/>
      </c>
      <c r="AL534" s="2">
        <f>IFERROR(R534/C534,"")</f>
        <v/>
      </c>
      <c r="AM534" s="2">
        <f>IFERROR(S534/D534,"")</f>
        <v/>
      </c>
      <c r="AN534" s="2">
        <f>IFERROR(T534/E534,"")</f>
        <v/>
      </c>
      <c r="AO534" s="2">
        <f>IFERROR(U534/F534,"")</f>
        <v/>
      </c>
    </row>
    <row r="535">
      <c r="B535">
        <f>IF($A535="","",IFERROR(INDEX('[AQ_2020.xlsx]原始数据'!$B:$B,MATCH($A535,'[AQ_2020.xlsx]原始数据'!$A:$A,0)),""))</f>
        <v/>
      </c>
      <c r="C535">
        <f>IF($A535="","",IFERROR(INDEX('[AQ_2021.xlsx]原始数据'!$B:$B,MATCH($A535,'[AQ_2021.xlsx]原始数据'!$A:$A,0)),""))</f>
        <v/>
      </c>
      <c r="D535">
        <f>IF($A535="","",IFERROR(INDEX('[AQ_2022.xlsx]原始数据'!$B:$B,MATCH($A535,'[AQ_2022.xlsx]原始数据'!$A:$A,0)),""))</f>
        <v/>
      </c>
      <c r="E535">
        <f>IF($A535="","",IFERROR(INDEX('[AQ_2023.xlsx]原始数据'!$B:$B,MATCH($A535,'[AQ_2023.xlsx]原始数据'!$A:$A,0)),""))</f>
        <v/>
      </c>
      <c r="F535">
        <f>IF($A535="","",IFERROR(INDEX('[AQ_2024.xlsx]原始数据'!$B:$B,MATCH($A535,'[AQ_2024.xlsx]原始数据'!$A:$A,0)),""))</f>
        <v/>
      </c>
      <c r="G535">
        <f>IF($A535="","",IFERROR(INDEX('[AQ_2020.xlsx]原始数据'!$C:$C,MATCH($A535,'[AQ_2020.xlsx]原始数据'!$A:$A,0)),""))</f>
        <v/>
      </c>
      <c r="H535">
        <f>IF($A535="","",IFERROR(INDEX('[AQ_2021.xlsx]原始数据'!$C:$C,MATCH($A535,'[AQ_2021.xlsx]原始数据'!$A:$A,0)),""))</f>
        <v/>
      </c>
      <c r="I535">
        <f>IF($A535="","",IFERROR(INDEX('[AQ_2022.xlsx]原始数据'!$C:$C,MATCH($A535,'[AQ_2022.xlsx]原始数据'!$A:$A,0)),""))</f>
        <v/>
      </c>
      <c r="J535">
        <f>IF($A535="","",IFERROR(INDEX('[AQ_2023.xlsx]原始数据'!$C:$C,MATCH($A535,'[AQ_2023.xlsx]原始数据'!$A:$A,0)),""))</f>
        <v/>
      </c>
      <c r="K535">
        <f>IF($A535="","",IFERROR(INDEX('[AQ_2024.xlsx]原始数据'!$C:$C,MATCH($A535,'[AQ_2024.xlsx]原始数据'!$A:$A,0)),""))</f>
        <v/>
      </c>
      <c r="L535">
        <f>IF($A535="","",IFERROR(INDEX('[AQ_2020.xlsx]原始数据'!$D:$D,MATCH($A535,'[AQ_2020.xlsx]原始数据'!$A:$A,0)),""))</f>
        <v/>
      </c>
      <c r="M535">
        <f>IF($A535="","",IFERROR(INDEX('[AQ_2021.xlsx]原始数据'!$D:$D,MATCH($A535,'[AQ_2021.xlsx]原始数据'!$A:$A,0)),""))</f>
        <v/>
      </c>
      <c r="N535">
        <f>IF($A535="","",IFERROR(INDEX('[AQ_2022.xlsx]原始数据'!$D:$D,MATCH($A535,'[AQ_2022.xlsx]原始数据'!$A:$A,0)),""))</f>
        <v/>
      </c>
      <c r="O535">
        <f>IF($A535="","",IFERROR(INDEX('[AQ_2023.xlsx]原始数据'!$D:$D,MATCH($A535,'[AQ_2023.xlsx]原始数据'!$A:$A,0)),""))</f>
        <v/>
      </c>
      <c r="P535">
        <f>IF($A535="","",IFERROR(INDEX('[AQ_2024.xlsx]原始数据'!$D:$D,MATCH($A535,'[AQ_2024.xlsx]原始数据'!$A:$A,0)),""))</f>
        <v/>
      </c>
      <c r="Q535">
        <f>IF($A535="","",IFERROR(INDEX('[AQ_2020.xlsx]原始数据'!$E:$E,MATCH($A535,'[AQ_2020.xlsx]原始数据'!$A:$A,0)),""))</f>
        <v/>
      </c>
      <c r="R535">
        <f>IF($A535="","",IFERROR(INDEX('[AQ_2021.xlsx]原始数据'!$E:$E,MATCH($A535,'[AQ_2021.xlsx]原始数据'!$A:$A,0)),""))</f>
        <v/>
      </c>
      <c r="S535">
        <f>IF($A535="","",IFERROR(INDEX('[AQ_2022.xlsx]原始数据'!$E:$E,MATCH($A535,'[AQ_2022.xlsx]原始数据'!$A:$A,0)),""))</f>
        <v/>
      </c>
      <c r="T535">
        <f>IF($A535="","",IFERROR(INDEX('[AQ_2023.xlsx]原始数据'!$E:$E,MATCH($A535,'[AQ_2023.xlsx]原始数据'!$A:$A,0)),""))</f>
        <v/>
      </c>
      <c r="U535">
        <f>IF($A535="","",IFERROR(INDEX('[AQ_2024.xlsx]原始数据'!$E:$E,MATCH($A535,'[AQ_2024.xlsx]原始数据'!$A:$A,0)),""))</f>
        <v/>
      </c>
      <c r="V535">
        <f>IF($A535="","",IFERROR(INDEX('[AQ_2020.xlsx]原始数据'!$F:$F,MATCH($A535,'[AQ_2020.xlsx]原始数据'!$A:$A,0)),""))</f>
        <v/>
      </c>
      <c r="W535">
        <f>IF($A535="","",IFERROR(INDEX('[AQ_2021.xlsx]原始数据'!$F:$F,MATCH($A535,'[AQ_2021.xlsx]原始数据'!$A:$A,0)),""))</f>
        <v/>
      </c>
      <c r="X535">
        <f>IF($A535="","",IFERROR(INDEX('[AQ_2022.xlsx]原始数据'!$F:$F,MATCH($A535,'[AQ_2022.xlsx]原始数据'!$A:$A,0)),""))</f>
        <v/>
      </c>
      <c r="Y535">
        <f>IF($A535="","",IFERROR(INDEX('[AQ_2023.xlsx]原始数据'!$F:$F,MATCH($A535,'[AQ_2023.xlsx]原始数据'!$A:$A,0)),""))</f>
        <v/>
      </c>
      <c r="Z535">
        <f>IF($A535="","",IFERROR(INDEX('[AQ_2024.xlsx]原始数据'!$F:$F,MATCH($A535,'[AQ_2024.xlsx]原始数据'!$A:$A,0)),""))</f>
        <v/>
      </c>
      <c r="AA535" s="2">
        <f>IFERROR(G535/B535,"")</f>
        <v/>
      </c>
      <c r="AB535" s="2">
        <f>IFERROR(H535/C535,"")</f>
        <v/>
      </c>
      <c r="AC535" s="2">
        <f>IFERROR(I535/D535,"")</f>
        <v/>
      </c>
      <c r="AD535" s="2">
        <f>IFERROR(J535/E535,"")</f>
        <v/>
      </c>
      <c r="AE535" s="2">
        <f>IFERROR(K535/F535,"")</f>
        <v/>
      </c>
      <c r="AF535" s="2">
        <f>IFERROR(L535/B535,"")</f>
        <v/>
      </c>
      <c r="AG535" s="2">
        <f>IFERROR(M535/C535,"")</f>
        <v/>
      </c>
      <c r="AH535" s="2">
        <f>IFERROR(N535/D535,"")</f>
        <v/>
      </c>
      <c r="AI535" s="2">
        <f>IFERROR(O535/E535,"")</f>
        <v/>
      </c>
      <c r="AJ535" s="2">
        <f>IFERROR(P535/F535,"")</f>
        <v/>
      </c>
      <c r="AK535" s="2">
        <f>IFERROR(Q535/B535,"")</f>
        <v/>
      </c>
      <c r="AL535" s="2">
        <f>IFERROR(R535/C535,"")</f>
        <v/>
      </c>
      <c r="AM535" s="2">
        <f>IFERROR(S535/D535,"")</f>
        <v/>
      </c>
      <c r="AN535" s="2">
        <f>IFERROR(T535/E535,"")</f>
        <v/>
      </c>
      <c r="AO535" s="2">
        <f>IFERROR(U535/F535,"")</f>
        <v/>
      </c>
    </row>
    <row r="536">
      <c r="B536">
        <f>IF($A536="","",IFERROR(INDEX('[AQ_2020.xlsx]原始数据'!$B:$B,MATCH($A536,'[AQ_2020.xlsx]原始数据'!$A:$A,0)),""))</f>
        <v/>
      </c>
      <c r="C536">
        <f>IF($A536="","",IFERROR(INDEX('[AQ_2021.xlsx]原始数据'!$B:$B,MATCH($A536,'[AQ_2021.xlsx]原始数据'!$A:$A,0)),""))</f>
        <v/>
      </c>
      <c r="D536">
        <f>IF($A536="","",IFERROR(INDEX('[AQ_2022.xlsx]原始数据'!$B:$B,MATCH($A536,'[AQ_2022.xlsx]原始数据'!$A:$A,0)),""))</f>
        <v/>
      </c>
      <c r="E536">
        <f>IF($A536="","",IFERROR(INDEX('[AQ_2023.xlsx]原始数据'!$B:$B,MATCH($A536,'[AQ_2023.xlsx]原始数据'!$A:$A,0)),""))</f>
        <v/>
      </c>
      <c r="F536">
        <f>IF($A536="","",IFERROR(INDEX('[AQ_2024.xlsx]原始数据'!$B:$B,MATCH($A536,'[AQ_2024.xlsx]原始数据'!$A:$A,0)),""))</f>
        <v/>
      </c>
      <c r="G536">
        <f>IF($A536="","",IFERROR(INDEX('[AQ_2020.xlsx]原始数据'!$C:$C,MATCH($A536,'[AQ_2020.xlsx]原始数据'!$A:$A,0)),""))</f>
        <v/>
      </c>
      <c r="H536">
        <f>IF($A536="","",IFERROR(INDEX('[AQ_2021.xlsx]原始数据'!$C:$C,MATCH($A536,'[AQ_2021.xlsx]原始数据'!$A:$A,0)),""))</f>
        <v/>
      </c>
      <c r="I536">
        <f>IF($A536="","",IFERROR(INDEX('[AQ_2022.xlsx]原始数据'!$C:$C,MATCH($A536,'[AQ_2022.xlsx]原始数据'!$A:$A,0)),""))</f>
        <v/>
      </c>
      <c r="J536">
        <f>IF($A536="","",IFERROR(INDEX('[AQ_2023.xlsx]原始数据'!$C:$C,MATCH($A536,'[AQ_2023.xlsx]原始数据'!$A:$A,0)),""))</f>
        <v/>
      </c>
      <c r="K536">
        <f>IF($A536="","",IFERROR(INDEX('[AQ_2024.xlsx]原始数据'!$C:$C,MATCH($A536,'[AQ_2024.xlsx]原始数据'!$A:$A,0)),""))</f>
        <v/>
      </c>
      <c r="L536">
        <f>IF($A536="","",IFERROR(INDEX('[AQ_2020.xlsx]原始数据'!$D:$D,MATCH($A536,'[AQ_2020.xlsx]原始数据'!$A:$A,0)),""))</f>
        <v/>
      </c>
      <c r="M536">
        <f>IF($A536="","",IFERROR(INDEX('[AQ_2021.xlsx]原始数据'!$D:$D,MATCH($A536,'[AQ_2021.xlsx]原始数据'!$A:$A,0)),""))</f>
        <v/>
      </c>
      <c r="N536">
        <f>IF($A536="","",IFERROR(INDEX('[AQ_2022.xlsx]原始数据'!$D:$D,MATCH($A536,'[AQ_2022.xlsx]原始数据'!$A:$A,0)),""))</f>
        <v/>
      </c>
      <c r="O536">
        <f>IF($A536="","",IFERROR(INDEX('[AQ_2023.xlsx]原始数据'!$D:$D,MATCH($A536,'[AQ_2023.xlsx]原始数据'!$A:$A,0)),""))</f>
        <v/>
      </c>
      <c r="P536">
        <f>IF($A536="","",IFERROR(INDEX('[AQ_2024.xlsx]原始数据'!$D:$D,MATCH($A536,'[AQ_2024.xlsx]原始数据'!$A:$A,0)),""))</f>
        <v/>
      </c>
      <c r="Q536">
        <f>IF($A536="","",IFERROR(INDEX('[AQ_2020.xlsx]原始数据'!$E:$E,MATCH($A536,'[AQ_2020.xlsx]原始数据'!$A:$A,0)),""))</f>
        <v/>
      </c>
      <c r="R536">
        <f>IF($A536="","",IFERROR(INDEX('[AQ_2021.xlsx]原始数据'!$E:$E,MATCH($A536,'[AQ_2021.xlsx]原始数据'!$A:$A,0)),""))</f>
        <v/>
      </c>
      <c r="S536">
        <f>IF($A536="","",IFERROR(INDEX('[AQ_2022.xlsx]原始数据'!$E:$E,MATCH($A536,'[AQ_2022.xlsx]原始数据'!$A:$A,0)),""))</f>
        <v/>
      </c>
      <c r="T536">
        <f>IF($A536="","",IFERROR(INDEX('[AQ_2023.xlsx]原始数据'!$E:$E,MATCH($A536,'[AQ_2023.xlsx]原始数据'!$A:$A,0)),""))</f>
        <v/>
      </c>
      <c r="U536">
        <f>IF($A536="","",IFERROR(INDEX('[AQ_2024.xlsx]原始数据'!$E:$E,MATCH($A536,'[AQ_2024.xlsx]原始数据'!$A:$A,0)),""))</f>
        <v/>
      </c>
      <c r="V536">
        <f>IF($A536="","",IFERROR(INDEX('[AQ_2020.xlsx]原始数据'!$F:$F,MATCH($A536,'[AQ_2020.xlsx]原始数据'!$A:$A,0)),""))</f>
        <v/>
      </c>
      <c r="W536">
        <f>IF($A536="","",IFERROR(INDEX('[AQ_2021.xlsx]原始数据'!$F:$F,MATCH($A536,'[AQ_2021.xlsx]原始数据'!$A:$A,0)),""))</f>
        <v/>
      </c>
      <c r="X536">
        <f>IF($A536="","",IFERROR(INDEX('[AQ_2022.xlsx]原始数据'!$F:$F,MATCH($A536,'[AQ_2022.xlsx]原始数据'!$A:$A,0)),""))</f>
        <v/>
      </c>
      <c r="Y536">
        <f>IF($A536="","",IFERROR(INDEX('[AQ_2023.xlsx]原始数据'!$F:$F,MATCH($A536,'[AQ_2023.xlsx]原始数据'!$A:$A,0)),""))</f>
        <v/>
      </c>
      <c r="Z536">
        <f>IF($A536="","",IFERROR(INDEX('[AQ_2024.xlsx]原始数据'!$F:$F,MATCH($A536,'[AQ_2024.xlsx]原始数据'!$A:$A,0)),""))</f>
        <v/>
      </c>
      <c r="AA536" s="2">
        <f>IFERROR(G536/B536,"")</f>
        <v/>
      </c>
      <c r="AB536" s="2">
        <f>IFERROR(H536/C536,"")</f>
        <v/>
      </c>
      <c r="AC536" s="2">
        <f>IFERROR(I536/D536,"")</f>
        <v/>
      </c>
      <c r="AD536" s="2">
        <f>IFERROR(J536/E536,"")</f>
        <v/>
      </c>
      <c r="AE536" s="2">
        <f>IFERROR(K536/F536,"")</f>
        <v/>
      </c>
      <c r="AF536" s="2">
        <f>IFERROR(L536/B536,"")</f>
        <v/>
      </c>
      <c r="AG536" s="2">
        <f>IFERROR(M536/C536,"")</f>
        <v/>
      </c>
      <c r="AH536" s="2">
        <f>IFERROR(N536/D536,"")</f>
        <v/>
      </c>
      <c r="AI536" s="2">
        <f>IFERROR(O536/E536,"")</f>
        <v/>
      </c>
      <c r="AJ536" s="2">
        <f>IFERROR(P536/F536,"")</f>
        <v/>
      </c>
      <c r="AK536" s="2">
        <f>IFERROR(Q536/B536,"")</f>
        <v/>
      </c>
      <c r="AL536" s="2">
        <f>IFERROR(R536/C536,"")</f>
        <v/>
      </c>
      <c r="AM536" s="2">
        <f>IFERROR(S536/D536,"")</f>
        <v/>
      </c>
      <c r="AN536" s="2">
        <f>IFERROR(T536/E536,"")</f>
        <v/>
      </c>
      <c r="AO536" s="2">
        <f>IFERROR(U536/F536,"")</f>
        <v/>
      </c>
    </row>
    <row r="537">
      <c r="B537">
        <f>IF($A537="","",IFERROR(INDEX('[AQ_2020.xlsx]原始数据'!$B:$B,MATCH($A537,'[AQ_2020.xlsx]原始数据'!$A:$A,0)),""))</f>
        <v/>
      </c>
      <c r="C537">
        <f>IF($A537="","",IFERROR(INDEX('[AQ_2021.xlsx]原始数据'!$B:$B,MATCH($A537,'[AQ_2021.xlsx]原始数据'!$A:$A,0)),""))</f>
        <v/>
      </c>
      <c r="D537">
        <f>IF($A537="","",IFERROR(INDEX('[AQ_2022.xlsx]原始数据'!$B:$B,MATCH($A537,'[AQ_2022.xlsx]原始数据'!$A:$A,0)),""))</f>
        <v/>
      </c>
      <c r="E537">
        <f>IF($A537="","",IFERROR(INDEX('[AQ_2023.xlsx]原始数据'!$B:$B,MATCH($A537,'[AQ_2023.xlsx]原始数据'!$A:$A,0)),""))</f>
        <v/>
      </c>
      <c r="F537">
        <f>IF($A537="","",IFERROR(INDEX('[AQ_2024.xlsx]原始数据'!$B:$B,MATCH($A537,'[AQ_2024.xlsx]原始数据'!$A:$A,0)),""))</f>
        <v/>
      </c>
      <c r="G537">
        <f>IF($A537="","",IFERROR(INDEX('[AQ_2020.xlsx]原始数据'!$C:$C,MATCH($A537,'[AQ_2020.xlsx]原始数据'!$A:$A,0)),""))</f>
        <v/>
      </c>
      <c r="H537">
        <f>IF($A537="","",IFERROR(INDEX('[AQ_2021.xlsx]原始数据'!$C:$C,MATCH($A537,'[AQ_2021.xlsx]原始数据'!$A:$A,0)),""))</f>
        <v/>
      </c>
      <c r="I537">
        <f>IF($A537="","",IFERROR(INDEX('[AQ_2022.xlsx]原始数据'!$C:$C,MATCH($A537,'[AQ_2022.xlsx]原始数据'!$A:$A,0)),""))</f>
        <v/>
      </c>
      <c r="J537">
        <f>IF($A537="","",IFERROR(INDEX('[AQ_2023.xlsx]原始数据'!$C:$C,MATCH($A537,'[AQ_2023.xlsx]原始数据'!$A:$A,0)),""))</f>
        <v/>
      </c>
      <c r="K537">
        <f>IF($A537="","",IFERROR(INDEX('[AQ_2024.xlsx]原始数据'!$C:$C,MATCH($A537,'[AQ_2024.xlsx]原始数据'!$A:$A,0)),""))</f>
        <v/>
      </c>
      <c r="L537">
        <f>IF($A537="","",IFERROR(INDEX('[AQ_2020.xlsx]原始数据'!$D:$D,MATCH($A537,'[AQ_2020.xlsx]原始数据'!$A:$A,0)),""))</f>
        <v/>
      </c>
      <c r="M537">
        <f>IF($A537="","",IFERROR(INDEX('[AQ_2021.xlsx]原始数据'!$D:$D,MATCH($A537,'[AQ_2021.xlsx]原始数据'!$A:$A,0)),""))</f>
        <v/>
      </c>
      <c r="N537">
        <f>IF($A537="","",IFERROR(INDEX('[AQ_2022.xlsx]原始数据'!$D:$D,MATCH($A537,'[AQ_2022.xlsx]原始数据'!$A:$A,0)),""))</f>
        <v/>
      </c>
      <c r="O537">
        <f>IF($A537="","",IFERROR(INDEX('[AQ_2023.xlsx]原始数据'!$D:$D,MATCH($A537,'[AQ_2023.xlsx]原始数据'!$A:$A,0)),""))</f>
        <v/>
      </c>
      <c r="P537">
        <f>IF($A537="","",IFERROR(INDEX('[AQ_2024.xlsx]原始数据'!$D:$D,MATCH($A537,'[AQ_2024.xlsx]原始数据'!$A:$A,0)),""))</f>
        <v/>
      </c>
      <c r="Q537">
        <f>IF($A537="","",IFERROR(INDEX('[AQ_2020.xlsx]原始数据'!$E:$E,MATCH($A537,'[AQ_2020.xlsx]原始数据'!$A:$A,0)),""))</f>
        <v/>
      </c>
      <c r="R537">
        <f>IF($A537="","",IFERROR(INDEX('[AQ_2021.xlsx]原始数据'!$E:$E,MATCH($A537,'[AQ_2021.xlsx]原始数据'!$A:$A,0)),""))</f>
        <v/>
      </c>
      <c r="S537">
        <f>IF($A537="","",IFERROR(INDEX('[AQ_2022.xlsx]原始数据'!$E:$E,MATCH($A537,'[AQ_2022.xlsx]原始数据'!$A:$A,0)),""))</f>
        <v/>
      </c>
      <c r="T537">
        <f>IF($A537="","",IFERROR(INDEX('[AQ_2023.xlsx]原始数据'!$E:$E,MATCH($A537,'[AQ_2023.xlsx]原始数据'!$A:$A,0)),""))</f>
        <v/>
      </c>
      <c r="U537">
        <f>IF($A537="","",IFERROR(INDEX('[AQ_2024.xlsx]原始数据'!$E:$E,MATCH($A537,'[AQ_2024.xlsx]原始数据'!$A:$A,0)),""))</f>
        <v/>
      </c>
      <c r="V537">
        <f>IF($A537="","",IFERROR(INDEX('[AQ_2020.xlsx]原始数据'!$F:$F,MATCH($A537,'[AQ_2020.xlsx]原始数据'!$A:$A,0)),""))</f>
        <v/>
      </c>
      <c r="W537">
        <f>IF($A537="","",IFERROR(INDEX('[AQ_2021.xlsx]原始数据'!$F:$F,MATCH($A537,'[AQ_2021.xlsx]原始数据'!$A:$A,0)),""))</f>
        <v/>
      </c>
      <c r="X537">
        <f>IF($A537="","",IFERROR(INDEX('[AQ_2022.xlsx]原始数据'!$F:$F,MATCH($A537,'[AQ_2022.xlsx]原始数据'!$A:$A,0)),""))</f>
        <v/>
      </c>
      <c r="Y537">
        <f>IF($A537="","",IFERROR(INDEX('[AQ_2023.xlsx]原始数据'!$F:$F,MATCH($A537,'[AQ_2023.xlsx]原始数据'!$A:$A,0)),""))</f>
        <v/>
      </c>
      <c r="Z537">
        <f>IF($A537="","",IFERROR(INDEX('[AQ_2024.xlsx]原始数据'!$F:$F,MATCH($A537,'[AQ_2024.xlsx]原始数据'!$A:$A,0)),""))</f>
        <v/>
      </c>
      <c r="AA537" s="2">
        <f>IFERROR(G537/B537,"")</f>
        <v/>
      </c>
      <c r="AB537" s="2">
        <f>IFERROR(H537/C537,"")</f>
        <v/>
      </c>
      <c r="AC537" s="2">
        <f>IFERROR(I537/D537,"")</f>
        <v/>
      </c>
      <c r="AD537" s="2">
        <f>IFERROR(J537/E537,"")</f>
        <v/>
      </c>
      <c r="AE537" s="2">
        <f>IFERROR(K537/F537,"")</f>
        <v/>
      </c>
      <c r="AF537" s="2">
        <f>IFERROR(L537/B537,"")</f>
        <v/>
      </c>
      <c r="AG537" s="2">
        <f>IFERROR(M537/C537,"")</f>
        <v/>
      </c>
      <c r="AH537" s="2">
        <f>IFERROR(N537/D537,"")</f>
        <v/>
      </c>
      <c r="AI537" s="2">
        <f>IFERROR(O537/E537,"")</f>
        <v/>
      </c>
      <c r="AJ537" s="2">
        <f>IFERROR(P537/F537,"")</f>
        <v/>
      </c>
      <c r="AK537" s="2">
        <f>IFERROR(Q537/B537,"")</f>
        <v/>
      </c>
      <c r="AL537" s="2">
        <f>IFERROR(R537/C537,"")</f>
        <v/>
      </c>
      <c r="AM537" s="2">
        <f>IFERROR(S537/D537,"")</f>
        <v/>
      </c>
      <c r="AN537" s="2">
        <f>IFERROR(T537/E537,"")</f>
        <v/>
      </c>
      <c r="AO537" s="2">
        <f>IFERROR(U537/F537,"")</f>
        <v/>
      </c>
    </row>
    <row r="538">
      <c r="B538">
        <f>IF($A538="","",IFERROR(INDEX('[AQ_2020.xlsx]原始数据'!$B:$B,MATCH($A538,'[AQ_2020.xlsx]原始数据'!$A:$A,0)),""))</f>
        <v/>
      </c>
      <c r="C538">
        <f>IF($A538="","",IFERROR(INDEX('[AQ_2021.xlsx]原始数据'!$B:$B,MATCH($A538,'[AQ_2021.xlsx]原始数据'!$A:$A,0)),""))</f>
        <v/>
      </c>
      <c r="D538">
        <f>IF($A538="","",IFERROR(INDEX('[AQ_2022.xlsx]原始数据'!$B:$B,MATCH($A538,'[AQ_2022.xlsx]原始数据'!$A:$A,0)),""))</f>
        <v/>
      </c>
      <c r="E538">
        <f>IF($A538="","",IFERROR(INDEX('[AQ_2023.xlsx]原始数据'!$B:$B,MATCH($A538,'[AQ_2023.xlsx]原始数据'!$A:$A,0)),""))</f>
        <v/>
      </c>
      <c r="F538">
        <f>IF($A538="","",IFERROR(INDEX('[AQ_2024.xlsx]原始数据'!$B:$B,MATCH($A538,'[AQ_2024.xlsx]原始数据'!$A:$A,0)),""))</f>
        <v/>
      </c>
      <c r="G538">
        <f>IF($A538="","",IFERROR(INDEX('[AQ_2020.xlsx]原始数据'!$C:$C,MATCH($A538,'[AQ_2020.xlsx]原始数据'!$A:$A,0)),""))</f>
        <v/>
      </c>
      <c r="H538">
        <f>IF($A538="","",IFERROR(INDEX('[AQ_2021.xlsx]原始数据'!$C:$C,MATCH($A538,'[AQ_2021.xlsx]原始数据'!$A:$A,0)),""))</f>
        <v/>
      </c>
      <c r="I538">
        <f>IF($A538="","",IFERROR(INDEX('[AQ_2022.xlsx]原始数据'!$C:$C,MATCH($A538,'[AQ_2022.xlsx]原始数据'!$A:$A,0)),""))</f>
        <v/>
      </c>
      <c r="J538">
        <f>IF($A538="","",IFERROR(INDEX('[AQ_2023.xlsx]原始数据'!$C:$C,MATCH($A538,'[AQ_2023.xlsx]原始数据'!$A:$A,0)),""))</f>
        <v/>
      </c>
      <c r="K538">
        <f>IF($A538="","",IFERROR(INDEX('[AQ_2024.xlsx]原始数据'!$C:$C,MATCH($A538,'[AQ_2024.xlsx]原始数据'!$A:$A,0)),""))</f>
        <v/>
      </c>
      <c r="L538">
        <f>IF($A538="","",IFERROR(INDEX('[AQ_2020.xlsx]原始数据'!$D:$D,MATCH($A538,'[AQ_2020.xlsx]原始数据'!$A:$A,0)),""))</f>
        <v/>
      </c>
      <c r="M538">
        <f>IF($A538="","",IFERROR(INDEX('[AQ_2021.xlsx]原始数据'!$D:$D,MATCH($A538,'[AQ_2021.xlsx]原始数据'!$A:$A,0)),""))</f>
        <v/>
      </c>
      <c r="N538">
        <f>IF($A538="","",IFERROR(INDEX('[AQ_2022.xlsx]原始数据'!$D:$D,MATCH($A538,'[AQ_2022.xlsx]原始数据'!$A:$A,0)),""))</f>
        <v/>
      </c>
      <c r="O538">
        <f>IF($A538="","",IFERROR(INDEX('[AQ_2023.xlsx]原始数据'!$D:$D,MATCH($A538,'[AQ_2023.xlsx]原始数据'!$A:$A,0)),""))</f>
        <v/>
      </c>
      <c r="P538">
        <f>IF($A538="","",IFERROR(INDEX('[AQ_2024.xlsx]原始数据'!$D:$D,MATCH($A538,'[AQ_2024.xlsx]原始数据'!$A:$A,0)),""))</f>
        <v/>
      </c>
      <c r="Q538">
        <f>IF($A538="","",IFERROR(INDEX('[AQ_2020.xlsx]原始数据'!$E:$E,MATCH($A538,'[AQ_2020.xlsx]原始数据'!$A:$A,0)),""))</f>
        <v/>
      </c>
      <c r="R538">
        <f>IF($A538="","",IFERROR(INDEX('[AQ_2021.xlsx]原始数据'!$E:$E,MATCH($A538,'[AQ_2021.xlsx]原始数据'!$A:$A,0)),""))</f>
        <v/>
      </c>
      <c r="S538">
        <f>IF($A538="","",IFERROR(INDEX('[AQ_2022.xlsx]原始数据'!$E:$E,MATCH($A538,'[AQ_2022.xlsx]原始数据'!$A:$A,0)),""))</f>
        <v/>
      </c>
      <c r="T538">
        <f>IF($A538="","",IFERROR(INDEX('[AQ_2023.xlsx]原始数据'!$E:$E,MATCH($A538,'[AQ_2023.xlsx]原始数据'!$A:$A,0)),""))</f>
        <v/>
      </c>
      <c r="U538">
        <f>IF($A538="","",IFERROR(INDEX('[AQ_2024.xlsx]原始数据'!$E:$E,MATCH($A538,'[AQ_2024.xlsx]原始数据'!$A:$A,0)),""))</f>
        <v/>
      </c>
      <c r="V538">
        <f>IF($A538="","",IFERROR(INDEX('[AQ_2020.xlsx]原始数据'!$F:$F,MATCH($A538,'[AQ_2020.xlsx]原始数据'!$A:$A,0)),""))</f>
        <v/>
      </c>
      <c r="W538">
        <f>IF($A538="","",IFERROR(INDEX('[AQ_2021.xlsx]原始数据'!$F:$F,MATCH($A538,'[AQ_2021.xlsx]原始数据'!$A:$A,0)),""))</f>
        <v/>
      </c>
      <c r="X538">
        <f>IF($A538="","",IFERROR(INDEX('[AQ_2022.xlsx]原始数据'!$F:$F,MATCH($A538,'[AQ_2022.xlsx]原始数据'!$A:$A,0)),""))</f>
        <v/>
      </c>
      <c r="Y538">
        <f>IF($A538="","",IFERROR(INDEX('[AQ_2023.xlsx]原始数据'!$F:$F,MATCH($A538,'[AQ_2023.xlsx]原始数据'!$A:$A,0)),""))</f>
        <v/>
      </c>
      <c r="Z538">
        <f>IF($A538="","",IFERROR(INDEX('[AQ_2024.xlsx]原始数据'!$F:$F,MATCH($A538,'[AQ_2024.xlsx]原始数据'!$A:$A,0)),""))</f>
        <v/>
      </c>
      <c r="AA538" s="2">
        <f>IFERROR(G538/B538,"")</f>
        <v/>
      </c>
      <c r="AB538" s="2">
        <f>IFERROR(H538/C538,"")</f>
        <v/>
      </c>
      <c r="AC538" s="2">
        <f>IFERROR(I538/D538,"")</f>
        <v/>
      </c>
      <c r="AD538" s="2">
        <f>IFERROR(J538/E538,"")</f>
        <v/>
      </c>
      <c r="AE538" s="2">
        <f>IFERROR(K538/F538,"")</f>
        <v/>
      </c>
      <c r="AF538" s="2">
        <f>IFERROR(L538/B538,"")</f>
        <v/>
      </c>
      <c r="AG538" s="2">
        <f>IFERROR(M538/C538,"")</f>
        <v/>
      </c>
      <c r="AH538" s="2">
        <f>IFERROR(N538/D538,"")</f>
        <v/>
      </c>
      <c r="AI538" s="2">
        <f>IFERROR(O538/E538,"")</f>
        <v/>
      </c>
      <c r="AJ538" s="2">
        <f>IFERROR(P538/F538,"")</f>
        <v/>
      </c>
      <c r="AK538" s="2">
        <f>IFERROR(Q538/B538,"")</f>
        <v/>
      </c>
      <c r="AL538" s="2">
        <f>IFERROR(R538/C538,"")</f>
        <v/>
      </c>
      <c r="AM538" s="2">
        <f>IFERROR(S538/D538,"")</f>
        <v/>
      </c>
      <c r="AN538" s="2">
        <f>IFERROR(T538/E538,"")</f>
        <v/>
      </c>
      <c r="AO538" s="2">
        <f>IFERROR(U538/F538,"")</f>
        <v/>
      </c>
    </row>
    <row r="539">
      <c r="B539">
        <f>IF($A539="","",IFERROR(INDEX('[AQ_2020.xlsx]原始数据'!$B:$B,MATCH($A539,'[AQ_2020.xlsx]原始数据'!$A:$A,0)),""))</f>
        <v/>
      </c>
      <c r="C539">
        <f>IF($A539="","",IFERROR(INDEX('[AQ_2021.xlsx]原始数据'!$B:$B,MATCH($A539,'[AQ_2021.xlsx]原始数据'!$A:$A,0)),""))</f>
        <v/>
      </c>
      <c r="D539">
        <f>IF($A539="","",IFERROR(INDEX('[AQ_2022.xlsx]原始数据'!$B:$B,MATCH($A539,'[AQ_2022.xlsx]原始数据'!$A:$A,0)),""))</f>
        <v/>
      </c>
      <c r="E539">
        <f>IF($A539="","",IFERROR(INDEX('[AQ_2023.xlsx]原始数据'!$B:$B,MATCH($A539,'[AQ_2023.xlsx]原始数据'!$A:$A,0)),""))</f>
        <v/>
      </c>
      <c r="F539">
        <f>IF($A539="","",IFERROR(INDEX('[AQ_2024.xlsx]原始数据'!$B:$B,MATCH($A539,'[AQ_2024.xlsx]原始数据'!$A:$A,0)),""))</f>
        <v/>
      </c>
      <c r="G539">
        <f>IF($A539="","",IFERROR(INDEX('[AQ_2020.xlsx]原始数据'!$C:$C,MATCH($A539,'[AQ_2020.xlsx]原始数据'!$A:$A,0)),""))</f>
        <v/>
      </c>
      <c r="H539">
        <f>IF($A539="","",IFERROR(INDEX('[AQ_2021.xlsx]原始数据'!$C:$C,MATCH($A539,'[AQ_2021.xlsx]原始数据'!$A:$A,0)),""))</f>
        <v/>
      </c>
      <c r="I539">
        <f>IF($A539="","",IFERROR(INDEX('[AQ_2022.xlsx]原始数据'!$C:$C,MATCH($A539,'[AQ_2022.xlsx]原始数据'!$A:$A,0)),""))</f>
        <v/>
      </c>
      <c r="J539">
        <f>IF($A539="","",IFERROR(INDEX('[AQ_2023.xlsx]原始数据'!$C:$C,MATCH($A539,'[AQ_2023.xlsx]原始数据'!$A:$A,0)),""))</f>
        <v/>
      </c>
      <c r="K539">
        <f>IF($A539="","",IFERROR(INDEX('[AQ_2024.xlsx]原始数据'!$C:$C,MATCH($A539,'[AQ_2024.xlsx]原始数据'!$A:$A,0)),""))</f>
        <v/>
      </c>
      <c r="L539">
        <f>IF($A539="","",IFERROR(INDEX('[AQ_2020.xlsx]原始数据'!$D:$D,MATCH($A539,'[AQ_2020.xlsx]原始数据'!$A:$A,0)),""))</f>
        <v/>
      </c>
      <c r="M539">
        <f>IF($A539="","",IFERROR(INDEX('[AQ_2021.xlsx]原始数据'!$D:$D,MATCH($A539,'[AQ_2021.xlsx]原始数据'!$A:$A,0)),""))</f>
        <v/>
      </c>
      <c r="N539">
        <f>IF($A539="","",IFERROR(INDEX('[AQ_2022.xlsx]原始数据'!$D:$D,MATCH($A539,'[AQ_2022.xlsx]原始数据'!$A:$A,0)),""))</f>
        <v/>
      </c>
      <c r="O539">
        <f>IF($A539="","",IFERROR(INDEX('[AQ_2023.xlsx]原始数据'!$D:$D,MATCH($A539,'[AQ_2023.xlsx]原始数据'!$A:$A,0)),""))</f>
        <v/>
      </c>
      <c r="P539">
        <f>IF($A539="","",IFERROR(INDEX('[AQ_2024.xlsx]原始数据'!$D:$D,MATCH($A539,'[AQ_2024.xlsx]原始数据'!$A:$A,0)),""))</f>
        <v/>
      </c>
      <c r="Q539">
        <f>IF($A539="","",IFERROR(INDEX('[AQ_2020.xlsx]原始数据'!$E:$E,MATCH($A539,'[AQ_2020.xlsx]原始数据'!$A:$A,0)),""))</f>
        <v/>
      </c>
      <c r="R539">
        <f>IF($A539="","",IFERROR(INDEX('[AQ_2021.xlsx]原始数据'!$E:$E,MATCH($A539,'[AQ_2021.xlsx]原始数据'!$A:$A,0)),""))</f>
        <v/>
      </c>
      <c r="S539">
        <f>IF($A539="","",IFERROR(INDEX('[AQ_2022.xlsx]原始数据'!$E:$E,MATCH($A539,'[AQ_2022.xlsx]原始数据'!$A:$A,0)),""))</f>
        <v/>
      </c>
      <c r="T539">
        <f>IF($A539="","",IFERROR(INDEX('[AQ_2023.xlsx]原始数据'!$E:$E,MATCH($A539,'[AQ_2023.xlsx]原始数据'!$A:$A,0)),""))</f>
        <v/>
      </c>
      <c r="U539">
        <f>IF($A539="","",IFERROR(INDEX('[AQ_2024.xlsx]原始数据'!$E:$E,MATCH($A539,'[AQ_2024.xlsx]原始数据'!$A:$A,0)),""))</f>
        <v/>
      </c>
      <c r="V539">
        <f>IF($A539="","",IFERROR(INDEX('[AQ_2020.xlsx]原始数据'!$F:$F,MATCH($A539,'[AQ_2020.xlsx]原始数据'!$A:$A,0)),""))</f>
        <v/>
      </c>
      <c r="W539">
        <f>IF($A539="","",IFERROR(INDEX('[AQ_2021.xlsx]原始数据'!$F:$F,MATCH($A539,'[AQ_2021.xlsx]原始数据'!$A:$A,0)),""))</f>
        <v/>
      </c>
      <c r="X539">
        <f>IF($A539="","",IFERROR(INDEX('[AQ_2022.xlsx]原始数据'!$F:$F,MATCH($A539,'[AQ_2022.xlsx]原始数据'!$A:$A,0)),""))</f>
        <v/>
      </c>
      <c r="Y539">
        <f>IF($A539="","",IFERROR(INDEX('[AQ_2023.xlsx]原始数据'!$F:$F,MATCH($A539,'[AQ_2023.xlsx]原始数据'!$A:$A,0)),""))</f>
        <v/>
      </c>
      <c r="Z539">
        <f>IF($A539="","",IFERROR(INDEX('[AQ_2024.xlsx]原始数据'!$F:$F,MATCH($A539,'[AQ_2024.xlsx]原始数据'!$A:$A,0)),""))</f>
        <v/>
      </c>
      <c r="AA539" s="2">
        <f>IFERROR(G539/B539,"")</f>
        <v/>
      </c>
      <c r="AB539" s="2">
        <f>IFERROR(H539/C539,"")</f>
        <v/>
      </c>
      <c r="AC539" s="2">
        <f>IFERROR(I539/D539,"")</f>
        <v/>
      </c>
      <c r="AD539" s="2">
        <f>IFERROR(J539/E539,"")</f>
        <v/>
      </c>
      <c r="AE539" s="2">
        <f>IFERROR(K539/F539,"")</f>
        <v/>
      </c>
      <c r="AF539" s="2">
        <f>IFERROR(L539/B539,"")</f>
        <v/>
      </c>
      <c r="AG539" s="2">
        <f>IFERROR(M539/C539,"")</f>
        <v/>
      </c>
      <c r="AH539" s="2">
        <f>IFERROR(N539/D539,"")</f>
        <v/>
      </c>
      <c r="AI539" s="2">
        <f>IFERROR(O539/E539,"")</f>
        <v/>
      </c>
      <c r="AJ539" s="2">
        <f>IFERROR(P539/F539,"")</f>
        <v/>
      </c>
      <c r="AK539" s="2">
        <f>IFERROR(Q539/B539,"")</f>
        <v/>
      </c>
      <c r="AL539" s="2">
        <f>IFERROR(R539/C539,"")</f>
        <v/>
      </c>
      <c r="AM539" s="2">
        <f>IFERROR(S539/D539,"")</f>
        <v/>
      </c>
      <c r="AN539" s="2">
        <f>IFERROR(T539/E539,"")</f>
        <v/>
      </c>
      <c r="AO539" s="2">
        <f>IFERROR(U539/F539,"")</f>
        <v/>
      </c>
    </row>
    <row r="540">
      <c r="B540">
        <f>IF($A540="","",IFERROR(INDEX('[AQ_2020.xlsx]原始数据'!$B:$B,MATCH($A540,'[AQ_2020.xlsx]原始数据'!$A:$A,0)),""))</f>
        <v/>
      </c>
      <c r="C540">
        <f>IF($A540="","",IFERROR(INDEX('[AQ_2021.xlsx]原始数据'!$B:$B,MATCH($A540,'[AQ_2021.xlsx]原始数据'!$A:$A,0)),""))</f>
        <v/>
      </c>
      <c r="D540">
        <f>IF($A540="","",IFERROR(INDEX('[AQ_2022.xlsx]原始数据'!$B:$B,MATCH($A540,'[AQ_2022.xlsx]原始数据'!$A:$A,0)),""))</f>
        <v/>
      </c>
      <c r="E540">
        <f>IF($A540="","",IFERROR(INDEX('[AQ_2023.xlsx]原始数据'!$B:$B,MATCH($A540,'[AQ_2023.xlsx]原始数据'!$A:$A,0)),""))</f>
        <v/>
      </c>
      <c r="F540">
        <f>IF($A540="","",IFERROR(INDEX('[AQ_2024.xlsx]原始数据'!$B:$B,MATCH($A540,'[AQ_2024.xlsx]原始数据'!$A:$A,0)),""))</f>
        <v/>
      </c>
      <c r="G540">
        <f>IF($A540="","",IFERROR(INDEX('[AQ_2020.xlsx]原始数据'!$C:$C,MATCH($A540,'[AQ_2020.xlsx]原始数据'!$A:$A,0)),""))</f>
        <v/>
      </c>
      <c r="H540">
        <f>IF($A540="","",IFERROR(INDEX('[AQ_2021.xlsx]原始数据'!$C:$C,MATCH($A540,'[AQ_2021.xlsx]原始数据'!$A:$A,0)),""))</f>
        <v/>
      </c>
      <c r="I540">
        <f>IF($A540="","",IFERROR(INDEX('[AQ_2022.xlsx]原始数据'!$C:$C,MATCH($A540,'[AQ_2022.xlsx]原始数据'!$A:$A,0)),""))</f>
        <v/>
      </c>
      <c r="J540">
        <f>IF($A540="","",IFERROR(INDEX('[AQ_2023.xlsx]原始数据'!$C:$C,MATCH($A540,'[AQ_2023.xlsx]原始数据'!$A:$A,0)),""))</f>
        <v/>
      </c>
      <c r="K540">
        <f>IF($A540="","",IFERROR(INDEX('[AQ_2024.xlsx]原始数据'!$C:$C,MATCH($A540,'[AQ_2024.xlsx]原始数据'!$A:$A,0)),""))</f>
        <v/>
      </c>
      <c r="L540">
        <f>IF($A540="","",IFERROR(INDEX('[AQ_2020.xlsx]原始数据'!$D:$D,MATCH($A540,'[AQ_2020.xlsx]原始数据'!$A:$A,0)),""))</f>
        <v/>
      </c>
      <c r="M540">
        <f>IF($A540="","",IFERROR(INDEX('[AQ_2021.xlsx]原始数据'!$D:$D,MATCH($A540,'[AQ_2021.xlsx]原始数据'!$A:$A,0)),""))</f>
        <v/>
      </c>
      <c r="N540">
        <f>IF($A540="","",IFERROR(INDEX('[AQ_2022.xlsx]原始数据'!$D:$D,MATCH($A540,'[AQ_2022.xlsx]原始数据'!$A:$A,0)),""))</f>
        <v/>
      </c>
      <c r="O540">
        <f>IF($A540="","",IFERROR(INDEX('[AQ_2023.xlsx]原始数据'!$D:$D,MATCH($A540,'[AQ_2023.xlsx]原始数据'!$A:$A,0)),""))</f>
        <v/>
      </c>
      <c r="P540">
        <f>IF($A540="","",IFERROR(INDEX('[AQ_2024.xlsx]原始数据'!$D:$D,MATCH($A540,'[AQ_2024.xlsx]原始数据'!$A:$A,0)),""))</f>
        <v/>
      </c>
      <c r="Q540">
        <f>IF($A540="","",IFERROR(INDEX('[AQ_2020.xlsx]原始数据'!$E:$E,MATCH($A540,'[AQ_2020.xlsx]原始数据'!$A:$A,0)),""))</f>
        <v/>
      </c>
      <c r="R540">
        <f>IF($A540="","",IFERROR(INDEX('[AQ_2021.xlsx]原始数据'!$E:$E,MATCH($A540,'[AQ_2021.xlsx]原始数据'!$A:$A,0)),""))</f>
        <v/>
      </c>
      <c r="S540">
        <f>IF($A540="","",IFERROR(INDEX('[AQ_2022.xlsx]原始数据'!$E:$E,MATCH($A540,'[AQ_2022.xlsx]原始数据'!$A:$A,0)),""))</f>
        <v/>
      </c>
      <c r="T540">
        <f>IF($A540="","",IFERROR(INDEX('[AQ_2023.xlsx]原始数据'!$E:$E,MATCH($A540,'[AQ_2023.xlsx]原始数据'!$A:$A,0)),""))</f>
        <v/>
      </c>
      <c r="U540">
        <f>IF($A540="","",IFERROR(INDEX('[AQ_2024.xlsx]原始数据'!$E:$E,MATCH($A540,'[AQ_2024.xlsx]原始数据'!$A:$A,0)),""))</f>
        <v/>
      </c>
      <c r="V540">
        <f>IF($A540="","",IFERROR(INDEX('[AQ_2020.xlsx]原始数据'!$F:$F,MATCH($A540,'[AQ_2020.xlsx]原始数据'!$A:$A,0)),""))</f>
        <v/>
      </c>
      <c r="W540">
        <f>IF($A540="","",IFERROR(INDEX('[AQ_2021.xlsx]原始数据'!$F:$F,MATCH($A540,'[AQ_2021.xlsx]原始数据'!$A:$A,0)),""))</f>
        <v/>
      </c>
      <c r="X540">
        <f>IF($A540="","",IFERROR(INDEX('[AQ_2022.xlsx]原始数据'!$F:$F,MATCH($A540,'[AQ_2022.xlsx]原始数据'!$A:$A,0)),""))</f>
        <v/>
      </c>
      <c r="Y540">
        <f>IF($A540="","",IFERROR(INDEX('[AQ_2023.xlsx]原始数据'!$F:$F,MATCH($A540,'[AQ_2023.xlsx]原始数据'!$A:$A,0)),""))</f>
        <v/>
      </c>
      <c r="Z540">
        <f>IF($A540="","",IFERROR(INDEX('[AQ_2024.xlsx]原始数据'!$F:$F,MATCH($A540,'[AQ_2024.xlsx]原始数据'!$A:$A,0)),""))</f>
        <v/>
      </c>
      <c r="AA540" s="2">
        <f>IFERROR(G540/B540,"")</f>
        <v/>
      </c>
      <c r="AB540" s="2">
        <f>IFERROR(H540/C540,"")</f>
        <v/>
      </c>
      <c r="AC540" s="2">
        <f>IFERROR(I540/D540,"")</f>
        <v/>
      </c>
      <c r="AD540" s="2">
        <f>IFERROR(J540/E540,"")</f>
        <v/>
      </c>
      <c r="AE540" s="2">
        <f>IFERROR(K540/F540,"")</f>
        <v/>
      </c>
      <c r="AF540" s="2">
        <f>IFERROR(L540/B540,"")</f>
        <v/>
      </c>
      <c r="AG540" s="2">
        <f>IFERROR(M540/C540,"")</f>
        <v/>
      </c>
      <c r="AH540" s="2">
        <f>IFERROR(N540/D540,"")</f>
        <v/>
      </c>
      <c r="AI540" s="2">
        <f>IFERROR(O540/E540,"")</f>
        <v/>
      </c>
      <c r="AJ540" s="2">
        <f>IFERROR(P540/F540,"")</f>
        <v/>
      </c>
      <c r="AK540" s="2">
        <f>IFERROR(Q540/B540,"")</f>
        <v/>
      </c>
      <c r="AL540" s="2">
        <f>IFERROR(R540/C540,"")</f>
        <v/>
      </c>
      <c r="AM540" s="2">
        <f>IFERROR(S540/D540,"")</f>
        <v/>
      </c>
      <c r="AN540" s="2">
        <f>IFERROR(T540/E540,"")</f>
        <v/>
      </c>
      <c r="AO540" s="2">
        <f>IFERROR(U540/F540,"")</f>
        <v/>
      </c>
    </row>
    <row r="541">
      <c r="B541">
        <f>IF($A541="","",IFERROR(INDEX('[AQ_2020.xlsx]原始数据'!$B:$B,MATCH($A541,'[AQ_2020.xlsx]原始数据'!$A:$A,0)),""))</f>
        <v/>
      </c>
      <c r="C541">
        <f>IF($A541="","",IFERROR(INDEX('[AQ_2021.xlsx]原始数据'!$B:$B,MATCH($A541,'[AQ_2021.xlsx]原始数据'!$A:$A,0)),""))</f>
        <v/>
      </c>
      <c r="D541">
        <f>IF($A541="","",IFERROR(INDEX('[AQ_2022.xlsx]原始数据'!$B:$B,MATCH($A541,'[AQ_2022.xlsx]原始数据'!$A:$A,0)),""))</f>
        <v/>
      </c>
      <c r="E541">
        <f>IF($A541="","",IFERROR(INDEX('[AQ_2023.xlsx]原始数据'!$B:$B,MATCH($A541,'[AQ_2023.xlsx]原始数据'!$A:$A,0)),""))</f>
        <v/>
      </c>
      <c r="F541">
        <f>IF($A541="","",IFERROR(INDEX('[AQ_2024.xlsx]原始数据'!$B:$B,MATCH($A541,'[AQ_2024.xlsx]原始数据'!$A:$A,0)),""))</f>
        <v/>
      </c>
      <c r="G541">
        <f>IF($A541="","",IFERROR(INDEX('[AQ_2020.xlsx]原始数据'!$C:$C,MATCH($A541,'[AQ_2020.xlsx]原始数据'!$A:$A,0)),""))</f>
        <v/>
      </c>
      <c r="H541">
        <f>IF($A541="","",IFERROR(INDEX('[AQ_2021.xlsx]原始数据'!$C:$C,MATCH($A541,'[AQ_2021.xlsx]原始数据'!$A:$A,0)),""))</f>
        <v/>
      </c>
      <c r="I541">
        <f>IF($A541="","",IFERROR(INDEX('[AQ_2022.xlsx]原始数据'!$C:$C,MATCH($A541,'[AQ_2022.xlsx]原始数据'!$A:$A,0)),""))</f>
        <v/>
      </c>
      <c r="J541">
        <f>IF($A541="","",IFERROR(INDEX('[AQ_2023.xlsx]原始数据'!$C:$C,MATCH($A541,'[AQ_2023.xlsx]原始数据'!$A:$A,0)),""))</f>
        <v/>
      </c>
      <c r="K541">
        <f>IF($A541="","",IFERROR(INDEX('[AQ_2024.xlsx]原始数据'!$C:$C,MATCH($A541,'[AQ_2024.xlsx]原始数据'!$A:$A,0)),""))</f>
        <v/>
      </c>
      <c r="L541">
        <f>IF($A541="","",IFERROR(INDEX('[AQ_2020.xlsx]原始数据'!$D:$D,MATCH($A541,'[AQ_2020.xlsx]原始数据'!$A:$A,0)),""))</f>
        <v/>
      </c>
      <c r="M541">
        <f>IF($A541="","",IFERROR(INDEX('[AQ_2021.xlsx]原始数据'!$D:$D,MATCH($A541,'[AQ_2021.xlsx]原始数据'!$A:$A,0)),""))</f>
        <v/>
      </c>
      <c r="N541">
        <f>IF($A541="","",IFERROR(INDEX('[AQ_2022.xlsx]原始数据'!$D:$D,MATCH($A541,'[AQ_2022.xlsx]原始数据'!$A:$A,0)),""))</f>
        <v/>
      </c>
      <c r="O541">
        <f>IF($A541="","",IFERROR(INDEX('[AQ_2023.xlsx]原始数据'!$D:$D,MATCH($A541,'[AQ_2023.xlsx]原始数据'!$A:$A,0)),""))</f>
        <v/>
      </c>
      <c r="P541">
        <f>IF($A541="","",IFERROR(INDEX('[AQ_2024.xlsx]原始数据'!$D:$D,MATCH($A541,'[AQ_2024.xlsx]原始数据'!$A:$A,0)),""))</f>
        <v/>
      </c>
      <c r="Q541">
        <f>IF($A541="","",IFERROR(INDEX('[AQ_2020.xlsx]原始数据'!$E:$E,MATCH($A541,'[AQ_2020.xlsx]原始数据'!$A:$A,0)),""))</f>
        <v/>
      </c>
      <c r="R541">
        <f>IF($A541="","",IFERROR(INDEX('[AQ_2021.xlsx]原始数据'!$E:$E,MATCH($A541,'[AQ_2021.xlsx]原始数据'!$A:$A,0)),""))</f>
        <v/>
      </c>
      <c r="S541">
        <f>IF($A541="","",IFERROR(INDEX('[AQ_2022.xlsx]原始数据'!$E:$E,MATCH($A541,'[AQ_2022.xlsx]原始数据'!$A:$A,0)),""))</f>
        <v/>
      </c>
      <c r="T541">
        <f>IF($A541="","",IFERROR(INDEX('[AQ_2023.xlsx]原始数据'!$E:$E,MATCH($A541,'[AQ_2023.xlsx]原始数据'!$A:$A,0)),""))</f>
        <v/>
      </c>
      <c r="U541">
        <f>IF($A541="","",IFERROR(INDEX('[AQ_2024.xlsx]原始数据'!$E:$E,MATCH($A541,'[AQ_2024.xlsx]原始数据'!$A:$A,0)),""))</f>
        <v/>
      </c>
      <c r="V541">
        <f>IF($A541="","",IFERROR(INDEX('[AQ_2020.xlsx]原始数据'!$F:$F,MATCH($A541,'[AQ_2020.xlsx]原始数据'!$A:$A,0)),""))</f>
        <v/>
      </c>
      <c r="W541">
        <f>IF($A541="","",IFERROR(INDEX('[AQ_2021.xlsx]原始数据'!$F:$F,MATCH($A541,'[AQ_2021.xlsx]原始数据'!$A:$A,0)),""))</f>
        <v/>
      </c>
      <c r="X541">
        <f>IF($A541="","",IFERROR(INDEX('[AQ_2022.xlsx]原始数据'!$F:$F,MATCH($A541,'[AQ_2022.xlsx]原始数据'!$A:$A,0)),""))</f>
        <v/>
      </c>
      <c r="Y541">
        <f>IF($A541="","",IFERROR(INDEX('[AQ_2023.xlsx]原始数据'!$F:$F,MATCH($A541,'[AQ_2023.xlsx]原始数据'!$A:$A,0)),""))</f>
        <v/>
      </c>
      <c r="Z541">
        <f>IF($A541="","",IFERROR(INDEX('[AQ_2024.xlsx]原始数据'!$F:$F,MATCH($A541,'[AQ_2024.xlsx]原始数据'!$A:$A,0)),""))</f>
        <v/>
      </c>
      <c r="AA541" s="2">
        <f>IFERROR(G541/B541,"")</f>
        <v/>
      </c>
      <c r="AB541" s="2">
        <f>IFERROR(H541/C541,"")</f>
        <v/>
      </c>
      <c r="AC541" s="2">
        <f>IFERROR(I541/D541,"")</f>
        <v/>
      </c>
      <c r="AD541" s="2">
        <f>IFERROR(J541/E541,"")</f>
        <v/>
      </c>
      <c r="AE541" s="2">
        <f>IFERROR(K541/F541,"")</f>
        <v/>
      </c>
      <c r="AF541" s="2">
        <f>IFERROR(L541/B541,"")</f>
        <v/>
      </c>
      <c r="AG541" s="2">
        <f>IFERROR(M541/C541,"")</f>
        <v/>
      </c>
      <c r="AH541" s="2">
        <f>IFERROR(N541/D541,"")</f>
        <v/>
      </c>
      <c r="AI541" s="2">
        <f>IFERROR(O541/E541,"")</f>
        <v/>
      </c>
      <c r="AJ541" s="2">
        <f>IFERROR(P541/F541,"")</f>
        <v/>
      </c>
      <c r="AK541" s="2">
        <f>IFERROR(Q541/B541,"")</f>
        <v/>
      </c>
      <c r="AL541" s="2">
        <f>IFERROR(R541/C541,"")</f>
        <v/>
      </c>
      <c r="AM541" s="2">
        <f>IFERROR(S541/D541,"")</f>
        <v/>
      </c>
      <c r="AN541" s="2">
        <f>IFERROR(T541/E541,"")</f>
        <v/>
      </c>
      <c r="AO541" s="2">
        <f>IFERROR(U541/F541,"")</f>
        <v/>
      </c>
    </row>
    <row r="542">
      <c r="B542">
        <f>IF($A542="","",IFERROR(INDEX('[AQ_2020.xlsx]原始数据'!$B:$B,MATCH($A542,'[AQ_2020.xlsx]原始数据'!$A:$A,0)),""))</f>
        <v/>
      </c>
      <c r="C542">
        <f>IF($A542="","",IFERROR(INDEX('[AQ_2021.xlsx]原始数据'!$B:$B,MATCH($A542,'[AQ_2021.xlsx]原始数据'!$A:$A,0)),""))</f>
        <v/>
      </c>
      <c r="D542">
        <f>IF($A542="","",IFERROR(INDEX('[AQ_2022.xlsx]原始数据'!$B:$B,MATCH($A542,'[AQ_2022.xlsx]原始数据'!$A:$A,0)),""))</f>
        <v/>
      </c>
      <c r="E542">
        <f>IF($A542="","",IFERROR(INDEX('[AQ_2023.xlsx]原始数据'!$B:$B,MATCH($A542,'[AQ_2023.xlsx]原始数据'!$A:$A,0)),""))</f>
        <v/>
      </c>
      <c r="F542">
        <f>IF($A542="","",IFERROR(INDEX('[AQ_2024.xlsx]原始数据'!$B:$B,MATCH($A542,'[AQ_2024.xlsx]原始数据'!$A:$A,0)),""))</f>
        <v/>
      </c>
      <c r="G542">
        <f>IF($A542="","",IFERROR(INDEX('[AQ_2020.xlsx]原始数据'!$C:$C,MATCH($A542,'[AQ_2020.xlsx]原始数据'!$A:$A,0)),""))</f>
        <v/>
      </c>
      <c r="H542">
        <f>IF($A542="","",IFERROR(INDEX('[AQ_2021.xlsx]原始数据'!$C:$C,MATCH($A542,'[AQ_2021.xlsx]原始数据'!$A:$A,0)),""))</f>
        <v/>
      </c>
      <c r="I542">
        <f>IF($A542="","",IFERROR(INDEX('[AQ_2022.xlsx]原始数据'!$C:$C,MATCH($A542,'[AQ_2022.xlsx]原始数据'!$A:$A,0)),""))</f>
        <v/>
      </c>
      <c r="J542">
        <f>IF($A542="","",IFERROR(INDEX('[AQ_2023.xlsx]原始数据'!$C:$C,MATCH($A542,'[AQ_2023.xlsx]原始数据'!$A:$A,0)),""))</f>
        <v/>
      </c>
      <c r="K542">
        <f>IF($A542="","",IFERROR(INDEX('[AQ_2024.xlsx]原始数据'!$C:$C,MATCH($A542,'[AQ_2024.xlsx]原始数据'!$A:$A,0)),""))</f>
        <v/>
      </c>
      <c r="L542">
        <f>IF($A542="","",IFERROR(INDEX('[AQ_2020.xlsx]原始数据'!$D:$D,MATCH($A542,'[AQ_2020.xlsx]原始数据'!$A:$A,0)),""))</f>
        <v/>
      </c>
      <c r="M542">
        <f>IF($A542="","",IFERROR(INDEX('[AQ_2021.xlsx]原始数据'!$D:$D,MATCH($A542,'[AQ_2021.xlsx]原始数据'!$A:$A,0)),""))</f>
        <v/>
      </c>
      <c r="N542">
        <f>IF($A542="","",IFERROR(INDEX('[AQ_2022.xlsx]原始数据'!$D:$D,MATCH($A542,'[AQ_2022.xlsx]原始数据'!$A:$A,0)),""))</f>
        <v/>
      </c>
      <c r="O542">
        <f>IF($A542="","",IFERROR(INDEX('[AQ_2023.xlsx]原始数据'!$D:$D,MATCH($A542,'[AQ_2023.xlsx]原始数据'!$A:$A,0)),""))</f>
        <v/>
      </c>
      <c r="P542">
        <f>IF($A542="","",IFERROR(INDEX('[AQ_2024.xlsx]原始数据'!$D:$D,MATCH($A542,'[AQ_2024.xlsx]原始数据'!$A:$A,0)),""))</f>
        <v/>
      </c>
      <c r="Q542">
        <f>IF($A542="","",IFERROR(INDEX('[AQ_2020.xlsx]原始数据'!$E:$E,MATCH($A542,'[AQ_2020.xlsx]原始数据'!$A:$A,0)),""))</f>
        <v/>
      </c>
      <c r="R542">
        <f>IF($A542="","",IFERROR(INDEX('[AQ_2021.xlsx]原始数据'!$E:$E,MATCH($A542,'[AQ_2021.xlsx]原始数据'!$A:$A,0)),""))</f>
        <v/>
      </c>
      <c r="S542">
        <f>IF($A542="","",IFERROR(INDEX('[AQ_2022.xlsx]原始数据'!$E:$E,MATCH($A542,'[AQ_2022.xlsx]原始数据'!$A:$A,0)),""))</f>
        <v/>
      </c>
      <c r="T542">
        <f>IF($A542="","",IFERROR(INDEX('[AQ_2023.xlsx]原始数据'!$E:$E,MATCH($A542,'[AQ_2023.xlsx]原始数据'!$A:$A,0)),""))</f>
        <v/>
      </c>
      <c r="U542">
        <f>IF($A542="","",IFERROR(INDEX('[AQ_2024.xlsx]原始数据'!$E:$E,MATCH($A542,'[AQ_2024.xlsx]原始数据'!$A:$A,0)),""))</f>
        <v/>
      </c>
      <c r="V542">
        <f>IF($A542="","",IFERROR(INDEX('[AQ_2020.xlsx]原始数据'!$F:$F,MATCH($A542,'[AQ_2020.xlsx]原始数据'!$A:$A,0)),""))</f>
        <v/>
      </c>
      <c r="W542">
        <f>IF($A542="","",IFERROR(INDEX('[AQ_2021.xlsx]原始数据'!$F:$F,MATCH($A542,'[AQ_2021.xlsx]原始数据'!$A:$A,0)),""))</f>
        <v/>
      </c>
      <c r="X542">
        <f>IF($A542="","",IFERROR(INDEX('[AQ_2022.xlsx]原始数据'!$F:$F,MATCH($A542,'[AQ_2022.xlsx]原始数据'!$A:$A,0)),""))</f>
        <v/>
      </c>
      <c r="Y542">
        <f>IF($A542="","",IFERROR(INDEX('[AQ_2023.xlsx]原始数据'!$F:$F,MATCH($A542,'[AQ_2023.xlsx]原始数据'!$A:$A,0)),""))</f>
        <v/>
      </c>
      <c r="Z542">
        <f>IF($A542="","",IFERROR(INDEX('[AQ_2024.xlsx]原始数据'!$F:$F,MATCH($A542,'[AQ_2024.xlsx]原始数据'!$A:$A,0)),""))</f>
        <v/>
      </c>
      <c r="AA542" s="2">
        <f>IFERROR(G542/B542,"")</f>
        <v/>
      </c>
      <c r="AB542" s="2">
        <f>IFERROR(H542/C542,"")</f>
        <v/>
      </c>
      <c r="AC542" s="2">
        <f>IFERROR(I542/D542,"")</f>
        <v/>
      </c>
      <c r="AD542" s="2">
        <f>IFERROR(J542/E542,"")</f>
        <v/>
      </c>
      <c r="AE542" s="2">
        <f>IFERROR(K542/F542,"")</f>
        <v/>
      </c>
      <c r="AF542" s="2">
        <f>IFERROR(L542/B542,"")</f>
        <v/>
      </c>
      <c r="AG542" s="2">
        <f>IFERROR(M542/C542,"")</f>
        <v/>
      </c>
      <c r="AH542" s="2">
        <f>IFERROR(N542/D542,"")</f>
        <v/>
      </c>
      <c r="AI542" s="2">
        <f>IFERROR(O542/E542,"")</f>
        <v/>
      </c>
      <c r="AJ542" s="2">
        <f>IFERROR(P542/F542,"")</f>
        <v/>
      </c>
      <c r="AK542" s="2">
        <f>IFERROR(Q542/B542,"")</f>
        <v/>
      </c>
      <c r="AL542" s="2">
        <f>IFERROR(R542/C542,"")</f>
        <v/>
      </c>
      <c r="AM542" s="2">
        <f>IFERROR(S542/D542,"")</f>
        <v/>
      </c>
      <c r="AN542" s="2">
        <f>IFERROR(T542/E542,"")</f>
        <v/>
      </c>
      <c r="AO542" s="2">
        <f>IFERROR(U542/F542,"")</f>
        <v/>
      </c>
    </row>
    <row r="543">
      <c r="B543">
        <f>IF($A543="","",IFERROR(INDEX('[AQ_2020.xlsx]原始数据'!$B:$B,MATCH($A543,'[AQ_2020.xlsx]原始数据'!$A:$A,0)),""))</f>
        <v/>
      </c>
      <c r="C543">
        <f>IF($A543="","",IFERROR(INDEX('[AQ_2021.xlsx]原始数据'!$B:$B,MATCH($A543,'[AQ_2021.xlsx]原始数据'!$A:$A,0)),""))</f>
        <v/>
      </c>
      <c r="D543">
        <f>IF($A543="","",IFERROR(INDEX('[AQ_2022.xlsx]原始数据'!$B:$B,MATCH($A543,'[AQ_2022.xlsx]原始数据'!$A:$A,0)),""))</f>
        <v/>
      </c>
      <c r="E543">
        <f>IF($A543="","",IFERROR(INDEX('[AQ_2023.xlsx]原始数据'!$B:$B,MATCH($A543,'[AQ_2023.xlsx]原始数据'!$A:$A,0)),""))</f>
        <v/>
      </c>
      <c r="F543">
        <f>IF($A543="","",IFERROR(INDEX('[AQ_2024.xlsx]原始数据'!$B:$B,MATCH($A543,'[AQ_2024.xlsx]原始数据'!$A:$A,0)),""))</f>
        <v/>
      </c>
      <c r="G543">
        <f>IF($A543="","",IFERROR(INDEX('[AQ_2020.xlsx]原始数据'!$C:$C,MATCH($A543,'[AQ_2020.xlsx]原始数据'!$A:$A,0)),""))</f>
        <v/>
      </c>
      <c r="H543">
        <f>IF($A543="","",IFERROR(INDEX('[AQ_2021.xlsx]原始数据'!$C:$C,MATCH($A543,'[AQ_2021.xlsx]原始数据'!$A:$A,0)),""))</f>
        <v/>
      </c>
      <c r="I543">
        <f>IF($A543="","",IFERROR(INDEX('[AQ_2022.xlsx]原始数据'!$C:$C,MATCH($A543,'[AQ_2022.xlsx]原始数据'!$A:$A,0)),""))</f>
        <v/>
      </c>
      <c r="J543">
        <f>IF($A543="","",IFERROR(INDEX('[AQ_2023.xlsx]原始数据'!$C:$C,MATCH($A543,'[AQ_2023.xlsx]原始数据'!$A:$A,0)),""))</f>
        <v/>
      </c>
      <c r="K543">
        <f>IF($A543="","",IFERROR(INDEX('[AQ_2024.xlsx]原始数据'!$C:$C,MATCH($A543,'[AQ_2024.xlsx]原始数据'!$A:$A,0)),""))</f>
        <v/>
      </c>
      <c r="L543">
        <f>IF($A543="","",IFERROR(INDEX('[AQ_2020.xlsx]原始数据'!$D:$D,MATCH($A543,'[AQ_2020.xlsx]原始数据'!$A:$A,0)),""))</f>
        <v/>
      </c>
      <c r="M543">
        <f>IF($A543="","",IFERROR(INDEX('[AQ_2021.xlsx]原始数据'!$D:$D,MATCH($A543,'[AQ_2021.xlsx]原始数据'!$A:$A,0)),""))</f>
        <v/>
      </c>
      <c r="N543">
        <f>IF($A543="","",IFERROR(INDEX('[AQ_2022.xlsx]原始数据'!$D:$D,MATCH($A543,'[AQ_2022.xlsx]原始数据'!$A:$A,0)),""))</f>
        <v/>
      </c>
      <c r="O543">
        <f>IF($A543="","",IFERROR(INDEX('[AQ_2023.xlsx]原始数据'!$D:$D,MATCH($A543,'[AQ_2023.xlsx]原始数据'!$A:$A,0)),""))</f>
        <v/>
      </c>
      <c r="P543">
        <f>IF($A543="","",IFERROR(INDEX('[AQ_2024.xlsx]原始数据'!$D:$D,MATCH($A543,'[AQ_2024.xlsx]原始数据'!$A:$A,0)),""))</f>
        <v/>
      </c>
      <c r="Q543">
        <f>IF($A543="","",IFERROR(INDEX('[AQ_2020.xlsx]原始数据'!$E:$E,MATCH($A543,'[AQ_2020.xlsx]原始数据'!$A:$A,0)),""))</f>
        <v/>
      </c>
      <c r="R543">
        <f>IF($A543="","",IFERROR(INDEX('[AQ_2021.xlsx]原始数据'!$E:$E,MATCH($A543,'[AQ_2021.xlsx]原始数据'!$A:$A,0)),""))</f>
        <v/>
      </c>
      <c r="S543">
        <f>IF($A543="","",IFERROR(INDEX('[AQ_2022.xlsx]原始数据'!$E:$E,MATCH($A543,'[AQ_2022.xlsx]原始数据'!$A:$A,0)),""))</f>
        <v/>
      </c>
      <c r="T543">
        <f>IF($A543="","",IFERROR(INDEX('[AQ_2023.xlsx]原始数据'!$E:$E,MATCH($A543,'[AQ_2023.xlsx]原始数据'!$A:$A,0)),""))</f>
        <v/>
      </c>
      <c r="U543">
        <f>IF($A543="","",IFERROR(INDEX('[AQ_2024.xlsx]原始数据'!$E:$E,MATCH($A543,'[AQ_2024.xlsx]原始数据'!$A:$A,0)),""))</f>
        <v/>
      </c>
      <c r="V543">
        <f>IF($A543="","",IFERROR(INDEX('[AQ_2020.xlsx]原始数据'!$F:$F,MATCH($A543,'[AQ_2020.xlsx]原始数据'!$A:$A,0)),""))</f>
        <v/>
      </c>
      <c r="W543">
        <f>IF($A543="","",IFERROR(INDEX('[AQ_2021.xlsx]原始数据'!$F:$F,MATCH($A543,'[AQ_2021.xlsx]原始数据'!$A:$A,0)),""))</f>
        <v/>
      </c>
      <c r="X543">
        <f>IF($A543="","",IFERROR(INDEX('[AQ_2022.xlsx]原始数据'!$F:$F,MATCH($A543,'[AQ_2022.xlsx]原始数据'!$A:$A,0)),""))</f>
        <v/>
      </c>
      <c r="Y543">
        <f>IF($A543="","",IFERROR(INDEX('[AQ_2023.xlsx]原始数据'!$F:$F,MATCH($A543,'[AQ_2023.xlsx]原始数据'!$A:$A,0)),""))</f>
        <v/>
      </c>
      <c r="Z543">
        <f>IF($A543="","",IFERROR(INDEX('[AQ_2024.xlsx]原始数据'!$F:$F,MATCH($A543,'[AQ_2024.xlsx]原始数据'!$A:$A,0)),""))</f>
        <v/>
      </c>
      <c r="AA543" s="2">
        <f>IFERROR(G543/B543,"")</f>
        <v/>
      </c>
      <c r="AB543" s="2">
        <f>IFERROR(H543/C543,"")</f>
        <v/>
      </c>
      <c r="AC543" s="2">
        <f>IFERROR(I543/D543,"")</f>
        <v/>
      </c>
      <c r="AD543" s="2">
        <f>IFERROR(J543/E543,"")</f>
        <v/>
      </c>
      <c r="AE543" s="2">
        <f>IFERROR(K543/F543,"")</f>
        <v/>
      </c>
      <c r="AF543" s="2">
        <f>IFERROR(L543/B543,"")</f>
        <v/>
      </c>
      <c r="AG543" s="2">
        <f>IFERROR(M543/C543,"")</f>
        <v/>
      </c>
      <c r="AH543" s="2">
        <f>IFERROR(N543/D543,"")</f>
        <v/>
      </c>
      <c r="AI543" s="2">
        <f>IFERROR(O543/E543,"")</f>
        <v/>
      </c>
      <c r="AJ543" s="2">
        <f>IFERROR(P543/F543,"")</f>
        <v/>
      </c>
      <c r="AK543" s="2">
        <f>IFERROR(Q543/B543,"")</f>
        <v/>
      </c>
      <c r="AL543" s="2">
        <f>IFERROR(R543/C543,"")</f>
        <v/>
      </c>
      <c r="AM543" s="2">
        <f>IFERROR(S543/D543,"")</f>
        <v/>
      </c>
      <c r="AN543" s="2">
        <f>IFERROR(T543/E543,"")</f>
        <v/>
      </c>
      <c r="AO543" s="2">
        <f>IFERROR(U543/F543,"")</f>
        <v/>
      </c>
    </row>
    <row r="544">
      <c r="B544">
        <f>IF($A544="","",IFERROR(INDEX('[AQ_2020.xlsx]原始数据'!$B:$B,MATCH($A544,'[AQ_2020.xlsx]原始数据'!$A:$A,0)),""))</f>
        <v/>
      </c>
      <c r="C544">
        <f>IF($A544="","",IFERROR(INDEX('[AQ_2021.xlsx]原始数据'!$B:$B,MATCH($A544,'[AQ_2021.xlsx]原始数据'!$A:$A,0)),""))</f>
        <v/>
      </c>
      <c r="D544">
        <f>IF($A544="","",IFERROR(INDEX('[AQ_2022.xlsx]原始数据'!$B:$B,MATCH($A544,'[AQ_2022.xlsx]原始数据'!$A:$A,0)),""))</f>
        <v/>
      </c>
      <c r="E544">
        <f>IF($A544="","",IFERROR(INDEX('[AQ_2023.xlsx]原始数据'!$B:$B,MATCH($A544,'[AQ_2023.xlsx]原始数据'!$A:$A,0)),""))</f>
        <v/>
      </c>
      <c r="F544">
        <f>IF($A544="","",IFERROR(INDEX('[AQ_2024.xlsx]原始数据'!$B:$B,MATCH($A544,'[AQ_2024.xlsx]原始数据'!$A:$A,0)),""))</f>
        <v/>
      </c>
      <c r="G544">
        <f>IF($A544="","",IFERROR(INDEX('[AQ_2020.xlsx]原始数据'!$C:$C,MATCH($A544,'[AQ_2020.xlsx]原始数据'!$A:$A,0)),""))</f>
        <v/>
      </c>
      <c r="H544">
        <f>IF($A544="","",IFERROR(INDEX('[AQ_2021.xlsx]原始数据'!$C:$C,MATCH($A544,'[AQ_2021.xlsx]原始数据'!$A:$A,0)),""))</f>
        <v/>
      </c>
      <c r="I544">
        <f>IF($A544="","",IFERROR(INDEX('[AQ_2022.xlsx]原始数据'!$C:$C,MATCH($A544,'[AQ_2022.xlsx]原始数据'!$A:$A,0)),""))</f>
        <v/>
      </c>
      <c r="J544">
        <f>IF($A544="","",IFERROR(INDEX('[AQ_2023.xlsx]原始数据'!$C:$C,MATCH($A544,'[AQ_2023.xlsx]原始数据'!$A:$A,0)),""))</f>
        <v/>
      </c>
      <c r="K544">
        <f>IF($A544="","",IFERROR(INDEX('[AQ_2024.xlsx]原始数据'!$C:$C,MATCH($A544,'[AQ_2024.xlsx]原始数据'!$A:$A,0)),""))</f>
        <v/>
      </c>
      <c r="L544">
        <f>IF($A544="","",IFERROR(INDEX('[AQ_2020.xlsx]原始数据'!$D:$D,MATCH($A544,'[AQ_2020.xlsx]原始数据'!$A:$A,0)),""))</f>
        <v/>
      </c>
      <c r="M544">
        <f>IF($A544="","",IFERROR(INDEX('[AQ_2021.xlsx]原始数据'!$D:$D,MATCH($A544,'[AQ_2021.xlsx]原始数据'!$A:$A,0)),""))</f>
        <v/>
      </c>
      <c r="N544">
        <f>IF($A544="","",IFERROR(INDEX('[AQ_2022.xlsx]原始数据'!$D:$D,MATCH($A544,'[AQ_2022.xlsx]原始数据'!$A:$A,0)),""))</f>
        <v/>
      </c>
      <c r="O544">
        <f>IF($A544="","",IFERROR(INDEX('[AQ_2023.xlsx]原始数据'!$D:$D,MATCH($A544,'[AQ_2023.xlsx]原始数据'!$A:$A,0)),""))</f>
        <v/>
      </c>
      <c r="P544">
        <f>IF($A544="","",IFERROR(INDEX('[AQ_2024.xlsx]原始数据'!$D:$D,MATCH($A544,'[AQ_2024.xlsx]原始数据'!$A:$A,0)),""))</f>
        <v/>
      </c>
      <c r="Q544">
        <f>IF($A544="","",IFERROR(INDEX('[AQ_2020.xlsx]原始数据'!$E:$E,MATCH($A544,'[AQ_2020.xlsx]原始数据'!$A:$A,0)),""))</f>
        <v/>
      </c>
      <c r="R544">
        <f>IF($A544="","",IFERROR(INDEX('[AQ_2021.xlsx]原始数据'!$E:$E,MATCH($A544,'[AQ_2021.xlsx]原始数据'!$A:$A,0)),""))</f>
        <v/>
      </c>
      <c r="S544">
        <f>IF($A544="","",IFERROR(INDEX('[AQ_2022.xlsx]原始数据'!$E:$E,MATCH($A544,'[AQ_2022.xlsx]原始数据'!$A:$A,0)),""))</f>
        <v/>
      </c>
      <c r="T544">
        <f>IF($A544="","",IFERROR(INDEX('[AQ_2023.xlsx]原始数据'!$E:$E,MATCH($A544,'[AQ_2023.xlsx]原始数据'!$A:$A,0)),""))</f>
        <v/>
      </c>
      <c r="U544">
        <f>IF($A544="","",IFERROR(INDEX('[AQ_2024.xlsx]原始数据'!$E:$E,MATCH($A544,'[AQ_2024.xlsx]原始数据'!$A:$A,0)),""))</f>
        <v/>
      </c>
      <c r="V544">
        <f>IF($A544="","",IFERROR(INDEX('[AQ_2020.xlsx]原始数据'!$F:$F,MATCH($A544,'[AQ_2020.xlsx]原始数据'!$A:$A,0)),""))</f>
        <v/>
      </c>
      <c r="W544">
        <f>IF($A544="","",IFERROR(INDEX('[AQ_2021.xlsx]原始数据'!$F:$F,MATCH($A544,'[AQ_2021.xlsx]原始数据'!$A:$A,0)),""))</f>
        <v/>
      </c>
      <c r="X544">
        <f>IF($A544="","",IFERROR(INDEX('[AQ_2022.xlsx]原始数据'!$F:$F,MATCH($A544,'[AQ_2022.xlsx]原始数据'!$A:$A,0)),""))</f>
        <v/>
      </c>
      <c r="Y544">
        <f>IF($A544="","",IFERROR(INDEX('[AQ_2023.xlsx]原始数据'!$F:$F,MATCH($A544,'[AQ_2023.xlsx]原始数据'!$A:$A,0)),""))</f>
        <v/>
      </c>
      <c r="Z544">
        <f>IF($A544="","",IFERROR(INDEX('[AQ_2024.xlsx]原始数据'!$F:$F,MATCH($A544,'[AQ_2024.xlsx]原始数据'!$A:$A,0)),""))</f>
        <v/>
      </c>
      <c r="AA544" s="2">
        <f>IFERROR(G544/B544,"")</f>
        <v/>
      </c>
      <c r="AB544" s="2">
        <f>IFERROR(H544/C544,"")</f>
        <v/>
      </c>
      <c r="AC544" s="2">
        <f>IFERROR(I544/D544,"")</f>
        <v/>
      </c>
      <c r="AD544" s="2">
        <f>IFERROR(J544/E544,"")</f>
        <v/>
      </c>
      <c r="AE544" s="2">
        <f>IFERROR(K544/F544,"")</f>
        <v/>
      </c>
      <c r="AF544" s="2">
        <f>IFERROR(L544/B544,"")</f>
        <v/>
      </c>
      <c r="AG544" s="2">
        <f>IFERROR(M544/C544,"")</f>
        <v/>
      </c>
      <c r="AH544" s="2">
        <f>IFERROR(N544/D544,"")</f>
        <v/>
      </c>
      <c r="AI544" s="2">
        <f>IFERROR(O544/E544,"")</f>
        <v/>
      </c>
      <c r="AJ544" s="2">
        <f>IFERROR(P544/F544,"")</f>
        <v/>
      </c>
      <c r="AK544" s="2">
        <f>IFERROR(Q544/B544,"")</f>
        <v/>
      </c>
      <c r="AL544" s="2">
        <f>IFERROR(R544/C544,"")</f>
        <v/>
      </c>
      <c r="AM544" s="2">
        <f>IFERROR(S544/D544,"")</f>
        <v/>
      </c>
      <c r="AN544" s="2">
        <f>IFERROR(T544/E544,"")</f>
        <v/>
      </c>
      <c r="AO544" s="2">
        <f>IFERROR(U544/F544,"")</f>
        <v/>
      </c>
    </row>
    <row r="545">
      <c r="B545">
        <f>IF($A545="","",IFERROR(INDEX('[AQ_2020.xlsx]原始数据'!$B:$B,MATCH($A545,'[AQ_2020.xlsx]原始数据'!$A:$A,0)),""))</f>
        <v/>
      </c>
      <c r="C545">
        <f>IF($A545="","",IFERROR(INDEX('[AQ_2021.xlsx]原始数据'!$B:$B,MATCH($A545,'[AQ_2021.xlsx]原始数据'!$A:$A,0)),""))</f>
        <v/>
      </c>
      <c r="D545">
        <f>IF($A545="","",IFERROR(INDEX('[AQ_2022.xlsx]原始数据'!$B:$B,MATCH($A545,'[AQ_2022.xlsx]原始数据'!$A:$A,0)),""))</f>
        <v/>
      </c>
      <c r="E545">
        <f>IF($A545="","",IFERROR(INDEX('[AQ_2023.xlsx]原始数据'!$B:$B,MATCH($A545,'[AQ_2023.xlsx]原始数据'!$A:$A,0)),""))</f>
        <v/>
      </c>
      <c r="F545">
        <f>IF($A545="","",IFERROR(INDEX('[AQ_2024.xlsx]原始数据'!$B:$B,MATCH($A545,'[AQ_2024.xlsx]原始数据'!$A:$A,0)),""))</f>
        <v/>
      </c>
      <c r="G545">
        <f>IF($A545="","",IFERROR(INDEX('[AQ_2020.xlsx]原始数据'!$C:$C,MATCH($A545,'[AQ_2020.xlsx]原始数据'!$A:$A,0)),""))</f>
        <v/>
      </c>
      <c r="H545">
        <f>IF($A545="","",IFERROR(INDEX('[AQ_2021.xlsx]原始数据'!$C:$C,MATCH($A545,'[AQ_2021.xlsx]原始数据'!$A:$A,0)),""))</f>
        <v/>
      </c>
      <c r="I545">
        <f>IF($A545="","",IFERROR(INDEX('[AQ_2022.xlsx]原始数据'!$C:$C,MATCH($A545,'[AQ_2022.xlsx]原始数据'!$A:$A,0)),""))</f>
        <v/>
      </c>
      <c r="J545">
        <f>IF($A545="","",IFERROR(INDEX('[AQ_2023.xlsx]原始数据'!$C:$C,MATCH($A545,'[AQ_2023.xlsx]原始数据'!$A:$A,0)),""))</f>
        <v/>
      </c>
      <c r="K545">
        <f>IF($A545="","",IFERROR(INDEX('[AQ_2024.xlsx]原始数据'!$C:$C,MATCH($A545,'[AQ_2024.xlsx]原始数据'!$A:$A,0)),""))</f>
        <v/>
      </c>
      <c r="L545">
        <f>IF($A545="","",IFERROR(INDEX('[AQ_2020.xlsx]原始数据'!$D:$D,MATCH($A545,'[AQ_2020.xlsx]原始数据'!$A:$A,0)),""))</f>
        <v/>
      </c>
      <c r="M545">
        <f>IF($A545="","",IFERROR(INDEX('[AQ_2021.xlsx]原始数据'!$D:$D,MATCH($A545,'[AQ_2021.xlsx]原始数据'!$A:$A,0)),""))</f>
        <v/>
      </c>
      <c r="N545">
        <f>IF($A545="","",IFERROR(INDEX('[AQ_2022.xlsx]原始数据'!$D:$D,MATCH($A545,'[AQ_2022.xlsx]原始数据'!$A:$A,0)),""))</f>
        <v/>
      </c>
      <c r="O545">
        <f>IF($A545="","",IFERROR(INDEX('[AQ_2023.xlsx]原始数据'!$D:$D,MATCH($A545,'[AQ_2023.xlsx]原始数据'!$A:$A,0)),""))</f>
        <v/>
      </c>
      <c r="P545">
        <f>IF($A545="","",IFERROR(INDEX('[AQ_2024.xlsx]原始数据'!$D:$D,MATCH($A545,'[AQ_2024.xlsx]原始数据'!$A:$A,0)),""))</f>
        <v/>
      </c>
      <c r="Q545">
        <f>IF($A545="","",IFERROR(INDEX('[AQ_2020.xlsx]原始数据'!$E:$E,MATCH($A545,'[AQ_2020.xlsx]原始数据'!$A:$A,0)),""))</f>
        <v/>
      </c>
      <c r="R545">
        <f>IF($A545="","",IFERROR(INDEX('[AQ_2021.xlsx]原始数据'!$E:$E,MATCH($A545,'[AQ_2021.xlsx]原始数据'!$A:$A,0)),""))</f>
        <v/>
      </c>
      <c r="S545">
        <f>IF($A545="","",IFERROR(INDEX('[AQ_2022.xlsx]原始数据'!$E:$E,MATCH($A545,'[AQ_2022.xlsx]原始数据'!$A:$A,0)),""))</f>
        <v/>
      </c>
      <c r="T545">
        <f>IF($A545="","",IFERROR(INDEX('[AQ_2023.xlsx]原始数据'!$E:$E,MATCH($A545,'[AQ_2023.xlsx]原始数据'!$A:$A,0)),""))</f>
        <v/>
      </c>
      <c r="U545">
        <f>IF($A545="","",IFERROR(INDEX('[AQ_2024.xlsx]原始数据'!$E:$E,MATCH($A545,'[AQ_2024.xlsx]原始数据'!$A:$A,0)),""))</f>
        <v/>
      </c>
      <c r="V545">
        <f>IF($A545="","",IFERROR(INDEX('[AQ_2020.xlsx]原始数据'!$F:$F,MATCH($A545,'[AQ_2020.xlsx]原始数据'!$A:$A,0)),""))</f>
        <v/>
      </c>
      <c r="W545">
        <f>IF($A545="","",IFERROR(INDEX('[AQ_2021.xlsx]原始数据'!$F:$F,MATCH($A545,'[AQ_2021.xlsx]原始数据'!$A:$A,0)),""))</f>
        <v/>
      </c>
      <c r="X545">
        <f>IF($A545="","",IFERROR(INDEX('[AQ_2022.xlsx]原始数据'!$F:$F,MATCH($A545,'[AQ_2022.xlsx]原始数据'!$A:$A,0)),""))</f>
        <v/>
      </c>
      <c r="Y545">
        <f>IF($A545="","",IFERROR(INDEX('[AQ_2023.xlsx]原始数据'!$F:$F,MATCH($A545,'[AQ_2023.xlsx]原始数据'!$A:$A,0)),""))</f>
        <v/>
      </c>
      <c r="Z545">
        <f>IF($A545="","",IFERROR(INDEX('[AQ_2024.xlsx]原始数据'!$F:$F,MATCH($A545,'[AQ_2024.xlsx]原始数据'!$A:$A,0)),""))</f>
        <v/>
      </c>
      <c r="AA545" s="2">
        <f>IFERROR(G545/B545,"")</f>
        <v/>
      </c>
      <c r="AB545" s="2">
        <f>IFERROR(H545/C545,"")</f>
        <v/>
      </c>
      <c r="AC545" s="2">
        <f>IFERROR(I545/D545,"")</f>
        <v/>
      </c>
      <c r="AD545" s="2">
        <f>IFERROR(J545/E545,"")</f>
        <v/>
      </c>
      <c r="AE545" s="2">
        <f>IFERROR(K545/F545,"")</f>
        <v/>
      </c>
      <c r="AF545" s="2">
        <f>IFERROR(L545/B545,"")</f>
        <v/>
      </c>
      <c r="AG545" s="2">
        <f>IFERROR(M545/C545,"")</f>
        <v/>
      </c>
      <c r="AH545" s="2">
        <f>IFERROR(N545/D545,"")</f>
        <v/>
      </c>
      <c r="AI545" s="2">
        <f>IFERROR(O545/E545,"")</f>
        <v/>
      </c>
      <c r="AJ545" s="2">
        <f>IFERROR(P545/F545,"")</f>
        <v/>
      </c>
      <c r="AK545" s="2">
        <f>IFERROR(Q545/B545,"")</f>
        <v/>
      </c>
      <c r="AL545" s="2">
        <f>IFERROR(R545/C545,"")</f>
        <v/>
      </c>
      <c r="AM545" s="2">
        <f>IFERROR(S545/D545,"")</f>
        <v/>
      </c>
      <c r="AN545" s="2">
        <f>IFERROR(T545/E545,"")</f>
        <v/>
      </c>
      <c r="AO545" s="2">
        <f>IFERROR(U545/F545,"")</f>
        <v/>
      </c>
    </row>
    <row r="546">
      <c r="B546">
        <f>IF($A546="","",IFERROR(INDEX('[AQ_2020.xlsx]原始数据'!$B:$B,MATCH($A546,'[AQ_2020.xlsx]原始数据'!$A:$A,0)),""))</f>
        <v/>
      </c>
      <c r="C546">
        <f>IF($A546="","",IFERROR(INDEX('[AQ_2021.xlsx]原始数据'!$B:$B,MATCH($A546,'[AQ_2021.xlsx]原始数据'!$A:$A,0)),""))</f>
        <v/>
      </c>
      <c r="D546">
        <f>IF($A546="","",IFERROR(INDEX('[AQ_2022.xlsx]原始数据'!$B:$B,MATCH($A546,'[AQ_2022.xlsx]原始数据'!$A:$A,0)),""))</f>
        <v/>
      </c>
      <c r="E546">
        <f>IF($A546="","",IFERROR(INDEX('[AQ_2023.xlsx]原始数据'!$B:$B,MATCH($A546,'[AQ_2023.xlsx]原始数据'!$A:$A,0)),""))</f>
        <v/>
      </c>
      <c r="F546">
        <f>IF($A546="","",IFERROR(INDEX('[AQ_2024.xlsx]原始数据'!$B:$B,MATCH($A546,'[AQ_2024.xlsx]原始数据'!$A:$A,0)),""))</f>
        <v/>
      </c>
      <c r="G546">
        <f>IF($A546="","",IFERROR(INDEX('[AQ_2020.xlsx]原始数据'!$C:$C,MATCH($A546,'[AQ_2020.xlsx]原始数据'!$A:$A,0)),""))</f>
        <v/>
      </c>
      <c r="H546">
        <f>IF($A546="","",IFERROR(INDEX('[AQ_2021.xlsx]原始数据'!$C:$C,MATCH($A546,'[AQ_2021.xlsx]原始数据'!$A:$A,0)),""))</f>
        <v/>
      </c>
      <c r="I546">
        <f>IF($A546="","",IFERROR(INDEX('[AQ_2022.xlsx]原始数据'!$C:$C,MATCH($A546,'[AQ_2022.xlsx]原始数据'!$A:$A,0)),""))</f>
        <v/>
      </c>
      <c r="J546">
        <f>IF($A546="","",IFERROR(INDEX('[AQ_2023.xlsx]原始数据'!$C:$C,MATCH($A546,'[AQ_2023.xlsx]原始数据'!$A:$A,0)),""))</f>
        <v/>
      </c>
      <c r="K546">
        <f>IF($A546="","",IFERROR(INDEX('[AQ_2024.xlsx]原始数据'!$C:$C,MATCH($A546,'[AQ_2024.xlsx]原始数据'!$A:$A,0)),""))</f>
        <v/>
      </c>
      <c r="L546">
        <f>IF($A546="","",IFERROR(INDEX('[AQ_2020.xlsx]原始数据'!$D:$D,MATCH($A546,'[AQ_2020.xlsx]原始数据'!$A:$A,0)),""))</f>
        <v/>
      </c>
      <c r="M546">
        <f>IF($A546="","",IFERROR(INDEX('[AQ_2021.xlsx]原始数据'!$D:$D,MATCH($A546,'[AQ_2021.xlsx]原始数据'!$A:$A,0)),""))</f>
        <v/>
      </c>
      <c r="N546">
        <f>IF($A546="","",IFERROR(INDEX('[AQ_2022.xlsx]原始数据'!$D:$D,MATCH($A546,'[AQ_2022.xlsx]原始数据'!$A:$A,0)),""))</f>
        <v/>
      </c>
      <c r="O546">
        <f>IF($A546="","",IFERROR(INDEX('[AQ_2023.xlsx]原始数据'!$D:$D,MATCH($A546,'[AQ_2023.xlsx]原始数据'!$A:$A,0)),""))</f>
        <v/>
      </c>
      <c r="P546">
        <f>IF($A546="","",IFERROR(INDEX('[AQ_2024.xlsx]原始数据'!$D:$D,MATCH($A546,'[AQ_2024.xlsx]原始数据'!$A:$A,0)),""))</f>
        <v/>
      </c>
      <c r="Q546">
        <f>IF($A546="","",IFERROR(INDEX('[AQ_2020.xlsx]原始数据'!$E:$E,MATCH($A546,'[AQ_2020.xlsx]原始数据'!$A:$A,0)),""))</f>
        <v/>
      </c>
      <c r="R546">
        <f>IF($A546="","",IFERROR(INDEX('[AQ_2021.xlsx]原始数据'!$E:$E,MATCH($A546,'[AQ_2021.xlsx]原始数据'!$A:$A,0)),""))</f>
        <v/>
      </c>
      <c r="S546">
        <f>IF($A546="","",IFERROR(INDEX('[AQ_2022.xlsx]原始数据'!$E:$E,MATCH($A546,'[AQ_2022.xlsx]原始数据'!$A:$A,0)),""))</f>
        <v/>
      </c>
      <c r="T546">
        <f>IF($A546="","",IFERROR(INDEX('[AQ_2023.xlsx]原始数据'!$E:$E,MATCH($A546,'[AQ_2023.xlsx]原始数据'!$A:$A,0)),""))</f>
        <v/>
      </c>
      <c r="U546">
        <f>IF($A546="","",IFERROR(INDEX('[AQ_2024.xlsx]原始数据'!$E:$E,MATCH($A546,'[AQ_2024.xlsx]原始数据'!$A:$A,0)),""))</f>
        <v/>
      </c>
      <c r="V546">
        <f>IF($A546="","",IFERROR(INDEX('[AQ_2020.xlsx]原始数据'!$F:$F,MATCH($A546,'[AQ_2020.xlsx]原始数据'!$A:$A,0)),""))</f>
        <v/>
      </c>
      <c r="W546">
        <f>IF($A546="","",IFERROR(INDEX('[AQ_2021.xlsx]原始数据'!$F:$F,MATCH($A546,'[AQ_2021.xlsx]原始数据'!$A:$A,0)),""))</f>
        <v/>
      </c>
      <c r="X546">
        <f>IF($A546="","",IFERROR(INDEX('[AQ_2022.xlsx]原始数据'!$F:$F,MATCH($A546,'[AQ_2022.xlsx]原始数据'!$A:$A,0)),""))</f>
        <v/>
      </c>
      <c r="Y546">
        <f>IF($A546="","",IFERROR(INDEX('[AQ_2023.xlsx]原始数据'!$F:$F,MATCH($A546,'[AQ_2023.xlsx]原始数据'!$A:$A,0)),""))</f>
        <v/>
      </c>
      <c r="Z546">
        <f>IF($A546="","",IFERROR(INDEX('[AQ_2024.xlsx]原始数据'!$F:$F,MATCH($A546,'[AQ_2024.xlsx]原始数据'!$A:$A,0)),""))</f>
        <v/>
      </c>
      <c r="AA546" s="2">
        <f>IFERROR(G546/B546,"")</f>
        <v/>
      </c>
      <c r="AB546" s="2">
        <f>IFERROR(H546/C546,"")</f>
        <v/>
      </c>
      <c r="AC546" s="2">
        <f>IFERROR(I546/D546,"")</f>
        <v/>
      </c>
      <c r="AD546" s="2">
        <f>IFERROR(J546/E546,"")</f>
        <v/>
      </c>
      <c r="AE546" s="2">
        <f>IFERROR(K546/F546,"")</f>
        <v/>
      </c>
      <c r="AF546" s="2">
        <f>IFERROR(L546/B546,"")</f>
        <v/>
      </c>
      <c r="AG546" s="2">
        <f>IFERROR(M546/C546,"")</f>
        <v/>
      </c>
      <c r="AH546" s="2">
        <f>IFERROR(N546/D546,"")</f>
        <v/>
      </c>
      <c r="AI546" s="2">
        <f>IFERROR(O546/E546,"")</f>
        <v/>
      </c>
      <c r="AJ546" s="2">
        <f>IFERROR(P546/F546,"")</f>
        <v/>
      </c>
      <c r="AK546" s="2">
        <f>IFERROR(Q546/B546,"")</f>
        <v/>
      </c>
      <c r="AL546" s="2">
        <f>IFERROR(R546/C546,"")</f>
        <v/>
      </c>
      <c r="AM546" s="2">
        <f>IFERROR(S546/D546,"")</f>
        <v/>
      </c>
      <c r="AN546" s="2">
        <f>IFERROR(T546/E546,"")</f>
        <v/>
      </c>
      <c r="AO546" s="2">
        <f>IFERROR(U546/F546,"")</f>
        <v/>
      </c>
    </row>
    <row r="547">
      <c r="B547">
        <f>IF($A547="","",IFERROR(INDEX('[AQ_2020.xlsx]原始数据'!$B:$B,MATCH($A547,'[AQ_2020.xlsx]原始数据'!$A:$A,0)),""))</f>
        <v/>
      </c>
      <c r="C547">
        <f>IF($A547="","",IFERROR(INDEX('[AQ_2021.xlsx]原始数据'!$B:$B,MATCH($A547,'[AQ_2021.xlsx]原始数据'!$A:$A,0)),""))</f>
        <v/>
      </c>
      <c r="D547">
        <f>IF($A547="","",IFERROR(INDEX('[AQ_2022.xlsx]原始数据'!$B:$B,MATCH($A547,'[AQ_2022.xlsx]原始数据'!$A:$A,0)),""))</f>
        <v/>
      </c>
      <c r="E547">
        <f>IF($A547="","",IFERROR(INDEX('[AQ_2023.xlsx]原始数据'!$B:$B,MATCH($A547,'[AQ_2023.xlsx]原始数据'!$A:$A,0)),""))</f>
        <v/>
      </c>
      <c r="F547">
        <f>IF($A547="","",IFERROR(INDEX('[AQ_2024.xlsx]原始数据'!$B:$B,MATCH($A547,'[AQ_2024.xlsx]原始数据'!$A:$A,0)),""))</f>
        <v/>
      </c>
      <c r="G547">
        <f>IF($A547="","",IFERROR(INDEX('[AQ_2020.xlsx]原始数据'!$C:$C,MATCH($A547,'[AQ_2020.xlsx]原始数据'!$A:$A,0)),""))</f>
        <v/>
      </c>
      <c r="H547">
        <f>IF($A547="","",IFERROR(INDEX('[AQ_2021.xlsx]原始数据'!$C:$C,MATCH($A547,'[AQ_2021.xlsx]原始数据'!$A:$A,0)),""))</f>
        <v/>
      </c>
      <c r="I547">
        <f>IF($A547="","",IFERROR(INDEX('[AQ_2022.xlsx]原始数据'!$C:$C,MATCH($A547,'[AQ_2022.xlsx]原始数据'!$A:$A,0)),""))</f>
        <v/>
      </c>
      <c r="J547">
        <f>IF($A547="","",IFERROR(INDEX('[AQ_2023.xlsx]原始数据'!$C:$C,MATCH($A547,'[AQ_2023.xlsx]原始数据'!$A:$A,0)),""))</f>
        <v/>
      </c>
      <c r="K547">
        <f>IF($A547="","",IFERROR(INDEX('[AQ_2024.xlsx]原始数据'!$C:$C,MATCH($A547,'[AQ_2024.xlsx]原始数据'!$A:$A,0)),""))</f>
        <v/>
      </c>
      <c r="L547">
        <f>IF($A547="","",IFERROR(INDEX('[AQ_2020.xlsx]原始数据'!$D:$D,MATCH($A547,'[AQ_2020.xlsx]原始数据'!$A:$A,0)),""))</f>
        <v/>
      </c>
      <c r="M547">
        <f>IF($A547="","",IFERROR(INDEX('[AQ_2021.xlsx]原始数据'!$D:$D,MATCH($A547,'[AQ_2021.xlsx]原始数据'!$A:$A,0)),""))</f>
        <v/>
      </c>
      <c r="N547">
        <f>IF($A547="","",IFERROR(INDEX('[AQ_2022.xlsx]原始数据'!$D:$D,MATCH($A547,'[AQ_2022.xlsx]原始数据'!$A:$A,0)),""))</f>
        <v/>
      </c>
      <c r="O547">
        <f>IF($A547="","",IFERROR(INDEX('[AQ_2023.xlsx]原始数据'!$D:$D,MATCH($A547,'[AQ_2023.xlsx]原始数据'!$A:$A,0)),""))</f>
        <v/>
      </c>
      <c r="P547">
        <f>IF($A547="","",IFERROR(INDEX('[AQ_2024.xlsx]原始数据'!$D:$D,MATCH($A547,'[AQ_2024.xlsx]原始数据'!$A:$A,0)),""))</f>
        <v/>
      </c>
      <c r="Q547">
        <f>IF($A547="","",IFERROR(INDEX('[AQ_2020.xlsx]原始数据'!$E:$E,MATCH($A547,'[AQ_2020.xlsx]原始数据'!$A:$A,0)),""))</f>
        <v/>
      </c>
      <c r="R547">
        <f>IF($A547="","",IFERROR(INDEX('[AQ_2021.xlsx]原始数据'!$E:$E,MATCH($A547,'[AQ_2021.xlsx]原始数据'!$A:$A,0)),""))</f>
        <v/>
      </c>
      <c r="S547">
        <f>IF($A547="","",IFERROR(INDEX('[AQ_2022.xlsx]原始数据'!$E:$E,MATCH($A547,'[AQ_2022.xlsx]原始数据'!$A:$A,0)),""))</f>
        <v/>
      </c>
      <c r="T547">
        <f>IF($A547="","",IFERROR(INDEX('[AQ_2023.xlsx]原始数据'!$E:$E,MATCH($A547,'[AQ_2023.xlsx]原始数据'!$A:$A,0)),""))</f>
        <v/>
      </c>
      <c r="U547">
        <f>IF($A547="","",IFERROR(INDEX('[AQ_2024.xlsx]原始数据'!$E:$E,MATCH($A547,'[AQ_2024.xlsx]原始数据'!$A:$A,0)),""))</f>
        <v/>
      </c>
      <c r="V547">
        <f>IF($A547="","",IFERROR(INDEX('[AQ_2020.xlsx]原始数据'!$F:$F,MATCH($A547,'[AQ_2020.xlsx]原始数据'!$A:$A,0)),""))</f>
        <v/>
      </c>
      <c r="W547">
        <f>IF($A547="","",IFERROR(INDEX('[AQ_2021.xlsx]原始数据'!$F:$F,MATCH($A547,'[AQ_2021.xlsx]原始数据'!$A:$A,0)),""))</f>
        <v/>
      </c>
      <c r="X547">
        <f>IF($A547="","",IFERROR(INDEX('[AQ_2022.xlsx]原始数据'!$F:$F,MATCH($A547,'[AQ_2022.xlsx]原始数据'!$A:$A,0)),""))</f>
        <v/>
      </c>
      <c r="Y547">
        <f>IF($A547="","",IFERROR(INDEX('[AQ_2023.xlsx]原始数据'!$F:$F,MATCH($A547,'[AQ_2023.xlsx]原始数据'!$A:$A,0)),""))</f>
        <v/>
      </c>
      <c r="Z547">
        <f>IF($A547="","",IFERROR(INDEX('[AQ_2024.xlsx]原始数据'!$F:$F,MATCH($A547,'[AQ_2024.xlsx]原始数据'!$A:$A,0)),""))</f>
        <v/>
      </c>
      <c r="AA547" s="2">
        <f>IFERROR(G547/B547,"")</f>
        <v/>
      </c>
      <c r="AB547" s="2">
        <f>IFERROR(H547/C547,"")</f>
        <v/>
      </c>
      <c r="AC547" s="2">
        <f>IFERROR(I547/D547,"")</f>
        <v/>
      </c>
      <c r="AD547" s="2">
        <f>IFERROR(J547/E547,"")</f>
        <v/>
      </c>
      <c r="AE547" s="2">
        <f>IFERROR(K547/F547,"")</f>
        <v/>
      </c>
      <c r="AF547" s="2">
        <f>IFERROR(L547/B547,"")</f>
        <v/>
      </c>
      <c r="AG547" s="2">
        <f>IFERROR(M547/C547,"")</f>
        <v/>
      </c>
      <c r="AH547" s="2">
        <f>IFERROR(N547/D547,"")</f>
        <v/>
      </c>
      <c r="AI547" s="2">
        <f>IFERROR(O547/E547,"")</f>
        <v/>
      </c>
      <c r="AJ547" s="2">
        <f>IFERROR(P547/F547,"")</f>
        <v/>
      </c>
      <c r="AK547" s="2">
        <f>IFERROR(Q547/B547,"")</f>
        <v/>
      </c>
      <c r="AL547" s="2">
        <f>IFERROR(R547/C547,"")</f>
        <v/>
      </c>
      <c r="AM547" s="2">
        <f>IFERROR(S547/D547,"")</f>
        <v/>
      </c>
      <c r="AN547" s="2">
        <f>IFERROR(T547/E547,"")</f>
        <v/>
      </c>
      <c r="AO547" s="2">
        <f>IFERROR(U547/F547,"")</f>
        <v/>
      </c>
    </row>
    <row r="548">
      <c r="B548">
        <f>IF($A548="","",IFERROR(INDEX('[AQ_2020.xlsx]原始数据'!$B:$B,MATCH($A548,'[AQ_2020.xlsx]原始数据'!$A:$A,0)),""))</f>
        <v/>
      </c>
      <c r="C548">
        <f>IF($A548="","",IFERROR(INDEX('[AQ_2021.xlsx]原始数据'!$B:$B,MATCH($A548,'[AQ_2021.xlsx]原始数据'!$A:$A,0)),""))</f>
        <v/>
      </c>
      <c r="D548">
        <f>IF($A548="","",IFERROR(INDEX('[AQ_2022.xlsx]原始数据'!$B:$B,MATCH($A548,'[AQ_2022.xlsx]原始数据'!$A:$A,0)),""))</f>
        <v/>
      </c>
      <c r="E548">
        <f>IF($A548="","",IFERROR(INDEX('[AQ_2023.xlsx]原始数据'!$B:$B,MATCH($A548,'[AQ_2023.xlsx]原始数据'!$A:$A,0)),""))</f>
        <v/>
      </c>
      <c r="F548">
        <f>IF($A548="","",IFERROR(INDEX('[AQ_2024.xlsx]原始数据'!$B:$B,MATCH($A548,'[AQ_2024.xlsx]原始数据'!$A:$A,0)),""))</f>
        <v/>
      </c>
      <c r="G548">
        <f>IF($A548="","",IFERROR(INDEX('[AQ_2020.xlsx]原始数据'!$C:$C,MATCH($A548,'[AQ_2020.xlsx]原始数据'!$A:$A,0)),""))</f>
        <v/>
      </c>
      <c r="H548">
        <f>IF($A548="","",IFERROR(INDEX('[AQ_2021.xlsx]原始数据'!$C:$C,MATCH($A548,'[AQ_2021.xlsx]原始数据'!$A:$A,0)),""))</f>
        <v/>
      </c>
      <c r="I548">
        <f>IF($A548="","",IFERROR(INDEX('[AQ_2022.xlsx]原始数据'!$C:$C,MATCH($A548,'[AQ_2022.xlsx]原始数据'!$A:$A,0)),""))</f>
        <v/>
      </c>
      <c r="J548">
        <f>IF($A548="","",IFERROR(INDEX('[AQ_2023.xlsx]原始数据'!$C:$C,MATCH($A548,'[AQ_2023.xlsx]原始数据'!$A:$A,0)),""))</f>
        <v/>
      </c>
      <c r="K548">
        <f>IF($A548="","",IFERROR(INDEX('[AQ_2024.xlsx]原始数据'!$C:$C,MATCH($A548,'[AQ_2024.xlsx]原始数据'!$A:$A,0)),""))</f>
        <v/>
      </c>
      <c r="L548">
        <f>IF($A548="","",IFERROR(INDEX('[AQ_2020.xlsx]原始数据'!$D:$D,MATCH($A548,'[AQ_2020.xlsx]原始数据'!$A:$A,0)),""))</f>
        <v/>
      </c>
      <c r="M548">
        <f>IF($A548="","",IFERROR(INDEX('[AQ_2021.xlsx]原始数据'!$D:$D,MATCH($A548,'[AQ_2021.xlsx]原始数据'!$A:$A,0)),""))</f>
        <v/>
      </c>
      <c r="N548">
        <f>IF($A548="","",IFERROR(INDEX('[AQ_2022.xlsx]原始数据'!$D:$D,MATCH($A548,'[AQ_2022.xlsx]原始数据'!$A:$A,0)),""))</f>
        <v/>
      </c>
      <c r="O548">
        <f>IF($A548="","",IFERROR(INDEX('[AQ_2023.xlsx]原始数据'!$D:$D,MATCH($A548,'[AQ_2023.xlsx]原始数据'!$A:$A,0)),""))</f>
        <v/>
      </c>
      <c r="P548">
        <f>IF($A548="","",IFERROR(INDEX('[AQ_2024.xlsx]原始数据'!$D:$D,MATCH($A548,'[AQ_2024.xlsx]原始数据'!$A:$A,0)),""))</f>
        <v/>
      </c>
      <c r="Q548">
        <f>IF($A548="","",IFERROR(INDEX('[AQ_2020.xlsx]原始数据'!$E:$E,MATCH($A548,'[AQ_2020.xlsx]原始数据'!$A:$A,0)),""))</f>
        <v/>
      </c>
      <c r="R548">
        <f>IF($A548="","",IFERROR(INDEX('[AQ_2021.xlsx]原始数据'!$E:$E,MATCH($A548,'[AQ_2021.xlsx]原始数据'!$A:$A,0)),""))</f>
        <v/>
      </c>
      <c r="S548">
        <f>IF($A548="","",IFERROR(INDEX('[AQ_2022.xlsx]原始数据'!$E:$E,MATCH($A548,'[AQ_2022.xlsx]原始数据'!$A:$A,0)),""))</f>
        <v/>
      </c>
      <c r="T548">
        <f>IF($A548="","",IFERROR(INDEX('[AQ_2023.xlsx]原始数据'!$E:$E,MATCH($A548,'[AQ_2023.xlsx]原始数据'!$A:$A,0)),""))</f>
        <v/>
      </c>
      <c r="U548">
        <f>IF($A548="","",IFERROR(INDEX('[AQ_2024.xlsx]原始数据'!$E:$E,MATCH($A548,'[AQ_2024.xlsx]原始数据'!$A:$A,0)),""))</f>
        <v/>
      </c>
      <c r="V548">
        <f>IF($A548="","",IFERROR(INDEX('[AQ_2020.xlsx]原始数据'!$F:$F,MATCH($A548,'[AQ_2020.xlsx]原始数据'!$A:$A,0)),""))</f>
        <v/>
      </c>
      <c r="W548">
        <f>IF($A548="","",IFERROR(INDEX('[AQ_2021.xlsx]原始数据'!$F:$F,MATCH($A548,'[AQ_2021.xlsx]原始数据'!$A:$A,0)),""))</f>
        <v/>
      </c>
      <c r="X548">
        <f>IF($A548="","",IFERROR(INDEX('[AQ_2022.xlsx]原始数据'!$F:$F,MATCH($A548,'[AQ_2022.xlsx]原始数据'!$A:$A,0)),""))</f>
        <v/>
      </c>
      <c r="Y548">
        <f>IF($A548="","",IFERROR(INDEX('[AQ_2023.xlsx]原始数据'!$F:$F,MATCH($A548,'[AQ_2023.xlsx]原始数据'!$A:$A,0)),""))</f>
        <v/>
      </c>
      <c r="Z548">
        <f>IF($A548="","",IFERROR(INDEX('[AQ_2024.xlsx]原始数据'!$F:$F,MATCH($A548,'[AQ_2024.xlsx]原始数据'!$A:$A,0)),""))</f>
        <v/>
      </c>
      <c r="AA548" s="2">
        <f>IFERROR(G548/B548,"")</f>
        <v/>
      </c>
      <c r="AB548" s="2">
        <f>IFERROR(H548/C548,"")</f>
        <v/>
      </c>
      <c r="AC548" s="2">
        <f>IFERROR(I548/D548,"")</f>
        <v/>
      </c>
      <c r="AD548" s="2">
        <f>IFERROR(J548/E548,"")</f>
        <v/>
      </c>
      <c r="AE548" s="2">
        <f>IFERROR(K548/F548,"")</f>
        <v/>
      </c>
      <c r="AF548" s="2">
        <f>IFERROR(L548/B548,"")</f>
        <v/>
      </c>
      <c r="AG548" s="2">
        <f>IFERROR(M548/C548,"")</f>
        <v/>
      </c>
      <c r="AH548" s="2">
        <f>IFERROR(N548/D548,"")</f>
        <v/>
      </c>
      <c r="AI548" s="2">
        <f>IFERROR(O548/E548,"")</f>
        <v/>
      </c>
      <c r="AJ548" s="2">
        <f>IFERROR(P548/F548,"")</f>
        <v/>
      </c>
      <c r="AK548" s="2">
        <f>IFERROR(Q548/B548,"")</f>
        <v/>
      </c>
      <c r="AL548" s="2">
        <f>IFERROR(R548/C548,"")</f>
        <v/>
      </c>
      <c r="AM548" s="2">
        <f>IFERROR(S548/D548,"")</f>
        <v/>
      </c>
      <c r="AN548" s="2">
        <f>IFERROR(T548/E548,"")</f>
        <v/>
      </c>
      <c r="AO548" s="2">
        <f>IFERROR(U548/F548,"")</f>
        <v/>
      </c>
    </row>
    <row r="549">
      <c r="B549">
        <f>IF($A549="","",IFERROR(INDEX('[AQ_2020.xlsx]原始数据'!$B:$B,MATCH($A549,'[AQ_2020.xlsx]原始数据'!$A:$A,0)),""))</f>
        <v/>
      </c>
      <c r="C549">
        <f>IF($A549="","",IFERROR(INDEX('[AQ_2021.xlsx]原始数据'!$B:$B,MATCH($A549,'[AQ_2021.xlsx]原始数据'!$A:$A,0)),""))</f>
        <v/>
      </c>
      <c r="D549">
        <f>IF($A549="","",IFERROR(INDEX('[AQ_2022.xlsx]原始数据'!$B:$B,MATCH($A549,'[AQ_2022.xlsx]原始数据'!$A:$A,0)),""))</f>
        <v/>
      </c>
      <c r="E549">
        <f>IF($A549="","",IFERROR(INDEX('[AQ_2023.xlsx]原始数据'!$B:$B,MATCH($A549,'[AQ_2023.xlsx]原始数据'!$A:$A,0)),""))</f>
        <v/>
      </c>
      <c r="F549">
        <f>IF($A549="","",IFERROR(INDEX('[AQ_2024.xlsx]原始数据'!$B:$B,MATCH($A549,'[AQ_2024.xlsx]原始数据'!$A:$A,0)),""))</f>
        <v/>
      </c>
      <c r="G549">
        <f>IF($A549="","",IFERROR(INDEX('[AQ_2020.xlsx]原始数据'!$C:$C,MATCH($A549,'[AQ_2020.xlsx]原始数据'!$A:$A,0)),""))</f>
        <v/>
      </c>
      <c r="H549">
        <f>IF($A549="","",IFERROR(INDEX('[AQ_2021.xlsx]原始数据'!$C:$C,MATCH($A549,'[AQ_2021.xlsx]原始数据'!$A:$A,0)),""))</f>
        <v/>
      </c>
      <c r="I549">
        <f>IF($A549="","",IFERROR(INDEX('[AQ_2022.xlsx]原始数据'!$C:$C,MATCH($A549,'[AQ_2022.xlsx]原始数据'!$A:$A,0)),""))</f>
        <v/>
      </c>
      <c r="J549">
        <f>IF($A549="","",IFERROR(INDEX('[AQ_2023.xlsx]原始数据'!$C:$C,MATCH($A549,'[AQ_2023.xlsx]原始数据'!$A:$A,0)),""))</f>
        <v/>
      </c>
      <c r="K549">
        <f>IF($A549="","",IFERROR(INDEX('[AQ_2024.xlsx]原始数据'!$C:$C,MATCH($A549,'[AQ_2024.xlsx]原始数据'!$A:$A,0)),""))</f>
        <v/>
      </c>
      <c r="L549">
        <f>IF($A549="","",IFERROR(INDEX('[AQ_2020.xlsx]原始数据'!$D:$D,MATCH($A549,'[AQ_2020.xlsx]原始数据'!$A:$A,0)),""))</f>
        <v/>
      </c>
      <c r="M549">
        <f>IF($A549="","",IFERROR(INDEX('[AQ_2021.xlsx]原始数据'!$D:$D,MATCH($A549,'[AQ_2021.xlsx]原始数据'!$A:$A,0)),""))</f>
        <v/>
      </c>
      <c r="N549">
        <f>IF($A549="","",IFERROR(INDEX('[AQ_2022.xlsx]原始数据'!$D:$D,MATCH($A549,'[AQ_2022.xlsx]原始数据'!$A:$A,0)),""))</f>
        <v/>
      </c>
      <c r="O549">
        <f>IF($A549="","",IFERROR(INDEX('[AQ_2023.xlsx]原始数据'!$D:$D,MATCH($A549,'[AQ_2023.xlsx]原始数据'!$A:$A,0)),""))</f>
        <v/>
      </c>
      <c r="P549">
        <f>IF($A549="","",IFERROR(INDEX('[AQ_2024.xlsx]原始数据'!$D:$D,MATCH($A549,'[AQ_2024.xlsx]原始数据'!$A:$A,0)),""))</f>
        <v/>
      </c>
      <c r="Q549">
        <f>IF($A549="","",IFERROR(INDEX('[AQ_2020.xlsx]原始数据'!$E:$E,MATCH($A549,'[AQ_2020.xlsx]原始数据'!$A:$A,0)),""))</f>
        <v/>
      </c>
      <c r="R549">
        <f>IF($A549="","",IFERROR(INDEX('[AQ_2021.xlsx]原始数据'!$E:$E,MATCH($A549,'[AQ_2021.xlsx]原始数据'!$A:$A,0)),""))</f>
        <v/>
      </c>
      <c r="S549">
        <f>IF($A549="","",IFERROR(INDEX('[AQ_2022.xlsx]原始数据'!$E:$E,MATCH($A549,'[AQ_2022.xlsx]原始数据'!$A:$A,0)),""))</f>
        <v/>
      </c>
      <c r="T549">
        <f>IF($A549="","",IFERROR(INDEX('[AQ_2023.xlsx]原始数据'!$E:$E,MATCH($A549,'[AQ_2023.xlsx]原始数据'!$A:$A,0)),""))</f>
        <v/>
      </c>
      <c r="U549">
        <f>IF($A549="","",IFERROR(INDEX('[AQ_2024.xlsx]原始数据'!$E:$E,MATCH($A549,'[AQ_2024.xlsx]原始数据'!$A:$A,0)),""))</f>
        <v/>
      </c>
      <c r="V549">
        <f>IF($A549="","",IFERROR(INDEX('[AQ_2020.xlsx]原始数据'!$F:$F,MATCH($A549,'[AQ_2020.xlsx]原始数据'!$A:$A,0)),""))</f>
        <v/>
      </c>
      <c r="W549">
        <f>IF($A549="","",IFERROR(INDEX('[AQ_2021.xlsx]原始数据'!$F:$F,MATCH($A549,'[AQ_2021.xlsx]原始数据'!$A:$A,0)),""))</f>
        <v/>
      </c>
      <c r="X549">
        <f>IF($A549="","",IFERROR(INDEX('[AQ_2022.xlsx]原始数据'!$F:$F,MATCH($A549,'[AQ_2022.xlsx]原始数据'!$A:$A,0)),""))</f>
        <v/>
      </c>
      <c r="Y549">
        <f>IF($A549="","",IFERROR(INDEX('[AQ_2023.xlsx]原始数据'!$F:$F,MATCH($A549,'[AQ_2023.xlsx]原始数据'!$A:$A,0)),""))</f>
        <v/>
      </c>
      <c r="Z549">
        <f>IF($A549="","",IFERROR(INDEX('[AQ_2024.xlsx]原始数据'!$F:$F,MATCH($A549,'[AQ_2024.xlsx]原始数据'!$A:$A,0)),""))</f>
        <v/>
      </c>
      <c r="AA549" s="2">
        <f>IFERROR(G549/B549,"")</f>
        <v/>
      </c>
      <c r="AB549" s="2">
        <f>IFERROR(H549/C549,"")</f>
        <v/>
      </c>
      <c r="AC549" s="2">
        <f>IFERROR(I549/D549,"")</f>
        <v/>
      </c>
      <c r="AD549" s="2">
        <f>IFERROR(J549/E549,"")</f>
        <v/>
      </c>
      <c r="AE549" s="2">
        <f>IFERROR(K549/F549,"")</f>
        <v/>
      </c>
      <c r="AF549" s="2">
        <f>IFERROR(L549/B549,"")</f>
        <v/>
      </c>
      <c r="AG549" s="2">
        <f>IFERROR(M549/C549,"")</f>
        <v/>
      </c>
      <c r="AH549" s="2">
        <f>IFERROR(N549/D549,"")</f>
        <v/>
      </c>
      <c r="AI549" s="2">
        <f>IFERROR(O549/E549,"")</f>
        <v/>
      </c>
      <c r="AJ549" s="2">
        <f>IFERROR(P549/F549,"")</f>
        <v/>
      </c>
      <c r="AK549" s="2">
        <f>IFERROR(Q549/B549,"")</f>
        <v/>
      </c>
      <c r="AL549" s="2">
        <f>IFERROR(R549/C549,"")</f>
        <v/>
      </c>
      <c r="AM549" s="2">
        <f>IFERROR(S549/D549,"")</f>
        <v/>
      </c>
      <c r="AN549" s="2">
        <f>IFERROR(T549/E549,"")</f>
        <v/>
      </c>
      <c r="AO549" s="2">
        <f>IFERROR(U549/F549,"")</f>
        <v/>
      </c>
    </row>
    <row r="550">
      <c r="B550">
        <f>IF($A550="","",IFERROR(INDEX('[AQ_2020.xlsx]原始数据'!$B:$B,MATCH($A550,'[AQ_2020.xlsx]原始数据'!$A:$A,0)),""))</f>
        <v/>
      </c>
      <c r="C550">
        <f>IF($A550="","",IFERROR(INDEX('[AQ_2021.xlsx]原始数据'!$B:$B,MATCH($A550,'[AQ_2021.xlsx]原始数据'!$A:$A,0)),""))</f>
        <v/>
      </c>
      <c r="D550">
        <f>IF($A550="","",IFERROR(INDEX('[AQ_2022.xlsx]原始数据'!$B:$B,MATCH($A550,'[AQ_2022.xlsx]原始数据'!$A:$A,0)),""))</f>
        <v/>
      </c>
      <c r="E550">
        <f>IF($A550="","",IFERROR(INDEX('[AQ_2023.xlsx]原始数据'!$B:$B,MATCH($A550,'[AQ_2023.xlsx]原始数据'!$A:$A,0)),""))</f>
        <v/>
      </c>
      <c r="F550">
        <f>IF($A550="","",IFERROR(INDEX('[AQ_2024.xlsx]原始数据'!$B:$B,MATCH($A550,'[AQ_2024.xlsx]原始数据'!$A:$A,0)),""))</f>
        <v/>
      </c>
      <c r="G550">
        <f>IF($A550="","",IFERROR(INDEX('[AQ_2020.xlsx]原始数据'!$C:$C,MATCH($A550,'[AQ_2020.xlsx]原始数据'!$A:$A,0)),""))</f>
        <v/>
      </c>
      <c r="H550">
        <f>IF($A550="","",IFERROR(INDEX('[AQ_2021.xlsx]原始数据'!$C:$C,MATCH($A550,'[AQ_2021.xlsx]原始数据'!$A:$A,0)),""))</f>
        <v/>
      </c>
      <c r="I550">
        <f>IF($A550="","",IFERROR(INDEX('[AQ_2022.xlsx]原始数据'!$C:$C,MATCH($A550,'[AQ_2022.xlsx]原始数据'!$A:$A,0)),""))</f>
        <v/>
      </c>
      <c r="J550">
        <f>IF($A550="","",IFERROR(INDEX('[AQ_2023.xlsx]原始数据'!$C:$C,MATCH($A550,'[AQ_2023.xlsx]原始数据'!$A:$A,0)),""))</f>
        <v/>
      </c>
      <c r="K550">
        <f>IF($A550="","",IFERROR(INDEX('[AQ_2024.xlsx]原始数据'!$C:$C,MATCH($A550,'[AQ_2024.xlsx]原始数据'!$A:$A,0)),""))</f>
        <v/>
      </c>
      <c r="L550">
        <f>IF($A550="","",IFERROR(INDEX('[AQ_2020.xlsx]原始数据'!$D:$D,MATCH($A550,'[AQ_2020.xlsx]原始数据'!$A:$A,0)),""))</f>
        <v/>
      </c>
      <c r="M550">
        <f>IF($A550="","",IFERROR(INDEX('[AQ_2021.xlsx]原始数据'!$D:$D,MATCH($A550,'[AQ_2021.xlsx]原始数据'!$A:$A,0)),""))</f>
        <v/>
      </c>
      <c r="N550">
        <f>IF($A550="","",IFERROR(INDEX('[AQ_2022.xlsx]原始数据'!$D:$D,MATCH($A550,'[AQ_2022.xlsx]原始数据'!$A:$A,0)),""))</f>
        <v/>
      </c>
      <c r="O550">
        <f>IF($A550="","",IFERROR(INDEX('[AQ_2023.xlsx]原始数据'!$D:$D,MATCH($A550,'[AQ_2023.xlsx]原始数据'!$A:$A,0)),""))</f>
        <v/>
      </c>
      <c r="P550">
        <f>IF($A550="","",IFERROR(INDEX('[AQ_2024.xlsx]原始数据'!$D:$D,MATCH($A550,'[AQ_2024.xlsx]原始数据'!$A:$A,0)),""))</f>
        <v/>
      </c>
      <c r="Q550">
        <f>IF($A550="","",IFERROR(INDEX('[AQ_2020.xlsx]原始数据'!$E:$E,MATCH($A550,'[AQ_2020.xlsx]原始数据'!$A:$A,0)),""))</f>
        <v/>
      </c>
      <c r="R550">
        <f>IF($A550="","",IFERROR(INDEX('[AQ_2021.xlsx]原始数据'!$E:$E,MATCH($A550,'[AQ_2021.xlsx]原始数据'!$A:$A,0)),""))</f>
        <v/>
      </c>
      <c r="S550">
        <f>IF($A550="","",IFERROR(INDEX('[AQ_2022.xlsx]原始数据'!$E:$E,MATCH($A550,'[AQ_2022.xlsx]原始数据'!$A:$A,0)),""))</f>
        <v/>
      </c>
      <c r="T550">
        <f>IF($A550="","",IFERROR(INDEX('[AQ_2023.xlsx]原始数据'!$E:$E,MATCH($A550,'[AQ_2023.xlsx]原始数据'!$A:$A,0)),""))</f>
        <v/>
      </c>
      <c r="U550">
        <f>IF($A550="","",IFERROR(INDEX('[AQ_2024.xlsx]原始数据'!$E:$E,MATCH($A550,'[AQ_2024.xlsx]原始数据'!$A:$A,0)),""))</f>
        <v/>
      </c>
      <c r="V550">
        <f>IF($A550="","",IFERROR(INDEX('[AQ_2020.xlsx]原始数据'!$F:$F,MATCH($A550,'[AQ_2020.xlsx]原始数据'!$A:$A,0)),""))</f>
        <v/>
      </c>
      <c r="W550">
        <f>IF($A550="","",IFERROR(INDEX('[AQ_2021.xlsx]原始数据'!$F:$F,MATCH($A550,'[AQ_2021.xlsx]原始数据'!$A:$A,0)),""))</f>
        <v/>
      </c>
      <c r="X550">
        <f>IF($A550="","",IFERROR(INDEX('[AQ_2022.xlsx]原始数据'!$F:$F,MATCH($A550,'[AQ_2022.xlsx]原始数据'!$A:$A,0)),""))</f>
        <v/>
      </c>
      <c r="Y550">
        <f>IF($A550="","",IFERROR(INDEX('[AQ_2023.xlsx]原始数据'!$F:$F,MATCH($A550,'[AQ_2023.xlsx]原始数据'!$A:$A,0)),""))</f>
        <v/>
      </c>
      <c r="Z550">
        <f>IF($A550="","",IFERROR(INDEX('[AQ_2024.xlsx]原始数据'!$F:$F,MATCH($A550,'[AQ_2024.xlsx]原始数据'!$A:$A,0)),""))</f>
        <v/>
      </c>
      <c r="AA550" s="2">
        <f>IFERROR(G550/B550,"")</f>
        <v/>
      </c>
      <c r="AB550" s="2">
        <f>IFERROR(H550/C550,"")</f>
        <v/>
      </c>
      <c r="AC550" s="2">
        <f>IFERROR(I550/D550,"")</f>
        <v/>
      </c>
      <c r="AD550" s="2">
        <f>IFERROR(J550/E550,"")</f>
        <v/>
      </c>
      <c r="AE550" s="2">
        <f>IFERROR(K550/F550,"")</f>
        <v/>
      </c>
      <c r="AF550" s="2">
        <f>IFERROR(L550/B550,"")</f>
        <v/>
      </c>
      <c r="AG550" s="2">
        <f>IFERROR(M550/C550,"")</f>
        <v/>
      </c>
      <c r="AH550" s="2">
        <f>IFERROR(N550/D550,"")</f>
        <v/>
      </c>
      <c r="AI550" s="2">
        <f>IFERROR(O550/E550,"")</f>
        <v/>
      </c>
      <c r="AJ550" s="2">
        <f>IFERROR(P550/F550,"")</f>
        <v/>
      </c>
      <c r="AK550" s="2">
        <f>IFERROR(Q550/B550,"")</f>
        <v/>
      </c>
      <c r="AL550" s="2">
        <f>IFERROR(R550/C550,"")</f>
        <v/>
      </c>
      <c r="AM550" s="2">
        <f>IFERROR(S550/D550,"")</f>
        <v/>
      </c>
      <c r="AN550" s="2">
        <f>IFERROR(T550/E550,"")</f>
        <v/>
      </c>
      <c r="AO550" s="2">
        <f>IFERROR(U550/F550,"")</f>
        <v/>
      </c>
    </row>
    <row r="551">
      <c r="B551">
        <f>IF($A551="","",IFERROR(INDEX('[AQ_2020.xlsx]原始数据'!$B:$B,MATCH($A551,'[AQ_2020.xlsx]原始数据'!$A:$A,0)),""))</f>
        <v/>
      </c>
      <c r="C551">
        <f>IF($A551="","",IFERROR(INDEX('[AQ_2021.xlsx]原始数据'!$B:$B,MATCH($A551,'[AQ_2021.xlsx]原始数据'!$A:$A,0)),""))</f>
        <v/>
      </c>
      <c r="D551">
        <f>IF($A551="","",IFERROR(INDEX('[AQ_2022.xlsx]原始数据'!$B:$B,MATCH($A551,'[AQ_2022.xlsx]原始数据'!$A:$A,0)),""))</f>
        <v/>
      </c>
      <c r="E551">
        <f>IF($A551="","",IFERROR(INDEX('[AQ_2023.xlsx]原始数据'!$B:$B,MATCH($A551,'[AQ_2023.xlsx]原始数据'!$A:$A,0)),""))</f>
        <v/>
      </c>
      <c r="F551">
        <f>IF($A551="","",IFERROR(INDEX('[AQ_2024.xlsx]原始数据'!$B:$B,MATCH($A551,'[AQ_2024.xlsx]原始数据'!$A:$A,0)),""))</f>
        <v/>
      </c>
      <c r="G551">
        <f>IF($A551="","",IFERROR(INDEX('[AQ_2020.xlsx]原始数据'!$C:$C,MATCH($A551,'[AQ_2020.xlsx]原始数据'!$A:$A,0)),""))</f>
        <v/>
      </c>
      <c r="H551">
        <f>IF($A551="","",IFERROR(INDEX('[AQ_2021.xlsx]原始数据'!$C:$C,MATCH($A551,'[AQ_2021.xlsx]原始数据'!$A:$A,0)),""))</f>
        <v/>
      </c>
      <c r="I551">
        <f>IF($A551="","",IFERROR(INDEX('[AQ_2022.xlsx]原始数据'!$C:$C,MATCH($A551,'[AQ_2022.xlsx]原始数据'!$A:$A,0)),""))</f>
        <v/>
      </c>
      <c r="J551">
        <f>IF($A551="","",IFERROR(INDEX('[AQ_2023.xlsx]原始数据'!$C:$C,MATCH($A551,'[AQ_2023.xlsx]原始数据'!$A:$A,0)),""))</f>
        <v/>
      </c>
      <c r="K551">
        <f>IF($A551="","",IFERROR(INDEX('[AQ_2024.xlsx]原始数据'!$C:$C,MATCH($A551,'[AQ_2024.xlsx]原始数据'!$A:$A,0)),""))</f>
        <v/>
      </c>
      <c r="L551">
        <f>IF($A551="","",IFERROR(INDEX('[AQ_2020.xlsx]原始数据'!$D:$D,MATCH($A551,'[AQ_2020.xlsx]原始数据'!$A:$A,0)),""))</f>
        <v/>
      </c>
      <c r="M551">
        <f>IF($A551="","",IFERROR(INDEX('[AQ_2021.xlsx]原始数据'!$D:$D,MATCH($A551,'[AQ_2021.xlsx]原始数据'!$A:$A,0)),""))</f>
        <v/>
      </c>
      <c r="N551">
        <f>IF($A551="","",IFERROR(INDEX('[AQ_2022.xlsx]原始数据'!$D:$D,MATCH($A551,'[AQ_2022.xlsx]原始数据'!$A:$A,0)),""))</f>
        <v/>
      </c>
      <c r="O551">
        <f>IF($A551="","",IFERROR(INDEX('[AQ_2023.xlsx]原始数据'!$D:$D,MATCH($A551,'[AQ_2023.xlsx]原始数据'!$A:$A,0)),""))</f>
        <v/>
      </c>
      <c r="P551">
        <f>IF($A551="","",IFERROR(INDEX('[AQ_2024.xlsx]原始数据'!$D:$D,MATCH($A551,'[AQ_2024.xlsx]原始数据'!$A:$A,0)),""))</f>
        <v/>
      </c>
      <c r="Q551">
        <f>IF($A551="","",IFERROR(INDEX('[AQ_2020.xlsx]原始数据'!$E:$E,MATCH($A551,'[AQ_2020.xlsx]原始数据'!$A:$A,0)),""))</f>
        <v/>
      </c>
      <c r="R551">
        <f>IF($A551="","",IFERROR(INDEX('[AQ_2021.xlsx]原始数据'!$E:$E,MATCH($A551,'[AQ_2021.xlsx]原始数据'!$A:$A,0)),""))</f>
        <v/>
      </c>
      <c r="S551">
        <f>IF($A551="","",IFERROR(INDEX('[AQ_2022.xlsx]原始数据'!$E:$E,MATCH($A551,'[AQ_2022.xlsx]原始数据'!$A:$A,0)),""))</f>
        <v/>
      </c>
      <c r="T551">
        <f>IF($A551="","",IFERROR(INDEX('[AQ_2023.xlsx]原始数据'!$E:$E,MATCH($A551,'[AQ_2023.xlsx]原始数据'!$A:$A,0)),""))</f>
        <v/>
      </c>
      <c r="U551">
        <f>IF($A551="","",IFERROR(INDEX('[AQ_2024.xlsx]原始数据'!$E:$E,MATCH($A551,'[AQ_2024.xlsx]原始数据'!$A:$A,0)),""))</f>
        <v/>
      </c>
      <c r="V551">
        <f>IF($A551="","",IFERROR(INDEX('[AQ_2020.xlsx]原始数据'!$F:$F,MATCH($A551,'[AQ_2020.xlsx]原始数据'!$A:$A,0)),""))</f>
        <v/>
      </c>
      <c r="W551">
        <f>IF($A551="","",IFERROR(INDEX('[AQ_2021.xlsx]原始数据'!$F:$F,MATCH($A551,'[AQ_2021.xlsx]原始数据'!$A:$A,0)),""))</f>
        <v/>
      </c>
      <c r="X551">
        <f>IF($A551="","",IFERROR(INDEX('[AQ_2022.xlsx]原始数据'!$F:$F,MATCH($A551,'[AQ_2022.xlsx]原始数据'!$A:$A,0)),""))</f>
        <v/>
      </c>
      <c r="Y551">
        <f>IF($A551="","",IFERROR(INDEX('[AQ_2023.xlsx]原始数据'!$F:$F,MATCH($A551,'[AQ_2023.xlsx]原始数据'!$A:$A,0)),""))</f>
        <v/>
      </c>
      <c r="Z551">
        <f>IF($A551="","",IFERROR(INDEX('[AQ_2024.xlsx]原始数据'!$F:$F,MATCH($A551,'[AQ_2024.xlsx]原始数据'!$A:$A,0)),""))</f>
        <v/>
      </c>
      <c r="AA551" s="2">
        <f>IFERROR(G551/B551,"")</f>
        <v/>
      </c>
      <c r="AB551" s="2">
        <f>IFERROR(H551/C551,"")</f>
        <v/>
      </c>
      <c r="AC551" s="2">
        <f>IFERROR(I551/D551,"")</f>
        <v/>
      </c>
      <c r="AD551" s="2">
        <f>IFERROR(J551/E551,"")</f>
        <v/>
      </c>
      <c r="AE551" s="2">
        <f>IFERROR(K551/F551,"")</f>
        <v/>
      </c>
      <c r="AF551" s="2">
        <f>IFERROR(L551/B551,"")</f>
        <v/>
      </c>
      <c r="AG551" s="2">
        <f>IFERROR(M551/C551,"")</f>
        <v/>
      </c>
      <c r="AH551" s="2">
        <f>IFERROR(N551/D551,"")</f>
        <v/>
      </c>
      <c r="AI551" s="2">
        <f>IFERROR(O551/E551,"")</f>
        <v/>
      </c>
      <c r="AJ551" s="2">
        <f>IFERROR(P551/F551,"")</f>
        <v/>
      </c>
      <c r="AK551" s="2">
        <f>IFERROR(Q551/B551,"")</f>
        <v/>
      </c>
      <c r="AL551" s="2">
        <f>IFERROR(R551/C551,"")</f>
        <v/>
      </c>
      <c r="AM551" s="2">
        <f>IFERROR(S551/D551,"")</f>
        <v/>
      </c>
      <c r="AN551" s="2">
        <f>IFERROR(T551/E551,"")</f>
        <v/>
      </c>
      <c r="AO551" s="2">
        <f>IFERROR(U551/F551,"")</f>
        <v/>
      </c>
    </row>
    <row r="552">
      <c r="B552">
        <f>IF($A552="","",IFERROR(INDEX('[AQ_2020.xlsx]原始数据'!$B:$B,MATCH($A552,'[AQ_2020.xlsx]原始数据'!$A:$A,0)),""))</f>
        <v/>
      </c>
      <c r="C552">
        <f>IF($A552="","",IFERROR(INDEX('[AQ_2021.xlsx]原始数据'!$B:$B,MATCH($A552,'[AQ_2021.xlsx]原始数据'!$A:$A,0)),""))</f>
        <v/>
      </c>
      <c r="D552">
        <f>IF($A552="","",IFERROR(INDEX('[AQ_2022.xlsx]原始数据'!$B:$B,MATCH($A552,'[AQ_2022.xlsx]原始数据'!$A:$A,0)),""))</f>
        <v/>
      </c>
      <c r="E552">
        <f>IF($A552="","",IFERROR(INDEX('[AQ_2023.xlsx]原始数据'!$B:$B,MATCH($A552,'[AQ_2023.xlsx]原始数据'!$A:$A,0)),""))</f>
        <v/>
      </c>
      <c r="F552">
        <f>IF($A552="","",IFERROR(INDEX('[AQ_2024.xlsx]原始数据'!$B:$B,MATCH($A552,'[AQ_2024.xlsx]原始数据'!$A:$A,0)),""))</f>
        <v/>
      </c>
      <c r="G552">
        <f>IF($A552="","",IFERROR(INDEX('[AQ_2020.xlsx]原始数据'!$C:$C,MATCH($A552,'[AQ_2020.xlsx]原始数据'!$A:$A,0)),""))</f>
        <v/>
      </c>
      <c r="H552">
        <f>IF($A552="","",IFERROR(INDEX('[AQ_2021.xlsx]原始数据'!$C:$C,MATCH($A552,'[AQ_2021.xlsx]原始数据'!$A:$A,0)),""))</f>
        <v/>
      </c>
      <c r="I552">
        <f>IF($A552="","",IFERROR(INDEX('[AQ_2022.xlsx]原始数据'!$C:$C,MATCH($A552,'[AQ_2022.xlsx]原始数据'!$A:$A,0)),""))</f>
        <v/>
      </c>
      <c r="J552">
        <f>IF($A552="","",IFERROR(INDEX('[AQ_2023.xlsx]原始数据'!$C:$C,MATCH($A552,'[AQ_2023.xlsx]原始数据'!$A:$A,0)),""))</f>
        <v/>
      </c>
      <c r="K552">
        <f>IF($A552="","",IFERROR(INDEX('[AQ_2024.xlsx]原始数据'!$C:$C,MATCH($A552,'[AQ_2024.xlsx]原始数据'!$A:$A,0)),""))</f>
        <v/>
      </c>
      <c r="L552">
        <f>IF($A552="","",IFERROR(INDEX('[AQ_2020.xlsx]原始数据'!$D:$D,MATCH($A552,'[AQ_2020.xlsx]原始数据'!$A:$A,0)),""))</f>
        <v/>
      </c>
      <c r="M552">
        <f>IF($A552="","",IFERROR(INDEX('[AQ_2021.xlsx]原始数据'!$D:$D,MATCH($A552,'[AQ_2021.xlsx]原始数据'!$A:$A,0)),""))</f>
        <v/>
      </c>
      <c r="N552">
        <f>IF($A552="","",IFERROR(INDEX('[AQ_2022.xlsx]原始数据'!$D:$D,MATCH($A552,'[AQ_2022.xlsx]原始数据'!$A:$A,0)),""))</f>
        <v/>
      </c>
      <c r="O552">
        <f>IF($A552="","",IFERROR(INDEX('[AQ_2023.xlsx]原始数据'!$D:$D,MATCH($A552,'[AQ_2023.xlsx]原始数据'!$A:$A,0)),""))</f>
        <v/>
      </c>
      <c r="P552">
        <f>IF($A552="","",IFERROR(INDEX('[AQ_2024.xlsx]原始数据'!$D:$D,MATCH($A552,'[AQ_2024.xlsx]原始数据'!$A:$A,0)),""))</f>
        <v/>
      </c>
      <c r="Q552">
        <f>IF($A552="","",IFERROR(INDEX('[AQ_2020.xlsx]原始数据'!$E:$E,MATCH($A552,'[AQ_2020.xlsx]原始数据'!$A:$A,0)),""))</f>
        <v/>
      </c>
      <c r="R552">
        <f>IF($A552="","",IFERROR(INDEX('[AQ_2021.xlsx]原始数据'!$E:$E,MATCH($A552,'[AQ_2021.xlsx]原始数据'!$A:$A,0)),""))</f>
        <v/>
      </c>
      <c r="S552">
        <f>IF($A552="","",IFERROR(INDEX('[AQ_2022.xlsx]原始数据'!$E:$E,MATCH($A552,'[AQ_2022.xlsx]原始数据'!$A:$A,0)),""))</f>
        <v/>
      </c>
      <c r="T552">
        <f>IF($A552="","",IFERROR(INDEX('[AQ_2023.xlsx]原始数据'!$E:$E,MATCH($A552,'[AQ_2023.xlsx]原始数据'!$A:$A,0)),""))</f>
        <v/>
      </c>
      <c r="U552">
        <f>IF($A552="","",IFERROR(INDEX('[AQ_2024.xlsx]原始数据'!$E:$E,MATCH($A552,'[AQ_2024.xlsx]原始数据'!$A:$A,0)),""))</f>
        <v/>
      </c>
      <c r="V552">
        <f>IF($A552="","",IFERROR(INDEX('[AQ_2020.xlsx]原始数据'!$F:$F,MATCH($A552,'[AQ_2020.xlsx]原始数据'!$A:$A,0)),""))</f>
        <v/>
      </c>
      <c r="W552">
        <f>IF($A552="","",IFERROR(INDEX('[AQ_2021.xlsx]原始数据'!$F:$F,MATCH($A552,'[AQ_2021.xlsx]原始数据'!$A:$A,0)),""))</f>
        <v/>
      </c>
      <c r="X552">
        <f>IF($A552="","",IFERROR(INDEX('[AQ_2022.xlsx]原始数据'!$F:$F,MATCH($A552,'[AQ_2022.xlsx]原始数据'!$A:$A,0)),""))</f>
        <v/>
      </c>
      <c r="Y552">
        <f>IF($A552="","",IFERROR(INDEX('[AQ_2023.xlsx]原始数据'!$F:$F,MATCH($A552,'[AQ_2023.xlsx]原始数据'!$A:$A,0)),""))</f>
        <v/>
      </c>
      <c r="Z552">
        <f>IF($A552="","",IFERROR(INDEX('[AQ_2024.xlsx]原始数据'!$F:$F,MATCH($A552,'[AQ_2024.xlsx]原始数据'!$A:$A,0)),""))</f>
        <v/>
      </c>
      <c r="AA552" s="2">
        <f>IFERROR(G552/B552,"")</f>
        <v/>
      </c>
      <c r="AB552" s="2">
        <f>IFERROR(H552/C552,"")</f>
        <v/>
      </c>
      <c r="AC552" s="2">
        <f>IFERROR(I552/D552,"")</f>
        <v/>
      </c>
      <c r="AD552" s="2">
        <f>IFERROR(J552/E552,"")</f>
        <v/>
      </c>
      <c r="AE552" s="2">
        <f>IFERROR(K552/F552,"")</f>
        <v/>
      </c>
      <c r="AF552" s="2">
        <f>IFERROR(L552/B552,"")</f>
        <v/>
      </c>
      <c r="AG552" s="2">
        <f>IFERROR(M552/C552,"")</f>
        <v/>
      </c>
      <c r="AH552" s="2">
        <f>IFERROR(N552/D552,"")</f>
        <v/>
      </c>
      <c r="AI552" s="2">
        <f>IFERROR(O552/E552,"")</f>
        <v/>
      </c>
      <c r="AJ552" s="2">
        <f>IFERROR(P552/F552,"")</f>
        <v/>
      </c>
      <c r="AK552" s="2">
        <f>IFERROR(Q552/B552,"")</f>
        <v/>
      </c>
      <c r="AL552" s="2">
        <f>IFERROR(R552/C552,"")</f>
        <v/>
      </c>
      <c r="AM552" s="2">
        <f>IFERROR(S552/D552,"")</f>
        <v/>
      </c>
      <c r="AN552" s="2">
        <f>IFERROR(T552/E552,"")</f>
        <v/>
      </c>
      <c r="AO552" s="2">
        <f>IFERROR(U552/F552,"")</f>
        <v/>
      </c>
    </row>
    <row r="553">
      <c r="B553">
        <f>IF($A553="","",IFERROR(INDEX('[AQ_2020.xlsx]原始数据'!$B:$B,MATCH($A553,'[AQ_2020.xlsx]原始数据'!$A:$A,0)),""))</f>
        <v/>
      </c>
      <c r="C553">
        <f>IF($A553="","",IFERROR(INDEX('[AQ_2021.xlsx]原始数据'!$B:$B,MATCH($A553,'[AQ_2021.xlsx]原始数据'!$A:$A,0)),""))</f>
        <v/>
      </c>
      <c r="D553">
        <f>IF($A553="","",IFERROR(INDEX('[AQ_2022.xlsx]原始数据'!$B:$B,MATCH($A553,'[AQ_2022.xlsx]原始数据'!$A:$A,0)),""))</f>
        <v/>
      </c>
      <c r="E553">
        <f>IF($A553="","",IFERROR(INDEX('[AQ_2023.xlsx]原始数据'!$B:$B,MATCH($A553,'[AQ_2023.xlsx]原始数据'!$A:$A,0)),""))</f>
        <v/>
      </c>
      <c r="F553">
        <f>IF($A553="","",IFERROR(INDEX('[AQ_2024.xlsx]原始数据'!$B:$B,MATCH($A553,'[AQ_2024.xlsx]原始数据'!$A:$A,0)),""))</f>
        <v/>
      </c>
      <c r="G553">
        <f>IF($A553="","",IFERROR(INDEX('[AQ_2020.xlsx]原始数据'!$C:$C,MATCH($A553,'[AQ_2020.xlsx]原始数据'!$A:$A,0)),""))</f>
        <v/>
      </c>
      <c r="H553">
        <f>IF($A553="","",IFERROR(INDEX('[AQ_2021.xlsx]原始数据'!$C:$C,MATCH($A553,'[AQ_2021.xlsx]原始数据'!$A:$A,0)),""))</f>
        <v/>
      </c>
      <c r="I553">
        <f>IF($A553="","",IFERROR(INDEX('[AQ_2022.xlsx]原始数据'!$C:$C,MATCH($A553,'[AQ_2022.xlsx]原始数据'!$A:$A,0)),""))</f>
        <v/>
      </c>
      <c r="J553">
        <f>IF($A553="","",IFERROR(INDEX('[AQ_2023.xlsx]原始数据'!$C:$C,MATCH($A553,'[AQ_2023.xlsx]原始数据'!$A:$A,0)),""))</f>
        <v/>
      </c>
      <c r="K553">
        <f>IF($A553="","",IFERROR(INDEX('[AQ_2024.xlsx]原始数据'!$C:$C,MATCH($A553,'[AQ_2024.xlsx]原始数据'!$A:$A,0)),""))</f>
        <v/>
      </c>
      <c r="L553">
        <f>IF($A553="","",IFERROR(INDEX('[AQ_2020.xlsx]原始数据'!$D:$D,MATCH($A553,'[AQ_2020.xlsx]原始数据'!$A:$A,0)),""))</f>
        <v/>
      </c>
      <c r="M553">
        <f>IF($A553="","",IFERROR(INDEX('[AQ_2021.xlsx]原始数据'!$D:$D,MATCH($A553,'[AQ_2021.xlsx]原始数据'!$A:$A,0)),""))</f>
        <v/>
      </c>
      <c r="N553">
        <f>IF($A553="","",IFERROR(INDEX('[AQ_2022.xlsx]原始数据'!$D:$D,MATCH($A553,'[AQ_2022.xlsx]原始数据'!$A:$A,0)),""))</f>
        <v/>
      </c>
      <c r="O553">
        <f>IF($A553="","",IFERROR(INDEX('[AQ_2023.xlsx]原始数据'!$D:$D,MATCH($A553,'[AQ_2023.xlsx]原始数据'!$A:$A,0)),""))</f>
        <v/>
      </c>
      <c r="P553">
        <f>IF($A553="","",IFERROR(INDEX('[AQ_2024.xlsx]原始数据'!$D:$D,MATCH($A553,'[AQ_2024.xlsx]原始数据'!$A:$A,0)),""))</f>
        <v/>
      </c>
      <c r="Q553">
        <f>IF($A553="","",IFERROR(INDEX('[AQ_2020.xlsx]原始数据'!$E:$E,MATCH($A553,'[AQ_2020.xlsx]原始数据'!$A:$A,0)),""))</f>
        <v/>
      </c>
      <c r="R553">
        <f>IF($A553="","",IFERROR(INDEX('[AQ_2021.xlsx]原始数据'!$E:$E,MATCH($A553,'[AQ_2021.xlsx]原始数据'!$A:$A,0)),""))</f>
        <v/>
      </c>
      <c r="S553">
        <f>IF($A553="","",IFERROR(INDEX('[AQ_2022.xlsx]原始数据'!$E:$E,MATCH($A553,'[AQ_2022.xlsx]原始数据'!$A:$A,0)),""))</f>
        <v/>
      </c>
      <c r="T553">
        <f>IF($A553="","",IFERROR(INDEX('[AQ_2023.xlsx]原始数据'!$E:$E,MATCH($A553,'[AQ_2023.xlsx]原始数据'!$A:$A,0)),""))</f>
        <v/>
      </c>
      <c r="U553">
        <f>IF($A553="","",IFERROR(INDEX('[AQ_2024.xlsx]原始数据'!$E:$E,MATCH($A553,'[AQ_2024.xlsx]原始数据'!$A:$A,0)),""))</f>
        <v/>
      </c>
      <c r="V553">
        <f>IF($A553="","",IFERROR(INDEX('[AQ_2020.xlsx]原始数据'!$F:$F,MATCH($A553,'[AQ_2020.xlsx]原始数据'!$A:$A,0)),""))</f>
        <v/>
      </c>
      <c r="W553">
        <f>IF($A553="","",IFERROR(INDEX('[AQ_2021.xlsx]原始数据'!$F:$F,MATCH($A553,'[AQ_2021.xlsx]原始数据'!$A:$A,0)),""))</f>
        <v/>
      </c>
      <c r="X553">
        <f>IF($A553="","",IFERROR(INDEX('[AQ_2022.xlsx]原始数据'!$F:$F,MATCH($A553,'[AQ_2022.xlsx]原始数据'!$A:$A,0)),""))</f>
        <v/>
      </c>
      <c r="Y553">
        <f>IF($A553="","",IFERROR(INDEX('[AQ_2023.xlsx]原始数据'!$F:$F,MATCH($A553,'[AQ_2023.xlsx]原始数据'!$A:$A,0)),""))</f>
        <v/>
      </c>
      <c r="Z553">
        <f>IF($A553="","",IFERROR(INDEX('[AQ_2024.xlsx]原始数据'!$F:$F,MATCH($A553,'[AQ_2024.xlsx]原始数据'!$A:$A,0)),""))</f>
        <v/>
      </c>
      <c r="AA553" s="2">
        <f>IFERROR(G553/B553,"")</f>
        <v/>
      </c>
      <c r="AB553" s="2">
        <f>IFERROR(H553/C553,"")</f>
        <v/>
      </c>
      <c r="AC553" s="2">
        <f>IFERROR(I553/D553,"")</f>
        <v/>
      </c>
      <c r="AD553" s="2">
        <f>IFERROR(J553/E553,"")</f>
        <v/>
      </c>
      <c r="AE553" s="2">
        <f>IFERROR(K553/F553,"")</f>
        <v/>
      </c>
      <c r="AF553" s="2">
        <f>IFERROR(L553/B553,"")</f>
        <v/>
      </c>
      <c r="AG553" s="2">
        <f>IFERROR(M553/C553,"")</f>
        <v/>
      </c>
      <c r="AH553" s="2">
        <f>IFERROR(N553/D553,"")</f>
        <v/>
      </c>
      <c r="AI553" s="2">
        <f>IFERROR(O553/E553,"")</f>
        <v/>
      </c>
      <c r="AJ553" s="2">
        <f>IFERROR(P553/F553,"")</f>
        <v/>
      </c>
      <c r="AK553" s="2">
        <f>IFERROR(Q553/B553,"")</f>
        <v/>
      </c>
      <c r="AL553" s="2">
        <f>IFERROR(R553/C553,"")</f>
        <v/>
      </c>
      <c r="AM553" s="2">
        <f>IFERROR(S553/D553,"")</f>
        <v/>
      </c>
      <c r="AN553" s="2">
        <f>IFERROR(T553/E553,"")</f>
        <v/>
      </c>
      <c r="AO553" s="2">
        <f>IFERROR(U553/F553,"")</f>
        <v/>
      </c>
    </row>
    <row r="554">
      <c r="B554">
        <f>IF($A554="","",IFERROR(INDEX('[AQ_2020.xlsx]原始数据'!$B:$B,MATCH($A554,'[AQ_2020.xlsx]原始数据'!$A:$A,0)),""))</f>
        <v/>
      </c>
      <c r="C554">
        <f>IF($A554="","",IFERROR(INDEX('[AQ_2021.xlsx]原始数据'!$B:$B,MATCH($A554,'[AQ_2021.xlsx]原始数据'!$A:$A,0)),""))</f>
        <v/>
      </c>
      <c r="D554">
        <f>IF($A554="","",IFERROR(INDEX('[AQ_2022.xlsx]原始数据'!$B:$B,MATCH($A554,'[AQ_2022.xlsx]原始数据'!$A:$A,0)),""))</f>
        <v/>
      </c>
      <c r="E554">
        <f>IF($A554="","",IFERROR(INDEX('[AQ_2023.xlsx]原始数据'!$B:$B,MATCH($A554,'[AQ_2023.xlsx]原始数据'!$A:$A,0)),""))</f>
        <v/>
      </c>
      <c r="F554">
        <f>IF($A554="","",IFERROR(INDEX('[AQ_2024.xlsx]原始数据'!$B:$B,MATCH($A554,'[AQ_2024.xlsx]原始数据'!$A:$A,0)),""))</f>
        <v/>
      </c>
      <c r="G554">
        <f>IF($A554="","",IFERROR(INDEX('[AQ_2020.xlsx]原始数据'!$C:$C,MATCH($A554,'[AQ_2020.xlsx]原始数据'!$A:$A,0)),""))</f>
        <v/>
      </c>
      <c r="H554">
        <f>IF($A554="","",IFERROR(INDEX('[AQ_2021.xlsx]原始数据'!$C:$C,MATCH($A554,'[AQ_2021.xlsx]原始数据'!$A:$A,0)),""))</f>
        <v/>
      </c>
      <c r="I554">
        <f>IF($A554="","",IFERROR(INDEX('[AQ_2022.xlsx]原始数据'!$C:$C,MATCH($A554,'[AQ_2022.xlsx]原始数据'!$A:$A,0)),""))</f>
        <v/>
      </c>
      <c r="J554">
        <f>IF($A554="","",IFERROR(INDEX('[AQ_2023.xlsx]原始数据'!$C:$C,MATCH($A554,'[AQ_2023.xlsx]原始数据'!$A:$A,0)),""))</f>
        <v/>
      </c>
      <c r="K554">
        <f>IF($A554="","",IFERROR(INDEX('[AQ_2024.xlsx]原始数据'!$C:$C,MATCH($A554,'[AQ_2024.xlsx]原始数据'!$A:$A,0)),""))</f>
        <v/>
      </c>
      <c r="L554">
        <f>IF($A554="","",IFERROR(INDEX('[AQ_2020.xlsx]原始数据'!$D:$D,MATCH($A554,'[AQ_2020.xlsx]原始数据'!$A:$A,0)),""))</f>
        <v/>
      </c>
      <c r="M554">
        <f>IF($A554="","",IFERROR(INDEX('[AQ_2021.xlsx]原始数据'!$D:$D,MATCH($A554,'[AQ_2021.xlsx]原始数据'!$A:$A,0)),""))</f>
        <v/>
      </c>
      <c r="N554">
        <f>IF($A554="","",IFERROR(INDEX('[AQ_2022.xlsx]原始数据'!$D:$D,MATCH($A554,'[AQ_2022.xlsx]原始数据'!$A:$A,0)),""))</f>
        <v/>
      </c>
      <c r="O554">
        <f>IF($A554="","",IFERROR(INDEX('[AQ_2023.xlsx]原始数据'!$D:$D,MATCH($A554,'[AQ_2023.xlsx]原始数据'!$A:$A,0)),""))</f>
        <v/>
      </c>
      <c r="P554">
        <f>IF($A554="","",IFERROR(INDEX('[AQ_2024.xlsx]原始数据'!$D:$D,MATCH($A554,'[AQ_2024.xlsx]原始数据'!$A:$A,0)),""))</f>
        <v/>
      </c>
      <c r="Q554">
        <f>IF($A554="","",IFERROR(INDEX('[AQ_2020.xlsx]原始数据'!$E:$E,MATCH($A554,'[AQ_2020.xlsx]原始数据'!$A:$A,0)),""))</f>
        <v/>
      </c>
      <c r="R554">
        <f>IF($A554="","",IFERROR(INDEX('[AQ_2021.xlsx]原始数据'!$E:$E,MATCH($A554,'[AQ_2021.xlsx]原始数据'!$A:$A,0)),""))</f>
        <v/>
      </c>
      <c r="S554">
        <f>IF($A554="","",IFERROR(INDEX('[AQ_2022.xlsx]原始数据'!$E:$E,MATCH($A554,'[AQ_2022.xlsx]原始数据'!$A:$A,0)),""))</f>
        <v/>
      </c>
      <c r="T554">
        <f>IF($A554="","",IFERROR(INDEX('[AQ_2023.xlsx]原始数据'!$E:$E,MATCH($A554,'[AQ_2023.xlsx]原始数据'!$A:$A,0)),""))</f>
        <v/>
      </c>
      <c r="U554">
        <f>IF($A554="","",IFERROR(INDEX('[AQ_2024.xlsx]原始数据'!$E:$E,MATCH($A554,'[AQ_2024.xlsx]原始数据'!$A:$A,0)),""))</f>
        <v/>
      </c>
      <c r="V554">
        <f>IF($A554="","",IFERROR(INDEX('[AQ_2020.xlsx]原始数据'!$F:$F,MATCH($A554,'[AQ_2020.xlsx]原始数据'!$A:$A,0)),""))</f>
        <v/>
      </c>
      <c r="W554">
        <f>IF($A554="","",IFERROR(INDEX('[AQ_2021.xlsx]原始数据'!$F:$F,MATCH($A554,'[AQ_2021.xlsx]原始数据'!$A:$A,0)),""))</f>
        <v/>
      </c>
      <c r="X554">
        <f>IF($A554="","",IFERROR(INDEX('[AQ_2022.xlsx]原始数据'!$F:$F,MATCH($A554,'[AQ_2022.xlsx]原始数据'!$A:$A,0)),""))</f>
        <v/>
      </c>
      <c r="Y554">
        <f>IF($A554="","",IFERROR(INDEX('[AQ_2023.xlsx]原始数据'!$F:$F,MATCH($A554,'[AQ_2023.xlsx]原始数据'!$A:$A,0)),""))</f>
        <v/>
      </c>
      <c r="Z554">
        <f>IF($A554="","",IFERROR(INDEX('[AQ_2024.xlsx]原始数据'!$F:$F,MATCH($A554,'[AQ_2024.xlsx]原始数据'!$A:$A,0)),""))</f>
        <v/>
      </c>
      <c r="AA554" s="2">
        <f>IFERROR(G554/B554,"")</f>
        <v/>
      </c>
      <c r="AB554" s="2">
        <f>IFERROR(H554/C554,"")</f>
        <v/>
      </c>
      <c r="AC554" s="2">
        <f>IFERROR(I554/D554,"")</f>
        <v/>
      </c>
      <c r="AD554" s="2">
        <f>IFERROR(J554/E554,"")</f>
        <v/>
      </c>
      <c r="AE554" s="2">
        <f>IFERROR(K554/F554,"")</f>
        <v/>
      </c>
      <c r="AF554" s="2">
        <f>IFERROR(L554/B554,"")</f>
        <v/>
      </c>
      <c r="AG554" s="2">
        <f>IFERROR(M554/C554,"")</f>
        <v/>
      </c>
      <c r="AH554" s="2">
        <f>IFERROR(N554/D554,"")</f>
        <v/>
      </c>
      <c r="AI554" s="2">
        <f>IFERROR(O554/E554,"")</f>
        <v/>
      </c>
      <c r="AJ554" s="2">
        <f>IFERROR(P554/F554,"")</f>
        <v/>
      </c>
      <c r="AK554" s="2">
        <f>IFERROR(Q554/B554,"")</f>
        <v/>
      </c>
      <c r="AL554" s="2">
        <f>IFERROR(R554/C554,"")</f>
        <v/>
      </c>
      <c r="AM554" s="2">
        <f>IFERROR(S554/D554,"")</f>
        <v/>
      </c>
      <c r="AN554" s="2">
        <f>IFERROR(T554/E554,"")</f>
        <v/>
      </c>
      <c r="AO554" s="2">
        <f>IFERROR(U554/F554,"")</f>
        <v/>
      </c>
    </row>
    <row r="555">
      <c r="B555">
        <f>IF($A555="","",IFERROR(INDEX('[AQ_2020.xlsx]原始数据'!$B:$B,MATCH($A555,'[AQ_2020.xlsx]原始数据'!$A:$A,0)),""))</f>
        <v/>
      </c>
      <c r="C555">
        <f>IF($A555="","",IFERROR(INDEX('[AQ_2021.xlsx]原始数据'!$B:$B,MATCH($A555,'[AQ_2021.xlsx]原始数据'!$A:$A,0)),""))</f>
        <v/>
      </c>
      <c r="D555">
        <f>IF($A555="","",IFERROR(INDEX('[AQ_2022.xlsx]原始数据'!$B:$B,MATCH($A555,'[AQ_2022.xlsx]原始数据'!$A:$A,0)),""))</f>
        <v/>
      </c>
      <c r="E555">
        <f>IF($A555="","",IFERROR(INDEX('[AQ_2023.xlsx]原始数据'!$B:$B,MATCH($A555,'[AQ_2023.xlsx]原始数据'!$A:$A,0)),""))</f>
        <v/>
      </c>
      <c r="F555">
        <f>IF($A555="","",IFERROR(INDEX('[AQ_2024.xlsx]原始数据'!$B:$B,MATCH($A555,'[AQ_2024.xlsx]原始数据'!$A:$A,0)),""))</f>
        <v/>
      </c>
      <c r="G555">
        <f>IF($A555="","",IFERROR(INDEX('[AQ_2020.xlsx]原始数据'!$C:$C,MATCH($A555,'[AQ_2020.xlsx]原始数据'!$A:$A,0)),""))</f>
        <v/>
      </c>
      <c r="H555">
        <f>IF($A555="","",IFERROR(INDEX('[AQ_2021.xlsx]原始数据'!$C:$C,MATCH($A555,'[AQ_2021.xlsx]原始数据'!$A:$A,0)),""))</f>
        <v/>
      </c>
      <c r="I555">
        <f>IF($A555="","",IFERROR(INDEX('[AQ_2022.xlsx]原始数据'!$C:$C,MATCH($A555,'[AQ_2022.xlsx]原始数据'!$A:$A,0)),""))</f>
        <v/>
      </c>
      <c r="J555">
        <f>IF($A555="","",IFERROR(INDEX('[AQ_2023.xlsx]原始数据'!$C:$C,MATCH($A555,'[AQ_2023.xlsx]原始数据'!$A:$A,0)),""))</f>
        <v/>
      </c>
      <c r="K555">
        <f>IF($A555="","",IFERROR(INDEX('[AQ_2024.xlsx]原始数据'!$C:$C,MATCH($A555,'[AQ_2024.xlsx]原始数据'!$A:$A,0)),""))</f>
        <v/>
      </c>
      <c r="L555">
        <f>IF($A555="","",IFERROR(INDEX('[AQ_2020.xlsx]原始数据'!$D:$D,MATCH($A555,'[AQ_2020.xlsx]原始数据'!$A:$A,0)),""))</f>
        <v/>
      </c>
      <c r="M555">
        <f>IF($A555="","",IFERROR(INDEX('[AQ_2021.xlsx]原始数据'!$D:$D,MATCH($A555,'[AQ_2021.xlsx]原始数据'!$A:$A,0)),""))</f>
        <v/>
      </c>
      <c r="N555">
        <f>IF($A555="","",IFERROR(INDEX('[AQ_2022.xlsx]原始数据'!$D:$D,MATCH($A555,'[AQ_2022.xlsx]原始数据'!$A:$A,0)),""))</f>
        <v/>
      </c>
      <c r="O555">
        <f>IF($A555="","",IFERROR(INDEX('[AQ_2023.xlsx]原始数据'!$D:$D,MATCH($A555,'[AQ_2023.xlsx]原始数据'!$A:$A,0)),""))</f>
        <v/>
      </c>
      <c r="P555">
        <f>IF($A555="","",IFERROR(INDEX('[AQ_2024.xlsx]原始数据'!$D:$D,MATCH($A555,'[AQ_2024.xlsx]原始数据'!$A:$A,0)),""))</f>
        <v/>
      </c>
      <c r="Q555">
        <f>IF($A555="","",IFERROR(INDEX('[AQ_2020.xlsx]原始数据'!$E:$E,MATCH($A555,'[AQ_2020.xlsx]原始数据'!$A:$A,0)),""))</f>
        <v/>
      </c>
      <c r="R555">
        <f>IF($A555="","",IFERROR(INDEX('[AQ_2021.xlsx]原始数据'!$E:$E,MATCH($A555,'[AQ_2021.xlsx]原始数据'!$A:$A,0)),""))</f>
        <v/>
      </c>
      <c r="S555">
        <f>IF($A555="","",IFERROR(INDEX('[AQ_2022.xlsx]原始数据'!$E:$E,MATCH($A555,'[AQ_2022.xlsx]原始数据'!$A:$A,0)),""))</f>
        <v/>
      </c>
      <c r="T555">
        <f>IF($A555="","",IFERROR(INDEX('[AQ_2023.xlsx]原始数据'!$E:$E,MATCH($A555,'[AQ_2023.xlsx]原始数据'!$A:$A,0)),""))</f>
        <v/>
      </c>
      <c r="U555">
        <f>IF($A555="","",IFERROR(INDEX('[AQ_2024.xlsx]原始数据'!$E:$E,MATCH($A555,'[AQ_2024.xlsx]原始数据'!$A:$A,0)),""))</f>
        <v/>
      </c>
      <c r="V555">
        <f>IF($A555="","",IFERROR(INDEX('[AQ_2020.xlsx]原始数据'!$F:$F,MATCH($A555,'[AQ_2020.xlsx]原始数据'!$A:$A,0)),""))</f>
        <v/>
      </c>
      <c r="W555">
        <f>IF($A555="","",IFERROR(INDEX('[AQ_2021.xlsx]原始数据'!$F:$F,MATCH($A555,'[AQ_2021.xlsx]原始数据'!$A:$A,0)),""))</f>
        <v/>
      </c>
      <c r="X555">
        <f>IF($A555="","",IFERROR(INDEX('[AQ_2022.xlsx]原始数据'!$F:$F,MATCH($A555,'[AQ_2022.xlsx]原始数据'!$A:$A,0)),""))</f>
        <v/>
      </c>
      <c r="Y555">
        <f>IF($A555="","",IFERROR(INDEX('[AQ_2023.xlsx]原始数据'!$F:$F,MATCH($A555,'[AQ_2023.xlsx]原始数据'!$A:$A,0)),""))</f>
        <v/>
      </c>
      <c r="Z555">
        <f>IF($A555="","",IFERROR(INDEX('[AQ_2024.xlsx]原始数据'!$F:$F,MATCH($A555,'[AQ_2024.xlsx]原始数据'!$A:$A,0)),""))</f>
        <v/>
      </c>
      <c r="AA555" s="2">
        <f>IFERROR(G555/B555,"")</f>
        <v/>
      </c>
      <c r="AB555" s="2">
        <f>IFERROR(H555/C555,"")</f>
        <v/>
      </c>
      <c r="AC555" s="2">
        <f>IFERROR(I555/D555,"")</f>
        <v/>
      </c>
      <c r="AD555" s="2">
        <f>IFERROR(J555/E555,"")</f>
        <v/>
      </c>
      <c r="AE555" s="2">
        <f>IFERROR(K555/F555,"")</f>
        <v/>
      </c>
      <c r="AF555" s="2">
        <f>IFERROR(L555/B555,"")</f>
        <v/>
      </c>
      <c r="AG555" s="2">
        <f>IFERROR(M555/C555,"")</f>
        <v/>
      </c>
      <c r="AH555" s="2">
        <f>IFERROR(N555/D555,"")</f>
        <v/>
      </c>
      <c r="AI555" s="2">
        <f>IFERROR(O555/E555,"")</f>
        <v/>
      </c>
      <c r="AJ555" s="2">
        <f>IFERROR(P555/F555,"")</f>
        <v/>
      </c>
      <c r="AK555" s="2">
        <f>IFERROR(Q555/B555,"")</f>
        <v/>
      </c>
      <c r="AL555" s="2">
        <f>IFERROR(R555/C555,"")</f>
        <v/>
      </c>
      <c r="AM555" s="2">
        <f>IFERROR(S555/D555,"")</f>
        <v/>
      </c>
      <c r="AN555" s="2">
        <f>IFERROR(T555/E555,"")</f>
        <v/>
      </c>
      <c r="AO555" s="2">
        <f>IFERROR(U555/F555,"")</f>
        <v/>
      </c>
    </row>
    <row r="556">
      <c r="B556">
        <f>IF($A556="","",IFERROR(INDEX('[AQ_2020.xlsx]原始数据'!$B:$B,MATCH($A556,'[AQ_2020.xlsx]原始数据'!$A:$A,0)),""))</f>
        <v/>
      </c>
      <c r="C556">
        <f>IF($A556="","",IFERROR(INDEX('[AQ_2021.xlsx]原始数据'!$B:$B,MATCH($A556,'[AQ_2021.xlsx]原始数据'!$A:$A,0)),""))</f>
        <v/>
      </c>
      <c r="D556">
        <f>IF($A556="","",IFERROR(INDEX('[AQ_2022.xlsx]原始数据'!$B:$B,MATCH($A556,'[AQ_2022.xlsx]原始数据'!$A:$A,0)),""))</f>
        <v/>
      </c>
      <c r="E556">
        <f>IF($A556="","",IFERROR(INDEX('[AQ_2023.xlsx]原始数据'!$B:$B,MATCH($A556,'[AQ_2023.xlsx]原始数据'!$A:$A,0)),""))</f>
        <v/>
      </c>
      <c r="F556">
        <f>IF($A556="","",IFERROR(INDEX('[AQ_2024.xlsx]原始数据'!$B:$B,MATCH($A556,'[AQ_2024.xlsx]原始数据'!$A:$A,0)),""))</f>
        <v/>
      </c>
      <c r="G556">
        <f>IF($A556="","",IFERROR(INDEX('[AQ_2020.xlsx]原始数据'!$C:$C,MATCH($A556,'[AQ_2020.xlsx]原始数据'!$A:$A,0)),""))</f>
        <v/>
      </c>
      <c r="H556">
        <f>IF($A556="","",IFERROR(INDEX('[AQ_2021.xlsx]原始数据'!$C:$C,MATCH($A556,'[AQ_2021.xlsx]原始数据'!$A:$A,0)),""))</f>
        <v/>
      </c>
      <c r="I556">
        <f>IF($A556="","",IFERROR(INDEX('[AQ_2022.xlsx]原始数据'!$C:$C,MATCH($A556,'[AQ_2022.xlsx]原始数据'!$A:$A,0)),""))</f>
        <v/>
      </c>
      <c r="J556">
        <f>IF($A556="","",IFERROR(INDEX('[AQ_2023.xlsx]原始数据'!$C:$C,MATCH($A556,'[AQ_2023.xlsx]原始数据'!$A:$A,0)),""))</f>
        <v/>
      </c>
      <c r="K556">
        <f>IF($A556="","",IFERROR(INDEX('[AQ_2024.xlsx]原始数据'!$C:$C,MATCH($A556,'[AQ_2024.xlsx]原始数据'!$A:$A,0)),""))</f>
        <v/>
      </c>
      <c r="L556">
        <f>IF($A556="","",IFERROR(INDEX('[AQ_2020.xlsx]原始数据'!$D:$D,MATCH($A556,'[AQ_2020.xlsx]原始数据'!$A:$A,0)),""))</f>
        <v/>
      </c>
      <c r="M556">
        <f>IF($A556="","",IFERROR(INDEX('[AQ_2021.xlsx]原始数据'!$D:$D,MATCH($A556,'[AQ_2021.xlsx]原始数据'!$A:$A,0)),""))</f>
        <v/>
      </c>
      <c r="N556">
        <f>IF($A556="","",IFERROR(INDEX('[AQ_2022.xlsx]原始数据'!$D:$D,MATCH($A556,'[AQ_2022.xlsx]原始数据'!$A:$A,0)),""))</f>
        <v/>
      </c>
      <c r="O556">
        <f>IF($A556="","",IFERROR(INDEX('[AQ_2023.xlsx]原始数据'!$D:$D,MATCH($A556,'[AQ_2023.xlsx]原始数据'!$A:$A,0)),""))</f>
        <v/>
      </c>
      <c r="P556">
        <f>IF($A556="","",IFERROR(INDEX('[AQ_2024.xlsx]原始数据'!$D:$D,MATCH($A556,'[AQ_2024.xlsx]原始数据'!$A:$A,0)),""))</f>
        <v/>
      </c>
      <c r="Q556">
        <f>IF($A556="","",IFERROR(INDEX('[AQ_2020.xlsx]原始数据'!$E:$E,MATCH($A556,'[AQ_2020.xlsx]原始数据'!$A:$A,0)),""))</f>
        <v/>
      </c>
      <c r="R556">
        <f>IF($A556="","",IFERROR(INDEX('[AQ_2021.xlsx]原始数据'!$E:$E,MATCH($A556,'[AQ_2021.xlsx]原始数据'!$A:$A,0)),""))</f>
        <v/>
      </c>
      <c r="S556">
        <f>IF($A556="","",IFERROR(INDEX('[AQ_2022.xlsx]原始数据'!$E:$E,MATCH($A556,'[AQ_2022.xlsx]原始数据'!$A:$A,0)),""))</f>
        <v/>
      </c>
      <c r="T556">
        <f>IF($A556="","",IFERROR(INDEX('[AQ_2023.xlsx]原始数据'!$E:$E,MATCH($A556,'[AQ_2023.xlsx]原始数据'!$A:$A,0)),""))</f>
        <v/>
      </c>
      <c r="U556">
        <f>IF($A556="","",IFERROR(INDEX('[AQ_2024.xlsx]原始数据'!$E:$E,MATCH($A556,'[AQ_2024.xlsx]原始数据'!$A:$A,0)),""))</f>
        <v/>
      </c>
      <c r="V556">
        <f>IF($A556="","",IFERROR(INDEX('[AQ_2020.xlsx]原始数据'!$F:$F,MATCH($A556,'[AQ_2020.xlsx]原始数据'!$A:$A,0)),""))</f>
        <v/>
      </c>
      <c r="W556">
        <f>IF($A556="","",IFERROR(INDEX('[AQ_2021.xlsx]原始数据'!$F:$F,MATCH($A556,'[AQ_2021.xlsx]原始数据'!$A:$A,0)),""))</f>
        <v/>
      </c>
      <c r="X556">
        <f>IF($A556="","",IFERROR(INDEX('[AQ_2022.xlsx]原始数据'!$F:$F,MATCH($A556,'[AQ_2022.xlsx]原始数据'!$A:$A,0)),""))</f>
        <v/>
      </c>
      <c r="Y556">
        <f>IF($A556="","",IFERROR(INDEX('[AQ_2023.xlsx]原始数据'!$F:$F,MATCH($A556,'[AQ_2023.xlsx]原始数据'!$A:$A,0)),""))</f>
        <v/>
      </c>
      <c r="Z556">
        <f>IF($A556="","",IFERROR(INDEX('[AQ_2024.xlsx]原始数据'!$F:$F,MATCH($A556,'[AQ_2024.xlsx]原始数据'!$A:$A,0)),""))</f>
        <v/>
      </c>
      <c r="AA556" s="2">
        <f>IFERROR(G556/B556,"")</f>
        <v/>
      </c>
      <c r="AB556" s="2">
        <f>IFERROR(H556/C556,"")</f>
        <v/>
      </c>
      <c r="AC556" s="2">
        <f>IFERROR(I556/D556,"")</f>
        <v/>
      </c>
      <c r="AD556" s="2">
        <f>IFERROR(J556/E556,"")</f>
        <v/>
      </c>
      <c r="AE556" s="2">
        <f>IFERROR(K556/F556,"")</f>
        <v/>
      </c>
      <c r="AF556" s="2">
        <f>IFERROR(L556/B556,"")</f>
        <v/>
      </c>
      <c r="AG556" s="2">
        <f>IFERROR(M556/C556,"")</f>
        <v/>
      </c>
      <c r="AH556" s="2">
        <f>IFERROR(N556/D556,"")</f>
        <v/>
      </c>
      <c r="AI556" s="2">
        <f>IFERROR(O556/E556,"")</f>
        <v/>
      </c>
      <c r="AJ556" s="2">
        <f>IFERROR(P556/F556,"")</f>
        <v/>
      </c>
      <c r="AK556" s="2">
        <f>IFERROR(Q556/B556,"")</f>
        <v/>
      </c>
      <c r="AL556" s="2">
        <f>IFERROR(R556/C556,"")</f>
        <v/>
      </c>
      <c r="AM556" s="2">
        <f>IFERROR(S556/D556,"")</f>
        <v/>
      </c>
      <c r="AN556" s="2">
        <f>IFERROR(T556/E556,"")</f>
        <v/>
      </c>
      <c r="AO556" s="2">
        <f>IFERROR(U556/F556,"")</f>
        <v/>
      </c>
    </row>
    <row r="557">
      <c r="B557">
        <f>IF($A557="","",IFERROR(INDEX('[AQ_2020.xlsx]原始数据'!$B:$B,MATCH($A557,'[AQ_2020.xlsx]原始数据'!$A:$A,0)),""))</f>
        <v/>
      </c>
      <c r="C557">
        <f>IF($A557="","",IFERROR(INDEX('[AQ_2021.xlsx]原始数据'!$B:$B,MATCH($A557,'[AQ_2021.xlsx]原始数据'!$A:$A,0)),""))</f>
        <v/>
      </c>
      <c r="D557">
        <f>IF($A557="","",IFERROR(INDEX('[AQ_2022.xlsx]原始数据'!$B:$B,MATCH($A557,'[AQ_2022.xlsx]原始数据'!$A:$A,0)),""))</f>
        <v/>
      </c>
      <c r="E557">
        <f>IF($A557="","",IFERROR(INDEX('[AQ_2023.xlsx]原始数据'!$B:$B,MATCH($A557,'[AQ_2023.xlsx]原始数据'!$A:$A,0)),""))</f>
        <v/>
      </c>
      <c r="F557">
        <f>IF($A557="","",IFERROR(INDEX('[AQ_2024.xlsx]原始数据'!$B:$B,MATCH($A557,'[AQ_2024.xlsx]原始数据'!$A:$A,0)),""))</f>
        <v/>
      </c>
      <c r="G557">
        <f>IF($A557="","",IFERROR(INDEX('[AQ_2020.xlsx]原始数据'!$C:$C,MATCH($A557,'[AQ_2020.xlsx]原始数据'!$A:$A,0)),""))</f>
        <v/>
      </c>
      <c r="H557">
        <f>IF($A557="","",IFERROR(INDEX('[AQ_2021.xlsx]原始数据'!$C:$C,MATCH($A557,'[AQ_2021.xlsx]原始数据'!$A:$A,0)),""))</f>
        <v/>
      </c>
      <c r="I557">
        <f>IF($A557="","",IFERROR(INDEX('[AQ_2022.xlsx]原始数据'!$C:$C,MATCH($A557,'[AQ_2022.xlsx]原始数据'!$A:$A,0)),""))</f>
        <v/>
      </c>
      <c r="J557">
        <f>IF($A557="","",IFERROR(INDEX('[AQ_2023.xlsx]原始数据'!$C:$C,MATCH($A557,'[AQ_2023.xlsx]原始数据'!$A:$A,0)),""))</f>
        <v/>
      </c>
      <c r="K557">
        <f>IF($A557="","",IFERROR(INDEX('[AQ_2024.xlsx]原始数据'!$C:$C,MATCH($A557,'[AQ_2024.xlsx]原始数据'!$A:$A,0)),""))</f>
        <v/>
      </c>
      <c r="L557">
        <f>IF($A557="","",IFERROR(INDEX('[AQ_2020.xlsx]原始数据'!$D:$D,MATCH($A557,'[AQ_2020.xlsx]原始数据'!$A:$A,0)),""))</f>
        <v/>
      </c>
      <c r="M557">
        <f>IF($A557="","",IFERROR(INDEX('[AQ_2021.xlsx]原始数据'!$D:$D,MATCH($A557,'[AQ_2021.xlsx]原始数据'!$A:$A,0)),""))</f>
        <v/>
      </c>
      <c r="N557">
        <f>IF($A557="","",IFERROR(INDEX('[AQ_2022.xlsx]原始数据'!$D:$D,MATCH($A557,'[AQ_2022.xlsx]原始数据'!$A:$A,0)),""))</f>
        <v/>
      </c>
      <c r="O557">
        <f>IF($A557="","",IFERROR(INDEX('[AQ_2023.xlsx]原始数据'!$D:$D,MATCH($A557,'[AQ_2023.xlsx]原始数据'!$A:$A,0)),""))</f>
        <v/>
      </c>
      <c r="P557">
        <f>IF($A557="","",IFERROR(INDEX('[AQ_2024.xlsx]原始数据'!$D:$D,MATCH($A557,'[AQ_2024.xlsx]原始数据'!$A:$A,0)),""))</f>
        <v/>
      </c>
      <c r="Q557">
        <f>IF($A557="","",IFERROR(INDEX('[AQ_2020.xlsx]原始数据'!$E:$E,MATCH($A557,'[AQ_2020.xlsx]原始数据'!$A:$A,0)),""))</f>
        <v/>
      </c>
      <c r="R557">
        <f>IF($A557="","",IFERROR(INDEX('[AQ_2021.xlsx]原始数据'!$E:$E,MATCH($A557,'[AQ_2021.xlsx]原始数据'!$A:$A,0)),""))</f>
        <v/>
      </c>
      <c r="S557">
        <f>IF($A557="","",IFERROR(INDEX('[AQ_2022.xlsx]原始数据'!$E:$E,MATCH($A557,'[AQ_2022.xlsx]原始数据'!$A:$A,0)),""))</f>
        <v/>
      </c>
      <c r="T557">
        <f>IF($A557="","",IFERROR(INDEX('[AQ_2023.xlsx]原始数据'!$E:$E,MATCH($A557,'[AQ_2023.xlsx]原始数据'!$A:$A,0)),""))</f>
        <v/>
      </c>
      <c r="U557">
        <f>IF($A557="","",IFERROR(INDEX('[AQ_2024.xlsx]原始数据'!$E:$E,MATCH($A557,'[AQ_2024.xlsx]原始数据'!$A:$A,0)),""))</f>
        <v/>
      </c>
      <c r="V557">
        <f>IF($A557="","",IFERROR(INDEX('[AQ_2020.xlsx]原始数据'!$F:$F,MATCH($A557,'[AQ_2020.xlsx]原始数据'!$A:$A,0)),""))</f>
        <v/>
      </c>
      <c r="W557">
        <f>IF($A557="","",IFERROR(INDEX('[AQ_2021.xlsx]原始数据'!$F:$F,MATCH($A557,'[AQ_2021.xlsx]原始数据'!$A:$A,0)),""))</f>
        <v/>
      </c>
      <c r="X557">
        <f>IF($A557="","",IFERROR(INDEX('[AQ_2022.xlsx]原始数据'!$F:$F,MATCH($A557,'[AQ_2022.xlsx]原始数据'!$A:$A,0)),""))</f>
        <v/>
      </c>
      <c r="Y557">
        <f>IF($A557="","",IFERROR(INDEX('[AQ_2023.xlsx]原始数据'!$F:$F,MATCH($A557,'[AQ_2023.xlsx]原始数据'!$A:$A,0)),""))</f>
        <v/>
      </c>
      <c r="Z557">
        <f>IF($A557="","",IFERROR(INDEX('[AQ_2024.xlsx]原始数据'!$F:$F,MATCH($A557,'[AQ_2024.xlsx]原始数据'!$A:$A,0)),""))</f>
        <v/>
      </c>
      <c r="AA557" s="2">
        <f>IFERROR(G557/B557,"")</f>
        <v/>
      </c>
      <c r="AB557" s="2">
        <f>IFERROR(H557/C557,"")</f>
        <v/>
      </c>
      <c r="AC557" s="2">
        <f>IFERROR(I557/D557,"")</f>
        <v/>
      </c>
      <c r="AD557" s="2">
        <f>IFERROR(J557/E557,"")</f>
        <v/>
      </c>
      <c r="AE557" s="2">
        <f>IFERROR(K557/F557,"")</f>
        <v/>
      </c>
      <c r="AF557" s="2">
        <f>IFERROR(L557/B557,"")</f>
        <v/>
      </c>
      <c r="AG557" s="2">
        <f>IFERROR(M557/C557,"")</f>
        <v/>
      </c>
      <c r="AH557" s="2">
        <f>IFERROR(N557/D557,"")</f>
        <v/>
      </c>
      <c r="AI557" s="2">
        <f>IFERROR(O557/E557,"")</f>
        <v/>
      </c>
      <c r="AJ557" s="2">
        <f>IFERROR(P557/F557,"")</f>
        <v/>
      </c>
      <c r="AK557" s="2">
        <f>IFERROR(Q557/B557,"")</f>
        <v/>
      </c>
      <c r="AL557" s="2">
        <f>IFERROR(R557/C557,"")</f>
        <v/>
      </c>
      <c r="AM557" s="2">
        <f>IFERROR(S557/D557,"")</f>
        <v/>
      </c>
      <c r="AN557" s="2">
        <f>IFERROR(T557/E557,"")</f>
        <v/>
      </c>
      <c r="AO557" s="2">
        <f>IFERROR(U557/F557,"")</f>
        <v/>
      </c>
    </row>
    <row r="558">
      <c r="B558">
        <f>IF($A558="","",IFERROR(INDEX('[AQ_2020.xlsx]原始数据'!$B:$B,MATCH($A558,'[AQ_2020.xlsx]原始数据'!$A:$A,0)),""))</f>
        <v/>
      </c>
      <c r="C558">
        <f>IF($A558="","",IFERROR(INDEX('[AQ_2021.xlsx]原始数据'!$B:$B,MATCH($A558,'[AQ_2021.xlsx]原始数据'!$A:$A,0)),""))</f>
        <v/>
      </c>
      <c r="D558">
        <f>IF($A558="","",IFERROR(INDEX('[AQ_2022.xlsx]原始数据'!$B:$B,MATCH($A558,'[AQ_2022.xlsx]原始数据'!$A:$A,0)),""))</f>
        <v/>
      </c>
      <c r="E558">
        <f>IF($A558="","",IFERROR(INDEX('[AQ_2023.xlsx]原始数据'!$B:$B,MATCH($A558,'[AQ_2023.xlsx]原始数据'!$A:$A,0)),""))</f>
        <v/>
      </c>
      <c r="F558">
        <f>IF($A558="","",IFERROR(INDEX('[AQ_2024.xlsx]原始数据'!$B:$B,MATCH($A558,'[AQ_2024.xlsx]原始数据'!$A:$A,0)),""))</f>
        <v/>
      </c>
      <c r="G558">
        <f>IF($A558="","",IFERROR(INDEX('[AQ_2020.xlsx]原始数据'!$C:$C,MATCH($A558,'[AQ_2020.xlsx]原始数据'!$A:$A,0)),""))</f>
        <v/>
      </c>
      <c r="H558">
        <f>IF($A558="","",IFERROR(INDEX('[AQ_2021.xlsx]原始数据'!$C:$C,MATCH($A558,'[AQ_2021.xlsx]原始数据'!$A:$A,0)),""))</f>
        <v/>
      </c>
      <c r="I558">
        <f>IF($A558="","",IFERROR(INDEX('[AQ_2022.xlsx]原始数据'!$C:$C,MATCH($A558,'[AQ_2022.xlsx]原始数据'!$A:$A,0)),""))</f>
        <v/>
      </c>
      <c r="J558">
        <f>IF($A558="","",IFERROR(INDEX('[AQ_2023.xlsx]原始数据'!$C:$C,MATCH($A558,'[AQ_2023.xlsx]原始数据'!$A:$A,0)),""))</f>
        <v/>
      </c>
      <c r="K558">
        <f>IF($A558="","",IFERROR(INDEX('[AQ_2024.xlsx]原始数据'!$C:$C,MATCH($A558,'[AQ_2024.xlsx]原始数据'!$A:$A,0)),""))</f>
        <v/>
      </c>
      <c r="L558">
        <f>IF($A558="","",IFERROR(INDEX('[AQ_2020.xlsx]原始数据'!$D:$D,MATCH($A558,'[AQ_2020.xlsx]原始数据'!$A:$A,0)),""))</f>
        <v/>
      </c>
      <c r="M558">
        <f>IF($A558="","",IFERROR(INDEX('[AQ_2021.xlsx]原始数据'!$D:$D,MATCH($A558,'[AQ_2021.xlsx]原始数据'!$A:$A,0)),""))</f>
        <v/>
      </c>
      <c r="N558">
        <f>IF($A558="","",IFERROR(INDEX('[AQ_2022.xlsx]原始数据'!$D:$D,MATCH($A558,'[AQ_2022.xlsx]原始数据'!$A:$A,0)),""))</f>
        <v/>
      </c>
      <c r="O558">
        <f>IF($A558="","",IFERROR(INDEX('[AQ_2023.xlsx]原始数据'!$D:$D,MATCH($A558,'[AQ_2023.xlsx]原始数据'!$A:$A,0)),""))</f>
        <v/>
      </c>
      <c r="P558">
        <f>IF($A558="","",IFERROR(INDEX('[AQ_2024.xlsx]原始数据'!$D:$D,MATCH($A558,'[AQ_2024.xlsx]原始数据'!$A:$A,0)),""))</f>
        <v/>
      </c>
      <c r="Q558">
        <f>IF($A558="","",IFERROR(INDEX('[AQ_2020.xlsx]原始数据'!$E:$E,MATCH($A558,'[AQ_2020.xlsx]原始数据'!$A:$A,0)),""))</f>
        <v/>
      </c>
      <c r="R558">
        <f>IF($A558="","",IFERROR(INDEX('[AQ_2021.xlsx]原始数据'!$E:$E,MATCH($A558,'[AQ_2021.xlsx]原始数据'!$A:$A,0)),""))</f>
        <v/>
      </c>
      <c r="S558">
        <f>IF($A558="","",IFERROR(INDEX('[AQ_2022.xlsx]原始数据'!$E:$E,MATCH($A558,'[AQ_2022.xlsx]原始数据'!$A:$A,0)),""))</f>
        <v/>
      </c>
      <c r="T558">
        <f>IF($A558="","",IFERROR(INDEX('[AQ_2023.xlsx]原始数据'!$E:$E,MATCH($A558,'[AQ_2023.xlsx]原始数据'!$A:$A,0)),""))</f>
        <v/>
      </c>
      <c r="U558">
        <f>IF($A558="","",IFERROR(INDEX('[AQ_2024.xlsx]原始数据'!$E:$E,MATCH($A558,'[AQ_2024.xlsx]原始数据'!$A:$A,0)),""))</f>
        <v/>
      </c>
      <c r="V558">
        <f>IF($A558="","",IFERROR(INDEX('[AQ_2020.xlsx]原始数据'!$F:$F,MATCH($A558,'[AQ_2020.xlsx]原始数据'!$A:$A,0)),""))</f>
        <v/>
      </c>
      <c r="W558">
        <f>IF($A558="","",IFERROR(INDEX('[AQ_2021.xlsx]原始数据'!$F:$F,MATCH($A558,'[AQ_2021.xlsx]原始数据'!$A:$A,0)),""))</f>
        <v/>
      </c>
      <c r="X558">
        <f>IF($A558="","",IFERROR(INDEX('[AQ_2022.xlsx]原始数据'!$F:$F,MATCH($A558,'[AQ_2022.xlsx]原始数据'!$A:$A,0)),""))</f>
        <v/>
      </c>
      <c r="Y558">
        <f>IF($A558="","",IFERROR(INDEX('[AQ_2023.xlsx]原始数据'!$F:$F,MATCH($A558,'[AQ_2023.xlsx]原始数据'!$A:$A,0)),""))</f>
        <v/>
      </c>
      <c r="Z558">
        <f>IF($A558="","",IFERROR(INDEX('[AQ_2024.xlsx]原始数据'!$F:$F,MATCH($A558,'[AQ_2024.xlsx]原始数据'!$A:$A,0)),""))</f>
        <v/>
      </c>
      <c r="AA558" s="2">
        <f>IFERROR(G558/B558,"")</f>
        <v/>
      </c>
      <c r="AB558" s="2">
        <f>IFERROR(H558/C558,"")</f>
        <v/>
      </c>
      <c r="AC558" s="2">
        <f>IFERROR(I558/D558,"")</f>
        <v/>
      </c>
      <c r="AD558" s="2">
        <f>IFERROR(J558/E558,"")</f>
        <v/>
      </c>
      <c r="AE558" s="2">
        <f>IFERROR(K558/F558,"")</f>
        <v/>
      </c>
      <c r="AF558" s="2">
        <f>IFERROR(L558/B558,"")</f>
        <v/>
      </c>
      <c r="AG558" s="2">
        <f>IFERROR(M558/C558,"")</f>
        <v/>
      </c>
      <c r="AH558" s="2">
        <f>IFERROR(N558/D558,"")</f>
        <v/>
      </c>
      <c r="AI558" s="2">
        <f>IFERROR(O558/E558,"")</f>
        <v/>
      </c>
      <c r="AJ558" s="2">
        <f>IFERROR(P558/F558,"")</f>
        <v/>
      </c>
      <c r="AK558" s="2">
        <f>IFERROR(Q558/B558,"")</f>
        <v/>
      </c>
      <c r="AL558" s="2">
        <f>IFERROR(R558/C558,"")</f>
        <v/>
      </c>
      <c r="AM558" s="2">
        <f>IFERROR(S558/D558,"")</f>
        <v/>
      </c>
      <c r="AN558" s="2">
        <f>IFERROR(T558/E558,"")</f>
        <v/>
      </c>
      <c r="AO558" s="2">
        <f>IFERROR(U558/F558,"")</f>
        <v/>
      </c>
    </row>
    <row r="559">
      <c r="B559">
        <f>IF($A559="","",IFERROR(INDEX('[AQ_2020.xlsx]原始数据'!$B:$B,MATCH($A559,'[AQ_2020.xlsx]原始数据'!$A:$A,0)),""))</f>
        <v/>
      </c>
      <c r="C559">
        <f>IF($A559="","",IFERROR(INDEX('[AQ_2021.xlsx]原始数据'!$B:$B,MATCH($A559,'[AQ_2021.xlsx]原始数据'!$A:$A,0)),""))</f>
        <v/>
      </c>
      <c r="D559">
        <f>IF($A559="","",IFERROR(INDEX('[AQ_2022.xlsx]原始数据'!$B:$B,MATCH($A559,'[AQ_2022.xlsx]原始数据'!$A:$A,0)),""))</f>
        <v/>
      </c>
      <c r="E559">
        <f>IF($A559="","",IFERROR(INDEX('[AQ_2023.xlsx]原始数据'!$B:$B,MATCH($A559,'[AQ_2023.xlsx]原始数据'!$A:$A,0)),""))</f>
        <v/>
      </c>
      <c r="F559">
        <f>IF($A559="","",IFERROR(INDEX('[AQ_2024.xlsx]原始数据'!$B:$B,MATCH($A559,'[AQ_2024.xlsx]原始数据'!$A:$A,0)),""))</f>
        <v/>
      </c>
      <c r="G559">
        <f>IF($A559="","",IFERROR(INDEX('[AQ_2020.xlsx]原始数据'!$C:$C,MATCH($A559,'[AQ_2020.xlsx]原始数据'!$A:$A,0)),""))</f>
        <v/>
      </c>
      <c r="H559">
        <f>IF($A559="","",IFERROR(INDEX('[AQ_2021.xlsx]原始数据'!$C:$C,MATCH($A559,'[AQ_2021.xlsx]原始数据'!$A:$A,0)),""))</f>
        <v/>
      </c>
      <c r="I559">
        <f>IF($A559="","",IFERROR(INDEX('[AQ_2022.xlsx]原始数据'!$C:$C,MATCH($A559,'[AQ_2022.xlsx]原始数据'!$A:$A,0)),""))</f>
        <v/>
      </c>
      <c r="J559">
        <f>IF($A559="","",IFERROR(INDEX('[AQ_2023.xlsx]原始数据'!$C:$C,MATCH($A559,'[AQ_2023.xlsx]原始数据'!$A:$A,0)),""))</f>
        <v/>
      </c>
      <c r="K559">
        <f>IF($A559="","",IFERROR(INDEX('[AQ_2024.xlsx]原始数据'!$C:$C,MATCH($A559,'[AQ_2024.xlsx]原始数据'!$A:$A,0)),""))</f>
        <v/>
      </c>
      <c r="L559">
        <f>IF($A559="","",IFERROR(INDEX('[AQ_2020.xlsx]原始数据'!$D:$D,MATCH($A559,'[AQ_2020.xlsx]原始数据'!$A:$A,0)),""))</f>
        <v/>
      </c>
      <c r="M559">
        <f>IF($A559="","",IFERROR(INDEX('[AQ_2021.xlsx]原始数据'!$D:$D,MATCH($A559,'[AQ_2021.xlsx]原始数据'!$A:$A,0)),""))</f>
        <v/>
      </c>
      <c r="N559">
        <f>IF($A559="","",IFERROR(INDEX('[AQ_2022.xlsx]原始数据'!$D:$D,MATCH($A559,'[AQ_2022.xlsx]原始数据'!$A:$A,0)),""))</f>
        <v/>
      </c>
      <c r="O559">
        <f>IF($A559="","",IFERROR(INDEX('[AQ_2023.xlsx]原始数据'!$D:$D,MATCH($A559,'[AQ_2023.xlsx]原始数据'!$A:$A,0)),""))</f>
        <v/>
      </c>
      <c r="P559">
        <f>IF($A559="","",IFERROR(INDEX('[AQ_2024.xlsx]原始数据'!$D:$D,MATCH($A559,'[AQ_2024.xlsx]原始数据'!$A:$A,0)),""))</f>
        <v/>
      </c>
      <c r="Q559">
        <f>IF($A559="","",IFERROR(INDEX('[AQ_2020.xlsx]原始数据'!$E:$E,MATCH($A559,'[AQ_2020.xlsx]原始数据'!$A:$A,0)),""))</f>
        <v/>
      </c>
      <c r="R559">
        <f>IF($A559="","",IFERROR(INDEX('[AQ_2021.xlsx]原始数据'!$E:$E,MATCH($A559,'[AQ_2021.xlsx]原始数据'!$A:$A,0)),""))</f>
        <v/>
      </c>
      <c r="S559">
        <f>IF($A559="","",IFERROR(INDEX('[AQ_2022.xlsx]原始数据'!$E:$E,MATCH($A559,'[AQ_2022.xlsx]原始数据'!$A:$A,0)),""))</f>
        <v/>
      </c>
      <c r="T559">
        <f>IF($A559="","",IFERROR(INDEX('[AQ_2023.xlsx]原始数据'!$E:$E,MATCH($A559,'[AQ_2023.xlsx]原始数据'!$A:$A,0)),""))</f>
        <v/>
      </c>
      <c r="U559">
        <f>IF($A559="","",IFERROR(INDEX('[AQ_2024.xlsx]原始数据'!$E:$E,MATCH($A559,'[AQ_2024.xlsx]原始数据'!$A:$A,0)),""))</f>
        <v/>
      </c>
      <c r="V559">
        <f>IF($A559="","",IFERROR(INDEX('[AQ_2020.xlsx]原始数据'!$F:$F,MATCH($A559,'[AQ_2020.xlsx]原始数据'!$A:$A,0)),""))</f>
        <v/>
      </c>
      <c r="W559">
        <f>IF($A559="","",IFERROR(INDEX('[AQ_2021.xlsx]原始数据'!$F:$F,MATCH($A559,'[AQ_2021.xlsx]原始数据'!$A:$A,0)),""))</f>
        <v/>
      </c>
      <c r="X559">
        <f>IF($A559="","",IFERROR(INDEX('[AQ_2022.xlsx]原始数据'!$F:$F,MATCH($A559,'[AQ_2022.xlsx]原始数据'!$A:$A,0)),""))</f>
        <v/>
      </c>
      <c r="Y559">
        <f>IF($A559="","",IFERROR(INDEX('[AQ_2023.xlsx]原始数据'!$F:$F,MATCH($A559,'[AQ_2023.xlsx]原始数据'!$A:$A,0)),""))</f>
        <v/>
      </c>
      <c r="Z559">
        <f>IF($A559="","",IFERROR(INDEX('[AQ_2024.xlsx]原始数据'!$F:$F,MATCH($A559,'[AQ_2024.xlsx]原始数据'!$A:$A,0)),""))</f>
        <v/>
      </c>
      <c r="AA559" s="2">
        <f>IFERROR(G559/B559,"")</f>
        <v/>
      </c>
      <c r="AB559" s="2">
        <f>IFERROR(H559/C559,"")</f>
        <v/>
      </c>
      <c r="AC559" s="2">
        <f>IFERROR(I559/D559,"")</f>
        <v/>
      </c>
      <c r="AD559" s="2">
        <f>IFERROR(J559/E559,"")</f>
        <v/>
      </c>
      <c r="AE559" s="2">
        <f>IFERROR(K559/F559,"")</f>
        <v/>
      </c>
      <c r="AF559" s="2">
        <f>IFERROR(L559/B559,"")</f>
        <v/>
      </c>
      <c r="AG559" s="2">
        <f>IFERROR(M559/C559,"")</f>
        <v/>
      </c>
      <c r="AH559" s="2">
        <f>IFERROR(N559/D559,"")</f>
        <v/>
      </c>
      <c r="AI559" s="2">
        <f>IFERROR(O559/E559,"")</f>
        <v/>
      </c>
      <c r="AJ559" s="2">
        <f>IFERROR(P559/F559,"")</f>
        <v/>
      </c>
      <c r="AK559" s="2">
        <f>IFERROR(Q559/B559,"")</f>
        <v/>
      </c>
      <c r="AL559" s="2">
        <f>IFERROR(R559/C559,"")</f>
        <v/>
      </c>
      <c r="AM559" s="2">
        <f>IFERROR(S559/D559,"")</f>
        <v/>
      </c>
      <c r="AN559" s="2">
        <f>IFERROR(T559/E559,"")</f>
        <v/>
      </c>
      <c r="AO559" s="2">
        <f>IFERROR(U559/F559,"")</f>
        <v/>
      </c>
    </row>
    <row r="560">
      <c r="B560">
        <f>IF($A560="","",IFERROR(INDEX('[AQ_2020.xlsx]原始数据'!$B:$B,MATCH($A560,'[AQ_2020.xlsx]原始数据'!$A:$A,0)),""))</f>
        <v/>
      </c>
      <c r="C560">
        <f>IF($A560="","",IFERROR(INDEX('[AQ_2021.xlsx]原始数据'!$B:$B,MATCH($A560,'[AQ_2021.xlsx]原始数据'!$A:$A,0)),""))</f>
        <v/>
      </c>
      <c r="D560">
        <f>IF($A560="","",IFERROR(INDEX('[AQ_2022.xlsx]原始数据'!$B:$B,MATCH($A560,'[AQ_2022.xlsx]原始数据'!$A:$A,0)),""))</f>
        <v/>
      </c>
      <c r="E560">
        <f>IF($A560="","",IFERROR(INDEX('[AQ_2023.xlsx]原始数据'!$B:$B,MATCH($A560,'[AQ_2023.xlsx]原始数据'!$A:$A,0)),""))</f>
        <v/>
      </c>
      <c r="F560">
        <f>IF($A560="","",IFERROR(INDEX('[AQ_2024.xlsx]原始数据'!$B:$B,MATCH($A560,'[AQ_2024.xlsx]原始数据'!$A:$A,0)),""))</f>
        <v/>
      </c>
      <c r="G560">
        <f>IF($A560="","",IFERROR(INDEX('[AQ_2020.xlsx]原始数据'!$C:$C,MATCH($A560,'[AQ_2020.xlsx]原始数据'!$A:$A,0)),""))</f>
        <v/>
      </c>
      <c r="H560">
        <f>IF($A560="","",IFERROR(INDEX('[AQ_2021.xlsx]原始数据'!$C:$C,MATCH($A560,'[AQ_2021.xlsx]原始数据'!$A:$A,0)),""))</f>
        <v/>
      </c>
      <c r="I560">
        <f>IF($A560="","",IFERROR(INDEX('[AQ_2022.xlsx]原始数据'!$C:$C,MATCH($A560,'[AQ_2022.xlsx]原始数据'!$A:$A,0)),""))</f>
        <v/>
      </c>
      <c r="J560">
        <f>IF($A560="","",IFERROR(INDEX('[AQ_2023.xlsx]原始数据'!$C:$C,MATCH($A560,'[AQ_2023.xlsx]原始数据'!$A:$A,0)),""))</f>
        <v/>
      </c>
      <c r="K560">
        <f>IF($A560="","",IFERROR(INDEX('[AQ_2024.xlsx]原始数据'!$C:$C,MATCH($A560,'[AQ_2024.xlsx]原始数据'!$A:$A,0)),""))</f>
        <v/>
      </c>
      <c r="L560">
        <f>IF($A560="","",IFERROR(INDEX('[AQ_2020.xlsx]原始数据'!$D:$D,MATCH($A560,'[AQ_2020.xlsx]原始数据'!$A:$A,0)),""))</f>
        <v/>
      </c>
      <c r="M560">
        <f>IF($A560="","",IFERROR(INDEX('[AQ_2021.xlsx]原始数据'!$D:$D,MATCH($A560,'[AQ_2021.xlsx]原始数据'!$A:$A,0)),""))</f>
        <v/>
      </c>
      <c r="N560">
        <f>IF($A560="","",IFERROR(INDEX('[AQ_2022.xlsx]原始数据'!$D:$D,MATCH($A560,'[AQ_2022.xlsx]原始数据'!$A:$A,0)),""))</f>
        <v/>
      </c>
      <c r="O560">
        <f>IF($A560="","",IFERROR(INDEX('[AQ_2023.xlsx]原始数据'!$D:$D,MATCH($A560,'[AQ_2023.xlsx]原始数据'!$A:$A,0)),""))</f>
        <v/>
      </c>
      <c r="P560">
        <f>IF($A560="","",IFERROR(INDEX('[AQ_2024.xlsx]原始数据'!$D:$D,MATCH($A560,'[AQ_2024.xlsx]原始数据'!$A:$A,0)),""))</f>
        <v/>
      </c>
      <c r="Q560">
        <f>IF($A560="","",IFERROR(INDEX('[AQ_2020.xlsx]原始数据'!$E:$E,MATCH($A560,'[AQ_2020.xlsx]原始数据'!$A:$A,0)),""))</f>
        <v/>
      </c>
      <c r="R560">
        <f>IF($A560="","",IFERROR(INDEX('[AQ_2021.xlsx]原始数据'!$E:$E,MATCH($A560,'[AQ_2021.xlsx]原始数据'!$A:$A,0)),""))</f>
        <v/>
      </c>
      <c r="S560">
        <f>IF($A560="","",IFERROR(INDEX('[AQ_2022.xlsx]原始数据'!$E:$E,MATCH($A560,'[AQ_2022.xlsx]原始数据'!$A:$A,0)),""))</f>
        <v/>
      </c>
      <c r="T560">
        <f>IF($A560="","",IFERROR(INDEX('[AQ_2023.xlsx]原始数据'!$E:$E,MATCH($A560,'[AQ_2023.xlsx]原始数据'!$A:$A,0)),""))</f>
        <v/>
      </c>
      <c r="U560">
        <f>IF($A560="","",IFERROR(INDEX('[AQ_2024.xlsx]原始数据'!$E:$E,MATCH($A560,'[AQ_2024.xlsx]原始数据'!$A:$A,0)),""))</f>
        <v/>
      </c>
      <c r="V560">
        <f>IF($A560="","",IFERROR(INDEX('[AQ_2020.xlsx]原始数据'!$F:$F,MATCH($A560,'[AQ_2020.xlsx]原始数据'!$A:$A,0)),""))</f>
        <v/>
      </c>
      <c r="W560">
        <f>IF($A560="","",IFERROR(INDEX('[AQ_2021.xlsx]原始数据'!$F:$F,MATCH($A560,'[AQ_2021.xlsx]原始数据'!$A:$A,0)),""))</f>
        <v/>
      </c>
      <c r="X560">
        <f>IF($A560="","",IFERROR(INDEX('[AQ_2022.xlsx]原始数据'!$F:$F,MATCH($A560,'[AQ_2022.xlsx]原始数据'!$A:$A,0)),""))</f>
        <v/>
      </c>
      <c r="Y560">
        <f>IF($A560="","",IFERROR(INDEX('[AQ_2023.xlsx]原始数据'!$F:$F,MATCH($A560,'[AQ_2023.xlsx]原始数据'!$A:$A,0)),""))</f>
        <v/>
      </c>
      <c r="Z560">
        <f>IF($A560="","",IFERROR(INDEX('[AQ_2024.xlsx]原始数据'!$F:$F,MATCH($A560,'[AQ_2024.xlsx]原始数据'!$A:$A,0)),""))</f>
        <v/>
      </c>
      <c r="AA560" s="2">
        <f>IFERROR(G560/B560,"")</f>
        <v/>
      </c>
      <c r="AB560" s="2">
        <f>IFERROR(H560/C560,"")</f>
        <v/>
      </c>
      <c r="AC560" s="2">
        <f>IFERROR(I560/D560,"")</f>
        <v/>
      </c>
      <c r="AD560" s="2">
        <f>IFERROR(J560/E560,"")</f>
        <v/>
      </c>
      <c r="AE560" s="2">
        <f>IFERROR(K560/F560,"")</f>
        <v/>
      </c>
      <c r="AF560" s="2">
        <f>IFERROR(L560/B560,"")</f>
        <v/>
      </c>
      <c r="AG560" s="2">
        <f>IFERROR(M560/C560,"")</f>
        <v/>
      </c>
      <c r="AH560" s="2">
        <f>IFERROR(N560/D560,"")</f>
        <v/>
      </c>
      <c r="AI560" s="2">
        <f>IFERROR(O560/E560,"")</f>
        <v/>
      </c>
      <c r="AJ560" s="2">
        <f>IFERROR(P560/F560,"")</f>
        <v/>
      </c>
      <c r="AK560" s="2">
        <f>IFERROR(Q560/B560,"")</f>
        <v/>
      </c>
      <c r="AL560" s="2">
        <f>IFERROR(R560/C560,"")</f>
        <v/>
      </c>
      <c r="AM560" s="2">
        <f>IFERROR(S560/D560,"")</f>
        <v/>
      </c>
      <c r="AN560" s="2">
        <f>IFERROR(T560/E560,"")</f>
        <v/>
      </c>
      <c r="AO560" s="2">
        <f>IFERROR(U560/F560,"")</f>
        <v/>
      </c>
    </row>
    <row r="561">
      <c r="B561">
        <f>IF($A561="","",IFERROR(INDEX('[AQ_2020.xlsx]原始数据'!$B:$B,MATCH($A561,'[AQ_2020.xlsx]原始数据'!$A:$A,0)),""))</f>
        <v/>
      </c>
      <c r="C561">
        <f>IF($A561="","",IFERROR(INDEX('[AQ_2021.xlsx]原始数据'!$B:$B,MATCH($A561,'[AQ_2021.xlsx]原始数据'!$A:$A,0)),""))</f>
        <v/>
      </c>
      <c r="D561">
        <f>IF($A561="","",IFERROR(INDEX('[AQ_2022.xlsx]原始数据'!$B:$B,MATCH($A561,'[AQ_2022.xlsx]原始数据'!$A:$A,0)),""))</f>
        <v/>
      </c>
      <c r="E561">
        <f>IF($A561="","",IFERROR(INDEX('[AQ_2023.xlsx]原始数据'!$B:$B,MATCH($A561,'[AQ_2023.xlsx]原始数据'!$A:$A,0)),""))</f>
        <v/>
      </c>
      <c r="F561">
        <f>IF($A561="","",IFERROR(INDEX('[AQ_2024.xlsx]原始数据'!$B:$B,MATCH($A561,'[AQ_2024.xlsx]原始数据'!$A:$A,0)),""))</f>
        <v/>
      </c>
      <c r="G561">
        <f>IF($A561="","",IFERROR(INDEX('[AQ_2020.xlsx]原始数据'!$C:$C,MATCH($A561,'[AQ_2020.xlsx]原始数据'!$A:$A,0)),""))</f>
        <v/>
      </c>
      <c r="H561">
        <f>IF($A561="","",IFERROR(INDEX('[AQ_2021.xlsx]原始数据'!$C:$C,MATCH($A561,'[AQ_2021.xlsx]原始数据'!$A:$A,0)),""))</f>
        <v/>
      </c>
      <c r="I561">
        <f>IF($A561="","",IFERROR(INDEX('[AQ_2022.xlsx]原始数据'!$C:$C,MATCH($A561,'[AQ_2022.xlsx]原始数据'!$A:$A,0)),""))</f>
        <v/>
      </c>
      <c r="J561">
        <f>IF($A561="","",IFERROR(INDEX('[AQ_2023.xlsx]原始数据'!$C:$C,MATCH($A561,'[AQ_2023.xlsx]原始数据'!$A:$A,0)),""))</f>
        <v/>
      </c>
      <c r="K561">
        <f>IF($A561="","",IFERROR(INDEX('[AQ_2024.xlsx]原始数据'!$C:$C,MATCH($A561,'[AQ_2024.xlsx]原始数据'!$A:$A,0)),""))</f>
        <v/>
      </c>
      <c r="L561">
        <f>IF($A561="","",IFERROR(INDEX('[AQ_2020.xlsx]原始数据'!$D:$D,MATCH($A561,'[AQ_2020.xlsx]原始数据'!$A:$A,0)),""))</f>
        <v/>
      </c>
      <c r="M561">
        <f>IF($A561="","",IFERROR(INDEX('[AQ_2021.xlsx]原始数据'!$D:$D,MATCH($A561,'[AQ_2021.xlsx]原始数据'!$A:$A,0)),""))</f>
        <v/>
      </c>
      <c r="N561">
        <f>IF($A561="","",IFERROR(INDEX('[AQ_2022.xlsx]原始数据'!$D:$D,MATCH($A561,'[AQ_2022.xlsx]原始数据'!$A:$A,0)),""))</f>
        <v/>
      </c>
      <c r="O561">
        <f>IF($A561="","",IFERROR(INDEX('[AQ_2023.xlsx]原始数据'!$D:$D,MATCH($A561,'[AQ_2023.xlsx]原始数据'!$A:$A,0)),""))</f>
        <v/>
      </c>
      <c r="P561">
        <f>IF($A561="","",IFERROR(INDEX('[AQ_2024.xlsx]原始数据'!$D:$D,MATCH($A561,'[AQ_2024.xlsx]原始数据'!$A:$A,0)),""))</f>
        <v/>
      </c>
      <c r="Q561">
        <f>IF($A561="","",IFERROR(INDEX('[AQ_2020.xlsx]原始数据'!$E:$E,MATCH($A561,'[AQ_2020.xlsx]原始数据'!$A:$A,0)),""))</f>
        <v/>
      </c>
      <c r="R561">
        <f>IF($A561="","",IFERROR(INDEX('[AQ_2021.xlsx]原始数据'!$E:$E,MATCH($A561,'[AQ_2021.xlsx]原始数据'!$A:$A,0)),""))</f>
        <v/>
      </c>
      <c r="S561">
        <f>IF($A561="","",IFERROR(INDEX('[AQ_2022.xlsx]原始数据'!$E:$E,MATCH($A561,'[AQ_2022.xlsx]原始数据'!$A:$A,0)),""))</f>
        <v/>
      </c>
      <c r="T561">
        <f>IF($A561="","",IFERROR(INDEX('[AQ_2023.xlsx]原始数据'!$E:$E,MATCH($A561,'[AQ_2023.xlsx]原始数据'!$A:$A,0)),""))</f>
        <v/>
      </c>
      <c r="U561">
        <f>IF($A561="","",IFERROR(INDEX('[AQ_2024.xlsx]原始数据'!$E:$E,MATCH($A561,'[AQ_2024.xlsx]原始数据'!$A:$A,0)),""))</f>
        <v/>
      </c>
      <c r="V561">
        <f>IF($A561="","",IFERROR(INDEX('[AQ_2020.xlsx]原始数据'!$F:$F,MATCH($A561,'[AQ_2020.xlsx]原始数据'!$A:$A,0)),""))</f>
        <v/>
      </c>
      <c r="W561">
        <f>IF($A561="","",IFERROR(INDEX('[AQ_2021.xlsx]原始数据'!$F:$F,MATCH($A561,'[AQ_2021.xlsx]原始数据'!$A:$A,0)),""))</f>
        <v/>
      </c>
      <c r="X561">
        <f>IF($A561="","",IFERROR(INDEX('[AQ_2022.xlsx]原始数据'!$F:$F,MATCH($A561,'[AQ_2022.xlsx]原始数据'!$A:$A,0)),""))</f>
        <v/>
      </c>
      <c r="Y561">
        <f>IF($A561="","",IFERROR(INDEX('[AQ_2023.xlsx]原始数据'!$F:$F,MATCH($A561,'[AQ_2023.xlsx]原始数据'!$A:$A,0)),""))</f>
        <v/>
      </c>
      <c r="Z561">
        <f>IF($A561="","",IFERROR(INDEX('[AQ_2024.xlsx]原始数据'!$F:$F,MATCH($A561,'[AQ_2024.xlsx]原始数据'!$A:$A,0)),""))</f>
        <v/>
      </c>
      <c r="AA561" s="2">
        <f>IFERROR(G561/B561,"")</f>
        <v/>
      </c>
      <c r="AB561" s="2">
        <f>IFERROR(H561/C561,"")</f>
        <v/>
      </c>
      <c r="AC561" s="2">
        <f>IFERROR(I561/D561,"")</f>
        <v/>
      </c>
      <c r="AD561" s="2">
        <f>IFERROR(J561/E561,"")</f>
        <v/>
      </c>
      <c r="AE561" s="2">
        <f>IFERROR(K561/F561,"")</f>
        <v/>
      </c>
      <c r="AF561" s="2">
        <f>IFERROR(L561/B561,"")</f>
        <v/>
      </c>
      <c r="AG561" s="2">
        <f>IFERROR(M561/C561,"")</f>
        <v/>
      </c>
      <c r="AH561" s="2">
        <f>IFERROR(N561/D561,"")</f>
        <v/>
      </c>
      <c r="AI561" s="2">
        <f>IFERROR(O561/E561,"")</f>
        <v/>
      </c>
      <c r="AJ561" s="2">
        <f>IFERROR(P561/F561,"")</f>
        <v/>
      </c>
      <c r="AK561" s="2">
        <f>IFERROR(Q561/B561,"")</f>
        <v/>
      </c>
      <c r="AL561" s="2">
        <f>IFERROR(R561/C561,"")</f>
        <v/>
      </c>
      <c r="AM561" s="2">
        <f>IFERROR(S561/D561,"")</f>
        <v/>
      </c>
      <c r="AN561" s="2">
        <f>IFERROR(T561/E561,"")</f>
        <v/>
      </c>
      <c r="AO561" s="2">
        <f>IFERROR(U561/F561,"")</f>
        <v/>
      </c>
    </row>
    <row r="562">
      <c r="B562">
        <f>IF($A562="","",IFERROR(INDEX('[AQ_2020.xlsx]原始数据'!$B:$B,MATCH($A562,'[AQ_2020.xlsx]原始数据'!$A:$A,0)),""))</f>
        <v/>
      </c>
      <c r="C562">
        <f>IF($A562="","",IFERROR(INDEX('[AQ_2021.xlsx]原始数据'!$B:$B,MATCH($A562,'[AQ_2021.xlsx]原始数据'!$A:$A,0)),""))</f>
        <v/>
      </c>
      <c r="D562">
        <f>IF($A562="","",IFERROR(INDEX('[AQ_2022.xlsx]原始数据'!$B:$B,MATCH($A562,'[AQ_2022.xlsx]原始数据'!$A:$A,0)),""))</f>
        <v/>
      </c>
      <c r="E562">
        <f>IF($A562="","",IFERROR(INDEX('[AQ_2023.xlsx]原始数据'!$B:$B,MATCH($A562,'[AQ_2023.xlsx]原始数据'!$A:$A,0)),""))</f>
        <v/>
      </c>
      <c r="F562">
        <f>IF($A562="","",IFERROR(INDEX('[AQ_2024.xlsx]原始数据'!$B:$B,MATCH($A562,'[AQ_2024.xlsx]原始数据'!$A:$A,0)),""))</f>
        <v/>
      </c>
      <c r="G562">
        <f>IF($A562="","",IFERROR(INDEX('[AQ_2020.xlsx]原始数据'!$C:$C,MATCH($A562,'[AQ_2020.xlsx]原始数据'!$A:$A,0)),""))</f>
        <v/>
      </c>
      <c r="H562">
        <f>IF($A562="","",IFERROR(INDEX('[AQ_2021.xlsx]原始数据'!$C:$C,MATCH($A562,'[AQ_2021.xlsx]原始数据'!$A:$A,0)),""))</f>
        <v/>
      </c>
      <c r="I562">
        <f>IF($A562="","",IFERROR(INDEX('[AQ_2022.xlsx]原始数据'!$C:$C,MATCH($A562,'[AQ_2022.xlsx]原始数据'!$A:$A,0)),""))</f>
        <v/>
      </c>
      <c r="J562">
        <f>IF($A562="","",IFERROR(INDEX('[AQ_2023.xlsx]原始数据'!$C:$C,MATCH($A562,'[AQ_2023.xlsx]原始数据'!$A:$A,0)),""))</f>
        <v/>
      </c>
      <c r="K562">
        <f>IF($A562="","",IFERROR(INDEX('[AQ_2024.xlsx]原始数据'!$C:$C,MATCH($A562,'[AQ_2024.xlsx]原始数据'!$A:$A,0)),""))</f>
        <v/>
      </c>
      <c r="L562">
        <f>IF($A562="","",IFERROR(INDEX('[AQ_2020.xlsx]原始数据'!$D:$D,MATCH($A562,'[AQ_2020.xlsx]原始数据'!$A:$A,0)),""))</f>
        <v/>
      </c>
      <c r="M562">
        <f>IF($A562="","",IFERROR(INDEX('[AQ_2021.xlsx]原始数据'!$D:$D,MATCH($A562,'[AQ_2021.xlsx]原始数据'!$A:$A,0)),""))</f>
        <v/>
      </c>
      <c r="N562">
        <f>IF($A562="","",IFERROR(INDEX('[AQ_2022.xlsx]原始数据'!$D:$D,MATCH($A562,'[AQ_2022.xlsx]原始数据'!$A:$A,0)),""))</f>
        <v/>
      </c>
      <c r="O562">
        <f>IF($A562="","",IFERROR(INDEX('[AQ_2023.xlsx]原始数据'!$D:$D,MATCH($A562,'[AQ_2023.xlsx]原始数据'!$A:$A,0)),""))</f>
        <v/>
      </c>
      <c r="P562">
        <f>IF($A562="","",IFERROR(INDEX('[AQ_2024.xlsx]原始数据'!$D:$D,MATCH($A562,'[AQ_2024.xlsx]原始数据'!$A:$A,0)),""))</f>
        <v/>
      </c>
      <c r="Q562">
        <f>IF($A562="","",IFERROR(INDEX('[AQ_2020.xlsx]原始数据'!$E:$E,MATCH($A562,'[AQ_2020.xlsx]原始数据'!$A:$A,0)),""))</f>
        <v/>
      </c>
      <c r="R562">
        <f>IF($A562="","",IFERROR(INDEX('[AQ_2021.xlsx]原始数据'!$E:$E,MATCH($A562,'[AQ_2021.xlsx]原始数据'!$A:$A,0)),""))</f>
        <v/>
      </c>
      <c r="S562">
        <f>IF($A562="","",IFERROR(INDEX('[AQ_2022.xlsx]原始数据'!$E:$E,MATCH($A562,'[AQ_2022.xlsx]原始数据'!$A:$A,0)),""))</f>
        <v/>
      </c>
      <c r="T562">
        <f>IF($A562="","",IFERROR(INDEX('[AQ_2023.xlsx]原始数据'!$E:$E,MATCH($A562,'[AQ_2023.xlsx]原始数据'!$A:$A,0)),""))</f>
        <v/>
      </c>
      <c r="U562">
        <f>IF($A562="","",IFERROR(INDEX('[AQ_2024.xlsx]原始数据'!$E:$E,MATCH($A562,'[AQ_2024.xlsx]原始数据'!$A:$A,0)),""))</f>
        <v/>
      </c>
      <c r="V562">
        <f>IF($A562="","",IFERROR(INDEX('[AQ_2020.xlsx]原始数据'!$F:$F,MATCH($A562,'[AQ_2020.xlsx]原始数据'!$A:$A,0)),""))</f>
        <v/>
      </c>
      <c r="W562">
        <f>IF($A562="","",IFERROR(INDEX('[AQ_2021.xlsx]原始数据'!$F:$F,MATCH($A562,'[AQ_2021.xlsx]原始数据'!$A:$A,0)),""))</f>
        <v/>
      </c>
      <c r="X562">
        <f>IF($A562="","",IFERROR(INDEX('[AQ_2022.xlsx]原始数据'!$F:$F,MATCH($A562,'[AQ_2022.xlsx]原始数据'!$A:$A,0)),""))</f>
        <v/>
      </c>
      <c r="Y562">
        <f>IF($A562="","",IFERROR(INDEX('[AQ_2023.xlsx]原始数据'!$F:$F,MATCH($A562,'[AQ_2023.xlsx]原始数据'!$A:$A,0)),""))</f>
        <v/>
      </c>
      <c r="Z562">
        <f>IF($A562="","",IFERROR(INDEX('[AQ_2024.xlsx]原始数据'!$F:$F,MATCH($A562,'[AQ_2024.xlsx]原始数据'!$A:$A,0)),""))</f>
        <v/>
      </c>
      <c r="AA562" s="2">
        <f>IFERROR(G562/B562,"")</f>
        <v/>
      </c>
      <c r="AB562" s="2">
        <f>IFERROR(H562/C562,"")</f>
        <v/>
      </c>
      <c r="AC562" s="2">
        <f>IFERROR(I562/D562,"")</f>
        <v/>
      </c>
      <c r="AD562" s="2">
        <f>IFERROR(J562/E562,"")</f>
        <v/>
      </c>
      <c r="AE562" s="2">
        <f>IFERROR(K562/F562,"")</f>
        <v/>
      </c>
      <c r="AF562" s="2">
        <f>IFERROR(L562/B562,"")</f>
        <v/>
      </c>
      <c r="AG562" s="2">
        <f>IFERROR(M562/C562,"")</f>
        <v/>
      </c>
      <c r="AH562" s="2">
        <f>IFERROR(N562/D562,"")</f>
        <v/>
      </c>
      <c r="AI562" s="2">
        <f>IFERROR(O562/E562,"")</f>
        <v/>
      </c>
      <c r="AJ562" s="2">
        <f>IFERROR(P562/F562,"")</f>
        <v/>
      </c>
      <c r="AK562" s="2">
        <f>IFERROR(Q562/B562,"")</f>
        <v/>
      </c>
      <c r="AL562" s="2">
        <f>IFERROR(R562/C562,"")</f>
        <v/>
      </c>
      <c r="AM562" s="2">
        <f>IFERROR(S562/D562,"")</f>
        <v/>
      </c>
      <c r="AN562" s="2">
        <f>IFERROR(T562/E562,"")</f>
        <v/>
      </c>
      <c r="AO562" s="2">
        <f>IFERROR(U562/F562,"")</f>
        <v/>
      </c>
    </row>
    <row r="563">
      <c r="B563">
        <f>IF($A563="","",IFERROR(INDEX('[AQ_2020.xlsx]原始数据'!$B:$B,MATCH($A563,'[AQ_2020.xlsx]原始数据'!$A:$A,0)),""))</f>
        <v/>
      </c>
      <c r="C563">
        <f>IF($A563="","",IFERROR(INDEX('[AQ_2021.xlsx]原始数据'!$B:$B,MATCH($A563,'[AQ_2021.xlsx]原始数据'!$A:$A,0)),""))</f>
        <v/>
      </c>
      <c r="D563">
        <f>IF($A563="","",IFERROR(INDEX('[AQ_2022.xlsx]原始数据'!$B:$B,MATCH($A563,'[AQ_2022.xlsx]原始数据'!$A:$A,0)),""))</f>
        <v/>
      </c>
      <c r="E563">
        <f>IF($A563="","",IFERROR(INDEX('[AQ_2023.xlsx]原始数据'!$B:$B,MATCH($A563,'[AQ_2023.xlsx]原始数据'!$A:$A,0)),""))</f>
        <v/>
      </c>
      <c r="F563">
        <f>IF($A563="","",IFERROR(INDEX('[AQ_2024.xlsx]原始数据'!$B:$B,MATCH($A563,'[AQ_2024.xlsx]原始数据'!$A:$A,0)),""))</f>
        <v/>
      </c>
      <c r="G563">
        <f>IF($A563="","",IFERROR(INDEX('[AQ_2020.xlsx]原始数据'!$C:$C,MATCH($A563,'[AQ_2020.xlsx]原始数据'!$A:$A,0)),""))</f>
        <v/>
      </c>
      <c r="H563">
        <f>IF($A563="","",IFERROR(INDEX('[AQ_2021.xlsx]原始数据'!$C:$C,MATCH($A563,'[AQ_2021.xlsx]原始数据'!$A:$A,0)),""))</f>
        <v/>
      </c>
      <c r="I563">
        <f>IF($A563="","",IFERROR(INDEX('[AQ_2022.xlsx]原始数据'!$C:$C,MATCH($A563,'[AQ_2022.xlsx]原始数据'!$A:$A,0)),""))</f>
        <v/>
      </c>
      <c r="J563">
        <f>IF($A563="","",IFERROR(INDEX('[AQ_2023.xlsx]原始数据'!$C:$C,MATCH($A563,'[AQ_2023.xlsx]原始数据'!$A:$A,0)),""))</f>
        <v/>
      </c>
      <c r="K563">
        <f>IF($A563="","",IFERROR(INDEX('[AQ_2024.xlsx]原始数据'!$C:$C,MATCH($A563,'[AQ_2024.xlsx]原始数据'!$A:$A,0)),""))</f>
        <v/>
      </c>
      <c r="L563">
        <f>IF($A563="","",IFERROR(INDEX('[AQ_2020.xlsx]原始数据'!$D:$D,MATCH($A563,'[AQ_2020.xlsx]原始数据'!$A:$A,0)),""))</f>
        <v/>
      </c>
      <c r="M563">
        <f>IF($A563="","",IFERROR(INDEX('[AQ_2021.xlsx]原始数据'!$D:$D,MATCH($A563,'[AQ_2021.xlsx]原始数据'!$A:$A,0)),""))</f>
        <v/>
      </c>
      <c r="N563">
        <f>IF($A563="","",IFERROR(INDEX('[AQ_2022.xlsx]原始数据'!$D:$D,MATCH($A563,'[AQ_2022.xlsx]原始数据'!$A:$A,0)),""))</f>
        <v/>
      </c>
      <c r="O563">
        <f>IF($A563="","",IFERROR(INDEX('[AQ_2023.xlsx]原始数据'!$D:$D,MATCH($A563,'[AQ_2023.xlsx]原始数据'!$A:$A,0)),""))</f>
        <v/>
      </c>
      <c r="P563">
        <f>IF($A563="","",IFERROR(INDEX('[AQ_2024.xlsx]原始数据'!$D:$D,MATCH($A563,'[AQ_2024.xlsx]原始数据'!$A:$A,0)),""))</f>
        <v/>
      </c>
      <c r="Q563">
        <f>IF($A563="","",IFERROR(INDEX('[AQ_2020.xlsx]原始数据'!$E:$E,MATCH($A563,'[AQ_2020.xlsx]原始数据'!$A:$A,0)),""))</f>
        <v/>
      </c>
      <c r="R563">
        <f>IF($A563="","",IFERROR(INDEX('[AQ_2021.xlsx]原始数据'!$E:$E,MATCH($A563,'[AQ_2021.xlsx]原始数据'!$A:$A,0)),""))</f>
        <v/>
      </c>
      <c r="S563">
        <f>IF($A563="","",IFERROR(INDEX('[AQ_2022.xlsx]原始数据'!$E:$E,MATCH($A563,'[AQ_2022.xlsx]原始数据'!$A:$A,0)),""))</f>
        <v/>
      </c>
      <c r="T563">
        <f>IF($A563="","",IFERROR(INDEX('[AQ_2023.xlsx]原始数据'!$E:$E,MATCH($A563,'[AQ_2023.xlsx]原始数据'!$A:$A,0)),""))</f>
        <v/>
      </c>
      <c r="U563">
        <f>IF($A563="","",IFERROR(INDEX('[AQ_2024.xlsx]原始数据'!$E:$E,MATCH($A563,'[AQ_2024.xlsx]原始数据'!$A:$A,0)),""))</f>
        <v/>
      </c>
      <c r="V563">
        <f>IF($A563="","",IFERROR(INDEX('[AQ_2020.xlsx]原始数据'!$F:$F,MATCH($A563,'[AQ_2020.xlsx]原始数据'!$A:$A,0)),""))</f>
        <v/>
      </c>
      <c r="W563">
        <f>IF($A563="","",IFERROR(INDEX('[AQ_2021.xlsx]原始数据'!$F:$F,MATCH($A563,'[AQ_2021.xlsx]原始数据'!$A:$A,0)),""))</f>
        <v/>
      </c>
      <c r="X563">
        <f>IF($A563="","",IFERROR(INDEX('[AQ_2022.xlsx]原始数据'!$F:$F,MATCH($A563,'[AQ_2022.xlsx]原始数据'!$A:$A,0)),""))</f>
        <v/>
      </c>
      <c r="Y563">
        <f>IF($A563="","",IFERROR(INDEX('[AQ_2023.xlsx]原始数据'!$F:$F,MATCH($A563,'[AQ_2023.xlsx]原始数据'!$A:$A,0)),""))</f>
        <v/>
      </c>
      <c r="Z563">
        <f>IF($A563="","",IFERROR(INDEX('[AQ_2024.xlsx]原始数据'!$F:$F,MATCH($A563,'[AQ_2024.xlsx]原始数据'!$A:$A,0)),""))</f>
        <v/>
      </c>
      <c r="AA563" s="2">
        <f>IFERROR(G563/B563,"")</f>
        <v/>
      </c>
      <c r="AB563" s="2">
        <f>IFERROR(H563/C563,"")</f>
        <v/>
      </c>
      <c r="AC563" s="2">
        <f>IFERROR(I563/D563,"")</f>
        <v/>
      </c>
      <c r="AD563" s="2">
        <f>IFERROR(J563/E563,"")</f>
        <v/>
      </c>
      <c r="AE563" s="2">
        <f>IFERROR(K563/F563,"")</f>
        <v/>
      </c>
      <c r="AF563" s="2">
        <f>IFERROR(L563/B563,"")</f>
        <v/>
      </c>
      <c r="AG563" s="2">
        <f>IFERROR(M563/C563,"")</f>
        <v/>
      </c>
      <c r="AH563" s="2">
        <f>IFERROR(N563/D563,"")</f>
        <v/>
      </c>
      <c r="AI563" s="2">
        <f>IFERROR(O563/E563,"")</f>
        <v/>
      </c>
      <c r="AJ563" s="2">
        <f>IFERROR(P563/F563,"")</f>
        <v/>
      </c>
      <c r="AK563" s="2">
        <f>IFERROR(Q563/B563,"")</f>
        <v/>
      </c>
      <c r="AL563" s="2">
        <f>IFERROR(R563/C563,"")</f>
        <v/>
      </c>
      <c r="AM563" s="2">
        <f>IFERROR(S563/D563,"")</f>
        <v/>
      </c>
      <c r="AN563" s="2">
        <f>IFERROR(T563/E563,"")</f>
        <v/>
      </c>
      <c r="AO563" s="2">
        <f>IFERROR(U563/F563,"")</f>
        <v/>
      </c>
    </row>
    <row r="564">
      <c r="B564">
        <f>IF($A564="","",IFERROR(INDEX('[AQ_2020.xlsx]原始数据'!$B:$B,MATCH($A564,'[AQ_2020.xlsx]原始数据'!$A:$A,0)),""))</f>
        <v/>
      </c>
      <c r="C564">
        <f>IF($A564="","",IFERROR(INDEX('[AQ_2021.xlsx]原始数据'!$B:$B,MATCH($A564,'[AQ_2021.xlsx]原始数据'!$A:$A,0)),""))</f>
        <v/>
      </c>
      <c r="D564">
        <f>IF($A564="","",IFERROR(INDEX('[AQ_2022.xlsx]原始数据'!$B:$B,MATCH($A564,'[AQ_2022.xlsx]原始数据'!$A:$A,0)),""))</f>
        <v/>
      </c>
      <c r="E564">
        <f>IF($A564="","",IFERROR(INDEX('[AQ_2023.xlsx]原始数据'!$B:$B,MATCH($A564,'[AQ_2023.xlsx]原始数据'!$A:$A,0)),""))</f>
        <v/>
      </c>
      <c r="F564">
        <f>IF($A564="","",IFERROR(INDEX('[AQ_2024.xlsx]原始数据'!$B:$B,MATCH($A564,'[AQ_2024.xlsx]原始数据'!$A:$A,0)),""))</f>
        <v/>
      </c>
      <c r="G564">
        <f>IF($A564="","",IFERROR(INDEX('[AQ_2020.xlsx]原始数据'!$C:$C,MATCH($A564,'[AQ_2020.xlsx]原始数据'!$A:$A,0)),""))</f>
        <v/>
      </c>
      <c r="H564">
        <f>IF($A564="","",IFERROR(INDEX('[AQ_2021.xlsx]原始数据'!$C:$C,MATCH($A564,'[AQ_2021.xlsx]原始数据'!$A:$A,0)),""))</f>
        <v/>
      </c>
      <c r="I564">
        <f>IF($A564="","",IFERROR(INDEX('[AQ_2022.xlsx]原始数据'!$C:$C,MATCH($A564,'[AQ_2022.xlsx]原始数据'!$A:$A,0)),""))</f>
        <v/>
      </c>
      <c r="J564">
        <f>IF($A564="","",IFERROR(INDEX('[AQ_2023.xlsx]原始数据'!$C:$C,MATCH($A564,'[AQ_2023.xlsx]原始数据'!$A:$A,0)),""))</f>
        <v/>
      </c>
      <c r="K564">
        <f>IF($A564="","",IFERROR(INDEX('[AQ_2024.xlsx]原始数据'!$C:$C,MATCH($A564,'[AQ_2024.xlsx]原始数据'!$A:$A,0)),""))</f>
        <v/>
      </c>
      <c r="L564">
        <f>IF($A564="","",IFERROR(INDEX('[AQ_2020.xlsx]原始数据'!$D:$D,MATCH($A564,'[AQ_2020.xlsx]原始数据'!$A:$A,0)),""))</f>
        <v/>
      </c>
      <c r="M564">
        <f>IF($A564="","",IFERROR(INDEX('[AQ_2021.xlsx]原始数据'!$D:$D,MATCH($A564,'[AQ_2021.xlsx]原始数据'!$A:$A,0)),""))</f>
        <v/>
      </c>
      <c r="N564">
        <f>IF($A564="","",IFERROR(INDEX('[AQ_2022.xlsx]原始数据'!$D:$D,MATCH($A564,'[AQ_2022.xlsx]原始数据'!$A:$A,0)),""))</f>
        <v/>
      </c>
      <c r="O564">
        <f>IF($A564="","",IFERROR(INDEX('[AQ_2023.xlsx]原始数据'!$D:$D,MATCH($A564,'[AQ_2023.xlsx]原始数据'!$A:$A,0)),""))</f>
        <v/>
      </c>
      <c r="P564">
        <f>IF($A564="","",IFERROR(INDEX('[AQ_2024.xlsx]原始数据'!$D:$D,MATCH($A564,'[AQ_2024.xlsx]原始数据'!$A:$A,0)),""))</f>
        <v/>
      </c>
      <c r="Q564">
        <f>IF($A564="","",IFERROR(INDEX('[AQ_2020.xlsx]原始数据'!$E:$E,MATCH($A564,'[AQ_2020.xlsx]原始数据'!$A:$A,0)),""))</f>
        <v/>
      </c>
      <c r="R564">
        <f>IF($A564="","",IFERROR(INDEX('[AQ_2021.xlsx]原始数据'!$E:$E,MATCH($A564,'[AQ_2021.xlsx]原始数据'!$A:$A,0)),""))</f>
        <v/>
      </c>
      <c r="S564">
        <f>IF($A564="","",IFERROR(INDEX('[AQ_2022.xlsx]原始数据'!$E:$E,MATCH($A564,'[AQ_2022.xlsx]原始数据'!$A:$A,0)),""))</f>
        <v/>
      </c>
      <c r="T564">
        <f>IF($A564="","",IFERROR(INDEX('[AQ_2023.xlsx]原始数据'!$E:$E,MATCH($A564,'[AQ_2023.xlsx]原始数据'!$A:$A,0)),""))</f>
        <v/>
      </c>
      <c r="U564">
        <f>IF($A564="","",IFERROR(INDEX('[AQ_2024.xlsx]原始数据'!$E:$E,MATCH($A564,'[AQ_2024.xlsx]原始数据'!$A:$A,0)),""))</f>
        <v/>
      </c>
      <c r="V564">
        <f>IF($A564="","",IFERROR(INDEX('[AQ_2020.xlsx]原始数据'!$F:$F,MATCH($A564,'[AQ_2020.xlsx]原始数据'!$A:$A,0)),""))</f>
        <v/>
      </c>
      <c r="W564">
        <f>IF($A564="","",IFERROR(INDEX('[AQ_2021.xlsx]原始数据'!$F:$F,MATCH($A564,'[AQ_2021.xlsx]原始数据'!$A:$A,0)),""))</f>
        <v/>
      </c>
      <c r="X564">
        <f>IF($A564="","",IFERROR(INDEX('[AQ_2022.xlsx]原始数据'!$F:$F,MATCH($A564,'[AQ_2022.xlsx]原始数据'!$A:$A,0)),""))</f>
        <v/>
      </c>
      <c r="Y564">
        <f>IF($A564="","",IFERROR(INDEX('[AQ_2023.xlsx]原始数据'!$F:$F,MATCH($A564,'[AQ_2023.xlsx]原始数据'!$A:$A,0)),""))</f>
        <v/>
      </c>
      <c r="Z564">
        <f>IF($A564="","",IFERROR(INDEX('[AQ_2024.xlsx]原始数据'!$F:$F,MATCH($A564,'[AQ_2024.xlsx]原始数据'!$A:$A,0)),""))</f>
        <v/>
      </c>
      <c r="AA564" s="2">
        <f>IFERROR(G564/B564,"")</f>
        <v/>
      </c>
      <c r="AB564" s="2">
        <f>IFERROR(H564/C564,"")</f>
        <v/>
      </c>
      <c r="AC564" s="2">
        <f>IFERROR(I564/D564,"")</f>
        <v/>
      </c>
      <c r="AD564" s="2">
        <f>IFERROR(J564/E564,"")</f>
        <v/>
      </c>
      <c r="AE564" s="2">
        <f>IFERROR(K564/F564,"")</f>
        <v/>
      </c>
      <c r="AF564" s="2">
        <f>IFERROR(L564/B564,"")</f>
        <v/>
      </c>
      <c r="AG564" s="2">
        <f>IFERROR(M564/C564,"")</f>
        <v/>
      </c>
      <c r="AH564" s="2">
        <f>IFERROR(N564/D564,"")</f>
        <v/>
      </c>
      <c r="AI564" s="2">
        <f>IFERROR(O564/E564,"")</f>
        <v/>
      </c>
      <c r="AJ564" s="2">
        <f>IFERROR(P564/F564,"")</f>
        <v/>
      </c>
      <c r="AK564" s="2">
        <f>IFERROR(Q564/B564,"")</f>
        <v/>
      </c>
      <c r="AL564" s="2">
        <f>IFERROR(R564/C564,"")</f>
        <v/>
      </c>
      <c r="AM564" s="2">
        <f>IFERROR(S564/D564,"")</f>
        <v/>
      </c>
      <c r="AN564" s="2">
        <f>IFERROR(T564/E564,"")</f>
        <v/>
      </c>
      <c r="AO564" s="2">
        <f>IFERROR(U564/F564,"")</f>
        <v/>
      </c>
    </row>
    <row r="565">
      <c r="B565">
        <f>IF($A565="","",IFERROR(INDEX('[AQ_2020.xlsx]原始数据'!$B:$B,MATCH($A565,'[AQ_2020.xlsx]原始数据'!$A:$A,0)),""))</f>
        <v/>
      </c>
      <c r="C565">
        <f>IF($A565="","",IFERROR(INDEX('[AQ_2021.xlsx]原始数据'!$B:$B,MATCH($A565,'[AQ_2021.xlsx]原始数据'!$A:$A,0)),""))</f>
        <v/>
      </c>
      <c r="D565">
        <f>IF($A565="","",IFERROR(INDEX('[AQ_2022.xlsx]原始数据'!$B:$B,MATCH($A565,'[AQ_2022.xlsx]原始数据'!$A:$A,0)),""))</f>
        <v/>
      </c>
      <c r="E565">
        <f>IF($A565="","",IFERROR(INDEX('[AQ_2023.xlsx]原始数据'!$B:$B,MATCH($A565,'[AQ_2023.xlsx]原始数据'!$A:$A,0)),""))</f>
        <v/>
      </c>
      <c r="F565">
        <f>IF($A565="","",IFERROR(INDEX('[AQ_2024.xlsx]原始数据'!$B:$B,MATCH($A565,'[AQ_2024.xlsx]原始数据'!$A:$A,0)),""))</f>
        <v/>
      </c>
      <c r="G565">
        <f>IF($A565="","",IFERROR(INDEX('[AQ_2020.xlsx]原始数据'!$C:$C,MATCH($A565,'[AQ_2020.xlsx]原始数据'!$A:$A,0)),""))</f>
        <v/>
      </c>
      <c r="H565">
        <f>IF($A565="","",IFERROR(INDEX('[AQ_2021.xlsx]原始数据'!$C:$C,MATCH($A565,'[AQ_2021.xlsx]原始数据'!$A:$A,0)),""))</f>
        <v/>
      </c>
      <c r="I565">
        <f>IF($A565="","",IFERROR(INDEX('[AQ_2022.xlsx]原始数据'!$C:$C,MATCH($A565,'[AQ_2022.xlsx]原始数据'!$A:$A,0)),""))</f>
        <v/>
      </c>
      <c r="J565">
        <f>IF($A565="","",IFERROR(INDEX('[AQ_2023.xlsx]原始数据'!$C:$C,MATCH($A565,'[AQ_2023.xlsx]原始数据'!$A:$A,0)),""))</f>
        <v/>
      </c>
      <c r="K565">
        <f>IF($A565="","",IFERROR(INDEX('[AQ_2024.xlsx]原始数据'!$C:$C,MATCH($A565,'[AQ_2024.xlsx]原始数据'!$A:$A,0)),""))</f>
        <v/>
      </c>
      <c r="L565">
        <f>IF($A565="","",IFERROR(INDEX('[AQ_2020.xlsx]原始数据'!$D:$D,MATCH($A565,'[AQ_2020.xlsx]原始数据'!$A:$A,0)),""))</f>
        <v/>
      </c>
      <c r="M565">
        <f>IF($A565="","",IFERROR(INDEX('[AQ_2021.xlsx]原始数据'!$D:$D,MATCH($A565,'[AQ_2021.xlsx]原始数据'!$A:$A,0)),""))</f>
        <v/>
      </c>
      <c r="N565">
        <f>IF($A565="","",IFERROR(INDEX('[AQ_2022.xlsx]原始数据'!$D:$D,MATCH($A565,'[AQ_2022.xlsx]原始数据'!$A:$A,0)),""))</f>
        <v/>
      </c>
      <c r="O565">
        <f>IF($A565="","",IFERROR(INDEX('[AQ_2023.xlsx]原始数据'!$D:$D,MATCH($A565,'[AQ_2023.xlsx]原始数据'!$A:$A,0)),""))</f>
        <v/>
      </c>
      <c r="P565">
        <f>IF($A565="","",IFERROR(INDEX('[AQ_2024.xlsx]原始数据'!$D:$D,MATCH($A565,'[AQ_2024.xlsx]原始数据'!$A:$A,0)),""))</f>
        <v/>
      </c>
      <c r="Q565">
        <f>IF($A565="","",IFERROR(INDEX('[AQ_2020.xlsx]原始数据'!$E:$E,MATCH($A565,'[AQ_2020.xlsx]原始数据'!$A:$A,0)),""))</f>
        <v/>
      </c>
      <c r="R565">
        <f>IF($A565="","",IFERROR(INDEX('[AQ_2021.xlsx]原始数据'!$E:$E,MATCH($A565,'[AQ_2021.xlsx]原始数据'!$A:$A,0)),""))</f>
        <v/>
      </c>
      <c r="S565">
        <f>IF($A565="","",IFERROR(INDEX('[AQ_2022.xlsx]原始数据'!$E:$E,MATCH($A565,'[AQ_2022.xlsx]原始数据'!$A:$A,0)),""))</f>
        <v/>
      </c>
      <c r="T565">
        <f>IF($A565="","",IFERROR(INDEX('[AQ_2023.xlsx]原始数据'!$E:$E,MATCH($A565,'[AQ_2023.xlsx]原始数据'!$A:$A,0)),""))</f>
        <v/>
      </c>
      <c r="U565">
        <f>IF($A565="","",IFERROR(INDEX('[AQ_2024.xlsx]原始数据'!$E:$E,MATCH($A565,'[AQ_2024.xlsx]原始数据'!$A:$A,0)),""))</f>
        <v/>
      </c>
      <c r="V565">
        <f>IF($A565="","",IFERROR(INDEX('[AQ_2020.xlsx]原始数据'!$F:$F,MATCH($A565,'[AQ_2020.xlsx]原始数据'!$A:$A,0)),""))</f>
        <v/>
      </c>
      <c r="W565">
        <f>IF($A565="","",IFERROR(INDEX('[AQ_2021.xlsx]原始数据'!$F:$F,MATCH($A565,'[AQ_2021.xlsx]原始数据'!$A:$A,0)),""))</f>
        <v/>
      </c>
      <c r="X565">
        <f>IF($A565="","",IFERROR(INDEX('[AQ_2022.xlsx]原始数据'!$F:$F,MATCH($A565,'[AQ_2022.xlsx]原始数据'!$A:$A,0)),""))</f>
        <v/>
      </c>
      <c r="Y565">
        <f>IF($A565="","",IFERROR(INDEX('[AQ_2023.xlsx]原始数据'!$F:$F,MATCH($A565,'[AQ_2023.xlsx]原始数据'!$A:$A,0)),""))</f>
        <v/>
      </c>
      <c r="Z565">
        <f>IF($A565="","",IFERROR(INDEX('[AQ_2024.xlsx]原始数据'!$F:$F,MATCH($A565,'[AQ_2024.xlsx]原始数据'!$A:$A,0)),""))</f>
        <v/>
      </c>
      <c r="AA565" s="2">
        <f>IFERROR(G565/B565,"")</f>
        <v/>
      </c>
      <c r="AB565" s="2">
        <f>IFERROR(H565/C565,"")</f>
        <v/>
      </c>
      <c r="AC565" s="2">
        <f>IFERROR(I565/D565,"")</f>
        <v/>
      </c>
      <c r="AD565" s="2">
        <f>IFERROR(J565/E565,"")</f>
        <v/>
      </c>
      <c r="AE565" s="2">
        <f>IFERROR(K565/F565,"")</f>
        <v/>
      </c>
      <c r="AF565" s="2">
        <f>IFERROR(L565/B565,"")</f>
        <v/>
      </c>
      <c r="AG565" s="2">
        <f>IFERROR(M565/C565,"")</f>
        <v/>
      </c>
      <c r="AH565" s="2">
        <f>IFERROR(N565/D565,"")</f>
        <v/>
      </c>
      <c r="AI565" s="2">
        <f>IFERROR(O565/E565,"")</f>
        <v/>
      </c>
      <c r="AJ565" s="2">
        <f>IFERROR(P565/F565,"")</f>
        <v/>
      </c>
      <c r="AK565" s="2">
        <f>IFERROR(Q565/B565,"")</f>
        <v/>
      </c>
      <c r="AL565" s="2">
        <f>IFERROR(R565/C565,"")</f>
        <v/>
      </c>
      <c r="AM565" s="2">
        <f>IFERROR(S565/D565,"")</f>
        <v/>
      </c>
      <c r="AN565" s="2">
        <f>IFERROR(T565/E565,"")</f>
        <v/>
      </c>
      <c r="AO565" s="2">
        <f>IFERROR(U565/F565,"")</f>
        <v/>
      </c>
    </row>
    <row r="566">
      <c r="B566">
        <f>IF($A566="","",IFERROR(INDEX('[AQ_2020.xlsx]原始数据'!$B:$B,MATCH($A566,'[AQ_2020.xlsx]原始数据'!$A:$A,0)),""))</f>
        <v/>
      </c>
      <c r="C566">
        <f>IF($A566="","",IFERROR(INDEX('[AQ_2021.xlsx]原始数据'!$B:$B,MATCH($A566,'[AQ_2021.xlsx]原始数据'!$A:$A,0)),""))</f>
        <v/>
      </c>
      <c r="D566">
        <f>IF($A566="","",IFERROR(INDEX('[AQ_2022.xlsx]原始数据'!$B:$B,MATCH($A566,'[AQ_2022.xlsx]原始数据'!$A:$A,0)),""))</f>
        <v/>
      </c>
      <c r="E566">
        <f>IF($A566="","",IFERROR(INDEX('[AQ_2023.xlsx]原始数据'!$B:$B,MATCH($A566,'[AQ_2023.xlsx]原始数据'!$A:$A,0)),""))</f>
        <v/>
      </c>
      <c r="F566">
        <f>IF($A566="","",IFERROR(INDEX('[AQ_2024.xlsx]原始数据'!$B:$B,MATCH($A566,'[AQ_2024.xlsx]原始数据'!$A:$A,0)),""))</f>
        <v/>
      </c>
      <c r="G566">
        <f>IF($A566="","",IFERROR(INDEX('[AQ_2020.xlsx]原始数据'!$C:$C,MATCH($A566,'[AQ_2020.xlsx]原始数据'!$A:$A,0)),""))</f>
        <v/>
      </c>
      <c r="H566">
        <f>IF($A566="","",IFERROR(INDEX('[AQ_2021.xlsx]原始数据'!$C:$C,MATCH($A566,'[AQ_2021.xlsx]原始数据'!$A:$A,0)),""))</f>
        <v/>
      </c>
      <c r="I566">
        <f>IF($A566="","",IFERROR(INDEX('[AQ_2022.xlsx]原始数据'!$C:$C,MATCH($A566,'[AQ_2022.xlsx]原始数据'!$A:$A,0)),""))</f>
        <v/>
      </c>
      <c r="J566">
        <f>IF($A566="","",IFERROR(INDEX('[AQ_2023.xlsx]原始数据'!$C:$C,MATCH($A566,'[AQ_2023.xlsx]原始数据'!$A:$A,0)),""))</f>
        <v/>
      </c>
      <c r="K566">
        <f>IF($A566="","",IFERROR(INDEX('[AQ_2024.xlsx]原始数据'!$C:$C,MATCH($A566,'[AQ_2024.xlsx]原始数据'!$A:$A,0)),""))</f>
        <v/>
      </c>
      <c r="L566">
        <f>IF($A566="","",IFERROR(INDEX('[AQ_2020.xlsx]原始数据'!$D:$D,MATCH($A566,'[AQ_2020.xlsx]原始数据'!$A:$A,0)),""))</f>
        <v/>
      </c>
      <c r="M566">
        <f>IF($A566="","",IFERROR(INDEX('[AQ_2021.xlsx]原始数据'!$D:$D,MATCH($A566,'[AQ_2021.xlsx]原始数据'!$A:$A,0)),""))</f>
        <v/>
      </c>
      <c r="N566">
        <f>IF($A566="","",IFERROR(INDEX('[AQ_2022.xlsx]原始数据'!$D:$D,MATCH($A566,'[AQ_2022.xlsx]原始数据'!$A:$A,0)),""))</f>
        <v/>
      </c>
      <c r="O566">
        <f>IF($A566="","",IFERROR(INDEX('[AQ_2023.xlsx]原始数据'!$D:$D,MATCH($A566,'[AQ_2023.xlsx]原始数据'!$A:$A,0)),""))</f>
        <v/>
      </c>
      <c r="P566">
        <f>IF($A566="","",IFERROR(INDEX('[AQ_2024.xlsx]原始数据'!$D:$D,MATCH($A566,'[AQ_2024.xlsx]原始数据'!$A:$A,0)),""))</f>
        <v/>
      </c>
      <c r="Q566">
        <f>IF($A566="","",IFERROR(INDEX('[AQ_2020.xlsx]原始数据'!$E:$E,MATCH($A566,'[AQ_2020.xlsx]原始数据'!$A:$A,0)),""))</f>
        <v/>
      </c>
      <c r="R566">
        <f>IF($A566="","",IFERROR(INDEX('[AQ_2021.xlsx]原始数据'!$E:$E,MATCH($A566,'[AQ_2021.xlsx]原始数据'!$A:$A,0)),""))</f>
        <v/>
      </c>
      <c r="S566">
        <f>IF($A566="","",IFERROR(INDEX('[AQ_2022.xlsx]原始数据'!$E:$E,MATCH($A566,'[AQ_2022.xlsx]原始数据'!$A:$A,0)),""))</f>
        <v/>
      </c>
      <c r="T566">
        <f>IF($A566="","",IFERROR(INDEX('[AQ_2023.xlsx]原始数据'!$E:$E,MATCH($A566,'[AQ_2023.xlsx]原始数据'!$A:$A,0)),""))</f>
        <v/>
      </c>
      <c r="U566">
        <f>IF($A566="","",IFERROR(INDEX('[AQ_2024.xlsx]原始数据'!$E:$E,MATCH($A566,'[AQ_2024.xlsx]原始数据'!$A:$A,0)),""))</f>
        <v/>
      </c>
      <c r="V566">
        <f>IF($A566="","",IFERROR(INDEX('[AQ_2020.xlsx]原始数据'!$F:$F,MATCH($A566,'[AQ_2020.xlsx]原始数据'!$A:$A,0)),""))</f>
        <v/>
      </c>
      <c r="W566">
        <f>IF($A566="","",IFERROR(INDEX('[AQ_2021.xlsx]原始数据'!$F:$F,MATCH($A566,'[AQ_2021.xlsx]原始数据'!$A:$A,0)),""))</f>
        <v/>
      </c>
      <c r="X566">
        <f>IF($A566="","",IFERROR(INDEX('[AQ_2022.xlsx]原始数据'!$F:$F,MATCH($A566,'[AQ_2022.xlsx]原始数据'!$A:$A,0)),""))</f>
        <v/>
      </c>
      <c r="Y566">
        <f>IF($A566="","",IFERROR(INDEX('[AQ_2023.xlsx]原始数据'!$F:$F,MATCH($A566,'[AQ_2023.xlsx]原始数据'!$A:$A,0)),""))</f>
        <v/>
      </c>
      <c r="Z566">
        <f>IF($A566="","",IFERROR(INDEX('[AQ_2024.xlsx]原始数据'!$F:$F,MATCH($A566,'[AQ_2024.xlsx]原始数据'!$A:$A,0)),""))</f>
        <v/>
      </c>
      <c r="AA566" s="2">
        <f>IFERROR(G566/B566,"")</f>
        <v/>
      </c>
      <c r="AB566" s="2">
        <f>IFERROR(H566/C566,"")</f>
        <v/>
      </c>
      <c r="AC566" s="2">
        <f>IFERROR(I566/D566,"")</f>
        <v/>
      </c>
      <c r="AD566" s="2">
        <f>IFERROR(J566/E566,"")</f>
        <v/>
      </c>
      <c r="AE566" s="2">
        <f>IFERROR(K566/F566,"")</f>
        <v/>
      </c>
      <c r="AF566" s="2">
        <f>IFERROR(L566/B566,"")</f>
        <v/>
      </c>
      <c r="AG566" s="2">
        <f>IFERROR(M566/C566,"")</f>
        <v/>
      </c>
      <c r="AH566" s="2">
        <f>IFERROR(N566/D566,"")</f>
        <v/>
      </c>
      <c r="AI566" s="2">
        <f>IFERROR(O566/E566,"")</f>
        <v/>
      </c>
      <c r="AJ566" s="2">
        <f>IFERROR(P566/F566,"")</f>
        <v/>
      </c>
      <c r="AK566" s="2">
        <f>IFERROR(Q566/B566,"")</f>
        <v/>
      </c>
      <c r="AL566" s="2">
        <f>IFERROR(R566/C566,"")</f>
        <v/>
      </c>
      <c r="AM566" s="2">
        <f>IFERROR(S566/D566,"")</f>
        <v/>
      </c>
      <c r="AN566" s="2">
        <f>IFERROR(T566/E566,"")</f>
        <v/>
      </c>
      <c r="AO566" s="2">
        <f>IFERROR(U566/F566,"")</f>
        <v/>
      </c>
    </row>
    <row r="567">
      <c r="B567">
        <f>IF($A567="","",IFERROR(INDEX('[AQ_2020.xlsx]原始数据'!$B:$B,MATCH($A567,'[AQ_2020.xlsx]原始数据'!$A:$A,0)),""))</f>
        <v/>
      </c>
      <c r="C567">
        <f>IF($A567="","",IFERROR(INDEX('[AQ_2021.xlsx]原始数据'!$B:$B,MATCH($A567,'[AQ_2021.xlsx]原始数据'!$A:$A,0)),""))</f>
        <v/>
      </c>
      <c r="D567">
        <f>IF($A567="","",IFERROR(INDEX('[AQ_2022.xlsx]原始数据'!$B:$B,MATCH($A567,'[AQ_2022.xlsx]原始数据'!$A:$A,0)),""))</f>
        <v/>
      </c>
      <c r="E567">
        <f>IF($A567="","",IFERROR(INDEX('[AQ_2023.xlsx]原始数据'!$B:$B,MATCH($A567,'[AQ_2023.xlsx]原始数据'!$A:$A,0)),""))</f>
        <v/>
      </c>
      <c r="F567">
        <f>IF($A567="","",IFERROR(INDEX('[AQ_2024.xlsx]原始数据'!$B:$B,MATCH($A567,'[AQ_2024.xlsx]原始数据'!$A:$A,0)),""))</f>
        <v/>
      </c>
      <c r="G567">
        <f>IF($A567="","",IFERROR(INDEX('[AQ_2020.xlsx]原始数据'!$C:$C,MATCH($A567,'[AQ_2020.xlsx]原始数据'!$A:$A,0)),""))</f>
        <v/>
      </c>
      <c r="H567">
        <f>IF($A567="","",IFERROR(INDEX('[AQ_2021.xlsx]原始数据'!$C:$C,MATCH($A567,'[AQ_2021.xlsx]原始数据'!$A:$A,0)),""))</f>
        <v/>
      </c>
      <c r="I567">
        <f>IF($A567="","",IFERROR(INDEX('[AQ_2022.xlsx]原始数据'!$C:$C,MATCH($A567,'[AQ_2022.xlsx]原始数据'!$A:$A,0)),""))</f>
        <v/>
      </c>
      <c r="J567">
        <f>IF($A567="","",IFERROR(INDEX('[AQ_2023.xlsx]原始数据'!$C:$C,MATCH($A567,'[AQ_2023.xlsx]原始数据'!$A:$A,0)),""))</f>
        <v/>
      </c>
      <c r="K567">
        <f>IF($A567="","",IFERROR(INDEX('[AQ_2024.xlsx]原始数据'!$C:$C,MATCH($A567,'[AQ_2024.xlsx]原始数据'!$A:$A,0)),""))</f>
        <v/>
      </c>
      <c r="L567">
        <f>IF($A567="","",IFERROR(INDEX('[AQ_2020.xlsx]原始数据'!$D:$D,MATCH($A567,'[AQ_2020.xlsx]原始数据'!$A:$A,0)),""))</f>
        <v/>
      </c>
      <c r="M567">
        <f>IF($A567="","",IFERROR(INDEX('[AQ_2021.xlsx]原始数据'!$D:$D,MATCH($A567,'[AQ_2021.xlsx]原始数据'!$A:$A,0)),""))</f>
        <v/>
      </c>
      <c r="N567">
        <f>IF($A567="","",IFERROR(INDEX('[AQ_2022.xlsx]原始数据'!$D:$D,MATCH($A567,'[AQ_2022.xlsx]原始数据'!$A:$A,0)),""))</f>
        <v/>
      </c>
      <c r="O567">
        <f>IF($A567="","",IFERROR(INDEX('[AQ_2023.xlsx]原始数据'!$D:$D,MATCH($A567,'[AQ_2023.xlsx]原始数据'!$A:$A,0)),""))</f>
        <v/>
      </c>
      <c r="P567">
        <f>IF($A567="","",IFERROR(INDEX('[AQ_2024.xlsx]原始数据'!$D:$D,MATCH($A567,'[AQ_2024.xlsx]原始数据'!$A:$A,0)),""))</f>
        <v/>
      </c>
      <c r="Q567">
        <f>IF($A567="","",IFERROR(INDEX('[AQ_2020.xlsx]原始数据'!$E:$E,MATCH($A567,'[AQ_2020.xlsx]原始数据'!$A:$A,0)),""))</f>
        <v/>
      </c>
      <c r="R567">
        <f>IF($A567="","",IFERROR(INDEX('[AQ_2021.xlsx]原始数据'!$E:$E,MATCH($A567,'[AQ_2021.xlsx]原始数据'!$A:$A,0)),""))</f>
        <v/>
      </c>
      <c r="S567">
        <f>IF($A567="","",IFERROR(INDEX('[AQ_2022.xlsx]原始数据'!$E:$E,MATCH($A567,'[AQ_2022.xlsx]原始数据'!$A:$A,0)),""))</f>
        <v/>
      </c>
      <c r="T567">
        <f>IF($A567="","",IFERROR(INDEX('[AQ_2023.xlsx]原始数据'!$E:$E,MATCH($A567,'[AQ_2023.xlsx]原始数据'!$A:$A,0)),""))</f>
        <v/>
      </c>
      <c r="U567">
        <f>IF($A567="","",IFERROR(INDEX('[AQ_2024.xlsx]原始数据'!$E:$E,MATCH($A567,'[AQ_2024.xlsx]原始数据'!$A:$A,0)),""))</f>
        <v/>
      </c>
      <c r="V567">
        <f>IF($A567="","",IFERROR(INDEX('[AQ_2020.xlsx]原始数据'!$F:$F,MATCH($A567,'[AQ_2020.xlsx]原始数据'!$A:$A,0)),""))</f>
        <v/>
      </c>
      <c r="W567">
        <f>IF($A567="","",IFERROR(INDEX('[AQ_2021.xlsx]原始数据'!$F:$F,MATCH($A567,'[AQ_2021.xlsx]原始数据'!$A:$A,0)),""))</f>
        <v/>
      </c>
      <c r="X567">
        <f>IF($A567="","",IFERROR(INDEX('[AQ_2022.xlsx]原始数据'!$F:$F,MATCH($A567,'[AQ_2022.xlsx]原始数据'!$A:$A,0)),""))</f>
        <v/>
      </c>
      <c r="Y567">
        <f>IF($A567="","",IFERROR(INDEX('[AQ_2023.xlsx]原始数据'!$F:$F,MATCH($A567,'[AQ_2023.xlsx]原始数据'!$A:$A,0)),""))</f>
        <v/>
      </c>
      <c r="Z567">
        <f>IF($A567="","",IFERROR(INDEX('[AQ_2024.xlsx]原始数据'!$F:$F,MATCH($A567,'[AQ_2024.xlsx]原始数据'!$A:$A,0)),""))</f>
        <v/>
      </c>
      <c r="AA567" s="2">
        <f>IFERROR(G567/B567,"")</f>
        <v/>
      </c>
      <c r="AB567" s="2">
        <f>IFERROR(H567/C567,"")</f>
        <v/>
      </c>
      <c r="AC567" s="2">
        <f>IFERROR(I567/D567,"")</f>
        <v/>
      </c>
      <c r="AD567" s="2">
        <f>IFERROR(J567/E567,"")</f>
        <v/>
      </c>
      <c r="AE567" s="2">
        <f>IFERROR(K567/F567,"")</f>
        <v/>
      </c>
      <c r="AF567" s="2">
        <f>IFERROR(L567/B567,"")</f>
        <v/>
      </c>
      <c r="AG567" s="2">
        <f>IFERROR(M567/C567,"")</f>
        <v/>
      </c>
      <c r="AH567" s="2">
        <f>IFERROR(N567/D567,"")</f>
        <v/>
      </c>
      <c r="AI567" s="2">
        <f>IFERROR(O567/E567,"")</f>
        <v/>
      </c>
      <c r="AJ567" s="2">
        <f>IFERROR(P567/F567,"")</f>
        <v/>
      </c>
      <c r="AK567" s="2">
        <f>IFERROR(Q567/B567,"")</f>
        <v/>
      </c>
      <c r="AL567" s="2">
        <f>IFERROR(R567/C567,"")</f>
        <v/>
      </c>
      <c r="AM567" s="2">
        <f>IFERROR(S567/D567,"")</f>
        <v/>
      </c>
      <c r="AN567" s="2">
        <f>IFERROR(T567/E567,"")</f>
        <v/>
      </c>
      <c r="AO567" s="2">
        <f>IFERROR(U567/F567,"")</f>
        <v/>
      </c>
    </row>
    <row r="568">
      <c r="B568">
        <f>IF($A568="","",IFERROR(INDEX('[AQ_2020.xlsx]原始数据'!$B:$B,MATCH($A568,'[AQ_2020.xlsx]原始数据'!$A:$A,0)),""))</f>
        <v/>
      </c>
      <c r="C568">
        <f>IF($A568="","",IFERROR(INDEX('[AQ_2021.xlsx]原始数据'!$B:$B,MATCH($A568,'[AQ_2021.xlsx]原始数据'!$A:$A,0)),""))</f>
        <v/>
      </c>
      <c r="D568">
        <f>IF($A568="","",IFERROR(INDEX('[AQ_2022.xlsx]原始数据'!$B:$B,MATCH($A568,'[AQ_2022.xlsx]原始数据'!$A:$A,0)),""))</f>
        <v/>
      </c>
      <c r="E568">
        <f>IF($A568="","",IFERROR(INDEX('[AQ_2023.xlsx]原始数据'!$B:$B,MATCH($A568,'[AQ_2023.xlsx]原始数据'!$A:$A,0)),""))</f>
        <v/>
      </c>
      <c r="F568">
        <f>IF($A568="","",IFERROR(INDEX('[AQ_2024.xlsx]原始数据'!$B:$B,MATCH($A568,'[AQ_2024.xlsx]原始数据'!$A:$A,0)),""))</f>
        <v/>
      </c>
      <c r="G568">
        <f>IF($A568="","",IFERROR(INDEX('[AQ_2020.xlsx]原始数据'!$C:$C,MATCH($A568,'[AQ_2020.xlsx]原始数据'!$A:$A,0)),""))</f>
        <v/>
      </c>
      <c r="H568">
        <f>IF($A568="","",IFERROR(INDEX('[AQ_2021.xlsx]原始数据'!$C:$C,MATCH($A568,'[AQ_2021.xlsx]原始数据'!$A:$A,0)),""))</f>
        <v/>
      </c>
      <c r="I568">
        <f>IF($A568="","",IFERROR(INDEX('[AQ_2022.xlsx]原始数据'!$C:$C,MATCH($A568,'[AQ_2022.xlsx]原始数据'!$A:$A,0)),""))</f>
        <v/>
      </c>
      <c r="J568">
        <f>IF($A568="","",IFERROR(INDEX('[AQ_2023.xlsx]原始数据'!$C:$C,MATCH($A568,'[AQ_2023.xlsx]原始数据'!$A:$A,0)),""))</f>
        <v/>
      </c>
      <c r="K568">
        <f>IF($A568="","",IFERROR(INDEX('[AQ_2024.xlsx]原始数据'!$C:$C,MATCH($A568,'[AQ_2024.xlsx]原始数据'!$A:$A,0)),""))</f>
        <v/>
      </c>
      <c r="L568">
        <f>IF($A568="","",IFERROR(INDEX('[AQ_2020.xlsx]原始数据'!$D:$D,MATCH($A568,'[AQ_2020.xlsx]原始数据'!$A:$A,0)),""))</f>
        <v/>
      </c>
      <c r="M568">
        <f>IF($A568="","",IFERROR(INDEX('[AQ_2021.xlsx]原始数据'!$D:$D,MATCH($A568,'[AQ_2021.xlsx]原始数据'!$A:$A,0)),""))</f>
        <v/>
      </c>
      <c r="N568">
        <f>IF($A568="","",IFERROR(INDEX('[AQ_2022.xlsx]原始数据'!$D:$D,MATCH($A568,'[AQ_2022.xlsx]原始数据'!$A:$A,0)),""))</f>
        <v/>
      </c>
      <c r="O568">
        <f>IF($A568="","",IFERROR(INDEX('[AQ_2023.xlsx]原始数据'!$D:$D,MATCH($A568,'[AQ_2023.xlsx]原始数据'!$A:$A,0)),""))</f>
        <v/>
      </c>
      <c r="P568">
        <f>IF($A568="","",IFERROR(INDEX('[AQ_2024.xlsx]原始数据'!$D:$D,MATCH($A568,'[AQ_2024.xlsx]原始数据'!$A:$A,0)),""))</f>
        <v/>
      </c>
      <c r="Q568">
        <f>IF($A568="","",IFERROR(INDEX('[AQ_2020.xlsx]原始数据'!$E:$E,MATCH($A568,'[AQ_2020.xlsx]原始数据'!$A:$A,0)),""))</f>
        <v/>
      </c>
      <c r="R568">
        <f>IF($A568="","",IFERROR(INDEX('[AQ_2021.xlsx]原始数据'!$E:$E,MATCH($A568,'[AQ_2021.xlsx]原始数据'!$A:$A,0)),""))</f>
        <v/>
      </c>
      <c r="S568">
        <f>IF($A568="","",IFERROR(INDEX('[AQ_2022.xlsx]原始数据'!$E:$E,MATCH($A568,'[AQ_2022.xlsx]原始数据'!$A:$A,0)),""))</f>
        <v/>
      </c>
      <c r="T568">
        <f>IF($A568="","",IFERROR(INDEX('[AQ_2023.xlsx]原始数据'!$E:$E,MATCH($A568,'[AQ_2023.xlsx]原始数据'!$A:$A,0)),""))</f>
        <v/>
      </c>
      <c r="U568">
        <f>IF($A568="","",IFERROR(INDEX('[AQ_2024.xlsx]原始数据'!$E:$E,MATCH($A568,'[AQ_2024.xlsx]原始数据'!$A:$A,0)),""))</f>
        <v/>
      </c>
      <c r="V568">
        <f>IF($A568="","",IFERROR(INDEX('[AQ_2020.xlsx]原始数据'!$F:$F,MATCH($A568,'[AQ_2020.xlsx]原始数据'!$A:$A,0)),""))</f>
        <v/>
      </c>
      <c r="W568">
        <f>IF($A568="","",IFERROR(INDEX('[AQ_2021.xlsx]原始数据'!$F:$F,MATCH($A568,'[AQ_2021.xlsx]原始数据'!$A:$A,0)),""))</f>
        <v/>
      </c>
      <c r="X568">
        <f>IF($A568="","",IFERROR(INDEX('[AQ_2022.xlsx]原始数据'!$F:$F,MATCH($A568,'[AQ_2022.xlsx]原始数据'!$A:$A,0)),""))</f>
        <v/>
      </c>
      <c r="Y568">
        <f>IF($A568="","",IFERROR(INDEX('[AQ_2023.xlsx]原始数据'!$F:$F,MATCH($A568,'[AQ_2023.xlsx]原始数据'!$A:$A,0)),""))</f>
        <v/>
      </c>
      <c r="Z568">
        <f>IF($A568="","",IFERROR(INDEX('[AQ_2024.xlsx]原始数据'!$F:$F,MATCH($A568,'[AQ_2024.xlsx]原始数据'!$A:$A,0)),""))</f>
        <v/>
      </c>
      <c r="AA568" s="2">
        <f>IFERROR(G568/B568,"")</f>
        <v/>
      </c>
      <c r="AB568" s="2">
        <f>IFERROR(H568/C568,"")</f>
        <v/>
      </c>
      <c r="AC568" s="2">
        <f>IFERROR(I568/D568,"")</f>
        <v/>
      </c>
      <c r="AD568" s="2">
        <f>IFERROR(J568/E568,"")</f>
        <v/>
      </c>
      <c r="AE568" s="2">
        <f>IFERROR(K568/F568,"")</f>
        <v/>
      </c>
      <c r="AF568" s="2">
        <f>IFERROR(L568/B568,"")</f>
        <v/>
      </c>
      <c r="AG568" s="2">
        <f>IFERROR(M568/C568,"")</f>
        <v/>
      </c>
      <c r="AH568" s="2">
        <f>IFERROR(N568/D568,"")</f>
        <v/>
      </c>
      <c r="AI568" s="2">
        <f>IFERROR(O568/E568,"")</f>
        <v/>
      </c>
      <c r="AJ568" s="2">
        <f>IFERROR(P568/F568,"")</f>
        <v/>
      </c>
      <c r="AK568" s="2">
        <f>IFERROR(Q568/B568,"")</f>
        <v/>
      </c>
      <c r="AL568" s="2">
        <f>IFERROR(R568/C568,"")</f>
        <v/>
      </c>
      <c r="AM568" s="2">
        <f>IFERROR(S568/D568,"")</f>
        <v/>
      </c>
      <c r="AN568" s="2">
        <f>IFERROR(T568/E568,"")</f>
        <v/>
      </c>
      <c r="AO568" s="2">
        <f>IFERROR(U568/F568,"")</f>
        <v/>
      </c>
    </row>
    <row r="569">
      <c r="B569">
        <f>IF($A569="","",IFERROR(INDEX('[AQ_2020.xlsx]原始数据'!$B:$B,MATCH($A569,'[AQ_2020.xlsx]原始数据'!$A:$A,0)),""))</f>
        <v/>
      </c>
      <c r="C569">
        <f>IF($A569="","",IFERROR(INDEX('[AQ_2021.xlsx]原始数据'!$B:$B,MATCH($A569,'[AQ_2021.xlsx]原始数据'!$A:$A,0)),""))</f>
        <v/>
      </c>
      <c r="D569">
        <f>IF($A569="","",IFERROR(INDEX('[AQ_2022.xlsx]原始数据'!$B:$B,MATCH($A569,'[AQ_2022.xlsx]原始数据'!$A:$A,0)),""))</f>
        <v/>
      </c>
      <c r="E569">
        <f>IF($A569="","",IFERROR(INDEX('[AQ_2023.xlsx]原始数据'!$B:$B,MATCH($A569,'[AQ_2023.xlsx]原始数据'!$A:$A,0)),""))</f>
        <v/>
      </c>
      <c r="F569">
        <f>IF($A569="","",IFERROR(INDEX('[AQ_2024.xlsx]原始数据'!$B:$B,MATCH($A569,'[AQ_2024.xlsx]原始数据'!$A:$A,0)),""))</f>
        <v/>
      </c>
      <c r="G569">
        <f>IF($A569="","",IFERROR(INDEX('[AQ_2020.xlsx]原始数据'!$C:$C,MATCH($A569,'[AQ_2020.xlsx]原始数据'!$A:$A,0)),""))</f>
        <v/>
      </c>
      <c r="H569">
        <f>IF($A569="","",IFERROR(INDEX('[AQ_2021.xlsx]原始数据'!$C:$C,MATCH($A569,'[AQ_2021.xlsx]原始数据'!$A:$A,0)),""))</f>
        <v/>
      </c>
      <c r="I569">
        <f>IF($A569="","",IFERROR(INDEX('[AQ_2022.xlsx]原始数据'!$C:$C,MATCH($A569,'[AQ_2022.xlsx]原始数据'!$A:$A,0)),""))</f>
        <v/>
      </c>
      <c r="J569">
        <f>IF($A569="","",IFERROR(INDEX('[AQ_2023.xlsx]原始数据'!$C:$C,MATCH($A569,'[AQ_2023.xlsx]原始数据'!$A:$A,0)),""))</f>
        <v/>
      </c>
      <c r="K569">
        <f>IF($A569="","",IFERROR(INDEX('[AQ_2024.xlsx]原始数据'!$C:$C,MATCH($A569,'[AQ_2024.xlsx]原始数据'!$A:$A,0)),""))</f>
        <v/>
      </c>
      <c r="L569">
        <f>IF($A569="","",IFERROR(INDEX('[AQ_2020.xlsx]原始数据'!$D:$D,MATCH($A569,'[AQ_2020.xlsx]原始数据'!$A:$A,0)),""))</f>
        <v/>
      </c>
      <c r="M569">
        <f>IF($A569="","",IFERROR(INDEX('[AQ_2021.xlsx]原始数据'!$D:$D,MATCH($A569,'[AQ_2021.xlsx]原始数据'!$A:$A,0)),""))</f>
        <v/>
      </c>
      <c r="N569">
        <f>IF($A569="","",IFERROR(INDEX('[AQ_2022.xlsx]原始数据'!$D:$D,MATCH($A569,'[AQ_2022.xlsx]原始数据'!$A:$A,0)),""))</f>
        <v/>
      </c>
      <c r="O569">
        <f>IF($A569="","",IFERROR(INDEX('[AQ_2023.xlsx]原始数据'!$D:$D,MATCH($A569,'[AQ_2023.xlsx]原始数据'!$A:$A,0)),""))</f>
        <v/>
      </c>
      <c r="P569">
        <f>IF($A569="","",IFERROR(INDEX('[AQ_2024.xlsx]原始数据'!$D:$D,MATCH($A569,'[AQ_2024.xlsx]原始数据'!$A:$A,0)),""))</f>
        <v/>
      </c>
      <c r="Q569">
        <f>IF($A569="","",IFERROR(INDEX('[AQ_2020.xlsx]原始数据'!$E:$E,MATCH($A569,'[AQ_2020.xlsx]原始数据'!$A:$A,0)),""))</f>
        <v/>
      </c>
      <c r="R569">
        <f>IF($A569="","",IFERROR(INDEX('[AQ_2021.xlsx]原始数据'!$E:$E,MATCH($A569,'[AQ_2021.xlsx]原始数据'!$A:$A,0)),""))</f>
        <v/>
      </c>
      <c r="S569">
        <f>IF($A569="","",IFERROR(INDEX('[AQ_2022.xlsx]原始数据'!$E:$E,MATCH($A569,'[AQ_2022.xlsx]原始数据'!$A:$A,0)),""))</f>
        <v/>
      </c>
      <c r="T569">
        <f>IF($A569="","",IFERROR(INDEX('[AQ_2023.xlsx]原始数据'!$E:$E,MATCH($A569,'[AQ_2023.xlsx]原始数据'!$A:$A,0)),""))</f>
        <v/>
      </c>
      <c r="U569">
        <f>IF($A569="","",IFERROR(INDEX('[AQ_2024.xlsx]原始数据'!$E:$E,MATCH($A569,'[AQ_2024.xlsx]原始数据'!$A:$A,0)),""))</f>
        <v/>
      </c>
      <c r="V569">
        <f>IF($A569="","",IFERROR(INDEX('[AQ_2020.xlsx]原始数据'!$F:$F,MATCH($A569,'[AQ_2020.xlsx]原始数据'!$A:$A,0)),""))</f>
        <v/>
      </c>
      <c r="W569">
        <f>IF($A569="","",IFERROR(INDEX('[AQ_2021.xlsx]原始数据'!$F:$F,MATCH($A569,'[AQ_2021.xlsx]原始数据'!$A:$A,0)),""))</f>
        <v/>
      </c>
      <c r="X569">
        <f>IF($A569="","",IFERROR(INDEX('[AQ_2022.xlsx]原始数据'!$F:$F,MATCH($A569,'[AQ_2022.xlsx]原始数据'!$A:$A,0)),""))</f>
        <v/>
      </c>
      <c r="Y569">
        <f>IF($A569="","",IFERROR(INDEX('[AQ_2023.xlsx]原始数据'!$F:$F,MATCH($A569,'[AQ_2023.xlsx]原始数据'!$A:$A,0)),""))</f>
        <v/>
      </c>
      <c r="Z569">
        <f>IF($A569="","",IFERROR(INDEX('[AQ_2024.xlsx]原始数据'!$F:$F,MATCH($A569,'[AQ_2024.xlsx]原始数据'!$A:$A,0)),""))</f>
        <v/>
      </c>
      <c r="AA569" s="2">
        <f>IFERROR(G569/B569,"")</f>
        <v/>
      </c>
      <c r="AB569" s="2">
        <f>IFERROR(H569/C569,"")</f>
        <v/>
      </c>
      <c r="AC569" s="2">
        <f>IFERROR(I569/D569,"")</f>
        <v/>
      </c>
      <c r="AD569" s="2">
        <f>IFERROR(J569/E569,"")</f>
        <v/>
      </c>
      <c r="AE569" s="2">
        <f>IFERROR(K569/F569,"")</f>
        <v/>
      </c>
      <c r="AF569" s="2">
        <f>IFERROR(L569/B569,"")</f>
        <v/>
      </c>
      <c r="AG569" s="2">
        <f>IFERROR(M569/C569,"")</f>
        <v/>
      </c>
      <c r="AH569" s="2">
        <f>IFERROR(N569/D569,"")</f>
        <v/>
      </c>
      <c r="AI569" s="2">
        <f>IFERROR(O569/E569,"")</f>
        <v/>
      </c>
      <c r="AJ569" s="2">
        <f>IFERROR(P569/F569,"")</f>
        <v/>
      </c>
      <c r="AK569" s="2">
        <f>IFERROR(Q569/B569,"")</f>
        <v/>
      </c>
      <c r="AL569" s="2">
        <f>IFERROR(R569/C569,"")</f>
        <v/>
      </c>
      <c r="AM569" s="2">
        <f>IFERROR(S569/D569,"")</f>
        <v/>
      </c>
      <c r="AN569" s="2">
        <f>IFERROR(T569/E569,"")</f>
        <v/>
      </c>
      <c r="AO569" s="2">
        <f>IFERROR(U569/F569,"")</f>
        <v/>
      </c>
    </row>
    <row r="570">
      <c r="B570">
        <f>IF($A570="","",IFERROR(INDEX('[AQ_2020.xlsx]原始数据'!$B:$B,MATCH($A570,'[AQ_2020.xlsx]原始数据'!$A:$A,0)),""))</f>
        <v/>
      </c>
      <c r="C570">
        <f>IF($A570="","",IFERROR(INDEX('[AQ_2021.xlsx]原始数据'!$B:$B,MATCH($A570,'[AQ_2021.xlsx]原始数据'!$A:$A,0)),""))</f>
        <v/>
      </c>
      <c r="D570">
        <f>IF($A570="","",IFERROR(INDEX('[AQ_2022.xlsx]原始数据'!$B:$B,MATCH($A570,'[AQ_2022.xlsx]原始数据'!$A:$A,0)),""))</f>
        <v/>
      </c>
      <c r="E570">
        <f>IF($A570="","",IFERROR(INDEX('[AQ_2023.xlsx]原始数据'!$B:$B,MATCH($A570,'[AQ_2023.xlsx]原始数据'!$A:$A,0)),""))</f>
        <v/>
      </c>
      <c r="F570">
        <f>IF($A570="","",IFERROR(INDEX('[AQ_2024.xlsx]原始数据'!$B:$B,MATCH($A570,'[AQ_2024.xlsx]原始数据'!$A:$A,0)),""))</f>
        <v/>
      </c>
      <c r="G570">
        <f>IF($A570="","",IFERROR(INDEX('[AQ_2020.xlsx]原始数据'!$C:$C,MATCH($A570,'[AQ_2020.xlsx]原始数据'!$A:$A,0)),""))</f>
        <v/>
      </c>
      <c r="H570">
        <f>IF($A570="","",IFERROR(INDEX('[AQ_2021.xlsx]原始数据'!$C:$C,MATCH($A570,'[AQ_2021.xlsx]原始数据'!$A:$A,0)),""))</f>
        <v/>
      </c>
      <c r="I570">
        <f>IF($A570="","",IFERROR(INDEX('[AQ_2022.xlsx]原始数据'!$C:$C,MATCH($A570,'[AQ_2022.xlsx]原始数据'!$A:$A,0)),""))</f>
        <v/>
      </c>
      <c r="J570">
        <f>IF($A570="","",IFERROR(INDEX('[AQ_2023.xlsx]原始数据'!$C:$C,MATCH($A570,'[AQ_2023.xlsx]原始数据'!$A:$A,0)),""))</f>
        <v/>
      </c>
      <c r="K570">
        <f>IF($A570="","",IFERROR(INDEX('[AQ_2024.xlsx]原始数据'!$C:$C,MATCH($A570,'[AQ_2024.xlsx]原始数据'!$A:$A,0)),""))</f>
        <v/>
      </c>
      <c r="L570">
        <f>IF($A570="","",IFERROR(INDEX('[AQ_2020.xlsx]原始数据'!$D:$D,MATCH($A570,'[AQ_2020.xlsx]原始数据'!$A:$A,0)),""))</f>
        <v/>
      </c>
      <c r="M570">
        <f>IF($A570="","",IFERROR(INDEX('[AQ_2021.xlsx]原始数据'!$D:$D,MATCH($A570,'[AQ_2021.xlsx]原始数据'!$A:$A,0)),""))</f>
        <v/>
      </c>
      <c r="N570">
        <f>IF($A570="","",IFERROR(INDEX('[AQ_2022.xlsx]原始数据'!$D:$D,MATCH($A570,'[AQ_2022.xlsx]原始数据'!$A:$A,0)),""))</f>
        <v/>
      </c>
      <c r="O570">
        <f>IF($A570="","",IFERROR(INDEX('[AQ_2023.xlsx]原始数据'!$D:$D,MATCH($A570,'[AQ_2023.xlsx]原始数据'!$A:$A,0)),""))</f>
        <v/>
      </c>
      <c r="P570">
        <f>IF($A570="","",IFERROR(INDEX('[AQ_2024.xlsx]原始数据'!$D:$D,MATCH($A570,'[AQ_2024.xlsx]原始数据'!$A:$A,0)),""))</f>
        <v/>
      </c>
      <c r="Q570">
        <f>IF($A570="","",IFERROR(INDEX('[AQ_2020.xlsx]原始数据'!$E:$E,MATCH($A570,'[AQ_2020.xlsx]原始数据'!$A:$A,0)),""))</f>
        <v/>
      </c>
      <c r="R570">
        <f>IF($A570="","",IFERROR(INDEX('[AQ_2021.xlsx]原始数据'!$E:$E,MATCH($A570,'[AQ_2021.xlsx]原始数据'!$A:$A,0)),""))</f>
        <v/>
      </c>
      <c r="S570">
        <f>IF($A570="","",IFERROR(INDEX('[AQ_2022.xlsx]原始数据'!$E:$E,MATCH($A570,'[AQ_2022.xlsx]原始数据'!$A:$A,0)),""))</f>
        <v/>
      </c>
      <c r="T570">
        <f>IF($A570="","",IFERROR(INDEX('[AQ_2023.xlsx]原始数据'!$E:$E,MATCH($A570,'[AQ_2023.xlsx]原始数据'!$A:$A,0)),""))</f>
        <v/>
      </c>
      <c r="U570">
        <f>IF($A570="","",IFERROR(INDEX('[AQ_2024.xlsx]原始数据'!$E:$E,MATCH($A570,'[AQ_2024.xlsx]原始数据'!$A:$A,0)),""))</f>
        <v/>
      </c>
      <c r="V570">
        <f>IF($A570="","",IFERROR(INDEX('[AQ_2020.xlsx]原始数据'!$F:$F,MATCH($A570,'[AQ_2020.xlsx]原始数据'!$A:$A,0)),""))</f>
        <v/>
      </c>
      <c r="W570">
        <f>IF($A570="","",IFERROR(INDEX('[AQ_2021.xlsx]原始数据'!$F:$F,MATCH($A570,'[AQ_2021.xlsx]原始数据'!$A:$A,0)),""))</f>
        <v/>
      </c>
      <c r="X570">
        <f>IF($A570="","",IFERROR(INDEX('[AQ_2022.xlsx]原始数据'!$F:$F,MATCH($A570,'[AQ_2022.xlsx]原始数据'!$A:$A,0)),""))</f>
        <v/>
      </c>
      <c r="Y570">
        <f>IF($A570="","",IFERROR(INDEX('[AQ_2023.xlsx]原始数据'!$F:$F,MATCH($A570,'[AQ_2023.xlsx]原始数据'!$A:$A,0)),""))</f>
        <v/>
      </c>
      <c r="Z570">
        <f>IF($A570="","",IFERROR(INDEX('[AQ_2024.xlsx]原始数据'!$F:$F,MATCH($A570,'[AQ_2024.xlsx]原始数据'!$A:$A,0)),""))</f>
        <v/>
      </c>
      <c r="AA570" s="2">
        <f>IFERROR(G570/B570,"")</f>
        <v/>
      </c>
      <c r="AB570" s="2">
        <f>IFERROR(H570/C570,"")</f>
        <v/>
      </c>
      <c r="AC570" s="2">
        <f>IFERROR(I570/D570,"")</f>
        <v/>
      </c>
      <c r="AD570" s="2">
        <f>IFERROR(J570/E570,"")</f>
        <v/>
      </c>
      <c r="AE570" s="2">
        <f>IFERROR(K570/F570,"")</f>
        <v/>
      </c>
      <c r="AF570" s="2">
        <f>IFERROR(L570/B570,"")</f>
        <v/>
      </c>
      <c r="AG570" s="2">
        <f>IFERROR(M570/C570,"")</f>
        <v/>
      </c>
      <c r="AH570" s="2">
        <f>IFERROR(N570/D570,"")</f>
        <v/>
      </c>
      <c r="AI570" s="2">
        <f>IFERROR(O570/E570,"")</f>
        <v/>
      </c>
      <c r="AJ570" s="2">
        <f>IFERROR(P570/F570,"")</f>
        <v/>
      </c>
      <c r="AK570" s="2">
        <f>IFERROR(Q570/B570,"")</f>
        <v/>
      </c>
      <c r="AL570" s="2">
        <f>IFERROR(R570/C570,"")</f>
        <v/>
      </c>
      <c r="AM570" s="2">
        <f>IFERROR(S570/D570,"")</f>
        <v/>
      </c>
      <c r="AN570" s="2">
        <f>IFERROR(T570/E570,"")</f>
        <v/>
      </c>
      <c r="AO570" s="2">
        <f>IFERROR(U570/F570,"")</f>
        <v/>
      </c>
    </row>
    <row r="571">
      <c r="B571">
        <f>IF($A571="","",IFERROR(INDEX('[AQ_2020.xlsx]原始数据'!$B:$B,MATCH($A571,'[AQ_2020.xlsx]原始数据'!$A:$A,0)),""))</f>
        <v/>
      </c>
      <c r="C571">
        <f>IF($A571="","",IFERROR(INDEX('[AQ_2021.xlsx]原始数据'!$B:$B,MATCH($A571,'[AQ_2021.xlsx]原始数据'!$A:$A,0)),""))</f>
        <v/>
      </c>
      <c r="D571">
        <f>IF($A571="","",IFERROR(INDEX('[AQ_2022.xlsx]原始数据'!$B:$B,MATCH($A571,'[AQ_2022.xlsx]原始数据'!$A:$A,0)),""))</f>
        <v/>
      </c>
      <c r="E571">
        <f>IF($A571="","",IFERROR(INDEX('[AQ_2023.xlsx]原始数据'!$B:$B,MATCH($A571,'[AQ_2023.xlsx]原始数据'!$A:$A,0)),""))</f>
        <v/>
      </c>
      <c r="F571">
        <f>IF($A571="","",IFERROR(INDEX('[AQ_2024.xlsx]原始数据'!$B:$B,MATCH($A571,'[AQ_2024.xlsx]原始数据'!$A:$A,0)),""))</f>
        <v/>
      </c>
      <c r="G571">
        <f>IF($A571="","",IFERROR(INDEX('[AQ_2020.xlsx]原始数据'!$C:$C,MATCH($A571,'[AQ_2020.xlsx]原始数据'!$A:$A,0)),""))</f>
        <v/>
      </c>
      <c r="H571">
        <f>IF($A571="","",IFERROR(INDEX('[AQ_2021.xlsx]原始数据'!$C:$C,MATCH($A571,'[AQ_2021.xlsx]原始数据'!$A:$A,0)),""))</f>
        <v/>
      </c>
      <c r="I571">
        <f>IF($A571="","",IFERROR(INDEX('[AQ_2022.xlsx]原始数据'!$C:$C,MATCH($A571,'[AQ_2022.xlsx]原始数据'!$A:$A,0)),""))</f>
        <v/>
      </c>
      <c r="J571">
        <f>IF($A571="","",IFERROR(INDEX('[AQ_2023.xlsx]原始数据'!$C:$C,MATCH($A571,'[AQ_2023.xlsx]原始数据'!$A:$A,0)),""))</f>
        <v/>
      </c>
      <c r="K571">
        <f>IF($A571="","",IFERROR(INDEX('[AQ_2024.xlsx]原始数据'!$C:$C,MATCH($A571,'[AQ_2024.xlsx]原始数据'!$A:$A,0)),""))</f>
        <v/>
      </c>
      <c r="L571">
        <f>IF($A571="","",IFERROR(INDEX('[AQ_2020.xlsx]原始数据'!$D:$D,MATCH($A571,'[AQ_2020.xlsx]原始数据'!$A:$A,0)),""))</f>
        <v/>
      </c>
      <c r="M571">
        <f>IF($A571="","",IFERROR(INDEX('[AQ_2021.xlsx]原始数据'!$D:$D,MATCH($A571,'[AQ_2021.xlsx]原始数据'!$A:$A,0)),""))</f>
        <v/>
      </c>
      <c r="N571">
        <f>IF($A571="","",IFERROR(INDEX('[AQ_2022.xlsx]原始数据'!$D:$D,MATCH($A571,'[AQ_2022.xlsx]原始数据'!$A:$A,0)),""))</f>
        <v/>
      </c>
      <c r="O571">
        <f>IF($A571="","",IFERROR(INDEX('[AQ_2023.xlsx]原始数据'!$D:$D,MATCH($A571,'[AQ_2023.xlsx]原始数据'!$A:$A,0)),""))</f>
        <v/>
      </c>
      <c r="P571">
        <f>IF($A571="","",IFERROR(INDEX('[AQ_2024.xlsx]原始数据'!$D:$D,MATCH($A571,'[AQ_2024.xlsx]原始数据'!$A:$A,0)),""))</f>
        <v/>
      </c>
      <c r="Q571">
        <f>IF($A571="","",IFERROR(INDEX('[AQ_2020.xlsx]原始数据'!$E:$E,MATCH($A571,'[AQ_2020.xlsx]原始数据'!$A:$A,0)),""))</f>
        <v/>
      </c>
      <c r="R571">
        <f>IF($A571="","",IFERROR(INDEX('[AQ_2021.xlsx]原始数据'!$E:$E,MATCH($A571,'[AQ_2021.xlsx]原始数据'!$A:$A,0)),""))</f>
        <v/>
      </c>
      <c r="S571">
        <f>IF($A571="","",IFERROR(INDEX('[AQ_2022.xlsx]原始数据'!$E:$E,MATCH($A571,'[AQ_2022.xlsx]原始数据'!$A:$A,0)),""))</f>
        <v/>
      </c>
      <c r="T571">
        <f>IF($A571="","",IFERROR(INDEX('[AQ_2023.xlsx]原始数据'!$E:$E,MATCH($A571,'[AQ_2023.xlsx]原始数据'!$A:$A,0)),""))</f>
        <v/>
      </c>
      <c r="U571">
        <f>IF($A571="","",IFERROR(INDEX('[AQ_2024.xlsx]原始数据'!$E:$E,MATCH($A571,'[AQ_2024.xlsx]原始数据'!$A:$A,0)),""))</f>
        <v/>
      </c>
      <c r="V571">
        <f>IF($A571="","",IFERROR(INDEX('[AQ_2020.xlsx]原始数据'!$F:$F,MATCH($A571,'[AQ_2020.xlsx]原始数据'!$A:$A,0)),""))</f>
        <v/>
      </c>
      <c r="W571">
        <f>IF($A571="","",IFERROR(INDEX('[AQ_2021.xlsx]原始数据'!$F:$F,MATCH($A571,'[AQ_2021.xlsx]原始数据'!$A:$A,0)),""))</f>
        <v/>
      </c>
      <c r="X571">
        <f>IF($A571="","",IFERROR(INDEX('[AQ_2022.xlsx]原始数据'!$F:$F,MATCH($A571,'[AQ_2022.xlsx]原始数据'!$A:$A,0)),""))</f>
        <v/>
      </c>
      <c r="Y571">
        <f>IF($A571="","",IFERROR(INDEX('[AQ_2023.xlsx]原始数据'!$F:$F,MATCH($A571,'[AQ_2023.xlsx]原始数据'!$A:$A,0)),""))</f>
        <v/>
      </c>
      <c r="Z571">
        <f>IF($A571="","",IFERROR(INDEX('[AQ_2024.xlsx]原始数据'!$F:$F,MATCH($A571,'[AQ_2024.xlsx]原始数据'!$A:$A,0)),""))</f>
        <v/>
      </c>
      <c r="AA571" s="2">
        <f>IFERROR(G571/B571,"")</f>
        <v/>
      </c>
      <c r="AB571" s="2">
        <f>IFERROR(H571/C571,"")</f>
        <v/>
      </c>
      <c r="AC571" s="2">
        <f>IFERROR(I571/D571,"")</f>
        <v/>
      </c>
      <c r="AD571" s="2">
        <f>IFERROR(J571/E571,"")</f>
        <v/>
      </c>
      <c r="AE571" s="2">
        <f>IFERROR(K571/F571,"")</f>
        <v/>
      </c>
      <c r="AF571" s="2">
        <f>IFERROR(L571/B571,"")</f>
        <v/>
      </c>
      <c r="AG571" s="2">
        <f>IFERROR(M571/C571,"")</f>
        <v/>
      </c>
      <c r="AH571" s="2">
        <f>IFERROR(N571/D571,"")</f>
        <v/>
      </c>
      <c r="AI571" s="2">
        <f>IFERROR(O571/E571,"")</f>
        <v/>
      </c>
      <c r="AJ571" s="2">
        <f>IFERROR(P571/F571,"")</f>
        <v/>
      </c>
      <c r="AK571" s="2">
        <f>IFERROR(Q571/B571,"")</f>
        <v/>
      </c>
      <c r="AL571" s="2">
        <f>IFERROR(R571/C571,"")</f>
        <v/>
      </c>
      <c r="AM571" s="2">
        <f>IFERROR(S571/D571,"")</f>
        <v/>
      </c>
      <c r="AN571" s="2">
        <f>IFERROR(T571/E571,"")</f>
        <v/>
      </c>
      <c r="AO571" s="2">
        <f>IFERROR(U571/F571,"")</f>
        <v/>
      </c>
    </row>
    <row r="572">
      <c r="B572">
        <f>IF($A572="","",IFERROR(INDEX('[AQ_2020.xlsx]原始数据'!$B:$B,MATCH($A572,'[AQ_2020.xlsx]原始数据'!$A:$A,0)),""))</f>
        <v/>
      </c>
      <c r="C572">
        <f>IF($A572="","",IFERROR(INDEX('[AQ_2021.xlsx]原始数据'!$B:$B,MATCH($A572,'[AQ_2021.xlsx]原始数据'!$A:$A,0)),""))</f>
        <v/>
      </c>
      <c r="D572">
        <f>IF($A572="","",IFERROR(INDEX('[AQ_2022.xlsx]原始数据'!$B:$B,MATCH($A572,'[AQ_2022.xlsx]原始数据'!$A:$A,0)),""))</f>
        <v/>
      </c>
      <c r="E572">
        <f>IF($A572="","",IFERROR(INDEX('[AQ_2023.xlsx]原始数据'!$B:$B,MATCH($A572,'[AQ_2023.xlsx]原始数据'!$A:$A,0)),""))</f>
        <v/>
      </c>
      <c r="F572">
        <f>IF($A572="","",IFERROR(INDEX('[AQ_2024.xlsx]原始数据'!$B:$B,MATCH($A572,'[AQ_2024.xlsx]原始数据'!$A:$A,0)),""))</f>
        <v/>
      </c>
      <c r="G572">
        <f>IF($A572="","",IFERROR(INDEX('[AQ_2020.xlsx]原始数据'!$C:$C,MATCH($A572,'[AQ_2020.xlsx]原始数据'!$A:$A,0)),""))</f>
        <v/>
      </c>
      <c r="H572">
        <f>IF($A572="","",IFERROR(INDEX('[AQ_2021.xlsx]原始数据'!$C:$C,MATCH($A572,'[AQ_2021.xlsx]原始数据'!$A:$A,0)),""))</f>
        <v/>
      </c>
      <c r="I572">
        <f>IF($A572="","",IFERROR(INDEX('[AQ_2022.xlsx]原始数据'!$C:$C,MATCH($A572,'[AQ_2022.xlsx]原始数据'!$A:$A,0)),""))</f>
        <v/>
      </c>
      <c r="J572">
        <f>IF($A572="","",IFERROR(INDEX('[AQ_2023.xlsx]原始数据'!$C:$C,MATCH($A572,'[AQ_2023.xlsx]原始数据'!$A:$A,0)),""))</f>
        <v/>
      </c>
      <c r="K572">
        <f>IF($A572="","",IFERROR(INDEX('[AQ_2024.xlsx]原始数据'!$C:$C,MATCH($A572,'[AQ_2024.xlsx]原始数据'!$A:$A,0)),""))</f>
        <v/>
      </c>
      <c r="L572">
        <f>IF($A572="","",IFERROR(INDEX('[AQ_2020.xlsx]原始数据'!$D:$D,MATCH($A572,'[AQ_2020.xlsx]原始数据'!$A:$A,0)),""))</f>
        <v/>
      </c>
      <c r="M572">
        <f>IF($A572="","",IFERROR(INDEX('[AQ_2021.xlsx]原始数据'!$D:$D,MATCH($A572,'[AQ_2021.xlsx]原始数据'!$A:$A,0)),""))</f>
        <v/>
      </c>
      <c r="N572">
        <f>IF($A572="","",IFERROR(INDEX('[AQ_2022.xlsx]原始数据'!$D:$D,MATCH($A572,'[AQ_2022.xlsx]原始数据'!$A:$A,0)),""))</f>
        <v/>
      </c>
      <c r="O572">
        <f>IF($A572="","",IFERROR(INDEX('[AQ_2023.xlsx]原始数据'!$D:$D,MATCH($A572,'[AQ_2023.xlsx]原始数据'!$A:$A,0)),""))</f>
        <v/>
      </c>
      <c r="P572">
        <f>IF($A572="","",IFERROR(INDEX('[AQ_2024.xlsx]原始数据'!$D:$D,MATCH($A572,'[AQ_2024.xlsx]原始数据'!$A:$A,0)),""))</f>
        <v/>
      </c>
      <c r="Q572">
        <f>IF($A572="","",IFERROR(INDEX('[AQ_2020.xlsx]原始数据'!$E:$E,MATCH($A572,'[AQ_2020.xlsx]原始数据'!$A:$A,0)),""))</f>
        <v/>
      </c>
      <c r="R572">
        <f>IF($A572="","",IFERROR(INDEX('[AQ_2021.xlsx]原始数据'!$E:$E,MATCH($A572,'[AQ_2021.xlsx]原始数据'!$A:$A,0)),""))</f>
        <v/>
      </c>
      <c r="S572">
        <f>IF($A572="","",IFERROR(INDEX('[AQ_2022.xlsx]原始数据'!$E:$E,MATCH($A572,'[AQ_2022.xlsx]原始数据'!$A:$A,0)),""))</f>
        <v/>
      </c>
      <c r="T572">
        <f>IF($A572="","",IFERROR(INDEX('[AQ_2023.xlsx]原始数据'!$E:$E,MATCH($A572,'[AQ_2023.xlsx]原始数据'!$A:$A,0)),""))</f>
        <v/>
      </c>
      <c r="U572">
        <f>IF($A572="","",IFERROR(INDEX('[AQ_2024.xlsx]原始数据'!$E:$E,MATCH($A572,'[AQ_2024.xlsx]原始数据'!$A:$A,0)),""))</f>
        <v/>
      </c>
      <c r="V572">
        <f>IF($A572="","",IFERROR(INDEX('[AQ_2020.xlsx]原始数据'!$F:$F,MATCH($A572,'[AQ_2020.xlsx]原始数据'!$A:$A,0)),""))</f>
        <v/>
      </c>
      <c r="W572">
        <f>IF($A572="","",IFERROR(INDEX('[AQ_2021.xlsx]原始数据'!$F:$F,MATCH($A572,'[AQ_2021.xlsx]原始数据'!$A:$A,0)),""))</f>
        <v/>
      </c>
      <c r="X572">
        <f>IF($A572="","",IFERROR(INDEX('[AQ_2022.xlsx]原始数据'!$F:$F,MATCH($A572,'[AQ_2022.xlsx]原始数据'!$A:$A,0)),""))</f>
        <v/>
      </c>
      <c r="Y572">
        <f>IF($A572="","",IFERROR(INDEX('[AQ_2023.xlsx]原始数据'!$F:$F,MATCH($A572,'[AQ_2023.xlsx]原始数据'!$A:$A,0)),""))</f>
        <v/>
      </c>
      <c r="Z572">
        <f>IF($A572="","",IFERROR(INDEX('[AQ_2024.xlsx]原始数据'!$F:$F,MATCH($A572,'[AQ_2024.xlsx]原始数据'!$A:$A,0)),""))</f>
        <v/>
      </c>
      <c r="AA572" s="2">
        <f>IFERROR(G572/B572,"")</f>
        <v/>
      </c>
      <c r="AB572" s="2">
        <f>IFERROR(H572/C572,"")</f>
        <v/>
      </c>
      <c r="AC572" s="2">
        <f>IFERROR(I572/D572,"")</f>
        <v/>
      </c>
      <c r="AD572" s="2">
        <f>IFERROR(J572/E572,"")</f>
        <v/>
      </c>
      <c r="AE572" s="2">
        <f>IFERROR(K572/F572,"")</f>
        <v/>
      </c>
      <c r="AF572" s="2">
        <f>IFERROR(L572/B572,"")</f>
        <v/>
      </c>
      <c r="AG572" s="2">
        <f>IFERROR(M572/C572,"")</f>
        <v/>
      </c>
      <c r="AH572" s="2">
        <f>IFERROR(N572/D572,"")</f>
        <v/>
      </c>
      <c r="AI572" s="2">
        <f>IFERROR(O572/E572,"")</f>
        <v/>
      </c>
      <c r="AJ572" s="2">
        <f>IFERROR(P572/F572,"")</f>
        <v/>
      </c>
      <c r="AK572" s="2">
        <f>IFERROR(Q572/B572,"")</f>
        <v/>
      </c>
      <c r="AL572" s="2">
        <f>IFERROR(R572/C572,"")</f>
        <v/>
      </c>
      <c r="AM572" s="2">
        <f>IFERROR(S572/D572,"")</f>
        <v/>
      </c>
      <c r="AN572" s="2">
        <f>IFERROR(T572/E572,"")</f>
        <v/>
      </c>
      <c r="AO572" s="2">
        <f>IFERROR(U572/F572,"")</f>
        <v/>
      </c>
    </row>
    <row r="573">
      <c r="B573">
        <f>IF($A573="","",IFERROR(INDEX('[AQ_2020.xlsx]原始数据'!$B:$B,MATCH($A573,'[AQ_2020.xlsx]原始数据'!$A:$A,0)),""))</f>
        <v/>
      </c>
      <c r="C573">
        <f>IF($A573="","",IFERROR(INDEX('[AQ_2021.xlsx]原始数据'!$B:$B,MATCH($A573,'[AQ_2021.xlsx]原始数据'!$A:$A,0)),""))</f>
        <v/>
      </c>
      <c r="D573">
        <f>IF($A573="","",IFERROR(INDEX('[AQ_2022.xlsx]原始数据'!$B:$B,MATCH($A573,'[AQ_2022.xlsx]原始数据'!$A:$A,0)),""))</f>
        <v/>
      </c>
      <c r="E573">
        <f>IF($A573="","",IFERROR(INDEX('[AQ_2023.xlsx]原始数据'!$B:$B,MATCH($A573,'[AQ_2023.xlsx]原始数据'!$A:$A,0)),""))</f>
        <v/>
      </c>
      <c r="F573">
        <f>IF($A573="","",IFERROR(INDEX('[AQ_2024.xlsx]原始数据'!$B:$B,MATCH($A573,'[AQ_2024.xlsx]原始数据'!$A:$A,0)),""))</f>
        <v/>
      </c>
      <c r="G573">
        <f>IF($A573="","",IFERROR(INDEX('[AQ_2020.xlsx]原始数据'!$C:$C,MATCH($A573,'[AQ_2020.xlsx]原始数据'!$A:$A,0)),""))</f>
        <v/>
      </c>
      <c r="H573">
        <f>IF($A573="","",IFERROR(INDEX('[AQ_2021.xlsx]原始数据'!$C:$C,MATCH($A573,'[AQ_2021.xlsx]原始数据'!$A:$A,0)),""))</f>
        <v/>
      </c>
      <c r="I573">
        <f>IF($A573="","",IFERROR(INDEX('[AQ_2022.xlsx]原始数据'!$C:$C,MATCH($A573,'[AQ_2022.xlsx]原始数据'!$A:$A,0)),""))</f>
        <v/>
      </c>
      <c r="J573">
        <f>IF($A573="","",IFERROR(INDEX('[AQ_2023.xlsx]原始数据'!$C:$C,MATCH($A573,'[AQ_2023.xlsx]原始数据'!$A:$A,0)),""))</f>
        <v/>
      </c>
      <c r="K573">
        <f>IF($A573="","",IFERROR(INDEX('[AQ_2024.xlsx]原始数据'!$C:$C,MATCH($A573,'[AQ_2024.xlsx]原始数据'!$A:$A,0)),""))</f>
        <v/>
      </c>
      <c r="L573">
        <f>IF($A573="","",IFERROR(INDEX('[AQ_2020.xlsx]原始数据'!$D:$D,MATCH($A573,'[AQ_2020.xlsx]原始数据'!$A:$A,0)),""))</f>
        <v/>
      </c>
      <c r="M573">
        <f>IF($A573="","",IFERROR(INDEX('[AQ_2021.xlsx]原始数据'!$D:$D,MATCH($A573,'[AQ_2021.xlsx]原始数据'!$A:$A,0)),""))</f>
        <v/>
      </c>
      <c r="N573">
        <f>IF($A573="","",IFERROR(INDEX('[AQ_2022.xlsx]原始数据'!$D:$D,MATCH($A573,'[AQ_2022.xlsx]原始数据'!$A:$A,0)),""))</f>
        <v/>
      </c>
      <c r="O573">
        <f>IF($A573="","",IFERROR(INDEX('[AQ_2023.xlsx]原始数据'!$D:$D,MATCH($A573,'[AQ_2023.xlsx]原始数据'!$A:$A,0)),""))</f>
        <v/>
      </c>
      <c r="P573">
        <f>IF($A573="","",IFERROR(INDEX('[AQ_2024.xlsx]原始数据'!$D:$D,MATCH($A573,'[AQ_2024.xlsx]原始数据'!$A:$A,0)),""))</f>
        <v/>
      </c>
      <c r="Q573">
        <f>IF($A573="","",IFERROR(INDEX('[AQ_2020.xlsx]原始数据'!$E:$E,MATCH($A573,'[AQ_2020.xlsx]原始数据'!$A:$A,0)),""))</f>
        <v/>
      </c>
      <c r="R573">
        <f>IF($A573="","",IFERROR(INDEX('[AQ_2021.xlsx]原始数据'!$E:$E,MATCH($A573,'[AQ_2021.xlsx]原始数据'!$A:$A,0)),""))</f>
        <v/>
      </c>
      <c r="S573">
        <f>IF($A573="","",IFERROR(INDEX('[AQ_2022.xlsx]原始数据'!$E:$E,MATCH($A573,'[AQ_2022.xlsx]原始数据'!$A:$A,0)),""))</f>
        <v/>
      </c>
      <c r="T573">
        <f>IF($A573="","",IFERROR(INDEX('[AQ_2023.xlsx]原始数据'!$E:$E,MATCH($A573,'[AQ_2023.xlsx]原始数据'!$A:$A,0)),""))</f>
        <v/>
      </c>
      <c r="U573">
        <f>IF($A573="","",IFERROR(INDEX('[AQ_2024.xlsx]原始数据'!$E:$E,MATCH($A573,'[AQ_2024.xlsx]原始数据'!$A:$A,0)),""))</f>
        <v/>
      </c>
      <c r="V573">
        <f>IF($A573="","",IFERROR(INDEX('[AQ_2020.xlsx]原始数据'!$F:$F,MATCH($A573,'[AQ_2020.xlsx]原始数据'!$A:$A,0)),""))</f>
        <v/>
      </c>
      <c r="W573">
        <f>IF($A573="","",IFERROR(INDEX('[AQ_2021.xlsx]原始数据'!$F:$F,MATCH($A573,'[AQ_2021.xlsx]原始数据'!$A:$A,0)),""))</f>
        <v/>
      </c>
      <c r="X573">
        <f>IF($A573="","",IFERROR(INDEX('[AQ_2022.xlsx]原始数据'!$F:$F,MATCH($A573,'[AQ_2022.xlsx]原始数据'!$A:$A,0)),""))</f>
        <v/>
      </c>
      <c r="Y573">
        <f>IF($A573="","",IFERROR(INDEX('[AQ_2023.xlsx]原始数据'!$F:$F,MATCH($A573,'[AQ_2023.xlsx]原始数据'!$A:$A,0)),""))</f>
        <v/>
      </c>
      <c r="Z573">
        <f>IF($A573="","",IFERROR(INDEX('[AQ_2024.xlsx]原始数据'!$F:$F,MATCH($A573,'[AQ_2024.xlsx]原始数据'!$A:$A,0)),""))</f>
        <v/>
      </c>
      <c r="AA573" s="2">
        <f>IFERROR(G573/B573,"")</f>
        <v/>
      </c>
      <c r="AB573" s="2">
        <f>IFERROR(H573/C573,"")</f>
        <v/>
      </c>
      <c r="AC573" s="2">
        <f>IFERROR(I573/D573,"")</f>
        <v/>
      </c>
      <c r="AD573" s="2">
        <f>IFERROR(J573/E573,"")</f>
        <v/>
      </c>
      <c r="AE573" s="2">
        <f>IFERROR(K573/F573,"")</f>
        <v/>
      </c>
      <c r="AF573" s="2">
        <f>IFERROR(L573/B573,"")</f>
        <v/>
      </c>
      <c r="AG573" s="2">
        <f>IFERROR(M573/C573,"")</f>
        <v/>
      </c>
      <c r="AH573" s="2">
        <f>IFERROR(N573/D573,"")</f>
        <v/>
      </c>
      <c r="AI573" s="2">
        <f>IFERROR(O573/E573,"")</f>
        <v/>
      </c>
      <c r="AJ573" s="2">
        <f>IFERROR(P573/F573,"")</f>
        <v/>
      </c>
      <c r="AK573" s="2">
        <f>IFERROR(Q573/B573,"")</f>
        <v/>
      </c>
      <c r="AL573" s="2">
        <f>IFERROR(R573/C573,"")</f>
        <v/>
      </c>
      <c r="AM573" s="2">
        <f>IFERROR(S573/D573,"")</f>
        <v/>
      </c>
      <c r="AN573" s="2">
        <f>IFERROR(T573/E573,"")</f>
        <v/>
      </c>
      <c r="AO573" s="2">
        <f>IFERROR(U573/F573,"")</f>
        <v/>
      </c>
    </row>
    <row r="574">
      <c r="B574">
        <f>IF($A574="","",IFERROR(INDEX('[AQ_2020.xlsx]原始数据'!$B:$B,MATCH($A574,'[AQ_2020.xlsx]原始数据'!$A:$A,0)),""))</f>
        <v/>
      </c>
      <c r="C574">
        <f>IF($A574="","",IFERROR(INDEX('[AQ_2021.xlsx]原始数据'!$B:$B,MATCH($A574,'[AQ_2021.xlsx]原始数据'!$A:$A,0)),""))</f>
        <v/>
      </c>
      <c r="D574">
        <f>IF($A574="","",IFERROR(INDEX('[AQ_2022.xlsx]原始数据'!$B:$B,MATCH($A574,'[AQ_2022.xlsx]原始数据'!$A:$A,0)),""))</f>
        <v/>
      </c>
      <c r="E574">
        <f>IF($A574="","",IFERROR(INDEX('[AQ_2023.xlsx]原始数据'!$B:$B,MATCH($A574,'[AQ_2023.xlsx]原始数据'!$A:$A,0)),""))</f>
        <v/>
      </c>
      <c r="F574">
        <f>IF($A574="","",IFERROR(INDEX('[AQ_2024.xlsx]原始数据'!$B:$B,MATCH($A574,'[AQ_2024.xlsx]原始数据'!$A:$A,0)),""))</f>
        <v/>
      </c>
      <c r="G574">
        <f>IF($A574="","",IFERROR(INDEX('[AQ_2020.xlsx]原始数据'!$C:$C,MATCH($A574,'[AQ_2020.xlsx]原始数据'!$A:$A,0)),""))</f>
        <v/>
      </c>
      <c r="H574">
        <f>IF($A574="","",IFERROR(INDEX('[AQ_2021.xlsx]原始数据'!$C:$C,MATCH($A574,'[AQ_2021.xlsx]原始数据'!$A:$A,0)),""))</f>
        <v/>
      </c>
      <c r="I574">
        <f>IF($A574="","",IFERROR(INDEX('[AQ_2022.xlsx]原始数据'!$C:$C,MATCH($A574,'[AQ_2022.xlsx]原始数据'!$A:$A,0)),""))</f>
        <v/>
      </c>
      <c r="J574">
        <f>IF($A574="","",IFERROR(INDEX('[AQ_2023.xlsx]原始数据'!$C:$C,MATCH($A574,'[AQ_2023.xlsx]原始数据'!$A:$A,0)),""))</f>
        <v/>
      </c>
      <c r="K574">
        <f>IF($A574="","",IFERROR(INDEX('[AQ_2024.xlsx]原始数据'!$C:$C,MATCH($A574,'[AQ_2024.xlsx]原始数据'!$A:$A,0)),""))</f>
        <v/>
      </c>
      <c r="L574">
        <f>IF($A574="","",IFERROR(INDEX('[AQ_2020.xlsx]原始数据'!$D:$D,MATCH($A574,'[AQ_2020.xlsx]原始数据'!$A:$A,0)),""))</f>
        <v/>
      </c>
      <c r="M574">
        <f>IF($A574="","",IFERROR(INDEX('[AQ_2021.xlsx]原始数据'!$D:$D,MATCH($A574,'[AQ_2021.xlsx]原始数据'!$A:$A,0)),""))</f>
        <v/>
      </c>
      <c r="N574">
        <f>IF($A574="","",IFERROR(INDEX('[AQ_2022.xlsx]原始数据'!$D:$D,MATCH($A574,'[AQ_2022.xlsx]原始数据'!$A:$A,0)),""))</f>
        <v/>
      </c>
      <c r="O574">
        <f>IF($A574="","",IFERROR(INDEX('[AQ_2023.xlsx]原始数据'!$D:$D,MATCH($A574,'[AQ_2023.xlsx]原始数据'!$A:$A,0)),""))</f>
        <v/>
      </c>
      <c r="P574">
        <f>IF($A574="","",IFERROR(INDEX('[AQ_2024.xlsx]原始数据'!$D:$D,MATCH($A574,'[AQ_2024.xlsx]原始数据'!$A:$A,0)),""))</f>
        <v/>
      </c>
      <c r="Q574">
        <f>IF($A574="","",IFERROR(INDEX('[AQ_2020.xlsx]原始数据'!$E:$E,MATCH($A574,'[AQ_2020.xlsx]原始数据'!$A:$A,0)),""))</f>
        <v/>
      </c>
      <c r="R574">
        <f>IF($A574="","",IFERROR(INDEX('[AQ_2021.xlsx]原始数据'!$E:$E,MATCH($A574,'[AQ_2021.xlsx]原始数据'!$A:$A,0)),""))</f>
        <v/>
      </c>
      <c r="S574">
        <f>IF($A574="","",IFERROR(INDEX('[AQ_2022.xlsx]原始数据'!$E:$E,MATCH($A574,'[AQ_2022.xlsx]原始数据'!$A:$A,0)),""))</f>
        <v/>
      </c>
      <c r="T574">
        <f>IF($A574="","",IFERROR(INDEX('[AQ_2023.xlsx]原始数据'!$E:$E,MATCH($A574,'[AQ_2023.xlsx]原始数据'!$A:$A,0)),""))</f>
        <v/>
      </c>
      <c r="U574">
        <f>IF($A574="","",IFERROR(INDEX('[AQ_2024.xlsx]原始数据'!$E:$E,MATCH($A574,'[AQ_2024.xlsx]原始数据'!$A:$A,0)),""))</f>
        <v/>
      </c>
      <c r="V574">
        <f>IF($A574="","",IFERROR(INDEX('[AQ_2020.xlsx]原始数据'!$F:$F,MATCH($A574,'[AQ_2020.xlsx]原始数据'!$A:$A,0)),""))</f>
        <v/>
      </c>
      <c r="W574">
        <f>IF($A574="","",IFERROR(INDEX('[AQ_2021.xlsx]原始数据'!$F:$F,MATCH($A574,'[AQ_2021.xlsx]原始数据'!$A:$A,0)),""))</f>
        <v/>
      </c>
      <c r="X574">
        <f>IF($A574="","",IFERROR(INDEX('[AQ_2022.xlsx]原始数据'!$F:$F,MATCH($A574,'[AQ_2022.xlsx]原始数据'!$A:$A,0)),""))</f>
        <v/>
      </c>
      <c r="Y574">
        <f>IF($A574="","",IFERROR(INDEX('[AQ_2023.xlsx]原始数据'!$F:$F,MATCH($A574,'[AQ_2023.xlsx]原始数据'!$A:$A,0)),""))</f>
        <v/>
      </c>
      <c r="Z574">
        <f>IF($A574="","",IFERROR(INDEX('[AQ_2024.xlsx]原始数据'!$F:$F,MATCH($A574,'[AQ_2024.xlsx]原始数据'!$A:$A,0)),""))</f>
        <v/>
      </c>
      <c r="AA574" s="2">
        <f>IFERROR(G574/B574,"")</f>
        <v/>
      </c>
      <c r="AB574" s="2">
        <f>IFERROR(H574/C574,"")</f>
        <v/>
      </c>
      <c r="AC574" s="2">
        <f>IFERROR(I574/D574,"")</f>
        <v/>
      </c>
      <c r="AD574" s="2">
        <f>IFERROR(J574/E574,"")</f>
        <v/>
      </c>
      <c r="AE574" s="2">
        <f>IFERROR(K574/F574,"")</f>
        <v/>
      </c>
      <c r="AF574" s="2">
        <f>IFERROR(L574/B574,"")</f>
        <v/>
      </c>
      <c r="AG574" s="2">
        <f>IFERROR(M574/C574,"")</f>
        <v/>
      </c>
      <c r="AH574" s="2">
        <f>IFERROR(N574/D574,"")</f>
        <v/>
      </c>
      <c r="AI574" s="2">
        <f>IFERROR(O574/E574,"")</f>
        <v/>
      </c>
      <c r="AJ574" s="2">
        <f>IFERROR(P574/F574,"")</f>
        <v/>
      </c>
      <c r="AK574" s="2">
        <f>IFERROR(Q574/B574,"")</f>
        <v/>
      </c>
      <c r="AL574" s="2">
        <f>IFERROR(R574/C574,"")</f>
        <v/>
      </c>
      <c r="AM574" s="2">
        <f>IFERROR(S574/D574,"")</f>
        <v/>
      </c>
      <c r="AN574" s="2">
        <f>IFERROR(T574/E574,"")</f>
        <v/>
      </c>
      <c r="AO574" s="2">
        <f>IFERROR(U574/F574,"")</f>
        <v/>
      </c>
    </row>
    <row r="575">
      <c r="B575">
        <f>IF($A575="","",IFERROR(INDEX('[AQ_2020.xlsx]原始数据'!$B:$B,MATCH($A575,'[AQ_2020.xlsx]原始数据'!$A:$A,0)),""))</f>
        <v/>
      </c>
      <c r="C575">
        <f>IF($A575="","",IFERROR(INDEX('[AQ_2021.xlsx]原始数据'!$B:$B,MATCH($A575,'[AQ_2021.xlsx]原始数据'!$A:$A,0)),""))</f>
        <v/>
      </c>
      <c r="D575">
        <f>IF($A575="","",IFERROR(INDEX('[AQ_2022.xlsx]原始数据'!$B:$B,MATCH($A575,'[AQ_2022.xlsx]原始数据'!$A:$A,0)),""))</f>
        <v/>
      </c>
      <c r="E575">
        <f>IF($A575="","",IFERROR(INDEX('[AQ_2023.xlsx]原始数据'!$B:$B,MATCH($A575,'[AQ_2023.xlsx]原始数据'!$A:$A,0)),""))</f>
        <v/>
      </c>
      <c r="F575">
        <f>IF($A575="","",IFERROR(INDEX('[AQ_2024.xlsx]原始数据'!$B:$B,MATCH($A575,'[AQ_2024.xlsx]原始数据'!$A:$A,0)),""))</f>
        <v/>
      </c>
      <c r="G575">
        <f>IF($A575="","",IFERROR(INDEX('[AQ_2020.xlsx]原始数据'!$C:$C,MATCH($A575,'[AQ_2020.xlsx]原始数据'!$A:$A,0)),""))</f>
        <v/>
      </c>
      <c r="H575">
        <f>IF($A575="","",IFERROR(INDEX('[AQ_2021.xlsx]原始数据'!$C:$C,MATCH($A575,'[AQ_2021.xlsx]原始数据'!$A:$A,0)),""))</f>
        <v/>
      </c>
      <c r="I575">
        <f>IF($A575="","",IFERROR(INDEX('[AQ_2022.xlsx]原始数据'!$C:$C,MATCH($A575,'[AQ_2022.xlsx]原始数据'!$A:$A,0)),""))</f>
        <v/>
      </c>
      <c r="J575">
        <f>IF($A575="","",IFERROR(INDEX('[AQ_2023.xlsx]原始数据'!$C:$C,MATCH($A575,'[AQ_2023.xlsx]原始数据'!$A:$A,0)),""))</f>
        <v/>
      </c>
      <c r="K575">
        <f>IF($A575="","",IFERROR(INDEX('[AQ_2024.xlsx]原始数据'!$C:$C,MATCH($A575,'[AQ_2024.xlsx]原始数据'!$A:$A,0)),""))</f>
        <v/>
      </c>
      <c r="L575">
        <f>IF($A575="","",IFERROR(INDEX('[AQ_2020.xlsx]原始数据'!$D:$D,MATCH($A575,'[AQ_2020.xlsx]原始数据'!$A:$A,0)),""))</f>
        <v/>
      </c>
      <c r="M575">
        <f>IF($A575="","",IFERROR(INDEX('[AQ_2021.xlsx]原始数据'!$D:$D,MATCH($A575,'[AQ_2021.xlsx]原始数据'!$A:$A,0)),""))</f>
        <v/>
      </c>
      <c r="N575">
        <f>IF($A575="","",IFERROR(INDEX('[AQ_2022.xlsx]原始数据'!$D:$D,MATCH($A575,'[AQ_2022.xlsx]原始数据'!$A:$A,0)),""))</f>
        <v/>
      </c>
      <c r="O575">
        <f>IF($A575="","",IFERROR(INDEX('[AQ_2023.xlsx]原始数据'!$D:$D,MATCH($A575,'[AQ_2023.xlsx]原始数据'!$A:$A,0)),""))</f>
        <v/>
      </c>
      <c r="P575">
        <f>IF($A575="","",IFERROR(INDEX('[AQ_2024.xlsx]原始数据'!$D:$D,MATCH($A575,'[AQ_2024.xlsx]原始数据'!$A:$A,0)),""))</f>
        <v/>
      </c>
      <c r="Q575">
        <f>IF($A575="","",IFERROR(INDEX('[AQ_2020.xlsx]原始数据'!$E:$E,MATCH($A575,'[AQ_2020.xlsx]原始数据'!$A:$A,0)),""))</f>
        <v/>
      </c>
      <c r="R575">
        <f>IF($A575="","",IFERROR(INDEX('[AQ_2021.xlsx]原始数据'!$E:$E,MATCH($A575,'[AQ_2021.xlsx]原始数据'!$A:$A,0)),""))</f>
        <v/>
      </c>
      <c r="S575">
        <f>IF($A575="","",IFERROR(INDEX('[AQ_2022.xlsx]原始数据'!$E:$E,MATCH($A575,'[AQ_2022.xlsx]原始数据'!$A:$A,0)),""))</f>
        <v/>
      </c>
      <c r="T575">
        <f>IF($A575="","",IFERROR(INDEX('[AQ_2023.xlsx]原始数据'!$E:$E,MATCH($A575,'[AQ_2023.xlsx]原始数据'!$A:$A,0)),""))</f>
        <v/>
      </c>
      <c r="U575">
        <f>IF($A575="","",IFERROR(INDEX('[AQ_2024.xlsx]原始数据'!$E:$E,MATCH($A575,'[AQ_2024.xlsx]原始数据'!$A:$A,0)),""))</f>
        <v/>
      </c>
      <c r="V575">
        <f>IF($A575="","",IFERROR(INDEX('[AQ_2020.xlsx]原始数据'!$F:$F,MATCH($A575,'[AQ_2020.xlsx]原始数据'!$A:$A,0)),""))</f>
        <v/>
      </c>
      <c r="W575">
        <f>IF($A575="","",IFERROR(INDEX('[AQ_2021.xlsx]原始数据'!$F:$F,MATCH($A575,'[AQ_2021.xlsx]原始数据'!$A:$A,0)),""))</f>
        <v/>
      </c>
      <c r="X575">
        <f>IF($A575="","",IFERROR(INDEX('[AQ_2022.xlsx]原始数据'!$F:$F,MATCH($A575,'[AQ_2022.xlsx]原始数据'!$A:$A,0)),""))</f>
        <v/>
      </c>
      <c r="Y575">
        <f>IF($A575="","",IFERROR(INDEX('[AQ_2023.xlsx]原始数据'!$F:$F,MATCH($A575,'[AQ_2023.xlsx]原始数据'!$A:$A,0)),""))</f>
        <v/>
      </c>
      <c r="Z575">
        <f>IF($A575="","",IFERROR(INDEX('[AQ_2024.xlsx]原始数据'!$F:$F,MATCH($A575,'[AQ_2024.xlsx]原始数据'!$A:$A,0)),""))</f>
        <v/>
      </c>
      <c r="AA575" s="2">
        <f>IFERROR(G575/B575,"")</f>
        <v/>
      </c>
      <c r="AB575" s="2">
        <f>IFERROR(H575/C575,"")</f>
        <v/>
      </c>
      <c r="AC575" s="2">
        <f>IFERROR(I575/D575,"")</f>
        <v/>
      </c>
      <c r="AD575" s="2">
        <f>IFERROR(J575/E575,"")</f>
        <v/>
      </c>
      <c r="AE575" s="2">
        <f>IFERROR(K575/F575,"")</f>
        <v/>
      </c>
      <c r="AF575" s="2">
        <f>IFERROR(L575/B575,"")</f>
        <v/>
      </c>
      <c r="AG575" s="2">
        <f>IFERROR(M575/C575,"")</f>
        <v/>
      </c>
      <c r="AH575" s="2">
        <f>IFERROR(N575/D575,"")</f>
        <v/>
      </c>
      <c r="AI575" s="2">
        <f>IFERROR(O575/E575,"")</f>
        <v/>
      </c>
      <c r="AJ575" s="2">
        <f>IFERROR(P575/F575,"")</f>
        <v/>
      </c>
      <c r="AK575" s="2">
        <f>IFERROR(Q575/B575,"")</f>
        <v/>
      </c>
      <c r="AL575" s="2">
        <f>IFERROR(R575/C575,"")</f>
        <v/>
      </c>
      <c r="AM575" s="2">
        <f>IFERROR(S575/D575,"")</f>
        <v/>
      </c>
      <c r="AN575" s="2">
        <f>IFERROR(T575/E575,"")</f>
        <v/>
      </c>
      <c r="AO575" s="2">
        <f>IFERROR(U575/F575,"")</f>
        <v/>
      </c>
    </row>
    <row r="576">
      <c r="B576">
        <f>IF($A576="","",IFERROR(INDEX('[AQ_2020.xlsx]原始数据'!$B:$B,MATCH($A576,'[AQ_2020.xlsx]原始数据'!$A:$A,0)),""))</f>
        <v/>
      </c>
      <c r="C576">
        <f>IF($A576="","",IFERROR(INDEX('[AQ_2021.xlsx]原始数据'!$B:$B,MATCH($A576,'[AQ_2021.xlsx]原始数据'!$A:$A,0)),""))</f>
        <v/>
      </c>
      <c r="D576">
        <f>IF($A576="","",IFERROR(INDEX('[AQ_2022.xlsx]原始数据'!$B:$B,MATCH($A576,'[AQ_2022.xlsx]原始数据'!$A:$A,0)),""))</f>
        <v/>
      </c>
      <c r="E576">
        <f>IF($A576="","",IFERROR(INDEX('[AQ_2023.xlsx]原始数据'!$B:$B,MATCH($A576,'[AQ_2023.xlsx]原始数据'!$A:$A,0)),""))</f>
        <v/>
      </c>
      <c r="F576">
        <f>IF($A576="","",IFERROR(INDEX('[AQ_2024.xlsx]原始数据'!$B:$B,MATCH($A576,'[AQ_2024.xlsx]原始数据'!$A:$A,0)),""))</f>
        <v/>
      </c>
      <c r="G576">
        <f>IF($A576="","",IFERROR(INDEX('[AQ_2020.xlsx]原始数据'!$C:$C,MATCH($A576,'[AQ_2020.xlsx]原始数据'!$A:$A,0)),""))</f>
        <v/>
      </c>
      <c r="H576">
        <f>IF($A576="","",IFERROR(INDEX('[AQ_2021.xlsx]原始数据'!$C:$C,MATCH($A576,'[AQ_2021.xlsx]原始数据'!$A:$A,0)),""))</f>
        <v/>
      </c>
      <c r="I576">
        <f>IF($A576="","",IFERROR(INDEX('[AQ_2022.xlsx]原始数据'!$C:$C,MATCH($A576,'[AQ_2022.xlsx]原始数据'!$A:$A,0)),""))</f>
        <v/>
      </c>
      <c r="J576">
        <f>IF($A576="","",IFERROR(INDEX('[AQ_2023.xlsx]原始数据'!$C:$C,MATCH($A576,'[AQ_2023.xlsx]原始数据'!$A:$A,0)),""))</f>
        <v/>
      </c>
      <c r="K576">
        <f>IF($A576="","",IFERROR(INDEX('[AQ_2024.xlsx]原始数据'!$C:$C,MATCH($A576,'[AQ_2024.xlsx]原始数据'!$A:$A,0)),""))</f>
        <v/>
      </c>
      <c r="L576">
        <f>IF($A576="","",IFERROR(INDEX('[AQ_2020.xlsx]原始数据'!$D:$D,MATCH($A576,'[AQ_2020.xlsx]原始数据'!$A:$A,0)),""))</f>
        <v/>
      </c>
      <c r="M576">
        <f>IF($A576="","",IFERROR(INDEX('[AQ_2021.xlsx]原始数据'!$D:$D,MATCH($A576,'[AQ_2021.xlsx]原始数据'!$A:$A,0)),""))</f>
        <v/>
      </c>
      <c r="N576">
        <f>IF($A576="","",IFERROR(INDEX('[AQ_2022.xlsx]原始数据'!$D:$D,MATCH($A576,'[AQ_2022.xlsx]原始数据'!$A:$A,0)),""))</f>
        <v/>
      </c>
      <c r="O576">
        <f>IF($A576="","",IFERROR(INDEX('[AQ_2023.xlsx]原始数据'!$D:$D,MATCH($A576,'[AQ_2023.xlsx]原始数据'!$A:$A,0)),""))</f>
        <v/>
      </c>
      <c r="P576">
        <f>IF($A576="","",IFERROR(INDEX('[AQ_2024.xlsx]原始数据'!$D:$D,MATCH($A576,'[AQ_2024.xlsx]原始数据'!$A:$A,0)),""))</f>
        <v/>
      </c>
      <c r="Q576">
        <f>IF($A576="","",IFERROR(INDEX('[AQ_2020.xlsx]原始数据'!$E:$E,MATCH($A576,'[AQ_2020.xlsx]原始数据'!$A:$A,0)),""))</f>
        <v/>
      </c>
      <c r="R576">
        <f>IF($A576="","",IFERROR(INDEX('[AQ_2021.xlsx]原始数据'!$E:$E,MATCH($A576,'[AQ_2021.xlsx]原始数据'!$A:$A,0)),""))</f>
        <v/>
      </c>
      <c r="S576">
        <f>IF($A576="","",IFERROR(INDEX('[AQ_2022.xlsx]原始数据'!$E:$E,MATCH($A576,'[AQ_2022.xlsx]原始数据'!$A:$A,0)),""))</f>
        <v/>
      </c>
      <c r="T576">
        <f>IF($A576="","",IFERROR(INDEX('[AQ_2023.xlsx]原始数据'!$E:$E,MATCH($A576,'[AQ_2023.xlsx]原始数据'!$A:$A,0)),""))</f>
        <v/>
      </c>
      <c r="U576">
        <f>IF($A576="","",IFERROR(INDEX('[AQ_2024.xlsx]原始数据'!$E:$E,MATCH($A576,'[AQ_2024.xlsx]原始数据'!$A:$A,0)),""))</f>
        <v/>
      </c>
      <c r="V576">
        <f>IF($A576="","",IFERROR(INDEX('[AQ_2020.xlsx]原始数据'!$F:$F,MATCH($A576,'[AQ_2020.xlsx]原始数据'!$A:$A,0)),""))</f>
        <v/>
      </c>
      <c r="W576">
        <f>IF($A576="","",IFERROR(INDEX('[AQ_2021.xlsx]原始数据'!$F:$F,MATCH($A576,'[AQ_2021.xlsx]原始数据'!$A:$A,0)),""))</f>
        <v/>
      </c>
      <c r="X576">
        <f>IF($A576="","",IFERROR(INDEX('[AQ_2022.xlsx]原始数据'!$F:$F,MATCH($A576,'[AQ_2022.xlsx]原始数据'!$A:$A,0)),""))</f>
        <v/>
      </c>
      <c r="Y576">
        <f>IF($A576="","",IFERROR(INDEX('[AQ_2023.xlsx]原始数据'!$F:$F,MATCH($A576,'[AQ_2023.xlsx]原始数据'!$A:$A,0)),""))</f>
        <v/>
      </c>
      <c r="Z576">
        <f>IF($A576="","",IFERROR(INDEX('[AQ_2024.xlsx]原始数据'!$F:$F,MATCH($A576,'[AQ_2024.xlsx]原始数据'!$A:$A,0)),""))</f>
        <v/>
      </c>
      <c r="AA576" s="2">
        <f>IFERROR(G576/B576,"")</f>
        <v/>
      </c>
      <c r="AB576" s="2">
        <f>IFERROR(H576/C576,"")</f>
        <v/>
      </c>
      <c r="AC576" s="2">
        <f>IFERROR(I576/D576,"")</f>
        <v/>
      </c>
      <c r="AD576" s="2">
        <f>IFERROR(J576/E576,"")</f>
        <v/>
      </c>
      <c r="AE576" s="2">
        <f>IFERROR(K576/F576,"")</f>
        <v/>
      </c>
      <c r="AF576" s="2">
        <f>IFERROR(L576/B576,"")</f>
        <v/>
      </c>
      <c r="AG576" s="2">
        <f>IFERROR(M576/C576,"")</f>
        <v/>
      </c>
      <c r="AH576" s="2">
        <f>IFERROR(N576/D576,"")</f>
        <v/>
      </c>
      <c r="AI576" s="2">
        <f>IFERROR(O576/E576,"")</f>
        <v/>
      </c>
      <c r="AJ576" s="2">
        <f>IFERROR(P576/F576,"")</f>
        <v/>
      </c>
      <c r="AK576" s="2">
        <f>IFERROR(Q576/B576,"")</f>
        <v/>
      </c>
      <c r="AL576" s="2">
        <f>IFERROR(R576/C576,"")</f>
        <v/>
      </c>
      <c r="AM576" s="2">
        <f>IFERROR(S576/D576,"")</f>
        <v/>
      </c>
      <c r="AN576" s="2">
        <f>IFERROR(T576/E576,"")</f>
        <v/>
      </c>
      <c r="AO576" s="2">
        <f>IFERROR(U576/F576,"")</f>
        <v/>
      </c>
    </row>
    <row r="577">
      <c r="B577">
        <f>IF($A577="","",IFERROR(INDEX('[AQ_2020.xlsx]原始数据'!$B:$B,MATCH($A577,'[AQ_2020.xlsx]原始数据'!$A:$A,0)),""))</f>
        <v/>
      </c>
      <c r="C577">
        <f>IF($A577="","",IFERROR(INDEX('[AQ_2021.xlsx]原始数据'!$B:$B,MATCH($A577,'[AQ_2021.xlsx]原始数据'!$A:$A,0)),""))</f>
        <v/>
      </c>
      <c r="D577">
        <f>IF($A577="","",IFERROR(INDEX('[AQ_2022.xlsx]原始数据'!$B:$B,MATCH($A577,'[AQ_2022.xlsx]原始数据'!$A:$A,0)),""))</f>
        <v/>
      </c>
      <c r="E577">
        <f>IF($A577="","",IFERROR(INDEX('[AQ_2023.xlsx]原始数据'!$B:$B,MATCH($A577,'[AQ_2023.xlsx]原始数据'!$A:$A,0)),""))</f>
        <v/>
      </c>
      <c r="F577">
        <f>IF($A577="","",IFERROR(INDEX('[AQ_2024.xlsx]原始数据'!$B:$B,MATCH($A577,'[AQ_2024.xlsx]原始数据'!$A:$A,0)),""))</f>
        <v/>
      </c>
      <c r="G577">
        <f>IF($A577="","",IFERROR(INDEX('[AQ_2020.xlsx]原始数据'!$C:$C,MATCH($A577,'[AQ_2020.xlsx]原始数据'!$A:$A,0)),""))</f>
        <v/>
      </c>
      <c r="H577">
        <f>IF($A577="","",IFERROR(INDEX('[AQ_2021.xlsx]原始数据'!$C:$C,MATCH($A577,'[AQ_2021.xlsx]原始数据'!$A:$A,0)),""))</f>
        <v/>
      </c>
      <c r="I577">
        <f>IF($A577="","",IFERROR(INDEX('[AQ_2022.xlsx]原始数据'!$C:$C,MATCH($A577,'[AQ_2022.xlsx]原始数据'!$A:$A,0)),""))</f>
        <v/>
      </c>
      <c r="J577">
        <f>IF($A577="","",IFERROR(INDEX('[AQ_2023.xlsx]原始数据'!$C:$C,MATCH($A577,'[AQ_2023.xlsx]原始数据'!$A:$A,0)),""))</f>
        <v/>
      </c>
      <c r="K577">
        <f>IF($A577="","",IFERROR(INDEX('[AQ_2024.xlsx]原始数据'!$C:$C,MATCH($A577,'[AQ_2024.xlsx]原始数据'!$A:$A,0)),""))</f>
        <v/>
      </c>
      <c r="L577">
        <f>IF($A577="","",IFERROR(INDEX('[AQ_2020.xlsx]原始数据'!$D:$D,MATCH($A577,'[AQ_2020.xlsx]原始数据'!$A:$A,0)),""))</f>
        <v/>
      </c>
      <c r="M577">
        <f>IF($A577="","",IFERROR(INDEX('[AQ_2021.xlsx]原始数据'!$D:$D,MATCH($A577,'[AQ_2021.xlsx]原始数据'!$A:$A,0)),""))</f>
        <v/>
      </c>
      <c r="N577">
        <f>IF($A577="","",IFERROR(INDEX('[AQ_2022.xlsx]原始数据'!$D:$D,MATCH($A577,'[AQ_2022.xlsx]原始数据'!$A:$A,0)),""))</f>
        <v/>
      </c>
      <c r="O577">
        <f>IF($A577="","",IFERROR(INDEX('[AQ_2023.xlsx]原始数据'!$D:$D,MATCH($A577,'[AQ_2023.xlsx]原始数据'!$A:$A,0)),""))</f>
        <v/>
      </c>
      <c r="P577">
        <f>IF($A577="","",IFERROR(INDEX('[AQ_2024.xlsx]原始数据'!$D:$D,MATCH($A577,'[AQ_2024.xlsx]原始数据'!$A:$A,0)),""))</f>
        <v/>
      </c>
      <c r="Q577">
        <f>IF($A577="","",IFERROR(INDEX('[AQ_2020.xlsx]原始数据'!$E:$E,MATCH($A577,'[AQ_2020.xlsx]原始数据'!$A:$A,0)),""))</f>
        <v/>
      </c>
      <c r="R577">
        <f>IF($A577="","",IFERROR(INDEX('[AQ_2021.xlsx]原始数据'!$E:$E,MATCH($A577,'[AQ_2021.xlsx]原始数据'!$A:$A,0)),""))</f>
        <v/>
      </c>
      <c r="S577">
        <f>IF($A577="","",IFERROR(INDEX('[AQ_2022.xlsx]原始数据'!$E:$E,MATCH($A577,'[AQ_2022.xlsx]原始数据'!$A:$A,0)),""))</f>
        <v/>
      </c>
      <c r="T577">
        <f>IF($A577="","",IFERROR(INDEX('[AQ_2023.xlsx]原始数据'!$E:$E,MATCH($A577,'[AQ_2023.xlsx]原始数据'!$A:$A,0)),""))</f>
        <v/>
      </c>
      <c r="U577">
        <f>IF($A577="","",IFERROR(INDEX('[AQ_2024.xlsx]原始数据'!$E:$E,MATCH($A577,'[AQ_2024.xlsx]原始数据'!$A:$A,0)),""))</f>
        <v/>
      </c>
      <c r="V577">
        <f>IF($A577="","",IFERROR(INDEX('[AQ_2020.xlsx]原始数据'!$F:$F,MATCH($A577,'[AQ_2020.xlsx]原始数据'!$A:$A,0)),""))</f>
        <v/>
      </c>
      <c r="W577">
        <f>IF($A577="","",IFERROR(INDEX('[AQ_2021.xlsx]原始数据'!$F:$F,MATCH($A577,'[AQ_2021.xlsx]原始数据'!$A:$A,0)),""))</f>
        <v/>
      </c>
      <c r="X577">
        <f>IF($A577="","",IFERROR(INDEX('[AQ_2022.xlsx]原始数据'!$F:$F,MATCH($A577,'[AQ_2022.xlsx]原始数据'!$A:$A,0)),""))</f>
        <v/>
      </c>
      <c r="Y577">
        <f>IF($A577="","",IFERROR(INDEX('[AQ_2023.xlsx]原始数据'!$F:$F,MATCH($A577,'[AQ_2023.xlsx]原始数据'!$A:$A,0)),""))</f>
        <v/>
      </c>
      <c r="Z577">
        <f>IF($A577="","",IFERROR(INDEX('[AQ_2024.xlsx]原始数据'!$F:$F,MATCH($A577,'[AQ_2024.xlsx]原始数据'!$A:$A,0)),""))</f>
        <v/>
      </c>
      <c r="AA577" s="2">
        <f>IFERROR(G577/B577,"")</f>
        <v/>
      </c>
      <c r="AB577" s="2">
        <f>IFERROR(H577/C577,"")</f>
        <v/>
      </c>
      <c r="AC577" s="2">
        <f>IFERROR(I577/D577,"")</f>
        <v/>
      </c>
      <c r="AD577" s="2">
        <f>IFERROR(J577/E577,"")</f>
        <v/>
      </c>
      <c r="AE577" s="2">
        <f>IFERROR(K577/F577,"")</f>
        <v/>
      </c>
      <c r="AF577" s="2">
        <f>IFERROR(L577/B577,"")</f>
        <v/>
      </c>
      <c r="AG577" s="2">
        <f>IFERROR(M577/C577,"")</f>
        <v/>
      </c>
      <c r="AH577" s="2">
        <f>IFERROR(N577/D577,"")</f>
        <v/>
      </c>
      <c r="AI577" s="2">
        <f>IFERROR(O577/E577,"")</f>
        <v/>
      </c>
      <c r="AJ577" s="2">
        <f>IFERROR(P577/F577,"")</f>
        <v/>
      </c>
      <c r="AK577" s="2">
        <f>IFERROR(Q577/B577,"")</f>
        <v/>
      </c>
      <c r="AL577" s="2">
        <f>IFERROR(R577/C577,"")</f>
        <v/>
      </c>
      <c r="AM577" s="2">
        <f>IFERROR(S577/D577,"")</f>
        <v/>
      </c>
      <c r="AN577" s="2">
        <f>IFERROR(T577/E577,"")</f>
        <v/>
      </c>
      <c r="AO577" s="2">
        <f>IFERROR(U577/F577,"")</f>
        <v/>
      </c>
    </row>
    <row r="578">
      <c r="B578">
        <f>IF($A578="","",IFERROR(INDEX('[AQ_2020.xlsx]原始数据'!$B:$B,MATCH($A578,'[AQ_2020.xlsx]原始数据'!$A:$A,0)),""))</f>
        <v/>
      </c>
      <c r="C578">
        <f>IF($A578="","",IFERROR(INDEX('[AQ_2021.xlsx]原始数据'!$B:$B,MATCH($A578,'[AQ_2021.xlsx]原始数据'!$A:$A,0)),""))</f>
        <v/>
      </c>
      <c r="D578">
        <f>IF($A578="","",IFERROR(INDEX('[AQ_2022.xlsx]原始数据'!$B:$B,MATCH($A578,'[AQ_2022.xlsx]原始数据'!$A:$A,0)),""))</f>
        <v/>
      </c>
      <c r="E578">
        <f>IF($A578="","",IFERROR(INDEX('[AQ_2023.xlsx]原始数据'!$B:$B,MATCH($A578,'[AQ_2023.xlsx]原始数据'!$A:$A,0)),""))</f>
        <v/>
      </c>
      <c r="F578">
        <f>IF($A578="","",IFERROR(INDEX('[AQ_2024.xlsx]原始数据'!$B:$B,MATCH($A578,'[AQ_2024.xlsx]原始数据'!$A:$A,0)),""))</f>
        <v/>
      </c>
      <c r="G578">
        <f>IF($A578="","",IFERROR(INDEX('[AQ_2020.xlsx]原始数据'!$C:$C,MATCH($A578,'[AQ_2020.xlsx]原始数据'!$A:$A,0)),""))</f>
        <v/>
      </c>
      <c r="H578">
        <f>IF($A578="","",IFERROR(INDEX('[AQ_2021.xlsx]原始数据'!$C:$C,MATCH($A578,'[AQ_2021.xlsx]原始数据'!$A:$A,0)),""))</f>
        <v/>
      </c>
      <c r="I578">
        <f>IF($A578="","",IFERROR(INDEX('[AQ_2022.xlsx]原始数据'!$C:$C,MATCH($A578,'[AQ_2022.xlsx]原始数据'!$A:$A,0)),""))</f>
        <v/>
      </c>
      <c r="J578">
        <f>IF($A578="","",IFERROR(INDEX('[AQ_2023.xlsx]原始数据'!$C:$C,MATCH($A578,'[AQ_2023.xlsx]原始数据'!$A:$A,0)),""))</f>
        <v/>
      </c>
      <c r="K578">
        <f>IF($A578="","",IFERROR(INDEX('[AQ_2024.xlsx]原始数据'!$C:$C,MATCH($A578,'[AQ_2024.xlsx]原始数据'!$A:$A,0)),""))</f>
        <v/>
      </c>
      <c r="L578">
        <f>IF($A578="","",IFERROR(INDEX('[AQ_2020.xlsx]原始数据'!$D:$D,MATCH($A578,'[AQ_2020.xlsx]原始数据'!$A:$A,0)),""))</f>
        <v/>
      </c>
      <c r="M578">
        <f>IF($A578="","",IFERROR(INDEX('[AQ_2021.xlsx]原始数据'!$D:$D,MATCH($A578,'[AQ_2021.xlsx]原始数据'!$A:$A,0)),""))</f>
        <v/>
      </c>
      <c r="N578">
        <f>IF($A578="","",IFERROR(INDEX('[AQ_2022.xlsx]原始数据'!$D:$D,MATCH($A578,'[AQ_2022.xlsx]原始数据'!$A:$A,0)),""))</f>
        <v/>
      </c>
      <c r="O578">
        <f>IF($A578="","",IFERROR(INDEX('[AQ_2023.xlsx]原始数据'!$D:$D,MATCH($A578,'[AQ_2023.xlsx]原始数据'!$A:$A,0)),""))</f>
        <v/>
      </c>
      <c r="P578">
        <f>IF($A578="","",IFERROR(INDEX('[AQ_2024.xlsx]原始数据'!$D:$D,MATCH($A578,'[AQ_2024.xlsx]原始数据'!$A:$A,0)),""))</f>
        <v/>
      </c>
      <c r="Q578">
        <f>IF($A578="","",IFERROR(INDEX('[AQ_2020.xlsx]原始数据'!$E:$E,MATCH($A578,'[AQ_2020.xlsx]原始数据'!$A:$A,0)),""))</f>
        <v/>
      </c>
      <c r="R578">
        <f>IF($A578="","",IFERROR(INDEX('[AQ_2021.xlsx]原始数据'!$E:$E,MATCH($A578,'[AQ_2021.xlsx]原始数据'!$A:$A,0)),""))</f>
        <v/>
      </c>
      <c r="S578">
        <f>IF($A578="","",IFERROR(INDEX('[AQ_2022.xlsx]原始数据'!$E:$E,MATCH($A578,'[AQ_2022.xlsx]原始数据'!$A:$A,0)),""))</f>
        <v/>
      </c>
      <c r="T578">
        <f>IF($A578="","",IFERROR(INDEX('[AQ_2023.xlsx]原始数据'!$E:$E,MATCH($A578,'[AQ_2023.xlsx]原始数据'!$A:$A,0)),""))</f>
        <v/>
      </c>
      <c r="U578">
        <f>IF($A578="","",IFERROR(INDEX('[AQ_2024.xlsx]原始数据'!$E:$E,MATCH($A578,'[AQ_2024.xlsx]原始数据'!$A:$A,0)),""))</f>
        <v/>
      </c>
      <c r="V578">
        <f>IF($A578="","",IFERROR(INDEX('[AQ_2020.xlsx]原始数据'!$F:$F,MATCH($A578,'[AQ_2020.xlsx]原始数据'!$A:$A,0)),""))</f>
        <v/>
      </c>
      <c r="W578">
        <f>IF($A578="","",IFERROR(INDEX('[AQ_2021.xlsx]原始数据'!$F:$F,MATCH($A578,'[AQ_2021.xlsx]原始数据'!$A:$A,0)),""))</f>
        <v/>
      </c>
      <c r="X578">
        <f>IF($A578="","",IFERROR(INDEX('[AQ_2022.xlsx]原始数据'!$F:$F,MATCH($A578,'[AQ_2022.xlsx]原始数据'!$A:$A,0)),""))</f>
        <v/>
      </c>
      <c r="Y578">
        <f>IF($A578="","",IFERROR(INDEX('[AQ_2023.xlsx]原始数据'!$F:$F,MATCH($A578,'[AQ_2023.xlsx]原始数据'!$A:$A,0)),""))</f>
        <v/>
      </c>
      <c r="Z578">
        <f>IF($A578="","",IFERROR(INDEX('[AQ_2024.xlsx]原始数据'!$F:$F,MATCH($A578,'[AQ_2024.xlsx]原始数据'!$A:$A,0)),""))</f>
        <v/>
      </c>
      <c r="AA578" s="2">
        <f>IFERROR(G578/B578,"")</f>
        <v/>
      </c>
      <c r="AB578" s="2">
        <f>IFERROR(H578/C578,"")</f>
        <v/>
      </c>
      <c r="AC578" s="2">
        <f>IFERROR(I578/D578,"")</f>
        <v/>
      </c>
      <c r="AD578" s="2">
        <f>IFERROR(J578/E578,"")</f>
        <v/>
      </c>
      <c r="AE578" s="2">
        <f>IFERROR(K578/F578,"")</f>
        <v/>
      </c>
      <c r="AF578" s="2">
        <f>IFERROR(L578/B578,"")</f>
        <v/>
      </c>
      <c r="AG578" s="2">
        <f>IFERROR(M578/C578,"")</f>
        <v/>
      </c>
      <c r="AH578" s="2">
        <f>IFERROR(N578/D578,"")</f>
        <v/>
      </c>
      <c r="AI578" s="2">
        <f>IFERROR(O578/E578,"")</f>
        <v/>
      </c>
      <c r="AJ578" s="2">
        <f>IFERROR(P578/F578,"")</f>
        <v/>
      </c>
      <c r="AK578" s="2">
        <f>IFERROR(Q578/B578,"")</f>
        <v/>
      </c>
      <c r="AL578" s="2">
        <f>IFERROR(R578/C578,"")</f>
        <v/>
      </c>
      <c r="AM578" s="2">
        <f>IFERROR(S578/D578,"")</f>
        <v/>
      </c>
      <c r="AN578" s="2">
        <f>IFERROR(T578/E578,"")</f>
        <v/>
      </c>
      <c r="AO578" s="2">
        <f>IFERROR(U578/F578,"")</f>
        <v/>
      </c>
    </row>
    <row r="579">
      <c r="B579">
        <f>IF($A579="","",IFERROR(INDEX('[AQ_2020.xlsx]原始数据'!$B:$B,MATCH($A579,'[AQ_2020.xlsx]原始数据'!$A:$A,0)),""))</f>
        <v/>
      </c>
      <c r="C579">
        <f>IF($A579="","",IFERROR(INDEX('[AQ_2021.xlsx]原始数据'!$B:$B,MATCH($A579,'[AQ_2021.xlsx]原始数据'!$A:$A,0)),""))</f>
        <v/>
      </c>
      <c r="D579">
        <f>IF($A579="","",IFERROR(INDEX('[AQ_2022.xlsx]原始数据'!$B:$B,MATCH($A579,'[AQ_2022.xlsx]原始数据'!$A:$A,0)),""))</f>
        <v/>
      </c>
      <c r="E579">
        <f>IF($A579="","",IFERROR(INDEX('[AQ_2023.xlsx]原始数据'!$B:$B,MATCH($A579,'[AQ_2023.xlsx]原始数据'!$A:$A,0)),""))</f>
        <v/>
      </c>
      <c r="F579">
        <f>IF($A579="","",IFERROR(INDEX('[AQ_2024.xlsx]原始数据'!$B:$B,MATCH($A579,'[AQ_2024.xlsx]原始数据'!$A:$A,0)),""))</f>
        <v/>
      </c>
      <c r="G579">
        <f>IF($A579="","",IFERROR(INDEX('[AQ_2020.xlsx]原始数据'!$C:$C,MATCH($A579,'[AQ_2020.xlsx]原始数据'!$A:$A,0)),""))</f>
        <v/>
      </c>
      <c r="H579">
        <f>IF($A579="","",IFERROR(INDEX('[AQ_2021.xlsx]原始数据'!$C:$C,MATCH($A579,'[AQ_2021.xlsx]原始数据'!$A:$A,0)),""))</f>
        <v/>
      </c>
      <c r="I579">
        <f>IF($A579="","",IFERROR(INDEX('[AQ_2022.xlsx]原始数据'!$C:$C,MATCH($A579,'[AQ_2022.xlsx]原始数据'!$A:$A,0)),""))</f>
        <v/>
      </c>
      <c r="J579">
        <f>IF($A579="","",IFERROR(INDEX('[AQ_2023.xlsx]原始数据'!$C:$C,MATCH($A579,'[AQ_2023.xlsx]原始数据'!$A:$A,0)),""))</f>
        <v/>
      </c>
      <c r="K579">
        <f>IF($A579="","",IFERROR(INDEX('[AQ_2024.xlsx]原始数据'!$C:$C,MATCH($A579,'[AQ_2024.xlsx]原始数据'!$A:$A,0)),""))</f>
        <v/>
      </c>
      <c r="L579">
        <f>IF($A579="","",IFERROR(INDEX('[AQ_2020.xlsx]原始数据'!$D:$D,MATCH($A579,'[AQ_2020.xlsx]原始数据'!$A:$A,0)),""))</f>
        <v/>
      </c>
      <c r="M579">
        <f>IF($A579="","",IFERROR(INDEX('[AQ_2021.xlsx]原始数据'!$D:$D,MATCH($A579,'[AQ_2021.xlsx]原始数据'!$A:$A,0)),""))</f>
        <v/>
      </c>
      <c r="N579">
        <f>IF($A579="","",IFERROR(INDEX('[AQ_2022.xlsx]原始数据'!$D:$D,MATCH($A579,'[AQ_2022.xlsx]原始数据'!$A:$A,0)),""))</f>
        <v/>
      </c>
      <c r="O579">
        <f>IF($A579="","",IFERROR(INDEX('[AQ_2023.xlsx]原始数据'!$D:$D,MATCH($A579,'[AQ_2023.xlsx]原始数据'!$A:$A,0)),""))</f>
        <v/>
      </c>
      <c r="P579">
        <f>IF($A579="","",IFERROR(INDEX('[AQ_2024.xlsx]原始数据'!$D:$D,MATCH($A579,'[AQ_2024.xlsx]原始数据'!$A:$A,0)),""))</f>
        <v/>
      </c>
      <c r="Q579">
        <f>IF($A579="","",IFERROR(INDEX('[AQ_2020.xlsx]原始数据'!$E:$E,MATCH($A579,'[AQ_2020.xlsx]原始数据'!$A:$A,0)),""))</f>
        <v/>
      </c>
      <c r="R579">
        <f>IF($A579="","",IFERROR(INDEX('[AQ_2021.xlsx]原始数据'!$E:$E,MATCH($A579,'[AQ_2021.xlsx]原始数据'!$A:$A,0)),""))</f>
        <v/>
      </c>
      <c r="S579">
        <f>IF($A579="","",IFERROR(INDEX('[AQ_2022.xlsx]原始数据'!$E:$E,MATCH($A579,'[AQ_2022.xlsx]原始数据'!$A:$A,0)),""))</f>
        <v/>
      </c>
      <c r="T579">
        <f>IF($A579="","",IFERROR(INDEX('[AQ_2023.xlsx]原始数据'!$E:$E,MATCH($A579,'[AQ_2023.xlsx]原始数据'!$A:$A,0)),""))</f>
        <v/>
      </c>
      <c r="U579">
        <f>IF($A579="","",IFERROR(INDEX('[AQ_2024.xlsx]原始数据'!$E:$E,MATCH($A579,'[AQ_2024.xlsx]原始数据'!$A:$A,0)),""))</f>
        <v/>
      </c>
      <c r="V579">
        <f>IF($A579="","",IFERROR(INDEX('[AQ_2020.xlsx]原始数据'!$F:$F,MATCH($A579,'[AQ_2020.xlsx]原始数据'!$A:$A,0)),""))</f>
        <v/>
      </c>
      <c r="W579">
        <f>IF($A579="","",IFERROR(INDEX('[AQ_2021.xlsx]原始数据'!$F:$F,MATCH($A579,'[AQ_2021.xlsx]原始数据'!$A:$A,0)),""))</f>
        <v/>
      </c>
      <c r="X579">
        <f>IF($A579="","",IFERROR(INDEX('[AQ_2022.xlsx]原始数据'!$F:$F,MATCH($A579,'[AQ_2022.xlsx]原始数据'!$A:$A,0)),""))</f>
        <v/>
      </c>
      <c r="Y579">
        <f>IF($A579="","",IFERROR(INDEX('[AQ_2023.xlsx]原始数据'!$F:$F,MATCH($A579,'[AQ_2023.xlsx]原始数据'!$A:$A,0)),""))</f>
        <v/>
      </c>
      <c r="Z579">
        <f>IF($A579="","",IFERROR(INDEX('[AQ_2024.xlsx]原始数据'!$F:$F,MATCH($A579,'[AQ_2024.xlsx]原始数据'!$A:$A,0)),""))</f>
        <v/>
      </c>
      <c r="AA579" s="2">
        <f>IFERROR(G579/B579,"")</f>
        <v/>
      </c>
      <c r="AB579" s="2">
        <f>IFERROR(H579/C579,"")</f>
        <v/>
      </c>
      <c r="AC579" s="2">
        <f>IFERROR(I579/D579,"")</f>
        <v/>
      </c>
      <c r="AD579" s="2">
        <f>IFERROR(J579/E579,"")</f>
        <v/>
      </c>
      <c r="AE579" s="2">
        <f>IFERROR(K579/F579,"")</f>
        <v/>
      </c>
      <c r="AF579" s="2">
        <f>IFERROR(L579/B579,"")</f>
        <v/>
      </c>
      <c r="AG579" s="2">
        <f>IFERROR(M579/C579,"")</f>
        <v/>
      </c>
      <c r="AH579" s="2">
        <f>IFERROR(N579/D579,"")</f>
        <v/>
      </c>
      <c r="AI579" s="2">
        <f>IFERROR(O579/E579,"")</f>
        <v/>
      </c>
      <c r="AJ579" s="2">
        <f>IFERROR(P579/F579,"")</f>
        <v/>
      </c>
      <c r="AK579" s="2">
        <f>IFERROR(Q579/B579,"")</f>
        <v/>
      </c>
      <c r="AL579" s="2">
        <f>IFERROR(R579/C579,"")</f>
        <v/>
      </c>
      <c r="AM579" s="2">
        <f>IFERROR(S579/D579,"")</f>
        <v/>
      </c>
      <c r="AN579" s="2">
        <f>IFERROR(T579/E579,"")</f>
        <v/>
      </c>
      <c r="AO579" s="2">
        <f>IFERROR(U579/F579,"")</f>
        <v/>
      </c>
    </row>
    <row r="580">
      <c r="B580">
        <f>IF($A580="","",IFERROR(INDEX('[AQ_2020.xlsx]原始数据'!$B:$B,MATCH($A580,'[AQ_2020.xlsx]原始数据'!$A:$A,0)),""))</f>
        <v/>
      </c>
      <c r="C580">
        <f>IF($A580="","",IFERROR(INDEX('[AQ_2021.xlsx]原始数据'!$B:$B,MATCH($A580,'[AQ_2021.xlsx]原始数据'!$A:$A,0)),""))</f>
        <v/>
      </c>
      <c r="D580">
        <f>IF($A580="","",IFERROR(INDEX('[AQ_2022.xlsx]原始数据'!$B:$B,MATCH($A580,'[AQ_2022.xlsx]原始数据'!$A:$A,0)),""))</f>
        <v/>
      </c>
      <c r="E580">
        <f>IF($A580="","",IFERROR(INDEX('[AQ_2023.xlsx]原始数据'!$B:$B,MATCH($A580,'[AQ_2023.xlsx]原始数据'!$A:$A,0)),""))</f>
        <v/>
      </c>
      <c r="F580">
        <f>IF($A580="","",IFERROR(INDEX('[AQ_2024.xlsx]原始数据'!$B:$B,MATCH($A580,'[AQ_2024.xlsx]原始数据'!$A:$A,0)),""))</f>
        <v/>
      </c>
      <c r="G580">
        <f>IF($A580="","",IFERROR(INDEX('[AQ_2020.xlsx]原始数据'!$C:$C,MATCH($A580,'[AQ_2020.xlsx]原始数据'!$A:$A,0)),""))</f>
        <v/>
      </c>
      <c r="H580">
        <f>IF($A580="","",IFERROR(INDEX('[AQ_2021.xlsx]原始数据'!$C:$C,MATCH($A580,'[AQ_2021.xlsx]原始数据'!$A:$A,0)),""))</f>
        <v/>
      </c>
      <c r="I580">
        <f>IF($A580="","",IFERROR(INDEX('[AQ_2022.xlsx]原始数据'!$C:$C,MATCH($A580,'[AQ_2022.xlsx]原始数据'!$A:$A,0)),""))</f>
        <v/>
      </c>
      <c r="J580">
        <f>IF($A580="","",IFERROR(INDEX('[AQ_2023.xlsx]原始数据'!$C:$C,MATCH($A580,'[AQ_2023.xlsx]原始数据'!$A:$A,0)),""))</f>
        <v/>
      </c>
      <c r="K580">
        <f>IF($A580="","",IFERROR(INDEX('[AQ_2024.xlsx]原始数据'!$C:$C,MATCH($A580,'[AQ_2024.xlsx]原始数据'!$A:$A,0)),""))</f>
        <v/>
      </c>
      <c r="L580">
        <f>IF($A580="","",IFERROR(INDEX('[AQ_2020.xlsx]原始数据'!$D:$D,MATCH($A580,'[AQ_2020.xlsx]原始数据'!$A:$A,0)),""))</f>
        <v/>
      </c>
      <c r="M580">
        <f>IF($A580="","",IFERROR(INDEX('[AQ_2021.xlsx]原始数据'!$D:$D,MATCH($A580,'[AQ_2021.xlsx]原始数据'!$A:$A,0)),""))</f>
        <v/>
      </c>
      <c r="N580">
        <f>IF($A580="","",IFERROR(INDEX('[AQ_2022.xlsx]原始数据'!$D:$D,MATCH($A580,'[AQ_2022.xlsx]原始数据'!$A:$A,0)),""))</f>
        <v/>
      </c>
      <c r="O580">
        <f>IF($A580="","",IFERROR(INDEX('[AQ_2023.xlsx]原始数据'!$D:$D,MATCH($A580,'[AQ_2023.xlsx]原始数据'!$A:$A,0)),""))</f>
        <v/>
      </c>
      <c r="P580">
        <f>IF($A580="","",IFERROR(INDEX('[AQ_2024.xlsx]原始数据'!$D:$D,MATCH($A580,'[AQ_2024.xlsx]原始数据'!$A:$A,0)),""))</f>
        <v/>
      </c>
      <c r="Q580">
        <f>IF($A580="","",IFERROR(INDEX('[AQ_2020.xlsx]原始数据'!$E:$E,MATCH($A580,'[AQ_2020.xlsx]原始数据'!$A:$A,0)),""))</f>
        <v/>
      </c>
      <c r="R580">
        <f>IF($A580="","",IFERROR(INDEX('[AQ_2021.xlsx]原始数据'!$E:$E,MATCH($A580,'[AQ_2021.xlsx]原始数据'!$A:$A,0)),""))</f>
        <v/>
      </c>
      <c r="S580">
        <f>IF($A580="","",IFERROR(INDEX('[AQ_2022.xlsx]原始数据'!$E:$E,MATCH($A580,'[AQ_2022.xlsx]原始数据'!$A:$A,0)),""))</f>
        <v/>
      </c>
      <c r="T580">
        <f>IF($A580="","",IFERROR(INDEX('[AQ_2023.xlsx]原始数据'!$E:$E,MATCH($A580,'[AQ_2023.xlsx]原始数据'!$A:$A,0)),""))</f>
        <v/>
      </c>
      <c r="U580">
        <f>IF($A580="","",IFERROR(INDEX('[AQ_2024.xlsx]原始数据'!$E:$E,MATCH($A580,'[AQ_2024.xlsx]原始数据'!$A:$A,0)),""))</f>
        <v/>
      </c>
      <c r="V580">
        <f>IF($A580="","",IFERROR(INDEX('[AQ_2020.xlsx]原始数据'!$F:$F,MATCH($A580,'[AQ_2020.xlsx]原始数据'!$A:$A,0)),""))</f>
        <v/>
      </c>
      <c r="W580">
        <f>IF($A580="","",IFERROR(INDEX('[AQ_2021.xlsx]原始数据'!$F:$F,MATCH($A580,'[AQ_2021.xlsx]原始数据'!$A:$A,0)),""))</f>
        <v/>
      </c>
      <c r="X580">
        <f>IF($A580="","",IFERROR(INDEX('[AQ_2022.xlsx]原始数据'!$F:$F,MATCH($A580,'[AQ_2022.xlsx]原始数据'!$A:$A,0)),""))</f>
        <v/>
      </c>
      <c r="Y580">
        <f>IF($A580="","",IFERROR(INDEX('[AQ_2023.xlsx]原始数据'!$F:$F,MATCH($A580,'[AQ_2023.xlsx]原始数据'!$A:$A,0)),""))</f>
        <v/>
      </c>
      <c r="Z580">
        <f>IF($A580="","",IFERROR(INDEX('[AQ_2024.xlsx]原始数据'!$F:$F,MATCH($A580,'[AQ_2024.xlsx]原始数据'!$A:$A,0)),""))</f>
        <v/>
      </c>
      <c r="AA580" s="2">
        <f>IFERROR(G580/B580,"")</f>
        <v/>
      </c>
      <c r="AB580" s="2">
        <f>IFERROR(H580/C580,"")</f>
        <v/>
      </c>
      <c r="AC580" s="2">
        <f>IFERROR(I580/D580,"")</f>
        <v/>
      </c>
      <c r="AD580" s="2">
        <f>IFERROR(J580/E580,"")</f>
        <v/>
      </c>
      <c r="AE580" s="2">
        <f>IFERROR(K580/F580,"")</f>
        <v/>
      </c>
      <c r="AF580" s="2">
        <f>IFERROR(L580/B580,"")</f>
        <v/>
      </c>
      <c r="AG580" s="2">
        <f>IFERROR(M580/C580,"")</f>
        <v/>
      </c>
      <c r="AH580" s="2">
        <f>IFERROR(N580/D580,"")</f>
        <v/>
      </c>
      <c r="AI580" s="2">
        <f>IFERROR(O580/E580,"")</f>
        <v/>
      </c>
      <c r="AJ580" s="2">
        <f>IFERROR(P580/F580,"")</f>
        <v/>
      </c>
      <c r="AK580" s="2">
        <f>IFERROR(Q580/B580,"")</f>
        <v/>
      </c>
      <c r="AL580" s="2">
        <f>IFERROR(R580/C580,"")</f>
        <v/>
      </c>
      <c r="AM580" s="2">
        <f>IFERROR(S580/D580,"")</f>
        <v/>
      </c>
      <c r="AN580" s="2">
        <f>IFERROR(T580/E580,"")</f>
        <v/>
      </c>
      <c r="AO580" s="2">
        <f>IFERROR(U580/F580,"")</f>
        <v/>
      </c>
    </row>
    <row r="581">
      <c r="B581">
        <f>IF($A581="","",IFERROR(INDEX('[AQ_2020.xlsx]原始数据'!$B:$B,MATCH($A581,'[AQ_2020.xlsx]原始数据'!$A:$A,0)),""))</f>
        <v/>
      </c>
      <c r="C581">
        <f>IF($A581="","",IFERROR(INDEX('[AQ_2021.xlsx]原始数据'!$B:$B,MATCH($A581,'[AQ_2021.xlsx]原始数据'!$A:$A,0)),""))</f>
        <v/>
      </c>
      <c r="D581">
        <f>IF($A581="","",IFERROR(INDEX('[AQ_2022.xlsx]原始数据'!$B:$B,MATCH($A581,'[AQ_2022.xlsx]原始数据'!$A:$A,0)),""))</f>
        <v/>
      </c>
      <c r="E581">
        <f>IF($A581="","",IFERROR(INDEX('[AQ_2023.xlsx]原始数据'!$B:$B,MATCH($A581,'[AQ_2023.xlsx]原始数据'!$A:$A,0)),""))</f>
        <v/>
      </c>
      <c r="F581">
        <f>IF($A581="","",IFERROR(INDEX('[AQ_2024.xlsx]原始数据'!$B:$B,MATCH($A581,'[AQ_2024.xlsx]原始数据'!$A:$A,0)),""))</f>
        <v/>
      </c>
      <c r="G581">
        <f>IF($A581="","",IFERROR(INDEX('[AQ_2020.xlsx]原始数据'!$C:$C,MATCH($A581,'[AQ_2020.xlsx]原始数据'!$A:$A,0)),""))</f>
        <v/>
      </c>
      <c r="H581">
        <f>IF($A581="","",IFERROR(INDEX('[AQ_2021.xlsx]原始数据'!$C:$C,MATCH($A581,'[AQ_2021.xlsx]原始数据'!$A:$A,0)),""))</f>
        <v/>
      </c>
      <c r="I581">
        <f>IF($A581="","",IFERROR(INDEX('[AQ_2022.xlsx]原始数据'!$C:$C,MATCH($A581,'[AQ_2022.xlsx]原始数据'!$A:$A,0)),""))</f>
        <v/>
      </c>
      <c r="J581">
        <f>IF($A581="","",IFERROR(INDEX('[AQ_2023.xlsx]原始数据'!$C:$C,MATCH($A581,'[AQ_2023.xlsx]原始数据'!$A:$A,0)),""))</f>
        <v/>
      </c>
      <c r="K581">
        <f>IF($A581="","",IFERROR(INDEX('[AQ_2024.xlsx]原始数据'!$C:$C,MATCH($A581,'[AQ_2024.xlsx]原始数据'!$A:$A,0)),""))</f>
        <v/>
      </c>
      <c r="L581">
        <f>IF($A581="","",IFERROR(INDEX('[AQ_2020.xlsx]原始数据'!$D:$D,MATCH($A581,'[AQ_2020.xlsx]原始数据'!$A:$A,0)),""))</f>
        <v/>
      </c>
      <c r="M581">
        <f>IF($A581="","",IFERROR(INDEX('[AQ_2021.xlsx]原始数据'!$D:$D,MATCH($A581,'[AQ_2021.xlsx]原始数据'!$A:$A,0)),""))</f>
        <v/>
      </c>
      <c r="N581">
        <f>IF($A581="","",IFERROR(INDEX('[AQ_2022.xlsx]原始数据'!$D:$D,MATCH($A581,'[AQ_2022.xlsx]原始数据'!$A:$A,0)),""))</f>
        <v/>
      </c>
      <c r="O581">
        <f>IF($A581="","",IFERROR(INDEX('[AQ_2023.xlsx]原始数据'!$D:$D,MATCH($A581,'[AQ_2023.xlsx]原始数据'!$A:$A,0)),""))</f>
        <v/>
      </c>
      <c r="P581">
        <f>IF($A581="","",IFERROR(INDEX('[AQ_2024.xlsx]原始数据'!$D:$D,MATCH($A581,'[AQ_2024.xlsx]原始数据'!$A:$A,0)),""))</f>
        <v/>
      </c>
      <c r="Q581">
        <f>IF($A581="","",IFERROR(INDEX('[AQ_2020.xlsx]原始数据'!$E:$E,MATCH($A581,'[AQ_2020.xlsx]原始数据'!$A:$A,0)),""))</f>
        <v/>
      </c>
      <c r="R581">
        <f>IF($A581="","",IFERROR(INDEX('[AQ_2021.xlsx]原始数据'!$E:$E,MATCH($A581,'[AQ_2021.xlsx]原始数据'!$A:$A,0)),""))</f>
        <v/>
      </c>
      <c r="S581">
        <f>IF($A581="","",IFERROR(INDEX('[AQ_2022.xlsx]原始数据'!$E:$E,MATCH($A581,'[AQ_2022.xlsx]原始数据'!$A:$A,0)),""))</f>
        <v/>
      </c>
      <c r="T581">
        <f>IF($A581="","",IFERROR(INDEX('[AQ_2023.xlsx]原始数据'!$E:$E,MATCH($A581,'[AQ_2023.xlsx]原始数据'!$A:$A,0)),""))</f>
        <v/>
      </c>
      <c r="U581">
        <f>IF($A581="","",IFERROR(INDEX('[AQ_2024.xlsx]原始数据'!$E:$E,MATCH($A581,'[AQ_2024.xlsx]原始数据'!$A:$A,0)),""))</f>
        <v/>
      </c>
      <c r="V581">
        <f>IF($A581="","",IFERROR(INDEX('[AQ_2020.xlsx]原始数据'!$F:$F,MATCH($A581,'[AQ_2020.xlsx]原始数据'!$A:$A,0)),""))</f>
        <v/>
      </c>
      <c r="W581">
        <f>IF($A581="","",IFERROR(INDEX('[AQ_2021.xlsx]原始数据'!$F:$F,MATCH($A581,'[AQ_2021.xlsx]原始数据'!$A:$A,0)),""))</f>
        <v/>
      </c>
      <c r="X581">
        <f>IF($A581="","",IFERROR(INDEX('[AQ_2022.xlsx]原始数据'!$F:$F,MATCH($A581,'[AQ_2022.xlsx]原始数据'!$A:$A,0)),""))</f>
        <v/>
      </c>
      <c r="Y581">
        <f>IF($A581="","",IFERROR(INDEX('[AQ_2023.xlsx]原始数据'!$F:$F,MATCH($A581,'[AQ_2023.xlsx]原始数据'!$A:$A,0)),""))</f>
        <v/>
      </c>
      <c r="Z581">
        <f>IF($A581="","",IFERROR(INDEX('[AQ_2024.xlsx]原始数据'!$F:$F,MATCH($A581,'[AQ_2024.xlsx]原始数据'!$A:$A,0)),""))</f>
        <v/>
      </c>
      <c r="AA581" s="2">
        <f>IFERROR(G581/B581,"")</f>
        <v/>
      </c>
      <c r="AB581" s="2">
        <f>IFERROR(H581/C581,"")</f>
        <v/>
      </c>
      <c r="AC581" s="2">
        <f>IFERROR(I581/D581,"")</f>
        <v/>
      </c>
      <c r="AD581" s="2">
        <f>IFERROR(J581/E581,"")</f>
        <v/>
      </c>
      <c r="AE581" s="2">
        <f>IFERROR(K581/F581,"")</f>
        <v/>
      </c>
      <c r="AF581" s="2">
        <f>IFERROR(L581/B581,"")</f>
        <v/>
      </c>
      <c r="AG581" s="2">
        <f>IFERROR(M581/C581,"")</f>
        <v/>
      </c>
      <c r="AH581" s="2">
        <f>IFERROR(N581/D581,"")</f>
        <v/>
      </c>
      <c r="AI581" s="2">
        <f>IFERROR(O581/E581,"")</f>
        <v/>
      </c>
      <c r="AJ581" s="2">
        <f>IFERROR(P581/F581,"")</f>
        <v/>
      </c>
      <c r="AK581" s="2">
        <f>IFERROR(Q581/B581,"")</f>
        <v/>
      </c>
      <c r="AL581" s="2">
        <f>IFERROR(R581/C581,"")</f>
        <v/>
      </c>
      <c r="AM581" s="2">
        <f>IFERROR(S581/D581,"")</f>
        <v/>
      </c>
      <c r="AN581" s="2">
        <f>IFERROR(T581/E581,"")</f>
        <v/>
      </c>
      <c r="AO581" s="2">
        <f>IFERROR(U581/F581,"")</f>
        <v/>
      </c>
    </row>
    <row r="582">
      <c r="B582">
        <f>IF($A582="","",IFERROR(INDEX('[AQ_2020.xlsx]原始数据'!$B:$B,MATCH($A582,'[AQ_2020.xlsx]原始数据'!$A:$A,0)),""))</f>
        <v/>
      </c>
      <c r="C582">
        <f>IF($A582="","",IFERROR(INDEX('[AQ_2021.xlsx]原始数据'!$B:$B,MATCH($A582,'[AQ_2021.xlsx]原始数据'!$A:$A,0)),""))</f>
        <v/>
      </c>
      <c r="D582">
        <f>IF($A582="","",IFERROR(INDEX('[AQ_2022.xlsx]原始数据'!$B:$B,MATCH($A582,'[AQ_2022.xlsx]原始数据'!$A:$A,0)),""))</f>
        <v/>
      </c>
      <c r="E582">
        <f>IF($A582="","",IFERROR(INDEX('[AQ_2023.xlsx]原始数据'!$B:$B,MATCH($A582,'[AQ_2023.xlsx]原始数据'!$A:$A,0)),""))</f>
        <v/>
      </c>
      <c r="F582">
        <f>IF($A582="","",IFERROR(INDEX('[AQ_2024.xlsx]原始数据'!$B:$B,MATCH($A582,'[AQ_2024.xlsx]原始数据'!$A:$A,0)),""))</f>
        <v/>
      </c>
      <c r="G582">
        <f>IF($A582="","",IFERROR(INDEX('[AQ_2020.xlsx]原始数据'!$C:$C,MATCH($A582,'[AQ_2020.xlsx]原始数据'!$A:$A,0)),""))</f>
        <v/>
      </c>
      <c r="H582">
        <f>IF($A582="","",IFERROR(INDEX('[AQ_2021.xlsx]原始数据'!$C:$C,MATCH($A582,'[AQ_2021.xlsx]原始数据'!$A:$A,0)),""))</f>
        <v/>
      </c>
      <c r="I582">
        <f>IF($A582="","",IFERROR(INDEX('[AQ_2022.xlsx]原始数据'!$C:$C,MATCH($A582,'[AQ_2022.xlsx]原始数据'!$A:$A,0)),""))</f>
        <v/>
      </c>
      <c r="J582">
        <f>IF($A582="","",IFERROR(INDEX('[AQ_2023.xlsx]原始数据'!$C:$C,MATCH($A582,'[AQ_2023.xlsx]原始数据'!$A:$A,0)),""))</f>
        <v/>
      </c>
      <c r="K582">
        <f>IF($A582="","",IFERROR(INDEX('[AQ_2024.xlsx]原始数据'!$C:$C,MATCH($A582,'[AQ_2024.xlsx]原始数据'!$A:$A,0)),""))</f>
        <v/>
      </c>
      <c r="L582">
        <f>IF($A582="","",IFERROR(INDEX('[AQ_2020.xlsx]原始数据'!$D:$D,MATCH($A582,'[AQ_2020.xlsx]原始数据'!$A:$A,0)),""))</f>
        <v/>
      </c>
      <c r="M582">
        <f>IF($A582="","",IFERROR(INDEX('[AQ_2021.xlsx]原始数据'!$D:$D,MATCH($A582,'[AQ_2021.xlsx]原始数据'!$A:$A,0)),""))</f>
        <v/>
      </c>
      <c r="N582">
        <f>IF($A582="","",IFERROR(INDEX('[AQ_2022.xlsx]原始数据'!$D:$D,MATCH($A582,'[AQ_2022.xlsx]原始数据'!$A:$A,0)),""))</f>
        <v/>
      </c>
      <c r="O582">
        <f>IF($A582="","",IFERROR(INDEX('[AQ_2023.xlsx]原始数据'!$D:$D,MATCH($A582,'[AQ_2023.xlsx]原始数据'!$A:$A,0)),""))</f>
        <v/>
      </c>
      <c r="P582">
        <f>IF($A582="","",IFERROR(INDEX('[AQ_2024.xlsx]原始数据'!$D:$D,MATCH($A582,'[AQ_2024.xlsx]原始数据'!$A:$A,0)),""))</f>
        <v/>
      </c>
      <c r="Q582">
        <f>IF($A582="","",IFERROR(INDEX('[AQ_2020.xlsx]原始数据'!$E:$E,MATCH($A582,'[AQ_2020.xlsx]原始数据'!$A:$A,0)),""))</f>
        <v/>
      </c>
      <c r="R582">
        <f>IF($A582="","",IFERROR(INDEX('[AQ_2021.xlsx]原始数据'!$E:$E,MATCH($A582,'[AQ_2021.xlsx]原始数据'!$A:$A,0)),""))</f>
        <v/>
      </c>
      <c r="S582">
        <f>IF($A582="","",IFERROR(INDEX('[AQ_2022.xlsx]原始数据'!$E:$E,MATCH($A582,'[AQ_2022.xlsx]原始数据'!$A:$A,0)),""))</f>
        <v/>
      </c>
      <c r="T582">
        <f>IF($A582="","",IFERROR(INDEX('[AQ_2023.xlsx]原始数据'!$E:$E,MATCH($A582,'[AQ_2023.xlsx]原始数据'!$A:$A,0)),""))</f>
        <v/>
      </c>
      <c r="U582">
        <f>IF($A582="","",IFERROR(INDEX('[AQ_2024.xlsx]原始数据'!$E:$E,MATCH($A582,'[AQ_2024.xlsx]原始数据'!$A:$A,0)),""))</f>
        <v/>
      </c>
      <c r="V582">
        <f>IF($A582="","",IFERROR(INDEX('[AQ_2020.xlsx]原始数据'!$F:$F,MATCH($A582,'[AQ_2020.xlsx]原始数据'!$A:$A,0)),""))</f>
        <v/>
      </c>
      <c r="W582">
        <f>IF($A582="","",IFERROR(INDEX('[AQ_2021.xlsx]原始数据'!$F:$F,MATCH($A582,'[AQ_2021.xlsx]原始数据'!$A:$A,0)),""))</f>
        <v/>
      </c>
      <c r="X582">
        <f>IF($A582="","",IFERROR(INDEX('[AQ_2022.xlsx]原始数据'!$F:$F,MATCH($A582,'[AQ_2022.xlsx]原始数据'!$A:$A,0)),""))</f>
        <v/>
      </c>
      <c r="Y582">
        <f>IF($A582="","",IFERROR(INDEX('[AQ_2023.xlsx]原始数据'!$F:$F,MATCH($A582,'[AQ_2023.xlsx]原始数据'!$A:$A,0)),""))</f>
        <v/>
      </c>
      <c r="Z582">
        <f>IF($A582="","",IFERROR(INDEX('[AQ_2024.xlsx]原始数据'!$F:$F,MATCH($A582,'[AQ_2024.xlsx]原始数据'!$A:$A,0)),""))</f>
        <v/>
      </c>
      <c r="AA582" s="2">
        <f>IFERROR(G582/B582,"")</f>
        <v/>
      </c>
      <c r="AB582" s="2">
        <f>IFERROR(H582/C582,"")</f>
        <v/>
      </c>
      <c r="AC582" s="2">
        <f>IFERROR(I582/D582,"")</f>
        <v/>
      </c>
      <c r="AD582" s="2">
        <f>IFERROR(J582/E582,"")</f>
        <v/>
      </c>
      <c r="AE582" s="2">
        <f>IFERROR(K582/F582,"")</f>
        <v/>
      </c>
      <c r="AF582" s="2">
        <f>IFERROR(L582/B582,"")</f>
        <v/>
      </c>
      <c r="AG582" s="2">
        <f>IFERROR(M582/C582,"")</f>
        <v/>
      </c>
      <c r="AH582" s="2">
        <f>IFERROR(N582/D582,"")</f>
        <v/>
      </c>
      <c r="AI582" s="2">
        <f>IFERROR(O582/E582,"")</f>
        <v/>
      </c>
      <c r="AJ582" s="2">
        <f>IFERROR(P582/F582,"")</f>
        <v/>
      </c>
      <c r="AK582" s="2">
        <f>IFERROR(Q582/B582,"")</f>
        <v/>
      </c>
      <c r="AL582" s="2">
        <f>IFERROR(R582/C582,"")</f>
        <v/>
      </c>
      <c r="AM582" s="2">
        <f>IFERROR(S582/D582,"")</f>
        <v/>
      </c>
      <c r="AN582" s="2">
        <f>IFERROR(T582/E582,"")</f>
        <v/>
      </c>
      <c r="AO582" s="2">
        <f>IFERROR(U582/F582,"")</f>
        <v/>
      </c>
    </row>
    <row r="583">
      <c r="B583">
        <f>IF($A583="","",IFERROR(INDEX('[AQ_2020.xlsx]原始数据'!$B:$B,MATCH($A583,'[AQ_2020.xlsx]原始数据'!$A:$A,0)),""))</f>
        <v/>
      </c>
      <c r="C583">
        <f>IF($A583="","",IFERROR(INDEX('[AQ_2021.xlsx]原始数据'!$B:$B,MATCH($A583,'[AQ_2021.xlsx]原始数据'!$A:$A,0)),""))</f>
        <v/>
      </c>
      <c r="D583">
        <f>IF($A583="","",IFERROR(INDEX('[AQ_2022.xlsx]原始数据'!$B:$B,MATCH($A583,'[AQ_2022.xlsx]原始数据'!$A:$A,0)),""))</f>
        <v/>
      </c>
      <c r="E583">
        <f>IF($A583="","",IFERROR(INDEX('[AQ_2023.xlsx]原始数据'!$B:$B,MATCH($A583,'[AQ_2023.xlsx]原始数据'!$A:$A,0)),""))</f>
        <v/>
      </c>
      <c r="F583">
        <f>IF($A583="","",IFERROR(INDEX('[AQ_2024.xlsx]原始数据'!$B:$B,MATCH($A583,'[AQ_2024.xlsx]原始数据'!$A:$A,0)),""))</f>
        <v/>
      </c>
      <c r="G583">
        <f>IF($A583="","",IFERROR(INDEX('[AQ_2020.xlsx]原始数据'!$C:$C,MATCH($A583,'[AQ_2020.xlsx]原始数据'!$A:$A,0)),""))</f>
        <v/>
      </c>
      <c r="H583">
        <f>IF($A583="","",IFERROR(INDEX('[AQ_2021.xlsx]原始数据'!$C:$C,MATCH($A583,'[AQ_2021.xlsx]原始数据'!$A:$A,0)),""))</f>
        <v/>
      </c>
      <c r="I583">
        <f>IF($A583="","",IFERROR(INDEX('[AQ_2022.xlsx]原始数据'!$C:$C,MATCH($A583,'[AQ_2022.xlsx]原始数据'!$A:$A,0)),""))</f>
        <v/>
      </c>
      <c r="J583">
        <f>IF($A583="","",IFERROR(INDEX('[AQ_2023.xlsx]原始数据'!$C:$C,MATCH($A583,'[AQ_2023.xlsx]原始数据'!$A:$A,0)),""))</f>
        <v/>
      </c>
      <c r="K583">
        <f>IF($A583="","",IFERROR(INDEX('[AQ_2024.xlsx]原始数据'!$C:$C,MATCH($A583,'[AQ_2024.xlsx]原始数据'!$A:$A,0)),""))</f>
        <v/>
      </c>
      <c r="L583">
        <f>IF($A583="","",IFERROR(INDEX('[AQ_2020.xlsx]原始数据'!$D:$D,MATCH($A583,'[AQ_2020.xlsx]原始数据'!$A:$A,0)),""))</f>
        <v/>
      </c>
      <c r="M583">
        <f>IF($A583="","",IFERROR(INDEX('[AQ_2021.xlsx]原始数据'!$D:$D,MATCH($A583,'[AQ_2021.xlsx]原始数据'!$A:$A,0)),""))</f>
        <v/>
      </c>
      <c r="N583">
        <f>IF($A583="","",IFERROR(INDEX('[AQ_2022.xlsx]原始数据'!$D:$D,MATCH($A583,'[AQ_2022.xlsx]原始数据'!$A:$A,0)),""))</f>
        <v/>
      </c>
      <c r="O583">
        <f>IF($A583="","",IFERROR(INDEX('[AQ_2023.xlsx]原始数据'!$D:$D,MATCH($A583,'[AQ_2023.xlsx]原始数据'!$A:$A,0)),""))</f>
        <v/>
      </c>
      <c r="P583">
        <f>IF($A583="","",IFERROR(INDEX('[AQ_2024.xlsx]原始数据'!$D:$D,MATCH($A583,'[AQ_2024.xlsx]原始数据'!$A:$A,0)),""))</f>
        <v/>
      </c>
      <c r="Q583">
        <f>IF($A583="","",IFERROR(INDEX('[AQ_2020.xlsx]原始数据'!$E:$E,MATCH($A583,'[AQ_2020.xlsx]原始数据'!$A:$A,0)),""))</f>
        <v/>
      </c>
      <c r="R583">
        <f>IF($A583="","",IFERROR(INDEX('[AQ_2021.xlsx]原始数据'!$E:$E,MATCH($A583,'[AQ_2021.xlsx]原始数据'!$A:$A,0)),""))</f>
        <v/>
      </c>
      <c r="S583">
        <f>IF($A583="","",IFERROR(INDEX('[AQ_2022.xlsx]原始数据'!$E:$E,MATCH($A583,'[AQ_2022.xlsx]原始数据'!$A:$A,0)),""))</f>
        <v/>
      </c>
      <c r="T583">
        <f>IF($A583="","",IFERROR(INDEX('[AQ_2023.xlsx]原始数据'!$E:$E,MATCH($A583,'[AQ_2023.xlsx]原始数据'!$A:$A,0)),""))</f>
        <v/>
      </c>
      <c r="U583">
        <f>IF($A583="","",IFERROR(INDEX('[AQ_2024.xlsx]原始数据'!$E:$E,MATCH($A583,'[AQ_2024.xlsx]原始数据'!$A:$A,0)),""))</f>
        <v/>
      </c>
      <c r="V583">
        <f>IF($A583="","",IFERROR(INDEX('[AQ_2020.xlsx]原始数据'!$F:$F,MATCH($A583,'[AQ_2020.xlsx]原始数据'!$A:$A,0)),""))</f>
        <v/>
      </c>
      <c r="W583">
        <f>IF($A583="","",IFERROR(INDEX('[AQ_2021.xlsx]原始数据'!$F:$F,MATCH($A583,'[AQ_2021.xlsx]原始数据'!$A:$A,0)),""))</f>
        <v/>
      </c>
      <c r="X583">
        <f>IF($A583="","",IFERROR(INDEX('[AQ_2022.xlsx]原始数据'!$F:$F,MATCH($A583,'[AQ_2022.xlsx]原始数据'!$A:$A,0)),""))</f>
        <v/>
      </c>
      <c r="Y583">
        <f>IF($A583="","",IFERROR(INDEX('[AQ_2023.xlsx]原始数据'!$F:$F,MATCH($A583,'[AQ_2023.xlsx]原始数据'!$A:$A,0)),""))</f>
        <v/>
      </c>
      <c r="Z583">
        <f>IF($A583="","",IFERROR(INDEX('[AQ_2024.xlsx]原始数据'!$F:$F,MATCH($A583,'[AQ_2024.xlsx]原始数据'!$A:$A,0)),""))</f>
        <v/>
      </c>
      <c r="AA583" s="2">
        <f>IFERROR(G583/B583,"")</f>
        <v/>
      </c>
      <c r="AB583" s="2">
        <f>IFERROR(H583/C583,"")</f>
        <v/>
      </c>
      <c r="AC583" s="2">
        <f>IFERROR(I583/D583,"")</f>
        <v/>
      </c>
      <c r="AD583" s="2">
        <f>IFERROR(J583/E583,"")</f>
        <v/>
      </c>
      <c r="AE583" s="2">
        <f>IFERROR(K583/F583,"")</f>
        <v/>
      </c>
      <c r="AF583" s="2">
        <f>IFERROR(L583/B583,"")</f>
        <v/>
      </c>
      <c r="AG583" s="2">
        <f>IFERROR(M583/C583,"")</f>
        <v/>
      </c>
      <c r="AH583" s="2">
        <f>IFERROR(N583/D583,"")</f>
        <v/>
      </c>
      <c r="AI583" s="2">
        <f>IFERROR(O583/E583,"")</f>
        <v/>
      </c>
      <c r="AJ583" s="2">
        <f>IFERROR(P583/F583,"")</f>
        <v/>
      </c>
      <c r="AK583" s="2">
        <f>IFERROR(Q583/B583,"")</f>
        <v/>
      </c>
      <c r="AL583" s="2">
        <f>IFERROR(R583/C583,"")</f>
        <v/>
      </c>
      <c r="AM583" s="2">
        <f>IFERROR(S583/D583,"")</f>
        <v/>
      </c>
      <c r="AN583" s="2">
        <f>IFERROR(T583/E583,"")</f>
        <v/>
      </c>
      <c r="AO583" s="2">
        <f>IFERROR(U583/F583,"")</f>
        <v/>
      </c>
    </row>
    <row r="584">
      <c r="B584">
        <f>IF($A584="","",IFERROR(INDEX('[AQ_2020.xlsx]原始数据'!$B:$B,MATCH($A584,'[AQ_2020.xlsx]原始数据'!$A:$A,0)),""))</f>
        <v/>
      </c>
      <c r="C584">
        <f>IF($A584="","",IFERROR(INDEX('[AQ_2021.xlsx]原始数据'!$B:$B,MATCH($A584,'[AQ_2021.xlsx]原始数据'!$A:$A,0)),""))</f>
        <v/>
      </c>
      <c r="D584">
        <f>IF($A584="","",IFERROR(INDEX('[AQ_2022.xlsx]原始数据'!$B:$B,MATCH($A584,'[AQ_2022.xlsx]原始数据'!$A:$A,0)),""))</f>
        <v/>
      </c>
      <c r="E584">
        <f>IF($A584="","",IFERROR(INDEX('[AQ_2023.xlsx]原始数据'!$B:$B,MATCH($A584,'[AQ_2023.xlsx]原始数据'!$A:$A,0)),""))</f>
        <v/>
      </c>
      <c r="F584">
        <f>IF($A584="","",IFERROR(INDEX('[AQ_2024.xlsx]原始数据'!$B:$B,MATCH($A584,'[AQ_2024.xlsx]原始数据'!$A:$A,0)),""))</f>
        <v/>
      </c>
      <c r="G584">
        <f>IF($A584="","",IFERROR(INDEX('[AQ_2020.xlsx]原始数据'!$C:$C,MATCH($A584,'[AQ_2020.xlsx]原始数据'!$A:$A,0)),""))</f>
        <v/>
      </c>
      <c r="H584">
        <f>IF($A584="","",IFERROR(INDEX('[AQ_2021.xlsx]原始数据'!$C:$C,MATCH($A584,'[AQ_2021.xlsx]原始数据'!$A:$A,0)),""))</f>
        <v/>
      </c>
      <c r="I584">
        <f>IF($A584="","",IFERROR(INDEX('[AQ_2022.xlsx]原始数据'!$C:$C,MATCH($A584,'[AQ_2022.xlsx]原始数据'!$A:$A,0)),""))</f>
        <v/>
      </c>
      <c r="J584">
        <f>IF($A584="","",IFERROR(INDEX('[AQ_2023.xlsx]原始数据'!$C:$C,MATCH($A584,'[AQ_2023.xlsx]原始数据'!$A:$A,0)),""))</f>
        <v/>
      </c>
      <c r="K584">
        <f>IF($A584="","",IFERROR(INDEX('[AQ_2024.xlsx]原始数据'!$C:$C,MATCH($A584,'[AQ_2024.xlsx]原始数据'!$A:$A,0)),""))</f>
        <v/>
      </c>
      <c r="L584">
        <f>IF($A584="","",IFERROR(INDEX('[AQ_2020.xlsx]原始数据'!$D:$D,MATCH($A584,'[AQ_2020.xlsx]原始数据'!$A:$A,0)),""))</f>
        <v/>
      </c>
      <c r="M584">
        <f>IF($A584="","",IFERROR(INDEX('[AQ_2021.xlsx]原始数据'!$D:$D,MATCH($A584,'[AQ_2021.xlsx]原始数据'!$A:$A,0)),""))</f>
        <v/>
      </c>
      <c r="N584">
        <f>IF($A584="","",IFERROR(INDEX('[AQ_2022.xlsx]原始数据'!$D:$D,MATCH($A584,'[AQ_2022.xlsx]原始数据'!$A:$A,0)),""))</f>
        <v/>
      </c>
      <c r="O584">
        <f>IF($A584="","",IFERROR(INDEX('[AQ_2023.xlsx]原始数据'!$D:$D,MATCH($A584,'[AQ_2023.xlsx]原始数据'!$A:$A,0)),""))</f>
        <v/>
      </c>
      <c r="P584">
        <f>IF($A584="","",IFERROR(INDEX('[AQ_2024.xlsx]原始数据'!$D:$D,MATCH($A584,'[AQ_2024.xlsx]原始数据'!$A:$A,0)),""))</f>
        <v/>
      </c>
      <c r="Q584">
        <f>IF($A584="","",IFERROR(INDEX('[AQ_2020.xlsx]原始数据'!$E:$E,MATCH($A584,'[AQ_2020.xlsx]原始数据'!$A:$A,0)),""))</f>
        <v/>
      </c>
      <c r="R584">
        <f>IF($A584="","",IFERROR(INDEX('[AQ_2021.xlsx]原始数据'!$E:$E,MATCH($A584,'[AQ_2021.xlsx]原始数据'!$A:$A,0)),""))</f>
        <v/>
      </c>
      <c r="S584">
        <f>IF($A584="","",IFERROR(INDEX('[AQ_2022.xlsx]原始数据'!$E:$E,MATCH($A584,'[AQ_2022.xlsx]原始数据'!$A:$A,0)),""))</f>
        <v/>
      </c>
      <c r="T584">
        <f>IF($A584="","",IFERROR(INDEX('[AQ_2023.xlsx]原始数据'!$E:$E,MATCH($A584,'[AQ_2023.xlsx]原始数据'!$A:$A,0)),""))</f>
        <v/>
      </c>
      <c r="U584">
        <f>IF($A584="","",IFERROR(INDEX('[AQ_2024.xlsx]原始数据'!$E:$E,MATCH($A584,'[AQ_2024.xlsx]原始数据'!$A:$A,0)),""))</f>
        <v/>
      </c>
      <c r="V584">
        <f>IF($A584="","",IFERROR(INDEX('[AQ_2020.xlsx]原始数据'!$F:$F,MATCH($A584,'[AQ_2020.xlsx]原始数据'!$A:$A,0)),""))</f>
        <v/>
      </c>
      <c r="W584">
        <f>IF($A584="","",IFERROR(INDEX('[AQ_2021.xlsx]原始数据'!$F:$F,MATCH($A584,'[AQ_2021.xlsx]原始数据'!$A:$A,0)),""))</f>
        <v/>
      </c>
      <c r="X584">
        <f>IF($A584="","",IFERROR(INDEX('[AQ_2022.xlsx]原始数据'!$F:$F,MATCH($A584,'[AQ_2022.xlsx]原始数据'!$A:$A,0)),""))</f>
        <v/>
      </c>
      <c r="Y584">
        <f>IF($A584="","",IFERROR(INDEX('[AQ_2023.xlsx]原始数据'!$F:$F,MATCH($A584,'[AQ_2023.xlsx]原始数据'!$A:$A,0)),""))</f>
        <v/>
      </c>
      <c r="Z584">
        <f>IF($A584="","",IFERROR(INDEX('[AQ_2024.xlsx]原始数据'!$F:$F,MATCH($A584,'[AQ_2024.xlsx]原始数据'!$A:$A,0)),""))</f>
        <v/>
      </c>
      <c r="AA584" s="2">
        <f>IFERROR(G584/B584,"")</f>
        <v/>
      </c>
      <c r="AB584" s="2">
        <f>IFERROR(H584/C584,"")</f>
        <v/>
      </c>
      <c r="AC584" s="2">
        <f>IFERROR(I584/D584,"")</f>
        <v/>
      </c>
      <c r="AD584" s="2">
        <f>IFERROR(J584/E584,"")</f>
        <v/>
      </c>
      <c r="AE584" s="2">
        <f>IFERROR(K584/F584,"")</f>
        <v/>
      </c>
      <c r="AF584" s="2">
        <f>IFERROR(L584/B584,"")</f>
        <v/>
      </c>
      <c r="AG584" s="2">
        <f>IFERROR(M584/C584,"")</f>
        <v/>
      </c>
      <c r="AH584" s="2">
        <f>IFERROR(N584/D584,"")</f>
        <v/>
      </c>
      <c r="AI584" s="2">
        <f>IFERROR(O584/E584,"")</f>
        <v/>
      </c>
      <c r="AJ584" s="2">
        <f>IFERROR(P584/F584,"")</f>
        <v/>
      </c>
      <c r="AK584" s="2">
        <f>IFERROR(Q584/B584,"")</f>
        <v/>
      </c>
      <c r="AL584" s="2">
        <f>IFERROR(R584/C584,"")</f>
        <v/>
      </c>
      <c r="AM584" s="2">
        <f>IFERROR(S584/D584,"")</f>
        <v/>
      </c>
      <c r="AN584" s="2">
        <f>IFERROR(T584/E584,"")</f>
        <v/>
      </c>
      <c r="AO584" s="2">
        <f>IFERROR(U584/F584,"")</f>
        <v/>
      </c>
    </row>
    <row r="585">
      <c r="B585">
        <f>IF($A585="","",IFERROR(INDEX('[AQ_2020.xlsx]原始数据'!$B:$B,MATCH($A585,'[AQ_2020.xlsx]原始数据'!$A:$A,0)),""))</f>
        <v/>
      </c>
      <c r="C585">
        <f>IF($A585="","",IFERROR(INDEX('[AQ_2021.xlsx]原始数据'!$B:$B,MATCH($A585,'[AQ_2021.xlsx]原始数据'!$A:$A,0)),""))</f>
        <v/>
      </c>
      <c r="D585">
        <f>IF($A585="","",IFERROR(INDEX('[AQ_2022.xlsx]原始数据'!$B:$B,MATCH($A585,'[AQ_2022.xlsx]原始数据'!$A:$A,0)),""))</f>
        <v/>
      </c>
      <c r="E585">
        <f>IF($A585="","",IFERROR(INDEX('[AQ_2023.xlsx]原始数据'!$B:$B,MATCH($A585,'[AQ_2023.xlsx]原始数据'!$A:$A,0)),""))</f>
        <v/>
      </c>
      <c r="F585">
        <f>IF($A585="","",IFERROR(INDEX('[AQ_2024.xlsx]原始数据'!$B:$B,MATCH($A585,'[AQ_2024.xlsx]原始数据'!$A:$A,0)),""))</f>
        <v/>
      </c>
      <c r="G585">
        <f>IF($A585="","",IFERROR(INDEX('[AQ_2020.xlsx]原始数据'!$C:$C,MATCH($A585,'[AQ_2020.xlsx]原始数据'!$A:$A,0)),""))</f>
        <v/>
      </c>
      <c r="H585">
        <f>IF($A585="","",IFERROR(INDEX('[AQ_2021.xlsx]原始数据'!$C:$C,MATCH($A585,'[AQ_2021.xlsx]原始数据'!$A:$A,0)),""))</f>
        <v/>
      </c>
      <c r="I585">
        <f>IF($A585="","",IFERROR(INDEX('[AQ_2022.xlsx]原始数据'!$C:$C,MATCH($A585,'[AQ_2022.xlsx]原始数据'!$A:$A,0)),""))</f>
        <v/>
      </c>
      <c r="J585">
        <f>IF($A585="","",IFERROR(INDEX('[AQ_2023.xlsx]原始数据'!$C:$C,MATCH($A585,'[AQ_2023.xlsx]原始数据'!$A:$A,0)),""))</f>
        <v/>
      </c>
      <c r="K585">
        <f>IF($A585="","",IFERROR(INDEX('[AQ_2024.xlsx]原始数据'!$C:$C,MATCH($A585,'[AQ_2024.xlsx]原始数据'!$A:$A,0)),""))</f>
        <v/>
      </c>
      <c r="L585">
        <f>IF($A585="","",IFERROR(INDEX('[AQ_2020.xlsx]原始数据'!$D:$D,MATCH($A585,'[AQ_2020.xlsx]原始数据'!$A:$A,0)),""))</f>
        <v/>
      </c>
      <c r="M585">
        <f>IF($A585="","",IFERROR(INDEX('[AQ_2021.xlsx]原始数据'!$D:$D,MATCH($A585,'[AQ_2021.xlsx]原始数据'!$A:$A,0)),""))</f>
        <v/>
      </c>
      <c r="N585">
        <f>IF($A585="","",IFERROR(INDEX('[AQ_2022.xlsx]原始数据'!$D:$D,MATCH($A585,'[AQ_2022.xlsx]原始数据'!$A:$A,0)),""))</f>
        <v/>
      </c>
      <c r="O585">
        <f>IF($A585="","",IFERROR(INDEX('[AQ_2023.xlsx]原始数据'!$D:$D,MATCH($A585,'[AQ_2023.xlsx]原始数据'!$A:$A,0)),""))</f>
        <v/>
      </c>
      <c r="P585">
        <f>IF($A585="","",IFERROR(INDEX('[AQ_2024.xlsx]原始数据'!$D:$D,MATCH($A585,'[AQ_2024.xlsx]原始数据'!$A:$A,0)),""))</f>
        <v/>
      </c>
      <c r="Q585">
        <f>IF($A585="","",IFERROR(INDEX('[AQ_2020.xlsx]原始数据'!$E:$E,MATCH($A585,'[AQ_2020.xlsx]原始数据'!$A:$A,0)),""))</f>
        <v/>
      </c>
      <c r="R585">
        <f>IF($A585="","",IFERROR(INDEX('[AQ_2021.xlsx]原始数据'!$E:$E,MATCH($A585,'[AQ_2021.xlsx]原始数据'!$A:$A,0)),""))</f>
        <v/>
      </c>
      <c r="S585">
        <f>IF($A585="","",IFERROR(INDEX('[AQ_2022.xlsx]原始数据'!$E:$E,MATCH($A585,'[AQ_2022.xlsx]原始数据'!$A:$A,0)),""))</f>
        <v/>
      </c>
      <c r="T585">
        <f>IF($A585="","",IFERROR(INDEX('[AQ_2023.xlsx]原始数据'!$E:$E,MATCH($A585,'[AQ_2023.xlsx]原始数据'!$A:$A,0)),""))</f>
        <v/>
      </c>
      <c r="U585">
        <f>IF($A585="","",IFERROR(INDEX('[AQ_2024.xlsx]原始数据'!$E:$E,MATCH($A585,'[AQ_2024.xlsx]原始数据'!$A:$A,0)),""))</f>
        <v/>
      </c>
      <c r="V585">
        <f>IF($A585="","",IFERROR(INDEX('[AQ_2020.xlsx]原始数据'!$F:$F,MATCH($A585,'[AQ_2020.xlsx]原始数据'!$A:$A,0)),""))</f>
        <v/>
      </c>
      <c r="W585">
        <f>IF($A585="","",IFERROR(INDEX('[AQ_2021.xlsx]原始数据'!$F:$F,MATCH($A585,'[AQ_2021.xlsx]原始数据'!$A:$A,0)),""))</f>
        <v/>
      </c>
      <c r="X585">
        <f>IF($A585="","",IFERROR(INDEX('[AQ_2022.xlsx]原始数据'!$F:$F,MATCH($A585,'[AQ_2022.xlsx]原始数据'!$A:$A,0)),""))</f>
        <v/>
      </c>
      <c r="Y585">
        <f>IF($A585="","",IFERROR(INDEX('[AQ_2023.xlsx]原始数据'!$F:$F,MATCH($A585,'[AQ_2023.xlsx]原始数据'!$A:$A,0)),""))</f>
        <v/>
      </c>
      <c r="Z585">
        <f>IF($A585="","",IFERROR(INDEX('[AQ_2024.xlsx]原始数据'!$F:$F,MATCH($A585,'[AQ_2024.xlsx]原始数据'!$A:$A,0)),""))</f>
        <v/>
      </c>
      <c r="AA585" s="2">
        <f>IFERROR(G585/B585,"")</f>
        <v/>
      </c>
      <c r="AB585" s="2">
        <f>IFERROR(H585/C585,"")</f>
        <v/>
      </c>
      <c r="AC585" s="2">
        <f>IFERROR(I585/D585,"")</f>
        <v/>
      </c>
      <c r="AD585" s="2">
        <f>IFERROR(J585/E585,"")</f>
        <v/>
      </c>
      <c r="AE585" s="2">
        <f>IFERROR(K585/F585,"")</f>
        <v/>
      </c>
      <c r="AF585" s="2">
        <f>IFERROR(L585/B585,"")</f>
        <v/>
      </c>
      <c r="AG585" s="2">
        <f>IFERROR(M585/C585,"")</f>
        <v/>
      </c>
      <c r="AH585" s="2">
        <f>IFERROR(N585/D585,"")</f>
        <v/>
      </c>
      <c r="AI585" s="2">
        <f>IFERROR(O585/E585,"")</f>
        <v/>
      </c>
      <c r="AJ585" s="2">
        <f>IFERROR(P585/F585,"")</f>
        <v/>
      </c>
      <c r="AK585" s="2">
        <f>IFERROR(Q585/B585,"")</f>
        <v/>
      </c>
      <c r="AL585" s="2">
        <f>IFERROR(R585/C585,"")</f>
        <v/>
      </c>
      <c r="AM585" s="2">
        <f>IFERROR(S585/D585,"")</f>
        <v/>
      </c>
      <c r="AN585" s="2">
        <f>IFERROR(T585/E585,"")</f>
        <v/>
      </c>
      <c r="AO585" s="2">
        <f>IFERROR(U585/F585,"")</f>
        <v/>
      </c>
    </row>
    <row r="586">
      <c r="B586">
        <f>IF($A586="","",IFERROR(INDEX('[AQ_2020.xlsx]原始数据'!$B:$B,MATCH($A586,'[AQ_2020.xlsx]原始数据'!$A:$A,0)),""))</f>
        <v/>
      </c>
      <c r="C586">
        <f>IF($A586="","",IFERROR(INDEX('[AQ_2021.xlsx]原始数据'!$B:$B,MATCH($A586,'[AQ_2021.xlsx]原始数据'!$A:$A,0)),""))</f>
        <v/>
      </c>
      <c r="D586">
        <f>IF($A586="","",IFERROR(INDEX('[AQ_2022.xlsx]原始数据'!$B:$B,MATCH($A586,'[AQ_2022.xlsx]原始数据'!$A:$A,0)),""))</f>
        <v/>
      </c>
      <c r="E586">
        <f>IF($A586="","",IFERROR(INDEX('[AQ_2023.xlsx]原始数据'!$B:$B,MATCH($A586,'[AQ_2023.xlsx]原始数据'!$A:$A,0)),""))</f>
        <v/>
      </c>
      <c r="F586">
        <f>IF($A586="","",IFERROR(INDEX('[AQ_2024.xlsx]原始数据'!$B:$B,MATCH($A586,'[AQ_2024.xlsx]原始数据'!$A:$A,0)),""))</f>
        <v/>
      </c>
      <c r="G586">
        <f>IF($A586="","",IFERROR(INDEX('[AQ_2020.xlsx]原始数据'!$C:$C,MATCH($A586,'[AQ_2020.xlsx]原始数据'!$A:$A,0)),""))</f>
        <v/>
      </c>
      <c r="H586">
        <f>IF($A586="","",IFERROR(INDEX('[AQ_2021.xlsx]原始数据'!$C:$C,MATCH($A586,'[AQ_2021.xlsx]原始数据'!$A:$A,0)),""))</f>
        <v/>
      </c>
      <c r="I586">
        <f>IF($A586="","",IFERROR(INDEX('[AQ_2022.xlsx]原始数据'!$C:$C,MATCH($A586,'[AQ_2022.xlsx]原始数据'!$A:$A,0)),""))</f>
        <v/>
      </c>
      <c r="J586">
        <f>IF($A586="","",IFERROR(INDEX('[AQ_2023.xlsx]原始数据'!$C:$C,MATCH($A586,'[AQ_2023.xlsx]原始数据'!$A:$A,0)),""))</f>
        <v/>
      </c>
      <c r="K586">
        <f>IF($A586="","",IFERROR(INDEX('[AQ_2024.xlsx]原始数据'!$C:$C,MATCH($A586,'[AQ_2024.xlsx]原始数据'!$A:$A,0)),""))</f>
        <v/>
      </c>
      <c r="L586">
        <f>IF($A586="","",IFERROR(INDEX('[AQ_2020.xlsx]原始数据'!$D:$D,MATCH($A586,'[AQ_2020.xlsx]原始数据'!$A:$A,0)),""))</f>
        <v/>
      </c>
      <c r="M586">
        <f>IF($A586="","",IFERROR(INDEX('[AQ_2021.xlsx]原始数据'!$D:$D,MATCH($A586,'[AQ_2021.xlsx]原始数据'!$A:$A,0)),""))</f>
        <v/>
      </c>
      <c r="N586">
        <f>IF($A586="","",IFERROR(INDEX('[AQ_2022.xlsx]原始数据'!$D:$D,MATCH($A586,'[AQ_2022.xlsx]原始数据'!$A:$A,0)),""))</f>
        <v/>
      </c>
      <c r="O586">
        <f>IF($A586="","",IFERROR(INDEX('[AQ_2023.xlsx]原始数据'!$D:$D,MATCH($A586,'[AQ_2023.xlsx]原始数据'!$A:$A,0)),""))</f>
        <v/>
      </c>
      <c r="P586">
        <f>IF($A586="","",IFERROR(INDEX('[AQ_2024.xlsx]原始数据'!$D:$D,MATCH($A586,'[AQ_2024.xlsx]原始数据'!$A:$A,0)),""))</f>
        <v/>
      </c>
      <c r="Q586">
        <f>IF($A586="","",IFERROR(INDEX('[AQ_2020.xlsx]原始数据'!$E:$E,MATCH($A586,'[AQ_2020.xlsx]原始数据'!$A:$A,0)),""))</f>
        <v/>
      </c>
      <c r="R586">
        <f>IF($A586="","",IFERROR(INDEX('[AQ_2021.xlsx]原始数据'!$E:$E,MATCH($A586,'[AQ_2021.xlsx]原始数据'!$A:$A,0)),""))</f>
        <v/>
      </c>
      <c r="S586">
        <f>IF($A586="","",IFERROR(INDEX('[AQ_2022.xlsx]原始数据'!$E:$E,MATCH($A586,'[AQ_2022.xlsx]原始数据'!$A:$A,0)),""))</f>
        <v/>
      </c>
      <c r="T586">
        <f>IF($A586="","",IFERROR(INDEX('[AQ_2023.xlsx]原始数据'!$E:$E,MATCH($A586,'[AQ_2023.xlsx]原始数据'!$A:$A,0)),""))</f>
        <v/>
      </c>
      <c r="U586">
        <f>IF($A586="","",IFERROR(INDEX('[AQ_2024.xlsx]原始数据'!$E:$E,MATCH($A586,'[AQ_2024.xlsx]原始数据'!$A:$A,0)),""))</f>
        <v/>
      </c>
      <c r="V586">
        <f>IF($A586="","",IFERROR(INDEX('[AQ_2020.xlsx]原始数据'!$F:$F,MATCH($A586,'[AQ_2020.xlsx]原始数据'!$A:$A,0)),""))</f>
        <v/>
      </c>
      <c r="W586">
        <f>IF($A586="","",IFERROR(INDEX('[AQ_2021.xlsx]原始数据'!$F:$F,MATCH($A586,'[AQ_2021.xlsx]原始数据'!$A:$A,0)),""))</f>
        <v/>
      </c>
      <c r="X586">
        <f>IF($A586="","",IFERROR(INDEX('[AQ_2022.xlsx]原始数据'!$F:$F,MATCH($A586,'[AQ_2022.xlsx]原始数据'!$A:$A,0)),""))</f>
        <v/>
      </c>
      <c r="Y586">
        <f>IF($A586="","",IFERROR(INDEX('[AQ_2023.xlsx]原始数据'!$F:$F,MATCH($A586,'[AQ_2023.xlsx]原始数据'!$A:$A,0)),""))</f>
        <v/>
      </c>
      <c r="Z586">
        <f>IF($A586="","",IFERROR(INDEX('[AQ_2024.xlsx]原始数据'!$F:$F,MATCH($A586,'[AQ_2024.xlsx]原始数据'!$A:$A,0)),""))</f>
        <v/>
      </c>
      <c r="AA586" s="2">
        <f>IFERROR(G586/B586,"")</f>
        <v/>
      </c>
      <c r="AB586" s="2">
        <f>IFERROR(H586/C586,"")</f>
        <v/>
      </c>
      <c r="AC586" s="2">
        <f>IFERROR(I586/D586,"")</f>
        <v/>
      </c>
      <c r="AD586" s="2">
        <f>IFERROR(J586/E586,"")</f>
        <v/>
      </c>
      <c r="AE586" s="2">
        <f>IFERROR(K586/F586,"")</f>
        <v/>
      </c>
      <c r="AF586" s="2">
        <f>IFERROR(L586/B586,"")</f>
        <v/>
      </c>
      <c r="AG586" s="2">
        <f>IFERROR(M586/C586,"")</f>
        <v/>
      </c>
      <c r="AH586" s="2">
        <f>IFERROR(N586/D586,"")</f>
        <v/>
      </c>
      <c r="AI586" s="2">
        <f>IFERROR(O586/E586,"")</f>
        <v/>
      </c>
      <c r="AJ586" s="2">
        <f>IFERROR(P586/F586,"")</f>
        <v/>
      </c>
      <c r="AK586" s="2">
        <f>IFERROR(Q586/B586,"")</f>
        <v/>
      </c>
      <c r="AL586" s="2">
        <f>IFERROR(R586/C586,"")</f>
        <v/>
      </c>
      <c r="AM586" s="2">
        <f>IFERROR(S586/D586,"")</f>
        <v/>
      </c>
      <c r="AN586" s="2">
        <f>IFERROR(T586/E586,"")</f>
        <v/>
      </c>
      <c r="AO586" s="2">
        <f>IFERROR(U586/F586,"")</f>
        <v/>
      </c>
    </row>
    <row r="587">
      <c r="B587">
        <f>IF($A587="","",IFERROR(INDEX('[AQ_2020.xlsx]原始数据'!$B:$B,MATCH($A587,'[AQ_2020.xlsx]原始数据'!$A:$A,0)),""))</f>
        <v/>
      </c>
      <c r="C587">
        <f>IF($A587="","",IFERROR(INDEX('[AQ_2021.xlsx]原始数据'!$B:$B,MATCH($A587,'[AQ_2021.xlsx]原始数据'!$A:$A,0)),""))</f>
        <v/>
      </c>
      <c r="D587">
        <f>IF($A587="","",IFERROR(INDEX('[AQ_2022.xlsx]原始数据'!$B:$B,MATCH($A587,'[AQ_2022.xlsx]原始数据'!$A:$A,0)),""))</f>
        <v/>
      </c>
      <c r="E587">
        <f>IF($A587="","",IFERROR(INDEX('[AQ_2023.xlsx]原始数据'!$B:$B,MATCH($A587,'[AQ_2023.xlsx]原始数据'!$A:$A,0)),""))</f>
        <v/>
      </c>
      <c r="F587">
        <f>IF($A587="","",IFERROR(INDEX('[AQ_2024.xlsx]原始数据'!$B:$B,MATCH($A587,'[AQ_2024.xlsx]原始数据'!$A:$A,0)),""))</f>
        <v/>
      </c>
      <c r="G587">
        <f>IF($A587="","",IFERROR(INDEX('[AQ_2020.xlsx]原始数据'!$C:$C,MATCH($A587,'[AQ_2020.xlsx]原始数据'!$A:$A,0)),""))</f>
        <v/>
      </c>
      <c r="H587">
        <f>IF($A587="","",IFERROR(INDEX('[AQ_2021.xlsx]原始数据'!$C:$C,MATCH($A587,'[AQ_2021.xlsx]原始数据'!$A:$A,0)),""))</f>
        <v/>
      </c>
      <c r="I587">
        <f>IF($A587="","",IFERROR(INDEX('[AQ_2022.xlsx]原始数据'!$C:$C,MATCH($A587,'[AQ_2022.xlsx]原始数据'!$A:$A,0)),""))</f>
        <v/>
      </c>
      <c r="J587">
        <f>IF($A587="","",IFERROR(INDEX('[AQ_2023.xlsx]原始数据'!$C:$C,MATCH($A587,'[AQ_2023.xlsx]原始数据'!$A:$A,0)),""))</f>
        <v/>
      </c>
      <c r="K587">
        <f>IF($A587="","",IFERROR(INDEX('[AQ_2024.xlsx]原始数据'!$C:$C,MATCH($A587,'[AQ_2024.xlsx]原始数据'!$A:$A,0)),""))</f>
        <v/>
      </c>
      <c r="L587">
        <f>IF($A587="","",IFERROR(INDEX('[AQ_2020.xlsx]原始数据'!$D:$D,MATCH($A587,'[AQ_2020.xlsx]原始数据'!$A:$A,0)),""))</f>
        <v/>
      </c>
      <c r="M587">
        <f>IF($A587="","",IFERROR(INDEX('[AQ_2021.xlsx]原始数据'!$D:$D,MATCH($A587,'[AQ_2021.xlsx]原始数据'!$A:$A,0)),""))</f>
        <v/>
      </c>
      <c r="N587">
        <f>IF($A587="","",IFERROR(INDEX('[AQ_2022.xlsx]原始数据'!$D:$D,MATCH($A587,'[AQ_2022.xlsx]原始数据'!$A:$A,0)),""))</f>
        <v/>
      </c>
      <c r="O587">
        <f>IF($A587="","",IFERROR(INDEX('[AQ_2023.xlsx]原始数据'!$D:$D,MATCH($A587,'[AQ_2023.xlsx]原始数据'!$A:$A,0)),""))</f>
        <v/>
      </c>
      <c r="P587">
        <f>IF($A587="","",IFERROR(INDEX('[AQ_2024.xlsx]原始数据'!$D:$D,MATCH($A587,'[AQ_2024.xlsx]原始数据'!$A:$A,0)),""))</f>
        <v/>
      </c>
      <c r="Q587">
        <f>IF($A587="","",IFERROR(INDEX('[AQ_2020.xlsx]原始数据'!$E:$E,MATCH($A587,'[AQ_2020.xlsx]原始数据'!$A:$A,0)),""))</f>
        <v/>
      </c>
      <c r="R587">
        <f>IF($A587="","",IFERROR(INDEX('[AQ_2021.xlsx]原始数据'!$E:$E,MATCH($A587,'[AQ_2021.xlsx]原始数据'!$A:$A,0)),""))</f>
        <v/>
      </c>
      <c r="S587">
        <f>IF($A587="","",IFERROR(INDEX('[AQ_2022.xlsx]原始数据'!$E:$E,MATCH($A587,'[AQ_2022.xlsx]原始数据'!$A:$A,0)),""))</f>
        <v/>
      </c>
      <c r="T587">
        <f>IF($A587="","",IFERROR(INDEX('[AQ_2023.xlsx]原始数据'!$E:$E,MATCH($A587,'[AQ_2023.xlsx]原始数据'!$A:$A,0)),""))</f>
        <v/>
      </c>
      <c r="U587">
        <f>IF($A587="","",IFERROR(INDEX('[AQ_2024.xlsx]原始数据'!$E:$E,MATCH($A587,'[AQ_2024.xlsx]原始数据'!$A:$A,0)),""))</f>
        <v/>
      </c>
      <c r="V587">
        <f>IF($A587="","",IFERROR(INDEX('[AQ_2020.xlsx]原始数据'!$F:$F,MATCH($A587,'[AQ_2020.xlsx]原始数据'!$A:$A,0)),""))</f>
        <v/>
      </c>
      <c r="W587">
        <f>IF($A587="","",IFERROR(INDEX('[AQ_2021.xlsx]原始数据'!$F:$F,MATCH($A587,'[AQ_2021.xlsx]原始数据'!$A:$A,0)),""))</f>
        <v/>
      </c>
      <c r="X587">
        <f>IF($A587="","",IFERROR(INDEX('[AQ_2022.xlsx]原始数据'!$F:$F,MATCH($A587,'[AQ_2022.xlsx]原始数据'!$A:$A,0)),""))</f>
        <v/>
      </c>
      <c r="Y587">
        <f>IF($A587="","",IFERROR(INDEX('[AQ_2023.xlsx]原始数据'!$F:$F,MATCH($A587,'[AQ_2023.xlsx]原始数据'!$A:$A,0)),""))</f>
        <v/>
      </c>
      <c r="Z587">
        <f>IF($A587="","",IFERROR(INDEX('[AQ_2024.xlsx]原始数据'!$F:$F,MATCH($A587,'[AQ_2024.xlsx]原始数据'!$A:$A,0)),""))</f>
        <v/>
      </c>
      <c r="AA587" s="2">
        <f>IFERROR(G587/B587,"")</f>
        <v/>
      </c>
      <c r="AB587" s="2">
        <f>IFERROR(H587/C587,"")</f>
        <v/>
      </c>
      <c r="AC587" s="2">
        <f>IFERROR(I587/D587,"")</f>
        <v/>
      </c>
      <c r="AD587" s="2">
        <f>IFERROR(J587/E587,"")</f>
        <v/>
      </c>
      <c r="AE587" s="2">
        <f>IFERROR(K587/F587,"")</f>
        <v/>
      </c>
      <c r="AF587" s="2">
        <f>IFERROR(L587/B587,"")</f>
        <v/>
      </c>
      <c r="AG587" s="2">
        <f>IFERROR(M587/C587,"")</f>
        <v/>
      </c>
      <c r="AH587" s="2">
        <f>IFERROR(N587/D587,"")</f>
        <v/>
      </c>
      <c r="AI587" s="2">
        <f>IFERROR(O587/E587,"")</f>
        <v/>
      </c>
      <c r="AJ587" s="2">
        <f>IFERROR(P587/F587,"")</f>
        <v/>
      </c>
      <c r="AK587" s="2">
        <f>IFERROR(Q587/B587,"")</f>
        <v/>
      </c>
      <c r="AL587" s="2">
        <f>IFERROR(R587/C587,"")</f>
        <v/>
      </c>
      <c r="AM587" s="2">
        <f>IFERROR(S587/D587,"")</f>
        <v/>
      </c>
      <c r="AN587" s="2">
        <f>IFERROR(T587/E587,"")</f>
        <v/>
      </c>
      <c r="AO587" s="2">
        <f>IFERROR(U587/F587,"")</f>
        <v/>
      </c>
    </row>
    <row r="588">
      <c r="B588">
        <f>IF($A588="","",IFERROR(INDEX('[AQ_2020.xlsx]原始数据'!$B:$B,MATCH($A588,'[AQ_2020.xlsx]原始数据'!$A:$A,0)),""))</f>
        <v/>
      </c>
      <c r="C588">
        <f>IF($A588="","",IFERROR(INDEX('[AQ_2021.xlsx]原始数据'!$B:$B,MATCH($A588,'[AQ_2021.xlsx]原始数据'!$A:$A,0)),""))</f>
        <v/>
      </c>
      <c r="D588">
        <f>IF($A588="","",IFERROR(INDEX('[AQ_2022.xlsx]原始数据'!$B:$B,MATCH($A588,'[AQ_2022.xlsx]原始数据'!$A:$A,0)),""))</f>
        <v/>
      </c>
      <c r="E588">
        <f>IF($A588="","",IFERROR(INDEX('[AQ_2023.xlsx]原始数据'!$B:$B,MATCH($A588,'[AQ_2023.xlsx]原始数据'!$A:$A,0)),""))</f>
        <v/>
      </c>
      <c r="F588">
        <f>IF($A588="","",IFERROR(INDEX('[AQ_2024.xlsx]原始数据'!$B:$B,MATCH($A588,'[AQ_2024.xlsx]原始数据'!$A:$A,0)),""))</f>
        <v/>
      </c>
      <c r="G588">
        <f>IF($A588="","",IFERROR(INDEX('[AQ_2020.xlsx]原始数据'!$C:$C,MATCH($A588,'[AQ_2020.xlsx]原始数据'!$A:$A,0)),""))</f>
        <v/>
      </c>
      <c r="H588">
        <f>IF($A588="","",IFERROR(INDEX('[AQ_2021.xlsx]原始数据'!$C:$C,MATCH($A588,'[AQ_2021.xlsx]原始数据'!$A:$A,0)),""))</f>
        <v/>
      </c>
      <c r="I588">
        <f>IF($A588="","",IFERROR(INDEX('[AQ_2022.xlsx]原始数据'!$C:$C,MATCH($A588,'[AQ_2022.xlsx]原始数据'!$A:$A,0)),""))</f>
        <v/>
      </c>
      <c r="J588">
        <f>IF($A588="","",IFERROR(INDEX('[AQ_2023.xlsx]原始数据'!$C:$C,MATCH($A588,'[AQ_2023.xlsx]原始数据'!$A:$A,0)),""))</f>
        <v/>
      </c>
      <c r="K588">
        <f>IF($A588="","",IFERROR(INDEX('[AQ_2024.xlsx]原始数据'!$C:$C,MATCH($A588,'[AQ_2024.xlsx]原始数据'!$A:$A,0)),""))</f>
        <v/>
      </c>
      <c r="L588">
        <f>IF($A588="","",IFERROR(INDEX('[AQ_2020.xlsx]原始数据'!$D:$D,MATCH($A588,'[AQ_2020.xlsx]原始数据'!$A:$A,0)),""))</f>
        <v/>
      </c>
      <c r="M588">
        <f>IF($A588="","",IFERROR(INDEX('[AQ_2021.xlsx]原始数据'!$D:$D,MATCH($A588,'[AQ_2021.xlsx]原始数据'!$A:$A,0)),""))</f>
        <v/>
      </c>
      <c r="N588">
        <f>IF($A588="","",IFERROR(INDEX('[AQ_2022.xlsx]原始数据'!$D:$D,MATCH($A588,'[AQ_2022.xlsx]原始数据'!$A:$A,0)),""))</f>
        <v/>
      </c>
      <c r="O588">
        <f>IF($A588="","",IFERROR(INDEX('[AQ_2023.xlsx]原始数据'!$D:$D,MATCH($A588,'[AQ_2023.xlsx]原始数据'!$A:$A,0)),""))</f>
        <v/>
      </c>
      <c r="P588">
        <f>IF($A588="","",IFERROR(INDEX('[AQ_2024.xlsx]原始数据'!$D:$D,MATCH($A588,'[AQ_2024.xlsx]原始数据'!$A:$A,0)),""))</f>
        <v/>
      </c>
      <c r="Q588">
        <f>IF($A588="","",IFERROR(INDEX('[AQ_2020.xlsx]原始数据'!$E:$E,MATCH($A588,'[AQ_2020.xlsx]原始数据'!$A:$A,0)),""))</f>
        <v/>
      </c>
      <c r="R588">
        <f>IF($A588="","",IFERROR(INDEX('[AQ_2021.xlsx]原始数据'!$E:$E,MATCH($A588,'[AQ_2021.xlsx]原始数据'!$A:$A,0)),""))</f>
        <v/>
      </c>
      <c r="S588">
        <f>IF($A588="","",IFERROR(INDEX('[AQ_2022.xlsx]原始数据'!$E:$E,MATCH($A588,'[AQ_2022.xlsx]原始数据'!$A:$A,0)),""))</f>
        <v/>
      </c>
      <c r="T588">
        <f>IF($A588="","",IFERROR(INDEX('[AQ_2023.xlsx]原始数据'!$E:$E,MATCH($A588,'[AQ_2023.xlsx]原始数据'!$A:$A,0)),""))</f>
        <v/>
      </c>
      <c r="U588">
        <f>IF($A588="","",IFERROR(INDEX('[AQ_2024.xlsx]原始数据'!$E:$E,MATCH($A588,'[AQ_2024.xlsx]原始数据'!$A:$A,0)),""))</f>
        <v/>
      </c>
      <c r="V588">
        <f>IF($A588="","",IFERROR(INDEX('[AQ_2020.xlsx]原始数据'!$F:$F,MATCH($A588,'[AQ_2020.xlsx]原始数据'!$A:$A,0)),""))</f>
        <v/>
      </c>
      <c r="W588">
        <f>IF($A588="","",IFERROR(INDEX('[AQ_2021.xlsx]原始数据'!$F:$F,MATCH($A588,'[AQ_2021.xlsx]原始数据'!$A:$A,0)),""))</f>
        <v/>
      </c>
      <c r="X588">
        <f>IF($A588="","",IFERROR(INDEX('[AQ_2022.xlsx]原始数据'!$F:$F,MATCH($A588,'[AQ_2022.xlsx]原始数据'!$A:$A,0)),""))</f>
        <v/>
      </c>
      <c r="Y588">
        <f>IF($A588="","",IFERROR(INDEX('[AQ_2023.xlsx]原始数据'!$F:$F,MATCH($A588,'[AQ_2023.xlsx]原始数据'!$A:$A,0)),""))</f>
        <v/>
      </c>
      <c r="Z588">
        <f>IF($A588="","",IFERROR(INDEX('[AQ_2024.xlsx]原始数据'!$F:$F,MATCH($A588,'[AQ_2024.xlsx]原始数据'!$A:$A,0)),""))</f>
        <v/>
      </c>
      <c r="AA588" s="2">
        <f>IFERROR(G588/B588,"")</f>
        <v/>
      </c>
      <c r="AB588" s="2">
        <f>IFERROR(H588/C588,"")</f>
        <v/>
      </c>
      <c r="AC588" s="2">
        <f>IFERROR(I588/D588,"")</f>
        <v/>
      </c>
      <c r="AD588" s="2">
        <f>IFERROR(J588/E588,"")</f>
        <v/>
      </c>
      <c r="AE588" s="2">
        <f>IFERROR(K588/F588,"")</f>
        <v/>
      </c>
      <c r="AF588" s="2">
        <f>IFERROR(L588/B588,"")</f>
        <v/>
      </c>
      <c r="AG588" s="2">
        <f>IFERROR(M588/C588,"")</f>
        <v/>
      </c>
      <c r="AH588" s="2">
        <f>IFERROR(N588/D588,"")</f>
        <v/>
      </c>
      <c r="AI588" s="2">
        <f>IFERROR(O588/E588,"")</f>
        <v/>
      </c>
      <c r="AJ588" s="2">
        <f>IFERROR(P588/F588,"")</f>
        <v/>
      </c>
      <c r="AK588" s="2">
        <f>IFERROR(Q588/B588,"")</f>
        <v/>
      </c>
      <c r="AL588" s="2">
        <f>IFERROR(R588/C588,"")</f>
        <v/>
      </c>
      <c r="AM588" s="2">
        <f>IFERROR(S588/D588,"")</f>
        <v/>
      </c>
      <c r="AN588" s="2">
        <f>IFERROR(T588/E588,"")</f>
        <v/>
      </c>
      <c r="AO588" s="2">
        <f>IFERROR(U588/F588,"")</f>
        <v/>
      </c>
    </row>
    <row r="589">
      <c r="B589">
        <f>IF($A589="","",IFERROR(INDEX('[AQ_2020.xlsx]原始数据'!$B:$B,MATCH($A589,'[AQ_2020.xlsx]原始数据'!$A:$A,0)),""))</f>
        <v/>
      </c>
      <c r="C589">
        <f>IF($A589="","",IFERROR(INDEX('[AQ_2021.xlsx]原始数据'!$B:$B,MATCH($A589,'[AQ_2021.xlsx]原始数据'!$A:$A,0)),""))</f>
        <v/>
      </c>
      <c r="D589">
        <f>IF($A589="","",IFERROR(INDEX('[AQ_2022.xlsx]原始数据'!$B:$B,MATCH($A589,'[AQ_2022.xlsx]原始数据'!$A:$A,0)),""))</f>
        <v/>
      </c>
      <c r="E589">
        <f>IF($A589="","",IFERROR(INDEX('[AQ_2023.xlsx]原始数据'!$B:$B,MATCH($A589,'[AQ_2023.xlsx]原始数据'!$A:$A,0)),""))</f>
        <v/>
      </c>
      <c r="F589">
        <f>IF($A589="","",IFERROR(INDEX('[AQ_2024.xlsx]原始数据'!$B:$B,MATCH($A589,'[AQ_2024.xlsx]原始数据'!$A:$A,0)),""))</f>
        <v/>
      </c>
      <c r="G589">
        <f>IF($A589="","",IFERROR(INDEX('[AQ_2020.xlsx]原始数据'!$C:$C,MATCH($A589,'[AQ_2020.xlsx]原始数据'!$A:$A,0)),""))</f>
        <v/>
      </c>
      <c r="H589">
        <f>IF($A589="","",IFERROR(INDEX('[AQ_2021.xlsx]原始数据'!$C:$C,MATCH($A589,'[AQ_2021.xlsx]原始数据'!$A:$A,0)),""))</f>
        <v/>
      </c>
      <c r="I589">
        <f>IF($A589="","",IFERROR(INDEX('[AQ_2022.xlsx]原始数据'!$C:$C,MATCH($A589,'[AQ_2022.xlsx]原始数据'!$A:$A,0)),""))</f>
        <v/>
      </c>
      <c r="J589">
        <f>IF($A589="","",IFERROR(INDEX('[AQ_2023.xlsx]原始数据'!$C:$C,MATCH($A589,'[AQ_2023.xlsx]原始数据'!$A:$A,0)),""))</f>
        <v/>
      </c>
      <c r="K589">
        <f>IF($A589="","",IFERROR(INDEX('[AQ_2024.xlsx]原始数据'!$C:$C,MATCH($A589,'[AQ_2024.xlsx]原始数据'!$A:$A,0)),""))</f>
        <v/>
      </c>
      <c r="L589">
        <f>IF($A589="","",IFERROR(INDEX('[AQ_2020.xlsx]原始数据'!$D:$D,MATCH($A589,'[AQ_2020.xlsx]原始数据'!$A:$A,0)),""))</f>
        <v/>
      </c>
      <c r="M589">
        <f>IF($A589="","",IFERROR(INDEX('[AQ_2021.xlsx]原始数据'!$D:$D,MATCH($A589,'[AQ_2021.xlsx]原始数据'!$A:$A,0)),""))</f>
        <v/>
      </c>
      <c r="N589">
        <f>IF($A589="","",IFERROR(INDEX('[AQ_2022.xlsx]原始数据'!$D:$D,MATCH($A589,'[AQ_2022.xlsx]原始数据'!$A:$A,0)),""))</f>
        <v/>
      </c>
      <c r="O589">
        <f>IF($A589="","",IFERROR(INDEX('[AQ_2023.xlsx]原始数据'!$D:$D,MATCH($A589,'[AQ_2023.xlsx]原始数据'!$A:$A,0)),""))</f>
        <v/>
      </c>
      <c r="P589">
        <f>IF($A589="","",IFERROR(INDEX('[AQ_2024.xlsx]原始数据'!$D:$D,MATCH($A589,'[AQ_2024.xlsx]原始数据'!$A:$A,0)),""))</f>
        <v/>
      </c>
      <c r="Q589">
        <f>IF($A589="","",IFERROR(INDEX('[AQ_2020.xlsx]原始数据'!$E:$E,MATCH($A589,'[AQ_2020.xlsx]原始数据'!$A:$A,0)),""))</f>
        <v/>
      </c>
      <c r="R589">
        <f>IF($A589="","",IFERROR(INDEX('[AQ_2021.xlsx]原始数据'!$E:$E,MATCH($A589,'[AQ_2021.xlsx]原始数据'!$A:$A,0)),""))</f>
        <v/>
      </c>
      <c r="S589">
        <f>IF($A589="","",IFERROR(INDEX('[AQ_2022.xlsx]原始数据'!$E:$E,MATCH($A589,'[AQ_2022.xlsx]原始数据'!$A:$A,0)),""))</f>
        <v/>
      </c>
      <c r="T589">
        <f>IF($A589="","",IFERROR(INDEX('[AQ_2023.xlsx]原始数据'!$E:$E,MATCH($A589,'[AQ_2023.xlsx]原始数据'!$A:$A,0)),""))</f>
        <v/>
      </c>
      <c r="U589">
        <f>IF($A589="","",IFERROR(INDEX('[AQ_2024.xlsx]原始数据'!$E:$E,MATCH($A589,'[AQ_2024.xlsx]原始数据'!$A:$A,0)),""))</f>
        <v/>
      </c>
      <c r="V589">
        <f>IF($A589="","",IFERROR(INDEX('[AQ_2020.xlsx]原始数据'!$F:$F,MATCH($A589,'[AQ_2020.xlsx]原始数据'!$A:$A,0)),""))</f>
        <v/>
      </c>
      <c r="W589">
        <f>IF($A589="","",IFERROR(INDEX('[AQ_2021.xlsx]原始数据'!$F:$F,MATCH($A589,'[AQ_2021.xlsx]原始数据'!$A:$A,0)),""))</f>
        <v/>
      </c>
      <c r="X589">
        <f>IF($A589="","",IFERROR(INDEX('[AQ_2022.xlsx]原始数据'!$F:$F,MATCH($A589,'[AQ_2022.xlsx]原始数据'!$A:$A,0)),""))</f>
        <v/>
      </c>
      <c r="Y589">
        <f>IF($A589="","",IFERROR(INDEX('[AQ_2023.xlsx]原始数据'!$F:$F,MATCH($A589,'[AQ_2023.xlsx]原始数据'!$A:$A,0)),""))</f>
        <v/>
      </c>
      <c r="Z589">
        <f>IF($A589="","",IFERROR(INDEX('[AQ_2024.xlsx]原始数据'!$F:$F,MATCH($A589,'[AQ_2024.xlsx]原始数据'!$A:$A,0)),""))</f>
        <v/>
      </c>
      <c r="AA589" s="2">
        <f>IFERROR(G589/B589,"")</f>
        <v/>
      </c>
      <c r="AB589" s="2">
        <f>IFERROR(H589/C589,"")</f>
        <v/>
      </c>
      <c r="AC589" s="2">
        <f>IFERROR(I589/D589,"")</f>
        <v/>
      </c>
      <c r="AD589" s="2">
        <f>IFERROR(J589/E589,"")</f>
        <v/>
      </c>
      <c r="AE589" s="2">
        <f>IFERROR(K589/F589,"")</f>
        <v/>
      </c>
      <c r="AF589" s="2">
        <f>IFERROR(L589/B589,"")</f>
        <v/>
      </c>
      <c r="AG589" s="2">
        <f>IFERROR(M589/C589,"")</f>
        <v/>
      </c>
      <c r="AH589" s="2">
        <f>IFERROR(N589/D589,"")</f>
        <v/>
      </c>
      <c r="AI589" s="2">
        <f>IFERROR(O589/E589,"")</f>
        <v/>
      </c>
      <c r="AJ589" s="2">
        <f>IFERROR(P589/F589,"")</f>
        <v/>
      </c>
      <c r="AK589" s="2">
        <f>IFERROR(Q589/B589,"")</f>
        <v/>
      </c>
      <c r="AL589" s="2">
        <f>IFERROR(R589/C589,"")</f>
        <v/>
      </c>
      <c r="AM589" s="2">
        <f>IFERROR(S589/D589,"")</f>
        <v/>
      </c>
      <c r="AN589" s="2">
        <f>IFERROR(T589/E589,"")</f>
        <v/>
      </c>
      <c r="AO589" s="2">
        <f>IFERROR(U589/F589,"")</f>
        <v/>
      </c>
    </row>
    <row r="590">
      <c r="B590">
        <f>IF($A590="","",IFERROR(INDEX('[AQ_2020.xlsx]原始数据'!$B:$B,MATCH($A590,'[AQ_2020.xlsx]原始数据'!$A:$A,0)),""))</f>
        <v/>
      </c>
      <c r="C590">
        <f>IF($A590="","",IFERROR(INDEX('[AQ_2021.xlsx]原始数据'!$B:$B,MATCH($A590,'[AQ_2021.xlsx]原始数据'!$A:$A,0)),""))</f>
        <v/>
      </c>
      <c r="D590">
        <f>IF($A590="","",IFERROR(INDEX('[AQ_2022.xlsx]原始数据'!$B:$B,MATCH($A590,'[AQ_2022.xlsx]原始数据'!$A:$A,0)),""))</f>
        <v/>
      </c>
      <c r="E590">
        <f>IF($A590="","",IFERROR(INDEX('[AQ_2023.xlsx]原始数据'!$B:$B,MATCH($A590,'[AQ_2023.xlsx]原始数据'!$A:$A,0)),""))</f>
        <v/>
      </c>
      <c r="F590">
        <f>IF($A590="","",IFERROR(INDEX('[AQ_2024.xlsx]原始数据'!$B:$B,MATCH($A590,'[AQ_2024.xlsx]原始数据'!$A:$A,0)),""))</f>
        <v/>
      </c>
      <c r="G590">
        <f>IF($A590="","",IFERROR(INDEX('[AQ_2020.xlsx]原始数据'!$C:$C,MATCH($A590,'[AQ_2020.xlsx]原始数据'!$A:$A,0)),""))</f>
        <v/>
      </c>
      <c r="H590">
        <f>IF($A590="","",IFERROR(INDEX('[AQ_2021.xlsx]原始数据'!$C:$C,MATCH($A590,'[AQ_2021.xlsx]原始数据'!$A:$A,0)),""))</f>
        <v/>
      </c>
      <c r="I590">
        <f>IF($A590="","",IFERROR(INDEX('[AQ_2022.xlsx]原始数据'!$C:$C,MATCH($A590,'[AQ_2022.xlsx]原始数据'!$A:$A,0)),""))</f>
        <v/>
      </c>
      <c r="J590">
        <f>IF($A590="","",IFERROR(INDEX('[AQ_2023.xlsx]原始数据'!$C:$C,MATCH($A590,'[AQ_2023.xlsx]原始数据'!$A:$A,0)),""))</f>
        <v/>
      </c>
      <c r="K590">
        <f>IF($A590="","",IFERROR(INDEX('[AQ_2024.xlsx]原始数据'!$C:$C,MATCH($A590,'[AQ_2024.xlsx]原始数据'!$A:$A,0)),""))</f>
        <v/>
      </c>
      <c r="L590">
        <f>IF($A590="","",IFERROR(INDEX('[AQ_2020.xlsx]原始数据'!$D:$D,MATCH($A590,'[AQ_2020.xlsx]原始数据'!$A:$A,0)),""))</f>
        <v/>
      </c>
      <c r="M590">
        <f>IF($A590="","",IFERROR(INDEX('[AQ_2021.xlsx]原始数据'!$D:$D,MATCH($A590,'[AQ_2021.xlsx]原始数据'!$A:$A,0)),""))</f>
        <v/>
      </c>
      <c r="N590">
        <f>IF($A590="","",IFERROR(INDEX('[AQ_2022.xlsx]原始数据'!$D:$D,MATCH($A590,'[AQ_2022.xlsx]原始数据'!$A:$A,0)),""))</f>
        <v/>
      </c>
      <c r="O590">
        <f>IF($A590="","",IFERROR(INDEX('[AQ_2023.xlsx]原始数据'!$D:$D,MATCH($A590,'[AQ_2023.xlsx]原始数据'!$A:$A,0)),""))</f>
        <v/>
      </c>
      <c r="P590">
        <f>IF($A590="","",IFERROR(INDEX('[AQ_2024.xlsx]原始数据'!$D:$D,MATCH($A590,'[AQ_2024.xlsx]原始数据'!$A:$A,0)),""))</f>
        <v/>
      </c>
      <c r="Q590">
        <f>IF($A590="","",IFERROR(INDEX('[AQ_2020.xlsx]原始数据'!$E:$E,MATCH($A590,'[AQ_2020.xlsx]原始数据'!$A:$A,0)),""))</f>
        <v/>
      </c>
      <c r="R590">
        <f>IF($A590="","",IFERROR(INDEX('[AQ_2021.xlsx]原始数据'!$E:$E,MATCH($A590,'[AQ_2021.xlsx]原始数据'!$A:$A,0)),""))</f>
        <v/>
      </c>
      <c r="S590">
        <f>IF($A590="","",IFERROR(INDEX('[AQ_2022.xlsx]原始数据'!$E:$E,MATCH($A590,'[AQ_2022.xlsx]原始数据'!$A:$A,0)),""))</f>
        <v/>
      </c>
      <c r="T590">
        <f>IF($A590="","",IFERROR(INDEX('[AQ_2023.xlsx]原始数据'!$E:$E,MATCH($A590,'[AQ_2023.xlsx]原始数据'!$A:$A,0)),""))</f>
        <v/>
      </c>
      <c r="U590">
        <f>IF($A590="","",IFERROR(INDEX('[AQ_2024.xlsx]原始数据'!$E:$E,MATCH($A590,'[AQ_2024.xlsx]原始数据'!$A:$A,0)),""))</f>
        <v/>
      </c>
      <c r="V590">
        <f>IF($A590="","",IFERROR(INDEX('[AQ_2020.xlsx]原始数据'!$F:$F,MATCH($A590,'[AQ_2020.xlsx]原始数据'!$A:$A,0)),""))</f>
        <v/>
      </c>
      <c r="W590">
        <f>IF($A590="","",IFERROR(INDEX('[AQ_2021.xlsx]原始数据'!$F:$F,MATCH($A590,'[AQ_2021.xlsx]原始数据'!$A:$A,0)),""))</f>
        <v/>
      </c>
      <c r="X590">
        <f>IF($A590="","",IFERROR(INDEX('[AQ_2022.xlsx]原始数据'!$F:$F,MATCH($A590,'[AQ_2022.xlsx]原始数据'!$A:$A,0)),""))</f>
        <v/>
      </c>
      <c r="Y590">
        <f>IF($A590="","",IFERROR(INDEX('[AQ_2023.xlsx]原始数据'!$F:$F,MATCH($A590,'[AQ_2023.xlsx]原始数据'!$A:$A,0)),""))</f>
        <v/>
      </c>
      <c r="Z590">
        <f>IF($A590="","",IFERROR(INDEX('[AQ_2024.xlsx]原始数据'!$F:$F,MATCH($A590,'[AQ_2024.xlsx]原始数据'!$A:$A,0)),""))</f>
        <v/>
      </c>
      <c r="AA590" s="2">
        <f>IFERROR(G590/B590,"")</f>
        <v/>
      </c>
      <c r="AB590" s="2">
        <f>IFERROR(H590/C590,"")</f>
        <v/>
      </c>
      <c r="AC590" s="2">
        <f>IFERROR(I590/D590,"")</f>
        <v/>
      </c>
      <c r="AD590" s="2">
        <f>IFERROR(J590/E590,"")</f>
        <v/>
      </c>
      <c r="AE590" s="2">
        <f>IFERROR(K590/F590,"")</f>
        <v/>
      </c>
      <c r="AF590" s="2">
        <f>IFERROR(L590/B590,"")</f>
        <v/>
      </c>
      <c r="AG590" s="2">
        <f>IFERROR(M590/C590,"")</f>
        <v/>
      </c>
      <c r="AH590" s="2">
        <f>IFERROR(N590/D590,"")</f>
        <v/>
      </c>
      <c r="AI590" s="2">
        <f>IFERROR(O590/E590,"")</f>
        <v/>
      </c>
      <c r="AJ590" s="2">
        <f>IFERROR(P590/F590,"")</f>
        <v/>
      </c>
      <c r="AK590" s="2">
        <f>IFERROR(Q590/B590,"")</f>
        <v/>
      </c>
      <c r="AL590" s="2">
        <f>IFERROR(R590/C590,"")</f>
        <v/>
      </c>
      <c r="AM590" s="2">
        <f>IFERROR(S590/D590,"")</f>
        <v/>
      </c>
      <c r="AN590" s="2">
        <f>IFERROR(T590/E590,"")</f>
        <v/>
      </c>
      <c r="AO590" s="2">
        <f>IFERROR(U590/F590,"")</f>
        <v/>
      </c>
    </row>
    <row r="591">
      <c r="B591">
        <f>IF($A591="","",IFERROR(INDEX('[AQ_2020.xlsx]原始数据'!$B:$B,MATCH($A591,'[AQ_2020.xlsx]原始数据'!$A:$A,0)),""))</f>
        <v/>
      </c>
      <c r="C591">
        <f>IF($A591="","",IFERROR(INDEX('[AQ_2021.xlsx]原始数据'!$B:$B,MATCH($A591,'[AQ_2021.xlsx]原始数据'!$A:$A,0)),""))</f>
        <v/>
      </c>
      <c r="D591">
        <f>IF($A591="","",IFERROR(INDEX('[AQ_2022.xlsx]原始数据'!$B:$B,MATCH($A591,'[AQ_2022.xlsx]原始数据'!$A:$A,0)),""))</f>
        <v/>
      </c>
      <c r="E591">
        <f>IF($A591="","",IFERROR(INDEX('[AQ_2023.xlsx]原始数据'!$B:$B,MATCH($A591,'[AQ_2023.xlsx]原始数据'!$A:$A,0)),""))</f>
        <v/>
      </c>
      <c r="F591">
        <f>IF($A591="","",IFERROR(INDEX('[AQ_2024.xlsx]原始数据'!$B:$B,MATCH($A591,'[AQ_2024.xlsx]原始数据'!$A:$A,0)),""))</f>
        <v/>
      </c>
      <c r="G591">
        <f>IF($A591="","",IFERROR(INDEX('[AQ_2020.xlsx]原始数据'!$C:$C,MATCH($A591,'[AQ_2020.xlsx]原始数据'!$A:$A,0)),""))</f>
        <v/>
      </c>
      <c r="H591">
        <f>IF($A591="","",IFERROR(INDEX('[AQ_2021.xlsx]原始数据'!$C:$C,MATCH($A591,'[AQ_2021.xlsx]原始数据'!$A:$A,0)),""))</f>
        <v/>
      </c>
      <c r="I591">
        <f>IF($A591="","",IFERROR(INDEX('[AQ_2022.xlsx]原始数据'!$C:$C,MATCH($A591,'[AQ_2022.xlsx]原始数据'!$A:$A,0)),""))</f>
        <v/>
      </c>
      <c r="J591">
        <f>IF($A591="","",IFERROR(INDEX('[AQ_2023.xlsx]原始数据'!$C:$C,MATCH($A591,'[AQ_2023.xlsx]原始数据'!$A:$A,0)),""))</f>
        <v/>
      </c>
      <c r="K591">
        <f>IF($A591="","",IFERROR(INDEX('[AQ_2024.xlsx]原始数据'!$C:$C,MATCH($A591,'[AQ_2024.xlsx]原始数据'!$A:$A,0)),""))</f>
        <v/>
      </c>
      <c r="L591">
        <f>IF($A591="","",IFERROR(INDEX('[AQ_2020.xlsx]原始数据'!$D:$D,MATCH($A591,'[AQ_2020.xlsx]原始数据'!$A:$A,0)),""))</f>
        <v/>
      </c>
      <c r="M591">
        <f>IF($A591="","",IFERROR(INDEX('[AQ_2021.xlsx]原始数据'!$D:$D,MATCH($A591,'[AQ_2021.xlsx]原始数据'!$A:$A,0)),""))</f>
        <v/>
      </c>
      <c r="N591">
        <f>IF($A591="","",IFERROR(INDEX('[AQ_2022.xlsx]原始数据'!$D:$D,MATCH($A591,'[AQ_2022.xlsx]原始数据'!$A:$A,0)),""))</f>
        <v/>
      </c>
      <c r="O591">
        <f>IF($A591="","",IFERROR(INDEX('[AQ_2023.xlsx]原始数据'!$D:$D,MATCH($A591,'[AQ_2023.xlsx]原始数据'!$A:$A,0)),""))</f>
        <v/>
      </c>
      <c r="P591">
        <f>IF($A591="","",IFERROR(INDEX('[AQ_2024.xlsx]原始数据'!$D:$D,MATCH($A591,'[AQ_2024.xlsx]原始数据'!$A:$A,0)),""))</f>
        <v/>
      </c>
      <c r="Q591">
        <f>IF($A591="","",IFERROR(INDEX('[AQ_2020.xlsx]原始数据'!$E:$E,MATCH($A591,'[AQ_2020.xlsx]原始数据'!$A:$A,0)),""))</f>
        <v/>
      </c>
      <c r="R591">
        <f>IF($A591="","",IFERROR(INDEX('[AQ_2021.xlsx]原始数据'!$E:$E,MATCH($A591,'[AQ_2021.xlsx]原始数据'!$A:$A,0)),""))</f>
        <v/>
      </c>
      <c r="S591">
        <f>IF($A591="","",IFERROR(INDEX('[AQ_2022.xlsx]原始数据'!$E:$E,MATCH($A591,'[AQ_2022.xlsx]原始数据'!$A:$A,0)),""))</f>
        <v/>
      </c>
      <c r="T591">
        <f>IF($A591="","",IFERROR(INDEX('[AQ_2023.xlsx]原始数据'!$E:$E,MATCH($A591,'[AQ_2023.xlsx]原始数据'!$A:$A,0)),""))</f>
        <v/>
      </c>
      <c r="U591">
        <f>IF($A591="","",IFERROR(INDEX('[AQ_2024.xlsx]原始数据'!$E:$E,MATCH($A591,'[AQ_2024.xlsx]原始数据'!$A:$A,0)),""))</f>
        <v/>
      </c>
      <c r="V591">
        <f>IF($A591="","",IFERROR(INDEX('[AQ_2020.xlsx]原始数据'!$F:$F,MATCH($A591,'[AQ_2020.xlsx]原始数据'!$A:$A,0)),""))</f>
        <v/>
      </c>
      <c r="W591">
        <f>IF($A591="","",IFERROR(INDEX('[AQ_2021.xlsx]原始数据'!$F:$F,MATCH($A591,'[AQ_2021.xlsx]原始数据'!$A:$A,0)),""))</f>
        <v/>
      </c>
      <c r="X591">
        <f>IF($A591="","",IFERROR(INDEX('[AQ_2022.xlsx]原始数据'!$F:$F,MATCH($A591,'[AQ_2022.xlsx]原始数据'!$A:$A,0)),""))</f>
        <v/>
      </c>
      <c r="Y591">
        <f>IF($A591="","",IFERROR(INDEX('[AQ_2023.xlsx]原始数据'!$F:$F,MATCH($A591,'[AQ_2023.xlsx]原始数据'!$A:$A,0)),""))</f>
        <v/>
      </c>
      <c r="Z591">
        <f>IF($A591="","",IFERROR(INDEX('[AQ_2024.xlsx]原始数据'!$F:$F,MATCH($A591,'[AQ_2024.xlsx]原始数据'!$A:$A,0)),""))</f>
        <v/>
      </c>
      <c r="AA591" s="2">
        <f>IFERROR(G591/B591,"")</f>
        <v/>
      </c>
      <c r="AB591" s="2">
        <f>IFERROR(H591/C591,"")</f>
        <v/>
      </c>
      <c r="AC591" s="2">
        <f>IFERROR(I591/D591,"")</f>
        <v/>
      </c>
      <c r="AD591" s="2">
        <f>IFERROR(J591/E591,"")</f>
        <v/>
      </c>
      <c r="AE591" s="2">
        <f>IFERROR(K591/F591,"")</f>
        <v/>
      </c>
      <c r="AF591" s="2">
        <f>IFERROR(L591/B591,"")</f>
        <v/>
      </c>
      <c r="AG591" s="2">
        <f>IFERROR(M591/C591,"")</f>
        <v/>
      </c>
      <c r="AH591" s="2">
        <f>IFERROR(N591/D591,"")</f>
        <v/>
      </c>
      <c r="AI591" s="2">
        <f>IFERROR(O591/E591,"")</f>
        <v/>
      </c>
      <c r="AJ591" s="2">
        <f>IFERROR(P591/F591,"")</f>
        <v/>
      </c>
      <c r="AK591" s="2">
        <f>IFERROR(Q591/B591,"")</f>
        <v/>
      </c>
      <c r="AL591" s="2">
        <f>IFERROR(R591/C591,"")</f>
        <v/>
      </c>
      <c r="AM591" s="2">
        <f>IFERROR(S591/D591,"")</f>
        <v/>
      </c>
      <c r="AN591" s="2">
        <f>IFERROR(T591/E591,"")</f>
        <v/>
      </c>
      <c r="AO591" s="2">
        <f>IFERROR(U591/F591,"")</f>
        <v/>
      </c>
    </row>
    <row r="592">
      <c r="B592">
        <f>IF($A592="","",IFERROR(INDEX('[AQ_2020.xlsx]原始数据'!$B:$B,MATCH($A592,'[AQ_2020.xlsx]原始数据'!$A:$A,0)),""))</f>
        <v/>
      </c>
      <c r="C592">
        <f>IF($A592="","",IFERROR(INDEX('[AQ_2021.xlsx]原始数据'!$B:$B,MATCH($A592,'[AQ_2021.xlsx]原始数据'!$A:$A,0)),""))</f>
        <v/>
      </c>
      <c r="D592">
        <f>IF($A592="","",IFERROR(INDEX('[AQ_2022.xlsx]原始数据'!$B:$B,MATCH($A592,'[AQ_2022.xlsx]原始数据'!$A:$A,0)),""))</f>
        <v/>
      </c>
      <c r="E592">
        <f>IF($A592="","",IFERROR(INDEX('[AQ_2023.xlsx]原始数据'!$B:$B,MATCH($A592,'[AQ_2023.xlsx]原始数据'!$A:$A,0)),""))</f>
        <v/>
      </c>
      <c r="F592">
        <f>IF($A592="","",IFERROR(INDEX('[AQ_2024.xlsx]原始数据'!$B:$B,MATCH($A592,'[AQ_2024.xlsx]原始数据'!$A:$A,0)),""))</f>
        <v/>
      </c>
      <c r="G592">
        <f>IF($A592="","",IFERROR(INDEX('[AQ_2020.xlsx]原始数据'!$C:$C,MATCH($A592,'[AQ_2020.xlsx]原始数据'!$A:$A,0)),""))</f>
        <v/>
      </c>
      <c r="H592">
        <f>IF($A592="","",IFERROR(INDEX('[AQ_2021.xlsx]原始数据'!$C:$C,MATCH($A592,'[AQ_2021.xlsx]原始数据'!$A:$A,0)),""))</f>
        <v/>
      </c>
      <c r="I592">
        <f>IF($A592="","",IFERROR(INDEX('[AQ_2022.xlsx]原始数据'!$C:$C,MATCH($A592,'[AQ_2022.xlsx]原始数据'!$A:$A,0)),""))</f>
        <v/>
      </c>
      <c r="J592">
        <f>IF($A592="","",IFERROR(INDEX('[AQ_2023.xlsx]原始数据'!$C:$C,MATCH($A592,'[AQ_2023.xlsx]原始数据'!$A:$A,0)),""))</f>
        <v/>
      </c>
      <c r="K592">
        <f>IF($A592="","",IFERROR(INDEX('[AQ_2024.xlsx]原始数据'!$C:$C,MATCH($A592,'[AQ_2024.xlsx]原始数据'!$A:$A,0)),""))</f>
        <v/>
      </c>
      <c r="L592">
        <f>IF($A592="","",IFERROR(INDEX('[AQ_2020.xlsx]原始数据'!$D:$D,MATCH($A592,'[AQ_2020.xlsx]原始数据'!$A:$A,0)),""))</f>
        <v/>
      </c>
      <c r="M592">
        <f>IF($A592="","",IFERROR(INDEX('[AQ_2021.xlsx]原始数据'!$D:$D,MATCH($A592,'[AQ_2021.xlsx]原始数据'!$A:$A,0)),""))</f>
        <v/>
      </c>
      <c r="N592">
        <f>IF($A592="","",IFERROR(INDEX('[AQ_2022.xlsx]原始数据'!$D:$D,MATCH($A592,'[AQ_2022.xlsx]原始数据'!$A:$A,0)),""))</f>
        <v/>
      </c>
      <c r="O592">
        <f>IF($A592="","",IFERROR(INDEX('[AQ_2023.xlsx]原始数据'!$D:$D,MATCH($A592,'[AQ_2023.xlsx]原始数据'!$A:$A,0)),""))</f>
        <v/>
      </c>
      <c r="P592">
        <f>IF($A592="","",IFERROR(INDEX('[AQ_2024.xlsx]原始数据'!$D:$D,MATCH($A592,'[AQ_2024.xlsx]原始数据'!$A:$A,0)),""))</f>
        <v/>
      </c>
      <c r="Q592">
        <f>IF($A592="","",IFERROR(INDEX('[AQ_2020.xlsx]原始数据'!$E:$E,MATCH($A592,'[AQ_2020.xlsx]原始数据'!$A:$A,0)),""))</f>
        <v/>
      </c>
      <c r="R592">
        <f>IF($A592="","",IFERROR(INDEX('[AQ_2021.xlsx]原始数据'!$E:$E,MATCH($A592,'[AQ_2021.xlsx]原始数据'!$A:$A,0)),""))</f>
        <v/>
      </c>
      <c r="S592">
        <f>IF($A592="","",IFERROR(INDEX('[AQ_2022.xlsx]原始数据'!$E:$E,MATCH($A592,'[AQ_2022.xlsx]原始数据'!$A:$A,0)),""))</f>
        <v/>
      </c>
      <c r="T592">
        <f>IF($A592="","",IFERROR(INDEX('[AQ_2023.xlsx]原始数据'!$E:$E,MATCH($A592,'[AQ_2023.xlsx]原始数据'!$A:$A,0)),""))</f>
        <v/>
      </c>
      <c r="U592">
        <f>IF($A592="","",IFERROR(INDEX('[AQ_2024.xlsx]原始数据'!$E:$E,MATCH($A592,'[AQ_2024.xlsx]原始数据'!$A:$A,0)),""))</f>
        <v/>
      </c>
      <c r="V592">
        <f>IF($A592="","",IFERROR(INDEX('[AQ_2020.xlsx]原始数据'!$F:$F,MATCH($A592,'[AQ_2020.xlsx]原始数据'!$A:$A,0)),""))</f>
        <v/>
      </c>
      <c r="W592">
        <f>IF($A592="","",IFERROR(INDEX('[AQ_2021.xlsx]原始数据'!$F:$F,MATCH($A592,'[AQ_2021.xlsx]原始数据'!$A:$A,0)),""))</f>
        <v/>
      </c>
      <c r="X592">
        <f>IF($A592="","",IFERROR(INDEX('[AQ_2022.xlsx]原始数据'!$F:$F,MATCH($A592,'[AQ_2022.xlsx]原始数据'!$A:$A,0)),""))</f>
        <v/>
      </c>
      <c r="Y592">
        <f>IF($A592="","",IFERROR(INDEX('[AQ_2023.xlsx]原始数据'!$F:$F,MATCH($A592,'[AQ_2023.xlsx]原始数据'!$A:$A,0)),""))</f>
        <v/>
      </c>
      <c r="Z592">
        <f>IF($A592="","",IFERROR(INDEX('[AQ_2024.xlsx]原始数据'!$F:$F,MATCH($A592,'[AQ_2024.xlsx]原始数据'!$A:$A,0)),""))</f>
        <v/>
      </c>
      <c r="AA592" s="2">
        <f>IFERROR(G592/B592,"")</f>
        <v/>
      </c>
      <c r="AB592" s="2">
        <f>IFERROR(H592/C592,"")</f>
        <v/>
      </c>
      <c r="AC592" s="2">
        <f>IFERROR(I592/D592,"")</f>
        <v/>
      </c>
      <c r="AD592" s="2">
        <f>IFERROR(J592/E592,"")</f>
        <v/>
      </c>
      <c r="AE592" s="2">
        <f>IFERROR(K592/F592,"")</f>
        <v/>
      </c>
      <c r="AF592" s="2">
        <f>IFERROR(L592/B592,"")</f>
        <v/>
      </c>
      <c r="AG592" s="2">
        <f>IFERROR(M592/C592,"")</f>
        <v/>
      </c>
      <c r="AH592" s="2">
        <f>IFERROR(N592/D592,"")</f>
        <v/>
      </c>
      <c r="AI592" s="2">
        <f>IFERROR(O592/E592,"")</f>
        <v/>
      </c>
      <c r="AJ592" s="2">
        <f>IFERROR(P592/F592,"")</f>
        <v/>
      </c>
      <c r="AK592" s="2">
        <f>IFERROR(Q592/B592,"")</f>
        <v/>
      </c>
      <c r="AL592" s="2">
        <f>IFERROR(R592/C592,"")</f>
        <v/>
      </c>
      <c r="AM592" s="2">
        <f>IFERROR(S592/D592,"")</f>
        <v/>
      </c>
      <c r="AN592" s="2">
        <f>IFERROR(T592/E592,"")</f>
        <v/>
      </c>
      <c r="AO592" s="2">
        <f>IFERROR(U592/F592,"")</f>
        <v/>
      </c>
    </row>
    <row r="593">
      <c r="B593">
        <f>IF($A593="","",IFERROR(INDEX('[AQ_2020.xlsx]原始数据'!$B:$B,MATCH($A593,'[AQ_2020.xlsx]原始数据'!$A:$A,0)),""))</f>
        <v/>
      </c>
      <c r="C593">
        <f>IF($A593="","",IFERROR(INDEX('[AQ_2021.xlsx]原始数据'!$B:$B,MATCH($A593,'[AQ_2021.xlsx]原始数据'!$A:$A,0)),""))</f>
        <v/>
      </c>
      <c r="D593">
        <f>IF($A593="","",IFERROR(INDEX('[AQ_2022.xlsx]原始数据'!$B:$B,MATCH($A593,'[AQ_2022.xlsx]原始数据'!$A:$A,0)),""))</f>
        <v/>
      </c>
      <c r="E593">
        <f>IF($A593="","",IFERROR(INDEX('[AQ_2023.xlsx]原始数据'!$B:$B,MATCH($A593,'[AQ_2023.xlsx]原始数据'!$A:$A,0)),""))</f>
        <v/>
      </c>
      <c r="F593">
        <f>IF($A593="","",IFERROR(INDEX('[AQ_2024.xlsx]原始数据'!$B:$B,MATCH($A593,'[AQ_2024.xlsx]原始数据'!$A:$A,0)),""))</f>
        <v/>
      </c>
      <c r="G593">
        <f>IF($A593="","",IFERROR(INDEX('[AQ_2020.xlsx]原始数据'!$C:$C,MATCH($A593,'[AQ_2020.xlsx]原始数据'!$A:$A,0)),""))</f>
        <v/>
      </c>
      <c r="H593">
        <f>IF($A593="","",IFERROR(INDEX('[AQ_2021.xlsx]原始数据'!$C:$C,MATCH($A593,'[AQ_2021.xlsx]原始数据'!$A:$A,0)),""))</f>
        <v/>
      </c>
      <c r="I593">
        <f>IF($A593="","",IFERROR(INDEX('[AQ_2022.xlsx]原始数据'!$C:$C,MATCH($A593,'[AQ_2022.xlsx]原始数据'!$A:$A,0)),""))</f>
        <v/>
      </c>
      <c r="J593">
        <f>IF($A593="","",IFERROR(INDEX('[AQ_2023.xlsx]原始数据'!$C:$C,MATCH($A593,'[AQ_2023.xlsx]原始数据'!$A:$A,0)),""))</f>
        <v/>
      </c>
      <c r="K593">
        <f>IF($A593="","",IFERROR(INDEX('[AQ_2024.xlsx]原始数据'!$C:$C,MATCH($A593,'[AQ_2024.xlsx]原始数据'!$A:$A,0)),""))</f>
        <v/>
      </c>
      <c r="L593">
        <f>IF($A593="","",IFERROR(INDEX('[AQ_2020.xlsx]原始数据'!$D:$D,MATCH($A593,'[AQ_2020.xlsx]原始数据'!$A:$A,0)),""))</f>
        <v/>
      </c>
      <c r="M593">
        <f>IF($A593="","",IFERROR(INDEX('[AQ_2021.xlsx]原始数据'!$D:$D,MATCH($A593,'[AQ_2021.xlsx]原始数据'!$A:$A,0)),""))</f>
        <v/>
      </c>
      <c r="N593">
        <f>IF($A593="","",IFERROR(INDEX('[AQ_2022.xlsx]原始数据'!$D:$D,MATCH($A593,'[AQ_2022.xlsx]原始数据'!$A:$A,0)),""))</f>
        <v/>
      </c>
      <c r="O593">
        <f>IF($A593="","",IFERROR(INDEX('[AQ_2023.xlsx]原始数据'!$D:$D,MATCH($A593,'[AQ_2023.xlsx]原始数据'!$A:$A,0)),""))</f>
        <v/>
      </c>
      <c r="P593">
        <f>IF($A593="","",IFERROR(INDEX('[AQ_2024.xlsx]原始数据'!$D:$D,MATCH($A593,'[AQ_2024.xlsx]原始数据'!$A:$A,0)),""))</f>
        <v/>
      </c>
      <c r="Q593">
        <f>IF($A593="","",IFERROR(INDEX('[AQ_2020.xlsx]原始数据'!$E:$E,MATCH($A593,'[AQ_2020.xlsx]原始数据'!$A:$A,0)),""))</f>
        <v/>
      </c>
      <c r="R593">
        <f>IF($A593="","",IFERROR(INDEX('[AQ_2021.xlsx]原始数据'!$E:$E,MATCH($A593,'[AQ_2021.xlsx]原始数据'!$A:$A,0)),""))</f>
        <v/>
      </c>
      <c r="S593">
        <f>IF($A593="","",IFERROR(INDEX('[AQ_2022.xlsx]原始数据'!$E:$E,MATCH($A593,'[AQ_2022.xlsx]原始数据'!$A:$A,0)),""))</f>
        <v/>
      </c>
      <c r="T593">
        <f>IF($A593="","",IFERROR(INDEX('[AQ_2023.xlsx]原始数据'!$E:$E,MATCH($A593,'[AQ_2023.xlsx]原始数据'!$A:$A,0)),""))</f>
        <v/>
      </c>
      <c r="U593">
        <f>IF($A593="","",IFERROR(INDEX('[AQ_2024.xlsx]原始数据'!$E:$E,MATCH($A593,'[AQ_2024.xlsx]原始数据'!$A:$A,0)),""))</f>
        <v/>
      </c>
      <c r="V593">
        <f>IF($A593="","",IFERROR(INDEX('[AQ_2020.xlsx]原始数据'!$F:$F,MATCH($A593,'[AQ_2020.xlsx]原始数据'!$A:$A,0)),""))</f>
        <v/>
      </c>
      <c r="W593">
        <f>IF($A593="","",IFERROR(INDEX('[AQ_2021.xlsx]原始数据'!$F:$F,MATCH($A593,'[AQ_2021.xlsx]原始数据'!$A:$A,0)),""))</f>
        <v/>
      </c>
      <c r="X593">
        <f>IF($A593="","",IFERROR(INDEX('[AQ_2022.xlsx]原始数据'!$F:$F,MATCH($A593,'[AQ_2022.xlsx]原始数据'!$A:$A,0)),""))</f>
        <v/>
      </c>
      <c r="Y593">
        <f>IF($A593="","",IFERROR(INDEX('[AQ_2023.xlsx]原始数据'!$F:$F,MATCH($A593,'[AQ_2023.xlsx]原始数据'!$A:$A,0)),""))</f>
        <v/>
      </c>
      <c r="Z593">
        <f>IF($A593="","",IFERROR(INDEX('[AQ_2024.xlsx]原始数据'!$F:$F,MATCH($A593,'[AQ_2024.xlsx]原始数据'!$A:$A,0)),""))</f>
        <v/>
      </c>
      <c r="AA593" s="2">
        <f>IFERROR(G593/B593,"")</f>
        <v/>
      </c>
      <c r="AB593" s="2">
        <f>IFERROR(H593/C593,"")</f>
        <v/>
      </c>
      <c r="AC593" s="2">
        <f>IFERROR(I593/D593,"")</f>
        <v/>
      </c>
      <c r="AD593" s="2">
        <f>IFERROR(J593/E593,"")</f>
        <v/>
      </c>
      <c r="AE593" s="2">
        <f>IFERROR(K593/F593,"")</f>
        <v/>
      </c>
      <c r="AF593" s="2">
        <f>IFERROR(L593/B593,"")</f>
        <v/>
      </c>
      <c r="AG593" s="2">
        <f>IFERROR(M593/C593,"")</f>
        <v/>
      </c>
      <c r="AH593" s="2">
        <f>IFERROR(N593/D593,"")</f>
        <v/>
      </c>
      <c r="AI593" s="2">
        <f>IFERROR(O593/E593,"")</f>
        <v/>
      </c>
      <c r="AJ593" s="2">
        <f>IFERROR(P593/F593,"")</f>
        <v/>
      </c>
      <c r="AK593" s="2">
        <f>IFERROR(Q593/B593,"")</f>
        <v/>
      </c>
      <c r="AL593" s="2">
        <f>IFERROR(R593/C593,"")</f>
        <v/>
      </c>
      <c r="AM593" s="2">
        <f>IFERROR(S593/D593,"")</f>
        <v/>
      </c>
      <c r="AN593" s="2">
        <f>IFERROR(T593/E593,"")</f>
        <v/>
      </c>
      <c r="AO593" s="2">
        <f>IFERROR(U593/F593,"")</f>
        <v/>
      </c>
    </row>
    <row r="594">
      <c r="B594">
        <f>IF($A594="","",IFERROR(INDEX('[AQ_2020.xlsx]原始数据'!$B:$B,MATCH($A594,'[AQ_2020.xlsx]原始数据'!$A:$A,0)),""))</f>
        <v/>
      </c>
      <c r="C594">
        <f>IF($A594="","",IFERROR(INDEX('[AQ_2021.xlsx]原始数据'!$B:$B,MATCH($A594,'[AQ_2021.xlsx]原始数据'!$A:$A,0)),""))</f>
        <v/>
      </c>
      <c r="D594">
        <f>IF($A594="","",IFERROR(INDEX('[AQ_2022.xlsx]原始数据'!$B:$B,MATCH($A594,'[AQ_2022.xlsx]原始数据'!$A:$A,0)),""))</f>
        <v/>
      </c>
      <c r="E594">
        <f>IF($A594="","",IFERROR(INDEX('[AQ_2023.xlsx]原始数据'!$B:$B,MATCH($A594,'[AQ_2023.xlsx]原始数据'!$A:$A,0)),""))</f>
        <v/>
      </c>
      <c r="F594">
        <f>IF($A594="","",IFERROR(INDEX('[AQ_2024.xlsx]原始数据'!$B:$B,MATCH($A594,'[AQ_2024.xlsx]原始数据'!$A:$A,0)),""))</f>
        <v/>
      </c>
      <c r="G594">
        <f>IF($A594="","",IFERROR(INDEX('[AQ_2020.xlsx]原始数据'!$C:$C,MATCH($A594,'[AQ_2020.xlsx]原始数据'!$A:$A,0)),""))</f>
        <v/>
      </c>
      <c r="H594">
        <f>IF($A594="","",IFERROR(INDEX('[AQ_2021.xlsx]原始数据'!$C:$C,MATCH($A594,'[AQ_2021.xlsx]原始数据'!$A:$A,0)),""))</f>
        <v/>
      </c>
      <c r="I594">
        <f>IF($A594="","",IFERROR(INDEX('[AQ_2022.xlsx]原始数据'!$C:$C,MATCH($A594,'[AQ_2022.xlsx]原始数据'!$A:$A,0)),""))</f>
        <v/>
      </c>
      <c r="J594">
        <f>IF($A594="","",IFERROR(INDEX('[AQ_2023.xlsx]原始数据'!$C:$C,MATCH($A594,'[AQ_2023.xlsx]原始数据'!$A:$A,0)),""))</f>
        <v/>
      </c>
      <c r="K594">
        <f>IF($A594="","",IFERROR(INDEX('[AQ_2024.xlsx]原始数据'!$C:$C,MATCH($A594,'[AQ_2024.xlsx]原始数据'!$A:$A,0)),""))</f>
        <v/>
      </c>
      <c r="L594">
        <f>IF($A594="","",IFERROR(INDEX('[AQ_2020.xlsx]原始数据'!$D:$D,MATCH($A594,'[AQ_2020.xlsx]原始数据'!$A:$A,0)),""))</f>
        <v/>
      </c>
      <c r="M594">
        <f>IF($A594="","",IFERROR(INDEX('[AQ_2021.xlsx]原始数据'!$D:$D,MATCH($A594,'[AQ_2021.xlsx]原始数据'!$A:$A,0)),""))</f>
        <v/>
      </c>
      <c r="N594">
        <f>IF($A594="","",IFERROR(INDEX('[AQ_2022.xlsx]原始数据'!$D:$D,MATCH($A594,'[AQ_2022.xlsx]原始数据'!$A:$A,0)),""))</f>
        <v/>
      </c>
      <c r="O594">
        <f>IF($A594="","",IFERROR(INDEX('[AQ_2023.xlsx]原始数据'!$D:$D,MATCH($A594,'[AQ_2023.xlsx]原始数据'!$A:$A,0)),""))</f>
        <v/>
      </c>
      <c r="P594">
        <f>IF($A594="","",IFERROR(INDEX('[AQ_2024.xlsx]原始数据'!$D:$D,MATCH($A594,'[AQ_2024.xlsx]原始数据'!$A:$A,0)),""))</f>
        <v/>
      </c>
      <c r="Q594">
        <f>IF($A594="","",IFERROR(INDEX('[AQ_2020.xlsx]原始数据'!$E:$E,MATCH($A594,'[AQ_2020.xlsx]原始数据'!$A:$A,0)),""))</f>
        <v/>
      </c>
      <c r="R594">
        <f>IF($A594="","",IFERROR(INDEX('[AQ_2021.xlsx]原始数据'!$E:$E,MATCH($A594,'[AQ_2021.xlsx]原始数据'!$A:$A,0)),""))</f>
        <v/>
      </c>
      <c r="S594">
        <f>IF($A594="","",IFERROR(INDEX('[AQ_2022.xlsx]原始数据'!$E:$E,MATCH($A594,'[AQ_2022.xlsx]原始数据'!$A:$A,0)),""))</f>
        <v/>
      </c>
      <c r="T594">
        <f>IF($A594="","",IFERROR(INDEX('[AQ_2023.xlsx]原始数据'!$E:$E,MATCH($A594,'[AQ_2023.xlsx]原始数据'!$A:$A,0)),""))</f>
        <v/>
      </c>
      <c r="U594">
        <f>IF($A594="","",IFERROR(INDEX('[AQ_2024.xlsx]原始数据'!$E:$E,MATCH($A594,'[AQ_2024.xlsx]原始数据'!$A:$A,0)),""))</f>
        <v/>
      </c>
      <c r="V594">
        <f>IF($A594="","",IFERROR(INDEX('[AQ_2020.xlsx]原始数据'!$F:$F,MATCH($A594,'[AQ_2020.xlsx]原始数据'!$A:$A,0)),""))</f>
        <v/>
      </c>
      <c r="W594">
        <f>IF($A594="","",IFERROR(INDEX('[AQ_2021.xlsx]原始数据'!$F:$F,MATCH($A594,'[AQ_2021.xlsx]原始数据'!$A:$A,0)),""))</f>
        <v/>
      </c>
      <c r="X594">
        <f>IF($A594="","",IFERROR(INDEX('[AQ_2022.xlsx]原始数据'!$F:$F,MATCH($A594,'[AQ_2022.xlsx]原始数据'!$A:$A,0)),""))</f>
        <v/>
      </c>
      <c r="Y594">
        <f>IF($A594="","",IFERROR(INDEX('[AQ_2023.xlsx]原始数据'!$F:$F,MATCH($A594,'[AQ_2023.xlsx]原始数据'!$A:$A,0)),""))</f>
        <v/>
      </c>
      <c r="Z594">
        <f>IF($A594="","",IFERROR(INDEX('[AQ_2024.xlsx]原始数据'!$F:$F,MATCH($A594,'[AQ_2024.xlsx]原始数据'!$A:$A,0)),""))</f>
        <v/>
      </c>
      <c r="AA594" s="2">
        <f>IFERROR(G594/B594,"")</f>
        <v/>
      </c>
      <c r="AB594" s="2">
        <f>IFERROR(H594/C594,"")</f>
        <v/>
      </c>
      <c r="AC594" s="2">
        <f>IFERROR(I594/D594,"")</f>
        <v/>
      </c>
      <c r="AD594" s="2">
        <f>IFERROR(J594/E594,"")</f>
        <v/>
      </c>
      <c r="AE594" s="2">
        <f>IFERROR(K594/F594,"")</f>
        <v/>
      </c>
      <c r="AF594" s="2">
        <f>IFERROR(L594/B594,"")</f>
        <v/>
      </c>
      <c r="AG594" s="2">
        <f>IFERROR(M594/C594,"")</f>
        <v/>
      </c>
      <c r="AH594" s="2">
        <f>IFERROR(N594/D594,"")</f>
        <v/>
      </c>
      <c r="AI594" s="2">
        <f>IFERROR(O594/E594,"")</f>
        <v/>
      </c>
      <c r="AJ594" s="2">
        <f>IFERROR(P594/F594,"")</f>
        <v/>
      </c>
      <c r="AK594" s="2">
        <f>IFERROR(Q594/B594,"")</f>
        <v/>
      </c>
      <c r="AL594" s="2">
        <f>IFERROR(R594/C594,"")</f>
        <v/>
      </c>
      <c r="AM594" s="2">
        <f>IFERROR(S594/D594,"")</f>
        <v/>
      </c>
      <c r="AN594" s="2">
        <f>IFERROR(T594/E594,"")</f>
        <v/>
      </c>
      <c r="AO594" s="2">
        <f>IFERROR(U594/F594,"")</f>
        <v/>
      </c>
    </row>
    <row r="595">
      <c r="B595">
        <f>IF($A595="","",IFERROR(INDEX('[AQ_2020.xlsx]原始数据'!$B:$B,MATCH($A595,'[AQ_2020.xlsx]原始数据'!$A:$A,0)),""))</f>
        <v/>
      </c>
      <c r="C595">
        <f>IF($A595="","",IFERROR(INDEX('[AQ_2021.xlsx]原始数据'!$B:$B,MATCH($A595,'[AQ_2021.xlsx]原始数据'!$A:$A,0)),""))</f>
        <v/>
      </c>
      <c r="D595">
        <f>IF($A595="","",IFERROR(INDEX('[AQ_2022.xlsx]原始数据'!$B:$B,MATCH($A595,'[AQ_2022.xlsx]原始数据'!$A:$A,0)),""))</f>
        <v/>
      </c>
      <c r="E595">
        <f>IF($A595="","",IFERROR(INDEX('[AQ_2023.xlsx]原始数据'!$B:$B,MATCH($A595,'[AQ_2023.xlsx]原始数据'!$A:$A,0)),""))</f>
        <v/>
      </c>
      <c r="F595">
        <f>IF($A595="","",IFERROR(INDEX('[AQ_2024.xlsx]原始数据'!$B:$B,MATCH($A595,'[AQ_2024.xlsx]原始数据'!$A:$A,0)),""))</f>
        <v/>
      </c>
      <c r="G595">
        <f>IF($A595="","",IFERROR(INDEX('[AQ_2020.xlsx]原始数据'!$C:$C,MATCH($A595,'[AQ_2020.xlsx]原始数据'!$A:$A,0)),""))</f>
        <v/>
      </c>
      <c r="H595">
        <f>IF($A595="","",IFERROR(INDEX('[AQ_2021.xlsx]原始数据'!$C:$C,MATCH($A595,'[AQ_2021.xlsx]原始数据'!$A:$A,0)),""))</f>
        <v/>
      </c>
      <c r="I595">
        <f>IF($A595="","",IFERROR(INDEX('[AQ_2022.xlsx]原始数据'!$C:$C,MATCH($A595,'[AQ_2022.xlsx]原始数据'!$A:$A,0)),""))</f>
        <v/>
      </c>
      <c r="J595">
        <f>IF($A595="","",IFERROR(INDEX('[AQ_2023.xlsx]原始数据'!$C:$C,MATCH($A595,'[AQ_2023.xlsx]原始数据'!$A:$A,0)),""))</f>
        <v/>
      </c>
      <c r="K595">
        <f>IF($A595="","",IFERROR(INDEX('[AQ_2024.xlsx]原始数据'!$C:$C,MATCH($A595,'[AQ_2024.xlsx]原始数据'!$A:$A,0)),""))</f>
        <v/>
      </c>
      <c r="L595">
        <f>IF($A595="","",IFERROR(INDEX('[AQ_2020.xlsx]原始数据'!$D:$D,MATCH($A595,'[AQ_2020.xlsx]原始数据'!$A:$A,0)),""))</f>
        <v/>
      </c>
      <c r="M595">
        <f>IF($A595="","",IFERROR(INDEX('[AQ_2021.xlsx]原始数据'!$D:$D,MATCH($A595,'[AQ_2021.xlsx]原始数据'!$A:$A,0)),""))</f>
        <v/>
      </c>
      <c r="N595">
        <f>IF($A595="","",IFERROR(INDEX('[AQ_2022.xlsx]原始数据'!$D:$D,MATCH($A595,'[AQ_2022.xlsx]原始数据'!$A:$A,0)),""))</f>
        <v/>
      </c>
      <c r="O595">
        <f>IF($A595="","",IFERROR(INDEX('[AQ_2023.xlsx]原始数据'!$D:$D,MATCH($A595,'[AQ_2023.xlsx]原始数据'!$A:$A,0)),""))</f>
        <v/>
      </c>
      <c r="P595">
        <f>IF($A595="","",IFERROR(INDEX('[AQ_2024.xlsx]原始数据'!$D:$D,MATCH($A595,'[AQ_2024.xlsx]原始数据'!$A:$A,0)),""))</f>
        <v/>
      </c>
      <c r="Q595">
        <f>IF($A595="","",IFERROR(INDEX('[AQ_2020.xlsx]原始数据'!$E:$E,MATCH($A595,'[AQ_2020.xlsx]原始数据'!$A:$A,0)),""))</f>
        <v/>
      </c>
      <c r="R595">
        <f>IF($A595="","",IFERROR(INDEX('[AQ_2021.xlsx]原始数据'!$E:$E,MATCH($A595,'[AQ_2021.xlsx]原始数据'!$A:$A,0)),""))</f>
        <v/>
      </c>
      <c r="S595">
        <f>IF($A595="","",IFERROR(INDEX('[AQ_2022.xlsx]原始数据'!$E:$E,MATCH($A595,'[AQ_2022.xlsx]原始数据'!$A:$A,0)),""))</f>
        <v/>
      </c>
      <c r="T595">
        <f>IF($A595="","",IFERROR(INDEX('[AQ_2023.xlsx]原始数据'!$E:$E,MATCH($A595,'[AQ_2023.xlsx]原始数据'!$A:$A,0)),""))</f>
        <v/>
      </c>
      <c r="U595">
        <f>IF($A595="","",IFERROR(INDEX('[AQ_2024.xlsx]原始数据'!$E:$E,MATCH($A595,'[AQ_2024.xlsx]原始数据'!$A:$A,0)),""))</f>
        <v/>
      </c>
      <c r="V595">
        <f>IF($A595="","",IFERROR(INDEX('[AQ_2020.xlsx]原始数据'!$F:$F,MATCH($A595,'[AQ_2020.xlsx]原始数据'!$A:$A,0)),""))</f>
        <v/>
      </c>
      <c r="W595">
        <f>IF($A595="","",IFERROR(INDEX('[AQ_2021.xlsx]原始数据'!$F:$F,MATCH($A595,'[AQ_2021.xlsx]原始数据'!$A:$A,0)),""))</f>
        <v/>
      </c>
      <c r="X595">
        <f>IF($A595="","",IFERROR(INDEX('[AQ_2022.xlsx]原始数据'!$F:$F,MATCH($A595,'[AQ_2022.xlsx]原始数据'!$A:$A,0)),""))</f>
        <v/>
      </c>
      <c r="Y595">
        <f>IF($A595="","",IFERROR(INDEX('[AQ_2023.xlsx]原始数据'!$F:$F,MATCH($A595,'[AQ_2023.xlsx]原始数据'!$A:$A,0)),""))</f>
        <v/>
      </c>
      <c r="Z595">
        <f>IF($A595="","",IFERROR(INDEX('[AQ_2024.xlsx]原始数据'!$F:$F,MATCH($A595,'[AQ_2024.xlsx]原始数据'!$A:$A,0)),""))</f>
        <v/>
      </c>
      <c r="AA595" s="2">
        <f>IFERROR(G595/B595,"")</f>
        <v/>
      </c>
      <c r="AB595" s="2">
        <f>IFERROR(H595/C595,"")</f>
        <v/>
      </c>
      <c r="AC595" s="2">
        <f>IFERROR(I595/D595,"")</f>
        <v/>
      </c>
      <c r="AD595" s="2">
        <f>IFERROR(J595/E595,"")</f>
        <v/>
      </c>
      <c r="AE595" s="2">
        <f>IFERROR(K595/F595,"")</f>
        <v/>
      </c>
      <c r="AF595" s="2">
        <f>IFERROR(L595/B595,"")</f>
        <v/>
      </c>
      <c r="AG595" s="2">
        <f>IFERROR(M595/C595,"")</f>
        <v/>
      </c>
      <c r="AH595" s="2">
        <f>IFERROR(N595/D595,"")</f>
        <v/>
      </c>
      <c r="AI595" s="2">
        <f>IFERROR(O595/E595,"")</f>
        <v/>
      </c>
      <c r="AJ595" s="2">
        <f>IFERROR(P595/F595,"")</f>
        <v/>
      </c>
      <c r="AK595" s="2">
        <f>IFERROR(Q595/B595,"")</f>
        <v/>
      </c>
      <c r="AL595" s="2">
        <f>IFERROR(R595/C595,"")</f>
        <v/>
      </c>
      <c r="AM595" s="2">
        <f>IFERROR(S595/D595,"")</f>
        <v/>
      </c>
      <c r="AN595" s="2">
        <f>IFERROR(T595/E595,"")</f>
        <v/>
      </c>
      <c r="AO595" s="2">
        <f>IFERROR(U595/F595,"")</f>
        <v/>
      </c>
    </row>
    <row r="596">
      <c r="B596">
        <f>IF($A596="","",IFERROR(INDEX('[AQ_2020.xlsx]原始数据'!$B:$B,MATCH($A596,'[AQ_2020.xlsx]原始数据'!$A:$A,0)),""))</f>
        <v/>
      </c>
      <c r="C596">
        <f>IF($A596="","",IFERROR(INDEX('[AQ_2021.xlsx]原始数据'!$B:$B,MATCH($A596,'[AQ_2021.xlsx]原始数据'!$A:$A,0)),""))</f>
        <v/>
      </c>
      <c r="D596">
        <f>IF($A596="","",IFERROR(INDEX('[AQ_2022.xlsx]原始数据'!$B:$B,MATCH($A596,'[AQ_2022.xlsx]原始数据'!$A:$A,0)),""))</f>
        <v/>
      </c>
      <c r="E596">
        <f>IF($A596="","",IFERROR(INDEX('[AQ_2023.xlsx]原始数据'!$B:$B,MATCH($A596,'[AQ_2023.xlsx]原始数据'!$A:$A,0)),""))</f>
        <v/>
      </c>
      <c r="F596">
        <f>IF($A596="","",IFERROR(INDEX('[AQ_2024.xlsx]原始数据'!$B:$B,MATCH($A596,'[AQ_2024.xlsx]原始数据'!$A:$A,0)),""))</f>
        <v/>
      </c>
      <c r="G596">
        <f>IF($A596="","",IFERROR(INDEX('[AQ_2020.xlsx]原始数据'!$C:$C,MATCH($A596,'[AQ_2020.xlsx]原始数据'!$A:$A,0)),""))</f>
        <v/>
      </c>
      <c r="H596">
        <f>IF($A596="","",IFERROR(INDEX('[AQ_2021.xlsx]原始数据'!$C:$C,MATCH($A596,'[AQ_2021.xlsx]原始数据'!$A:$A,0)),""))</f>
        <v/>
      </c>
      <c r="I596">
        <f>IF($A596="","",IFERROR(INDEX('[AQ_2022.xlsx]原始数据'!$C:$C,MATCH($A596,'[AQ_2022.xlsx]原始数据'!$A:$A,0)),""))</f>
        <v/>
      </c>
      <c r="J596">
        <f>IF($A596="","",IFERROR(INDEX('[AQ_2023.xlsx]原始数据'!$C:$C,MATCH($A596,'[AQ_2023.xlsx]原始数据'!$A:$A,0)),""))</f>
        <v/>
      </c>
      <c r="K596">
        <f>IF($A596="","",IFERROR(INDEX('[AQ_2024.xlsx]原始数据'!$C:$C,MATCH($A596,'[AQ_2024.xlsx]原始数据'!$A:$A,0)),""))</f>
        <v/>
      </c>
      <c r="L596">
        <f>IF($A596="","",IFERROR(INDEX('[AQ_2020.xlsx]原始数据'!$D:$D,MATCH($A596,'[AQ_2020.xlsx]原始数据'!$A:$A,0)),""))</f>
        <v/>
      </c>
      <c r="M596">
        <f>IF($A596="","",IFERROR(INDEX('[AQ_2021.xlsx]原始数据'!$D:$D,MATCH($A596,'[AQ_2021.xlsx]原始数据'!$A:$A,0)),""))</f>
        <v/>
      </c>
      <c r="N596">
        <f>IF($A596="","",IFERROR(INDEX('[AQ_2022.xlsx]原始数据'!$D:$D,MATCH($A596,'[AQ_2022.xlsx]原始数据'!$A:$A,0)),""))</f>
        <v/>
      </c>
      <c r="O596">
        <f>IF($A596="","",IFERROR(INDEX('[AQ_2023.xlsx]原始数据'!$D:$D,MATCH($A596,'[AQ_2023.xlsx]原始数据'!$A:$A,0)),""))</f>
        <v/>
      </c>
      <c r="P596">
        <f>IF($A596="","",IFERROR(INDEX('[AQ_2024.xlsx]原始数据'!$D:$D,MATCH($A596,'[AQ_2024.xlsx]原始数据'!$A:$A,0)),""))</f>
        <v/>
      </c>
      <c r="Q596">
        <f>IF($A596="","",IFERROR(INDEX('[AQ_2020.xlsx]原始数据'!$E:$E,MATCH($A596,'[AQ_2020.xlsx]原始数据'!$A:$A,0)),""))</f>
        <v/>
      </c>
      <c r="R596">
        <f>IF($A596="","",IFERROR(INDEX('[AQ_2021.xlsx]原始数据'!$E:$E,MATCH($A596,'[AQ_2021.xlsx]原始数据'!$A:$A,0)),""))</f>
        <v/>
      </c>
      <c r="S596">
        <f>IF($A596="","",IFERROR(INDEX('[AQ_2022.xlsx]原始数据'!$E:$E,MATCH($A596,'[AQ_2022.xlsx]原始数据'!$A:$A,0)),""))</f>
        <v/>
      </c>
      <c r="T596">
        <f>IF($A596="","",IFERROR(INDEX('[AQ_2023.xlsx]原始数据'!$E:$E,MATCH($A596,'[AQ_2023.xlsx]原始数据'!$A:$A,0)),""))</f>
        <v/>
      </c>
      <c r="U596">
        <f>IF($A596="","",IFERROR(INDEX('[AQ_2024.xlsx]原始数据'!$E:$E,MATCH($A596,'[AQ_2024.xlsx]原始数据'!$A:$A,0)),""))</f>
        <v/>
      </c>
      <c r="V596">
        <f>IF($A596="","",IFERROR(INDEX('[AQ_2020.xlsx]原始数据'!$F:$F,MATCH($A596,'[AQ_2020.xlsx]原始数据'!$A:$A,0)),""))</f>
        <v/>
      </c>
      <c r="W596">
        <f>IF($A596="","",IFERROR(INDEX('[AQ_2021.xlsx]原始数据'!$F:$F,MATCH($A596,'[AQ_2021.xlsx]原始数据'!$A:$A,0)),""))</f>
        <v/>
      </c>
      <c r="X596">
        <f>IF($A596="","",IFERROR(INDEX('[AQ_2022.xlsx]原始数据'!$F:$F,MATCH($A596,'[AQ_2022.xlsx]原始数据'!$A:$A,0)),""))</f>
        <v/>
      </c>
      <c r="Y596">
        <f>IF($A596="","",IFERROR(INDEX('[AQ_2023.xlsx]原始数据'!$F:$F,MATCH($A596,'[AQ_2023.xlsx]原始数据'!$A:$A,0)),""))</f>
        <v/>
      </c>
      <c r="Z596">
        <f>IF($A596="","",IFERROR(INDEX('[AQ_2024.xlsx]原始数据'!$F:$F,MATCH($A596,'[AQ_2024.xlsx]原始数据'!$A:$A,0)),""))</f>
        <v/>
      </c>
      <c r="AA596" s="2">
        <f>IFERROR(G596/B596,"")</f>
        <v/>
      </c>
      <c r="AB596" s="2">
        <f>IFERROR(H596/C596,"")</f>
        <v/>
      </c>
      <c r="AC596" s="2">
        <f>IFERROR(I596/D596,"")</f>
        <v/>
      </c>
      <c r="AD596" s="2">
        <f>IFERROR(J596/E596,"")</f>
        <v/>
      </c>
      <c r="AE596" s="2">
        <f>IFERROR(K596/F596,"")</f>
        <v/>
      </c>
      <c r="AF596" s="2">
        <f>IFERROR(L596/B596,"")</f>
        <v/>
      </c>
      <c r="AG596" s="2">
        <f>IFERROR(M596/C596,"")</f>
        <v/>
      </c>
      <c r="AH596" s="2">
        <f>IFERROR(N596/D596,"")</f>
        <v/>
      </c>
      <c r="AI596" s="2">
        <f>IFERROR(O596/E596,"")</f>
        <v/>
      </c>
      <c r="AJ596" s="2">
        <f>IFERROR(P596/F596,"")</f>
        <v/>
      </c>
      <c r="AK596" s="2">
        <f>IFERROR(Q596/B596,"")</f>
        <v/>
      </c>
      <c r="AL596" s="2">
        <f>IFERROR(R596/C596,"")</f>
        <v/>
      </c>
      <c r="AM596" s="2">
        <f>IFERROR(S596/D596,"")</f>
        <v/>
      </c>
      <c r="AN596" s="2">
        <f>IFERROR(T596/E596,"")</f>
        <v/>
      </c>
      <c r="AO596" s="2">
        <f>IFERROR(U596/F596,"")</f>
        <v/>
      </c>
    </row>
    <row r="597">
      <c r="B597">
        <f>IF($A597="","",IFERROR(INDEX('[AQ_2020.xlsx]原始数据'!$B:$B,MATCH($A597,'[AQ_2020.xlsx]原始数据'!$A:$A,0)),""))</f>
        <v/>
      </c>
      <c r="C597">
        <f>IF($A597="","",IFERROR(INDEX('[AQ_2021.xlsx]原始数据'!$B:$B,MATCH($A597,'[AQ_2021.xlsx]原始数据'!$A:$A,0)),""))</f>
        <v/>
      </c>
      <c r="D597">
        <f>IF($A597="","",IFERROR(INDEX('[AQ_2022.xlsx]原始数据'!$B:$B,MATCH($A597,'[AQ_2022.xlsx]原始数据'!$A:$A,0)),""))</f>
        <v/>
      </c>
      <c r="E597">
        <f>IF($A597="","",IFERROR(INDEX('[AQ_2023.xlsx]原始数据'!$B:$B,MATCH($A597,'[AQ_2023.xlsx]原始数据'!$A:$A,0)),""))</f>
        <v/>
      </c>
      <c r="F597">
        <f>IF($A597="","",IFERROR(INDEX('[AQ_2024.xlsx]原始数据'!$B:$B,MATCH($A597,'[AQ_2024.xlsx]原始数据'!$A:$A,0)),""))</f>
        <v/>
      </c>
      <c r="G597">
        <f>IF($A597="","",IFERROR(INDEX('[AQ_2020.xlsx]原始数据'!$C:$C,MATCH($A597,'[AQ_2020.xlsx]原始数据'!$A:$A,0)),""))</f>
        <v/>
      </c>
      <c r="H597">
        <f>IF($A597="","",IFERROR(INDEX('[AQ_2021.xlsx]原始数据'!$C:$C,MATCH($A597,'[AQ_2021.xlsx]原始数据'!$A:$A,0)),""))</f>
        <v/>
      </c>
      <c r="I597">
        <f>IF($A597="","",IFERROR(INDEX('[AQ_2022.xlsx]原始数据'!$C:$C,MATCH($A597,'[AQ_2022.xlsx]原始数据'!$A:$A,0)),""))</f>
        <v/>
      </c>
      <c r="J597">
        <f>IF($A597="","",IFERROR(INDEX('[AQ_2023.xlsx]原始数据'!$C:$C,MATCH($A597,'[AQ_2023.xlsx]原始数据'!$A:$A,0)),""))</f>
        <v/>
      </c>
      <c r="K597">
        <f>IF($A597="","",IFERROR(INDEX('[AQ_2024.xlsx]原始数据'!$C:$C,MATCH($A597,'[AQ_2024.xlsx]原始数据'!$A:$A,0)),""))</f>
        <v/>
      </c>
      <c r="L597">
        <f>IF($A597="","",IFERROR(INDEX('[AQ_2020.xlsx]原始数据'!$D:$D,MATCH($A597,'[AQ_2020.xlsx]原始数据'!$A:$A,0)),""))</f>
        <v/>
      </c>
      <c r="M597">
        <f>IF($A597="","",IFERROR(INDEX('[AQ_2021.xlsx]原始数据'!$D:$D,MATCH($A597,'[AQ_2021.xlsx]原始数据'!$A:$A,0)),""))</f>
        <v/>
      </c>
      <c r="N597">
        <f>IF($A597="","",IFERROR(INDEX('[AQ_2022.xlsx]原始数据'!$D:$D,MATCH($A597,'[AQ_2022.xlsx]原始数据'!$A:$A,0)),""))</f>
        <v/>
      </c>
      <c r="O597">
        <f>IF($A597="","",IFERROR(INDEX('[AQ_2023.xlsx]原始数据'!$D:$D,MATCH($A597,'[AQ_2023.xlsx]原始数据'!$A:$A,0)),""))</f>
        <v/>
      </c>
      <c r="P597">
        <f>IF($A597="","",IFERROR(INDEX('[AQ_2024.xlsx]原始数据'!$D:$D,MATCH($A597,'[AQ_2024.xlsx]原始数据'!$A:$A,0)),""))</f>
        <v/>
      </c>
      <c r="Q597">
        <f>IF($A597="","",IFERROR(INDEX('[AQ_2020.xlsx]原始数据'!$E:$E,MATCH($A597,'[AQ_2020.xlsx]原始数据'!$A:$A,0)),""))</f>
        <v/>
      </c>
      <c r="R597">
        <f>IF($A597="","",IFERROR(INDEX('[AQ_2021.xlsx]原始数据'!$E:$E,MATCH($A597,'[AQ_2021.xlsx]原始数据'!$A:$A,0)),""))</f>
        <v/>
      </c>
      <c r="S597">
        <f>IF($A597="","",IFERROR(INDEX('[AQ_2022.xlsx]原始数据'!$E:$E,MATCH($A597,'[AQ_2022.xlsx]原始数据'!$A:$A,0)),""))</f>
        <v/>
      </c>
      <c r="T597">
        <f>IF($A597="","",IFERROR(INDEX('[AQ_2023.xlsx]原始数据'!$E:$E,MATCH($A597,'[AQ_2023.xlsx]原始数据'!$A:$A,0)),""))</f>
        <v/>
      </c>
      <c r="U597">
        <f>IF($A597="","",IFERROR(INDEX('[AQ_2024.xlsx]原始数据'!$E:$E,MATCH($A597,'[AQ_2024.xlsx]原始数据'!$A:$A,0)),""))</f>
        <v/>
      </c>
      <c r="V597">
        <f>IF($A597="","",IFERROR(INDEX('[AQ_2020.xlsx]原始数据'!$F:$F,MATCH($A597,'[AQ_2020.xlsx]原始数据'!$A:$A,0)),""))</f>
        <v/>
      </c>
      <c r="W597">
        <f>IF($A597="","",IFERROR(INDEX('[AQ_2021.xlsx]原始数据'!$F:$F,MATCH($A597,'[AQ_2021.xlsx]原始数据'!$A:$A,0)),""))</f>
        <v/>
      </c>
      <c r="X597">
        <f>IF($A597="","",IFERROR(INDEX('[AQ_2022.xlsx]原始数据'!$F:$F,MATCH($A597,'[AQ_2022.xlsx]原始数据'!$A:$A,0)),""))</f>
        <v/>
      </c>
      <c r="Y597">
        <f>IF($A597="","",IFERROR(INDEX('[AQ_2023.xlsx]原始数据'!$F:$F,MATCH($A597,'[AQ_2023.xlsx]原始数据'!$A:$A,0)),""))</f>
        <v/>
      </c>
      <c r="Z597">
        <f>IF($A597="","",IFERROR(INDEX('[AQ_2024.xlsx]原始数据'!$F:$F,MATCH($A597,'[AQ_2024.xlsx]原始数据'!$A:$A,0)),""))</f>
        <v/>
      </c>
      <c r="AA597" s="2">
        <f>IFERROR(G597/B597,"")</f>
        <v/>
      </c>
      <c r="AB597" s="2">
        <f>IFERROR(H597/C597,"")</f>
        <v/>
      </c>
      <c r="AC597" s="2">
        <f>IFERROR(I597/D597,"")</f>
        <v/>
      </c>
      <c r="AD597" s="2">
        <f>IFERROR(J597/E597,"")</f>
        <v/>
      </c>
      <c r="AE597" s="2">
        <f>IFERROR(K597/F597,"")</f>
        <v/>
      </c>
      <c r="AF597" s="2">
        <f>IFERROR(L597/B597,"")</f>
        <v/>
      </c>
      <c r="AG597" s="2">
        <f>IFERROR(M597/C597,"")</f>
        <v/>
      </c>
      <c r="AH597" s="2">
        <f>IFERROR(N597/D597,"")</f>
        <v/>
      </c>
      <c r="AI597" s="2">
        <f>IFERROR(O597/E597,"")</f>
        <v/>
      </c>
      <c r="AJ597" s="2">
        <f>IFERROR(P597/F597,"")</f>
        <v/>
      </c>
      <c r="AK597" s="2">
        <f>IFERROR(Q597/B597,"")</f>
        <v/>
      </c>
      <c r="AL597" s="2">
        <f>IFERROR(R597/C597,"")</f>
        <v/>
      </c>
      <c r="AM597" s="2">
        <f>IFERROR(S597/D597,"")</f>
        <v/>
      </c>
      <c r="AN597" s="2">
        <f>IFERROR(T597/E597,"")</f>
        <v/>
      </c>
      <c r="AO597" s="2">
        <f>IFERROR(U597/F597,"")</f>
        <v/>
      </c>
    </row>
    <row r="598">
      <c r="B598">
        <f>IF($A598="","",IFERROR(INDEX('[AQ_2020.xlsx]原始数据'!$B:$B,MATCH($A598,'[AQ_2020.xlsx]原始数据'!$A:$A,0)),""))</f>
        <v/>
      </c>
      <c r="C598">
        <f>IF($A598="","",IFERROR(INDEX('[AQ_2021.xlsx]原始数据'!$B:$B,MATCH($A598,'[AQ_2021.xlsx]原始数据'!$A:$A,0)),""))</f>
        <v/>
      </c>
      <c r="D598">
        <f>IF($A598="","",IFERROR(INDEX('[AQ_2022.xlsx]原始数据'!$B:$B,MATCH($A598,'[AQ_2022.xlsx]原始数据'!$A:$A,0)),""))</f>
        <v/>
      </c>
      <c r="E598">
        <f>IF($A598="","",IFERROR(INDEX('[AQ_2023.xlsx]原始数据'!$B:$B,MATCH($A598,'[AQ_2023.xlsx]原始数据'!$A:$A,0)),""))</f>
        <v/>
      </c>
      <c r="F598">
        <f>IF($A598="","",IFERROR(INDEX('[AQ_2024.xlsx]原始数据'!$B:$B,MATCH($A598,'[AQ_2024.xlsx]原始数据'!$A:$A,0)),""))</f>
        <v/>
      </c>
      <c r="G598">
        <f>IF($A598="","",IFERROR(INDEX('[AQ_2020.xlsx]原始数据'!$C:$C,MATCH($A598,'[AQ_2020.xlsx]原始数据'!$A:$A,0)),""))</f>
        <v/>
      </c>
      <c r="H598">
        <f>IF($A598="","",IFERROR(INDEX('[AQ_2021.xlsx]原始数据'!$C:$C,MATCH($A598,'[AQ_2021.xlsx]原始数据'!$A:$A,0)),""))</f>
        <v/>
      </c>
      <c r="I598">
        <f>IF($A598="","",IFERROR(INDEX('[AQ_2022.xlsx]原始数据'!$C:$C,MATCH($A598,'[AQ_2022.xlsx]原始数据'!$A:$A,0)),""))</f>
        <v/>
      </c>
      <c r="J598">
        <f>IF($A598="","",IFERROR(INDEX('[AQ_2023.xlsx]原始数据'!$C:$C,MATCH($A598,'[AQ_2023.xlsx]原始数据'!$A:$A,0)),""))</f>
        <v/>
      </c>
      <c r="K598">
        <f>IF($A598="","",IFERROR(INDEX('[AQ_2024.xlsx]原始数据'!$C:$C,MATCH($A598,'[AQ_2024.xlsx]原始数据'!$A:$A,0)),""))</f>
        <v/>
      </c>
      <c r="L598">
        <f>IF($A598="","",IFERROR(INDEX('[AQ_2020.xlsx]原始数据'!$D:$D,MATCH($A598,'[AQ_2020.xlsx]原始数据'!$A:$A,0)),""))</f>
        <v/>
      </c>
      <c r="M598">
        <f>IF($A598="","",IFERROR(INDEX('[AQ_2021.xlsx]原始数据'!$D:$D,MATCH($A598,'[AQ_2021.xlsx]原始数据'!$A:$A,0)),""))</f>
        <v/>
      </c>
      <c r="N598">
        <f>IF($A598="","",IFERROR(INDEX('[AQ_2022.xlsx]原始数据'!$D:$D,MATCH($A598,'[AQ_2022.xlsx]原始数据'!$A:$A,0)),""))</f>
        <v/>
      </c>
      <c r="O598">
        <f>IF($A598="","",IFERROR(INDEX('[AQ_2023.xlsx]原始数据'!$D:$D,MATCH($A598,'[AQ_2023.xlsx]原始数据'!$A:$A,0)),""))</f>
        <v/>
      </c>
      <c r="P598">
        <f>IF($A598="","",IFERROR(INDEX('[AQ_2024.xlsx]原始数据'!$D:$D,MATCH($A598,'[AQ_2024.xlsx]原始数据'!$A:$A,0)),""))</f>
        <v/>
      </c>
      <c r="Q598">
        <f>IF($A598="","",IFERROR(INDEX('[AQ_2020.xlsx]原始数据'!$E:$E,MATCH($A598,'[AQ_2020.xlsx]原始数据'!$A:$A,0)),""))</f>
        <v/>
      </c>
      <c r="R598">
        <f>IF($A598="","",IFERROR(INDEX('[AQ_2021.xlsx]原始数据'!$E:$E,MATCH($A598,'[AQ_2021.xlsx]原始数据'!$A:$A,0)),""))</f>
        <v/>
      </c>
      <c r="S598">
        <f>IF($A598="","",IFERROR(INDEX('[AQ_2022.xlsx]原始数据'!$E:$E,MATCH($A598,'[AQ_2022.xlsx]原始数据'!$A:$A,0)),""))</f>
        <v/>
      </c>
      <c r="T598">
        <f>IF($A598="","",IFERROR(INDEX('[AQ_2023.xlsx]原始数据'!$E:$E,MATCH($A598,'[AQ_2023.xlsx]原始数据'!$A:$A,0)),""))</f>
        <v/>
      </c>
      <c r="U598">
        <f>IF($A598="","",IFERROR(INDEX('[AQ_2024.xlsx]原始数据'!$E:$E,MATCH($A598,'[AQ_2024.xlsx]原始数据'!$A:$A,0)),""))</f>
        <v/>
      </c>
      <c r="V598">
        <f>IF($A598="","",IFERROR(INDEX('[AQ_2020.xlsx]原始数据'!$F:$F,MATCH($A598,'[AQ_2020.xlsx]原始数据'!$A:$A,0)),""))</f>
        <v/>
      </c>
      <c r="W598">
        <f>IF($A598="","",IFERROR(INDEX('[AQ_2021.xlsx]原始数据'!$F:$F,MATCH($A598,'[AQ_2021.xlsx]原始数据'!$A:$A,0)),""))</f>
        <v/>
      </c>
      <c r="X598">
        <f>IF($A598="","",IFERROR(INDEX('[AQ_2022.xlsx]原始数据'!$F:$F,MATCH($A598,'[AQ_2022.xlsx]原始数据'!$A:$A,0)),""))</f>
        <v/>
      </c>
      <c r="Y598">
        <f>IF($A598="","",IFERROR(INDEX('[AQ_2023.xlsx]原始数据'!$F:$F,MATCH($A598,'[AQ_2023.xlsx]原始数据'!$A:$A,0)),""))</f>
        <v/>
      </c>
      <c r="Z598">
        <f>IF($A598="","",IFERROR(INDEX('[AQ_2024.xlsx]原始数据'!$F:$F,MATCH($A598,'[AQ_2024.xlsx]原始数据'!$A:$A,0)),""))</f>
        <v/>
      </c>
      <c r="AA598" s="2">
        <f>IFERROR(G598/B598,"")</f>
        <v/>
      </c>
      <c r="AB598" s="2">
        <f>IFERROR(H598/C598,"")</f>
        <v/>
      </c>
      <c r="AC598" s="2">
        <f>IFERROR(I598/D598,"")</f>
        <v/>
      </c>
      <c r="AD598" s="2">
        <f>IFERROR(J598/E598,"")</f>
        <v/>
      </c>
      <c r="AE598" s="2">
        <f>IFERROR(K598/F598,"")</f>
        <v/>
      </c>
      <c r="AF598" s="2">
        <f>IFERROR(L598/B598,"")</f>
        <v/>
      </c>
      <c r="AG598" s="2">
        <f>IFERROR(M598/C598,"")</f>
        <v/>
      </c>
      <c r="AH598" s="2">
        <f>IFERROR(N598/D598,"")</f>
        <v/>
      </c>
      <c r="AI598" s="2">
        <f>IFERROR(O598/E598,"")</f>
        <v/>
      </c>
      <c r="AJ598" s="2">
        <f>IFERROR(P598/F598,"")</f>
        <v/>
      </c>
      <c r="AK598" s="2">
        <f>IFERROR(Q598/B598,"")</f>
        <v/>
      </c>
      <c r="AL598" s="2">
        <f>IFERROR(R598/C598,"")</f>
        <v/>
      </c>
      <c r="AM598" s="2">
        <f>IFERROR(S598/D598,"")</f>
        <v/>
      </c>
      <c r="AN598" s="2">
        <f>IFERROR(T598/E598,"")</f>
        <v/>
      </c>
      <c r="AO598" s="2">
        <f>IFERROR(U598/F598,"")</f>
        <v/>
      </c>
    </row>
    <row r="599">
      <c r="B599">
        <f>IF($A599="","",IFERROR(INDEX('[AQ_2020.xlsx]原始数据'!$B:$B,MATCH($A599,'[AQ_2020.xlsx]原始数据'!$A:$A,0)),""))</f>
        <v/>
      </c>
      <c r="C599">
        <f>IF($A599="","",IFERROR(INDEX('[AQ_2021.xlsx]原始数据'!$B:$B,MATCH($A599,'[AQ_2021.xlsx]原始数据'!$A:$A,0)),""))</f>
        <v/>
      </c>
      <c r="D599">
        <f>IF($A599="","",IFERROR(INDEX('[AQ_2022.xlsx]原始数据'!$B:$B,MATCH($A599,'[AQ_2022.xlsx]原始数据'!$A:$A,0)),""))</f>
        <v/>
      </c>
      <c r="E599">
        <f>IF($A599="","",IFERROR(INDEX('[AQ_2023.xlsx]原始数据'!$B:$B,MATCH($A599,'[AQ_2023.xlsx]原始数据'!$A:$A,0)),""))</f>
        <v/>
      </c>
      <c r="F599">
        <f>IF($A599="","",IFERROR(INDEX('[AQ_2024.xlsx]原始数据'!$B:$B,MATCH($A599,'[AQ_2024.xlsx]原始数据'!$A:$A,0)),""))</f>
        <v/>
      </c>
      <c r="G599">
        <f>IF($A599="","",IFERROR(INDEX('[AQ_2020.xlsx]原始数据'!$C:$C,MATCH($A599,'[AQ_2020.xlsx]原始数据'!$A:$A,0)),""))</f>
        <v/>
      </c>
      <c r="H599">
        <f>IF($A599="","",IFERROR(INDEX('[AQ_2021.xlsx]原始数据'!$C:$C,MATCH($A599,'[AQ_2021.xlsx]原始数据'!$A:$A,0)),""))</f>
        <v/>
      </c>
      <c r="I599">
        <f>IF($A599="","",IFERROR(INDEX('[AQ_2022.xlsx]原始数据'!$C:$C,MATCH($A599,'[AQ_2022.xlsx]原始数据'!$A:$A,0)),""))</f>
        <v/>
      </c>
      <c r="J599">
        <f>IF($A599="","",IFERROR(INDEX('[AQ_2023.xlsx]原始数据'!$C:$C,MATCH($A599,'[AQ_2023.xlsx]原始数据'!$A:$A,0)),""))</f>
        <v/>
      </c>
      <c r="K599">
        <f>IF($A599="","",IFERROR(INDEX('[AQ_2024.xlsx]原始数据'!$C:$C,MATCH($A599,'[AQ_2024.xlsx]原始数据'!$A:$A,0)),""))</f>
        <v/>
      </c>
      <c r="L599">
        <f>IF($A599="","",IFERROR(INDEX('[AQ_2020.xlsx]原始数据'!$D:$D,MATCH($A599,'[AQ_2020.xlsx]原始数据'!$A:$A,0)),""))</f>
        <v/>
      </c>
      <c r="M599">
        <f>IF($A599="","",IFERROR(INDEX('[AQ_2021.xlsx]原始数据'!$D:$D,MATCH($A599,'[AQ_2021.xlsx]原始数据'!$A:$A,0)),""))</f>
        <v/>
      </c>
      <c r="N599">
        <f>IF($A599="","",IFERROR(INDEX('[AQ_2022.xlsx]原始数据'!$D:$D,MATCH($A599,'[AQ_2022.xlsx]原始数据'!$A:$A,0)),""))</f>
        <v/>
      </c>
      <c r="O599">
        <f>IF($A599="","",IFERROR(INDEX('[AQ_2023.xlsx]原始数据'!$D:$D,MATCH($A599,'[AQ_2023.xlsx]原始数据'!$A:$A,0)),""))</f>
        <v/>
      </c>
      <c r="P599">
        <f>IF($A599="","",IFERROR(INDEX('[AQ_2024.xlsx]原始数据'!$D:$D,MATCH($A599,'[AQ_2024.xlsx]原始数据'!$A:$A,0)),""))</f>
        <v/>
      </c>
      <c r="Q599">
        <f>IF($A599="","",IFERROR(INDEX('[AQ_2020.xlsx]原始数据'!$E:$E,MATCH($A599,'[AQ_2020.xlsx]原始数据'!$A:$A,0)),""))</f>
        <v/>
      </c>
      <c r="R599">
        <f>IF($A599="","",IFERROR(INDEX('[AQ_2021.xlsx]原始数据'!$E:$E,MATCH($A599,'[AQ_2021.xlsx]原始数据'!$A:$A,0)),""))</f>
        <v/>
      </c>
      <c r="S599">
        <f>IF($A599="","",IFERROR(INDEX('[AQ_2022.xlsx]原始数据'!$E:$E,MATCH($A599,'[AQ_2022.xlsx]原始数据'!$A:$A,0)),""))</f>
        <v/>
      </c>
      <c r="T599">
        <f>IF($A599="","",IFERROR(INDEX('[AQ_2023.xlsx]原始数据'!$E:$E,MATCH($A599,'[AQ_2023.xlsx]原始数据'!$A:$A,0)),""))</f>
        <v/>
      </c>
      <c r="U599">
        <f>IF($A599="","",IFERROR(INDEX('[AQ_2024.xlsx]原始数据'!$E:$E,MATCH($A599,'[AQ_2024.xlsx]原始数据'!$A:$A,0)),""))</f>
        <v/>
      </c>
      <c r="V599">
        <f>IF($A599="","",IFERROR(INDEX('[AQ_2020.xlsx]原始数据'!$F:$F,MATCH($A599,'[AQ_2020.xlsx]原始数据'!$A:$A,0)),""))</f>
        <v/>
      </c>
      <c r="W599">
        <f>IF($A599="","",IFERROR(INDEX('[AQ_2021.xlsx]原始数据'!$F:$F,MATCH($A599,'[AQ_2021.xlsx]原始数据'!$A:$A,0)),""))</f>
        <v/>
      </c>
      <c r="X599">
        <f>IF($A599="","",IFERROR(INDEX('[AQ_2022.xlsx]原始数据'!$F:$F,MATCH($A599,'[AQ_2022.xlsx]原始数据'!$A:$A,0)),""))</f>
        <v/>
      </c>
      <c r="Y599">
        <f>IF($A599="","",IFERROR(INDEX('[AQ_2023.xlsx]原始数据'!$F:$F,MATCH($A599,'[AQ_2023.xlsx]原始数据'!$A:$A,0)),""))</f>
        <v/>
      </c>
      <c r="Z599">
        <f>IF($A599="","",IFERROR(INDEX('[AQ_2024.xlsx]原始数据'!$F:$F,MATCH($A599,'[AQ_2024.xlsx]原始数据'!$A:$A,0)),""))</f>
        <v/>
      </c>
      <c r="AA599" s="2">
        <f>IFERROR(G599/B599,"")</f>
        <v/>
      </c>
      <c r="AB599" s="2">
        <f>IFERROR(H599/C599,"")</f>
        <v/>
      </c>
      <c r="AC599" s="2">
        <f>IFERROR(I599/D599,"")</f>
        <v/>
      </c>
      <c r="AD599" s="2">
        <f>IFERROR(J599/E599,"")</f>
        <v/>
      </c>
      <c r="AE599" s="2">
        <f>IFERROR(K599/F599,"")</f>
        <v/>
      </c>
      <c r="AF599" s="2">
        <f>IFERROR(L599/B599,"")</f>
        <v/>
      </c>
      <c r="AG599" s="2">
        <f>IFERROR(M599/C599,"")</f>
        <v/>
      </c>
      <c r="AH599" s="2">
        <f>IFERROR(N599/D599,"")</f>
        <v/>
      </c>
      <c r="AI599" s="2">
        <f>IFERROR(O599/E599,"")</f>
        <v/>
      </c>
      <c r="AJ599" s="2">
        <f>IFERROR(P599/F599,"")</f>
        <v/>
      </c>
      <c r="AK599" s="2">
        <f>IFERROR(Q599/B599,"")</f>
        <v/>
      </c>
      <c r="AL599" s="2">
        <f>IFERROR(R599/C599,"")</f>
        <v/>
      </c>
      <c r="AM599" s="2">
        <f>IFERROR(S599/D599,"")</f>
        <v/>
      </c>
      <c r="AN599" s="2">
        <f>IFERROR(T599/E599,"")</f>
        <v/>
      </c>
      <c r="AO599" s="2">
        <f>IFERROR(U599/F599,"")</f>
        <v/>
      </c>
    </row>
    <row r="600">
      <c r="B600">
        <f>IF($A600="","",IFERROR(INDEX('[AQ_2020.xlsx]原始数据'!$B:$B,MATCH($A600,'[AQ_2020.xlsx]原始数据'!$A:$A,0)),""))</f>
        <v/>
      </c>
      <c r="C600">
        <f>IF($A600="","",IFERROR(INDEX('[AQ_2021.xlsx]原始数据'!$B:$B,MATCH($A600,'[AQ_2021.xlsx]原始数据'!$A:$A,0)),""))</f>
        <v/>
      </c>
      <c r="D600">
        <f>IF($A600="","",IFERROR(INDEX('[AQ_2022.xlsx]原始数据'!$B:$B,MATCH($A600,'[AQ_2022.xlsx]原始数据'!$A:$A,0)),""))</f>
        <v/>
      </c>
      <c r="E600">
        <f>IF($A600="","",IFERROR(INDEX('[AQ_2023.xlsx]原始数据'!$B:$B,MATCH($A600,'[AQ_2023.xlsx]原始数据'!$A:$A,0)),""))</f>
        <v/>
      </c>
      <c r="F600">
        <f>IF($A600="","",IFERROR(INDEX('[AQ_2024.xlsx]原始数据'!$B:$B,MATCH($A600,'[AQ_2024.xlsx]原始数据'!$A:$A,0)),""))</f>
        <v/>
      </c>
      <c r="G600">
        <f>IF($A600="","",IFERROR(INDEX('[AQ_2020.xlsx]原始数据'!$C:$C,MATCH($A600,'[AQ_2020.xlsx]原始数据'!$A:$A,0)),""))</f>
        <v/>
      </c>
      <c r="H600">
        <f>IF($A600="","",IFERROR(INDEX('[AQ_2021.xlsx]原始数据'!$C:$C,MATCH($A600,'[AQ_2021.xlsx]原始数据'!$A:$A,0)),""))</f>
        <v/>
      </c>
      <c r="I600">
        <f>IF($A600="","",IFERROR(INDEX('[AQ_2022.xlsx]原始数据'!$C:$C,MATCH($A600,'[AQ_2022.xlsx]原始数据'!$A:$A,0)),""))</f>
        <v/>
      </c>
      <c r="J600">
        <f>IF($A600="","",IFERROR(INDEX('[AQ_2023.xlsx]原始数据'!$C:$C,MATCH($A600,'[AQ_2023.xlsx]原始数据'!$A:$A,0)),""))</f>
        <v/>
      </c>
      <c r="K600">
        <f>IF($A600="","",IFERROR(INDEX('[AQ_2024.xlsx]原始数据'!$C:$C,MATCH($A600,'[AQ_2024.xlsx]原始数据'!$A:$A,0)),""))</f>
        <v/>
      </c>
      <c r="L600">
        <f>IF($A600="","",IFERROR(INDEX('[AQ_2020.xlsx]原始数据'!$D:$D,MATCH($A600,'[AQ_2020.xlsx]原始数据'!$A:$A,0)),""))</f>
        <v/>
      </c>
      <c r="M600">
        <f>IF($A600="","",IFERROR(INDEX('[AQ_2021.xlsx]原始数据'!$D:$D,MATCH($A600,'[AQ_2021.xlsx]原始数据'!$A:$A,0)),""))</f>
        <v/>
      </c>
      <c r="N600">
        <f>IF($A600="","",IFERROR(INDEX('[AQ_2022.xlsx]原始数据'!$D:$D,MATCH($A600,'[AQ_2022.xlsx]原始数据'!$A:$A,0)),""))</f>
        <v/>
      </c>
      <c r="O600">
        <f>IF($A600="","",IFERROR(INDEX('[AQ_2023.xlsx]原始数据'!$D:$D,MATCH($A600,'[AQ_2023.xlsx]原始数据'!$A:$A,0)),""))</f>
        <v/>
      </c>
      <c r="P600">
        <f>IF($A600="","",IFERROR(INDEX('[AQ_2024.xlsx]原始数据'!$D:$D,MATCH($A600,'[AQ_2024.xlsx]原始数据'!$A:$A,0)),""))</f>
        <v/>
      </c>
      <c r="Q600">
        <f>IF($A600="","",IFERROR(INDEX('[AQ_2020.xlsx]原始数据'!$E:$E,MATCH($A600,'[AQ_2020.xlsx]原始数据'!$A:$A,0)),""))</f>
        <v/>
      </c>
      <c r="R600">
        <f>IF($A600="","",IFERROR(INDEX('[AQ_2021.xlsx]原始数据'!$E:$E,MATCH($A600,'[AQ_2021.xlsx]原始数据'!$A:$A,0)),""))</f>
        <v/>
      </c>
      <c r="S600">
        <f>IF($A600="","",IFERROR(INDEX('[AQ_2022.xlsx]原始数据'!$E:$E,MATCH($A600,'[AQ_2022.xlsx]原始数据'!$A:$A,0)),""))</f>
        <v/>
      </c>
      <c r="T600">
        <f>IF($A600="","",IFERROR(INDEX('[AQ_2023.xlsx]原始数据'!$E:$E,MATCH($A600,'[AQ_2023.xlsx]原始数据'!$A:$A,0)),""))</f>
        <v/>
      </c>
      <c r="U600">
        <f>IF($A600="","",IFERROR(INDEX('[AQ_2024.xlsx]原始数据'!$E:$E,MATCH($A600,'[AQ_2024.xlsx]原始数据'!$A:$A,0)),""))</f>
        <v/>
      </c>
      <c r="V600">
        <f>IF($A600="","",IFERROR(INDEX('[AQ_2020.xlsx]原始数据'!$F:$F,MATCH($A600,'[AQ_2020.xlsx]原始数据'!$A:$A,0)),""))</f>
        <v/>
      </c>
      <c r="W600">
        <f>IF($A600="","",IFERROR(INDEX('[AQ_2021.xlsx]原始数据'!$F:$F,MATCH($A600,'[AQ_2021.xlsx]原始数据'!$A:$A,0)),""))</f>
        <v/>
      </c>
      <c r="X600">
        <f>IF($A600="","",IFERROR(INDEX('[AQ_2022.xlsx]原始数据'!$F:$F,MATCH($A600,'[AQ_2022.xlsx]原始数据'!$A:$A,0)),""))</f>
        <v/>
      </c>
      <c r="Y600">
        <f>IF($A600="","",IFERROR(INDEX('[AQ_2023.xlsx]原始数据'!$F:$F,MATCH($A600,'[AQ_2023.xlsx]原始数据'!$A:$A,0)),""))</f>
        <v/>
      </c>
      <c r="Z600">
        <f>IF($A600="","",IFERROR(INDEX('[AQ_2024.xlsx]原始数据'!$F:$F,MATCH($A600,'[AQ_2024.xlsx]原始数据'!$A:$A,0)),""))</f>
        <v/>
      </c>
      <c r="AA600" s="2">
        <f>IFERROR(G600/B600,"")</f>
        <v/>
      </c>
      <c r="AB600" s="2">
        <f>IFERROR(H600/C600,"")</f>
        <v/>
      </c>
      <c r="AC600" s="2">
        <f>IFERROR(I600/D600,"")</f>
        <v/>
      </c>
      <c r="AD600" s="2">
        <f>IFERROR(J600/E600,"")</f>
        <v/>
      </c>
      <c r="AE600" s="2">
        <f>IFERROR(K600/F600,"")</f>
        <v/>
      </c>
      <c r="AF600" s="2">
        <f>IFERROR(L600/B600,"")</f>
        <v/>
      </c>
      <c r="AG600" s="2">
        <f>IFERROR(M600/C600,"")</f>
        <v/>
      </c>
      <c r="AH600" s="2">
        <f>IFERROR(N600/D600,"")</f>
        <v/>
      </c>
      <c r="AI600" s="2">
        <f>IFERROR(O600/E600,"")</f>
        <v/>
      </c>
      <c r="AJ600" s="2">
        <f>IFERROR(P600/F600,"")</f>
        <v/>
      </c>
      <c r="AK600" s="2">
        <f>IFERROR(Q600/B600,"")</f>
        <v/>
      </c>
      <c r="AL600" s="2">
        <f>IFERROR(R600/C600,"")</f>
        <v/>
      </c>
      <c r="AM600" s="2">
        <f>IFERROR(S600/D600,"")</f>
        <v/>
      </c>
      <c r="AN600" s="2">
        <f>IFERROR(T600/E600,"")</f>
        <v/>
      </c>
      <c r="AO600" s="2">
        <f>IFERROR(U600/F600,"")</f>
        <v/>
      </c>
    </row>
    <row r="601">
      <c r="B601">
        <f>IF($A601="","",IFERROR(INDEX('[AQ_2020.xlsx]原始数据'!$B:$B,MATCH($A601,'[AQ_2020.xlsx]原始数据'!$A:$A,0)),""))</f>
        <v/>
      </c>
      <c r="C601">
        <f>IF($A601="","",IFERROR(INDEX('[AQ_2021.xlsx]原始数据'!$B:$B,MATCH($A601,'[AQ_2021.xlsx]原始数据'!$A:$A,0)),""))</f>
        <v/>
      </c>
      <c r="D601">
        <f>IF($A601="","",IFERROR(INDEX('[AQ_2022.xlsx]原始数据'!$B:$B,MATCH($A601,'[AQ_2022.xlsx]原始数据'!$A:$A,0)),""))</f>
        <v/>
      </c>
      <c r="E601">
        <f>IF($A601="","",IFERROR(INDEX('[AQ_2023.xlsx]原始数据'!$B:$B,MATCH($A601,'[AQ_2023.xlsx]原始数据'!$A:$A,0)),""))</f>
        <v/>
      </c>
      <c r="F601">
        <f>IF($A601="","",IFERROR(INDEX('[AQ_2024.xlsx]原始数据'!$B:$B,MATCH($A601,'[AQ_2024.xlsx]原始数据'!$A:$A,0)),""))</f>
        <v/>
      </c>
      <c r="G601">
        <f>IF($A601="","",IFERROR(INDEX('[AQ_2020.xlsx]原始数据'!$C:$C,MATCH($A601,'[AQ_2020.xlsx]原始数据'!$A:$A,0)),""))</f>
        <v/>
      </c>
      <c r="H601">
        <f>IF($A601="","",IFERROR(INDEX('[AQ_2021.xlsx]原始数据'!$C:$C,MATCH($A601,'[AQ_2021.xlsx]原始数据'!$A:$A,0)),""))</f>
        <v/>
      </c>
      <c r="I601">
        <f>IF($A601="","",IFERROR(INDEX('[AQ_2022.xlsx]原始数据'!$C:$C,MATCH($A601,'[AQ_2022.xlsx]原始数据'!$A:$A,0)),""))</f>
        <v/>
      </c>
      <c r="J601">
        <f>IF($A601="","",IFERROR(INDEX('[AQ_2023.xlsx]原始数据'!$C:$C,MATCH($A601,'[AQ_2023.xlsx]原始数据'!$A:$A,0)),""))</f>
        <v/>
      </c>
      <c r="K601">
        <f>IF($A601="","",IFERROR(INDEX('[AQ_2024.xlsx]原始数据'!$C:$C,MATCH($A601,'[AQ_2024.xlsx]原始数据'!$A:$A,0)),""))</f>
        <v/>
      </c>
      <c r="L601">
        <f>IF($A601="","",IFERROR(INDEX('[AQ_2020.xlsx]原始数据'!$D:$D,MATCH($A601,'[AQ_2020.xlsx]原始数据'!$A:$A,0)),""))</f>
        <v/>
      </c>
      <c r="M601">
        <f>IF($A601="","",IFERROR(INDEX('[AQ_2021.xlsx]原始数据'!$D:$D,MATCH($A601,'[AQ_2021.xlsx]原始数据'!$A:$A,0)),""))</f>
        <v/>
      </c>
      <c r="N601">
        <f>IF($A601="","",IFERROR(INDEX('[AQ_2022.xlsx]原始数据'!$D:$D,MATCH($A601,'[AQ_2022.xlsx]原始数据'!$A:$A,0)),""))</f>
        <v/>
      </c>
      <c r="O601">
        <f>IF($A601="","",IFERROR(INDEX('[AQ_2023.xlsx]原始数据'!$D:$D,MATCH($A601,'[AQ_2023.xlsx]原始数据'!$A:$A,0)),""))</f>
        <v/>
      </c>
      <c r="P601">
        <f>IF($A601="","",IFERROR(INDEX('[AQ_2024.xlsx]原始数据'!$D:$D,MATCH($A601,'[AQ_2024.xlsx]原始数据'!$A:$A,0)),""))</f>
        <v/>
      </c>
      <c r="Q601">
        <f>IF($A601="","",IFERROR(INDEX('[AQ_2020.xlsx]原始数据'!$E:$E,MATCH($A601,'[AQ_2020.xlsx]原始数据'!$A:$A,0)),""))</f>
        <v/>
      </c>
      <c r="R601">
        <f>IF($A601="","",IFERROR(INDEX('[AQ_2021.xlsx]原始数据'!$E:$E,MATCH($A601,'[AQ_2021.xlsx]原始数据'!$A:$A,0)),""))</f>
        <v/>
      </c>
      <c r="S601">
        <f>IF($A601="","",IFERROR(INDEX('[AQ_2022.xlsx]原始数据'!$E:$E,MATCH($A601,'[AQ_2022.xlsx]原始数据'!$A:$A,0)),""))</f>
        <v/>
      </c>
      <c r="T601">
        <f>IF($A601="","",IFERROR(INDEX('[AQ_2023.xlsx]原始数据'!$E:$E,MATCH($A601,'[AQ_2023.xlsx]原始数据'!$A:$A,0)),""))</f>
        <v/>
      </c>
      <c r="U601">
        <f>IF($A601="","",IFERROR(INDEX('[AQ_2024.xlsx]原始数据'!$E:$E,MATCH($A601,'[AQ_2024.xlsx]原始数据'!$A:$A,0)),""))</f>
        <v/>
      </c>
      <c r="V601">
        <f>IF($A601="","",IFERROR(INDEX('[AQ_2020.xlsx]原始数据'!$F:$F,MATCH($A601,'[AQ_2020.xlsx]原始数据'!$A:$A,0)),""))</f>
        <v/>
      </c>
      <c r="W601">
        <f>IF($A601="","",IFERROR(INDEX('[AQ_2021.xlsx]原始数据'!$F:$F,MATCH($A601,'[AQ_2021.xlsx]原始数据'!$A:$A,0)),""))</f>
        <v/>
      </c>
      <c r="X601">
        <f>IF($A601="","",IFERROR(INDEX('[AQ_2022.xlsx]原始数据'!$F:$F,MATCH($A601,'[AQ_2022.xlsx]原始数据'!$A:$A,0)),""))</f>
        <v/>
      </c>
      <c r="Y601">
        <f>IF($A601="","",IFERROR(INDEX('[AQ_2023.xlsx]原始数据'!$F:$F,MATCH($A601,'[AQ_2023.xlsx]原始数据'!$A:$A,0)),""))</f>
        <v/>
      </c>
      <c r="Z601">
        <f>IF($A601="","",IFERROR(INDEX('[AQ_2024.xlsx]原始数据'!$F:$F,MATCH($A601,'[AQ_2024.xlsx]原始数据'!$A:$A,0)),""))</f>
        <v/>
      </c>
      <c r="AA601" s="2">
        <f>IFERROR(G601/B601,"")</f>
        <v/>
      </c>
      <c r="AB601" s="2">
        <f>IFERROR(H601/C601,"")</f>
        <v/>
      </c>
      <c r="AC601" s="2">
        <f>IFERROR(I601/D601,"")</f>
        <v/>
      </c>
      <c r="AD601" s="2">
        <f>IFERROR(J601/E601,"")</f>
        <v/>
      </c>
      <c r="AE601" s="2">
        <f>IFERROR(K601/F601,"")</f>
        <v/>
      </c>
      <c r="AF601" s="2">
        <f>IFERROR(L601/B601,"")</f>
        <v/>
      </c>
      <c r="AG601" s="2">
        <f>IFERROR(M601/C601,"")</f>
        <v/>
      </c>
      <c r="AH601" s="2">
        <f>IFERROR(N601/D601,"")</f>
        <v/>
      </c>
      <c r="AI601" s="2">
        <f>IFERROR(O601/E601,"")</f>
        <v/>
      </c>
      <c r="AJ601" s="2">
        <f>IFERROR(P601/F601,"")</f>
        <v/>
      </c>
      <c r="AK601" s="2">
        <f>IFERROR(Q601/B601,"")</f>
        <v/>
      </c>
      <c r="AL601" s="2">
        <f>IFERROR(R601/C601,"")</f>
        <v/>
      </c>
      <c r="AM601" s="2">
        <f>IFERROR(S601/D601,"")</f>
        <v/>
      </c>
      <c r="AN601" s="2">
        <f>IFERROR(T601/E601,"")</f>
        <v/>
      </c>
      <c r="AO601" s="2">
        <f>IFERROR(U601/F601,"")</f>
        <v/>
      </c>
    </row>
    <row r="602">
      <c r="B602">
        <f>IF($A602="","",IFERROR(INDEX('[AQ_2020.xlsx]原始数据'!$B:$B,MATCH($A602,'[AQ_2020.xlsx]原始数据'!$A:$A,0)),""))</f>
        <v/>
      </c>
      <c r="C602">
        <f>IF($A602="","",IFERROR(INDEX('[AQ_2021.xlsx]原始数据'!$B:$B,MATCH($A602,'[AQ_2021.xlsx]原始数据'!$A:$A,0)),""))</f>
        <v/>
      </c>
      <c r="D602">
        <f>IF($A602="","",IFERROR(INDEX('[AQ_2022.xlsx]原始数据'!$B:$B,MATCH($A602,'[AQ_2022.xlsx]原始数据'!$A:$A,0)),""))</f>
        <v/>
      </c>
      <c r="E602">
        <f>IF($A602="","",IFERROR(INDEX('[AQ_2023.xlsx]原始数据'!$B:$B,MATCH($A602,'[AQ_2023.xlsx]原始数据'!$A:$A,0)),""))</f>
        <v/>
      </c>
      <c r="F602">
        <f>IF($A602="","",IFERROR(INDEX('[AQ_2024.xlsx]原始数据'!$B:$B,MATCH($A602,'[AQ_2024.xlsx]原始数据'!$A:$A,0)),""))</f>
        <v/>
      </c>
      <c r="G602">
        <f>IF($A602="","",IFERROR(INDEX('[AQ_2020.xlsx]原始数据'!$C:$C,MATCH($A602,'[AQ_2020.xlsx]原始数据'!$A:$A,0)),""))</f>
        <v/>
      </c>
      <c r="H602">
        <f>IF($A602="","",IFERROR(INDEX('[AQ_2021.xlsx]原始数据'!$C:$C,MATCH($A602,'[AQ_2021.xlsx]原始数据'!$A:$A,0)),""))</f>
        <v/>
      </c>
      <c r="I602">
        <f>IF($A602="","",IFERROR(INDEX('[AQ_2022.xlsx]原始数据'!$C:$C,MATCH($A602,'[AQ_2022.xlsx]原始数据'!$A:$A,0)),""))</f>
        <v/>
      </c>
      <c r="J602">
        <f>IF($A602="","",IFERROR(INDEX('[AQ_2023.xlsx]原始数据'!$C:$C,MATCH($A602,'[AQ_2023.xlsx]原始数据'!$A:$A,0)),""))</f>
        <v/>
      </c>
      <c r="K602">
        <f>IF($A602="","",IFERROR(INDEX('[AQ_2024.xlsx]原始数据'!$C:$C,MATCH($A602,'[AQ_2024.xlsx]原始数据'!$A:$A,0)),""))</f>
        <v/>
      </c>
      <c r="L602">
        <f>IF($A602="","",IFERROR(INDEX('[AQ_2020.xlsx]原始数据'!$D:$D,MATCH($A602,'[AQ_2020.xlsx]原始数据'!$A:$A,0)),""))</f>
        <v/>
      </c>
      <c r="M602">
        <f>IF($A602="","",IFERROR(INDEX('[AQ_2021.xlsx]原始数据'!$D:$D,MATCH($A602,'[AQ_2021.xlsx]原始数据'!$A:$A,0)),""))</f>
        <v/>
      </c>
      <c r="N602">
        <f>IF($A602="","",IFERROR(INDEX('[AQ_2022.xlsx]原始数据'!$D:$D,MATCH($A602,'[AQ_2022.xlsx]原始数据'!$A:$A,0)),""))</f>
        <v/>
      </c>
      <c r="O602">
        <f>IF($A602="","",IFERROR(INDEX('[AQ_2023.xlsx]原始数据'!$D:$D,MATCH($A602,'[AQ_2023.xlsx]原始数据'!$A:$A,0)),""))</f>
        <v/>
      </c>
      <c r="P602">
        <f>IF($A602="","",IFERROR(INDEX('[AQ_2024.xlsx]原始数据'!$D:$D,MATCH($A602,'[AQ_2024.xlsx]原始数据'!$A:$A,0)),""))</f>
        <v/>
      </c>
      <c r="Q602">
        <f>IF($A602="","",IFERROR(INDEX('[AQ_2020.xlsx]原始数据'!$E:$E,MATCH($A602,'[AQ_2020.xlsx]原始数据'!$A:$A,0)),""))</f>
        <v/>
      </c>
      <c r="R602">
        <f>IF($A602="","",IFERROR(INDEX('[AQ_2021.xlsx]原始数据'!$E:$E,MATCH($A602,'[AQ_2021.xlsx]原始数据'!$A:$A,0)),""))</f>
        <v/>
      </c>
      <c r="S602">
        <f>IF($A602="","",IFERROR(INDEX('[AQ_2022.xlsx]原始数据'!$E:$E,MATCH($A602,'[AQ_2022.xlsx]原始数据'!$A:$A,0)),""))</f>
        <v/>
      </c>
      <c r="T602">
        <f>IF($A602="","",IFERROR(INDEX('[AQ_2023.xlsx]原始数据'!$E:$E,MATCH($A602,'[AQ_2023.xlsx]原始数据'!$A:$A,0)),""))</f>
        <v/>
      </c>
      <c r="U602">
        <f>IF($A602="","",IFERROR(INDEX('[AQ_2024.xlsx]原始数据'!$E:$E,MATCH($A602,'[AQ_2024.xlsx]原始数据'!$A:$A,0)),""))</f>
        <v/>
      </c>
      <c r="V602">
        <f>IF($A602="","",IFERROR(INDEX('[AQ_2020.xlsx]原始数据'!$F:$F,MATCH($A602,'[AQ_2020.xlsx]原始数据'!$A:$A,0)),""))</f>
        <v/>
      </c>
      <c r="W602">
        <f>IF($A602="","",IFERROR(INDEX('[AQ_2021.xlsx]原始数据'!$F:$F,MATCH($A602,'[AQ_2021.xlsx]原始数据'!$A:$A,0)),""))</f>
        <v/>
      </c>
      <c r="X602">
        <f>IF($A602="","",IFERROR(INDEX('[AQ_2022.xlsx]原始数据'!$F:$F,MATCH($A602,'[AQ_2022.xlsx]原始数据'!$A:$A,0)),""))</f>
        <v/>
      </c>
      <c r="Y602">
        <f>IF($A602="","",IFERROR(INDEX('[AQ_2023.xlsx]原始数据'!$F:$F,MATCH($A602,'[AQ_2023.xlsx]原始数据'!$A:$A,0)),""))</f>
        <v/>
      </c>
      <c r="Z602">
        <f>IF($A602="","",IFERROR(INDEX('[AQ_2024.xlsx]原始数据'!$F:$F,MATCH($A602,'[AQ_2024.xlsx]原始数据'!$A:$A,0)),""))</f>
        <v/>
      </c>
      <c r="AA602" s="2">
        <f>IFERROR(G602/B602,"")</f>
        <v/>
      </c>
      <c r="AB602" s="2">
        <f>IFERROR(H602/C602,"")</f>
        <v/>
      </c>
      <c r="AC602" s="2">
        <f>IFERROR(I602/D602,"")</f>
        <v/>
      </c>
      <c r="AD602" s="2">
        <f>IFERROR(J602/E602,"")</f>
        <v/>
      </c>
      <c r="AE602" s="2">
        <f>IFERROR(K602/F602,"")</f>
        <v/>
      </c>
      <c r="AF602" s="2">
        <f>IFERROR(L602/B602,"")</f>
        <v/>
      </c>
      <c r="AG602" s="2">
        <f>IFERROR(M602/C602,"")</f>
        <v/>
      </c>
      <c r="AH602" s="2">
        <f>IFERROR(N602/D602,"")</f>
        <v/>
      </c>
      <c r="AI602" s="2">
        <f>IFERROR(O602/E602,"")</f>
        <v/>
      </c>
      <c r="AJ602" s="2">
        <f>IFERROR(P602/F602,"")</f>
        <v/>
      </c>
      <c r="AK602" s="2">
        <f>IFERROR(Q602/B602,"")</f>
        <v/>
      </c>
      <c r="AL602" s="2">
        <f>IFERROR(R602/C602,"")</f>
        <v/>
      </c>
      <c r="AM602" s="2">
        <f>IFERROR(S602/D602,"")</f>
        <v/>
      </c>
      <c r="AN602" s="2">
        <f>IFERROR(T602/E602,"")</f>
        <v/>
      </c>
      <c r="AO602" s="2">
        <f>IFERROR(U602/F602,"")</f>
        <v/>
      </c>
    </row>
    <row r="603">
      <c r="B603">
        <f>IF($A603="","",IFERROR(INDEX('[AQ_2020.xlsx]原始数据'!$B:$B,MATCH($A603,'[AQ_2020.xlsx]原始数据'!$A:$A,0)),""))</f>
        <v/>
      </c>
      <c r="C603">
        <f>IF($A603="","",IFERROR(INDEX('[AQ_2021.xlsx]原始数据'!$B:$B,MATCH($A603,'[AQ_2021.xlsx]原始数据'!$A:$A,0)),""))</f>
        <v/>
      </c>
      <c r="D603">
        <f>IF($A603="","",IFERROR(INDEX('[AQ_2022.xlsx]原始数据'!$B:$B,MATCH($A603,'[AQ_2022.xlsx]原始数据'!$A:$A,0)),""))</f>
        <v/>
      </c>
      <c r="E603">
        <f>IF($A603="","",IFERROR(INDEX('[AQ_2023.xlsx]原始数据'!$B:$B,MATCH($A603,'[AQ_2023.xlsx]原始数据'!$A:$A,0)),""))</f>
        <v/>
      </c>
      <c r="F603">
        <f>IF($A603="","",IFERROR(INDEX('[AQ_2024.xlsx]原始数据'!$B:$B,MATCH($A603,'[AQ_2024.xlsx]原始数据'!$A:$A,0)),""))</f>
        <v/>
      </c>
      <c r="G603">
        <f>IF($A603="","",IFERROR(INDEX('[AQ_2020.xlsx]原始数据'!$C:$C,MATCH($A603,'[AQ_2020.xlsx]原始数据'!$A:$A,0)),""))</f>
        <v/>
      </c>
      <c r="H603">
        <f>IF($A603="","",IFERROR(INDEX('[AQ_2021.xlsx]原始数据'!$C:$C,MATCH($A603,'[AQ_2021.xlsx]原始数据'!$A:$A,0)),""))</f>
        <v/>
      </c>
      <c r="I603">
        <f>IF($A603="","",IFERROR(INDEX('[AQ_2022.xlsx]原始数据'!$C:$C,MATCH($A603,'[AQ_2022.xlsx]原始数据'!$A:$A,0)),""))</f>
        <v/>
      </c>
      <c r="J603">
        <f>IF($A603="","",IFERROR(INDEX('[AQ_2023.xlsx]原始数据'!$C:$C,MATCH($A603,'[AQ_2023.xlsx]原始数据'!$A:$A,0)),""))</f>
        <v/>
      </c>
      <c r="K603">
        <f>IF($A603="","",IFERROR(INDEX('[AQ_2024.xlsx]原始数据'!$C:$C,MATCH($A603,'[AQ_2024.xlsx]原始数据'!$A:$A,0)),""))</f>
        <v/>
      </c>
      <c r="L603">
        <f>IF($A603="","",IFERROR(INDEX('[AQ_2020.xlsx]原始数据'!$D:$D,MATCH($A603,'[AQ_2020.xlsx]原始数据'!$A:$A,0)),""))</f>
        <v/>
      </c>
      <c r="M603">
        <f>IF($A603="","",IFERROR(INDEX('[AQ_2021.xlsx]原始数据'!$D:$D,MATCH($A603,'[AQ_2021.xlsx]原始数据'!$A:$A,0)),""))</f>
        <v/>
      </c>
      <c r="N603">
        <f>IF($A603="","",IFERROR(INDEX('[AQ_2022.xlsx]原始数据'!$D:$D,MATCH($A603,'[AQ_2022.xlsx]原始数据'!$A:$A,0)),""))</f>
        <v/>
      </c>
      <c r="O603">
        <f>IF($A603="","",IFERROR(INDEX('[AQ_2023.xlsx]原始数据'!$D:$D,MATCH($A603,'[AQ_2023.xlsx]原始数据'!$A:$A,0)),""))</f>
        <v/>
      </c>
      <c r="P603">
        <f>IF($A603="","",IFERROR(INDEX('[AQ_2024.xlsx]原始数据'!$D:$D,MATCH($A603,'[AQ_2024.xlsx]原始数据'!$A:$A,0)),""))</f>
        <v/>
      </c>
      <c r="Q603">
        <f>IF($A603="","",IFERROR(INDEX('[AQ_2020.xlsx]原始数据'!$E:$E,MATCH($A603,'[AQ_2020.xlsx]原始数据'!$A:$A,0)),""))</f>
        <v/>
      </c>
      <c r="R603">
        <f>IF($A603="","",IFERROR(INDEX('[AQ_2021.xlsx]原始数据'!$E:$E,MATCH($A603,'[AQ_2021.xlsx]原始数据'!$A:$A,0)),""))</f>
        <v/>
      </c>
      <c r="S603">
        <f>IF($A603="","",IFERROR(INDEX('[AQ_2022.xlsx]原始数据'!$E:$E,MATCH($A603,'[AQ_2022.xlsx]原始数据'!$A:$A,0)),""))</f>
        <v/>
      </c>
      <c r="T603">
        <f>IF($A603="","",IFERROR(INDEX('[AQ_2023.xlsx]原始数据'!$E:$E,MATCH($A603,'[AQ_2023.xlsx]原始数据'!$A:$A,0)),""))</f>
        <v/>
      </c>
      <c r="U603">
        <f>IF($A603="","",IFERROR(INDEX('[AQ_2024.xlsx]原始数据'!$E:$E,MATCH($A603,'[AQ_2024.xlsx]原始数据'!$A:$A,0)),""))</f>
        <v/>
      </c>
      <c r="V603">
        <f>IF($A603="","",IFERROR(INDEX('[AQ_2020.xlsx]原始数据'!$F:$F,MATCH($A603,'[AQ_2020.xlsx]原始数据'!$A:$A,0)),""))</f>
        <v/>
      </c>
      <c r="W603">
        <f>IF($A603="","",IFERROR(INDEX('[AQ_2021.xlsx]原始数据'!$F:$F,MATCH($A603,'[AQ_2021.xlsx]原始数据'!$A:$A,0)),""))</f>
        <v/>
      </c>
      <c r="X603">
        <f>IF($A603="","",IFERROR(INDEX('[AQ_2022.xlsx]原始数据'!$F:$F,MATCH($A603,'[AQ_2022.xlsx]原始数据'!$A:$A,0)),""))</f>
        <v/>
      </c>
      <c r="Y603">
        <f>IF($A603="","",IFERROR(INDEX('[AQ_2023.xlsx]原始数据'!$F:$F,MATCH($A603,'[AQ_2023.xlsx]原始数据'!$A:$A,0)),""))</f>
        <v/>
      </c>
      <c r="Z603">
        <f>IF($A603="","",IFERROR(INDEX('[AQ_2024.xlsx]原始数据'!$F:$F,MATCH($A603,'[AQ_2024.xlsx]原始数据'!$A:$A,0)),""))</f>
        <v/>
      </c>
      <c r="AA603" s="2">
        <f>IFERROR(G603/B603,"")</f>
        <v/>
      </c>
      <c r="AB603" s="2">
        <f>IFERROR(H603/C603,"")</f>
        <v/>
      </c>
      <c r="AC603" s="2">
        <f>IFERROR(I603/D603,"")</f>
        <v/>
      </c>
      <c r="AD603" s="2">
        <f>IFERROR(J603/E603,"")</f>
        <v/>
      </c>
      <c r="AE603" s="2">
        <f>IFERROR(K603/F603,"")</f>
        <v/>
      </c>
      <c r="AF603" s="2">
        <f>IFERROR(L603/B603,"")</f>
        <v/>
      </c>
      <c r="AG603" s="2">
        <f>IFERROR(M603/C603,"")</f>
        <v/>
      </c>
      <c r="AH603" s="2">
        <f>IFERROR(N603/D603,"")</f>
        <v/>
      </c>
      <c r="AI603" s="2">
        <f>IFERROR(O603/E603,"")</f>
        <v/>
      </c>
      <c r="AJ603" s="2">
        <f>IFERROR(P603/F603,"")</f>
        <v/>
      </c>
      <c r="AK603" s="2">
        <f>IFERROR(Q603/B603,"")</f>
        <v/>
      </c>
      <c r="AL603" s="2">
        <f>IFERROR(R603/C603,"")</f>
        <v/>
      </c>
      <c r="AM603" s="2">
        <f>IFERROR(S603/D603,"")</f>
        <v/>
      </c>
      <c r="AN603" s="2">
        <f>IFERROR(T603/E603,"")</f>
        <v/>
      </c>
      <c r="AO603" s="2">
        <f>IFERROR(U603/F603,"")</f>
        <v/>
      </c>
    </row>
    <row r="604">
      <c r="B604">
        <f>IF($A604="","",IFERROR(INDEX('[AQ_2020.xlsx]原始数据'!$B:$B,MATCH($A604,'[AQ_2020.xlsx]原始数据'!$A:$A,0)),""))</f>
        <v/>
      </c>
      <c r="C604">
        <f>IF($A604="","",IFERROR(INDEX('[AQ_2021.xlsx]原始数据'!$B:$B,MATCH($A604,'[AQ_2021.xlsx]原始数据'!$A:$A,0)),""))</f>
        <v/>
      </c>
      <c r="D604">
        <f>IF($A604="","",IFERROR(INDEX('[AQ_2022.xlsx]原始数据'!$B:$B,MATCH($A604,'[AQ_2022.xlsx]原始数据'!$A:$A,0)),""))</f>
        <v/>
      </c>
      <c r="E604">
        <f>IF($A604="","",IFERROR(INDEX('[AQ_2023.xlsx]原始数据'!$B:$B,MATCH($A604,'[AQ_2023.xlsx]原始数据'!$A:$A,0)),""))</f>
        <v/>
      </c>
      <c r="F604">
        <f>IF($A604="","",IFERROR(INDEX('[AQ_2024.xlsx]原始数据'!$B:$B,MATCH($A604,'[AQ_2024.xlsx]原始数据'!$A:$A,0)),""))</f>
        <v/>
      </c>
      <c r="G604">
        <f>IF($A604="","",IFERROR(INDEX('[AQ_2020.xlsx]原始数据'!$C:$C,MATCH($A604,'[AQ_2020.xlsx]原始数据'!$A:$A,0)),""))</f>
        <v/>
      </c>
      <c r="H604">
        <f>IF($A604="","",IFERROR(INDEX('[AQ_2021.xlsx]原始数据'!$C:$C,MATCH($A604,'[AQ_2021.xlsx]原始数据'!$A:$A,0)),""))</f>
        <v/>
      </c>
      <c r="I604">
        <f>IF($A604="","",IFERROR(INDEX('[AQ_2022.xlsx]原始数据'!$C:$C,MATCH($A604,'[AQ_2022.xlsx]原始数据'!$A:$A,0)),""))</f>
        <v/>
      </c>
      <c r="J604">
        <f>IF($A604="","",IFERROR(INDEX('[AQ_2023.xlsx]原始数据'!$C:$C,MATCH($A604,'[AQ_2023.xlsx]原始数据'!$A:$A,0)),""))</f>
        <v/>
      </c>
      <c r="K604">
        <f>IF($A604="","",IFERROR(INDEX('[AQ_2024.xlsx]原始数据'!$C:$C,MATCH($A604,'[AQ_2024.xlsx]原始数据'!$A:$A,0)),""))</f>
        <v/>
      </c>
      <c r="L604">
        <f>IF($A604="","",IFERROR(INDEX('[AQ_2020.xlsx]原始数据'!$D:$D,MATCH($A604,'[AQ_2020.xlsx]原始数据'!$A:$A,0)),""))</f>
        <v/>
      </c>
      <c r="M604">
        <f>IF($A604="","",IFERROR(INDEX('[AQ_2021.xlsx]原始数据'!$D:$D,MATCH($A604,'[AQ_2021.xlsx]原始数据'!$A:$A,0)),""))</f>
        <v/>
      </c>
      <c r="N604">
        <f>IF($A604="","",IFERROR(INDEX('[AQ_2022.xlsx]原始数据'!$D:$D,MATCH($A604,'[AQ_2022.xlsx]原始数据'!$A:$A,0)),""))</f>
        <v/>
      </c>
      <c r="O604">
        <f>IF($A604="","",IFERROR(INDEX('[AQ_2023.xlsx]原始数据'!$D:$D,MATCH($A604,'[AQ_2023.xlsx]原始数据'!$A:$A,0)),""))</f>
        <v/>
      </c>
      <c r="P604">
        <f>IF($A604="","",IFERROR(INDEX('[AQ_2024.xlsx]原始数据'!$D:$D,MATCH($A604,'[AQ_2024.xlsx]原始数据'!$A:$A,0)),""))</f>
        <v/>
      </c>
      <c r="Q604">
        <f>IF($A604="","",IFERROR(INDEX('[AQ_2020.xlsx]原始数据'!$E:$E,MATCH($A604,'[AQ_2020.xlsx]原始数据'!$A:$A,0)),""))</f>
        <v/>
      </c>
      <c r="R604">
        <f>IF($A604="","",IFERROR(INDEX('[AQ_2021.xlsx]原始数据'!$E:$E,MATCH($A604,'[AQ_2021.xlsx]原始数据'!$A:$A,0)),""))</f>
        <v/>
      </c>
      <c r="S604">
        <f>IF($A604="","",IFERROR(INDEX('[AQ_2022.xlsx]原始数据'!$E:$E,MATCH($A604,'[AQ_2022.xlsx]原始数据'!$A:$A,0)),""))</f>
        <v/>
      </c>
      <c r="T604">
        <f>IF($A604="","",IFERROR(INDEX('[AQ_2023.xlsx]原始数据'!$E:$E,MATCH($A604,'[AQ_2023.xlsx]原始数据'!$A:$A,0)),""))</f>
        <v/>
      </c>
      <c r="U604">
        <f>IF($A604="","",IFERROR(INDEX('[AQ_2024.xlsx]原始数据'!$E:$E,MATCH($A604,'[AQ_2024.xlsx]原始数据'!$A:$A,0)),""))</f>
        <v/>
      </c>
      <c r="V604">
        <f>IF($A604="","",IFERROR(INDEX('[AQ_2020.xlsx]原始数据'!$F:$F,MATCH($A604,'[AQ_2020.xlsx]原始数据'!$A:$A,0)),""))</f>
        <v/>
      </c>
      <c r="W604">
        <f>IF($A604="","",IFERROR(INDEX('[AQ_2021.xlsx]原始数据'!$F:$F,MATCH($A604,'[AQ_2021.xlsx]原始数据'!$A:$A,0)),""))</f>
        <v/>
      </c>
      <c r="X604">
        <f>IF($A604="","",IFERROR(INDEX('[AQ_2022.xlsx]原始数据'!$F:$F,MATCH($A604,'[AQ_2022.xlsx]原始数据'!$A:$A,0)),""))</f>
        <v/>
      </c>
      <c r="Y604">
        <f>IF($A604="","",IFERROR(INDEX('[AQ_2023.xlsx]原始数据'!$F:$F,MATCH($A604,'[AQ_2023.xlsx]原始数据'!$A:$A,0)),""))</f>
        <v/>
      </c>
      <c r="Z604">
        <f>IF($A604="","",IFERROR(INDEX('[AQ_2024.xlsx]原始数据'!$F:$F,MATCH($A604,'[AQ_2024.xlsx]原始数据'!$A:$A,0)),""))</f>
        <v/>
      </c>
      <c r="AA604" s="2">
        <f>IFERROR(G604/B604,"")</f>
        <v/>
      </c>
      <c r="AB604" s="2">
        <f>IFERROR(H604/C604,"")</f>
        <v/>
      </c>
      <c r="AC604" s="2">
        <f>IFERROR(I604/D604,"")</f>
        <v/>
      </c>
      <c r="AD604" s="2">
        <f>IFERROR(J604/E604,"")</f>
        <v/>
      </c>
      <c r="AE604" s="2">
        <f>IFERROR(K604/F604,"")</f>
        <v/>
      </c>
      <c r="AF604" s="2">
        <f>IFERROR(L604/B604,"")</f>
        <v/>
      </c>
      <c r="AG604" s="2">
        <f>IFERROR(M604/C604,"")</f>
        <v/>
      </c>
      <c r="AH604" s="2">
        <f>IFERROR(N604/D604,"")</f>
        <v/>
      </c>
      <c r="AI604" s="2">
        <f>IFERROR(O604/E604,"")</f>
        <v/>
      </c>
      <c r="AJ604" s="2">
        <f>IFERROR(P604/F604,"")</f>
        <v/>
      </c>
      <c r="AK604" s="2">
        <f>IFERROR(Q604/B604,"")</f>
        <v/>
      </c>
      <c r="AL604" s="2">
        <f>IFERROR(R604/C604,"")</f>
        <v/>
      </c>
      <c r="AM604" s="2">
        <f>IFERROR(S604/D604,"")</f>
        <v/>
      </c>
      <c r="AN604" s="2">
        <f>IFERROR(T604/E604,"")</f>
        <v/>
      </c>
      <c r="AO604" s="2">
        <f>IFERROR(U604/F604,"")</f>
        <v/>
      </c>
    </row>
    <row r="605">
      <c r="B605">
        <f>IF($A605="","",IFERROR(INDEX('[AQ_2020.xlsx]原始数据'!$B:$B,MATCH($A605,'[AQ_2020.xlsx]原始数据'!$A:$A,0)),""))</f>
        <v/>
      </c>
      <c r="C605">
        <f>IF($A605="","",IFERROR(INDEX('[AQ_2021.xlsx]原始数据'!$B:$B,MATCH($A605,'[AQ_2021.xlsx]原始数据'!$A:$A,0)),""))</f>
        <v/>
      </c>
      <c r="D605">
        <f>IF($A605="","",IFERROR(INDEX('[AQ_2022.xlsx]原始数据'!$B:$B,MATCH($A605,'[AQ_2022.xlsx]原始数据'!$A:$A,0)),""))</f>
        <v/>
      </c>
      <c r="E605">
        <f>IF($A605="","",IFERROR(INDEX('[AQ_2023.xlsx]原始数据'!$B:$B,MATCH($A605,'[AQ_2023.xlsx]原始数据'!$A:$A,0)),""))</f>
        <v/>
      </c>
      <c r="F605">
        <f>IF($A605="","",IFERROR(INDEX('[AQ_2024.xlsx]原始数据'!$B:$B,MATCH($A605,'[AQ_2024.xlsx]原始数据'!$A:$A,0)),""))</f>
        <v/>
      </c>
      <c r="G605">
        <f>IF($A605="","",IFERROR(INDEX('[AQ_2020.xlsx]原始数据'!$C:$C,MATCH($A605,'[AQ_2020.xlsx]原始数据'!$A:$A,0)),""))</f>
        <v/>
      </c>
      <c r="H605">
        <f>IF($A605="","",IFERROR(INDEX('[AQ_2021.xlsx]原始数据'!$C:$C,MATCH($A605,'[AQ_2021.xlsx]原始数据'!$A:$A,0)),""))</f>
        <v/>
      </c>
      <c r="I605">
        <f>IF($A605="","",IFERROR(INDEX('[AQ_2022.xlsx]原始数据'!$C:$C,MATCH($A605,'[AQ_2022.xlsx]原始数据'!$A:$A,0)),""))</f>
        <v/>
      </c>
      <c r="J605">
        <f>IF($A605="","",IFERROR(INDEX('[AQ_2023.xlsx]原始数据'!$C:$C,MATCH($A605,'[AQ_2023.xlsx]原始数据'!$A:$A,0)),""))</f>
        <v/>
      </c>
      <c r="K605">
        <f>IF($A605="","",IFERROR(INDEX('[AQ_2024.xlsx]原始数据'!$C:$C,MATCH($A605,'[AQ_2024.xlsx]原始数据'!$A:$A,0)),""))</f>
        <v/>
      </c>
      <c r="L605">
        <f>IF($A605="","",IFERROR(INDEX('[AQ_2020.xlsx]原始数据'!$D:$D,MATCH($A605,'[AQ_2020.xlsx]原始数据'!$A:$A,0)),""))</f>
        <v/>
      </c>
      <c r="M605">
        <f>IF($A605="","",IFERROR(INDEX('[AQ_2021.xlsx]原始数据'!$D:$D,MATCH($A605,'[AQ_2021.xlsx]原始数据'!$A:$A,0)),""))</f>
        <v/>
      </c>
      <c r="N605">
        <f>IF($A605="","",IFERROR(INDEX('[AQ_2022.xlsx]原始数据'!$D:$D,MATCH($A605,'[AQ_2022.xlsx]原始数据'!$A:$A,0)),""))</f>
        <v/>
      </c>
      <c r="O605">
        <f>IF($A605="","",IFERROR(INDEX('[AQ_2023.xlsx]原始数据'!$D:$D,MATCH($A605,'[AQ_2023.xlsx]原始数据'!$A:$A,0)),""))</f>
        <v/>
      </c>
      <c r="P605">
        <f>IF($A605="","",IFERROR(INDEX('[AQ_2024.xlsx]原始数据'!$D:$D,MATCH($A605,'[AQ_2024.xlsx]原始数据'!$A:$A,0)),""))</f>
        <v/>
      </c>
      <c r="Q605">
        <f>IF($A605="","",IFERROR(INDEX('[AQ_2020.xlsx]原始数据'!$E:$E,MATCH($A605,'[AQ_2020.xlsx]原始数据'!$A:$A,0)),""))</f>
        <v/>
      </c>
      <c r="R605">
        <f>IF($A605="","",IFERROR(INDEX('[AQ_2021.xlsx]原始数据'!$E:$E,MATCH($A605,'[AQ_2021.xlsx]原始数据'!$A:$A,0)),""))</f>
        <v/>
      </c>
      <c r="S605">
        <f>IF($A605="","",IFERROR(INDEX('[AQ_2022.xlsx]原始数据'!$E:$E,MATCH($A605,'[AQ_2022.xlsx]原始数据'!$A:$A,0)),""))</f>
        <v/>
      </c>
      <c r="T605">
        <f>IF($A605="","",IFERROR(INDEX('[AQ_2023.xlsx]原始数据'!$E:$E,MATCH($A605,'[AQ_2023.xlsx]原始数据'!$A:$A,0)),""))</f>
        <v/>
      </c>
      <c r="U605">
        <f>IF($A605="","",IFERROR(INDEX('[AQ_2024.xlsx]原始数据'!$E:$E,MATCH($A605,'[AQ_2024.xlsx]原始数据'!$A:$A,0)),""))</f>
        <v/>
      </c>
      <c r="V605">
        <f>IF($A605="","",IFERROR(INDEX('[AQ_2020.xlsx]原始数据'!$F:$F,MATCH($A605,'[AQ_2020.xlsx]原始数据'!$A:$A,0)),""))</f>
        <v/>
      </c>
      <c r="W605">
        <f>IF($A605="","",IFERROR(INDEX('[AQ_2021.xlsx]原始数据'!$F:$F,MATCH($A605,'[AQ_2021.xlsx]原始数据'!$A:$A,0)),""))</f>
        <v/>
      </c>
      <c r="X605">
        <f>IF($A605="","",IFERROR(INDEX('[AQ_2022.xlsx]原始数据'!$F:$F,MATCH($A605,'[AQ_2022.xlsx]原始数据'!$A:$A,0)),""))</f>
        <v/>
      </c>
      <c r="Y605">
        <f>IF($A605="","",IFERROR(INDEX('[AQ_2023.xlsx]原始数据'!$F:$F,MATCH($A605,'[AQ_2023.xlsx]原始数据'!$A:$A,0)),""))</f>
        <v/>
      </c>
      <c r="Z605">
        <f>IF($A605="","",IFERROR(INDEX('[AQ_2024.xlsx]原始数据'!$F:$F,MATCH($A605,'[AQ_2024.xlsx]原始数据'!$A:$A,0)),""))</f>
        <v/>
      </c>
      <c r="AA605" s="2">
        <f>IFERROR(G605/B605,"")</f>
        <v/>
      </c>
      <c r="AB605" s="2">
        <f>IFERROR(H605/C605,"")</f>
        <v/>
      </c>
      <c r="AC605" s="2">
        <f>IFERROR(I605/D605,"")</f>
        <v/>
      </c>
      <c r="AD605" s="2">
        <f>IFERROR(J605/E605,"")</f>
        <v/>
      </c>
      <c r="AE605" s="2">
        <f>IFERROR(K605/F605,"")</f>
        <v/>
      </c>
      <c r="AF605" s="2">
        <f>IFERROR(L605/B605,"")</f>
        <v/>
      </c>
      <c r="AG605" s="2">
        <f>IFERROR(M605/C605,"")</f>
        <v/>
      </c>
      <c r="AH605" s="2">
        <f>IFERROR(N605/D605,"")</f>
        <v/>
      </c>
      <c r="AI605" s="2">
        <f>IFERROR(O605/E605,"")</f>
        <v/>
      </c>
      <c r="AJ605" s="2">
        <f>IFERROR(P605/F605,"")</f>
        <v/>
      </c>
      <c r="AK605" s="2">
        <f>IFERROR(Q605/B605,"")</f>
        <v/>
      </c>
      <c r="AL605" s="2">
        <f>IFERROR(R605/C605,"")</f>
        <v/>
      </c>
      <c r="AM605" s="2">
        <f>IFERROR(S605/D605,"")</f>
        <v/>
      </c>
      <c r="AN605" s="2">
        <f>IFERROR(T605/E605,"")</f>
        <v/>
      </c>
      <c r="AO605" s="2">
        <f>IFERROR(U605/F605,"")</f>
        <v/>
      </c>
    </row>
    <row r="606">
      <c r="B606">
        <f>IF($A606="","",IFERROR(INDEX('[AQ_2020.xlsx]原始数据'!$B:$B,MATCH($A606,'[AQ_2020.xlsx]原始数据'!$A:$A,0)),""))</f>
        <v/>
      </c>
      <c r="C606">
        <f>IF($A606="","",IFERROR(INDEX('[AQ_2021.xlsx]原始数据'!$B:$B,MATCH($A606,'[AQ_2021.xlsx]原始数据'!$A:$A,0)),""))</f>
        <v/>
      </c>
      <c r="D606">
        <f>IF($A606="","",IFERROR(INDEX('[AQ_2022.xlsx]原始数据'!$B:$B,MATCH($A606,'[AQ_2022.xlsx]原始数据'!$A:$A,0)),""))</f>
        <v/>
      </c>
      <c r="E606">
        <f>IF($A606="","",IFERROR(INDEX('[AQ_2023.xlsx]原始数据'!$B:$B,MATCH($A606,'[AQ_2023.xlsx]原始数据'!$A:$A,0)),""))</f>
        <v/>
      </c>
      <c r="F606">
        <f>IF($A606="","",IFERROR(INDEX('[AQ_2024.xlsx]原始数据'!$B:$B,MATCH($A606,'[AQ_2024.xlsx]原始数据'!$A:$A,0)),""))</f>
        <v/>
      </c>
      <c r="G606">
        <f>IF($A606="","",IFERROR(INDEX('[AQ_2020.xlsx]原始数据'!$C:$C,MATCH($A606,'[AQ_2020.xlsx]原始数据'!$A:$A,0)),""))</f>
        <v/>
      </c>
      <c r="H606">
        <f>IF($A606="","",IFERROR(INDEX('[AQ_2021.xlsx]原始数据'!$C:$C,MATCH($A606,'[AQ_2021.xlsx]原始数据'!$A:$A,0)),""))</f>
        <v/>
      </c>
      <c r="I606">
        <f>IF($A606="","",IFERROR(INDEX('[AQ_2022.xlsx]原始数据'!$C:$C,MATCH($A606,'[AQ_2022.xlsx]原始数据'!$A:$A,0)),""))</f>
        <v/>
      </c>
      <c r="J606">
        <f>IF($A606="","",IFERROR(INDEX('[AQ_2023.xlsx]原始数据'!$C:$C,MATCH($A606,'[AQ_2023.xlsx]原始数据'!$A:$A,0)),""))</f>
        <v/>
      </c>
      <c r="K606">
        <f>IF($A606="","",IFERROR(INDEX('[AQ_2024.xlsx]原始数据'!$C:$C,MATCH($A606,'[AQ_2024.xlsx]原始数据'!$A:$A,0)),""))</f>
        <v/>
      </c>
      <c r="L606">
        <f>IF($A606="","",IFERROR(INDEX('[AQ_2020.xlsx]原始数据'!$D:$D,MATCH($A606,'[AQ_2020.xlsx]原始数据'!$A:$A,0)),""))</f>
        <v/>
      </c>
      <c r="M606">
        <f>IF($A606="","",IFERROR(INDEX('[AQ_2021.xlsx]原始数据'!$D:$D,MATCH($A606,'[AQ_2021.xlsx]原始数据'!$A:$A,0)),""))</f>
        <v/>
      </c>
      <c r="N606">
        <f>IF($A606="","",IFERROR(INDEX('[AQ_2022.xlsx]原始数据'!$D:$D,MATCH($A606,'[AQ_2022.xlsx]原始数据'!$A:$A,0)),""))</f>
        <v/>
      </c>
      <c r="O606">
        <f>IF($A606="","",IFERROR(INDEX('[AQ_2023.xlsx]原始数据'!$D:$D,MATCH($A606,'[AQ_2023.xlsx]原始数据'!$A:$A,0)),""))</f>
        <v/>
      </c>
      <c r="P606">
        <f>IF($A606="","",IFERROR(INDEX('[AQ_2024.xlsx]原始数据'!$D:$D,MATCH($A606,'[AQ_2024.xlsx]原始数据'!$A:$A,0)),""))</f>
        <v/>
      </c>
      <c r="Q606">
        <f>IF($A606="","",IFERROR(INDEX('[AQ_2020.xlsx]原始数据'!$E:$E,MATCH($A606,'[AQ_2020.xlsx]原始数据'!$A:$A,0)),""))</f>
        <v/>
      </c>
      <c r="R606">
        <f>IF($A606="","",IFERROR(INDEX('[AQ_2021.xlsx]原始数据'!$E:$E,MATCH($A606,'[AQ_2021.xlsx]原始数据'!$A:$A,0)),""))</f>
        <v/>
      </c>
      <c r="S606">
        <f>IF($A606="","",IFERROR(INDEX('[AQ_2022.xlsx]原始数据'!$E:$E,MATCH($A606,'[AQ_2022.xlsx]原始数据'!$A:$A,0)),""))</f>
        <v/>
      </c>
      <c r="T606">
        <f>IF($A606="","",IFERROR(INDEX('[AQ_2023.xlsx]原始数据'!$E:$E,MATCH($A606,'[AQ_2023.xlsx]原始数据'!$A:$A,0)),""))</f>
        <v/>
      </c>
      <c r="U606">
        <f>IF($A606="","",IFERROR(INDEX('[AQ_2024.xlsx]原始数据'!$E:$E,MATCH($A606,'[AQ_2024.xlsx]原始数据'!$A:$A,0)),""))</f>
        <v/>
      </c>
      <c r="V606">
        <f>IF($A606="","",IFERROR(INDEX('[AQ_2020.xlsx]原始数据'!$F:$F,MATCH($A606,'[AQ_2020.xlsx]原始数据'!$A:$A,0)),""))</f>
        <v/>
      </c>
      <c r="W606">
        <f>IF($A606="","",IFERROR(INDEX('[AQ_2021.xlsx]原始数据'!$F:$F,MATCH($A606,'[AQ_2021.xlsx]原始数据'!$A:$A,0)),""))</f>
        <v/>
      </c>
      <c r="X606">
        <f>IF($A606="","",IFERROR(INDEX('[AQ_2022.xlsx]原始数据'!$F:$F,MATCH($A606,'[AQ_2022.xlsx]原始数据'!$A:$A,0)),""))</f>
        <v/>
      </c>
      <c r="Y606">
        <f>IF($A606="","",IFERROR(INDEX('[AQ_2023.xlsx]原始数据'!$F:$F,MATCH($A606,'[AQ_2023.xlsx]原始数据'!$A:$A,0)),""))</f>
        <v/>
      </c>
      <c r="Z606">
        <f>IF($A606="","",IFERROR(INDEX('[AQ_2024.xlsx]原始数据'!$F:$F,MATCH($A606,'[AQ_2024.xlsx]原始数据'!$A:$A,0)),""))</f>
        <v/>
      </c>
      <c r="AA606" s="2">
        <f>IFERROR(G606/B606,"")</f>
        <v/>
      </c>
      <c r="AB606" s="2">
        <f>IFERROR(H606/C606,"")</f>
        <v/>
      </c>
      <c r="AC606" s="2">
        <f>IFERROR(I606/D606,"")</f>
        <v/>
      </c>
      <c r="AD606" s="2">
        <f>IFERROR(J606/E606,"")</f>
        <v/>
      </c>
      <c r="AE606" s="2">
        <f>IFERROR(K606/F606,"")</f>
        <v/>
      </c>
      <c r="AF606" s="2">
        <f>IFERROR(L606/B606,"")</f>
        <v/>
      </c>
      <c r="AG606" s="2">
        <f>IFERROR(M606/C606,"")</f>
        <v/>
      </c>
      <c r="AH606" s="2">
        <f>IFERROR(N606/D606,"")</f>
        <v/>
      </c>
      <c r="AI606" s="2">
        <f>IFERROR(O606/E606,"")</f>
        <v/>
      </c>
      <c r="AJ606" s="2">
        <f>IFERROR(P606/F606,"")</f>
        <v/>
      </c>
      <c r="AK606" s="2">
        <f>IFERROR(Q606/B606,"")</f>
        <v/>
      </c>
      <c r="AL606" s="2">
        <f>IFERROR(R606/C606,"")</f>
        <v/>
      </c>
      <c r="AM606" s="2">
        <f>IFERROR(S606/D606,"")</f>
        <v/>
      </c>
      <c r="AN606" s="2">
        <f>IFERROR(T606/E606,"")</f>
        <v/>
      </c>
      <c r="AO606" s="2">
        <f>IFERROR(U606/F606,"")</f>
        <v/>
      </c>
    </row>
    <row r="607">
      <c r="B607">
        <f>IF($A607="","",IFERROR(INDEX('[AQ_2020.xlsx]原始数据'!$B:$B,MATCH($A607,'[AQ_2020.xlsx]原始数据'!$A:$A,0)),""))</f>
        <v/>
      </c>
      <c r="C607">
        <f>IF($A607="","",IFERROR(INDEX('[AQ_2021.xlsx]原始数据'!$B:$B,MATCH($A607,'[AQ_2021.xlsx]原始数据'!$A:$A,0)),""))</f>
        <v/>
      </c>
      <c r="D607">
        <f>IF($A607="","",IFERROR(INDEX('[AQ_2022.xlsx]原始数据'!$B:$B,MATCH($A607,'[AQ_2022.xlsx]原始数据'!$A:$A,0)),""))</f>
        <v/>
      </c>
      <c r="E607">
        <f>IF($A607="","",IFERROR(INDEX('[AQ_2023.xlsx]原始数据'!$B:$B,MATCH($A607,'[AQ_2023.xlsx]原始数据'!$A:$A,0)),""))</f>
        <v/>
      </c>
      <c r="F607">
        <f>IF($A607="","",IFERROR(INDEX('[AQ_2024.xlsx]原始数据'!$B:$B,MATCH($A607,'[AQ_2024.xlsx]原始数据'!$A:$A,0)),""))</f>
        <v/>
      </c>
      <c r="G607">
        <f>IF($A607="","",IFERROR(INDEX('[AQ_2020.xlsx]原始数据'!$C:$C,MATCH($A607,'[AQ_2020.xlsx]原始数据'!$A:$A,0)),""))</f>
        <v/>
      </c>
      <c r="H607">
        <f>IF($A607="","",IFERROR(INDEX('[AQ_2021.xlsx]原始数据'!$C:$C,MATCH($A607,'[AQ_2021.xlsx]原始数据'!$A:$A,0)),""))</f>
        <v/>
      </c>
      <c r="I607">
        <f>IF($A607="","",IFERROR(INDEX('[AQ_2022.xlsx]原始数据'!$C:$C,MATCH($A607,'[AQ_2022.xlsx]原始数据'!$A:$A,0)),""))</f>
        <v/>
      </c>
      <c r="J607">
        <f>IF($A607="","",IFERROR(INDEX('[AQ_2023.xlsx]原始数据'!$C:$C,MATCH($A607,'[AQ_2023.xlsx]原始数据'!$A:$A,0)),""))</f>
        <v/>
      </c>
      <c r="K607">
        <f>IF($A607="","",IFERROR(INDEX('[AQ_2024.xlsx]原始数据'!$C:$C,MATCH($A607,'[AQ_2024.xlsx]原始数据'!$A:$A,0)),""))</f>
        <v/>
      </c>
      <c r="L607">
        <f>IF($A607="","",IFERROR(INDEX('[AQ_2020.xlsx]原始数据'!$D:$D,MATCH($A607,'[AQ_2020.xlsx]原始数据'!$A:$A,0)),""))</f>
        <v/>
      </c>
      <c r="M607">
        <f>IF($A607="","",IFERROR(INDEX('[AQ_2021.xlsx]原始数据'!$D:$D,MATCH($A607,'[AQ_2021.xlsx]原始数据'!$A:$A,0)),""))</f>
        <v/>
      </c>
      <c r="N607">
        <f>IF($A607="","",IFERROR(INDEX('[AQ_2022.xlsx]原始数据'!$D:$D,MATCH($A607,'[AQ_2022.xlsx]原始数据'!$A:$A,0)),""))</f>
        <v/>
      </c>
      <c r="O607">
        <f>IF($A607="","",IFERROR(INDEX('[AQ_2023.xlsx]原始数据'!$D:$D,MATCH($A607,'[AQ_2023.xlsx]原始数据'!$A:$A,0)),""))</f>
        <v/>
      </c>
      <c r="P607">
        <f>IF($A607="","",IFERROR(INDEX('[AQ_2024.xlsx]原始数据'!$D:$D,MATCH($A607,'[AQ_2024.xlsx]原始数据'!$A:$A,0)),""))</f>
        <v/>
      </c>
      <c r="Q607">
        <f>IF($A607="","",IFERROR(INDEX('[AQ_2020.xlsx]原始数据'!$E:$E,MATCH($A607,'[AQ_2020.xlsx]原始数据'!$A:$A,0)),""))</f>
        <v/>
      </c>
      <c r="R607">
        <f>IF($A607="","",IFERROR(INDEX('[AQ_2021.xlsx]原始数据'!$E:$E,MATCH($A607,'[AQ_2021.xlsx]原始数据'!$A:$A,0)),""))</f>
        <v/>
      </c>
      <c r="S607">
        <f>IF($A607="","",IFERROR(INDEX('[AQ_2022.xlsx]原始数据'!$E:$E,MATCH($A607,'[AQ_2022.xlsx]原始数据'!$A:$A,0)),""))</f>
        <v/>
      </c>
      <c r="T607">
        <f>IF($A607="","",IFERROR(INDEX('[AQ_2023.xlsx]原始数据'!$E:$E,MATCH($A607,'[AQ_2023.xlsx]原始数据'!$A:$A,0)),""))</f>
        <v/>
      </c>
      <c r="U607">
        <f>IF($A607="","",IFERROR(INDEX('[AQ_2024.xlsx]原始数据'!$E:$E,MATCH($A607,'[AQ_2024.xlsx]原始数据'!$A:$A,0)),""))</f>
        <v/>
      </c>
      <c r="V607">
        <f>IF($A607="","",IFERROR(INDEX('[AQ_2020.xlsx]原始数据'!$F:$F,MATCH($A607,'[AQ_2020.xlsx]原始数据'!$A:$A,0)),""))</f>
        <v/>
      </c>
      <c r="W607">
        <f>IF($A607="","",IFERROR(INDEX('[AQ_2021.xlsx]原始数据'!$F:$F,MATCH($A607,'[AQ_2021.xlsx]原始数据'!$A:$A,0)),""))</f>
        <v/>
      </c>
      <c r="X607">
        <f>IF($A607="","",IFERROR(INDEX('[AQ_2022.xlsx]原始数据'!$F:$F,MATCH($A607,'[AQ_2022.xlsx]原始数据'!$A:$A,0)),""))</f>
        <v/>
      </c>
      <c r="Y607">
        <f>IF($A607="","",IFERROR(INDEX('[AQ_2023.xlsx]原始数据'!$F:$F,MATCH($A607,'[AQ_2023.xlsx]原始数据'!$A:$A,0)),""))</f>
        <v/>
      </c>
      <c r="Z607">
        <f>IF($A607="","",IFERROR(INDEX('[AQ_2024.xlsx]原始数据'!$F:$F,MATCH($A607,'[AQ_2024.xlsx]原始数据'!$A:$A,0)),""))</f>
        <v/>
      </c>
      <c r="AA607" s="2">
        <f>IFERROR(G607/B607,"")</f>
        <v/>
      </c>
      <c r="AB607" s="2">
        <f>IFERROR(H607/C607,"")</f>
        <v/>
      </c>
      <c r="AC607" s="2">
        <f>IFERROR(I607/D607,"")</f>
        <v/>
      </c>
      <c r="AD607" s="2">
        <f>IFERROR(J607/E607,"")</f>
        <v/>
      </c>
      <c r="AE607" s="2">
        <f>IFERROR(K607/F607,"")</f>
        <v/>
      </c>
      <c r="AF607" s="2">
        <f>IFERROR(L607/B607,"")</f>
        <v/>
      </c>
      <c r="AG607" s="2">
        <f>IFERROR(M607/C607,"")</f>
        <v/>
      </c>
      <c r="AH607" s="2">
        <f>IFERROR(N607/D607,"")</f>
        <v/>
      </c>
      <c r="AI607" s="2">
        <f>IFERROR(O607/E607,"")</f>
        <v/>
      </c>
      <c r="AJ607" s="2">
        <f>IFERROR(P607/F607,"")</f>
        <v/>
      </c>
      <c r="AK607" s="2">
        <f>IFERROR(Q607/B607,"")</f>
        <v/>
      </c>
      <c r="AL607" s="2">
        <f>IFERROR(R607/C607,"")</f>
        <v/>
      </c>
      <c r="AM607" s="2">
        <f>IFERROR(S607/D607,"")</f>
        <v/>
      </c>
      <c r="AN607" s="2">
        <f>IFERROR(T607/E607,"")</f>
        <v/>
      </c>
      <c r="AO607" s="2">
        <f>IFERROR(U607/F607,"")</f>
        <v/>
      </c>
    </row>
    <row r="608">
      <c r="B608">
        <f>IF($A608="","",IFERROR(INDEX('[AQ_2020.xlsx]原始数据'!$B:$B,MATCH($A608,'[AQ_2020.xlsx]原始数据'!$A:$A,0)),""))</f>
        <v/>
      </c>
      <c r="C608">
        <f>IF($A608="","",IFERROR(INDEX('[AQ_2021.xlsx]原始数据'!$B:$B,MATCH($A608,'[AQ_2021.xlsx]原始数据'!$A:$A,0)),""))</f>
        <v/>
      </c>
      <c r="D608">
        <f>IF($A608="","",IFERROR(INDEX('[AQ_2022.xlsx]原始数据'!$B:$B,MATCH($A608,'[AQ_2022.xlsx]原始数据'!$A:$A,0)),""))</f>
        <v/>
      </c>
      <c r="E608">
        <f>IF($A608="","",IFERROR(INDEX('[AQ_2023.xlsx]原始数据'!$B:$B,MATCH($A608,'[AQ_2023.xlsx]原始数据'!$A:$A,0)),""))</f>
        <v/>
      </c>
      <c r="F608">
        <f>IF($A608="","",IFERROR(INDEX('[AQ_2024.xlsx]原始数据'!$B:$B,MATCH($A608,'[AQ_2024.xlsx]原始数据'!$A:$A,0)),""))</f>
        <v/>
      </c>
      <c r="G608">
        <f>IF($A608="","",IFERROR(INDEX('[AQ_2020.xlsx]原始数据'!$C:$C,MATCH($A608,'[AQ_2020.xlsx]原始数据'!$A:$A,0)),""))</f>
        <v/>
      </c>
      <c r="H608">
        <f>IF($A608="","",IFERROR(INDEX('[AQ_2021.xlsx]原始数据'!$C:$C,MATCH($A608,'[AQ_2021.xlsx]原始数据'!$A:$A,0)),""))</f>
        <v/>
      </c>
      <c r="I608">
        <f>IF($A608="","",IFERROR(INDEX('[AQ_2022.xlsx]原始数据'!$C:$C,MATCH($A608,'[AQ_2022.xlsx]原始数据'!$A:$A,0)),""))</f>
        <v/>
      </c>
      <c r="J608">
        <f>IF($A608="","",IFERROR(INDEX('[AQ_2023.xlsx]原始数据'!$C:$C,MATCH($A608,'[AQ_2023.xlsx]原始数据'!$A:$A,0)),""))</f>
        <v/>
      </c>
      <c r="K608">
        <f>IF($A608="","",IFERROR(INDEX('[AQ_2024.xlsx]原始数据'!$C:$C,MATCH($A608,'[AQ_2024.xlsx]原始数据'!$A:$A,0)),""))</f>
        <v/>
      </c>
      <c r="L608">
        <f>IF($A608="","",IFERROR(INDEX('[AQ_2020.xlsx]原始数据'!$D:$D,MATCH($A608,'[AQ_2020.xlsx]原始数据'!$A:$A,0)),""))</f>
        <v/>
      </c>
      <c r="M608">
        <f>IF($A608="","",IFERROR(INDEX('[AQ_2021.xlsx]原始数据'!$D:$D,MATCH($A608,'[AQ_2021.xlsx]原始数据'!$A:$A,0)),""))</f>
        <v/>
      </c>
      <c r="N608">
        <f>IF($A608="","",IFERROR(INDEX('[AQ_2022.xlsx]原始数据'!$D:$D,MATCH($A608,'[AQ_2022.xlsx]原始数据'!$A:$A,0)),""))</f>
        <v/>
      </c>
      <c r="O608">
        <f>IF($A608="","",IFERROR(INDEX('[AQ_2023.xlsx]原始数据'!$D:$D,MATCH($A608,'[AQ_2023.xlsx]原始数据'!$A:$A,0)),""))</f>
        <v/>
      </c>
      <c r="P608">
        <f>IF($A608="","",IFERROR(INDEX('[AQ_2024.xlsx]原始数据'!$D:$D,MATCH($A608,'[AQ_2024.xlsx]原始数据'!$A:$A,0)),""))</f>
        <v/>
      </c>
      <c r="Q608">
        <f>IF($A608="","",IFERROR(INDEX('[AQ_2020.xlsx]原始数据'!$E:$E,MATCH($A608,'[AQ_2020.xlsx]原始数据'!$A:$A,0)),""))</f>
        <v/>
      </c>
      <c r="R608">
        <f>IF($A608="","",IFERROR(INDEX('[AQ_2021.xlsx]原始数据'!$E:$E,MATCH($A608,'[AQ_2021.xlsx]原始数据'!$A:$A,0)),""))</f>
        <v/>
      </c>
      <c r="S608">
        <f>IF($A608="","",IFERROR(INDEX('[AQ_2022.xlsx]原始数据'!$E:$E,MATCH($A608,'[AQ_2022.xlsx]原始数据'!$A:$A,0)),""))</f>
        <v/>
      </c>
      <c r="T608">
        <f>IF($A608="","",IFERROR(INDEX('[AQ_2023.xlsx]原始数据'!$E:$E,MATCH($A608,'[AQ_2023.xlsx]原始数据'!$A:$A,0)),""))</f>
        <v/>
      </c>
      <c r="U608">
        <f>IF($A608="","",IFERROR(INDEX('[AQ_2024.xlsx]原始数据'!$E:$E,MATCH($A608,'[AQ_2024.xlsx]原始数据'!$A:$A,0)),""))</f>
        <v/>
      </c>
      <c r="V608">
        <f>IF($A608="","",IFERROR(INDEX('[AQ_2020.xlsx]原始数据'!$F:$F,MATCH($A608,'[AQ_2020.xlsx]原始数据'!$A:$A,0)),""))</f>
        <v/>
      </c>
      <c r="W608">
        <f>IF($A608="","",IFERROR(INDEX('[AQ_2021.xlsx]原始数据'!$F:$F,MATCH($A608,'[AQ_2021.xlsx]原始数据'!$A:$A,0)),""))</f>
        <v/>
      </c>
      <c r="X608">
        <f>IF($A608="","",IFERROR(INDEX('[AQ_2022.xlsx]原始数据'!$F:$F,MATCH($A608,'[AQ_2022.xlsx]原始数据'!$A:$A,0)),""))</f>
        <v/>
      </c>
      <c r="Y608">
        <f>IF($A608="","",IFERROR(INDEX('[AQ_2023.xlsx]原始数据'!$F:$F,MATCH($A608,'[AQ_2023.xlsx]原始数据'!$A:$A,0)),""))</f>
        <v/>
      </c>
      <c r="Z608">
        <f>IF($A608="","",IFERROR(INDEX('[AQ_2024.xlsx]原始数据'!$F:$F,MATCH($A608,'[AQ_2024.xlsx]原始数据'!$A:$A,0)),""))</f>
        <v/>
      </c>
      <c r="AA608" s="2">
        <f>IFERROR(G608/B608,"")</f>
        <v/>
      </c>
      <c r="AB608" s="2">
        <f>IFERROR(H608/C608,"")</f>
        <v/>
      </c>
      <c r="AC608" s="2">
        <f>IFERROR(I608/D608,"")</f>
        <v/>
      </c>
      <c r="AD608" s="2">
        <f>IFERROR(J608/E608,"")</f>
        <v/>
      </c>
      <c r="AE608" s="2">
        <f>IFERROR(K608/F608,"")</f>
        <v/>
      </c>
      <c r="AF608" s="2">
        <f>IFERROR(L608/B608,"")</f>
        <v/>
      </c>
      <c r="AG608" s="2">
        <f>IFERROR(M608/C608,"")</f>
        <v/>
      </c>
      <c r="AH608" s="2">
        <f>IFERROR(N608/D608,"")</f>
        <v/>
      </c>
      <c r="AI608" s="2">
        <f>IFERROR(O608/E608,"")</f>
        <v/>
      </c>
      <c r="AJ608" s="2">
        <f>IFERROR(P608/F608,"")</f>
        <v/>
      </c>
      <c r="AK608" s="2">
        <f>IFERROR(Q608/B608,"")</f>
        <v/>
      </c>
      <c r="AL608" s="2">
        <f>IFERROR(R608/C608,"")</f>
        <v/>
      </c>
      <c r="AM608" s="2">
        <f>IFERROR(S608/D608,"")</f>
        <v/>
      </c>
      <c r="AN608" s="2">
        <f>IFERROR(T608/E608,"")</f>
        <v/>
      </c>
      <c r="AO608" s="2">
        <f>IFERROR(U608/F608,"")</f>
        <v/>
      </c>
    </row>
    <row r="609">
      <c r="B609">
        <f>IF($A609="","",IFERROR(INDEX('[AQ_2020.xlsx]原始数据'!$B:$B,MATCH($A609,'[AQ_2020.xlsx]原始数据'!$A:$A,0)),""))</f>
        <v/>
      </c>
      <c r="C609">
        <f>IF($A609="","",IFERROR(INDEX('[AQ_2021.xlsx]原始数据'!$B:$B,MATCH($A609,'[AQ_2021.xlsx]原始数据'!$A:$A,0)),""))</f>
        <v/>
      </c>
      <c r="D609">
        <f>IF($A609="","",IFERROR(INDEX('[AQ_2022.xlsx]原始数据'!$B:$B,MATCH($A609,'[AQ_2022.xlsx]原始数据'!$A:$A,0)),""))</f>
        <v/>
      </c>
      <c r="E609">
        <f>IF($A609="","",IFERROR(INDEX('[AQ_2023.xlsx]原始数据'!$B:$B,MATCH($A609,'[AQ_2023.xlsx]原始数据'!$A:$A,0)),""))</f>
        <v/>
      </c>
      <c r="F609">
        <f>IF($A609="","",IFERROR(INDEX('[AQ_2024.xlsx]原始数据'!$B:$B,MATCH($A609,'[AQ_2024.xlsx]原始数据'!$A:$A,0)),""))</f>
        <v/>
      </c>
      <c r="G609">
        <f>IF($A609="","",IFERROR(INDEX('[AQ_2020.xlsx]原始数据'!$C:$C,MATCH($A609,'[AQ_2020.xlsx]原始数据'!$A:$A,0)),""))</f>
        <v/>
      </c>
      <c r="H609">
        <f>IF($A609="","",IFERROR(INDEX('[AQ_2021.xlsx]原始数据'!$C:$C,MATCH($A609,'[AQ_2021.xlsx]原始数据'!$A:$A,0)),""))</f>
        <v/>
      </c>
      <c r="I609">
        <f>IF($A609="","",IFERROR(INDEX('[AQ_2022.xlsx]原始数据'!$C:$C,MATCH($A609,'[AQ_2022.xlsx]原始数据'!$A:$A,0)),""))</f>
        <v/>
      </c>
      <c r="J609">
        <f>IF($A609="","",IFERROR(INDEX('[AQ_2023.xlsx]原始数据'!$C:$C,MATCH($A609,'[AQ_2023.xlsx]原始数据'!$A:$A,0)),""))</f>
        <v/>
      </c>
      <c r="K609">
        <f>IF($A609="","",IFERROR(INDEX('[AQ_2024.xlsx]原始数据'!$C:$C,MATCH($A609,'[AQ_2024.xlsx]原始数据'!$A:$A,0)),""))</f>
        <v/>
      </c>
      <c r="L609">
        <f>IF($A609="","",IFERROR(INDEX('[AQ_2020.xlsx]原始数据'!$D:$D,MATCH($A609,'[AQ_2020.xlsx]原始数据'!$A:$A,0)),""))</f>
        <v/>
      </c>
      <c r="M609">
        <f>IF($A609="","",IFERROR(INDEX('[AQ_2021.xlsx]原始数据'!$D:$D,MATCH($A609,'[AQ_2021.xlsx]原始数据'!$A:$A,0)),""))</f>
        <v/>
      </c>
      <c r="N609">
        <f>IF($A609="","",IFERROR(INDEX('[AQ_2022.xlsx]原始数据'!$D:$D,MATCH($A609,'[AQ_2022.xlsx]原始数据'!$A:$A,0)),""))</f>
        <v/>
      </c>
      <c r="O609">
        <f>IF($A609="","",IFERROR(INDEX('[AQ_2023.xlsx]原始数据'!$D:$D,MATCH($A609,'[AQ_2023.xlsx]原始数据'!$A:$A,0)),""))</f>
        <v/>
      </c>
      <c r="P609">
        <f>IF($A609="","",IFERROR(INDEX('[AQ_2024.xlsx]原始数据'!$D:$D,MATCH($A609,'[AQ_2024.xlsx]原始数据'!$A:$A,0)),""))</f>
        <v/>
      </c>
      <c r="Q609">
        <f>IF($A609="","",IFERROR(INDEX('[AQ_2020.xlsx]原始数据'!$E:$E,MATCH($A609,'[AQ_2020.xlsx]原始数据'!$A:$A,0)),""))</f>
        <v/>
      </c>
      <c r="R609">
        <f>IF($A609="","",IFERROR(INDEX('[AQ_2021.xlsx]原始数据'!$E:$E,MATCH($A609,'[AQ_2021.xlsx]原始数据'!$A:$A,0)),""))</f>
        <v/>
      </c>
      <c r="S609">
        <f>IF($A609="","",IFERROR(INDEX('[AQ_2022.xlsx]原始数据'!$E:$E,MATCH($A609,'[AQ_2022.xlsx]原始数据'!$A:$A,0)),""))</f>
        <v/>
      </c>
      <c r="T609">
        <f>IF($A609="","",IFERROR(INDEX('[AQ_2023.xlsx]原始数据'!$E:$E,MATCH($A609,'[AQ_2023.xlsx]原始数据'!$A:$A,0)),""))</f>
        <v/>
      </c>
      <c r="U609">
        <f>IF($A609="","",IFERROR(INDEX('[AQ_2024.xlsx]原始数据'!$E:$E,MATCH($A609,'[AQ_2024.xlsx]原始数据'!$A:$A,0)),""))</f>
        <v/>
      </c>
      <c r="V609">
        <f>IF($A609="","",IFERROR(INDEX('[AQ_2020.xlsx]原始数据'!$F:$F,MATCH($A609,'[AQ_2020.xlsx]原始数据'!$A:$A,0)),""))</f>
        <v/>
      </c>
      <c r="W609">
        <f>IF($A609="","",IFERROR(INDEX('[AQ_2021.xlsx]原始数据'!$F:$F,MATCH($A609,'[AQ_2021.xlsx]原始数据'!$A:$A,0)),""))</f>
        <v/>
      </c>
      <c r="X609">
        <f>IF($A609="","",IFERROR(INDEX('[AQ_2022.xlsx]原始数据'!$F:$F,MATCH($A609,'[AQ_2022.xlsx]原始数据'!$A:$A,0)),""))</f>
        <v/>
      </c>
      <c r="Y609">
        <f>IF($A609="","",IFERROR(INDEX('[AQ_2023.xlsx]原始数据'!$F:$F,MATCH($A609,'[AQ_2023.xlsx]原始数据'!$A:$A,0)),""))</f>
        <v/>
      </c>
      <c r="Z609">
        <f>IF($A609="","",IFERROR(INDEX('[AQ_2024.xlsx]原始数据'!$F:$F,MATCH($A609,'[AQ_2024.xlsx]原始数据'!$A:$A,0)),""))</f>
        <v/>
      </c>
      <c r="AA609" s="2">
        <f>IFERROR(G609/B609,"")</f>
        <v/>
      </c>
      <c r="AB609" s="2">
        <f>IFERROR(H609/C609,"")</f>
        <v/>
      </c>
      <c r="AC609" s="2">
        <f>IFERROR(I609/D609,"")</f>
        <v/>
      </c>
      <c r="AD609" s="2">
        <f>IFERROR(J609/E609,"")</f>
        <v/>
      </c>
      <c r="AE609" s="2">
        <f>IFERROR(K609/F609,"")</f>
        <v/>
      </c>
      <c r="AF609" s="2">
        <f>IFERROR(L609/B609,"")</f>
        <v/>
      </c>
      <c r="AG609" s="2">
        <f>IFERROR(M609/C609,"")</f>
        <v/>
      </c>
      <c r="AH609" s="2">
        <f>IFERROR(N609/D609,"")</f>
        <v/>
      </c>
      <c r="AI609" s="2">
        <f>IFERROR(O609/E609,"")</f>
        <v/>
      </c>
      <c r="AJ609" s="2">
        <f>IFERROR(P609/F609,"")</f>
        <v/>
      </c>
      <c r="AK609" s="2">
        <f>IFERROR(Q609/B609,"")</f>
        <v/>
      </c>
      <c r="AL609" s="2">
        <f>IFERROR(R609/C609,"")</f>
        <v/>
      </c>
      <c r="AM609" s="2">
        <f>IFERROR(S609/D609,"")</f>
        <v/>
      </c>
      <c r="AN609" s="2">
        <f>IFERROR(T609/E609,"")</f>
        <v/>
      </c>
      <c r="AO609" s="2">
        <f>IFERROR(U609/F609,"")</f>
        <v/>
      </c>
    </row>
    <row r="610">
      <c r="B610">
        <f>IF($A610="","",IFERROR(INDEX('[AQ_2020.xlsx]原始数据'!$B:$B,MATCH($A610,'[AQ_2020.xlsx]原始数据'!$A:$A,0)),""))</f>
        <v/>
      </c>
      <c r="C610">
        <f>IF($A610="","",IFERROR(INDEX('[AQ_2021.xlsx]原始数据'!$B:$B,MATCH($A610,'[AQ_2021.xlsx]原始数据'!$A:$A,0)),""))</f>
        <v/>
      </c>
      <c r="D610">
        <f>IF($A610="","",IFERROR(INDEX('[AQ_2022.xlsx]原始数据'!$B:$B,MATCH($A610,'[AQ_2022.xlsx]原始数据'!$A:$A,0)),""))</f>
        <v/>
      </c>
      <c r="E610">
        <f>IF($A610="","",IFERROR(INDEX('[AQ_2023.xlsx]原始数据'!$B:$B,MATCH($A610,'[AQ_2023.xlsx]原始数据'!$A:$A,0)),""))</f>
        <v/>
      </c>
      <c r="F610">
        <f>IF($A610="","",IFERROR(INDEX('[AQ_2024.xlsx]原始数据'!$B:$B,MATCH($A610,'[AQ_2024.xlsx]原始数据'!$A:$A,0)),""))</f>
        <v/>
      </c>
      <c r="G610">
        <f>IF($A610="","",IFERROR(INDEX('[AQ_2020.xlsx]原始数据'!$C:$C,MATCH($A610,'[AQ_2020.xlsx]原始数据'!$A:$A,0)),""))</f>
        <v/>
      </c>
      <c r="H610">
        <f>IF($A610="","",IFERROR(INDEX('[AQ_2021.xlsx]原始数据'!$C:$C,MATCH($A610,'[AQ_2021.xlsx]原始数据'!$A:$A,0)),""))</f>
        <v/>
      </c>
      <c r="I610">
        <f>IF($A610="","",IFERROR(INDEX('[AQ_2022.xlsx]原始数据'!$C:$C,MATCH($A610,'[AQ_2022.xlsx]原始数据'!$A:$A,0)),""))</f>
        <v/>
      </c>
      <c r="J610">
        <f>IF($A610="","",IFERROR(INDEX('[AQ_2023.xlsx]原始数据'!$C:$C,MATCH($A610,'[AQ_2023.xlsx]原始数据'!$A:$A,0)),""))</f>
        <v/>
      </c>
      <c r="K610">
        <f>IF($A610="","",IFERROR(INDEX('[AQ_2024.xlsx]原始数据'!$C:$C,MATCH($A610,'[AQ_2024.xlsx]原始数据'!$A:$A,0)),""))</f>
        <v/>
      </c>
      <c r="L610">
        <f>IF($A610="","",IFERROR(INDEX('[AQ_2020.xlsx]原始数据'!$D:$D,MATCH($A610,'[AQ_2020.xlsx]原始数据'!$A:$A,0)),""))</f>
        <v/>
      </c>
      <c r="M610">
        <f>IF($A610="","",IFERROR(INDEX('[AQ_2021.xlsx]原始数据'!$D:$D,MATCH($A610,'[AQ_2021.xlsx]原始数据'!$A:$A,0)),""))</f>
        <v/>
      </c>
      <c r="N610">
        <f>IF($A610="","",IFERROR(INDEX('[AQ_2022.xlsx]原始数据'!$D:$D,MATCH($A610,'[AQ_2022.xlsx]原始数据'!$A:$A,0)),""))</f>
        <v/>
      </c>
      <c r="O610">
        <f>IF($A610="","",IFERROR(INDEX('[AQ_2023.xlsx]原始数据'!$D:$D,MATCH($A610,'[AQ_2023.xlsx]原始数据'!$A:$A,0)),""))</f>
        <v/>
      </c>
      <c r="P610">
        <f>IF($A610="","",IFERROR(INDEX('[AQ_2024.xlsx]原始数据'!$D:$D,MATCH($A610,'[AQ_2024.xlsx]原始数据'!$A:$A,0)),""))</f>
        <v/>
      </c>
      <c r="Q610">
        <f>IF($A610="","",IFERROR(INDEX('[AQ_2020.xlsx]原始数据'!$E:$E,MATCH($A610,'[AQ_2020.xlsx]原始数据'!$A:$A,0)),""))</f>
        <v/>
      </c>
      <c r="R610">
        <f>IF($A610="","",IFERROR(INDEX('[AQ_2021.xlsx]原始数据'!$E:$E,MATCH($A610,'[AQ_2021.xlsx]原始数据'!$A:$A,0)),""))</f>
        <v/>
      </c>
      <c r="S610">
        <f>IF($A610="","",IFERROR(INDEX('[AQ_2022.xlsx]原始数据'!$E:$E,MATCH($A610,'[AQ_2022.xlsx]原始数据'!$A:$A,0)),""))</f>
        <v/>
      </c>
      <c r="T610">
        <f>IF($A610="","",IFERROR(INDEX('[AQ_2023.xlsx]原始数据'!$E:$E,MATCH($A610,'[AQ_2023.xlsx]原始数据'!$A:$A,0)),""))</f>
        <v/>
      </c>
      <c r="U610">
        <f>IF($A610="","",IFERROR(INDEX('[AQ_2024.xlsx]原始数据'!$E:$E,MATCH($A610,'[AQ_2024.xlsx]原始数据'!$A:$A,0)),""))</f>
        <v/>
      </c>
      <c r="V610">
        <f>IF($A610="","",IFERROR(INDEX('[AQ_2020.xlsx]原始数据'!$F:$F,MATCH($A610,'[AQ_2020.xlsx]原始数据'!$A:$A,0)),""))</f>
        <v/>
      </c>
      <c r="W610">
        <f>IF($A610="","",IFERROR(INDEX('[AQ_2021.xlsx]原始数据'!$F:$F,MATCH($A610,'[AQ_2021.xlsx]原始数据'!$A:$A,0)),""))</f>
        <v/>
      </c>
      <c r="X610">
        <f>IF($A610="","",IFERROR(INDEX('[AQ_2022.xlsx]原始数据'!$F:$F,MATCH($A610,'[AQ_2022.xlsx]原始数据'!$A:$A,0)),""))</f>
        <v/>
      </c>
      <c r="Y610">
        <f>IF($A610="","",IFERROR(INDEX('[AQ_2023.xlsx]原始数据'!$F:$F,MATCH($A610,'[AQ_2023.xlsx]原始数据'!$A:$A,0)),""))</f>
        <v/>
      </c>
      <c r="Z610">
        <f>IF($A610="","",IFERROR(INDEX('[AQ_2024.xlsx]原始数据'!$F:$F,MATCH($A610,'[AQ_2024.xlsx]原始数据'!$A:$A,0)),""))</f>
        <v/>
      </c>
      <c r="AA610" s="2">
        <f>IFERROR(G610/B610,"")</f>
        <v/>
      </c>
      <c r="AB610" s="2">
        <f>IFERROR(H610/C610,"")</f>
        <v/>
      </c>
      <c r="AC610" s="2">
        <f>IFERROR(I610/D610,"")</f>
        <v/>
      </c>
      <c r="AD610" s="2">
        <f>IFERROR(J610/E610,"")</f>
        <v/>
      </c>
      <c r="AE610" s="2">
        <f>IFERROR(K610/F610,"")</f>
        <v/>
      </c>
      <c r="AF610" s="2">
        <f>IFERROR(L610/B610,"")</f>
        <v/>
      </c>
      <c r="AG610" s="2">
        <f>IFERROR(M610/C610,"")</f>
        <v/>
      </c>
      <c r="AH610" s="2">
        <f>IFERROR(N610/D610,"")</f>
        <v/>
      </c>
      <c r="AI610" s="2">
        <f>IFERROR(O610/E610,"")</f>
        <v/>
      </c>
      <c r="AJ610" s="2">
        <f>IFERROR(P610/F610,"")</f>
        <v/>
      </c>
      <c r="AK610" s="2">
        <f>IFERROR(Q610/B610,"")</f>
        <v/>
      </c>
      <c r="AL610" s="2">
        <f>IFERROR(R610/C610,"")</f>
        <v/>
      </c>
      <c r="AM610" s="2">
        <f>IFERROR(S610/D610,"")</f>
        <v/>
      </c>
      <c r="AN610" s="2">
        <f>IFERROR(T610/E610,"")</f>
        <v/>
      </c>
      <c r="AO610" s="2">
        <f>IFERROR(U610/F610,"")</f>
        <v/>
      </c>
    </row>
    <row r="611">
      <c r="B611">
        <f>IF($A611="","",IFERROR(INDEX('[AQ_2020.xlsx]原始数据'!$B:$B,MATCH($A611,'[AQ_2020.xlsx]原始数据'!$A:$A,0)),""))</f>
        <v/>
      </c>
      <c r="C611">
        <f>IF($A611="","",IFERROR(INDEX('[AQ_2021.xlsx]原始数据'!$B:$B,MATCH($A611,'[AQ_2021.xlsx]原始数据'!$A:$A,0)),""))</f>
        <v/>
      </c>
      <c r="D611">
        <f>IF($A611="","",IFERROR(INDEX('[AQ_2022.xlsx]原始数据'!$B:$B,MATCH($A611,'[AQ_2022.xlsx]原始数据'!$A:$A,0)),""))</f>
        <v/>
      </c>
      <c r="E611">
        <f>IF($A611="","",IFERROR(INDEX('[AQ_2023.xlsx]原始数据'!$B:$B,MATCH($A611,'[AQ_2023.xlsx]原始数据'!$A:$A,0)),""))</f>
        <v/>
      </c>
      <c r="F611">
        <f>IF($A611="","",IFERROR(INDEX('[AQ_2024.xlsx]原始数据'!$B:$B,MATCH($A611,'[AQ_2024.xlsx]原始数据'!$A:$A,0)),""))</f>
        <v/>
      </c>
      <c r="G611">
        <f>IF($A611="","",IFERROR(INDEX('[AQ_2020.xlsx]原始数据'!$C:$C,MATCH($A611,'[AQ_2020.xlsx]原始数据'!$A:$A,0)),""))</f>
        <v/>
      </c>
      <c r="H611">
        <f>IF($A611="","",IFERROR(INDEX('[AQ_2021.xlsx]原始数据'!$C:$C,MATCH($A611,'[AQ_2021.xlsx]原始数据'!$A:$A,0)),""))</f>
        <v/>
      </c>
      <c r="I611">
        <f>IF($A611="","",IFERROR(INDEX('[AQ_2022.xlsx]原始数据'!$C:$C,MATCH($A611,'[AQ_2022.xlsx]原始数据'!$A:$A,0)),""))</f>
        <v/>
      </c>
      <c r="J611">
        <f>IF($A611="","",IFERROR(INDEX('[AQ_2023.xlsx]原始数据'!$C:$C,MATCH($A611,'[AQ_2023.xlsx]原始数据'!$A:$A,0)),""))</f>
        <v/>
      </c>
      <c r="K611">
        <f>IF($A611="","",IFERROR(INDEX('[AQ_2024.xlsx]原始数据'!$C:$C,MATCH($A611,'[AQ_2024.xlsx]原始数据'!$A:$A,0)),""))</f>
        <v/>
      </c>
      <c r="L611">
        <f>IF($A611="","",IFERROR(INDEX('[AQ_2020.xlsx]原始数据'!$D:$D,MATCH($A611,'[AQ_2020.xlsx]原始数据'!$A:$A,0)),""))</f>
        <v/>
      </c>
      <c r="M611">
        <f>IF($A611="","",IFERROR(INDEX('[AQ_2021.xlsx]原始数据'!$D:$D,MATCH($A611,'[AQ_2021.xlsx]原始数据'!$A:$A,0)),""))</f>
        <v/>
      </c>
      <c r="N611">
        <f>IF($A611="","",IFERROR(INDEX('[AQ_2022.xlsx]原始数据'!$D:$D,MATCH($A611,'[AQ_2022.xlsx]原始数据'!$A:$A,0)),""))</f>
        <v/>
      </c>
      <c r="O611">
        <f>IF($A611="","",IFERROR(INDEX('[AQ_2023.xlsx]原始数据'!$D:$D,MATCH($A611,'[AQ_2023.xlsx]原始数据'!$A:$A,0)),""))</f>
        <v/>
      </c>
      <c r="P611">
        <f>IF($A611="","",IFERROR(INDEX('[AQ_2024.xlsx]原始数据'!$D:$D,MATCH($A611,'[AQ_2024.xlsx]原始数据'!$A:$A,0)),""))</f>
        <v/>
      </c>
      <c r="Q611">
        <f>IF($A611="","",IFERROR(INDEX('[AQ_2020.xlsx]原始数据'!$E:$E,MATCH($A611,'[AQ_2020.xlsx]原始数据'!$A:$A,0)),""))</f>
        <v/>
      </c>
      <c r="R611">
        <f>IF($A611="","",IFERROR(INDEX('[AQ_2021.xlsx]原始数据'!$E:$E,MATCH($A611,'[AQ_2021.xlsx]原始数据'!$A:$A,0)),""))</f>
        <v/>
      </c>
      <c r="S611">
        <f>IF($A611="","",IFERROR(INDEX('[AQ_2022.xlsx]原始数据'!$E:$E,MATCH($A611,'[AQ_2022.xlsx]原始数据'!$A:$A,0)),""))</f>
        <v/>
      </c>
      <c r="T611">
        <f>IF($A611="","",IFERROR(INDEX('[AQ_2023.xlsx]原始数据'!$E:$E,MATCH($A611,'[AQ_2023.xlsx]原始数据'!$A:$A,0)),""))</f>
        <v/>
      </c>
      <c r="U611">
        <f>IF($A611="","",IFERROR(INDEX('[AQ_2024.xlsx]原始数据'!$E:$E,MATCH($A611,'[AQ_2024.xlsx]原始数据'!$A:$A,0)),""))</f>
        <v/>
      </c>
      <c r="V611">
        <f>IF($A611="","",IFERROR(INDEX('[AQ_2020.xlsx]原始数据'!$F:$F,MATCH($A611,'[AQ_2020.xlsx]原始数据'!$A:$A,0)),""))</f>
        <v/>
      </c>
      <c r="W611">
        <f>IF($A611="","",IFERROR(INDEX('[AQ_2021.xlsx]原始数据'!$F:$F,MATCH($A611,'[AQ_2021.xlsx]原始数据'!$A:$A,0)),""))</f>
        <v/>
      </c>
      <c r="X611">
        <f>IF($A611="","",IFERROR(INDEX('[AQ_2022.xlsx]原始数据'!$F:$F,MATCH($A611,'[AQ_2022.xlsx]原始数据'!$A:$A,0)),""))</f>
        <v/>
      </c>
      <c r="Y611">
        <f>IF($A611="","",IFERROR(INDEX('[AQ_2023.xlsx]原始数据'!$F:$F,MATCH($A611,'[AQ_2023.xlsx]原始数据'!$A:$A,0)),""))</f>
        <v/>
      </c>
      <c r="Z611">
        <f>IF($A611="","",IFERROR(INDEX('[AQ_2024.xlsx]原始数据'!$F:$F,MATCH($A611,'[AQ_2024.xlsx]原始数据'!$A:$A,0)),""))</f>
        <v/>
      </c>
      <c r="AA611" s="2">
        <f>IFERROR(G611/B611,"")</f>
        <v/>
      </c>
      <c r="AB611" s="2">
        <f>IFERROR(H611/C611,"")</f>
        <v/>
      </c>
      <c r="AC611" s="2">
        <f>IFERROR(I611/D611,"")</f>
        <v/>
      </c>
      <c r="AD611" s="2">
        <f>IFERROR(J611/E611,"")</f>
        <v/>
      </c>
      <c r="AE611" s="2">
        <f>IFERROR(K611/F611,"")</f>
        <v/>
      </c>
      <c r="AF611" s="2">
        <f>IFERROR(L611/B611,"")</f>
        <v/>
      </c>
      <c r="AG611" s="2">
        <f>IFERROR(M611/C611,"")</f>
        <v/>
      </c>
      <c r="AH611" s="2">
        <f>IFERROR(N611/D611,"")</f>
        <v/>
      </c>
      <c r="AI611" s="2">
        <f>IFERROR(O611/E611,"")</f>
        <v/>
      </c>
      <c r="AJ611" s="2">
        <f>IFERROR(P611/F611,"")</f>
        <v/>
      </c>
      <c r="AK611" s="2">
        <f>IFERROR(Q611/B611,"")</f>
        <v/>
      </c>
      <c r="AL611" s="2">
        <f>IFERROR(R611/C611,"")</f>
        <v/>
      </c>
      <c r="AM611" s="2">
        <f>IFERROR(S611/D611,"")</f>
        <v/>
      </c>
      <c r="AN611" s="2">
        <f>IFERROR(T611/E611,"")</f>
        <v/>
      </c>
      <c r="AO611" s="2">
        <f>IFERROR(U611/F611,"")</f>
        <v/>
      </c>
    </row>
    <row r="612">
      <c r="B612">
        <f>IF($A612="","",IFERROR(INDEX('[AQ_2020.xlsx]原始数据'!$B:$B,MATCH($A612,'[AQ_2020.xlsx]原始数据'!$A:$A,0)),""))</f>
        <v/>
      </c>
      <c r="C612">
        <f>IF($A612="","",IFERROR(INDEX('[AQ_2021.xlsx]原始数据'!$B:$B,MATCH($A612,'[AQ_2021.xlsx]原始数据'!$A:$A,0)),""))</f>
        <v/>
      </c>
      <c r="D612">
        <f>IF($A612="","",IFERROR(INDEX('[AQ_2022.xlsx]原始数据'!$B:$B,MATCH($A612,'[AQ_2022.xlsx]原始数据'!$A:$A,0)),""))</f>
        <v/>
      </c>
      <c r="E612">
        <f>IF($A612="","",IFERROR(INDEX('[AQ_2023.xlsx]原始数据'!$B:$B,MATCH($A612,'[AQ_2023.xlsx]原始数据'!$A:$A,0)),""))</f>
        <v/>
      </c>
      <c r="F612">
        <f>IF($A612="","",IFERROR(INDEX('[AQ_2024.xlsx]原始数据'!$B:$B,MATCH($A612,'[AQ_2024.xlsx]原始数据'!$A:$A,0)),""))</f>
        <v/>
      </c>
      <c r="G612">
        <f>IF($A612="","",IFERROR(INDEX('[AQ_2020.xlsx]原始数据'!$C:$C,MATCH($A612,'[AQ_2020.xlsx]原始数据'!$A:$A,0)),""))</f>
        <v/>
      </c>
      <c r="H612">
        <f>IF($A612="","",IFERROR(INDEX('[AQ_2021.xlsx]原始数据'!$C:$C,MATCH($A612,'[AQ_2021.xlsx]原始数据'!$A:$A,0)),""))</f>
        <v/>
      </c>
      <c r="I612">
        <f>IF($A612="","",IFERROR(INDEX('[AQ_2022.xlsx]原始数据'!$C:$C,MATCH($A612,'[AQ_2022.xlsx]原始数据'!$A:$A,0)),""))</f>
        <v/>
      </c>
      <c r="J612">
        <f>IF($A612="","",IFERROR(INDEX('[AQ_2023.xlsx]原始数据'!$C:$C,MATCH($A612,'[AQ_2023.xlsx]原始数据'!$A:$A,0)),""))</f>
        <v/>
      </c>
      <c r="K612">
        <f>IF($A612="","",IFERROR(INDEX('[AQ_2024.xlsx]原始数据'!$C:$C,MATCH($A612,'[AQ_2024.xlsx]原始数据'!$A:$A,0)),""))</f>
        <v/>
      </c>
      <c r="L612">
        <f>IF($A612="","",IFERROR(INDEX('[AQ_2020.xlsx]原始数据'!$D:$D,MATCH($A612,'[AQ_2020.xlsx]原始数据'!$A:$A,0)),""))</f>
        <v/>
      </c>
      <c r="M612">
        <f>IF($A612="","",IFERROR(INDEX('[AQ_2021.xlsx]原始数据'!$D:$D,MATCH($A612,'[AQ_2021.xlsx]原始数据'!$A:$A,0)),""))</f>
        <v/>
      </c>
      <c r="N612">
        <f>IF($A612="","",IFERROR(INDEX('[AQ_2022.xlsx]原始数据'!$D:$D,MATCH($A612,'[AQ_2022.xlsx]原始数据'!$A:$A,0)),""))</f>
        <v/>
      </c>
      <c r="O612">
        <f>IF($A612="","",IFERROR(INDEX('[AQ_2023.xlsx]原始数据'!$D:$D,MATCH($A612,'[AQ_2023.xlsx]原始数据'!$A:$A,0)),""))</f>
        <v/>
      </c>
      <c r="P612">
        <f>IF($A612="","",IFERROR(INDEX('[AQ_2024.xlsx]原始数据'!$D:$D,MATCH($A612,'[AQ_2024.xlsx]原始数据'!$A:$A,0)),""))</f>
        <v/>
      </c>
      <c r="Q612">
        <f>IF($A612="","",IFERROR(INDEX('[AQ_2020.xlsx]原始数据'!$E:$E,MATCH($A612,'[AQ_2020.xlsx]原始数据'!$A:$A,0)),""))</f>
        <v/>
      </c>
      <c r="R612">
        <f>IF($A612="","",IFERROR(INDEX('[AQ_2021.xlsx]原始数据'!$E:$E,MATCH($A612,'[AQ_2021.xlsx]原始数据'!$A:$A,0)),""))</f>
        <v/>
      </c>
      <c r="S612">
        <f>IF($A612="","",IFERROR(INDEX('[AQ_2022.xlsx]原始数据'!$E:$E,MATCH($A612,'[AQ_2022.xlsx]原始数据'!$A:$A,0)),""))</f>
        <v/>
      </c>
      <c r="T612">
        <f>IF($A612="","",IFERROR(INDEX('[AQ_2023.xlsx]原始数据'!$E:$E,MATCH($A612,'[AQ_2023.xlsx]原始数据'!$A:$A,0)),""))</f>
        <v/>
      </c>
      <c r="U612">
        <f>IF($A612="","",IFERROR(INDEX('[AQ_2024.xlsx]原始数据'!$E:$E,MATCH($A612,'[AQ_2024.xlsx]原始数据'!$A:$A,0)),""))</f>
        <v/>
      </c>
      <c r="V612">
        <f>IF($A612="","",IFERROR(INDEX('[AQ_2020.xlsx]原始数据'!$F:$F,MATCH($A612,'[AQ_2020.xlsx]原始数据'!$A:$A,0)),""))</f>
        <v/>
      </c>
      <c r="W612">
        <f>IF($A612="","",IFERROR(INDEX('[AQ_2021.xlsx]原始数据'!$F:$F,MATCH($A612,'[AQ_2021.xlsx]原始数据'!$A:$A,0)),""))</f>
        <v/>
      </c>
      <c r="X612">
        <f>IF($A612="","",IFERROR(INDEX('[AQ_2022.xlsx]原始数据'!$F:$F,MATCH($A612,'[AQ_2022.xlsx]原始数据'!$A:$A,0)),""))</f>
        <v/>
      </c>
      <c r="Y612">
        <f>IF($A612="","",IFERROR(INDEX('[AQ_2023.xlsx]原始数据'!$F:$F,MATCH($A612,'[AQ_2023.xlsx]原始数据'!$A:$A,0)),""))</f>
        <v/>
      </c>
      <c r="Z612">
        <f>IF($A612="","",IFERROR(INDEX('[AQ_2024.xlsx]原始数据'!$F:$F,MATCH($A612,'[AQ_2024.xlsx]原始数据'!$A:$A,0)),""))</f>
        <v/>
      </c>
      <c r="AA612" s="2">
        <f>IFERROR(G612/B612,"")</f>
        <v/>
      </c>
      <c r="AB612" s="2">
        <f>IFERROR(H612/C612,"")</f>
        <v/>
      </c>
      <c r="AC612" s="2">
        <f>IFERROR(I612/D612,"")</f>
        <v/>
      </c>
      <c r="AD612" s="2">
        <f>IFERROR(J612/E612,"")</f>
        <v/>
      </c>
      <c r="AE612" s="2">
        <f>IFERROR(K612/F612,"")</f>
        <v/>
      </c>
      <c r="AF612" s="2">
        <f>IFERROR(L612/B612,"")</f>
        <v/>
      </c>
      <c r="AG612" s="2">
        <f>IFERROR(M612/C612,"")</f>
        <v/>
      </c>
      <c r="AH612" s="2">
        <f>IFERROR(N612/D612,"")</f>
        <v/>
      </c>
      <c r="AI612" s="2">
        <f>IFERROR(O612/E612,"")</f>
        <v/>
      </c>
      <c r="AJ612" s="2">
        <f>IFERROR(P612/F612,"")</f>
        <v/>
      </c>
      <c r="AK612" s="2">
        <f>IFERROR(Q612/B612,"")</f>
        <v/>
      </c>
      <c r="AL612" s="2">
        <f>IFERROR(R612/C612,"")</f>
        <v/>
      </c>
      <c r="AM612" s="2">
        <f>IFERROR(S612/D612,"")</f>
        <v/>
      </c>
      <c r="AN612" s="2">
        <f>IFERROR(T612/E612,"")</f>
        <v/>
      </c>
      <c r="AO612" s="2">
        <f>IFERROR(U612/F612,"")</f>
        <v/>
      </c>
    </row>
    <row r="613">
      <c r="B613">
        <f>IF($A613="","",IFERROR(INDEX('[AQ_2020.xlsx]原始数据'!$B:$B,MATCH($A613,'[AQ_2020.xlsx]原始数据'!$A:$A,0)),""))</f>
        <v/>
      </c>
      <c r="C613">
        <f>IF($A613="","",IFERROR(INDEX('[AQ_2021.xlsx]原始数据'!$B:$B,MATCH($A613,'[AQ_2021.xlsx]原始数据'!$A:$A,0)),""))</f>
        <v/>
      </c>
      <c r="D613">
        <f>IF($A613="","",IFERROR(INDEX('[AQ_2022.xlsx]原始数据'!$B:$B,MATCH($A613,'[AQ_2022.xlsx]原始数据'!$A:$A,0)),""))</f>
        <v/>
      </c>
      <c r="E613">
        <f>IF($A613="","",IFERROR(INDEX('[AQ_2023.xlsx]原始数据'!$B:$B,MATCH($A613,'[AQ_2023.xlsx]原始数据'!$A:$A,0)),""))</f>
        <v/>
      </c>
      <c r="F613">
        <f>IF($A613="","",IFERROR(INDEX('[AQ_2024.xlsx]原始数据'!$B:$B,MATCH($A613,'[AQ_2024.xlsx]原始数据'!$A:$A,0)),""))</f>
        <v/>
      </c>
      <c r="G613">
        <f>IF($A613="","",IFERROR(INDEX('[AQ_2020.xlsx]原始数据'!$C:$C,MATCH($A613,'[AQ_2020.xlsx]原始数据'!$A:$A,0)),""))</f>
        <v/>
      </c>
      <c r="H613">
        <f>IF($A613="","",IFERROR(INDEX('[AQ_2021.xlsx]原始数据'!$C:$C,MATCH($A613,'[AQ_2021.xlsx]原始数据'!$A:$A,0)),""))</f>
        <v/>
      </c>
      <c r="I613">
        <f>IF($A613="","",IFERROR(INDEX('[AQ_2022.xlsx]原始数据'!$C:$C,MATCH($A613,'[AQ_2022.xlsx]原始数据'!$A:$A,0)),""))</f>
        <v/>
      </c>
      <c r="J613">
        <f>IF($A613="","",IFERROR(INDEX('[AQ_2023.xlsx]原始数据'!$C:$C,MATCH($A613,'[AQ_2023.xlsx]原始数据'!$A:$A,0)),""))</f>
        <v/>
      </c>
      <c r="K613">
        <f>IF($A613="","",IFERROR(INDEX('[AQ_2024.xlsx]原始数据'!$C:$C,MATCH($A613,'[AQ_2024.xlsx]原始数据'!$A:$A,0)),""))</f>
        <v/>
      </c>
      <c r="L613">
        <f>IF($A613="","",IFERROR(INDEX('[AQ_2020.xlsx]原始数据'!$D:$D,MATCH($A613,'[AQ_2020.xlsx]原始数据'!$A:$A,0)),""))</f>
        <v/>
      </c>
      <c r="M613">
        <f>IF($A613="","",IFERROR(INDEX('[AQ_2021.xlsx]原始数据'!$D:$D,MATCH($A613,'[AQ_2021.xlsx]原始数据'!$A:$A,0)),""))</f>
        <v/>
      </c>
      <c r="N613">
        <f>IF($A613="","",IFERROR(INDEX('[AQ_2022.xlsx]原始数据'!$D:$D,MATCH($A613,'[AQ_2022.xlsx]原始数据'!$A:$A,0)),""))</f>
        <v/>
      </c>
      <c r="O613">
        <f>IF($A613="","",IFERROR(INDEX('[AQ_2023.xlsx]原始数据'!$D:$D,MATCH($A613,'[AQ_2023.xlsx]原始数据'!$A:$A,0)),""))</f>
        <v/>
      </c>
      <c r="P613">
        <f>IF($A613="","",IFERROR(INDEX('[AQ_2024.xlsx]原始数据'!$D:$D,MATCH($A613,'[AQ_2024.xlsx]原始数据'!$A:$A,0)),""))</f>
        <v/>
      </c>
      <c r="Q613">
        <f>IF($A613="","",IFERROR(INDEX('[AQ_2020.xlsx]原始数据'!$E:$E,MATCH($A613,'[AQ_2020.xlsx]原始数据'!$A:$A,0)),""))</f>
        <v/>
      </c>
      <c r="R613">
        <f>IF($A613="","",IFERROR(INDEX('[AQ_2021.xlsx]原始数据'!$E:$E,MATCH($A613,'[AQ_2021.xlsx]原始数据'!$A:$A,0)),""))</f>
        <v/>
      </c>
      <c r="S613">
        <f>IF($A613="","",IFERROR(INDEX('[AQ_2022.xlsx]原始数据'!$E:$E,MATCH($A613,'[AQ_2022.xlsx]原始数据'!$A:$A,0)),""))</f>
        <v/>
      </c>
      <c r="T613">
        <f>IF($A613="","",IFERROR(INDEX('[AQ_2023.xlsx]原始数据'!$E:$E,MATCH($A613,'[AQ_2023.xlsx]原始数据'!$A:$A,0)),""))</f>
        <v/>
      </c>
      <c r="U613">
        <f>IF($A613="","",IFERROR(INDEX('[AQ_2024.xlsx]原始数据'!$E:$E,MATCH($A613,'[AQ_2024.xlsx]原始数据'!$A:$A,0)),""))</f>
        <v/>
      </c>
      <c r="V613">
        <f>IF($A613="","",IFERROR(INDEX('[AQ_2020.xlsx]原始数据'!$F:$F,MATCH($A613,'[AQ_2020.xlsx]原始数据'!$A:$A,0)),""))</f>
        <v/>
      </c>
      <c r="W613">
        <f>IF($A613="","",IFERROR(INDEX('[AQ_2021.xlsx]原始数据'!$F:$F,MATCH($A613,'[AQ_2021.xlsx]原始数据'!$A:$A,0)),""))</f>
        <v/>
      </c>
      <c r="X613">
        <f>IF($A613="","",IFERROR(INDEX('[AQ_2022.xlsx]原始数据'!$F:$F,MATCH($A613,'[AQ_2022.xlsx]原始数据'!$A:$A,0)),""))</f>
        <v/>
      </c>
      <c r="Y613">
        <f>IF($A613="","",IFERROR(INDEX('[AQ_2023.xlsx]原始数据'!$F:$F,MATCH($A613,'[AQ_2023.xlsx]原始数据'!$A:$A,0)),""))</f>
        <v/>
      </c>
      <c r="Z613">
        <f>IF($A613="","",IFERROR(INDEX('[AQ_2024.xlsx]原始数据'!$F:$F,MATCH($A613,'[AQ_2024.xlsx]原始数据'!$A:$A,0)),""))</f>
        <v/>
      </c>
      <c r="AA613" s="2">
        <f>IFERROR(G613/B613,"")</f>
        <v/>
      </c>
      <c r="AB613" s="2">
        <f>IFERROR(H613/C613,"")</f>
        <v/>
      </c>
      <c r="AC613" s="2">
        <f>IFERROR(I613/D613,"")</f>
        <v/>
      </c>
      <c r="AD613" s="2">
        <f>IFERROR(J613/E613,"")</f>
        <v/>
      </c>
      <c r="AE613" s="2">
        <f>IFERROR(K613/F613,"")</f>
        <v/>
      </c>
      <c r="AF613" s="2">
        <f>IFERROR(L613/B613,"")</f>
        <v/>
      </c>
      <c r="AG613" s="2">
        <f>IFERROR(M613/C613,"")</f>
        <v/>
      </c>
      <c r="AH613" s="2">
        <f>IFERROR(N613/D613,"")</f>
        <v/>
      </c>
      <c r="AI613" s="2">
        <f>IFERROR(O613/E613,"")</f>
        <v/>
      </c>
      <c r="AJ613" s="2">
        <f>IFERROR(P613/F613,"")</f>
        <v/>
      </c>
      <c r="AK613" s="2">
        <f>IFERROR(Q613/B613,"")</f>
        <v/>
      </c>
      <c r="AL613" s="2">
        <f>IFERROR(R613/C613,"")</f>
        <v/>
      </c>
      <c r="AM613" s="2">
        <f>IFERROR(S613/D613,"")</f>
        <v/>
      </c>
      <c r="AN613" s="2">
        <f>IFERROR(T613/E613,"")</f>
        <v/>
      </c>
      <c r="AO613" s="2">
        <f>IFERROR(U613/F613,"")</f>
        <v/>
      </c>
    </row>
    <row r="614">
      <c r="B614">
        <f>IF($A614="","",IFERROR(INDEX('[AQ_2020.xlsx]原始数据'!$B:$B,MATCH($A614,'[AQ_2020.xlsx]原始数据'!$A:$A,0)),""))</f>
        <v/>
      </c>
      <c r="C614">
        <f>IF($A614="","",IFERROR(INDEX('[AQ_2021.xlsx]原始数据'!$B:$B,MATCH($A614,'[AQ_2021.xlsx]原始数据'!$A:$A,0)),""))</f>
        <v/>
      </c>
      <c r="D614">
        <f>IF($A614="","",IFERROR(INDEX('[AQ_2022.xlsx]原始数据'!$B:$B,MATCH($A614,'[AQ_2022.xlsx]原始数据'!$A:$A,0)),""))</f>
        <v/>
      </c>
      <c r="E614">
        <f>IF($A614="","",IFERROR(INDEX('[AQ_2023.xlsx]原始数据'!$B:$B,MATCH($A614,'[AQ_2023.xlsx]原始数据'!$A:$A,0)),""))</f>
        <v/>
      </c>
      <c r="F614">
        <f>IF($A614="","",IFERROR(INDEX('[AQ_2024.xlsx]原始数据'!$B:$B,MATCH($A614,'[AQ_2024.xlsx]原始数据'!$A:$A,0)),""))</f>
        <v/>
      </c>
      <c r="G614">
        <f>IF($A614="","",IFERROR(INDEX('[AQ_2020.xlsx]原始数据'!$C:$C,MATCH($A614,'[AQ_2020.xlsx]原始数据'!$A:$A,0)),""))</f>
        <v/>
      </c>
      <c r="H614">
        <f>IF($A614="","",IFERROR(INDEX('[AQ_2021.xlsx]原始数据'!$C:$C,MATCH($A614,'[AQ_2021.xlsx]原始数据'!$A:$A,0)),""))</f>
        <v/>
      </c>
      <c r="I614">
        <f>IF($A614="","",IFERROR(INDEX('[AQ_2022.xlsx]原始数据'!$C:$C,MATCH($A614,'[AQ_2022.xlsx]原始数据'!$A:$A,0)),""))</f>
        <v/>
      </c>
      <c r="J614">
        <f>IF($A614="","",IFERROR(INDEX('[AQ_2023.xlsx]原始数据'!$C:$C,MATCH($A614,'[AQ_2023.xlsx]原始数据'!$A:$A,0)),""))</f>
        <v/>
      </c>
      <c r="K614">
        <f>IF($A614="","",IFERROR(INDEX('[AQ_2024.xlsx]原始数据'!$C:$C,MATCH($A614,'[AQ_2024.xlsx]原始数据'!$A:$A,0)),""))</f>
        <v/>
      </c>
      <c r="L614">
        <f>IF($A614="","",IFERROR(INDEX('[AQ_2020.xlsx]原始数据'!$D:$D,MATCH($A614,'[AQ_2020.xlsx]原始数据'!$A:$A,0)),""))</f>
        <v/>
      </c>
      <c r="M614">
        <f>IF($A614="","",IFERROR(INDEX('[AQ_2021.xlsx]原始数据'!$D:$D,MATCH($A614,'[AQ_2021.xlsx]原始数据'!$A:$A,0)),""))</f>
        <v/>
      </c>
      <c r="N614">
        <f>IF($A614="","",IFERROR(INDEX('[AQ_2022.xlsx]原始数据'!$D:$D,MATCH($A614,'[AQ_2022.xlsx]原始数据'!$A:$A,0)),""))</f>
        <v/>
      </c>
      <c r="O614">
        <f>IF($A614="","",IFERROR(INDEX('[AQ_2023.xlsx]原始数据'!$D:$D,MATCH($A614,'[AQ_2023.xlsx]原始数据'!$A:$A,0)),""))</f>
        <v/>
      </c>
      <c r="P614">
        <f>IF($A614="","",IFERROR(INDEX('[AQ_2024.xlsx]原始数据'!$D:$D,MATCH($A614,'[AQ_2024.xlsx]原始数据'!$A:$A,0)),""))</f>
        <v/>
      </c>
      <c r="Q614">
        <f>IF($A614="","",IFERROR(INDEX('[AQ_2020.xlsx]原始数据'!$E:$E,MATCH($A614,'[AQ_2020.xlsx]原始数据'!$A:$A,0)),""))</f>
        <v/>
      </c>
      <c r="R614">
        <f>IF($A614="","",IFERROR(INDEX('[AQ_2021.xlsx]原始数据'!$E:$E,MATCH($A614,'[AQ_2021.xlsx]原始数据'!$A:$A,0)),""))</f>
        <v/>
      </c>
      <c r="S614">
        <f>IF($A614="","",IFERROR(INDEX('[AQ_2022.xlsx]原始数据'!$E:$E,MATCH($A614,'[AQ_2022.xlsx]原始数据'!$A:$A,0)),""))</f>
        <v/>
      </c>
      <c r="T614">
        <f>IF($A614="","",IFERROR(INDEX('[AQ_2023.xlsx]原始数据'!$E:$E,MATCH($A614,'[AQ_2023.xlsx]原始数据'!$A:$A,0)),""))</f>
        <v/>
      </c>
      <c r="U614">
        <f>IF($A614="","",IFERROR(INDEX('[AQ_2024.xlsx]原始数据'!$E:$E,MATCH($A614,'[AQ_2024.xlsx]原始数据'!$A:$A,0)),""))</f>
        <v/>
      </c>
      <c r="V614">
        <f>IF($A614="","",IFERROR(INDEX('[AQ_2020.xlsx]原始数据'!$F:$F,MATCH($A614,'[AQ_2020.xlsx]原始数据'!$A:$A,0)),""))</f>
        <v/>
      </c>
      <c r="W614">
        <f>IF($A614="","",IFERROR(INDEX('[AQ_2021.xlsx]原始数据'!$F:$F,MATCH($A614,'[AQ_2021.xlsx]原始数据'!$A:$A,0)),""))</f>
        <v/>
      </c>
      <c r="X614">
        <f>IF($A614="","",IFERROR(INDEX('[AQ_2022.xlsx]原始数据'!$F:$F,MATCH($A614,'[AQ_2022.xlsx]原始数据'!$A:$A,0)),""))</f>
        <v/>
      </c>
      <c r="Y614">
        <f>IF($A614="","",IFERROR(INDEX('[AQ_2023.xlsx]原始数据'!$F:$F,MATCH($A614,'[AQ_2023.xlsx]原始数据'!$A:$A,0)),""))</f>
        <v/>
      </c>
      <c r="Z614">
        <f>IF($A614="","",IFERROR(INDEX('[AQ_2024.xlsx]原始数据'!$F:$F,MATCH($A614,'[AQ_2024.xlsx]原始数据'!$A:$A,0)),""))</f>
        <v/>
      </c>
      <c r="AA614" s="2">
        <f>IFERROR(G614/B614,"")</f>
        <v/>
      </c>
      <c r="AB614" s="2">
        <f>IFERROR(H614/C614,"")</f>
        <v/>
      </c>
      <c r="AC614" s="2">
        <f>IFERROR(I614/D614,"")</f>
        <v/>
      </c>
      <c r="AD614" s="2">
        <f>IFERROR(J614/E614,"")</f>
        <v/>
      </c>
      <c r="AE614" s="2">
        <f>IFERROR(K614/F614,"")</f>
        <v/>
      </c>
      <c r="AF614" s="2">
        <f>IFERROR(L614/B614,"")</f>
        <v/>
      </c>
      <c r="AG614" s="2">
        <f>IFERROR(M614/C614,"")</f>
        <v/>
      </c>
      <c r="AH614" s="2">
        <f>IFERROR(N614/D614,"")</f>
        <v/>
      </c>
      <c r="AI614" s="2">
        <f>IFERROR(O614/E614,"")</f>
        <v/>
      </c>
      <c r="AJ614" s="2">
        <f>IFERROR(P614/F614,"")</f>
        <v/>
      </c>
      <c r="AK614" s="2">
        <f>IFERROR(Q614/B614,"")</f>
        <v/>
      </c>
      <c r="AL614" s="2">
        <f>IFERROR(R614/C614,"")</f>
        <v/>
      </c>
      <c r="AM614" s="2">
        <f>IFERROR(S614/D614,"")</f>
        <v/>
      </c>
      <c r="AN614" s="2">
        <f>IFERROR(T614/E614,"")</f>
        <v/>
      </c>
      <c r="AO614" s="2">
        <f>IFERROR(U614/F614,"")</f>
        <v/>
      </c>
    </row>
    <row r="615">
      <c r="B615">
        <f>IF($A615="","",IFERROR(INDEX('[AQ_2020.xlsx]原始数据'!$B:$B,MATCH($A615,'[AQ_2020.xlsx]原始数据'!$A:$A,0)),""))</f>
        <v/>
      </c>
      <c r="C615">
        <f>IF($A615="","",IFERROR(INDEX('[AQ_2021.xlsx]原始数据'!$B:$B,MATCH($A615,'[AQ_2021.xlsx]原始数据'!$A:$A,0)),""))</f>
        <v/>
      </c>
      <c r="D615">
        <f>IF($A615="","",IFERROR(INDEX('[AQ_2022.xlsx]原始数据'!$B:$B,MATCH($A615,'[AQ_2022.xlsx]原始数据'!$A:$A,0)),""))</f>
        <v/>
      </c>
      <c r="E615">
        <f>IF($A615="","",IFERROR(INDEX('[AQ_2023.xlsx]原始数据'!$B:$B,MATCH($A615,'[AQ_2023.xlsx]原始数据'!$A:$A,0)),""))</f>
        <v/>
      </c>
      <c r="F615">
        <f>IF($A615="","",IFERROR(INDEX('[AQ_2024.xlsx]原始数据'!$B:$B,MATCH($A615,'[AQ_2024.xlsx]原始数据'!$A:$A,0)),""))</f>
        <v/>
      </c>
      <c r="G615">
        <f>IF($A615="","",IFERROR(INDEX('[AQ_2020.xlsx]原始数据'!$C:$C,MATCH($A615,'[AQ_2020.xlsx]原始数据'!$A:$A,0)),""))</f>
        <v/>
      </c>
      <c r="H615">
        <f>IF($A615="","",IFERROR(INDEX('[AQ_2021.xlsx]原始数据'!$C:$C,MATCH($A615,'[AQ_2021.xlsx]原始数据'!$A:$A,0)),""))</f>
        <v/>
      </c>
      <c r="I615">
        <f>IF($A615="","",IFERROR(INDEX('[AQ_2022.xlsx]原始数据'!$C:$C,MATCH($A615,'[AQ_2022.xlsx]原始数据'!$A:$A,0)),""))</f>
        <v/>
      </c>
      <c r="J615">
        <f>IF($A615="","",IFERROR(INDEX('[AQ_2023.xlsx]原始数据'!$C:$C,MATCH($A615,'[AQ_2023.xlsx]原始数据'!$A:$A,0)),""))</f>
        <v/>
      </c>
      <c r="K615">
        <f>IF($A615="","",IFERROR(INDEX('[AQ_2024.xlsx]原始数据'!$C:$C,MATCH($A615,'[AQ_2024.xlsx]原始数据'!$A:$A,0)),""))</f>
        <v/>
      </c>
      <c r="L615">
        <f>IF($A615="","",IFERROR(INDEX('[AQ_2020.xlsx]原始数据'!$D:$D,MATCH($A615,'[AQ_2020.xlsx]原始数据'!$A:$A,0)),""))</f>
        <v/>
      </c>
      <c r="M615">
        <f>IF($A615="","",IFERROR(INDEX('[AQ_2021.xlsx]原始数据'!$D:$D,MATCH($A615,'[AQ_2021.xlsx]原始数据'!$A:$A,0)),""))</f>
        <v/>
      </c>
      <c r="N615">
        <f>IF($A615="","",IFERROR(INDEX('[AQ_2022.xlsx]原始数据'!$D:$D,MATCH($A615,'[AQ_2022.xlsx]原始数据'!$A:$A,0)),""))</f>
        <v/>
      </c>
      <c r="O615">
        <f>IF($A615="","",IFERROR(INDEX('[AQ_2023.xlsx]原始数据'!$D:$D,MATCH($A615,'[AQ_2023.xlsx]原始数据'!$A:$A,0)),""))</f>
        <v/>
      </c>
      <c r="P615">
        <f>IF($A615="","",IFERROR(INDEX('[AQ_2024.xlsx]原始数据'!$D:$D,MATCH($A615,'[AQ_2024.xlsx]原始数据'!$A:$A,0)),""))</f>
        <v/>
      </c>
      <c r="Q615">
        <f>IF($A615="","",IFERROR(INDEX('[AQ_2020.xlsx]原始数据'!$E:$E,MATCH($A615,'[AQ_2020.xlsx]原始数据'!$A:$A,0)),""))</f>
        <v/>
      </c>
      <c r="R615">
        <f>IF($A615="","",IFERROR(INDEX('[AQ_2021.xlsx]原始数据'!$E:$E,MATCH($A615,'[AQ_2021.xlsx]原始数据'!$A:$A,0)),""))</f>
        <v/>
      </c>
      <c r="S615">
        <f>IF($A615="","",IFERROR(INDEX('[AQ_2022.xlsx]原始数据'!$E:$E,MATCH($A615,'[AQ_2022.xlsx]原始数据'!$A:$A,0)),""))</f>
        <v/>
      </c>
      <c r="T615">
        <f>IF($A615="","",IFERROR(INDEX('[AQ_2023.xlsx]原始数据'!$E:$E,MATCH($A615,'[AQ_2023.xlsx]原始数据'!$A:$A,0)),""))</f>
        <v/>
      </c>
      <c r="U615">
        <f>IF($A615="","",IFERROR(INDEX('[AQ_2024.xlsx]原始数据'!$E:$E,MATCH($A615,'[AQ_2024.xlsx]原始数据'!$A:$A,0)),""))</f>
        <v/>
      </c>
      <c r="V615">
        <f>IF($A615="","",IFERROR(INDEX('[AQ_2020.xlsx]原始数据'!$F:$F,MATCH($A615,'[AQ_2020.xlsx]原始数据'!$A:$A,0)),""))</f>
        <v/>
      </c>
      <c r="W615">
        <f>IF($A615="","",IFERROR(INDEX('[AQ_2021.xlsx]原始数据'!$F:$F,MATCH($A615,'[AQ_2021.xlsx]原始数据'!$A:$A,0)),""))</f>
        <v/>
      </c>
      <c r="X615">
        <f>IF($A615="","",IFERROR(INDEX('[AQ_2022.xlsx]原始数据'!$F:$F,MATCH($A615,'[AQ_2022.xlsx]原始数据'!$A:$A,0)),""))</f>
        <v/>
      </c>
      <c r="Y615">
        <f>IF($A615="","",IFERROR(INDEX('[AQ_2023.xlsx]原始数据'!$F:$F,MATCH($A615,'[AQ_2023.xlsx]原始数据'!$A:$A,0)),""))</f>
        <v/>
      </c>
      <c r="Z615">
        <f>IF($A615="","",IFERROR(INDEX('[AQ_2024.xlsx]原始数据'!$F:$F,MATCH($A615,'[AQ_2024.xlsx]原始数据'!$A:$A,0)),""))</f>
        <v/>
      </c>
      <c r="AA615" s="2">
        <f>IFERROR(G615/B615,"")</f>
        <v/>
      </c>
      <c r="AB615" s="2">
        <f>IFERROR(H615/C615,"")</f>
        <v/>
      </c>
      <c r="AC615" s="2">
        <f>IFERROR(I615/D615,"")</f>
        <v/>
      </c>
      <c r="AD615" s="2">
        <f>IFERROR(J615/E615,"")</f>
        <v/>
      </c>
      <c r="AE615" s="2">
        <f>IFERROR(K615/F615,"")</f>
        <v/>
      </c>
      <c r="AF615" s="2">
        <f>IFERROR(L615/B615,"")</f>
        <v/>
      </c>
      <c r="AG615" s="2">
        <f>IFERROR(M615/C615,"")</f>
        <v/>
      </c>
      <c r="AH615" s="2">
        <f>IFERROR(N615/D615,"")</f>
        <v/>
      </c>
      <c r="AI615" s="2">
        <f>IFERROR(O615/E615,"")</f>
        <v/>
      </c>
      <c r="AJ615" s="2">
        <f>IFERROR(P615/F615,"")</f>
        <v/>
      </c>
      <c r="AK615" s="2">
        <f>IFERROR(Q615/B615,"")</f>
        <v/>
      </c>
      <c r="AL615" s="2">
        <f>IFERROR(R615/C615,"")</f>
        <v/>
      </c>
      <c r="AM615" s="2">
        <f>IFERROR(S615/D615,"")</f>
        <v/>
      </c>
      <c r="AN615" s="2">
        <f>IFERROR(T615/E615,"")</f>
        <v/>
      </c>
      <c r="AO615" s="2">
        <f>IFERROR(U615/F615,"")</f>
        <v/>
      </c>
    </row>
    <row r="616">
      <c r="B616">
        <f>IF($A616="","",IFERROR(INDEX('[AQ_2020.xlsx]原始数据'!$B:$B,MATCH($A616,'[AQ_2020.xlsx]原始数据'!$A:$A,0)),""))</f>
        <v/>
      </c>
      <c r="C616">
        <f>IF($A616="","",IFERROR(INDEX('[AQ_2021.xlsx]原始数据'!$B:$B,MATCH($A616,'[AQ_2021.xlsx]原始数据'!$A:$A,0)),""))</f>
        <v/>
      </c>
      <c r="D616">
        <f>IF($A616="","",IFERROR(INDEX('[AQ_2022.xlsx]原始数据'!$B:$B,MATCH($A616,'[AQ_2022.xlsx]原始数据'!$A:$A,0)),""))</f>
        <v/>
      </c>
      <c r="E616">
        <f>IF($A616="","",IFERROR(INDEX('[AQ_2023.xlsx]原始数据'!$B:$B,MATCH($A616,'[AQ_2023.xlsx]原始数据'!$A:$A,0)),""))</f>
        <v/>
      </c>
      <c r="F616">
        <f>IF($A616="","",IFERROR(INDEX('[AQ_2024.xlsx]原始数据'!$B:$B,MATCH($A616,'[AQ_2024.xlsx]原始数据'!$A:$A,0)),""))</f>
        <v/>
      </c>
      <c r="G616">
        <f>IF($A616="","",IFERROR(INDEX('[AQ_2020.xlsx]原始数据'!$C:$C,MATCH($A616,'[AQ_2020.xlsx]原始数据'!$A:$A,0)),""))</f>
        <v/>
      </c>
      <c r="H616">
        <f>IF($A616="","",IFERROR(INDEX('[AQ_2021.xlsx]原始数据'!$C:$C,MATCH($A616,'[AQ_2021.xlsx]原始数据'!$A:$A,0)),""))</f>
        <v/>
      </c>
      <c r="I616">
        <f>IF($A616="","",IFERROR(INDEX('[AQ_2022.xlsx]原始数据'!$C:$C,MATCH($A616,'[AQ_2022.xlsx]原始数据'!$A:$A,0)),""))</f>
        <v/>
      </c>
      <c r="J616">
        <f>IF($A616="","",IFERROR(INDEX('[AQ_2023.xlsx]原始数据'!$C:$C,MATCH($A616,'[AQ_2023.xlsx]原始数据'!$A:$A,0)),""))</f>
        <v/>
      </c>
      <c r="K616">
        <f>IF($A616="","",IFERROR(INDEX('[AQ_2024.xlsx]原始数据'!$C:$C,MATCH($A616,'[AQ_2024.xlsx]原始数据'!$A:$A,0)),""))</f>
        <v/>
      </c>
      <c r="L616">
        <f>IF($A616="","",IFERROR(INDEX('[AQ_2020.xlsx]原始数据'!$D:$D,MATCH($A616,'[AQ_2020.xlsx]原始数据'!$A:$A,0)),""))</f>
        <v/>
      </c>
      <c r="M616">
        <f>IF($A616="","",IFERROR(INDEX('[AQ_2021.xlsx]原始数据'!$D:$D,MATCH($A616,'[AQ_2021.xlsx]原始数据'!$A:$A,0)),""))</f>
        <v/>
      </c>
      <c r="N616">
        <f>IF($A616="","",IFERROR(INDEX('[AQ_2022.xlsx]原始数据'!$D:$D,MATCH($A616,'[AQ_2022.xlsx]原始数据'!$A:$A,0)),""))</f>
        <v/>
      </c>
      <c r="O616">
        <f>IF($A616="","",IFERROR(INDEX('[AQ_2023.xlsx]原始数据'!$D:$D,MATCH($A616,'[AQ_2023.xlsx]原始数据'!$A:$A,0)),""))</f>
        <v/>
      </c>
      <c r="P616">
        <f>IF($A616="","",IFERROR(INDEX('[AQ_2024.xlsx]原始数据'!$D:$D,MATCH($A616,'[AQ_2024.xlsx]原始数据'!$A:$A,0)),""))</f>
        <v/>
      </c>
      <c r="Q616">
        <f>IF($A616="","",IFERROR(INDEX('[AQ_2020.xlsx]原始数据'!$E:$E,MATCH($A616,'[AQ_2020.xlsx]原始数据'!$A:$A,0)),""))</f>
        <v/>
      </c>
      <c r="R616">
        <f>IF($A616="","",IFERROR(INDEX('[AQ_2021.xlsx]原始数据'!$E:$E,MATCH($A616,'[AQ_2021.xlsx]原始数据'!$A:$A,0)),""))</f>
        <v/>
      </c>
      <c r="S616">
        <f>IF($A616="","",IFERROR(INDEX('[AQ_2022.xlsx]原始数据'!$E:$E,MATCH($A616,'[AQ_2022.xlsx]原始数据'!$A:$A,0)),""))</f>
        <v/>
      </c>
      <c r="T616">
        <f>IF($A616="","",IFERROR(INDEX('[AQ_2023.xlsx]原始数据'!$E:$E,MATCH($A616,'[AQ_2023.xlsx]原始数据'!$A:$A,0)),""))</f>
        <v/>
      </c>
      <c r="U616">
        <f>IF($A616="","",IFERROR(INDEX('[AQ_2024.xlsx]原始数据'!$E:$E,MATCH($A616,'[AQ_2024.xlsx]原始数据'!$A:$A,0)),""))</f>
        <v/>
      </c>
      <c r="V616">
        <f>IF($A616="","",IFERROR(INDEX('[AQ_2020.xlsx]原始数据'!$F:$F,MATCH($A616,'[AQ_2020.xlsx]原始数据'!$A:$A,0)),""))</f>
        <v/>
      </c>
      <c r="W616">
        <f>IF($A616="","",IFERROR(INDEX('[AQ_2021.xlsx]原始数据'!$F:$F,MATCH($A616,'[AQ_2021.xlsx]原始数据'!$A:$A,0)),""))</f>
        <v/>
      </c>
      <c r="X616">
        <f>IF($A616="","",IFERROR(INDEX('[AQ_2022.xlsx]原始数据'!$F:$F,MATCH($A616,'[AQ_2022.xlsx]原始数据'!$A:$A,0)),""))</f>
        <v/>
      </c>
      <c r="Y616">
        <f>IF($A616="","",IFERROR(INDEX('[AQ_2023.xlsx]原始数据'!$F:$F,MATCH($A616,'[AQ_2023.xlsx]原始数据'!$A:$A,0)),""))</f>
        <v/>
      </c>
      <c r="Z616">
        <f>IF($A616="","",IFERROR(INDEX('[AQ_2024.xlsx]原始数据'!$F:$F,MATCH($A616,'[AQ_2024.xlsx]原始数据'!$A:$A,0)),""))</f>
        <v/>
      </c>
      <c r="AA616" s="2">
        <f>IFERROR(G616/B616,"")</f>
        <v/>
      </c>
      <c r="AB616" s="2">
        <f>IFERROR(H616/C616,"")</f>
        <v/>
      </c>
      <c r="AC616" s="2">
        <f>IFERROR(I616/D616,"")</f>
        <v/>
      </c>
      <c r="AD616" s="2">
        <f>IFERROR(J616/E616,"")</f>
        <v/>
      </c>
      <c r="AE616" s="2">
        <f>IFERROR(K616/F616,"")</f>
        <v/>
      </c>
      <c r="AF616" s="2">
        <f>IFERROR(L616/B616,"")</f>
        <v/>
      </c>
      <c r="AG616" s="2">
        <f>IFERROR(M616/C616,"")</f>
        <v/>
      </c>
      <c r="AH616" s="2">
        <f>IFERROR(N616/D616,"")</f>
        <v/>
      </c>
      <c r="AI616" s="2">
        <f>IFERROR(O616/E616,"")</f>
        <v/>
      </c>
      <c r="AJ616" s="2">
        <f>IFERROR(P616/F616,"")</f>
        <v/>
      </c>
      <c r="AK616" s="2">
        <f>IFERROR(Q616/B616,"")</f>
        <v/>
      </c>
      <c r="AL616" s="2">
        <f>IFERROR(R616/C616,"")</f>
        <v/>
      </c>
      <c r="AM616" s="2">
        <f>IFERROR(S616/D616,"")</f>
        <v/>
      </c>
      <c r="AN616" s="2">
        <f>IFERROR(T616/E616,"")</f>
        <v/>
      </c>
      <c r="AO616" s="2">
        <f>IFERROR(U616/F616,"")</f>
        <v/>
      </c>
    </row>
    <row r="617">
      <c r="B617">
        <f>IF($A617="","",IFERROR(INDEX('[AQ_2020.xlsx]原始数据'!$B:$B,MATCH($A617,'[AQ_2020.xlsx]原始数据'!$A:$A,0)),""))</f>
        <v/>
      </c>
      <c r="C617">
        <f>IF($A617="","",IFERROR(INDEX('[AQ_2021.xlsx]原始数据'!$B:$B,MATCH($A617,'[AQ_2021.xlsx]原始数据'!$A:$A,0)),""))</f>
        <v/>
      </c>
      <c r="D617">
        <f>IF($A617="","",IFERROR(INDEX('[AQ_2022.xlsx]原始数据'!$B:$B,MATCH($A617,'[AQ_2022.xlsx]原始数据'!$A:$A,0)),""))</f>
        <v/>
      </c>
      <c r="E617">
        <f>IF($A617="","",IFERROR(INDEX('[AQ_2023.xlsx]原始数据'!$B:$B,MATCH($A617,'[AQ_2023.xlsx]原始数据'!$A:$A,0)),""))</f>
        <v/>
      </c>
      <c r="F617">
        <f>IF($A617="","",IFERROR(INDEX('[AQ_2024.xlsx]原始数据'!$B:$B,MATCH($A617,'[AQ_2024.xlsx]原始数据'!$A:$A,0)),""))</f>
        <v/>
      </c>
      <c r="G617">
        <f>IF($A617="","",IFERROR(INDEX('[AQ_2020.xlsx]原始数据'!$C:$C,MATCH($A617,'[AQ_2020.xlsx]原始数据'!$A:$A,0)),""))</f>
        <v/>
      </c>
      <c r="H617">
        <f>IF($A617="","",IFERROR(INDEX('[AQ_2021.xlsx]原始数据'!$C:$C,MATCH($A617,'[AQ_2021.xlsx]原始数据'!$A:$A,0)),""))</f>
        <v/>
      </c>
      <c r="I617">
        <f>IF($A617="","",IFERROR(INDEX('[AQ_2022.xlsx]原始数据'!$C:$C,MATCH($A617,'[AQ_2022.xlsx]原始数据'!$A:$A,0)),""))</f>
        <v/>
      </c>
      <c r="J617">
        <f>IF($A617="","",IFERROR(INDEX('[AQ_2023.xlsx]原始数据'!$C:$C,MATCH($A617,'[AQ_2023.xlsx]原始数据'!$A:$A,0)),""))</f>
        <v/>
      </c>
      <c r="K617">
        <f>IF($A617="","",IFERROR(INDEX('[AQ_2024.xlsx]原始数据'!$C:$C,MATCH($A617,'[AQ_2024.xlsx]原始数据'!$A:$A,0)),""))</f>
        <v/>
      </c>
      <c r="L617">
        <f>IF($A617="","",IFERROR(INDEX('[AQ_2020.xlsx]原始数据'!$D:$D,MATCH($A617,'[AQ_2020.xlsx]原始数据'!$A:$A,0)),""))</f>
        <v/>
      </c>
      <c r="M617">
        <f>IF($A617="","",IFERROR(INDEX('[AQ_2021.xlsx]原始数据'!$D:$D,MATCH($A617,'[AQ_2021.xlsx]原始数据'!$A:$A,0)),""))</f>
        <v/>
      </c>
      <c r="N617">
        <f>IF($A617="","",IFERROR(INDEX('[AQ_2022.xlsx]原始数据'!$D:$D,MATCH($A617,'[AQ_2022.xlsx]原始数据'!$A:$A,0)),""))</f>
        <v/>
      </c>
      <c r="O617">
        <f>IF($A617="","",IFERROR(INDEX('[AQ_2023.xlsx]原始数据'!$D:$D,MATCH($A617,'[AQ_2023.xlsx]原始数据'!$A:$A,0)),""))</f>
        <v/>
      </c>
      <c r="P617">
        <f>IF($A617="","",IFERROR(INDEX('[AQ_2024.xlsx]原始数据'!$D:$D,MATCH($A617,'[AQ_2024.xlsx]原始数据'!$A:$A,0)),""))</f>
        <v/>
      </c>
      <c r="Q617">
        <f>IF($A617="","",IFERROR(INDEX('[AQ_2020.xlsx]原始数据'!$E:$E,MATCH($A617,'[AQ_2020.xlsx]原始数据'!$A:$A,0)),""))</f>
        <v/>
      </c>
      <c r="R617">
        <f>IF($A617="","",IFERROR(INDEX('[AQ_2021.xlsx]原始数据'!$E:$E,MATCH($A617,'[AQ_2021.xlsx]原始数据'!$A:$A,0)),""))</f>
        <v/>
      </c>
      <c r="S617">
        <f>IF($A617="","",IFERROR(INDEX('[AQ_2022.xlsx]原始数据'!$E:$E,MATCH($A617,'[AQ_2022.xlsx]原始数据'!$A:$A,0)),""))</f>
        <v/>
      </c>
      <c r="T617">
        <f>IF($A617="","",IFERROR(INDEX('[AQ_2023.xlsx]原始数据'!$E:$E,MATCH($A617,'[AQ_2023.xlsx]原始数据'!$A:$A,0)),""))</f>
        <v/>
      </c>
      <c r="U617">
        <f>IF($A617="","",IFERROR(INDEX('[AQ_2024.xlsx]原始数据'!$E:$E,MATCH($A617,'[AQ_2024.xlsx]原始数据'!$A:$A,0)),""))</f>
        <v/>
      </c>
      <c r="V617">
        <f>IF($A617="","",IFERROR(INDEX('[AQ_2020.xlsx]原始数据'!$F:$F,MATCH($A617,'[AQ_2020.xlsx]原始数据'!$A:$A,0)),""))</f>
        <v/>
      </c>
      <c r="W617">
        <f>IF($A617="","",IFERROR(INDEX('[AQ_2021.xlsx]原始数据'!$F:$F,MATCH($A617,'[AQ_2021.xlsx]原始数据'!$A:$A,0)),""))</f>
        <v/>
      </c>
      <c r="X617">
        <f>IF($A617="","",IFERROR(INDEX('[AQ_2022.xlsx]原始数据'!$F:$F,MATCH($A617,'[AQ_2022.xlsx]原始数据'!$A:$A,0)),""))</f>
        <v/>
      </c>
      <c r="Y617">
        <f>IF($A617="","",IFERROR(INDEX('[AQ_2023.xlsx]原始数据'!$F:$F,MATCH($A617,'[AQ_2023.xlsx]原始数据'!$A:$A,0)),""))</f>
        <v/>
      </c>
      <c r="Z617">
        <f>IF($A617="","",IFERROR(INDEX('[AQ_2024.xlsx]原始数据'!$F:$F,MATCH($A617,'[AQ_2024.xlsx]原始数据'!$A:$A,0)),""))</f>
        <v/>
      </c>
      <c r="AA617" s="2">
        <f>IFERROR(G617/B617,"")</f>
        <v/>
      </c>
      <c r="AB617" s="2">
        <f>IFERROR(H617/C617,"")</f>
        <v/>
      </c>
      <c r="AC617" s="2">
        <f>IFERROR(I617/D617,"")</f>
        <v/>
      </c>
      <c r="AD617" s="2">
        <f>IFERROR(J617/E617,"")</f>
        <v/>
      </c>
      <c r="AE617" s="2">
        <f>IFERROR(K617/F617,"")</f>
        <v/>
      </c>
      <c r="AF617" s="2">
        <f>IFERROR(L617/B617,"")</f>
        <v/>
      </c>
      <c r="AG617" s="2">
        <f>IFERROR(M617/C617,"")</f>
        <v/>
      </c>
      <c r="AH617" s="2">
        <f>IFERROR(N617/D617,"")</f>
        <v/>
      </c>
      <c r="AI617" s="2">
        <f>IFERROR(O617/E617,"")</f>
        <v/>
      </c>
      <c r="AJ617" s="2">
        <f>IFERROR(P617/F617,"")</f>
        <v/>
      </c>
      <c r="AK617" s="2">
        <f>IFERROR(Q617/B617,"")</f>
        <v/>
      </c>
      <c r="AL617" s="2">
        <f>IFERROR(R617/C617,"")</f>
        <v/>
      </c>
      <c r="AM617" s="2">
        <f>IFERROR(S617/D617,"")</f>
        <v/>
      </c>
      <c r="AN617" s="2">
        <f>IFERROR(T617/E617,"")</f>
        <v/>
      </c>
      <c r="AO617" s="2">
        <f>IFERROR(U617/F617,"")</f>
        <v/>
      </c>
    </row>
    <row r="618">
      <c r="B618">
        <f>IF($A618="","",IFERROR(INDEX('[AQ_2020.xlsx]原始数据'!$B:$B,MATCH($A618,'[AQ_2020.xlsx]原始数据'!$A:$A,0)),""))</f>
        <v/>
      </c>
      <c r="C618">
        <f>IF($A618="","",IFERROR(INDEX('[AQ_2021.xlsx]原始数据'!$B:$B,MATCH($A618,'[AQ_2021.xlsx]原始数据'!$A:$A,0)),""))</f>
        <v/>
      </c>
      <c r="D618">
        <f>IF($A618="","",IFERROR(INDEX('[AQ_2022.xlsx]原始数据'!$B:$B,MATCH($A618,'[AQ_2022.xlsx]原始数据'!$A:$A,0)),""))</f>
        <v/>
      </c>
      <c r="E618">
        <f>IF($A618="","",IFERROR(INDEX('[AQ_2023.xlsx]原始数据'!$B:$B,MATCH($A618,'[AQ_2023.xlsx]原始数据'!$A:$A,0)),""))</f>
        <v/>
      </c>
      <c r="F618">
        <f>IF($A618="","",IFERROR(INDEX('[AQ_2024.xlsx]原始数据'!$B:$B,MATCH($A618,'[AQ_2024.xlsx]原始数据'!$A:$A,0)),""))</f>
        <v/>
      </c>
      <c r="G618">
        <f>IF($A618="","",IFERROR(INDEX('[AQ_2020.xlsx]原始数据'!$C:$C,MATCH($A618,'[AQ_2020.xlsx]原始数据'!$A:$A,0)),""))</f>
        <v/>
      </c>
      <c r="H618">
        <f>IF($A618="","",IFERROR(INDEX('[AQ_2021.xlsx]原始数据'!$C:$C,MATCH($A618,'[AQ_2021.xlsx]原始数据'!$A:$A,0)),""))</f>
        <v/>
      </c>
      <c r="I618">
        <f>IF($A618="","",IFERROR(INDEX('[AQ_2022.xlsx]原始数据'!$C:$C,MATCH($A618,'[AQ_2022.xlsx]原始数据'!$A:$A,0)),""))</f>
        <v/>
      </c>
      <c r="J618">
        <f>IF($A618="","",IFERROR(INDEX('[AQ_2023.xlsx]原始数据'!$C:$C,MATCH($A618,'[AQ_2023.xlsx]原始数据'!$A:$A,0)),""))</f>
        <v/>
      </c>
      <c r="K618">
        <f>IF($A618="","",IFERROR(INDEX('[AQ_2024.xlsx]原始数据'!$C:$C,MATCH($A618,'[AQ_2024.xlsx]原始数据'!$A:$A,0)),""))</f>
        <v/>
      </c>
      <c r="L618">
        <f>IF($A618="","",IFERROR(INDEX('[AQ_2020.xlsx]原始数据'!$D:$D,MATCH($A618,'[AQ_2020.xlsx]原始数据'!$A:$A,0)),""))</f>
        <v/>
      </c>
      <c r="M618">
        <f>IF($A618="","",IFERROR(INDEX('[AQ_2021.xlsx]原始数据'!$D:$D,MATCH($A618,'[AQ_2021.xlsx]原始数据'!$A:$A,0)),""))</f>
        <v/>
      </c>
      <c r="N618">
        <f>IF($A618="","",IFERROR(INDEX('[AQ_2022.xlsx]原始数据'!$D:$D,MATCH($A618,'[AQ_2022.xlsx]原始数据'!$A:$A,0)),""))</f>
        <v/>
      </c>
      <c r="O618">
        <f>IF($A618="","",IFERROR(INDEX('[AQ_2023.xlsx]原始数据'!$D:$D,MATCH($A618,'[AQ_2023.xlsx]原始数据'!$A:$A,0)),""))</f>
        <v/>
      </c>
      <c r="P618">
        <f>IF($A618="","",IFERROR(INDEX('[AQ_2024.xlsx]原始数据'!$D:$D,MATCH($A618,'[AQ_2024.xlsx]原始数据'!$A:$A,0)),""))</f>
        <v/>
      </c>
      <c r="Q618">
        <f>IF($A618="","",IFERROR(INDEX('[AQ_2020.xlsx]原始数据'!$E:$E,MATCH($A618,'[AQ_2020.xlsx]原始数据'!$A:$A,0)),""))</f>
        <v/>
      </c>
      <c r="R618">
        <f>IF($A618="","",IFERROR(INDEX('[AQ_2021.xlsx]原始数据'!$E:$E,MATCH($A618,'[AQ_2021.xlsx]原始数据'!$A:$A,0)),""))</f>
        <v/>
      </c>
      <c r="S618">
        <f>IF($A618="","",IFERROR(INDEX('[AQ_2022.xlsx]原始数据'!$E:$E,MATCH($A618,'[AQ_2022.xlsx]原始数据'!$A:$A,0)),""))</f>
        <v/>
      </c>
      <c r="T618">
        <f>IF($A618="","",IFERROR(INDEX('[AQ_2023.xlsx]原始数据'!$E:$E,MATCH($A618,'[AQ_2023.xlsx]原始数据'!$A:$A,0)),""))</f>
        <v/>
      </c>
      <c r="U618">
        <f>IF($A618="","",IFERROR(INDEX('[AQ_2024.xlsx]原始数据'!$E:$E,MATCH($A618,'[AQ_2024.xlsx]原始数据'!$A:$A,0)),""))</f>
        <v/>
      </c>
      <c r="V618">
        <f>IF($A618="","",IFERROR(INDEX('[AQ_2020.xlsx]原始数据'!$F:$F,MATCH($A618,'[AQ_2020.xlsx]原始数据'!$A:$A,0)),""))</f>
        <v/>
      </c>
      <c r="W618">
        <f>IF($A618="","",IFERROR(INDEX('[AQ_2021.xlsx]原始数据'!$F:$F,MATCH($A618,'[AQ_2021.xlsx]原始数据'!$A:$A,0)),""))</f>
        <v/>
      </c>
      <c r="X618">
        <f>IF($A618="","",IFERROR(INDEX('[AQ_2022.xlsx]原始数据'!$F:$F,MATCH($A618,'[AQ_2022.xlsx]原始数据'!$A:$A,0)),""))</f>
        <v/>
      </c>
      <c r="Y618">
        <f>IF($A618="","",IFERROR(INDEX('[AQ_2023.xlsx]原始数据'!$F:$F,MATCH($A618,'[AQ_2023.xlsx]原始数据'!$A:$A,0)),""))</f>
        <v/>
      </c>
      <c r="Z618">
        <f>IF($A618="","",IFERROR(INDEX('[AQ_2024.xlsx]原始数据'!$F:$F,MATCH($A618,'[AQ_2024.xlsx]原始数据'!$A:$A,0)),""))</f>
        <v/>
      </c>
      <c r="AA618" s="2">
        <f>IFERROR(G618/B618,"")</f>
        <v/>
      </c>
      <c r="AB618" s="2">
        <f>IFERROR(H618/C618,"")</f>
        <v/>
      </c>
      <c r="AC618" s="2">
        <f>IFERROR(I618/D618,"")</f>
        <v/>
      </c>
      <c r="AD618" s="2">
        <f>IFERROR(J618/E618,"")</f>
        <v/>
      </c>
      <c r="AE618" s="2">
        <f>IFERROR(K618/F618,"")</f>
        <v/>
      </c>
      <c r="AF618" s="2">
        <f>IFERROR(L618/B618,"")</f>
        <v/>
      </c>
      <c r="AG618" s="2">
        <f>IFERROR(M618/C618,"")</f>
        <v/>
      </c>
      <c r="AH618" s="2">
        <f>IFERROR(N618/D618,"")</f>
        <v/>
      </c>
      <c r="AI618" s="2">
        <f>IFERROR(O618/E618,"")</f>
        <v/>
      </c>
      <c r="AJ618" s="2">
        <f>IFERROR(P618/F618,"")</f>
        <v/>
      </c>
      <c r="AK618" s="2">
        <f>IFERROR(Q618/B618,"")</f>
        <v/>
      </c>
      <c r="AL618" s="2">
        <f>IFERROR(R618/C618,"")</f>
        <v/>
      </c>
      <c r="AM618" s="2">
        <f>IFERROR(S618/D618,"")</f>
        <v/>
      </c>
      <c r="AN618" s="2">
        <f>IFERROR(T618/E618,"")</f>
        <v/>
      </c>
      <c r="AO618" s="2">
        <f>IFERROR(U618/F618,"")</f>
        <v/>
      </c>
    </row>
    <row r="619">
      <c r="B619">
        <f>IF($A619="","",IFERROR(INDEX('[AQ_2020.xlsx]原始数据'!$B:$B,MATCH($A619,'[AQ_2020.xlsx]原始数据'!$A:$A,0)),""))</f>
        <v/>
      </c>
      <c r="C619">
        <f>IF($A619="","",IFERROR(INDEX('[AQ_2021.xlsx]原始数据'!$B:$B,MATCH($A619,'[AQ_2021.xlsx]原始数据'!$A:$A,0)),""))</f>
        <v/>
      </c>
      <c r="D619">
        <f>IF($A619="","",IFERROR(INDEX('[AQ_2022.xlsx]原始数据'!$B:$B,MATCH($A619,'[AQ_2022.xlsx]原始数据'!$A:$A,0)),""))</f>
        <v/>
      </c>
      <c r="E619">
        <f>IF($A619="","",IFERROR(INDEX('[AQ_2023.xlsx]原始数据'!$B:$B,MATCH($A619,'[AQ_2023.xlsx]原始数据'!$A:$A,0)),""))</f>
        <v/>
      </c>
      <c r="F619">
        <f>IF($A619="","",IFERROR(INDEX('[AQ_2024.xlsx]原始数据'!$B:$B,MATCH($A619,'[AQ_2024.xlsx]原始数据'!$A:$A,0)),""))</f>
        <v/>
      </c>
      <c r="G619">
        <f>IF($A619="","",IFERROR(INDEX('[AQ_2020.xlsx]原始数据'!$C:$C,MATCH($A619,'[AQ_2020.xlsx]原始数据'!$A:$A,0)),""))</f>
        <v/>
      </c>
      <c r="H619">
        <f>IF($A619="","",IFERROR(INDEX('[AQ_2021.xlsx]原始数据'!$C:$C,MATCH($A619,'[AQ_2021.xlsx]原始数据'!$A:$A,0)),""))</f>
        <v/>
      </c>
      <c r="I619">
        <f>IF($A619="","",IFERROR(INDEX('[AQ_2022.xlsx]原始数据'!$C:$C,MATCH($A619,'[AQ_2022.xlsx]原始数据'!$A:$A,0)),""))</f>
        <v/>
      </c>
      <c r="J619">
        <f>IF($A619="","",IFERROR(INDEX('[AQ_2023.xlsx]原始数据'!$C:$C,MATCH($A619,'[AQ_2023.xlsx]原始数据'!$A:$A,0)),""))</f>
        <v/>
      </c>
      <c r="K619">
        <f>IF($A619="","",IFERROR(INDEX('[AQ_2024.xlsx]原始数据'!$C:$C,MATCH($A619,'[AQ_2024.xlsx]原始数据'!$A:$A,0)),""))</f>
        <v/>
      </c>
      <c r="L619">
        <f>IF($A619="","",IFERROR(INDEX('[AQ_2020.xlsx]原始数据'!$D:$D,MATCH($A619,'[AQ_2020.xlsx]原始数据'!$A:$A,0)),""))</f>
        <v/>
      </c>
      <c r="M619">
        <f>IF($A619="","",IFERROR(INDEX('[AQ_2021.xlsx]原始数据'!$D:$D,MATCH($A619,'[AQ_2021.xlsx]原始数据'!$A:$A,0)),""))</f>
        <v/>
      </c>
      <c r="N619">
        <f>IF($A619="","",IFERROR(INDEX('[AQ_2022.xlsx]原始数据'!$D:$D,MATCH($A619,'[AQ_2022.xlsx]原始数据'!$A:$A,0)),""))</f>
        <v/>
      </c>
      <c r="O619">
        <f>IF($A619="","",IFERROR(INDEX('[AQ_2023.xlsx]原始数据'!$D:$D,MATCH($A619,'[AQ_2023.xlsx]原始数据'!$A:$A,0)),""))</f>
        <v/>
      </c>
      <c r="P619">
        <f>IF($A619="","",IFERROR(INDEX('[AQ_2024.xlsx]原始数据'!$D:$D,MATCH($A619,'[AQ_2024.xlsx]原始数据'!$A:$A,0)),""))</f>
        <v/>
      </c>
      <c r="Q619">
        <f>IF($A619="","",IFERROR(INDEX('[AQ_2020.xlsx]原始数据'!$E:$E,MATCH($A619,'[AQ_2020.xlsx]原始数据'!$A:$A,0)),""))</f>
        <v/>
      </c>
      <c r="R619">
        <f>IF($A619="","",IFERROR(INDEX('[AQ_2021.xlsx]原始数据'!$E:$E,MATCH($A619,'[AQ_2021.xlsx]原始数据'!$A:$A,0)),""))</f>
        <v/>
      </c>
      <c r="S619">
        <f>IF($A619="","",IFERROR(INDEX('[AQ_2022.xlsx]原始数据'!$E:$E,MATCH($A619,'[AQ_2022.xlsx]原始数据'!$A:$A,0)),""))</f>
        <v/>
      </c>
      <c r="T619">
        <f>IF($A619="","",IFERROR(INDEX('[AQ_2023.xlsx]原始数据'!$E:$E,MATCH($A619,'[AQ_2023.xlsx]原始数据'!$A:$A,0)),""))</f>
        <v/>
      </c>
      <c r="U619">
        <f>IF($A619="","",IFERROR(INDEX('[AQ_2024.xlsx]原始数据'!$E:$E,MATCH($A619,'[AQ_2024.xlsx]原始数据'!$A:$A,0)),""))</f>
        <v/>
      </c>
      <c r="V619">
        <f>IF($A619="","",IFERROR(INDEX('[AQ_2020.xlsx]原始数据'!$F:$F,MATCH($A619,'[AQ_2020.xlsx]原始数据'!$A:$A,0)),""))</f>
        <v/>
      </c>
      <c r="W619">
        <f>IF($A619="","",IFERROR(INDEX('[AQ_2021.xlsx]原始数据'!$F:$F,MATCH($A619,'[AQ_2021.xlsx]原始数据'!$A:$A,0)),""))</f>
        <v/>
      </c>
      <c r="X619">
        <f>IF($A619="","",IFERROR(INDEX('[AQ_2022.xlsx]原始数据'!$F:$F,MATCH($A619,'[AQ_2022.xlsx]原始数据'!$A:$A,0)),""))</f>
        <v/>
      </c>
      <c r="Y619">
        <f>IF($A619="","",IFERROR(INDEX('[AQ_2023.xlsx]原始数据'!$F:$F,MATCH($A619,'[AQ_2023.xlsx]原始数据'!$A:$A,0)),""))</f>
        <v/>
      </c>
      <c r="Z619">
        <f>IF($A619="","",IFERROR(INDEX('[AQ_2024.xlsx]原始数据'!$F:$F,MATCH($A619,'[AQ_2024.xlsx]原始数据'!$A:$A,0)),""))</f>
        <v/>
      </c>
      <c r="AA619" s="2">
        <f>IFERROR(G619/B619,"")</f>
        <v/>
      </c>
      <c r="AB619" s="2">
        <f>IFERROR(H619/C619,"")</f>
        <v/>
      </c>
      <c r="AC619" s="2">
        <f>IFERROR(I619/D619,"")</f>
        <v/>
      </c>
      <c r="AD619" s="2">
        <f>IFERROR(J619/E619,"")</f>
        <v/>
      </c>
      <c r="AE619" s="2">
        <f>IFERROR(K619/F619,"")</f>
        <v/>
      </c>
      <c r="AF619" s="2">
        <f>IFERROR(L619/B619,"")</f>
        <v/>
      </c>
      <c r="AG619" s="2">
        <f>IFERROR(M619/C619,"")</f>
        <v/>
      </c>
      <c r="AH619" s="2">
        <f>IFERROR(N619/D619,"")</f>
        <v/>
      </c>
      <c r="AI619" s="2">
        <f>IFERROR(O619/E619,"")</f>
        <v/>
      </c>
      <c r="AJ619" s="2">
        <f>IFERROR(P619/F619,"")</f>
        <v/>
      </c>
      <c r="AK619" s="2">
        <f>IFERROR(Q619/B619,"")</f>
        <v/>
      </c>
      <c r="AL619" s="2">
        <f>IFERROR(R619/C619,"")</f>
        <v/>
      </c>
      <c r="AM619" s="2">
        <f>IFERROR(S619/D619,"")</f>
        <v/>
      </c>
      <c r="AN619" s="2">
        <f>IFERROR(T619/E619,"")</f>
        <v/>
      </c>
      <c r="AO619" s="2">
        <f>IFERROR(U619/F619,"")</f>
        <v/>
      </c>
    </row>
    <row r="620">
      <c r="B620">
        <f>IF($A620="","",IFERROR(INDEX('[AQ_2020.xlsx]原始数据'!$B:$B,MATCH($A620,'[AQ_2020.xlsx]原始数据'!$A:$A,0)),""))</f>
        <v/>
      </c>
      <c r="C620">
        <f>IF($A620="","",IFERROR(INDEX('[AQ_2021.xlsx]原始数据'!$B:$B,MATCH($A620,'[AQ_2021.xlsx]原始数据'!$A:$A,0)),""))</f>
        <v/>
      </c>
      <c r="D620">
        <f>IF($A620="","",IFERROR(INDEX('[AQ_2022.xlsx]原始数据'!$B:$B,MATCH($A620,'[AQ_2022.xlsx]原始数据'!$A:$A,0)),""))</f>
        <v/>
      </c>
      <c r="E620">
        <f>IF($A620="","",IFERROR(INDEX('[AQ_2023.xlsx]原始数据'!$B:$B,MATCH($A620,'[AQ_2023.xlsx]原始数据'!$A:$A,0)),""))</f>
        <v/>
      </c>
      <c r="F620">
        <f>IF($A620="","",IFERROR(INDEX('[AQ_2024.xlsx]原始数据'!$B:$B,MATCH($A620,'[AQ_2024.xlsx]原始数据'!$A:$A,0)),""))</f>
        <v/>
      </c>
      <c r="G620">
        <f>IF($A620="","",IFERROR(INDEX('[AQ_2020.xlsx]原始数据'!$C:$C,MATCH($A620,'[AQ_2020.xlsx]原始数据'!$A:$A,0)),""))</f>
        <v/>
      </c>
      <c r="H620">
        <f>IF($A620="","",IFERROR(INDEX('[AQ_2021.xlsx]原始数据'!$C:$C,MATCH($A620,'[AQ_2021.xlsx]原始数据'!$A:$A,0)),""))</f>
        <v/>
      </c>
      <c r="I620">
        <f>IF($A620="","",IFERROR(INDEX('[AQ_2022.xlsx]原始数据'!$C:$C,MATCH($A620,'[AQ_2022.xlsx]原始数据'!$A:$A,0)),""))</f>
        <v/>
      </c>
      <c r="J620">
        <f>IF($A620="","",IFERROR(INDEX('[AQ_2023.xlsx]原始数据'!$C:$C,MATCH($A620,'[AQ_2023.xlsx]原始数据'!$A:$A,0)),""))</f>
        <v/>
      </c>
      <c r="K620">
        <f>IF($A620="","",IFERROR(INDEX('[AQ_2024.xlsx]原始数据'!$C:$C,MATCH($A620,'[AQ_2024.xlsx]原始数据'!$A:$A,0)),""))</f>
        <v/>
      </c>
      <c r="L620">
        <f>IF($A620="","",IFERROR(INDEX('[AQ_2020.xlsx]原始数据'!$D:$D,MATCH($A620,'[AQ_2020.xlsx]原始数据'!$A:$A,0)),""))</f>
        <v/>
      </c>
      <c r="M620">
        <f>IF($A620="","",IFERROR(INDEX('[AQ_2021.xlsx]原始数据'!$D:$D,MATCH($A620,'[AQ_2021.xlsx]原始数据'!$A:$A,0)),""))</f>
        <v/>
      </c>
      <c r="N620">
        <f>IF($A620="","",IFERROR(INDEX('[AQ_2022.xlsx]原始数据'!$D:$D,MATCH($A620,'[AQ_2022.xlsx]原始数据'!$A:$A,0)),""))</f>
        <v/>
      </c>
      <c r="O620">
        <f>IF($A620="","",IFERROR(INDEX('[AQ_2023.xlsx]原始数据'!$D:$D,MATCH($A620,'[AQ_2023.xlsx]原始数据'!$A:$A,0)),""))</f>
        <v/>
      </c>
      <c r="P620">
        <f>IF($A620="","",IFERROR(INDEX('[AQ_2024.xlsx]原始数据'!$D:$D,MATCH($A620,'[AQ_2024.xlsx]原始数据'!$A:$A,0)),""))</f>
        <v/>
      </c>
      <c r="Q620">
        <f>IF($A620="","",IFERROR(INDEX('[AQ_2020.xlsx]原始数据'!$E:$E,MATCH($A620,'[AQ_2020.xlsx]原始数据'!$A:$A,0)),""))</f>
        <v/>
      </c>
      <c r="R620">
        <f>IF($A620="","",IFERROR(INDEX('[AQ_2021.xlsx]原始数据'!$E:$E,MATCH($A620,'[AQ_2021.xlsx]原始数据'!$A:$A,0)),""))</f>
        <v/>
      </c>
      <c r="S620">
        <f>IF($A620="","",IFERROR(INDEX('[AQ_2022.xlsx]原始数据'!$E:$E,MATCH($A620,'[AQ_2022.xlsx]原始数据'!$A:$A,0)),""))</f>
        <v/>
      </c>
      <c r="T620">
        <f>IF($A620="","",IFERROR(INDEX('[AQ_2023.xlsx]原始数据'!$E:$E,MATCH($A620,'[AQ_2023.xlsx]原始数据'!$A:$A,0)),""))</f>
        <v/>
      </c>
      <c r="U620">
        <f>IF($A620="","",IFERROR(INDEX('[AQ_2024.xlsx]原始数据'!$E:$E,MATCH($A620,'[AQ_2024.xlsx]原始数据'!$A:$A,0)),""))</f>
        <v/>
      </c>
      <c r="V620">
        <f>IF($A620="","",IFERROR(INDEX('[AQ_2020.xlsx]原始数据'!$F:$F,MATCH($A620,'[AQ_2020.xlsx]原始数据'!$A:$A,0)),""))</f>
        <v/>
      </c>
      <c r="W620">
        <f>IF($A620="","",IFERROR(INDEX('[AQ_2021.xlsx]原始数据'!$F:$F,MATCH($A620,'[AQ_2021.xlsx]原始数据'!$A:$A,0)),""))</f>
        <v/>
      </c>
      <c r="X620">
        <f>IF($A620="","",IFERROR(INDEX('[AQ_2022.xlsx]原始数据'!$F:$F,MATCH($A620,'[AQ_2022.xlsx]原始数据'!$A:$A,0)),""))</f>
        <v/>
      </c>
      <c r="Y620">
        <f>IF($A620="","",IFERROR(INDEX('[AQ_2023.xlsx]原始数据'!$F:$F,MATCH($A620,'[AQ_2023.xlsx]原始数据'!$A:$A,0)),""))</f>
        <v/>
      </c>
      <c r="Z620">
        <f>IF($A620="","",IFERROR(INDEX('[AQ_2024.xlsx]原始数据'!$F:$F,MATCH($A620,'[AQ_2024.xlsx]原始数据'!$A:$A,0)),""))</f>
        <v/>
      </c>
      <c r="AA620" s="2">
        <f>IFERROR(G620/B620,"")</f>
        <v/>
      </c>
      <c r="AB620" s="2">
        <f>IFERROR(H620/C620,"")</f>
        <v/>
      </c>
      <c r="AC620" s="2">
        <f>IFERROR(I620/D620,"")</f>
        <v/>
      </c>
      <c r="AD620" s="2">
        <f>IFERROR(J620/E620,"")</f>
        <v/>
      </c>
      <c r="AE620" s="2">
        <f>IFERROR(K620/F620,"")</f>
        <v/>
      </c>
      <c r="AF620" s="2">
        <f>IFERROR(L620/B620,"")</f>
        <v/>
      </c>
      <c r="AG620" s="2">
        <f>IFERROR(M620/C620,"")</f>
        <v/>
      </c>
      <c r="AH620" s="2">
        <f>IFERROR(N620/D620,"")</f>
        <v/>
      </c>
      <c r="AI620" s="2">
        <f>IFERROR(O620/E620,"")</f>
        <v/>
      </c>
      <c r="AJ620" s="2">
        <f>IFERROR(P620/F620,"")</f>
        <v/>
      </c>
      <c r="AK620" s="2">
        <f>IFERROR(Q620/B620,"")</f>
        <v/>
      </c>
      <c r="AL620" s="2">
        <f>IFERROR(R620/C620,"")</f>
        <v/>
      </c>
      <c r="AM620" s="2">
        <f>IFERROR(S620/D620,"")</f>
        <v/>
      </c>
      <c r="AN620" s="2">
        <f>IFERROR(T620/E620,"")</f>
        <v/>
      </c>
      <c r="AO620" s="2">
        <f>IFERROR(U620/F620,"")</f>
        <v/>
      </c>
    </row>
    <row r="621">
      <c r="B621">
        <f>IF($A621="","",IFERROR(INDEX('[AQ_2020.xlsx]原始数据'!$B:$B,MATCH($A621,'[AQ_2020.xlsx]原始数据'!$A:$A,0)),""))</f>
        <v/>
      </c>
      <c r="C621">
        <f>IF($A621="","",IFERROR(INDEX('[AQ_2021.xlsx]原始数据'!$B:$B,MATCH($A621,'[AQ_2021.xlsx]原始数据'!$A:$A,0)),""))</f>
        <v/>
      </c>
      <c r="D621">
        <f>IF($A621="","",IFERROR(INDEX('[AQ_2022.xlsx]原始数据'!$B:$B,MATCH($A621,'[AQ_2022.xlsx]原始数据'!$A:$A,0)),""))</f>
        <v/>
      </c>
      <c r="E621">
        <f>IF($A621="","",IFERROR(INDEX('[AQ_2023.xlsx]原始数据'!$B:$B,MATCH($A621,'[AQ_2023.xlsx]原始数据'!$A:$A,0)),""))</f>
        <v/>
      </c>
      <c r="F621">
        <f>IF($A621="","",IFERROR(INDEX('[AQ_2024.xlsx]原始数据'!$B:$B,MATCH($A621,'[AQ_2024.xlsx]原始数据'!$A:$A,0)),""))</f>
        <v/>
      </c>
      <c r="G621">
        <f>IF($A621="","",IFERROR(INDEX('[AQ_2020.xlsx]原始数据'!$C:$C,MATCH($A621,'[AQ_2020.xlsx]原始数据'!$A:$A,0)),""))</f>
        <v/>
      </c>
      <c r="H621">
        <f>IF($A621="","",IFERROR(INDEX('[AQ_2021.xlsx]原始数据'!$C:$C,MATCH($A621,'[AQ_2021.xlsx]原始数据'!$A:$A,0)),""))</f>
        <v/>
      </c>
      <c r="I621">
        <f>IF($A621="","",IFERROR(INDEX('[AQ_2022.xlsx]原始数据'!$C:$C,MATCH($A621,'[AQ_2022.xlsx]原始数据'!$A:$A,0)),""))</f>
        <v/>
      </c>
      <c r="J621">
        <f>IF($A621="","",IFERROR(INDEX('[AQ_2023.xlsx]原始数据'!$C:$C,MATCH($A621,'[AQ_2023.xlsx]原始数据'!$A:$A,0)),""))</f>
        <v/>
      </c>
      <c r="K621">
        <f>IF($A621="","",IFERROR(INDEX('[AQ_2024.xlsx]原始数据'!$C:$C,MATCH($A621,'[AQ_2024.xlsx]原始数据'!$A:$A,0)),""))</f>
        <v/>
      </c>
      <c r="L621">
        <f>IF($A621="","",IFERROR(INDEX('[AQ_2020.xlsx]原始数据'!$D:$D,MATCH($A621,'[AQ_2020.xlsx]原始数据'!$A:$A,0)),""))</f>
        <v/>
      </c>
      <c r="M621">
        <f>IF($A621="","",IFERROR(INDEX('[AQ_2021.xlsx]原始数据'!$D:$D,MATCH($A621,'[AQ_2021.xlsx]原始数据'!$A:$A,0)),""))</f>
        <v/>
      </c>
      <c r="N621">
        <f>IF($A621="","",IFERROR(INDEX('[AQ_2022.xlsx]原始数据'!$D:$D,MATCH($A621,'[AQ_2022.xlsx]原始数据'!$A:$A,0)),""))</f>
        <v/>
      </c>
      <c r="O621">
        <f>IF($A621="","",IFERROR(INDEX('[AQ_2023.xlsx]原始数据'!$D:$D,MATCH($A621,'[AQ_2023.xlsx]原始数据'!$A:$A,0)),""))</f>
        <v/>
      </c>
      <c r="P621">
        <f>IF($A621="","",IFERROR(INDEX('[AQ_2024.xlsx]原始数据'!$D:$D,MATCH($A621,'[AQ_2024.xlsx]原始数据'!$A:$A,0)),""))</f>
        <v/>
      </c>
      <c r="Q621">
        <f>IF($A621="","",IFERROR(INDEX('[AQ_2020.xlsx]原始数据'!$E:$E,MATCH($A621,'[AQ_2020.xlsx]原始数据'!$A:$A,0)),""))</f>
        <v/>
      </c>
      <c r="R621">
        <f>IF($A621="","",IFERROR(INDEX('[AQ_2021.xlsx]原始数据'!$E:$E,MATCH($A621,'[AQ_2021.xlsx]原始数据'!$A:$A,0)),""))</f>
        <v/>
      </c>
      <c r="S621">
        <f>IF($A621="","",IFERROR(INDEX('[AQ_2022.xlsx]原始数据'!$E:$E,MATCH($A621,'[AQ_2022.xlsx]原始数据'!$A:$A,0)),""))</f>
        <v/>
      </c>
      <c r="T621">
        <f>IF($A621="","",IFERROR(INDEX('[AQ_2023.xlsx]原始数据'!$E:$E,MATCH($A621,'[AQ_2023.xlsx]原始数据'!$A:$A,0)),""))</f>
        <v/>
      </c>
      <c r="U621">
        <f>IF($A621="","",IFERROR(INDEX('[AQ_2024.xlsx]原始数据'!$E:$E,MATCH($A621,'[AQ_2024.xlsx]原始数据'!$A:$A,0)),""))</f>
        <v/>
      </c>
      <c r="V621">
        <f>IF($A621="","",IFERROR(INDEX('[AQ_2020.xlsx]原始数据'!$F:$F,MATCH($A621,'[AQ_2020.xlsx]原始数据'!$A:$A,0)),""))</f>
        <v/>
      </c>
      <c r="W621">
        <f>IF($A621="","",IFERROR(INDEX('[AQ_2021.xlsx]原始数据'!$F:$F,MATCH($A621,'[AQ_2021.xlsx]原始数据'!$A:$A,0)),""))</f>
        <v/>
      </c>
      <c r="X621">
        <f>IF($A621="","",IFERROR(INDEX('[AQ_2022.xlsx]原始数据'!$F:$F,MATCH($A621,'[AQ_2022.xlsx]原始数据'!$A:$A,0)),""))</f>
        <v/>
      </c>
      <c r="Y621">
        <f>IF($A621="","",IFERROR(INDEX('[AQ_2023.xlsx]原始数据'!$F:$F,MATCH($A621,'[AQ_2023.xlsx]原始数据'!$A:$A,0)),""))</f>
        <v/>
      </c>
      <c r="Z621">
        <f>IF($A621="","",IFERROR(INDEX('[AQ_2024.xlsx]原始数据'!$F:$F,MATCH($A621,'[AQ_2024.xlsx]原始数据'!$A:$A,0)),""))</f>
        <v/>
      </c>
      <c r="AA621" s="2">
        <f>IFERROR(G621/B621,"")</f>
        <v/>
      </c>
      <c r="AB621" s="2">
        <f>IFERROR(H621/C621,"")</f>
        <v/>
      </c>
      <c r="AC621" s="2">
        <f>IFERROR(I621/D621,"")</f>
        <v/>
      </c>
      <c r="AD621" s="2">
        <f>IFERROR(J621/E621,"")</f>
        <v/>
      </c>
      <c r="AE621" s="2">
        <f>IFERROR(K621/F621,"")</f>
        <v/>
      </c>
      <c r="AF621" s="2">
        <f>IFERROR(L621/B621,"")</f>
        <v/>
      </c>
      <c r="AG621" s="2">
        <f>IFERROR(M621/C621,"")</f>
        <v/>
      </c>
      <c r="AH621" s="2">
        <f>IFERROR(N621/D621,"")</f>
        <v/>
      </c>
      <c r="AI621" s="2">
        <f>IFERROR(O621/E621,"")</f>
        <v/>
      </c>
      <c r="AJ621" s="2">
        <f>IFERROR(P621/F621,"")</f>
        <v/>
      </c>
      <c r="AK621" s="2">
        <f>IFERROR(Q621/B621,"")</f>
        <v/>
      </c>
      <c r="AL621" s="2">
        <f>IFERROR(R621/C621,"")</f>
        <v/>
      </c>
      <c r="AM621" s="2">
        <f>IFERROR(S621/D621,"")</f>
        <v/>
      </c>
      <c r="AN621" s="2">
        <f>IFERROR(T621/E621,"")</f>
        <v/>
      </c>
      <c r="AO621" s="2">
        <f>IFERROR(U621/F621,"")</f>
        <v/>
      </c>
    </row>
    <row r="622">
      <c r="B622">
        <f>IF($A622="","",IFERROR(INDEX('[AQ_2020.xlsx]原始数据'!$B:$B,MATCH($A622,'[AQ_2020.xlsx]原始数据'!$A:$A,0)),""))</f>
        <v/>
      </c>
      <c r="C622">
        <f>IF($A622="","",IFERROR(INDEX('[AQ_2021.xlsx]原始数据'!$B:$B,MATCH($A622,'[AQ_2021.xlsx]原始数据'!$A:$A,0)),""))</f>
        <v/>
      </c>
      <c r="D622">
        <f>IF($A622="","",IFERROR(INDEX('[AQ_2022.xlsx]原始数据'!$B:$B,MATCH($A622,'[AQ_2022.xlsx]原始数据'!$A:$A,0)),""))</f>
        <v/>
      </c>
      <c r="E622">
        <f>IF($A622="","",IFERROR(INDEX('[AQ_2023.xlsx]原始数据'!$B:$B,MATCH($A622,'[AQ_2023.xlsx]原始数据'!$A:$A,0)),""))</f>
        <v/>
      </c>
      <c r="F622">
        <f>IF($A622="","",IFERROR(INDEX('[AQ_2024.xlsx]原始数据'!$B:$B,MATCH($A622,'[AQ_2024.xlsx]原始数据'!$A:$A,0)),""))</f>
        <v/>
      </c>
      <c r="G622">
        <f>IF($A622="","",IFERROR(INDEX('[AQ_2020.xlsx]原始数据'!$C:$C,MATCH($A622,'[AQ_2020.xlsx]原始数据'!$A:$A,0)),""))</f>
        <v/>
      </c>
      <c r="H622">
        <f>IF($A622="","",IFERROR(INDEX('[AQ_2021.xlsx]原始数据'!$C:$C,MATCH($A622,'[AQ_2021.xlsx]原始数据'!$A:$A,0)),""))</f>
        <v/>
      </c>
      <c r="I622">
        <f>IF($A622="","",IFERROR(INDEX('[AQ_2022.xlsx]原始数据'!$C:$C,MATCH($A622,'[AQ_2022.xlsx]原始数据'!$A:$A,0)),""))</f>
        <v/>
      </c>
      <c r="J622">
        <f>IF($A622="","",IFERROR(INDEX('[AQ_2023.xlsx]原始数据'!$C:$C,MATCH($A622,'[AQ_2023.xlsx]原始数据'!$A:$A,0)),""))</f>
        <v/>
      </c>
      <c r="K622">
        <f>IF($A622="","",IFERROR(INDEX('[AQ_2024.xlsx]原始数据'!$C:$C,MATCH($A622,'[AQ_2024.xlsx]原始数据'!$A:$A,0)),""))</f>
        <v/>
      </c>
      <c r="L622">
        <f>IF($A622="","",IFERROR(INDEX('[AQ_2020.xlsx]原始数据'!$D:$D,MATCH($A622,'[AQ_2020.xlsx]原始数据'!$A:$A,0)),""))</f>
        <v/>
      </c>
      <c r="M622">
        <f>IF($A622="","",IFERROR(INDEX('[AQ_2021.xlsx]原始数据'!$D:$D,MATCH($A622,'[AQ_2021.xlsx]原始数据'!$A:$A,0)),""))</f>
        <v/>
      </c>
      <c r="N622">
        <f>IF($A622="","",IFERROR(INDEX('[AQ_2022.xlsx]原始数据'!$D:$D,MATCH($A622,'[AQ_2022.xlsx]原始数据'!$A:$A,0)),""))</f>
        <v/>
      </c>
      <c r="O622">
        <f>IF($A622="","",IFERROR(INDEX('[AQ_2023.xlsx]原始数据'!$D:$D,MATCH($A622,'[AQ_2023.xlsx]原始数据'!$A:$A,0)),""))</f>
        <v/>
      </c>
      <c r="P622">
        <f>IF($A622="","",IFERROR(INDEX('[AQ_2024.xlsx]原始数据'!$D:$D,MATCH($A622,'[AQ_2024.xlsx]原始数据'!$A:$A,0)),""))</f>
        <v/>
      </c>
      <c r="Q622">
        <f>IF($A622="","",IFERROR(INDEX('[AQ_2020.xlsx]原始数据'!$E:$E,MATCH($A622,'[AQ_2020.xlsx]原始数据'!$A:$A,0)),""))</f>
        <v/>
      </c>
      <c r="R622">
        <f>IF($A622="","",IFERROR(INDEX('[AQ_2021.xlsx]原始数据'!$E:$E,MATCH($A622,'[AQ_2021.xlsx]原始数据'!$A:$A,0)),""))</f>
        <v/>
      </c>
      <c r="S622">
        <f>IF($A622="","",IFERROR(INDEX('[AQ_2022.xlsx]原始数据'!$E:$E,MATCH($A622,'[AQ_2022.xlsx]原始数据'!$A:$A,0)),""))</f>
        <v/>
      </c>
      <c r="T622">
        <f>IF($A622="","",IFERROR(INDEX('[AQ_2023.xlsx]原始数据'!$E:$E,MATCH($A622,'[AQ_2023.xlsx]原始数据'!$A:$A,0)),""))</f>
        <v/>
      </c>
      <c r="U622">
        <f>IF($A622="","",IFERROR(INDEX('[AQ_2024.xlsx]原始数据'!$E:$E,MATCH($A622,'[AQ_2024.xlsx]原始数据'!$A:$A,0)),""))</f>
        <v/>
      </c>
      <c r="V622">
        <f>IF($A622="","",IFERROR(INDEX('[AQ_2020.xlsx]原始数据'!$F:$F,MATCH($A622,'[AQ_2020.xlsx]原始数据'!$A:$A,0)),""))</f>
        <v/>
      </c>
      <c r="W622">
        <f>IF($A622="","",IFERROR(INDEX('[AQ_2021.xlsx]原始数据'!$F:$F,MATCH($A622,'[AQ_2021.xlsx]原始数据'!$A:$A,0)),""))</f>
        <v/>
      </c>
      <c r="X622">
        <f>IF($A622="","",IFERROR(INDEX('[AQ_2022.xlsx]原始数据'!$F:$F,MATCH($A622,'[AQ_2022.xlsx]原始数据'!$A:$A,0)),""))</f>
        <v/>
      </c>
      <c r="Y622">
        <f>IF($A622="","",IFERROR(INDEX('[AQ_2023.xlsx]原始数据'!$F:$F,MATCH($A622,'[AQ_2023.xlsx]原始数据'!$A:$A,0)),""))</f>
        <v/>
      </c>
      <c r="Z622">
        <f>IF($A622="","",IFERROR(INDEX('[AQ_2024.xlsx]原始数据'!$F:$F,MATCH($A622,'[AQ_2024.xlsx]原始数据'!$A:$A,0)),""))</f>
        <v/>
      </c>
      <c r="AA622" s="2">
        <f>IFERROR(G622/B622,"")</f>
        <v/>
      </c>
      <c r="AB622" s="2">
        <f>IFERROR(H622/C622,"")</f>
        <v/>
      </c>
      <c r="AC622" s="2">
        <f>IFERROR(I622/D622,"")</f>
        <v/>
      </c>
      <c r="AD622" s="2">
        <f>IFERROR(J622/E622,"")</f>
        <v/>
      </c>
      <c r="AE622" s="2">
        <f>IFERROR(K622/F622,"")</f>
        <v/>
      </c>
      <c r="AF622" s="2">
        <f>IFERROR(L622/B622,"")</f>
        <v/>
      </c>
      <c r="AG622" s="2">
        <f>IFERROR(M622/C622,"")</f>
        <v/>
      </c>
      <c r="AH622" s="2">
        <f>IFERROR(N622/D622,"")</f>
        <v/>
      </c>
      <c r="AI622" s="2">
        <f>IFERROR(O622/E622,"")</f>
        <v/>
      </c>
      <c r="AJ622" s="2">
        <f>IFERROR(P622/F622,"")</f>
        <v/>
      </c>
      <c r="AK622" s="2">
        <f>IFERROR(Q622/B622,"")</f>
        <v/>
      </c>
      <c r="AL622" s="2">
        <f>IFERROR(R622/C622,"")</f>
        <v/>
      </c>
      <c r="AM622" s="2">
        <f>IFERROR(S622/D622,"")</f>
        <v/>
      </c>
      <c r="AN622" s="2">
        <f>IFERROR(T622/E622,"")</f>
        <v/>
      </c>
      <c r="AO622" s="2">
        <f>IFERROR(U622/F622,"")</f>
        <v/>
      </c>
    </row>
    <row r="623">
      <c r="B623">
        <f>IF($A623="","",IFERROR(INDEX('[AQ_2020.xlsx]原始数据'!$B:$B,MATCH($A623,'[AQ_2020.xlsx]原始数据'!$A:$A,0)),""))</f>
        <v/>
      </c>
      <c r="C623">
        <f>IF($A623="","",IFERROR(INDEX('[AQ_2021.xlsx]原始数据'!$B:$B,MATCH($A623,'[AQ_2021.xlsx]原始数据'!$A:$A,0)),""))</f>
        <v/>
      </c>
      <c r="D623">
        <f>IF($A623="","",IFERROR(INDEX('[AQ_2022.xlsx]原始数据'!$B:$B,MATCH($A623,'[AQ_2022.xlsx]原始数据'!$A:$A,0)),""))</f>
        <v/>
      </c>
      <c r="E623">
        <f>IF($A623="","",IFERROR(INDEX('[AQ_2023.xlsx]原始数据'!$B:$B,MATCH($A623,'[AQ_2023.xlsx]原始数据'!$A:$A,0)),""))</f>
        <v/>
      </c>
      <c r="F623">
        <f>IF($A623="","",IFERROR(INDEX('[AQ_2024.xlsx]原始数据'!$B:$B,MATCH($A623,'[AQ_2024.xlsx]原始数据'!$A:$A,0)),""))</f>
        <v/>
      </c>
      <c r="G623">
        <f>IF($A623="","",IFERROR(INDEX('[AQ_2020.xlsx]原始数据'!$C:$C,MATCH($A623,'[AQ_2020.xlsx]原始数据'!$A:$A,0)),""))</f>
        <v/>
      </c>
      <c r="H623">
        <f>IF($A623="","",IFERROR(INDEX('[AQ_2021.xlsx]原始数据'!$C:$C,MATCH($A623,'[AQ_2021.xlsx]原始数据'!$A:$A,0)),""))</f>
        <v/>
      </c>
      <c r="I623">
        <f>IF($A623="","",IFERROR(INDEX('[AQ_2022.xlsx]原始数据'!$C:$C,MATCH($A623,'[AQ_2022.xlsx]原始数据'!$A:$A,0)),""))</f>
        <v/>
      </c>
      <c r="J623">
        <f>IF($A623="","",IFERROR(INDEX('[AQ_2023.xlsx]原始数据'!$C:$C,MATCH($A623,'[AQ_2023.xlsx]原始数据'!$A:$A,0)),""))</f>
        <v/>
      </c>
      <c r="K623">
        <f>IF($A623="","",IFERROR(INDEX('[AQ_2024.xlsx]原始数据'!$C:$C,MATCH($A623,'[AQ_2024.xlsx]原始数据'!$A:$A,0)),""))</f>
        <v/>
      </c>
      <c r="L623">
        <f>IF($A623="","",IFERROR(INDEX('[AQ_2020.xlsx]原始数据'!$D:$D,MATCH($A623,'[AQ_2020.xlsx]原始数据'!$A:$A,0)),""))</f>
        <v/>
      </c>
      <c r="M623">
        <f>IF($A623="","",IFERROR(INDEX('[AQ_2021.xlsx]原始数据'!$D:$D,MATCH($A623,'[AQ_2021.xlsx]原始数据'!$A:$A,0)),""))</f>
        <v/>
      </c>
      <c r="N623">
        <f>IF($A623="","",IFERROR(INDEX('[AQ_2022.xlsx]原始数据'!$D:$D,MATCH($A623,'[AQ_2022.xlsx]原始数据'!$A:$A,0)),""))</f>
        <v/>
      </c>
      <c r="O623">
        <f>IF($A623="","",IFERROR(INDEX('[AQ_2023.xlsx]原始数据'!$D:$D,MATCH($A623,'[AQ_2023.xlsx]原始数据'!$A:$A,0)),""))</f>
        <v/>
      </c>
      <c r="P623">
        <f>IF($A623="","",IFERROR(INDEX('[AQ_2024.xlsx]原始数据'!$D:$D,MATCH($A623,'[AQ_2024.xlsx]原始数据'!$A:$A,0)),""))</f>
        <v/>
      </c>
      <c r="Q623">
        <f>IF($A623="","",IFERROR(INDEX('[AQ_2020.xlsx]原始数据'!$E:$E,MATCH($A623,'[AQ_2020.xlsx]原始数据'!$A:$A,0)),""))</f>
        <v/>
      </c>
      <c r="R623">
        <f>IF($A623="","",IFERROR(INDEX('[AQ_2021.xlsx]原始数据'!$E:$E,MATCH($A623,'[AQ_2021.xlsx]原始数据'!$A:$A,0)),""))</f>
        <v/>
      </c>
      <c r="S623">
        <f>IF($A623="","",IFERROR(INDEX('[AQ_2022.xlsx]原始数据'!$E:$E,MATCH($A623,'[AQ_2022.xlsx]原始数据'!$A:$A,0)),""))</f>
        <v/>
      </c>
      <c r="T623">
        <f>IF($A623="","",IFERROR(INDEX('[AQ_2023.xlsx]原始数据'!$E:$E,MATCH($A623,'[AQ_2023.xlsx]原始数据'!$A:$A,0)),""))</f>
        <v/>
      </c>
      <c r="U623">
        <f>IF($A623="","",IFERROR(INDEX('[AQ_2024.xlsx]原始数据'!$E:$E,MATCH($A623,'[AQ_2024.xlsx]原始数据'!$A:$A,0)),""))</f>
        <v/>
      </c>
      <c r="V623">
        <f>IF($A623="","",IFERROR(INDEX('[AQ_2020.xlsx]原始数据'!$F:$F,MATCH($A623,'[AQ_2020.xlsx]原始数据'!$A:$A,0)),""))</f>
        <v/>
      </c>
      <c r="W623">
        <f>IF($A623="","",IFERROR(INDEX('[AQ_2021.xlsx]原始数据'!$F:$F,MATCH($A623,'[AQ_2021.xlsx]原始数据'!$A:$A,0)),""))</f>
        <v/>
      </c>
      <c r="X623">
        <f>IF($A623="","",IFERROR(INDEX('[AQ_2022.xlsx]原始数据'!$F:$F,MATCH($A623,'[AQ_2022.xlsx]原始数据'!$A:$A,0)),""))</f>
        <v/>
      </c>
      <c r="Y623">
        <f>IF($A623="","",IFERROR(INDEX('[AQ_2023.xlsx]原始数据'!$F:$F,MATCH($A623,'[AQ_2023.xlsx]原始数据'!$A:$A,0)),""))</f>
        <v/>
      </c>
      <c r="Z623">
        <f>IF($A623="","",IFERROR(INDEX('[AQ_2024.xlsx]原始数据'!$F:$F,MATCH($A623,'[AQ_2024.xlsx]原始数据'!$A:$A,0)),""))</f>
        <v/>
      </c>
      <c r="AA623" s="2">
        <f>IFERROR(G623/B623,"")</f>
        <v/>
      </c>
      <c r="AB623" s="2">
        <f>IFERROR(H623/C623,"")</f>
        <v/>
      </c>
      <c r="AC623" s="2">
        <f>IFERROR(I623/D623,"")</f>
        <v/>
      </c>
      <c r="AD623" s="2">
        <f>IFERROR(J623/E623,"")</f>
        <v/>
      </c>
      <c r="AE623" s="2">
        <f>IFERROR(K623/F623,"")</f>
        <v/>
      </c>
      <c r="AF623" s="2">
        <f>IFERROR(L623/B623,"")</f>
        <v/>
      </c>
      <c r="AG623" s="2">
        <f>IFERROR(M623/C623,"")</f>
        <v/>
      </c>
      <c r="AH623" s="2">
        <f>IFERROR(N623/D623,"")</f>
        <v/>
      </c>
      <c r="AI623" s="2">
        <f>IFERROR(O623/E623,"")</f>
        <v/>
      </c>
      <c r="AJ623" s="2">
        <f>IFERROR(P623/F623,"")</f>
        <v/>
      </c>
      <c r="AK623" s="2">
        <f>IFERROR(Q623/B623,"")</f>
        <v/>
      </c>
      <c r="AL623" s="2">
        <f>IFERROR(R623/C623,"")</f>
        <v/>
      </c>
      <c r="AM623" s="2">
        <f>IFERROR(S623/D623,"")</f>
        <v/>
      </c>
      <c r="AN623" s="2">
        <f>IFERROR(T623/E623,"")</f>
        <v/>
      </c>
      <c r="AO623" s="2">
        <f>IFERROR(U623/F623,"")</f>
        <v/>
      </c>
    </row>
    <row r="624">
      <c r="B624">
        <f>IF($A624="","",IFERROR(INDEX('[AQ_2020.xlsx]原始数据'!$B:$B,MATCH($A624,'[AQ_2020.xlsx]原始数据'!$A:$A,0)),""))</f>
        <v/>
      </c>
      <c r="C624">
        <f>IF($A624="","",IFERROR(INDEX('[AQ_2021.xlsx]原始数据'!$B:$B,MATCH($A624,'[AQ_2021.xlsx]原始数据'!$A:$A,0)),""))</f>
        <v/>
      </c>
      <c r="D624">
        <f>IF($A624="","",IFERROR(INDEX('[AQ_2022.xlsx]原始数据'!$B:$B,MATCH($A624,'[AQ_2022.xlsx]原始数据'!$A:$A,0)),""))</f>
        <v/>
      </c>
      <c r="E624">
        <f>IF($A624="","",IFERROR(INDEX('[AQ_2023.xlsx]原始数据'!$B:$B,MATCH($A624,'[AQ_2023.xlsx]原始数据'!$A:$A,0)),""))</f>
        <v/>
      </c>
      <c r="F624">
        <f>IF($A624="","",IFERROR(INDEX('[AQ_2024.xlsx]原始数据'!$B:$B,MATCH($A624,'[AQ_2024.xlsx]原始数据'!$A:$A,0)),""))</f>
        <v/>
      </c>
      <c r="G624">
        <f>IF($A624="","",IFERROR(INDEX('[AQ_2020.xlsx]原始数据'!$C:$C,MATCH($A624,'[AQ_2020.xlsx]原始数据'!$A:$A,0)),""))</f>
        <v/>
      </c>
      <c r="H624">
        <f>IF($A624="","",IFERROR(INDEX('[AQ_2021.xlsx]原始数据'!$C:$C,MATCH($A624,'[AQ_2021.xlsx]原始数据'!$A:$A,0)),""))</f>
        <v/>
      </c>
      <c r="I624">
        <f>IF($A624="","",IFERROR(INDEX('[AQ_2022.xlsx]原始数据'!$C:$C,MATCH($A624,'[AQ_2022.xlsx]原始数据'!$A:$A,0)),""))</f>
        <v/>
      </c>
      <c r="J624">
        <f>IF($A624="","",IFERROR(INDEX('[AQ_2023.xlsx]原始数据'!$C:$C,MATCH($A624,'[AQ_2023.xlsx]原始数据'!$A:$A,0)),""))</f>
        <v/>
      </c>
      <c r="K624">
        <f>IF($A624="","",IFERROR(INDEX('[AQ_2024.xlsx]原始数据'!$C:$C,MATCH($A624,'[AQ_2024.xlsx]原始数据'!$A:$A,0)),""))</f>
        <v/>
      </c>
      <c r="L624">
        <f>IF($A624="","",IFERROR(INDEX('[AQ_2020.xlsx]原始数据'!$D:$D,MATCH($A624,'[AQ_2020.xlsx]原始数据'!$A:$A,0)),""))</f>
        <v/>
      </c>
      <c r="M624">
        <f>IF($A624="","",IFERROR(INDEX('[AQ_2021.xlsx]原始数据'!$D:$D,MATCH($A624,'[AQ_2021.xlsx]原始数据'!$A:$A,0)),""))</f>
        <v/>
      </c>
      <c r="N624">
        <f>IF($A624="","",IFERROR(INDEX('[AQ_2022.xlsx]原始数据'!$D:$D,MATCH($A624,'[AQ_2022.xlsx]原始数据'!$A:$A,0)),""))</f>
        <v/>
      </c>
      <c r="O624">
        <f>IF($A624="","",IFERROR(INDEX('[AQ_2023.xlsx]原始数据'!$D:$D,MATCH($A624,'[AQ_2023.xlsx]原始数据'!$A:$A,0)),""))</f>
        <v/>
      </c>
      <c r="P624">
        <f>IF($A624="","",IFERROR(INDEX('[AQ_2024.xlsx]原始数据'!$D:$D,MATCH($A624,'[AQ_2024.xlsx]原始数据'!$A:$A,0)),""))</f>
        <v/>
      </c>
      <c r="Q624">
        <f>IF($A624="","",IFERROR(INDEX('[AQ_2020.xlsx]原始数据'!$E:$E,MATCH($A624,'[AQ_2020.xlsx]原始数据'!$A:$A,0)),""))</f>
        <v/>
      </c>
      <c r="R624">
        <f>IF($A624="","",IFERROR(INDEX('[AQ_2021.xlsx]原始数据'!$E:$E,MATCH($A624,'[AQ_2021.xlsx]原始数据'!$A:$A,0)),""))</f>
        <v/>
      </c>
      <c r="S624">
        <f>IF($A624="","",IFERROR(INDEX('[AQ_2022.xlsx]原始数据'!$E:$E,MATCH($A624,'[AQ_2022.xlsx]原始数据'!$A:$A,0)),""))</f>
        <v/>
      </c>
      <c r="T624">
        <f>IF($A624="","",IFERROR(INDEX('[AQ_2023.xlsx]原始数据'!$E:$E,MATCH($A624,'[AQ_2023.xlsx]原始数据'!$A:$A,0)),""))</f>
        <v/>
      </c>
      <c r="U624">
        <f>IF($A624="","",IFERROR(INDEX('[AQ_2024.xlsx]原始数据'!$E:$E,MATCH($A624,'[AQ_2024.xlsx]原始数据'!$A:$A,0)),""))</f>
        <v/>
      </c>
      <c r="V624">
        <f>IF($A624="","",IFERROR(INDEX('[AQ_2020.xlsx]原始数据'!$F:$F,MATCH($A624,'[AQ_2020.xlsx]原始数据'!$A:$A,0)),""))</f>
        <v/>
      </c>
      <c r="W624">
        <f>IF($A624="","",IFERROR(INDEX('[AQ_2021.xlsx]原始数据'!$F:$F,MATCH($A624,'[AQ_2021.xlsx]原始数据'!$A:$A,0)),""))</f>
        <v/>
      </c>
      <c r="X624">
        <f>IF($A624="","",IFERROR(INDEX('[AQ_2022.xlsx]原始数据'!$F:$F,MATCH($A624,'[AQ_2022.xlsx]原始数据'!$A:$A,0)),""))</f>
        <v/>
      </c>
      <c r="Y624">
        <f>IF($A624="","",IFERROR(INDEX('[AQ_2023.xlsx]原始数据'!$F:$F,MATCH($A624,'[AQ_2023.xlsx]原始数据'!$A:$A,0)),""))</f>
        <v/>
      </c>
      <c r="Z624">
        <f>IF($A624="","",IFERROR(INDEX('[AQ_2024.xlsx]原始数据'!$F:$F,MATCH($A624,'[AQ_2024.xlsx]原始数据'!$A:$A,0)),""))</f>
        <v/>
      </c>
      <c r="AA624" s="2">
        <f>IFERROR(G624/B624,"")</f>
        <v/>
      </c>
      <c r="AB624" s="2">
        <f>IFERROR(H624/C624,"")</f>
        <v/>
      </c>
      <c r="AC624" s="2">
        <f>IFERROR(I624/D624,"")</f>
        <v/>
      </c>
      <c r="AD624" s="2">
        <f>IFERROR(J624/E624,"")</f>
        <v/>
      </c>
      <c r="AE624" s="2">
        <f>IFERROR(K624/F624,"")</f>
        <v/>
      </c>
      <c r="AF624" s="2">
        <f>IFERROR(L624/B624,"")</f>
        <v/>
      </c>
      <c r="AG624" s="2">
        <f>IFERROR(M624/C624,"")</f>
        <v/>
      </c>
      <c r="AH624" s="2">
        <f>IFERROR(N624/D624,"")</f>
        <v/>
      </c>
      <c r="AI624" s="2">
        <f>IFERROR(O624/E624,"")</f>
        <v/>
      </c>
      <c r="AJ624" s="2">
        <f>IFERROR(P624/F624,"")</f>
        <v/>
      </c>
      <c r="AK624" s="2">
        <f>IFERROR(Q624/B624,"")</f>
        <v/>
      </c>
      <c r="AL624" s="2">
        <f>IFERROR(R624/C624,"")</f>
        <v/>
      </c>
      <c r="AM624" s="2">
        <f>IFERROR(S624/D624,"")</f>
        <v/>
      </c>
      <c r="AN624" s="2">
        <f>IFERROR(T624/E624,"")</f>
        <v/>
      </c>
      <c r="AO624" s="2">
        <f>IFERROR(U624/F624,"")</f>
        <v/>
      </c>
    </row>
    <row r="625">
      <c r="B625">
        <f>IF($A625="","",IFERROR(INDEX('[AQ_2020.xlsx]原始数据'!$B:$B,MATCH($A625,'[AQ_2020.xlsx]原始数据'!$A:$A,0)),""))</f>
        <v/>
      </c>
      <c r="C625">
        <f>IF($A625="","",IFERROR(INDEX('[AQ_2021.xlsx]原始数据'!$B:$B,MATCH($A625,'[AQ_2021.xlsx]原始数据'!$A:$A,0)),""))</f>
        <v/>
      </c>
      <c r="D625">
        <f>IF($A625="","",IFERROR(INDEX('[AQ_2022.xlsx]原始数据'!$B:$B,MATCH($A625,'[AQ_2022.xlsx]原始数据'!$A:$A,0)),""))</f>
        <v/>
      </c>
      <c r="E625">
        <f>IF($A625="","",IFERROR(INDEX('[AQ_2023.xlsx]原始数据'!$B:$B,MATCH($A625,'[AQ_2023.xlsx]原始数据'!$A:$A,0)),""))</f>
        <v/>
      </c>
      <c r="F625">
        <f>IF($A625="","",IFERROR(INDEX('[AQ_2024.xlsx]原始数据'!$B:$B,MATCH($A625,'[AQ_2024.xlsx]原始数据'!$A:$A,0)),""))</f>
        <v/>
      </c>
      <c r="G625">
        <f>IF($A625="","",IFERROR(INDEX('[AQ_2020.xlsx]原始数据'!$C:$C,MATCH($A625,'[AQ_2020.xlsx]原始数据'!$A:$A,0)),""))</f>
        <v/>
      </c>
      <c r="H625">
        <f>IF($A625="","",IFERROR(INDEX('[AQ_2021.xlsx]原始数据'!$C:$C,MATCH($A625,'[AQ_2021.xlsx]原始数据'!$A:$A,0)),""))</f>
        <v/>
      </c>
      <c r="I625">
        <f>IF($A625="","",IFERROR(INDEX('[AQ_2022.xlsx]原始数据'!$C:$C,MATCH($A625,'[AQ_2022.xlsx]原始数据'!$A:$A,0)),""))</f>
        <v/>
      </c>
      <c r="J625">
        <f>IF($A625="","",IFERROR(INDEX('[AQ_2023.xlsx]原始数据'!$C:$C,MATCH($A625,'[AQ_2023.xlsx]原始数据'!$A:$A,0)),""))</f>
        <v/>
      </c>
      <c r="K625">
        <f>IF($A625="","",IFERROR(INDEX('[AQ_2024.xlsx]原始数据'!$C:$C,MATCH($A625,'[AQ_2024.xlsx]原始数据'!$A:$A,0)),""))</f>
        <v/>
      </c>
      <c r="L625">
        <f>IF($A625="","",IFERROR(INDEX('[AQ_2020.xlsx]原始数据'!$D:$D,MATCH($A625,'[AQ_2020.xlsx]原始数据'!$A:$A,0)),""))</f>
        <v/>
      </c>
      <c r="M625">
        <f>IF($A625="","",IFERROR(INDEX('[AQ_2021.xlsx]原始数据'!$D:$D,MATCH($A625,'[AQ_2021.xlsx]原始数据'!$A:$A,0)),""))</f>
        <v/>
      </c>
      <c r="N625">
        <f>IF($A625="","",IFERROR(INDEX('[AQ_2022.xlsx]原始数据'!$D:$D,MATCH($A625,'[AQ_2022.xlsx]原始数据'!$A:$A,0)),""))</f>
        <v/>
      </c>
      <c r="O625">
        <f>IF($A625="","",IFERROR(INDEX('[AQ_2023.xlsx]原始数据'!$D:$D,MATCH($A625,'[AQ_2023.xlsx]原始数据'!$A:$A,0)),""))</f>
        <v/>
      </c>
      <c r="P625">
        <f>IF($A625="","",IFERROR(INDEX('[AQ_2024.xlsx]原始数据'!$D:$D,MATCH($A625,'[AQ_2024.xlsx]原始数据'!$A:$A,0)),""))</f>
        <v/>
      </c>
      <c r="Q625">
        <f>IF($A625="","",IFERROR(INDEX('[AQ_2020.xlsx]原始数据'!$E:$E,MATCH($A625,'[AQ_2020.xlsx]原始数据'!$A:$A,0)),""))</f>
        <v/>
      </c>
      <c r="R625">
        <f>IF($A625="","",IFERROR(INDEX('[AQ_2021.xlsx]原始数据'!$E:$E,MATCH($A625,'[AQ_2021.xlsx]原始数据'!$A:$A,0)),""))</f>
        <v/>
      </c>
      <c r="S625">
        <f>IF($A625="","",IFERROR(INDEX('[AQ_2022.xlsx]原始数据'!$E:$E,MATCH($A625,'[AQ_2022.xlsx]原始数据'!$A:$A,0)),""))</f>
        <v/>
      </c>
      <c r="T625">
        <f>IF($A625="","",IFERROR(INDEX('[AQ_2023.xlsx]原始数据'!$E:$E,MATCH($A625,'[AQ_2023.xlsx]原始数据'!$A:$A,0)),""))</f>
        <v/>
      </c>
      <c r="U625">
        <f>IF($A625="","",IFERROR(INDEX('[AQ_2024.xlsx]原始数据'!$E:$E,MATCH($A625,'[AQ_2024.xlsx]原始数据'!$A:$A,0)),""))</f>
        <v/>
      </c>
      <c r="V625">
        <f>IF($A625="","",IFERROR(INDEX('[AQ_2020.xlsx]原始数据'!$F:$F,MATCH($A625,'[AQ_2020.xlsx]原始数据'!$A:$A,0)),""))</f>
        <v/>
      </c>
      <c r="W625">
        <f>IF($A625="","",IFERROR(INDEX('[AQ_2021.xlsx]原始数据'!$F:$F,MATCH($A625,'[AQ_2021.xlsx]原始数据'!$A:$A,0)),""))</f>
        <v/>
      </c>
      <c r="X625">
        <f>IF($A625="","",IFERROR(INDEX('[AQ_2022.xlsx]原始数据'!$F:$F,MATCH($A625,'[AQ_2022.xlsx]原始数据'!$A:$A,0)),""))</f>
        <v/>
      </c>
      <c r="Y625">
        <f>IF($A625="","",IFERROR(INDEX('[AQ_2023.xlsx]原始数据'!$F:$F,MATCH($A625,'[AQ_2023.xlsx]原始数据'!$A:$A,0)),""))</f>
        <v/>
      </c>
      <c r="Z625">
        <f>IF($A625="","",IFERROR(INDEX('[AQ_2024.xlsx]原始数据'!$F:$F,MATCH($A625,'[AQ_2024.xlsx]原始数据'!$A:$A,0)),""))</f>
        <v/>
      </c>
      <c r="AA625" s="2">
        <f>IFERROR(G625/B625,"")</f>
        <v/>
      </c>
      <c r="AB625" s="2">
        <f>IFERROR(H625/C625,"")</f>
        <v/>
      </c>
      <c r="AC625" s="2">
        <f>IFERROR(I625/D625,"")</f>
        <v/>
      </c>
      <c r="AD625" s="2">
        <f>IFERROR(J625/E625,"")</f>
        <v/>
      </c>
      <c r="AE625" s="2">
        <f>IFERROR(K625/F625,"")</f>
        <v/>
      </c>
      <c r="AF625" s="2">
        <f>IFERROR(L625/B625,"")</f>
        <v/>
      </c>
      <c r="AG625" s="2">
        <f>IFERROR(M625/C625,"")</f>
        <v/>
      </c>
      <c r="AH625" s="2">
        <f>IFERROR(N625/D625,"")</f>
        <v/>
      </c>
      <c r="AI625" s="2">
        <f>IFERROR(O625/E625,"")</f>
        <v/>
      </c>
      <c r="AJ625" s="2">
        <f>IFERROR(P625/F625,"")</f>
        <v/>
      </c>
      <c r="AK625" s="2">
        <f>IFERROR(Q625/B625,"")</f>
        <v/>
      </c>
      <c r="AL625" s="2">
        <f>IFERROR(R625/C625,"")</f>
        <v/>
      </c>
      <c r="AM625" s="2">
        <f>IFERROR(S625/D625,"")</f>
        <v/>
      </c>
      <c r="AN625" s="2">
        <f>IFERROR(T625/E625,"")</f>
        <v/>
      </c>
      <c r="AO625" s="2">
        <f>IFERROR(U625/F625,"")</f>
        <v/>
      </c>
    </row>
    <row r="626">
      <c r="B626">
        <f>IF($A626="","",IFERROR(INDEX('[AQ_2020.xlsx]原始数据'!$B:$B,MATCH($A626,'[AQ_2020.xlsx]原始数据'!$A:$A,0)),""))</f>
        <v/>
      </c>
      <c r="C626">
        <f>IF($A626="","",IFERROR(INDEX('[AQ_2021.xlsx]原始数据'!$B:$B,MATCH($A626,'[AQ_2021.xlsx]原始数据'!$A:$A,0)),""))</f>
        <v/>
      </c>
      <c r="D626">
        <f>IF($A626="","",IFERROR(INDEX('[AQ_2022.xlsx]原始数据'!$B:$B,MATCH($A626,'[AQ_2022.xlsx]原始数据'!$A:$A,0)),""))</f>
        <v/>
      </c>
      <c r="E626">
        <f>IF($A626="","",IFERROR(INDEX('[AQ_2023.xlsx]原始数据'!$B:$B,MATCH($A626,'[AQ_2023.xlsx]原始数据'!$A:$A,0)),""))</f>
        <v/>
      </c>
      <c r="F626">
        <f>IF($A626="","",IFERROR(INDEX('[AQ_2024.xlsx]原始数据'!$B:$B,MATCH($A626,'[AQ_2024.xlsx]原始数据'!$A:$A,0)),""))</f>
        <v/>
      </c>
      <c r="G626">
        <f>IF($A626="","",IFERROR(INDEX('[AQ_2020.xlsx]原始数据'!$C:$C,MATCH($A626,'[AQ_2020.xlsx]原始数据'!$A:$A,0)),""))</f>
        <v/>
      </c>
      <c r="H626">
        <f>IF($A626="","",IFERROR(INDEX('[AQ_2021.xlsx]原始数据'!$C:$C,MATCH($A626,'[AQ_2021.xlsx]原始数据'!$A:$A,0)),""))</f>
        <v/>
      </c>
      <c r="I626">
        <f>IF($A626="","",IFERROR(INDEX('[AQ_2022.xlsx]原始数据'!$C:$C,MATCH($A626,'[AQ_2022.xlsx]原始数据'!$A:$A,0)),""))</f>
        <v/>
      </c>
      <c r="J626">
        <f>IF($A626="","",IFERROR(INDEX('[AQ_2023.xlsx]原始数据'!$C:$C,MATCH($A626,'[AQ_2023.xlsx]原始数据'!$A:$A,0)),""))</f>
        <v/>
      </c>
      <c r="K626">
        <f>IF($A626="","",IFERROR(INDEX('[AQ_2024.xlsx]原始数据'!$C:$C,MATCH($A626,'[AQ_2024.xlsx]原始数据'!$A:$A,0)),""))</f>
        <v/>
      </c>
      <c r="L626">
        <f>IF($A626="","",IFERROR(INDEX('[AQ_2020.xlsx]原始数据'!$D:$D,MATCH($A626,'[AQ_2020.xlsx]原始数据'!$A:$A,0)),""))</f>
        <v/>
      </c>
      <c r="M626">
        <f>IF($A626="","",IFERROR(INDEX('[AQ_2021.xlsx]原始数据'!$D:$D,MATCH($A626,'[AQ_2021.xlsx]原始数据'!$A:$A,0)),""))</f>
        <v/>
      </c>
      <c r="N626">
        <f>IF($A626="","",IFERROR(INDEX('[AQ_2022.xlsx]原始数据'!$D:$D,MATCH($A626,'[AQ_2022.xlsx]原始数据'!$A:$A,0)),""))</f>
        <v/>
      </c>
      <c r="O626">
        <f>IF($A626="","",IFERROR(INDEX('[AQ_2023.xlsx]原始数据'!$D:$D,MATCH($A626,'[AQ_2023.xlsx]原始数据'!$A:$A,0)),""))</f>
        <v/>
      </c>
      <c r="P626">
        <f>IF($A626="","",IFERROR(INDEX('[AQ_2024.xlsx]原始数据'!$D:$D,MATCH($A626,'[AQ_2024.xlsx]原始数据'!$A:$A,0)),""))</f>
        <v/>
      </c>
      <c r="Q626">
        <f>IF($A626="","",IFERROR(INDEX('[AQ_2020.xlsx]原始数据'!$E:$E,MATCH($A626,'[AQ_2020.xlsx]原始数据'!$A:$A,0)),""))</f>
        <v/>
      </c>
      <c r="R626">
        <f>IF($A626="","",IFERROR(INDEX('[AQ_2021.xlsx]原始数据'!$E:$E,MATCH($A626,'[AQ_2021.xlsx]原始数据'!$A:$A,0)),""))</f>
        <v/>
      </c>
      <c r="S626">
        <f>IF($A626="","",IFERROR(INDEX('[AQ_2022.xlsx]原始数据'!$E:$E,MATCH($A626,'[AQ_2022.xlsx]原始数据'!$A:$A,0)),""))</f>
        <v/>
      </c>
      <c r="T626">
        <f>IF($A626="","",IFERROR(INDEX('[AQ_2023.xlsx]原始数据'!$E:$E,MATCH($A626,'[AQ_2023.xlsx]原始数据'!$A:$A,0)),""))</f>
        <v/>
      </c>
      <c r="U626">
        <f>IF($A626="","",IFERROR(INDEX('[AQ_2024.xlsx]原始数据'!$E:$E,MATCH($A626,'[AQ_2024.xlsx]原始数据'!$A:$A,0)),""))</f>
        <v/>
      </c>
      <c r="V626">
        <f>IF($A626="","",IFERROR(INDEX('[AQ_2020.xlsx]原始数据'!$F:$F,MATCH($A626,'[AQ_2020.xlsx]原始数据'!$A:$A,0)),""))</f>
        <v/>
      </c>
      <c r="W626">
        <f>IF($A626="","",IFERROR(INDEX('[AQ_2021.xlsx]原始数据'!$F:$F,MATCH($A626,'[AQ_2021.xlsx]原始数据'!$A:$A,0)),""))</f>
        <v/>
      </c>
      <c r="X626">
        <f>IF($A626="","",IFERROR(INDEX('[AQ_2022.xlsx]原始数据'!$F:$F,MATCH($A626,'[AQ_2022.xlsx]原始数据'!$A:$A,0)),""))</f>
        <v/>
      </c>
      <c r="Y626">
        <f>IF($A626="","",IFERROR(INDEX('[AQ_2023.xlsx]原始数据'!$F:$F,MATCH($A626,'[AQ_2023.xlsx]原始数据'!$A:$A,0)),""))</f>
        <v/>
      </c>
      <c r="Z626">
        <f>IF($A626="","",IFERROR(INDEX('[AQ_2024.xlsx]原始数据'!$F:$F,MATCH($A626,'[AQ_2024.xlsx]原始数据'!$A:$A,0)),""))</f>
        <v/>
      </c>
      <c r="AA626" s="2">
        <f>IFERROR(G626/B626,"")</f>
        <v/>
      </c>
      <c r="AB626" s="2">
        <f>IFERROR(H626/C626,"")</f>
        <v/>
      </c>
      <c r="AC626" s="2">
        <f>IFERROR(I626/D626,"")</f>
        <v/>
      </c>
      <c r="AD626" s="2">
        <f>IFERROR(J626/E626,"")</f>
        <v/>
      </c>
      <c r="AE626" s="2">
        <f>IFERROR(K626/F626,"")</f>
        <v/>
      </c>
      <c r="AF626" s="2">
        <f>IFERROR(L626/B626,"")</f>
        <v/>
      </c>
      <c r="AG626" s="2">
        <f>IFERROR(M626/C626,"")</f>
        <v/>
      </c>
      <c r="AH626" s="2">
        <f>IFERROR(N626/D626,"")</f>
        <v/>
      </c>
      <c r="AI626" s="2">
        <f>IFERROR(O626/E626,"")</f>
        <v/>
      </c>
      <c r="AJ626" s="2">
        <f>IFERROR(P626/F626,"")</f>
        <v/>
      </c>
      <c r="AK626" s="2">
        <f>IFERROR(Q626/B626,"")</f>
        <v/>
      </c>
      <c r="AL626" s="2">
        <f>IFERROR(R626/C626,"")</f>
        <v/>
      </c>
      <c r="AM626" s="2">
        <f>IFERROR(S626/D626,"")</f>
        <v/>
      </c>
      <c r="AN626" s="2">
        <f>IFERROR(T626/E626,"")</f>
        <v/>
      </c>
      <c r="AO626" s="2">
        <f>IFERROR(U626/F626,"")</f>
        <v/>
      </c>
    </row>
    <row r="627">
      <c r="B627">
        <f>IF($A627="","",IFERROR(INDEX('[AQ_2020.xlsx]原始数据'!$B:$B,MATCH($A627,'[AQ_2020.xlsx]原始数据'!$A:$A,0)),""))</f>
        <v/>
      </c>
      <c r="C627">
        <f>IF($A627="","",IFERROR(INDEX('[AQ_2021.xlsx]原始数据'!$B:$B,MATCH($A627,'[AQ_2021.xlsx]原始数据'!$A:$A,0)),""))</f>
        <v/>
      </c>
      <c r="D627">
        <f>IF($A627="","",IFERROR(INDEX('[AQ_2022.xlsx]原始数据'!$B:$B,MATCH($A627,'[AQ_2022.xlsx]原始数据'!$A:$A,0)),""))</f>
        <v/>
      </c>
      <c r="E627">
        <f>IF($A627="","",IFERROR(INDEX('[AQ_2023.xlsx]原始数据'!$B:$B,MATCH($A627,'[AQ_2023.xlsx]原始数据'!$A:$A,0)),""))</f>
        <v/>
      </c>
      <c r="F627">
        <f>IF($A627="","",IFERROR(INDEX('[AQ_2024.xlsx]原始数据'!$B:$B,MATCH($A627,'[AQ_2024.xlsx]原始数据'!$A:$A,0)),""))</f>
        <v/>
      </c>
      <c r="G627">
        <f>IF($A627="","",IFERROR(INDEX('[AQ_2020.xlsx]原始数据'!$C:$C,MATCH($A627,'[AQ_2020.xlsx]原始数据'!$A:$A,0)),""))</f>
        <v/>
      </c>
      <c r="H627">
        <f>IF($A627="","",IFERROR(INDEX('[AQ_2021.xlsx]原始数据'!$C:$C,MATCH($A627,'[AQ_2021.xlsx]原始数据'!$A:$A,0)),""))</f>
        <v/>
      </c>
      <c r="I627">
        <f>IF($A627="","",IFERROR(INDEX('[AQ_2022.xlsx]原始数据'!$C:$C,MATCH($A627,'[AQ_2022.xlsx]原始数据'!$A:$A,0)),""))</f>
        <v/>
      </c>
      <c r="J627">
        <f>IF($A627="","",IFERROR(INDEX('[AQ_2023.xlsx]原始数据'!$C:$C,MATCH($A627,'[AQ_2023.xlsx]原始数据'!$A:$A,0)),""))</f>
        <v/>
      </c>
      <c r="K627">
        <f>IF($A627="","",IFERROR(INDEX('[AQ_2024.xlsx]原始数据'!$C:$C,MATCH($A627,'[AQ_2024.xlsx]原始数据'!$A:$A,0)),""))</f>
        <v/>
      </c>
      <c r="L627">
        <f>IF($A627="","",IFERROR(INDEX('[AQ_2020.xlsx]原始数据'!$D:$D,MATCH($A627,'[AQ_2020.xlsx]原始数据'!$A:$A,0)),""))</f>
        <v/>
      </c>
      <c r="M627">
        <f>IF($A627="","",IFERROR(INDEX('[AQ_2021.xlsx]原始数据'!$D:$D,MATCH($A627,'[AQ_2021.xlsx]原始数据'!$A:$A,0)),""))</f>
        <v/>
      </c>
      <c r="N627">
        <f>IF($A627="","",IFERROR(INDEX('[AQ_2022.xlsx]原始数据'!$D:$D,MATCH($A627,'[AQ_2022.xlsx]原始数据'!$A:$A,0)),""))</f>
        <v/>
      </c>
      <c r="O627">
        <f>IF($A627="","",IFERROR(INDEX('[AQ_2023.xlsx]原始数据'!$D:$D,MATCH($A627,'[AQ_2023.xlsx]原始数据'!$A:$A,0)),""))</f>
        <v/>
      </c>
      <c r="P627">
        <f>IF($A627="","",IFERROR(INDEX('[AQ_2024.xlsx]原始数据'!$D:$D,MATCH($A627,'[AQ_2024.xlsx]原始数据'!$A:$A,0)),""))</f>
        <v/>
      </c>
      <c r="Q627">
        <f>IF($A627="","",IFERROR(INDEX('[AQ_2020.xlsx]原始数据'!$E:$E,MATCH($A627,'[AQ_2020.xlsx]原始数据'!$A:$A,0)),""))</f>
        <v/>
      </c>
      <c r="R627">
        <f>IF($A627="","",IFERROR(INDEX('[AQ_2021.xlsx]原始数据'!$E:$E,MATCH($A627,'[AQ_2021.xlsx]原始数据'!$A:$A,0)),""))</f>
        <v/>
      </c>
      <c r="S627">
        <f>IF($A627="","",IFERROR(INDEX('[AQ_2022.xlsx]原始数据'!$E:$E,MATCH($A627,'[AQ_2022.xlsx]原始数据'!$A:$A,0)),""))</f>
        <v/>
      </c>
      <c r="T627">
        <f>IF($A627="","",IFERROR(INDEX('[AQ_2023.xlsx]原始数据'!$E:$E,MATCH($A627,'[AQ_2023.xlsx]原始数据'!$A:$A,0)),""))</f>
        <v/>
      </c>
      <c r="U627">
        <f>IF($A627="","",IFERROR(INDEX('[AQ_2024.xlsx]原始数据'!$E:$E,MATCH($A627,'[AQ_2024.xlsx]原始数据'!$A:$A,0)),""))</f>
        <v/>
      </c>
      <c r="V627">
        <f>IF($A627="","",IFERROR(INDEX('[AQ_2020.xlsx]原始数据'!$F:$F,MATCH($A627,'[AQ_2020.xlsx]原始数据'!$A:$A,0)),""))</f>
        <v/>
      </c>
      <c r="W627">
        <f>IF($A627="","",IFERROR(INDEX('[AQ_2021.xlsx]原始数据'!$F:$F,MATCH($A627,'[AQ_2021.xlsx]原始数据'!$A:$A,0)),""))</f>
        <v/>
      </c>
      <c r="X627">
        <f>IF($A627="","",IFERROR(INDEX('[AQ_2022.xlsx]原始数据'!$F:$F,MATCH($A627,'[AQ_2022.xlsx]原始数据'!$A:$A,0)),""))</f>
        <v/>
      </c>
      <c r="Y627">
        <f>IF($A627="","",IFERROR(INDEX('[AQ_2023.xlsx]原始数据'!$F:$F,MATCH($A627,'[AQ_2023.xlsx]原始数据'!$A:$A,0)),""))</f>
        <v/>
      </c>
      <c r="Z627">
        <f>IF($A627="","",IFERROR(INDEX('[AQ_2024.xlsx]原始数据'!$F:$F,MATCH($A627,'[AQ_2024.xlsx]原始数据'!$A:$A,0)),""))</f>
        <v/>
      </c>
      <c r="AA627" s="2">
        <f>IFERROR(G627/B627,"")</f>
        <v/>
      </c>
      <c r="AB627" s="2">
        <f>IFERROR(H627/C627,"")</f>
        <v/>
      </c>
      <c r="AC627" s="2">
        <f>IFERROR(I627/D627,"")</f>
        <v/>
      </c>
      <c r="AD627" s="2">
        <f>IFERROR(J627/E627,"")</f>
        <v/>
      </c>
      <c r="AE627" s="2">
        <f>IFERROR(K627/F627,"")</f>
        <v/>
      </c>
      <c r="AF627" s="2">
        <f>IFERROR(L627/B627,"")</f>
        <v/>
      </c>
      <c r="AG627" s="2">
        <f>IFERROR(M627/C627,"")</f>
        <v/>
      </c>
      <c r="AH627" s="2">
        <f>IFERROR(N627/D627,"")</f>
        <v/>
      </c>
      <c r="AI627" s="2">
        <f>IFERROR(O627/E627,"")</f>
        <v/>
      </c>
      <c r="AJ627" s="2">
        <f>IFERROR(P627/F627,"")</f>
        <v/>
      </c>
      <c r="AK627" s="2">
        <f>IFERROR(Q627/B627,"")</f>
        <v/>
      </c>
      <c r="AL627" s="2">
        <f>IFERROR(R627/C627,"")</f>
        <v/>
      </c>
      <c r="AM627" s="2">
        <f>IFERROR(S627/D627,"")</f>
        <v/>
      </c>
      <c r="AN627" s="2">
        <f>IFERROR(T627/E627,"")</f>
        <v/>
      </c>
      <c r="AO627" s="2">
        <f>IFERROR(U627/F627,"")</f>
        <v/>
      </c>
    </row>
    <row r="628">
      <c r="B628">
        <f>IF($A628="","",IFERROR(INDEX('[AQ_2020.xlsx]原始数据'!$B:$B,MATCH($A628,'[AQ_2020.xlsx]原始数据'!$A:$A,0)),""))</f>
        <v/>
      </c>
      <c r="C628">
        <f>IF($A628="","",IFERROR(INDEX('[AQ_2021.xlsx]原始数据'!$B:$B,MATCH($A628,'[AQ_2021.xlsx]原始数据'!$A:$A,0)),""))</f>
        <v/>
      </c>
      <c r="D628">
        <f>IF($A628="","",IFERROR(INDEX('[AQ_2022.xlsx]原始数据'!$B:$B,MATCH($A628,'[AQ_2022.xlsx]原始数据'!$A:$A,0)),""))</f>
        <v/>
      </c>
      <c r="E628">
        <f>IF($A628="","",IFERROR(INDEX('[AQ_2023.xlsx]原始数据'!$B:$B,MATCH($A628,'[AQ_2023.xlsx]原始数据'!$A:$A,0)),""))</f>
        <v/>
      </c>
      <c r="F628">
        <f>IF($A628="","",IFERROR(INDEX('[AQ_2024.xlsx]原始数据'!$B:$B,MATCH($A628,'[AQ_2024.xlsx]原始数据'!$A:$A,0)),""))</f>
        <v/>
      </c>
      <c r="G628">
        <f>IF($A628="","",IFERROR(INDEX('[AQ_2020.xlsx]原始数据'!$C:$C,MATCH($A628,'[AQ_2020.xlsx]原始数据'!$A:$A,0)),""))</f>
        <v/>
      </c>
      <c r="H628">
        <f>IF($A628="","",IFERROR(INDEX('[AQ_2021.xlsx]原始数据'!$C:$C,MATCH($A628,'[AQ_2021.xlsx]原始数据'!$A:$A,0)),""))</f>
        <v/>
      </c>
      <c r="I628">
        <f>IF($A628="","",IFERROR(INDEX('[AQ_2022.xlsx]原始数据'!$C:$C,MATCH($A628,'[AQ_2022.xlsx]原始数据'!$A:$A,0)),""))</f>
        <v/>
      </c>
      <c r="J628">
        <f>IF($A628="","",IFERROR(INDEX('[AQ_2023.xlsx]原始数据'!$C:$C,MATCH($A628,'[AQ_2023.xlsx]原始数据'!$A:$A,0)),""))</f>
        <v/>
      </c>
      <c r="K628">
        <f>IF($A628="","",IFERROR(INDEX('[AQ_2024.xlsx]原始数据'!$C:$C,MATCH($A628,'[AQ_2024.xlsx]原始数据'!$A:$A,0)),""))</f>
        <v/>
      </c>
      <c r="L628">
        <f>IF($A628="","",IFERROR(INDEX('[AQ_2020.xlsx]原始数据'!$D:$D,MATCH($A628,'[AQ_2020.xlsx]原始数据'!$A:$A,0)),""))</f>
        <v/>
      </c>
      <c r="M628">
        <f>IF($A628="","",IFERROR(INDEX('[AQ_2021.xlsx]原始数据'!$D:$D,MATCH($A628,'[AQ_2021.xlsx]原始数据'!$A:$A,0)),""))</f>
        <v/>
      </c>
      <c r="N628">
        <f>IF($A628="","",IFERROR(INDEX('[AQ_2022.xlsx]原始数据'!$D:$D,MATCH($A628,'[AQ_2022.xlsx]原始数据'!$A:$A,0)),""))</f>
        <v/>
      </c>
      <c r="O628">
        <f>IF($A628="","",IFERROR(INDEX('[AQ_2023.xlsx]原始数据'!$D:$D,MATCH($A628,'[AQ_2023.xlsx]原始数据'!$A:$A,0)),""))</f>
        <v/>
      </c>
      <c r="P628">
        <f>IF($A628="","",IFERROR(INDEX('[AQ_2024.xlsx]原始数据'!$D:$D,MATCH($A628,'[AQ_2024.xlsx]原始数据'!$A:$A,0)),""))</f>
        <v/>
      </c>
      <c r="Q628">
        <f>IF($A628="","",IFERROR(INDEX('[AQ_2020.xlsx]原始数据'!$E:$E,MATCH($A628,'[AQ_2020.xlsx]原始数据'!$A:$A,0)),""))</f>
        <v/>
      </c>
      <c r="R628">
        <f>IF($A628="","",IFERROR(INDEX('[AQ_2021.xlsx]原始数据'!$E:$E,MATCH($A628,'[AQ_2021.xlsx]原始数据'!$A:$A,0)),""))</f>
        <v/>
      </c>
      <c r="S628">
        <f>IF($A628="","",IFERROR(INDEX('[AQ_2022.xlsx]原始数据'!$E:$E,MATCH($A628,'[AQ_2022.xlsx]原始数据'!$A:$A,0)),""))</f>
        <v/>
      </c>
      <c r="T628">
        <f>IF($A628="","",IFERROR(INDEX('[AQ_2023.xlsx]原始数据'!$E:$E,MATCH($A628,'[AQ_2023.xlsx]原始数据'!$A:$A,0)),""))</f>
        <v/>
      </c>
      <c r="U628">
        <f>IF($A628="","",IFERROR(INDEX('[AQ_2024.xlsx]原始数据'!$E:$E,MATCH($A628,'[AQ_2024.xlsx]原始数据'!$A:$A,0)),""))</f>
        <v/>
      </c>
      <c r="V628">
        <f>IF($A628="","",IFERROR(INDEX('[AQ_2020.xlsx]原始数据'!$F:$F,MATCH($A628,'[AQ_2020.xlsx]原始数据'!$A:$A,0)),""))</f>
        <v/>
      </c>
      <c r="W628">
        <f>IF($A628="","",IFERROR(INDEX('[AQ_2021.xlsx]原始数据'!$F:$F,MATCH($A628,'[AQ_2021.xlsx]原始数据'!$A:$A,0)),""))</f>
        <v/>
      </c>
      <c r="X628">
        <f>IF($A628="","",IFERROR(INDEX('[AQ_2022.xlsx]原始数据'!$F:$F,MATCH($A628,'[AQ_2022.xlsx]原始数据'!$A:$A,0)),""))</f>
        <v/>
      </c>
      <c r="Y628">
        <f>IF($A628="","",IFERROR(INDEX('[AQ_2023.xlsx]原始数据'!$F:$F,MATCH($A628,'[AQ_2023.xlsx]原始数据'!$A:$A,0)),""))</f>
        <v/>
      </c>
      <c r="Z628">
        <f>IF($A628="","",IFERROR(INDEX('[AQ_2024.xlsx]原始数据'!$F:$F,MATCH($A628,'[AQ_2024.xlsx]原始数据'!$A:$A,0)),""))</f>
        <v/>
      </c>
      <c r="AA628" s="2">
        <f>IFERROR(G628/B628,"")</f>
        <v/>
      </c>
      <c r="AB628" s="2">
        <f>IFERROR(H628/C628,"")</f>
        <v/>
      </c>
      <c r="AC628" s="2">
        <f>IFERROR(I628/D628,"")</f>
        <v/>
      </c>
      <c r="AD628" s="2">
        <f>IFERROR(J628/E628,"")</f>
        <v/>
      </c>
      <c r="AE628" s="2">
        <f>IFERROR(K628/F628,"")</f>
        <v/>
      </c>
      <c r="AF628" s="2">
        <f>IFERROR(L628/B628,"")</f>
        <v/>
      </c>
      <c r="AG628" s="2">
        <f>IFERROR(M628/C628,"")</f>
        <v/>
      </c>
      <c r="AH628" s="2">
        <f>IFERROR(N628/D628,"")</f>
        <v/>
      </c>
      <c r="AI628" s="2">
        <f>IFERROR(O628/E628,"")</f>
        <v/>
      </c>
      <c r="AJ628" s="2">
        <f>IFERROR(P628/F628,"")</f>
        <v/>
      </c>
      <c r="AK628" s="2">
        <f>IFERROR(Q628/B628,"")</f>
        <v/>
      </c>
      <c r="AL628" s="2">
        <f>IFERROR(R628/C628,"")</f>
        <v/>
      </c>
      <c r="AM628" s="2">
        <f>IFERROR(S628/D628,"")</f>
        <v/>
      </c>
      <c r="AN628" s="2">
        <f>IFERROR(T628/E628,"")</f>
        <v/>
      </c>
      <c r="AO628" s="2">
        <f>IFERROR(U628/F628,"")</f>
        <v/>
      </c>
    </row>
    <row r="629">
      <c r="B629">
        <f>IF($A629="","",IFERROR(INDEX('[AQ_2020.xlsx]原始数据'!$B:$B,MATCH($A629,'[AQ_2020.xlsx]原始数据'!$A:$A,0)),""))</f>
        <v/>
      </c>
      <c r="C629">
        <f>IF($A629="","",IFERROR(INDEX('[AQ_2021.xlsx]原始数据'!$B:$B,MATCH($A629,'[AQ_2021.xlsx]原始数据'!$A:$A,0)),""))</f>
        <v/>
      </c>
      <c r="D629">
        <f>IF($A629="","",IFERROR(INDEX('[AQ_2022.xlsx]原始数据'!$B:$B,MATCH($A629,'[AQ_2022.xlsx]原始数据'!$A:$A,0)),""))</f>
        <v/>
      </c>
      <c r="E629">
        <f>IF($A629="","",IFERROR(INDEX('[AQ_2023.xlsx]原始数据'!$B:$B,MATCH($A629,'[AQ_2023.xlsx]原始数据'!$A:$A,0)),""))</f>
        <v/>
      </c>
      <c r="F629">
        <f>IF($A629="","",IFERROR(INDEX('[AQ_2024.xlsx]原始数据'!$B:$B,MATCH($A629,'[AQ_2024.xlsx]原始数据'!$A:$A,0)),""))</f>
        <v/>
      </c>
      <c r="G629">
        <f>IF($A629="","",IFERROR(INDEX('[AQ_2020.xlsx]原始数据'!$C:$C,MATCH($A629,'[AQ_2020.xlsx]原始数据'!$A:$A,0)),""))</f>
        <v/>
      </c>
      <c r="H629">
        <f>IF($A629="","",IFERROR(INDEX('[AQ_2021.xlsx]原始数据'!$C:$C,MATCH($A629,'[AQ_2021.xlsx]原始数据'!$A:$A,0)),""))</f>
        <v/>
      </c>
      <c r="I629">
        <f>IF($A629="","",IFERROR(INDEX('[AQ_2022.xlsx]原始数据'!$C:$C,MATCH($A629,'[AQ_2022.xlsx]原始数据'!$A:$A,0)),""))</f>
        <v/>
      </c>
      <c r="J629">
        <f>IF($A629="","",IFERROR(INDEX('[AQ_2023.xlsx]原始数据'!$C:$C,MATCH($A629,'[AQ_2023.xlsx]原始数据'!$A:$A,0)),""))</f>
        <v/>
      </c>
      <c r="K629">
        <f>IF($A629="","",IFERROR(INDEX('[AQ_2024.xlsx]原始数据'!$C:$C,MATCH($A629,'[AQ_2024.xlsx]原始数据'!$A:$A,0)),""))</f>
        <v/>
      </c>
      <c r="L629">
        <f>IF($A629="","",IFERROR(INDEX('[AQ_2020.xlsx]原始数据'!$D:$D,MATCH($A629,'[AQ_2020.xlsx]原始数据'!$A:$A,0)),""))</f>
        <v/>
      </c>
      <c r="M629">
        <f>IF($A629="","",IFERROR(INDEX('[AQ_2021.xlsx]原始数据'!$D:$D,MATCH($A629,'[AQ_2021.xlsx]原始数据'!$A:$A,0)),""))</f>
        <v/>
      </c>
      <c r="N629">
        <f>IF($A629="","",IFERROR(INDEX('[AQ_2022.xlsx]原始数据'!$D:$D,MATCH($A629,'[AQ_2022.xlsx]原始数据'!$A:$A,0)),""))</f>
        <v/>
      </c>
      <c r="O629">
        <f>IF($A629="","",IFERROR(INDEX('[AQ_2023.xlsx]原始数据'!$D:$D,MATCH($A629,'[AQ_2023.xlsx]原始数据'!$A:$A,0)),""))</f>
        <v/>
      </c>
      <c r="P629">
        <f>IF($A629="","",IFERROR(INDEX('[AQ_2024.xlsx]原始数据'!$D:$D,MATCH($A629,'[AQ_2024.xlsx]原始数据'!$A:$A,0)),""))</f>
        <v/>
      </c>
      <c r="Q629">
        <f>IF($A629="","",IFERROR(INDEX('[AQ_2020.xlsx]原始数据'!$E:$E,MATCH($A629,'[AQ_2020.xlsx]原始数据'!$A:$A,0)),""))</f>
        <v/>
      </c>
      <c r="R629">
        <f>IF($A629="","",IFERROR(INDEX('[AQ_2021.xlsx]原始数据'!$E:$E,MATCH($A629,'[AQ_2021.xlsx]原始数据'!$A:$A,0)),""))</f>
        <v/>
      </c>
      <c r="S629">
        <f>IF($A629="","",IFERROR(INDEX('[AQ_2022.xlsx]原始数据'!$E:$E,MATCH($A629,'[AQ_2022.xlsx]原始数据'!$A:$A,0)),""))</f>
        <v/>
      </c>
      <c r="T629">
        <f>IF($A629="","",IFERROR(INDEX('[AQ_2023.xlsx]原始数据'!$E:$E,MATCH($A629,'[AQ_2023.xlsx]原始数据'!$A:$A,0)),""))</f>
        <v/>
      </c>
      <c r="U629">
        <f>IF($A629="","",IFERROR(INDEX('[AQ_2024.xlsx]原始数据'!$E:$E,MATCH($A629,'[AQ_2024.xlsx]原始数据'!$A:$A,0)),""))</f>
        <v/>
      </c>
      <c r="V629">
        <f>IF($A629="","",IFERROR(INDEX('[AQ_2020.xlsx]原始数据'!$F:$F,MATCH($A629,'[AQ_2020.xlsx]原始数据'!$A:$A,0)),""))</f>
        <v/>
      </c>
      <c r="W629">
        <f>IF($A629="","",IFERROR(INDEX('[AQ_2021.xlsx]原始数据'!$F:$F,MATCH($A629,'[AQ_2021.xlsx]原始数据'!$A:$A,0)),""))</f>
        <v/>
      </c>
      <c r="X629">
        <f>IF($A629="","",IFERROR(INDEX('[AQ_2022.xlsx]原始数据'!$F:$F,MATCH($A629,'[AQ_2022.xlsx]原始数据'!$A:$A,0)),""))</f>
        <v/>
      </c>
      <c r="Y629">
        <f>IF($A629="","",IFERROR(INDEX('[AQ_2023.xlsx]原始数据'!$F:$F,MATCH($A629,'[AQ_2023.xlsx]原始数据'!$A:$A,0)),""))</f>
        <v/>
      </c>
      <c r="Z629">
        <f>IF($A629="","",IFERROR(INDEX('[AQ_2024.xlsx]原始数据'!$F:$F,MATCH($A629,'[AQ_2024.xlsx]原始数据'!$A:$A,0)),""))</f>
        <v/>
      </c>
      <c r="AA629" s="2">
        <f>IFERROR(G629/B629,"")</f>
        <v/>
      </c>
      <c r="AB629" s="2">
        <f>IFERROR(H629/C629,"")</f>
        <v/>
      </c>
      <c r="AC629" s="2">
        <f>IFERROR(I629/D629,"")</f>
        <v/>
      </c>
      <c r="AD629" s="2">
        <f>IFERROR(J629/E629,"")</f>
        <v/>
      </c>
      <c r="AE629" s="2">
        <f>IFERROR(K629/F629,"")</f>
        <v/>
      </c>
      <c r="AF629" s="2">
        <f>IFERROR(L629/B629,"")</f>
        <v/>
      </c>
      <c r="AG629" s="2">
        <f>IFERROR(M629/C629,"")</f>
        <v/>
      </c>
      <c r="AH629" s="2">
        <f>IFERROR(N629/D629,"")</f>
        <v/>
      </c>
      <c r="AI629" s="2">
        <f>IFERROR(O629/E629,"")</f>
        <v/>
      </c>
      <c r="AJ629" s="2">
        <f>IFERROR(P629/F629,"")</f>
        <v/>
      </c>
      <c r="AK629" s="2">
        <f>IFERROR(Q629/B629,"")</f>
        <v/>
      </c>
      <c r="AL629" s="2">
        <f>IFERROR(R629/C629,"")</f>
        <v/>
      </c>
      <c r="AM629" s="2">
        <f>IFERROR(S629/D629,"")</f>
        <v/>
      </c>
      <c r="AN629" s="2">
        <f>IFERROR(T629/E629,"")</f>
        <v/>
      </c>
      <c r="AO629" s="2">
        <f>IFERROR(U629/F629,"")</f>
        <v/>
      </c>
    </row>
    <row r="630">
      <c r="B630">
        <f>IF($A630="","",IFERROR(INDEX('[AQ_2020.xlsx]原始数据'!$B:$B,MATCH($A630,'[AQ_2020.xlsx]原始数据'!$A:$A,0)),""))</f>
        <v/>
      </c>
      <c r="C630">
        <f>IF($A630="","",IFERROR(INDEX('[AQ_2021.xlsx]原始数据'!$B:$B,MATCH($A630,'[AQ_2021.xlsx]原始数据'!$A:$A,0)),""))</f>
        <v/>
      </c>
      <c r="D630">
        <f>IF($A630="","",IFERROR(INDEX('[AQ_2022.xlsx]原始数据'!$B:$B,MATCH($A630,'[AQ_2022.xlsx]原始数据'!$A:$A,0)),""))</f>
        <v/>
      </c>
      <c r="E630">
        <f>IF($A630="","",IFERROR(INDEX('[AQ_2023.xlsx]原始数据'!$B:$B,MATCH($A630,'[AQ_2023.xlsx]原始数据'!$A:$A,0)),""))</f>
        <v/>
      </c>
      <c r="F630">
        <f>IF($A630="","",IFERROR(INDEX('[AQ_2024.xlsx]原始数据'!$B:$B,MATCH($A630,'[AQ_2024.xlsx]原始数据'!$A:$A,0)),""))</f>
        <v/>
      </c>
      <c r="G630">
        <f>IF($A630="","",IFERROR(INDEX('[AQ_2020.xlsx]原始数据'!$C:$C,MATCH($A630,'[AQ_2020.xlsx]原始数据'!$A:$A,0)),""))</f>
        <v/>
      </c>
      <c r="H630">
        <f>IF($A630="","",IFERROR(INDEX('[AQ_2021.xlsx]原始数据'!$C:$C,MATCH($A630,'[AQ_2021.xlsx]原始数据'!$A:$A,0)),""))</f>
        <v/>
      </c>
      <c r="I630">
        <f>IF($A630="","",IFERROR(INDEX('[AQ_2022.xlsx]原始数据'!$C:$C,MATCH($A630,'[AQ_2022.xlsx]原始数据'!$A:$A,0)),""))</f>
        <v/>
      </c>
      <c r="J630">
        <f>IF($A630="","",IFERROR(INDEX('[AQ_2023.xlsx]原始数据'!$C:$C,MATCH($A630,'[AQ_2023.xlsx]原始数据'!$A:$A,0)),""))</f>
        <v/>
      </c>
      <c r="K630">
        <f>IF($A630="","",IFERROR(INDEX('[AQ_2024.xlsx]原始数据'!$C:$C,MATCH($A630,'[AQ_2024.xlsx]原始数据'!$A:$A,0)),""))</f>
        <v/>
      </c>
      <c r="L630">
        <f>IF($A630="","",IFERROR(INDEX('[AQ_2020.xlsx]原始数据'!$D:$D,MATCH($A630,'[AQ_2020.xlsx]原始数据'!$A:$A,0)),""))</f>
        <v/>
      </c>
      <c r="M630">
        <f>IF($A630="","",IFERROR(INDEX('[AQ_2021.xlsx]原始数据'!$D:$D,MATCH($A630,'[AQ_2021.xlsx]原始数据'!$A:$A,0)),""))</f>
        <v/>
      </c>
      <c r="N630">
        <f>IF($A630="","",IFERROR(INDEX('[AQ_2022.xlsx]原始数据'!$D:$D,MATCH($A630,'[AQ_2022.xlsx]原始数据'!$A:$A,0)),""))</f>
        <v/>
      </c>
      <c r="O630">
        <f>IF($A630="","",IFERROR(INDEX('[AQ_2023.xlsx]原始数据'!$D:$D,MATCH($A630,'[AQ_2023.xlsx]原始数据'!$A:$A,0)),""))</f>
        <v/>
      </c>
      <c r="P630">
        <f>IF($A630="","",IFERROR(INDEX('[AQ_2024.xlsx]原始数据'!$D:$D,MATCH($A630,'[AQ_2024.xlsx]原始数据'!$A:$A,0)),""))</f>
        <v/>
      </c>
      <c r="Q630">
        <f>IF($A630="","",IFERROR(INDEX('[AQ_2020.xlsx]原始数据'!$E:$E,MATCH($A630,'[AQ_2020.xlsx]原始数据'!$A:$A,0)),""))</f>
        <v/>
      </c>
      <c r="R630">
        <f>IF($A630="","",IFERROR(INDEX('[AQ_2021.xlsx]原始数据'!$E:$E,MATCH($A630,'[AQ_2021.xlsx]原始数据'!$A:$A,0)),""))</f>
        <v/>
      </c>
      <c r="S630">
        <f>IF($A630="","",IFERROR(INDEX('[AQ_2022.xlsx]原始数据'!$E:$E,MATCH($A630,'[AQ_2022.xlsx]原始数据'!$A:$A,0)),""))</f>
        <v/>
      </c>
      <c r="T630">
        <f>IF($A630="","",IFERROR(INDEX('[AQ_2023.xlsx]原始数据'!$E:$E,MATCH($A630,'[AQ_2023.xlsx]原始数据'!$A:$A,0)),""))</f>
        <v/>
      </c>
      <c r="U630">
        <f>IF($A630="","",IFERROR(INDEX('[AQ_2024.xlsx]原始数据'!$E:$E,MATCH($A630,'[AQ_2024.xlsx]原始数据'!$A:$A,0)),""))</f>
        <v/>
      </c>
      <c r="V630">
        <f>IF($A630="","",IFERROR(INDEX('[AQ_2020.xlsx]原始数据'!$F:$F,MATCH($A630,'[AQ_2020.xlsx]原始数据'!$A:$A,0)),""))</f>
        <v/>
      </c>
      <c r="W630">
        <f>IF($A630="","",IFERROR(INDEX('[AQ_2021.xlsx]原始数据'!$F:$F,MATCH($A630,'[AQ_2021.xlsx]原始数据'!$A:$A,0)),""))</f>
        <v/>
      </c>
      <c r="X630">
        <f>IF($A630="","",IFERROR(INDEX('[AQ_2022.xlsx]原始数据'!$F:$F,MATCH($A630,'[AQ_2022.xlsx]原始数据'!$A:$A,0)),""))</f>
        <v/>
      </c>
      <c r="Y630">
        <f>IF($A630="","",IFERROR(INDEX('[AQ_2023.xlsx]原始数据'!$F:$F,MATCH($A630,'[AQ_2023.xlsx]原始数据'!$A:$A,0)),""))</f>
        <v/>
      </c>
      <c r="Z630">
        <f>IF($A630="","",IFERROR(INDEX('[AQ_2024.xlsx]原始数据'!$F:$F,MATCH($A630,'[AQ_2024.xlsx]原始数据'!$A:$A,0)),""))</f>
        <v/>
      </c>
      <c r="AA630" s="2">
        <f>IFERROR(G630/B630,"")</f>
        <v/>
      </c>
      <c r="AB630" s="2">
        <f>IFERROR(H630/C630,"")</f>
        <v/>
      </c>
      <c r="AC630" s="2">
        <f>IFERROR(I630/D630,"")</f>
        <v/>
      </c>
      <c r="AD630" s="2">
        <f>IFERROR(J630/E630,"")</f>
        <v/>
      </c>
      <c r="AE630" s="2">
        <f>IFERROR(K630/F630,"")</f>
        <v/>
      </c>
      <c r="AF630" s="2">
        <f>IFERROR(L630/B630,"")</f>
        <v/>
      </c>
      <c r="AG630" s="2">
        <f>IFERROR(M630/C630,"")</f>
        <v/>
      </c>
      <c r="AH630" s="2">
        <f>IFERROR(N630/D630,"")</f>
        <v/>
      </c>
      <c r="AI630" s="2">
        <f>IFERROR(O630/E630,"")</f>
        <v/>
      </c>
      <c r="AJ630" s="2">
        <f>IFERROR(P630/F630,"")</f>
        <v/>
      </c>
      <c r="AK630" s="2">
        <f>IFERROR(Q630/B630,"")</f>
        <v/>
      </c>
      <c r="AL630" s="2">
        <f>IFERROR(R630/C630,"")</f>
        <v/>
      </c>
      <c r="AM630" s="2">
        <f>IFERROR(S630/D630,"")</f>
        <v/>
      </c>
      <c r="AN630" s="2">
        <f>IFERROR(T630/E630,"")</f>
        <v/>
      </c>
      <c r="AO630" s="2">
        <f>IFERROR(U630/F630,"")</f>
        <v/>
      </c>
    </row>
    <row r="631">
      <c r="B631">
        <f>IF($A631="","",IFERROR(INDEX('[AQ_2020.xlsx]原始数据'!$B:$B,MATCH($A631,'[AQ_2020.xlsx]原始数据'!$A:$A,0)),""))</f>
        <v/>
      </c>
      <c r="C631">
        <f>IF($A631="","",IFERROR(INDEX('[AQ_2021.xlsx]原始数据'!$B:$B,MATCH($A631,'[AQ_2021.xlsx]原始数据'!$A:$A,0)),""))</f>
        <v/>
      </c>
      <c r="D631">
        <f>IF($A631="","",IFERROR(INDEX('[AQ_2022.xlsx]原始数据'!$B:$B,MATCH($A631,'[AQ_2022.xlsx]原始数据'!$A:$A,0)),""))</f>
        <v/>
      </c>
      <c r="E631">
        <f>IF($A631="","",IFERROR(INDEX('[AQ_2023.xlsx]原始数据'!$B:$B,MATCH($A631,'[AQ_2023.xlsx]原始数据'!$A:$A,0)),""))</f>
        <v/>
      </c>
      <c r="F631">
        <f>IF($A631="","",IFERROR(INDEX('[AQ_2024.xlsx]原始数据'!$B:$B,MATCH($A631,'[AQ_2024.xlsx]原始数据'!$A:$A,0)),""))</f>
        <v/>
      </c>
      <c r="G631">
        <f>IF($A631="","",IFERROR(INDEX('[AQ_2020.xlsx]原始数据'!$C:$C,MATCH($A631,'[AQ_2020.xlsx]原始数据'!$A:$A,0)),""))</f>
        <v/>
      </c>
      <c r="H631">
        <f>IF($A631="","",IFERROR(INDEX('[AQ_2021.xlsx]原始数据'!$C:$C,MATCH($A631,'[AQ_2021.xlsx]原始数据'!$A:$A,0)),""))</f>
        <v/>
      </c>
      <c r="I631">
        <f>IF($A631="","",IFERROR(INDEX('[AQ_2022.xlsx]原始数据'!$C:$C,MATCH($A631,'[AQ_2022.xlsx]原始数据'!$A:$A,0)),""))</f>
        <v/>
      </c>
      <c r="J631">
        <f>IF($A631="","",IFERROR(INDEX('[AQ_2023.xlsx]原始数据'!$C:$C,MATCH($A631,'[AQ_2023.xlsx]原始数据'!$A:$A,0)),""))</f>
        <v/>
      </c>
      <c r="K631">
        <f>IF($A631="","",IFERROR(INDEX('[AQ_2024.xlsx]原始数据'!$C:$C,MATCH($A631,'[AQ_2024.xlsx]原始数据'!$A:$A,0)),""))</f>
        <v/>
      </c>
      <c r="L631">
        <f>IF($A631="","",IFERROR(INDEX('[AQ_2020.xlsx]原始数据'!$D:$D,MATCH($A631,'[AQ_2020.xlsx]原始数据'!$A:$A,0)),""))</f>
        <v/>
      </c>
      <c r="M631">
        <f>IF($A631="","",IFERROR(INDEX('[AQ_2021.xlsx]原始数据'!$D:$D,MATCH($A631,'[AQ_2021.xlsx]原始数据'!$A:$A,0)),""))</f>
        <v/>
      </c>
      <c r="N631">
        <f>IF($A631="","",IFERROR(INDEX('[AQ_2022.xlsx]原始数据'!$D:$D,MATCH($A631,'[AQ_2022.xlsx]原始数据'!$A:$A,0)),""))</f>
        <v/>
      </c>
      <c r="O631">
        <f>IF($A631="","",IFERROR(INDEX('[AQ_2023.xlsx]原始数据'!$D:$D,MATCH($A631,'[AQ_2023.xlsx]原始数据'!$A:$A,0)),""))</f>
        <v/>
      </c>
      <c r="P631">
        <f>IF($A631="","",IFERROR(INDEX('[AQ_2024.xlsx]原始数据'!$D:$D,MATCH($A631,'[AQ_2024.xlsx]原始数据'!$A:$A,0)),""))</f>
        <v/>
      </c>
      <c r="Q631">
        <f>IF($A631="","",IFERROR(INDEX('[AQ_2020.xlsx]原始数据'!$E:$E,MATCH($A631,'[AQ_2020.xlsx]原始数据'!$A:$A,0)),""))</f>
        <v/>
      </c>
      <c r="R631">
        <f>IF($A631="","",IFERROR(INDEX('[AQ_2021.xlsx]原始数据'!$E:$E,MATCH($A631,'[AQ_2021.xlsx]原始数据'!$A:$A,0)),""))</f>
        <v/>
      </c>
      <c r="S631">
        <f>IF($A631="","",IFERROR(INDEX('[AQ_2022.xlsx]原始数据'!$E:$E,MATCH($A631,'[AQ_2022.xlsx]原始数据'!$A:$A,0)),""))</f>
        <v/>
      </c>
      <c r="T631">
        <f>IF($A631="","",IFERROR(INDEX('[AQ_2023.xlsx]原始数据'!$E:$E,MATCH($A631,'[AQ_2023.xlsx]原始数据'!$A:$A,0)),""))</f>
        <v/>
      </c>
      <c r="U631">
        <f>IF($A631="","",IFERROR(INDEX('[AQ_2024.xlsx]原始数据'!$E:$E,MATCH($A631,'[AQ_2024.xlsx]原始数据'!$A:$A,0)),""))</f>
        <v/>
      </c>
      <c r="V631">
        <f>IF($A631="","",IFERROR(INDEX('[AQ_2020.xlsx]原始数据'!$F:$F,MATCH($A631,'[AQ_2020.xlsx]原始数据'!$A:$A,0)),""))</f>
        <v/>
      </c>
      <c r="W631">
        <f>IF($A631="","",IFERROR(INDEX('[AQ_2021.xlsx]原始数据'!$F:$F,MATCH($A631,'[AQ_2021.xlsx]原始数据'!$A:$A,0)),""))</f>
        <v/>
      </c>
      <c r="X631">
        <f>IF($A631="","",IFERROR(INDEX('[AQ_2022.xlsx]原始数据'!$F:$F,MATCH($A631,'[AQ_2022.xlsx]原始数据'!$A:$A,0)),""))</f>
        <v/>
      </c>
      <c r="Y631">
        <f>IF($A631="","",IFERROR(INDEX('[AQ_2023.xlsx]原始数据'!$F:$F,MATCH($A631,'[AQ_2023.xlsx]原始数据'!$A:$A,0)),""))</f>
        <v/>
      </c>
      <c r="Z631">
        <f>IF($A631="","",IFERROR(INDEX('[AQ_2024.xlsx]原始数据'!$F:$F,MATCH($A631,'[AQ_2024.xlsx]原始数据'!$A:$A,0)),""))</f>
        <v/>
      </c>
      <c r="AA631" s="2">
        <f>IFERROR(G631/B631,"")</f>
        <v/>
      </c>
      <c r="AB631" s="2">
        <f>IFERROR(H631/C631,"")</f>
        <v/>
      </c>
      <c r="AC631" s="2">
        <f>IFERROR(I631/D631,"")</f>
        <v/>
      </c>
      <c r="AD631" s="2">
        <f>IFERROR(J631/E631,"")</f>
        <v/>
      </c>
      <c r="AE631" s="2">
        <f>IFERROR(K631/F631,"")</f>
        <v/>
      </c>
      <c r="AF631" s="2">
        <f>IFERROR(L631/B631,"")</f>
        <v/>
      </c>
      <c r="AG631" s="2">
        <f>IFERROR(M631/C631,"")</f>
        <v/>
      </c>
      <c r="AH631" s="2">
        <f>IFERROR(N631/D631,"")</f>
        <v/>
      </c>
      <c r="AI631" s="2">
        <f>IFERROR(O631/E631,"")</f>
        <v/>
      </c>
      <c r="AJ631" s="2">
        <f>IFERROR(P631/F631,"")</f>
        <v/>
      </c>
      <c r="AK631" s="2">
        <f>IFERROR(Q631/B631,"")</f>
        <v/>
      </c>
      <c r="AL631" s="2">
        <f>IFERROR(R631/C631,"")</f>
        <v/>
      </c>
      <c r="AM631" s="2">
        <f>IFERROR(S631/D631,"")</f>
        <v/>
      </c>
      <c r="AN631" s="2">
        <f>IFERROR(T631/E631,"")</f>
        <v/>
      </c>
      <c r="AO631" s="2">
        <f>IFERROR(U631/F631,"")</f>
        <v/>
      </c>
    </row>
    <row r="632">
      <c r="B632">
        <f>IF($A632="","",IFERROR(INDEX('[AQ_2020.xlsx]原始数据'!$B:$B,MATCH($A632,'[AQ_2020.xlsx]原始数据'!$A:$A,0)),""))</f>
        <v/>
      </c>
      <c r="C632">
        <f>IF($A632="","",IFERROR(INDEX('[AQ_2021.xlsx]原始数据'!$B:$B,MATCH($A632,'[AQ_2021.xlsx]原始数据'!$A:$A,0)),""))</f>
        <v/>
      </c>
      <c r="D632">
        <f>IF($A632="","",IFERROR(INDEX('[AQ_2022.xlsx]原始数据'!$B:$B,MATCH($A632,'[AQ_2022.xlsx]原始数据'!$A:$A,0)),""))</f>
        <v/>
      </c>
      <c r="E632">
        <f>IF($A632="","",IFERROR(INDEX('[AQ_2023.xlsx]原始数据'!$B:$B,MATCH($A632,'[AQ_2023.xlsx]原始数据'!$A:$A,0)),""))</f>
        <v/>
      </c>
      <c r="F632">
        <f>IF($A632="","",IFERROR(INDEX('[AQ_2024.xlsx]原始数据'!$B:$B,MATCH($A632,'[AQ_2024.xlsx]原始数据'!$A:$A,0)),""))</f>
        <v/>
      </c>
      <c r="G632">
        <f>IF($A632="","",IFERROR(INDEX('[AQ_2020.xlsx]原始数据'!$C:$C,MATCH($A632,'[AQ_2020.xlsx]原始数据'!$A:$A,0)),""))</f>
        <v/>
      </c>
      <c r="H632">
        <f>IF($A632="","",IFERROR(INDEX('[AQ_2021.xlsx]原始数据'!$C:$C,MATCH($A632,'[AQ_2021.xlsx]原始数据'!$A:$A,0)),""))</f>
        <v/>
      </c>
      <c r="I632">
        <f>IF($A632="","",IFERROR(INDEX('[AQ_2022.xlsx]原始数据'!$C:$C,MATCH($A632,'[AQ_2022.xlsx]原始数据'!$A:$A,0)),""))</f>
        <v/>
      </c>
      <c r="J632">
        <f>IF($A632="","",IFERROR(INDEX('[AQ_2023.xlsx]原始数据'!$C:$C,MATCH($A632,'[AQ_2023.xlsx]原始数据'!$A:$A,0)),""))</f>
        <v/>
      </c>
      <c r="K632">
        <f>IF($A632="","",IFERROR(INDEX('[AQ_2024.xlsx]原始数据'!$C:$C,MATCH($A632,'[AQ_2024.xlsx]原始数据'!$A:$A,0)),""))</f>
        <v/>
      </c>
      <c r="L632">
        <f>IF($A632="","",IFERROR(INDEX('[AQ_2020.xlsx]原始数据'!$D:$D,MATCH($A632,'[AQ_2020.xlsx]原始数据'!$A:$A,0)),""))</f>
        <v/>
      </c>
      <c r="M632">
        <f>IF($A632="","",IFERROR(INDEX('[AQ_2021.xlsx]原始数据'!$D:$D,MATCH($A632,'[AQ_2021.xlsx]原始数据'!$A:$A,0)),""))</f>
        <v/>
      </c>
      <c r="N632">
        <f>IF($A632="","",IFERROR(INDEX('[AQ_2022.xlsx]原始数据'!$D:$D,MATCH($A632,'[AQ_2022.xlsx]原始数据'!$A:$A,0)),""))</f>
        <v/>
      </c>
      <c r="O632">
        <f>IF($A632="","",IFERROR(INDEX('[AQ_2023.xlsx]原始数据'!$D:$D,MATCH($A632,'[AQ_2023.xlsx]原始数据'!$A:$A,0)),""))</f>
        <v/>
      </c>
      <c r="P632">
        <f>IF($A632="","",IFERROR(INDEX('[AQ_2024.xlsx]原始数据'!$D:$D,MATCH($A632,'[AQ_2024.xlsx]原始数据'!$A:$A,0)),""))</f>
        <v/>
      </c>
      <c r="Q632">
        <f>IF($A632="","",IFERROR(INDEX('[AQ_2020.xlsx]原始数据'!$E:$E,MATCH($A632,'[AQ_2020.xlsx]原始数据'!$A:$A,0)),""))</f>
        <v/>
      </c>
      <c r="R632">
        <f>IF($A632="","",IFERROR(INDEX('[AQ_2021.xlsx]原始数据'!$E:$E,MATCH($A632,'[AQ_2021.xlsx]原始数据'!$A:$A,0)),""))</f>
        <v/>
      </c>
      <c r="S632">
        <f>IF($A632="","",IFERROR(INDEX('[AQ_2022.xlsx]原始数据'!$E:$E,MATCH($A632,'[AQ_2022.xlsx]原始数据'!$A:$A,0)),""))</f>
        <v/>
      </c>
      <c r="T632">
        <f>IF($A632="","",IFERROR(INDEX('[AQ_2023.xlsx]原始数据'!$E:$E,MATCH($A632,'[AQ_2023.xlsx]原始数据'!$A:$A,0)),""))</f>
        <v/>
      </c>
      <c r="U632">
        <f>IF($A632="","",IFERROR(INDEX('[AQ_2024.xlsx]原始数据'!$E:$E,MATCH($A632,'[AQ_2024.xlsx]原始数据'!$A:$A,0)),""))</f>
        <v/>
      </c>
      <c r="V632">
        <f>IF($A632="","",IFERROR(INDEX('[AQ_2020.xlsx]原始数据'!$F:$F,MATCH($A632,'[AQ_2020.xlsx]原始数据'!$A:$A,0)),""))</f>
        <v/>
      </c>
      <c r="W632">
        <f>IF($A632="","",IFERROR(INDEX('[AQ_2021.xlsx]原始数据'!$F:$F,MATCH($A632,'[AQ_2021.xlsx]原始数据'!$A:$A,0)),""))</f>
        <v/>
      </c>
      <c r="X632">
        <f>IF($A632="","",IFERROR(INDEX('[AQ_2022.xlsx]原始数据'!$F:$F,MATCH($A632,'[AQ_2022.xlsx]原始数据'!$A:$A,0)),""))</f>
        <v/>
      </c>
      <c r="Y632">
        <f>IF($A632="","",IFERROR(INDEX('[AQ_2023.xlsx]原始数据'!$F:$F,MATCH($A632,'[AQ_2023.xlsx]原始数据'!$A:$A,0)),""))</f>
        <v/>
      </c>
      <c r="Z632">
        <f>IF($A632="","",IFERROR(INDEX('[AQ_2024.xlsx]原始数据'!$F:$F,MATCH($A632,'[AQ_2024.xlsx]原始数据'!$A:$A,0)),""))</f>
        <v/>
      </c>
      <c r="AA632" s="2">
        <f>IFERROR(G632/B632,"")</f>
        <v/>
      </c>
      <c r="AB632" s="2">
        <f>IFERROR(H632/C632,"")</f>
        <v/>
      </c>
      <c r="AC632" s="2">
        <f>IFERROR(I632/D632,"")</f>
        <v/>
      </c>
      <c r="AD632" s="2">
        <f>IFERROR(J632/E632,"")</f>
        <v/>
      </c>
      <c r="AE632" s="2">
        <f>IFERROR(K632/F632,"")</f>
        <v/>
      </c>
      <c r="AF632" s="2">
        <f>IFERROR(L632/B632,"")</f>
        <v/>
      </c>
      <c r="AG632" s="2">
        <f>IFERROR(M632/C632,"")</f>
        <v/>
      </c>
      <c r="AH632" s="2">
        <f>IFERROR(N632/D632,"")</f>
        <v/>
      </c>
      <c r="AI632" s="2">
        <f>IFERROR(O632/E632,"")</f>
        <v/>
      </c>
      <c r="AJ632" s="2">
        <f>IFERROR(P632/F632,"")</f>
        <v/>
      </c>
      <c r="AK632" s="2">
        <f>IFERROR(Q632/B632,"")</f>
        <v/>
      </c>
      <c r="AL632" s="2">
        <f>IFERROR(R632/C632,"")</f>
        <v/>
      </c>
      <c r="AM632" s="2">
        <f>IFERROR(S632/D632,"")</f>
        <v/>
      </c>
      <c r="AN632" s="2">
        <f>IFERROR(T632/E632,"")</f>
        <v/>
      </c>
      <c r="AO632" s="2">
        <f>IFERROR(U632/F632,"")</f>
        <v/>
      </c>
    </row>
    <row r="633">
      <c r="B633">
        <f>IF($A633="","",IFERROR(INDEX('[AQ_2020.xlsx]原始数据'!$B:$B,MATCH($A633,'[AQ_2020.xlsx]原始数据'!$A:$A,0)),""))</f>
        <v/>
      </c>
      <c r="C633">
        <f>IF($A633="","",IFERROR(INDEX('[AQ_2021.xlsx]原始数据'!$B:$B,MATCH($A633,'[AQ_2021.xlsx]原始数据'!$A:$A,0)),""))</f>
        <v/>
      </c>
      <c r="D633">
        <f>IF($A633="","",IFERROR(INDEX('[AQ_2022.xlsx]原始数据'!$B:$B,MATCH($A633,'[AQ_2022.xlsx]原始数据'!$A:$A,0)),""))</f>
        <v/>
      </c>
      <c r="E633">
        <f>IF($A633="","",IFERROR(INDEX('[AQ_2023.xlsx]原始数据'!$B:$B,MATCH($A633,'[AQ_2023.xlsx]原始数据'!$A:$A,0)),""))</f>
        <v/>
      </c>
      <c r="F633">
        <f>IF($A633="","",IFERROR(INDEX('[AQ_2024.xlsx]原始数据'!$B:$B,MATCH($A633,'[AQ_2024.xlsx]原始数据'!$A:$A,0)),""))</f>
        <v/>
      </c>
      <c r="G633">
        <f>IF($A633="","",IFERROR(INDEX('[AQ_2020.xlsx]原始数据'!$C:$C,MATCH($A633,'[AQ_2020.xlsx]原始数据'!$A:$A,0)),""))</f>
        <v/>
      </c>
      <c r="H633">
        <f>IF($A633="","",IFERROR(INDEX('[AQ_2021.xlsx]原始数据'!$C:$C,MATCH($A633,'[AQ_2021.xlsx]原始数据'!$A:$A,0)),""))</f>
        <v/>
      </c>
      <c r="I633">
        <f>IF($A633="","",IFERROR(INDEX('[AQ_2022.xlsx]原始数据'!$C:$C,MATCH($A633,'[AQ_2022.xlsx]原始数据'!$A:$A,0)),""))</f>
        <v/>
      </c>
      <c r="J633">
        <f>IF($A633="","",IFERROR(INDEX('[AQ_2023.xlsx]原始数据'!$C:$C,MATCH($A633,'[AQ_2023.xlsx]原始数据'!$A:$A,0)),""))</f>
        <v/>
      </c>
      <c r="K633">
        <f>IF($A633="","",IFERROR(INDEX('[AQ_2024.xlsx]原始数据'!$C:$C,MATCH($A633,'[AQ_2024.xlsx]原始数据'!$A:$A,0)),""))</f>
        <v/>
      </c>
      <c r="L633">
        <f>IF($A633="","",IFERROR(INDEX('[AQ_2020.xlsx]原始数据'!$D:$D,MATCH($A633,'[AQ_2020.xlsx]原始数据'!$A:$A,0)),""))</f>
        <v/>
      </c>
      <c r="M633">
        <f>IF($A633="","",IFERROR(INDEX('[AQ_2021.xlsx]原始数据'!$D:$D,MATCH($A633,'[AQ_2021.xlsx]原始数据'!$A:$A,0)),""))</f>
        <v/>
      </c>
      <c r="N633">
        <f>IF($A633="","",IFERROR(INDEX('[AQ_2022.xlsx]原始数据'!$D:$D,MATCH($A633,'[AQ_2022.xlsx]原始数据'!$A:$A,0)),""))</f>
        <v/>
      </c>
      <c r="O633">
        <f>IF($A633="","",IFERROR(INDEX('[AQ_2023.xlsx]原始数据'!$D:$D,MATCH($A633,'[AQ_2023.xlsx]原始数据'!$A:$A,0)),""))</f>
        <v/>
      </c>
      <c r="P633">
        <f>IF($A633="","",IFERROR(INDEX('[AQ_2024.xlsx]原始数据'!$D:$D,MATCH($A633,'[AQ_2024.xlsx]原始数据'!$A:$A,0)),""))</f>
        <v/>
      </c>
      <c r="Q633">
        <f>IF($A633="","",IFERROR(INDEX('[AQ_2020.xlsx]原始数据'!$E:$E,MATCH($A633,'[AQ_2020.xlsx]原始数据'!$A:$A,0)),""))</f>
        <v/>
      </c>
      <c r="R633">
        <f>IF($A633="","",IFERROR(INDEX('[AQ_2021.xlsx]原始数据'!$E:$E,MATCH($A633,'[AQ_2021.xlsx]原始数据'!$A:$A,0)),""))</f>
        <v/>
      </c>
      <c r="S633">
        <f>IF($A633="","",IFERROR(INDEX('[AQ_2022.xlsx]原始数据'!$E:$E,MATCH($A633,'[AQ_2022.xlsx]原始数据'!$A:$A,0)),""))</f>
        <v/>
      </c>
      <c r="T633">
        <f>IF($A633="","",IFERROR(INDEX('[AQ_2023.xlsx]原始数据'!$E:$E,MATCH($A633,'[AQ_2023.xlsx]原始数据'!$A:$A,0)),""))</f>
        <v/>
      </c>
      <c r="U633">
        <f>IF($A633="","",IFERROR(INDEX('[AQ_2024.xlsx]原始数据'!$E:$E,MATCH($A633,'[AQ_2024.xlsx]原始数据'!$A:$A,0)),""))</f>
        <v/>
      </c>
      <c r="V633">
        <f>IF($A633="","",IFERROR(INDEX('[AQ_2020.xlsx]原始数据'!$F:$F,MATCH($A633,'[AQ_2020.xlsx]原始数据'!$A:$A,0)),""))</f>
        <v/>
      </c>
      <c r="W633">
        <f>IF($A633="","",IFERROR(INDEX('[AQ_2021.xlsx]原始数据'!$F:$F,MATCH($A633,'[AQ_2021.xlsx]原始数据'!$A:$A,0)),""))</f>
        <v/>
      </c>
      <c r="X633">
        <f>IF($A633="","",IFERROR(INDEX('[AQ_2022.xlsx]原始数据'!$F:$F,MATCH($A633,'[AQ_2022.xlsx]原始数据'!$A:$A,0)),""))</f>
        <v/>
      </c>
      <c r="Y633">
        <f>IF($A633="","",IFERROR(INDEX('[AQ_2023.xlsx]原始数据'!$F:$F,MATCH($A633,'[AQ_2023.xlsx]原始数据'!$A:$A,0)),""))</f>
        <v/>
      </c>
      <c r="Z633">
        <f>IF($A633="","",IFERROR(INDEX('[AQ_2024.xlsx]原始数据'!$F:$F,MATCH($A633,'[AQ_2024.xlsx]原始数据'!$A:$A,0)),""))</f>
        <v/>
      </c>
      <c r="AA633" s="2">
        <f>IFERROR(G633/B633,"")</f>
        <v/>
      </c>
      <c r="AB633" s="2">
        <f>IFERROR(H633/C633,"")</f>
        <v/>
      </c>
      <c r="AC633" s="2">
        <f>IFERROR(I633/D633,"")</f>
        <v/>
      </c>
      <c r="AD633" s="2">
        <f>IFERROR(J633/E633,"")</f>
        <v/>
      </c>
      <c r="AE633" s="2">
        <f>IFERROR(K633/F633,"")</f>
        <v/>
      </c>
      <c r="AF633" s="2">
        <f>IFERROR(L633/B633,"")</f>
        <v/>
      </c>
      <c r="AG633" s="2">
        <f>IFERROR(M633/C633,"")</f>
        <v/>
      </c>
      <c r="AH633" s="2">
        <f>IFERROR(N633/D633,"")</f>
        <v/>
      </c>
      <c r="AI633" s="2">
        <f>IFERROR(O633/E633,"")</f>
        <v/>
      </c>
      <c r="AJ633" s="2">
        <f>IFERROR(P633/F633,"")</f>
        <v/>
      </c>
      <c r="AK633" s="2">
        <f>IFERROR(Q633/B633,"")</f>
        <v/>
      </c>
      <c r="AL633" s="2">
        <f>IFERROR(R633/C633,"")</f>
        <v/>
      </c>
      <c r="AM633" s="2">
        <f>IFERROR(S633/D633,"")</f>
        <v/>
      </c>
      <c r="AN633" s="2">
        <f>IFERROR(T633/E633,"")</f>
        <v/>
      </c>
      <c r="AO633" s="2">
        <f>IFERROR(U633/F633,"")</f>
        <v/>
      </c>
    </row>
    <row r="634">
      <c r="B634">
        <f>IF($A634="","",IFERROR(INDEX('[AQ_2020.xlsx]原始数据'!$B:$B,MATCH($A634,'[AQ_2020.xlsx]原始数据'!$A:$A,0)),""))</f>
        <v/>
      </c>
      <c r="C634">
        <f>IF($A634="","",IFERROR(INDEX('[AQ_2021.xlsx]原始数据'!$B:$B,MATCH($A634,'[AQ_2021.xlsx]原始数据'!$A:$A,0)),""))</f>
        <v/>
      </c>
      <c r="D634">
        <f>IF($A634="","",IFERROR(INDEX('[AQ_2022.xlsx]原始数据'!$B:$B,MATCH($A634,'[AQ_2022.xlsx]原始数据'!$A:$A,0)),""))</f>
        <v/>
      </c>
      <c r="E634">
        <f>IF($A634="","",IFERROR(INDEX('[AQ_2023.xlsx]原始数据'!$B:$B,MATCH($A634,'[AQ_2023.xlsx]原始数据'!$A:$A,0)),""))</f>
        <v/>
      </c>
      <c r="F634">
        <f>IF($A634="","",IFERROR(INDEX('[AQ_2024.xlsx]原始数据'!$B:$B,MATCH($A634,'[AQ_2024.xlsx]原始数据'!$A:$A,0)),""))</f>
        <v/>
      </c>
      <c r="G634">
        <f>IF($A634="","",IFERROR(INDEX('[AQ_2020.xlsx]原始数据'!$C:$C,MATCH($A634,'[AQ_2020.xlsx]原始数据'!$A:$A,0)),""))</f>
        <v/>
      </c>
      <c r="H634">
        <f>IF($A634="","",IFERROR(INDEX('[AQ_2021.xlsx]原始数据'!$C:$C,MATCH($A634,'[AQ_2021.xlsx]原始数据'!$A:$A,0)),""))</f>
        <v/>
      </c>
      <c r="I634">
        <f>IF($A634="","",IFERROR(INDEX('[AQ_2022.xlsx]原始数据'!$C:$C,MATCH($A634,'[AQ_2022.xlsx]原始数据'!$A:$A,0)),""))</f>
        <v/>
      </c>
      <c r="J634">
        <f>IF($A634="","",IFERROR(INDEX('[AQ_2023.xlsx]原始数据'!$C:$C,MATCH($A634,'[AQ_2023.xlsx]原始数据'!$A:$A,0)),""))</f>
        <v/>
      </c>
      <c r="K634">
        <f>IF($A634="","",IFERROR(INDEX('[AQ_2024.xlsx]原始数据'!$C:$C,MATCH($A634,'[AQ_2024.xlsx]原始数据'!$A:$A,0)),""))</f>
        <v/>
      </c>
      <c r="L634">
        <f>IF($A634="","",IFERROR(INDEX('[AQ_2020.xlsx]原始数据'!$D:$D,MATCH($A634,'[AQ_2020.xlsx]原始数据'!$A:$A,0)),""))</f>
        <v/>
      </c>
      <c r="M634">
        <f>IF($A634="","",IFERROR(INDEX('[AQ_2021.xlsx]原始数据'!$D:$D,MATCH($A634,'[AQ_2021.xlsx]原始数据'!$A:$A,0)),""))</f>
        <v/>
      </c>
      <c r="N634">
        <f>IF($A634="","",IFERROR(INDEX('[AQ_2022.xlsx]原始数据'!$D:$D,MATCH($A634,'[AQ_2022.xlsx]原始数据'!$A:$A,0)),""))</f>
        <v/>
      </c>
      <c r="O634">
        <f>IF($A634="","",IFERROR(INDEX('[AQ_2023.xlsx]原始数据'!$D:$D,MATCH($A634,'[AQ_2023.xlsx]原始数据'!$A:$A,0)),""))</f>
        <v/>
      </c>
      <c r="P634">
        <f>IF($A634="","",IFERROR(INDEX('[AQ_2024.xlsx]原始数据'!$D:$D,MATCH($A634,'[AQ_2024.xlsx]原始数据'!$A:$A,0)),""))</f>
        <v/>
      </c>
      <c r="Q634">
        <f>IF($A634="","",IFERROR(INDEX('[AQ_2020.xlsx]原始数据'!$E:$E,MATCH($A634,'[AQ_2020.xlsx]原始数据'!$A:$A,0)),""))</f>
        <v/>
      </c>
      <c r="R634">
        <f>IF($A634="","",IFERROR(INDEX('[AQ_2021.xlsx]原始数据'!$E:$E,MATCH($A634,'[AQ_2021.xlsx]原始数据'!$A:$A,0)),""))</f>
        <v/>
      </c>
      <c r="S634">
        <f>IF($A634="","",IFERROR(INDEX('[AQ_2022.xlsx]原始数据'!$E:$E,MATCH($A634,'[AQ_2022.xlsx]原始数据'!$A:$A,0)),""))</f>
        <v/>
      </c>
      <c r="T634">
        <f>IF($A634="","",IFERROR(INDEX('[AQ_2023.xlsx]原始数据'!$E:$E,MATCH($A634,'[AQ_2023.xlsx]原始数据'!$A:$A,0)),""))</f>
        <v/>
      </c>
      <c r="U634">
        <f>IF($A634="","",IFERROR(INDEX('[AQ_2024.xlsx]原始数据'!$E:$E,MATCH($A634,'[AQ_2024.xlsx]原始数据'!$A:$A,0)),""))</f>
        <v/>
      </c>
      <c r="V634">
        <f>IF($A634="","",IFERROR(INDEX('[AQ_2020.xlsx]原始数据'!$F:$F,MATCH($A634,'[AQ_2020.xlsx]原始数据'!$A:$A,0)),""))</f>
        <v/>
      </c>
      <c r="W634">
        <f>IF($A634="","",IFERROR(INDEX('[AQ_2021.xlsx]原始数据'!$F:$F,MATCH($A634,'[AQ_2021.xlsx]原始数据'!$A:$A,0)),""))</f>
        <v/>
      </c>
      <c r="X634">
        <f>IF($A634="","",IFERROR(INDEX('[AQ_2022.xlsx]原始数据'!$F:$F,MATCH($A634,'[AQ_2022.xlsx]原始数据'!$A:$A,0)),""))</f>
        <v/>
      </c>
      <c r="Y634">
        <f>IF($A634="","",IFERROR(INDEX('[AQ_2023.xlsx]原始数据'!$F:$F,MATCH($A634,'[AQ_2023.xlsx]原始数据'!$A:$A,0)),""))</f>
        <v/>
      </c>
      <c r="Z634">
        <f>IF($A634="","",IFERROR(INDEX('[AQ_2024.xlsx]原始数据'!$F:$F,MATCH($A634,'[AQ_2024.xlsx]原始数据'!$A:$A,0)),""))</f>
        <v/>
      </c>
      <c r="AA634" s="2">
        <f>IFERROR(G634/B634,"")</f>
        <v/>
      </c>
      <c r="AB634" s="2">
        <f>IFERROR(H634/C634,"")</f>
        <v/>
      </c>
      <c r="AC634" s="2">
        <f>IFERROR(I634/D634,"")</f>
        <v/>
      </c>
      <c r="AD634" s="2">
        <f>IFERROR(J634/E634,"")</f>
        <v/>
      </c>
      <c r="AE634" s="2">
        <f>IFERROR(K634/F634,"")</f>
        <v/>
      </c>
      <c r="AF634" s="2">
        <f>IFERROR(L634/B634,"")</f>
        <v/>
      </c>
      <c r="AG634" s="2">
        <f>IFERROR(M634/C634,"")</f>
        <v/>
      </c>
      <c r="AH634" s="2">
        <f>IFERROR(N634/D634,"")</f>
        <v/>
      </c>
      <c r="AI634" s="2">
        <f>IFERROR(O634/E634,"")</f>
        <v/>
      </c>
      <c r="AJ634" s="2">
        <f>IFERROR(P634/F634,"")</f>
        <v/>
      </c>
      <c r="AK634" s="2">
        <f>IFERROR(Q634/B634,"")</f>
        <v/>
      </c>
      <c r="AL634" s="2">
        <f>IFERROR(R634/C634,"")</f>
        <v/>
      </c>
      <c r="AM634" s="2">
        <f>IFERROR(S634/D634,"")</f>
        <v/>
      </c>
      <c r="AN634" s="2">
        <f>IFERROR(T634/E634,"")</f>
        <v/>
      </c>
      <c r="AO634" s="2">
        <f>IFERROR(U634/F634,"")</f>
        <v/>
      </c>
    </row>
    <row r="635">
      <c r="B635">
        <f>IF($A635="","",IFERROR(INDEX('[AQ_2020.xlsx]原始数据'!$B:$B,MATCH($A635,'[AQ_2020.xlsx]原始数据'!$A:$A,0)),""))</f>
        <v/>
      </c>
      <c r="C635">
        <f>IF($A635="","",IFERROR(INDEX('[AQ_2021.xlsx]原始数据'!$B:$B,MATCH($A635,'[AQ_2021.xlsx]原始数据'!$A:$A,0)),""))</f>
        <v/>
      </c>
      <c r="D635">
        <f>IF($A635="","",IFERROR(INDEX('[AQ_2022.xlsx]原始数据'!$B:$B,MATCH($A635,'[AQ_2022.xlsx]原始数据'!$A:$A,0)),""))</f>
        <v/>
      </c>
      <c r="E635">
        <f>IF($A635="","",IFERROR(INDEX('[AQ_2023.xlsx]原始数据'!$B:$B,MATCH($A635,'[AQ_2023.xlsx]原始数据'!$A:$A,0)),""))</f>
        <v/>
      </c>
      <c r="F635">
        <f>IF($A635="","",IFERROR(INDEX('[AQ_2024.xlsx]原始数据'!$B:$B,MATCH($A635,'[AQ_2024.xlsx]原始数据'!$A:$A,0)),""))</f>
        <v/>
      </c>
      <c r="G635">
        <f>IF($A635="","",IFERROR(INDEX('[AQ_2020.xlsx]原始数据'!$C:$C,MATCH($A635,'[AQ_2020.xlsx]原始数据'!$A:$A,0)),""))</f>
        <v/>
      </c>
      <c r="H635">
        <f>IF($A635="","",IFERROR(INDEX('[AQ_2021.xlsx]原始数据'!$C:$C,MATCH($A635,'[AQ_2021.xlsx]原始数据'!$A:$A,0)),""))</f>
        <v/>
      </c>
      <c r="I635">
        <f>IF($A635="","",IFERROR(INDEX('[AQ_2022.xlsx]原始数据'!$C:$C,MATCH($A635,'[AQ_2022.xlsx]原始数据'!$A:$A,0)),""))</f>
        <v/>
      </c>
      <c r="J635">
        <f>IF($A635="","",IFERROR(INDEX('[AQ_2023.xlsx]原始数据'!$C:$C,MATCH($A635,'[AQ_2023.xlsx]原始数据'!$A:$A,0)),""))</f>
        <v/>
      </c>
      <c r="K635">
        <f>IF($A635="","",IFERROR(INDEX('[AQ_2024.xlsx]原始数据'!$C:$C,MATCH($A635,'[AQ_2024.xlsx]原始数据'!$A:$A,0)),""))</f>
        <v/>
      </c>
      <c r="L635">
        <f>IF($A635="","",IFERROR(INDEX('[AQ_2020.xlsx]原始数据'!$D:$D,MATCH($A635,'[AQ_2020.xlsx]原始数据'!$A:$A,0)),""))</f>
        <v/>
      </c>
      <c r="M635">
        <f>IF($A635="","",IFERROR(INDEX('[AQ_2021.xlsx]原始数据'!$D:$D,MATCH($A635,'[AQ_2021.xlsx]原始数据'!$A:$A,0)),""))</f>
        <v/>
      </c>
      <c r="N635">
        <f>IF($A635="","",IFERROR(INDEX('[AQ_2022.xlsx]原始数据'!$D:$D,MATCH($A635,'[AQ_2022.xlsx]原始数据'!$A:$A,0)),""))</f>
        <v/>
      </c>
      <c r="O635">
        <f>IF($A635="","",IFERROR(INDEX('[AQ_2023.xlsx]原始数据'!$D:$D,MATCH($A635,'[AQ_2023.xlsx]原始数据'!$A:$A,0)),""))</f>
        <v/>
      </c>
      <c r="P635">
        <f>IF($A635="","",IFERROR(INDEX('[AQ_2024.xlsx]原始数据'!$D:$D,MATCH($A635,'[AQ_2024.xlsx]原始数据'!$A:$A,0)),""))</f>
        <v/>
      </c>
      <c r="Q635">
        <f>IF($A635="","",IFERROR(INDEX('[AQ_2020.xlsx]原始数据'!$E:$E,MATCH($A635,'[AQ_2020.xlsx]原始数据'!$A:$A,0)),""))</f>
        <v/>
      </c>
      <c r="R635">
        <f>IF($A635="","",IFERROR(INDEX('[AQ_2021.xlsx]原始数据'!$E:$E,MATCH($A635,'[AQ_2021.xlsx]原始数据'!$A:$A,0)),""))</f>
        <v/>
      </c>
      <c r="S635">
        <f>IF($A635="","",IFERROR(INDEX('[AQ_2022.xlsx]原始数据'!$E:$E,MATCH($A635,'[AQ_2022.xlsx]原始数据'!$A:$A,0)),""))</f>
        <v/>
      </c>
      <c r="T635">
        <f>IF($A635="","",IFERROR(INDEX('[AQ_2023.xlsx]原始数据'!$E:$E,MATCH($A635,'[AQ_2023.xlsx]原始数据'!$A:$A,0)),""))</f>
        <v/>
      </c>
      <c r="U635">
        <f>IF($A635="","",IFERROR(INDEX('[AQ_2024.xlsx]原始数据'!$E:$E,MATCH($A635,'[AQ_2024.xlsx]原始数据'!$A:$A,0)),""))</f>
        <v/>
      </c>
      <c r="V635">
        <f>IF($A635="","",IFERROR(INDEX('[AQ_2020.xlsx]原始数据'!$F:$F,MATCH($A635,'[AQ_2020.xlsx]原始数据'!$A:$A,0)),""))</f>
        <v/>
      </c>
      <c r="W635">
        <f>IF($A635="","",IFERROR(INDEX('[AQ_2021.xlsx]原始数据'!$F:$F,MATCH($A635,'[AQ_2021.xlsx]原始数据'!$A:$A,0)),""))</f>
        <v/>
      </c>
      <c r="X635">
        <f>IF($A635="","",IFERROR(INDEX('[AQ_2022.xlsx]原始数据'!$F:$F,MATCH($A635,'[AQ_2022.xlsx]原始数据'!$A:$A,0)),""))</f>
        <v/>
      </c>
      <c r="Y635">
        <f>IF($A635="","",IFERROR(INDEX('[AQ_2023.xlsx]原始数据'!$F:$F,MATCH($A635,'[AQ_2023.xlsx]原始数据'!$A:$A,0)),""))</f>
        <v/>
      </c>
      <c r="Z635">
        <f>IF($A635="","",IFERROR(INDEX('[AQ_2024.xlsx]原始数据'!$F:$F,MATCH($A635,'[AQ_2024.xlsx]原始数据'!$A:$A,0)),""))</f>
        <v/>
      </c>
      <c r="AA635" s="2">
        <f>IFERROR(G635/B635,"")</f>
        <v/>
      </c>
      <c r="AB635" s="2">
        <f>IFERROR(H635/C635,"")</f>
        <v/>
      </c>
      <c r="AC635" s="2">
        <f>IFERROR(I635/D635,"")</f>
        <v/>
      </c>
      <c r="AD635" s="2">
        <f>IFERROR(J635/E635,"")</f>
        <v/>
      </c>
      <c r="AE635" s="2">
        <f>IFERROR(K635/F635,"")</f>
        <v/>
      </c>
      <c r="AF635" s="2">
        <f>IFERROR(L635/B635,"")</f>
        <v/>
      </c>
      <c r="AG635" s="2">
        <f>IFERROR(M635/C635,"")</f>
        <v/>
      </c>
      <c r="AH635" s="2">
        <f>IFERROR(N635/D635,"")</f>
        <v/>
      </c>
      <c r="AI635" s="2">
        <f>IFERROR(O635/E635,"")</f>
        <v/>
      </c>
      <c r="AJ635" s="2">
        <f>IFERROR(P635/F635,"")</f>
        <v/>
      </c>
      <c r="AK635" s="2">
        <f>IFERROR(Q635/B635,"")</f>
        <v/>
      </c>
      <c r="AL635" s="2">
        <f>IFERROR(R635/C635,"")</f>
        <v/>
      </c>
      <c r="AM635" s="2">
        <f>IFERROR(S635/D635,"")</f>
        <v/>
      </c>
      <c r="AN635" s="2">
        <f>IFERROR(T635/E635,"")</f>
        <v/>
      </c>
      <c r="AO635" s="2">
        <f>IFERROR(U635/F635,"")</f>
        <v/>
      </c>
    </row>
    <row r="636">
      <c r="B636">
        <f>IF($A636="","",IFERROR(INDEX('[AQ_2020.xlsx]原始数据'!$B:$B,MATCH($A636,'[AQ_2020.xlsx]原始数据'!$A:$A,0)),""))</f>
        <v/>
      </c>
      <c r="C636">
        <f>IF($A636="","",IFERROR(INDEX('[AQ_2021.xlsx]原始数据'!$B:$B,MATCH($A636,'[AQ_2021.xlsx]原始数据'!$A:$A,0)),""))</f>
        <v/>
      </c>
      <c r="D636">
        <f>IF($A636="","",IFERROR(INDEX('[AQ_2022.xlsx]原始数据'!$B:$B,MATCH($A636,'[AQ_2022.xlsx]原始数据'!$A:$A,0)),""))</f>
        <v/>
      </c>
      <c r="E636">
        <f>IF($A636="","",IFERROR(INDEX('[AQ_2023.xlsx]原始数据'!$B:$B,MATCH($A636,'[AQ_2023.xlsx]原始数据'!$A:$A,0)),""))</f>
        <v/>
      </c>
      <c r="F636">
        <f>IF($A636="","",IFERROR(INDEX('[AQ_2024.xlsx]原始数据'!$B:$B,MATCH($A636,'[AQ_2024.xlsx]原始数据'!$A:$A,0)),""))</f>
        <v/>
      </c>
      <c r="G636">
        <f>IF($A636="","",IFERROR(INDEX('[AQ_2020.xlsx]原始数据'!$C:$C,MATCH($A636,'[AQ_2020.xlsx]原始数据'!$A:$A,0)),""))</f>
        <v/>
      </c>
      <c r="H636">
        <f>IF($A636="","",IFERROR(INDEX('[AQ_2021.xlsx]原始数据'!$C:$C,MATCH($A636,'[AQ_2021.xlsx]原始数据'!$A:$A,0)),""))</f>
        <v/>
      </c>
      <c r="I636">
        <f>IF($A636="","",IFERROR(INDEX('[AQ_2022.xlsx]原始数据'!$C:$C,MATCH($A636,'[AQ_2022.xlsx]原始数据'!$A:$A,0)),""))</f>
        <v/>
      </c>
      <c r="J636">
        <f>IF($A636="","",IFERROR(INDEX('[AQ_2023.xlsx]原始数据'!$C:$C,MATCH($A636,'[AQ_2023.xlsx]原始数据'!$A:$A,0)),""))</f>
        <v/>
      </c>
      <c r="K636">
        <f>IF($A636="","",IFERROR(INDEX('[AQ_2024.xlsx]原始数据'!$C:$C,MATCH($A636,'[AQ_2024.xlsx]原始数据'!$A:$A,0)),""))</f>
        <v/>
      </c>
      <c r="L636">
        <f>IF($A636="","",IFERROR(INDEX('[AQ_2020.xlsx]原始数据'!$D:$D,MATCH($A636,'[AQ_2020.xlsx]原始数据'!$A:$A,0)),""))</f>
        <v/>
      </c>
      <c r="M636">
        <f>IF($A636="","",IFERROR(INDEX('[AQ_2021.xlsx]原始数据'!$D:$D,MATCH($A636,'[AQ_2021.xlsx]原始数据'!$A:$A,0)),""))</f>
        <v/>
      </c>
      <c r="N636">
        <f>IF($A636="","",IFERROR(INDEX('[AQ_2022.xlsx]原始数据'!$D:$D,MATCH($A636,'[AQ_2022.xlsx]原始数据'!$A:$A,0)),""))</f>
        <v/>
      </c>
      <c r="O636">
        <f>IF($A636="","",IFERROR(INDEX('[AQ_2023.xlsx]原始数据'!$D:$D,MATCH($A636,'[AQ_2023.xlsx]原始数据'!$A:$A,0)),""))</f>
        <v/>
      </c>
      <c r="P636">
        <f>IF($A636="","",IFERROR(INDEX('[AQ_2024.xlsx]原始数据'!$D:$D,MATCH($A636,'[AQ_2024.xlsx]原始数据'!$A:$A,0)),""))</f>
        <v/>
      </c>
      <c r="Q636">
        <f>IF($A636="","",IFERROR(INDEX('[AQ_2020.xlsx]原始数据'!$E:$E,MATCH($A636,'[AQ_2020.xlsx]原始数据'!$A:$A,0)),""))</f>
        <v/>
      </c>
      <c r="R636">
        <f>IF($A636="","",IFERROR(INDEX('[AQ_2021.xlsx]原始数据'!$E:$E,MATCH($A636,'[AQ_2021.xlsx]原始数据'!$A:$A,0)),""))</f>
        <v/>
      </c>
      <c r="S636">
        <f>IF($A636="","",IFERROR(INDEX('[AQ_2022.xlsx]原始数据'!$E:$E,MATCH($A636,'[AQ_2022.xlsx]原始数据'!$A:$A,0)),""))</f>
        <v/>
      </c>
      <c r="T636">
        <f>IF($A636="","",IFERROR(INDEX('[AQ_2023.xlsx]原始数据'!$E:$E,MATCH($A636,'[AQ_2023.xlsx]原始数据'!$A:$A,0)),""))</f>
        <v/>
      </c>
      <c r="U636">
        <f>IF($A636="","",IFERROR(INDEX('[AQ_2024.xlsx]原始数据'!$E:$E,MATCH($A636,'[AQ_2024.xlsx]原始数据'!$A:$A,0)),""))</f>
        <v/>
      </c>
      <c r="V636">
        <f>IF($A636="","",IFERROR(INDEX('[AQ_2020.xlsx]原始数据'!$F:$F,MATCH($A636,'[AQ_2020.xlsx]原始数据'!$A:$A,0)),""))</f>
        <v/>
      </c>
      <c r="W636">
        <f>IF($A636="","",IFERROR(INDEX('[AQ_2021.xlsx]原始数据'!$F:$F,MATCH($A636,'[AQ_2021.xlsx]原始数据'!$A:$A,0)),""))</f>
        <v/>
      </c>
      <c r="X636">
        <f>IF($A636="","",IFERROR(INDEX('[AQ_2022.xlsx]原始数据'!$F:$F,MATCH($A636,'[AQ_2022.xlsx]原始数据'!$A:$A,0)),""))</f>
        <v/>
      </c>
      <c r="Y636">
        <f>IF($A636="","",IFERROR(INDEX('[AQ_2023.xlsx]原始数据'!$F:$F,MATCH($A636,'[AQ_2023.xlsx]原始数据'!$A:$A,0)),""))</f>
        <v/>
      </c>
      <c r="Z636">
        <f>IF($A636="","",IFERROR(INDEX('[AQ_2024.xlsx]原始数据'!$F:$F,MATCH($A636,'[AQ_2024.xlsx]原始数据'!$A:$A,0)),""))</f>
        <v/>
      </c>
      <c r="AA636" s="2">
        <f>IFERROR(G636/B636,"")</f>
        <v/>
      </c>
      <c r="AB636" s="2">
        <f>IFERROR(H636/C636,"")</f>
        <v/>
      </c>
      <c r="AC636" s="2">
        <f>IFERROR(I636/D636,"")</f>
        <v/>
      </c>
      <c r="AD636" s="2">
        <f>IFERROR(J636/E636,"")</f>
        <v/>
      </c>
      <c r="AE636" s="2">
        <f>IFERROR(K636/F636,"")</f>
        <v/>
      </c>
      <c r="AF636" s="2">
        <f>IFERROR(L636/B636,"")</f>
        <v/>
      </c>
      <c r="AG636" s="2">
        <f>IFERROR(M636/C636,"")</f>
        <v/>
      </c>
      <c r="AH636" s="2">
        <f>IFERROR(N636/D636,"")</f>
        <v/>
      </c>
      <c r="AI636" s="2">
        <f>IFERROR(O636/E636,"")</f>
        <v/>
      </c>
      <c r="AJ636" s="2">
        <f>IFERROR(P636/F636,"")</f>
        <v/>
      </c>
      <c r="AK636" s="2">
        <f>IFERROR(Q636/B636,"")</f>
        <v/>
      </c>
      <c r="AL636" s="2">
        <f>IFERROR(R636/C636,"")</f>
        <v/>
      </c>
      <c r="AM636" s="2">
        <f>IFERROR(S636/D636,"")</f>
        <v/>
      </c>
      <c r="AN636" s="2">
        <f>IFERROR(T636/E636,"")</f>
        <v/>
      </c>
      <c r="AO636" s="2">
        <f>IFERROR(U636/F636,"")</f>
        <v/>
      </c>
    </row>
    <row r="637">
      <c r="B637">
        <f>IF($A637="","",IFERROR(INDEX('[AQ_2020.xlsx]原始数据'!$B:$B,MATCH($A637,'[AQ_2020.xlsx]原始数据'!$A:$A,0)),""))</f>
        <v/>
      </c>
      <c r="C637">
        <f>IF($A637="","",IFERROR(INDEX('[AQ_2021.xlsx]原始数据'!$B:$B,MATCH($A637,'[AQ_2021.xlsx]原始数据'!$A:$A,0)),""))</f>
        <v/>
      </c>
      <c r="D637">
        <f>IF($A637="","",IFERROR(INDEX('[AQ_2022.xlsx]原始数据'!$B:$B,MATCH($A637,'[AQ_2022.xlsx]原始数据'!$A:$A,0)),""))</f>
        <v/>
      </c>
      <c r="E637">
        <f>IF($A637="","",IFERROR(INDEX('[AQ_2023.xlsx]原始数据'!$B:$B,MATCH($A637,'[AQ_2023.xlsx]原始数据'!$A:$A,0)),""))</f>
        <v/>
      </c>
      <c r="F637">
        <f>IF($A637="","",IFERROR(INDEX('[AQ_2024.xlsx]原始数据'!$B:$B,MATCH($A637,'[AQ_2024.xlsx]原始数据'!$A:$A,0)),""))</f>
        <v/>
      </c>
      <c r="G637">
        <f>IF($A637="","",IFERROR(INDEX('[AQ_2020.xlsx]原始数据'!$C:$C,MATCH($A637,'[AQ_2020.xlsx]原始数据'!$A:$A,0)),""))</f>
        <v/>
      </c>
      <c r="H637">
        <f>IF($A637="","",IFERROR(INDEX('[AQ_2021.xlsx]原始数据'!$C:$C,MATCH($A637,'[AQ_2021.xlsx]原始数据'!$A:$A,0)),""))</f>
        <v/>
      </c>
      <c r="I637">
        <f>IF($A637="","",IFERROR(INDEX('[AQ_2022.xlsx]原始数据'!$C:$C,MATCH($A637,'[AQ_2022.xlsx]原始数据'!$A:$A,0)),""))</f>
        <v/>
      </c>
      <c r="J637">
        <f>IF($A637="","",IFERROR(INDEX('[AQ_2023.xlsx]原始数据'!$C:$C,MATCH($A637,'[AQ_2023.xlsx]原始数据'!$A:$A,0)),""))</f>
        <v/>
      </c>
      <c r="K637">
        <f>IF($A637="","",IFERROR(INDEX('[AQ_2024.xlsx]原始数据'!$C:$C,MATCH($A637,'[AQ_2024.xlsx]原始数据'!$A:$A,0)),""))</f>
        <v/>
      </c>
      <c r="L637">
        <f>IF($A637="","",IFERROR(INDEX('[AQ_2020.xlsx]原始数据'!$D:$D,MATCH($A637,'[AQ_2020.xlsx]原始数据'!$A:$A,0)),""))</f>
        <v/>
      </c>
      <c r="M637">
        <f>IF($A637="","",IFERROR(INDEX('[AQ_2021.xlsx]原始数据'!$D:$D,MATCH($A637,'[AQ_2021.xlsx]原始数据'!$A:$A,0)),""))</f>
        <v/>
      </c>
      <c r="N637">
        <f>IF($A637="","",IFERROR(INDEX('[AQ_2022.xlsx]原始数据'!$D:$D,MATCH($A637,'[AQ_2022.xlsx]原始数据'!$A:$A,0)),""))</f>
        <v/>
      </c>
      <c r="O637">
        <f>IF($A637="","",IFERROR(INDEX('[AQ_2023.xlsx]原始数据'!$D:$D,MATCH($A637,'[AQ_2023.xlsx]原始数据'!$A:$A,0)),""))</f>
        <v/>
      </c>
      <c r="P637">
        <f>IF($A637="","",IFERROR(INDEX('[AQ_2024.xlsx]原始数据'!$D:$D,MATCH($A637,'[AQ_2024.xlsx]原始数据'!$A:$A,0)),""))</f>
        <v/>
      </c>
      <c r="Q637">
        <f>IF($A637="","",IFERROR(INDEX('[AQ_2020.xlsx]原始数据'!$E:$E,MATCH($A637,'[AQ_2020.xlsx]原始数据'!$A:$A,0)),""))</f>
        <v/>
      </c>
      <c r="R637">
        <f>IF($A637="","",IFERROR(INDEX('[AQ_2021.xlsx]原始数据'!$E:$E,MATCH($A637,'[AQ_2021.xlsx]原始数据'!$A:$A,0)),""))</f>
        <v/>
      </c>
      <c r="S637">
        <f>IF($A637="","",IFERROR(INDEX('[AQ_2022.xlsx]原始数据'!$E:$E,MATCH($A637,'[AQ_2022.xlsx]原始数据'!$A:$A,0)),""))</f>
        <v/>
      </c>
      <c r="T637">
        <f>IF($A637="","",IFERROR(INDEX('[AQ_2023.xlsx]原始数据'!$E:$E,MATCH($A637,'[AQ_2023.xlsx]原始数据'!$A:$A,0)),""))</f>
        <v/>
      </c>
      <c r="U637">
        <f>IF($A637="","",IFERROR(INDEX('[AQ_2024.xlsx]原始数据'!$E:$E,MATCH($A637,'[AQ_2024.xlsx]原始数据'!$A:$A,0)),""))</f>
        <v/>
      </c>
      <c r="V637">
        <f>IF($A637="","",IFERROR(INDEX('[AQ_2020.xlsx]原始数据'!$F:$F,MATCH($A637,'[AQ_2020.xlsx]原始数据'!$A:$A,0)),""))</f>
        <v/>
      </c>
      <c r="W637">
        <f>IF($A637="","",IFERROR(INDEX('[AQ_2021.xlsx]原始数据'!$F:$F,MATCH($A637,'[AQ_2021.xlsx]原始数据'!$A:$A,0)),""))</f>
        <v/>
      </c>
      <c r="X637">
        <f>IF($A637="","",IFERROR(INDEX('[AQ_2022.xlsx]原始数据'!$F:$F,MATCH($A637,'[AQ_2022.xlsx]原始数据'!$A:$A,0)),""))</f>
        <v/>
      </c>
      <c r="Y637">
        <f>IF($A637="","",IFERROR(INDEX('[AQ_2023.xlsx]原始数据'!$F:$F,MATCH($A637,'[AQ_2023.xlsx]原始数据'!$A:$A,0)),""))</f>
        <v/>
      </c>
      <c r="Z637">
        <f>IF($A637="","",IFERROR(INDEX('[AQ_2024.xlsx]原始数据'!$F:$F,MATCH($A637,'[AQ_2024.xlsx]原始数据'!$A:$A,0)),""))</f>
        <v/>
      </c>
      <c r="AA637" s="2">
        <f>IFERROR(G637/B637,"")</f>
        <v/>
      </c>
      <c r="AB637" s="2">
        <f>IFERROR(H637/C637,"")</f>
        <v/>
      </c>
      <c r="AC637" s="2">
        <f>IFERROR(I637/D637,"")</f>
        <v/>
      </c>
      <c r="AD637" s="2">
        <f>IFERROR(J637/E637,"")</f>
        <v/>
      </c>
      <c r="AE637" s="2">
        <f>IFERROR(K637/F637,"")</f>
        <v/>
      </c>
      <c r="AF637" s="2">
        <f>IFERROR(L637/B637,"")</f>
        <v/>
      </c>
      <c r="AG637" s="2">
        <f>IFERROR(M637/C637,"")</f>
        <v/>
      </c>
      <c r="AH637" s="2">
        <f>IFERROR(N637/D637,"")</f>
        <v/>
      </c>
      <c r="AI637" s="2">
        <f>IFERROR(O637/E637,"")</f>
        <v/>
      </c>
      <c r="AJ637" s="2">
        <f>IFERROR(P637/F637,"")</f>
        <v/>
      </c>
      <c r="AK637" s="2">
        <f>IFERROR(Q637/B637,"")</f>
        <v/>
      </c>
      <c r="AL637" s="2">
        <f>IFERROR(R637/C637,"")</f>
        <v/>
      </c>
      <c r="AM637" s="2">
        <f>IFERROR(S637/D637,"")</f>
        <v/>
      </c>
      <c r="AN637" s="2">
        <f>IFERROR(T637/E637,"")</f>
        <v/>
      </c>
      <c r="AO637" s="2">
        <f>IFERROR(U637/F637,"")</f>
        <v/>
      </c>
    </row>
    <row r="638">
      <c r="B638">
        <f>IF($A638="","",IFERROR(INDEX('[AQ_2020.xlsx]原始数据'!$B:$B,MATCH($A638,'[AQ_2020.xlsx]原始数据'!$A:$A,0)),""))</f>
        <v/>
      </c>
      <c r="C638">
        <f>IF($A638="","",IFERROR(INDEX('[AQ_2021.xlsx]原始数据'!$B:$B,MATCH($A638,'[AQ_2021.xlsx]原始数据'!$A:$A,0)),""))</f>
        <v/>
      </c>
      <c r="D638">
        <f>IF($A638="","",IFERROR(INDEX('[AQ_2022.xlsx]原始数据'!$B:$B,MATCH($A638,'[AQ_2022.xlsx]原始数据'!$A:$A,0)),""))</f>
        <v/>
      </c>
      <c r="E638">
        <f>IF($A638="","",IFERROR(INDEX('[AQ_2023.xlsx]原始数据'!$B:$B,MATCH($A638,'[AQ_2023.xlsx]原始数据'!$A:$A,0)),""))</f>
        <v/>
      </c>
      <c r="F638">
        <f>IF($A638="","",IFERROR(INDEX('[AQ_2024.xlsx]原始数据'!$B:$B,MATCH($A638,'[AQ_2024.xlsx]原始数据'!$A:$A,0)),""))</f>
        <v/>
      </c>
      <c r="G638">
        <f>IF($A638="","",IFERROR(INDEX('[AQ_2020.xlsx]原始数据'!$C:$C,MATCH($A638,'[AQ_2020.xlsx]原始数据'!$A:$A,0)),""))</f>
        <v/>
      </c>
      <c r="H638">
        <f>IF($A638="","",IFERROR(INDEX('[AQ_2021.xlsx]原始数据'!$C:$C,MATCH($A638,'[AQ_2021.xlsx]原始数据'!$A:$A,0)),""))</f>
        <v/>
      </c>
      <c r="I638">
        <f>IF($A638="","",IFERROR(INDEX('[AQ_2022.xlsx]原始数据'!$C:$C,MATCH($A638,'[AQ_2022.xlsx]原始数据'!$A:$A,0)),""))</f>
        <v/>
      </c>
      <c r="J638">
        <f>IF($A638="","",IFERROR(INDEX('[AQ_2023.xlsx]原始数据'!$C:$C,MATCH($A638,'[AQ_2023.xlsx]原始数据'!$A:$A,0)),""))</f>
        <v/>
      </c>
      <c r="K638">
        <f>IF($A638="","",IFERROR(INDEX('[AQ_2024.xlsx]原始数据'!$C:$C,MATCH($A638,'[AQ_2024.xlsx]原始数据'!$A:$A,0)),""))</f>
        <v/>
      </c>
      <c r="L638">
        <f>IF($A638="","",IFERROR(INDEX('[AQ_2020.xlsx]原始数据'!$D:$D,MATCH($A638,'[AQ_2020.xlsx]原始数据'!$A:$A,0)),""))</f>
        <v/>
      </c>
      <c r="M638">
        <f>IF($A638="","",IFERROR(INDEX('[AQ_2021.xlsx]原始数据'!$D:$D,MATCH($A638,'[AQ_2021.xlsx]原始数据'!$A:$A,0)),""))</f>
        <v/>
      </c>
      <c r="N638">
        <f>IF($A638="","",IFERROR(INDEX('[AQ_2022.xlsx]原始数据'!$D:$D,MATCH($A638,'[AQ_2022.xlsx]原始数据'!$A:$A,0)),""))</f>
        <v/>
      </c>
      <c r="O638">
        <f>IF($A638="","",IFERROR(INDEX('[AQ_2023.xlsx]原始数据'!$D:$D,MATCH($A638,'[AQ_2023.xlsx]原始数据'!$A:$A,0)),""))</f>
        <v/>
      </c>
      <c r="P638">
        <f>IF($A638="","",IFERROR(INDEX('[AQ_2024.xlsx]原始数据'!$D:$D,MATCH($A638,'[AQ_2024.xlsx]原始数据'!$A:$A,0)),""))</f>
        <v/>
      </c>
      <c r="Q638">
        <f>IF($A638="","",IFERROR(INDEX('[AQ_2020.xlsx]原始数据'!$E:$E,MATCH($A638,'[AQ_2020.xlsx]原始数据'!$A:$A,0)),""))</f>
        <v/>
      </c>
      <c r="R638">
        <f>IF($A638="","",IFERROR(INDEX('[AQ_2021.xlsx]原始数据'!$E:$E,MATCH($A638,'[AQ_2021.xlsx]原始数据'!$A:$A,0)),""))</f>
        <v/>
      </c>
      <c r="S638">
        <f>IF($A638="","",IFERROR(INDEX('[AQ_2022.xlsx]原始数据'!$E:$E,MATCH($A638,'[AQ_2022.xlsx]原始数据'!$A:$A,0)),""))</f>
        <v/>
      </c>
      <c r="T638">
        <f>IF($A638="","",IFERROR(INDEX('[AQ_2023.xlsx]原始数据'!$E:$E,MATCH($A638,'[AQ_2023.xlsx]原始数据'!$A:$A,0)),""))</f>
        <v/>
      </c>
      <c r="U638">
        <f>IF($A638="","",IFERROR(INDEX('[AQ_2024.xlsx]原始数据'!$E:$E,MATCH($A638,'[AQ_2024.xlsx]原始数据'!$A:$A,0)),""))</f>
        <v/>
      </c>
      <c r="V638">
        <f>IF($A638="","",IFERROR(INDEX('[AQ_2020.xlsx]原始数据'!$F:$F,MATCH($A638,'[AQ_2020.xlsx]原始数据'!$A:$A,0)),""))</f>
        <v/>
      </c>
      <c r="W638">
        <f>IF($A638="","",IFERROR(INDEX('[AQ_2021.xlsx]原始数据'!$F:$F,MATCH($A638,'[AQ_2021.xlsx]原始数据'!$A:$A,0)),""))</f>
        <v/>
      </c>
      <c r="X638">
        <f>IF($A638="","",IFERROR(INDEX('[AQ_2022.xlsx]原始数据'!$F:$F,MATCH($A638,'[AQ_2022.xlsx]原始数据'!$A:$A,0)),""))</f>
        <v/>
      </c>
      <c r="Y638">
        <f>IF($A638="","",IFERROR(INDEX('[AQ_2023.xlsx]原始数据'!$F:$F,MATCH($A638,'[AQ_2023.xlsx]原始数据'!$A:$A,0)),""))</f>
        <v/>
      </c>
      <c r="Z638">
        <f>IF($A638="","",IFERROR(INDEX('[AQ_2024.xlsx]原始数据'!$F:$F,MATCH($A638,'[AQ_2024.xlsx]原始数据'!$A:$A,0)),""))</f>
        <v/>
      </c>
      <c r="AA638" s="2">
        <f>IFERROR(G638/B638,"")</f>
        <v/>
      </c>
      <c r="AB638" s="2">
        <f>IFERROR(H638/C638,"")</f>
        <v/>
      </c>
      <c r="AC638" s="2">
        <f>IFERROR(I638/D638,"")</f>
        <v/>
      </c>
      <c r="AD638" s="2">
        <f>IFERROR(J638/E638,"")</f>
        <v/>
      </c>
      <c r="AE638" s="2">
        <f>IFERROR(K638/F638,"")</f>
        <v/>
      </c>
      <c r="AF638" s="2">
        <f>IFERROR(L638/B638,"")</f>
        <v/>
      </c>
      <c r="AG638" s="2">
        <f>IFERROR(M638/C638,"")</f>
        <v/>
      </c>
      <c r="AH638" s="2">
        <f>IFERROR(N638/D638,"")</f>
        <v/>
      </c>
      <c r="AI638" s="2">
        <f>IFERROR(O638/E638,"")</f>
        <v/>
      </c>
      <c r="AJ638" s="2">
        <f>IFERROR(P638/F638,"")</f>
        <v/>
      </c>
      <c r="AK638" s="2">
        <f>IFERROR(Q638/B638,"")</f>
        <v/>
      </c>
      <c r="AL638" s="2">
        <f>IFERROR(R638/C638,"")</f>
        <v/>
      </c>
      <c r="AM638" s="2">
        <f>IFERROR(S638/D638,"")</f>
        <v/>
      </c>
      <c r="AN638" s="2">
        <f>IFERROR(T638/E638,"")</f>
        <v/>
      </c>
      <c r="AO638" s="2">
        <f>IFERROR(U638/F638,"")</f>
        <v/>
      </c>
    </row>
    <row r="639">
      <c r="B639">
        <f>IF($A639="","",IFERROR(INDEX('[AQ_2020.xlsx]原始数据'!$B:$B,MATCH($A639,'[AQ_2020.xlsx]原始数据'!$A:$A,0)),""))</f>
        <v/>
      </c>
      <c r="C639">
        <f>IF($A639="","",IFERROR(INDEX('[AQ_2021.xlsx]原始数据'!$B:$B,MATCH($A639,'[AQ_2021.xlsx]原始数据'!$A:$A,0)),""))</f>
        <v/>
      </c>
      <c r="D639">
        <f>IF($A639="","",IFERROR(INDEX('[AQ_2022.xlsx]原始数据'!$B:$B,MATCH($A639,'[AQ_2022.xlsx]原始数据'!$A:$A,0)),""))</f>
        <v/>
      </c>
      <c r="E639">
        <f>IF($A639="","",IFERROR(INDEX('[AQ_2023.xlsx]原始数据'!$B:$B,MATCH($A639,'[AQ_2023.xlsx]原始数据'!$A:$A,0)),""))</f>
        <v/>
      </c>
      <c r="F639">
        <f>IF($A639="","",IFERROR(INDEX('[AQ_2024.xlsx]原始数据'!$B:$B,MATCH($A639,'[AQ_2024.xlsx]原始数据'!$A:$A,0)),""))</f>
        <v/>
      </c>
      <c r="G639">
        <f>IF($A639="","",IFERROR(INDEX('[AQ_2020.xlsx]原始数据'!$C:$C,MATCH($A639,'[AQ_2020.xlsx]原始数据'!$A:$A,0)),""))</f>
        <v/>
      </c>
      <c r="H639">
        <f>IF($A639="","",IFERROR(INDEX('[AQ_2021.xlsx]原始数据'!$C:$C,MATCH($A639,'[AQ_2021.xlsx]原始数据'!$A:$A,0)),""))</f>
        <v/>
      </c>
      <c r="I639">
        <f>IF($A639="","",IFERROR(INDEX('[AQ_2022.xlsx]原始数据'!$C:$C,MATCH($A639,'[AQ_2022.xlsx]原始数据'!$A:$A,0)),""))</f>
        <v/>
      </c>
      <c r="J639">
        <f>IF($A639="","",IFERROR(INDEX('[AQ_2023.xlsx]原始数据'!$C:$C,MATCH($A639,'[AQ_2023.xlsx]原始数据'!$A:$A,0)),""))</f>
        <v/>
      </c>
      <c r="K639">
        <f>IF($A639="","",IFERROR(INDEX('[AQ_2024.xlsx]原始数据'!$C:$C,MATCH($A639,'[AQ_2024.xlsx]原始数据'!$A:$A,0)),""))</f>
        <v/>
      </c>
      <c r="L639">
        <f>IF($A639="","",IFERROR(INDEX('[AQ_2020.xlsx]原始数据'!$D:$D,MATCH($A639,'[AQ_2020.xlsx]原始数据'!$A:$A,0)),""))</f>
        <v/>
      </c>
      <c r="M639">
        <f>IF($A639="","",IFERROR(INDEX('[AQ_2021.xlsx]原始数据'!$D:$D,MATCH($A639,'[AQ_2021.xlsx]原始数据'!$A:$A,0)),""))</f>
        <v/>
      </c>
      <c r="N639">
        <f>IF($A639="","",IFERROR(INDEX('[AQ_2022.xlsx]原始数据'!$D:$D,MATCH($A639,'[AQ_2022.xlsx]原始数据'!$A:$A,0)),""))</f>
        <v/>
      </c>
      <c r="O639">
        <f>IF($A639="","",IFERROR(INDEX('[AQ_2023.xlsx]原始数据'!$D:$D,MATCH($A639,'[AQ_2023.xlsx]原始数据'!$A:$A,0)),""))</f>
        <v/>
      </c>
      <c r="P639">
        <f>IF($A639="","",IFERROR(INDEX('[AQ_2024.xlsx]原始数据'!$D:$D,MATCH($A639,'[AQ_2024.xlsx]原始数据'!$A:$A,0)),""))</f>
        <v/>
      </c>
      <c r="Q639">
        <f>IF($A639="","",IFERROR(INDEX('[AQ_2020.xlsx]原始数据'!$E:$E,MATCH($A639,'[AQ_2020.xlsx]原始数据'!$A:$A,0)),""))</f>
        <v/>
      </c>
      <c r="R639">
        <f>IF($A639="","",IFERROR(INDEX('[AQ_2021.xlsx]原始数据'!$E:$E,MATCH($A639,'[AQ_2021.xlsx]原始数据'!$A:$A,0)),""))</f>
        <v/>
      </c>
      <c r="S639">
        <f>IF($A639="","",IFERROR(INDEX('[AQ_2022.xlsx]原始数据'!$E:$E,MATCH($A639,'[AQ_2022.xlsx]原始数据'!$A:$A,0)),""))</f>
        <v/>
      </c>
      <c r="T639">
        <f>IF($A639="","",IFERROR(INDEX('[AQ_2023.xlsx]原始数据'!$E:$E,MATCH($A639,'[AQ_2023.xlsx]原始数据'!$A:$A,0)),""))</f>
        <v/>
      </c>
      <c r="U639">
        <f>IF($A639="","",IFERROR(INDEX('[AQ_2024.xlsx]原始数据'!$E:$E,MATCH($A639,'[AQ_2024.xlsx]原始数据'!$A:$A,0)),""))</f>
        <v/>
      </c>
      <c r="V639">
        <f>IF($A639="","",IFERROR(INDEX('[AQ_2020.xlsx]原始数据'!$F:$F,MATCH($A639,'[AQ_2020.xlsx]原始数据'!$A:$A,0)),""))</f>
        <v/>
      </c>
      <c r="W639">
        <f>IF($A639="","",IFERROR(INDEX('[AQ_2021.xlsx]原始数据'!$F:$F,MATCH($A639,'[AQ_2021.xlsx]原始数据'!$A:$A,0)),""))</f>
        <v/>
      </c>
      <c r="X639">
        <f>IF($A639="","",IFERROR(INDEX('[AQ_2022.xlsx]原始数据'!$F:$F,MATCH($A639,'[AQ_2022.xlsx]原始数据'!$A:$A,0)),""))</f>
        <v/>
      </c>
      <c r="Y639">
        <f>IF($A639="","",IFERROR(INDEX('[AQ_2023.xlsx]原始数据'!$F:$F,MATCH($A639,'[AQ_2023.xlsx]原始数据'!$A:$A,0)),""))</f>
        <v/>
      </c>
      <c r="Z639">
        <f>IF($A639="","",IFERROR(INDEX('[AQ_2024.xlsx]原始数据'!$F:$F,MATCH($A639,'[AQ_2024.xlsx]原始数据'!$A:$A,0)),""))</f>
        <v/>
      </c>
      <c r="AA639" s="2">
        <f>IFERROR(G639/B639,"")</f>
        <v/>
      </c>
      <c r="AB639" s="2">
        <f>IFERROR(H639/C639,"")</f>
        <v/>
      </c>
      <c r="AC639" s="2">
        <f>IFERROR(I639/D639,"")</f>
        <v/>
      </c>
      <c r="AD639" s="2">
        <f>IFERROR(J639/E639,"")</f>
        <v/>
      </c>
      <c r="AE639" s="2">
        <f>IFERROR(K639/F639,"")</f>
        <v/>
      </c>
      <c r="AF639" s="2">
        <f>IFERROR(L639/B639,"")</f>
        <v/>
      </c>
      <c r="AG639" s="2">
        <f>IFERROR(M639/C639,"")</f>
        <v/>
      </c>
      <c r="AH639" s="2">
        <f>IFERROR(N639/D639,"")</f>
        <v/>
      </c>
      <c r="AI639" s="2">
        <f>IFERROR(O639/E639,"")</f>
        <v/>
      </c>
      <c r="AJ639" s="2">
        <f>IFERROR(P639/F639,"")</f>
        <v/>
      </c>
      <c r="AK639" s="2">
        <f>IFERROR(Q639/B639,"")</f>
        <v/>
      </c>
      <c r="AL639" s="2">
        <f>IFERROR(R639/C639,"")</f>
        <v/>
      </c>
      <c r="AM639" s="2">
        <f>IFERROR(S639/D639,"")</f>
        <v/>
      </c>
      <c r="AN639" s="2">
        <f>IFERROR(T639/E639,"")</f>
        <v/>
      </c>
      <c r="AO639" s="2">
        <f>IFERROR(U639/F639,"")</f>
        <v/>
      </c>
    </row>
    <row r="640">
      <c r="B640">
        <f>IF($A640="","",IFERROR(INDEX('[AQ_2020.xlsx]原始数据'!$B:$B,MATCH($A640,'[AQ_2020.xlsx]原始数据'!$A:$A,0)),""))</f>
        <v/>
      </c>
      <c r="C640">
        <f>IF($A640="","",IFERROR(INDEX('[AQ_2021.xlsx]原始数据'!$B:$B,MATCH($A640,'[AQ_2021.xlsx]原始数据'!$A:$A,0)),""))</f>
        <v/>
      </c>
      <c r="D640">
        <f>IF($A640="","",IFERROR(INDEX('[AQ_2022.xlsx]原始数据'!$B:$B,MATCH($A640,'[AQ_2022.xlsx]原始数据'!$A:$A,0)),""))</f>
        <v/>
      </c>
      <c r="E640">
        <f>IF($A640="","",IFERROR(INDEX('[AQ_2023.xlsx]原始数据'!$B:$B,MATCH($A640,'[AQ_2023.xlsx]原始数据'!$A:$A,0)),""))</f>
        <v/>
      </c>
      <c r="F640">
        <f>IF($A640="","",IFERROR(INDEX('[AQ_2024.xlsx]原始数据'!$B:$B,MATCH($A640,'[AQ_2024.xlsx]原始数据'!$A:$A,0)),""))</f>
        <v/>
      </c>
      <c r="G640">
        <f>IF($A640="","",IFERROR(INDEX('[AQ_2020.xlsx]原始数据'!$C:$C,MATCH($A640,'[AQ_2020.xlsx]原始数据'!$A:$A,0)),""))</f>
        <v/>
      </c>
      <c r="H640">
        <f>IF($A640="","",IFERROR(INDEX('[AQ_2021.xlsx]原始数据'!$C:$C,MATCH($A640,'[AQ_2021.xlsx]原始数据'!$A:$A,0)),""))</f>
        <v/>
      </c>
      <c r="I640">
        <f>IF($A640="","",IFERROR(INDEX('[AQ_2022.xlsx]原始数据'!$C:$C,MATCH($A640,'[AQ_2022.xlsx]原始数据'!$A:$A,0)),""))</f>
        <v/>
      </c>
      <c r="J640">
        <f>IF($A640="","",IFERROR(INDEX('[AQ_2023.xlsx]原始数据'!$C:$C,MATCH($A640,'[AQ_2023.xlsx]原始数据'!$A:$A,0)),""))</f>
        <v/>
      </c>
      <c r="K640">
        <f>IF($A640="","",IFERROR(INDEX('[AQ_2024.xlsx]原始数据'!$C:$C,MATCH($A640,'[AQ_2024.xlsx]原始数据'!$A:$A,0)),""))</f>
        <v/>
      </c>
      <c r="L640">
        <f>IF($A640="","",IFERROR(INDEX('[AQ_2020.xlsx]原始数据'!$D:$D,MATCH($A640,'[AQ_2020.xlsx]原始数据'!$A:$A,0)),""))</f>
        <v/>
      </c>
      <c r="M640">
        <f>IF($A640="","",IFERROR(INDEX('[AQ_2021.xlsx]原始数据'!$D:$D,MATCH($A640,'[AQ_2021.xlsx]原始数据'!$A:$A,0)),""))</f>
        <v/>
      </c>
      <c r="N640">
        <f>IF($A640="","",IFERROR(INDEX('[AQ_2022.xlsx]原始数据'!$D:$D,MATCH($A640,'[AQ_2022.xlsx]原始数据'!$A:$A,0)),""))</f>
        <v/>
      </c>
      <c r="O640">
        <f>IF($A640="","",IFERROR(INDEX('[AQ_2023.xlsx]原始数据'!$D:$D,MATCH($A640,'[AQ_2023.xlsx]原始数据'!$A:$A,0)),""))</f>
        <v/>
      </c>
      <c r="P640">
        <f>IF($A640="","",IFERROR(INDEX('[AQ_2024.xlsx]原始数据'!$D:$D,MATCH($A640,'[AQ_2024.xlsx]原始数据'!$A:$A,0)),""))</f>
        <v/>
      </c>
      <c r="Q640">
        <f>IF($A640="","",IFERROR(INDEX('[AQ_2020.xlsx]原始数据'!$E:$E,MATCH($A640,'[AQ_2020.xlsx]原始数据'!$A:$A,0)),""))</f>
        <v/>
      </c>
      <c r="R640">
        <f>IF($A640="","",IFERROR(INDEX('[AQ_2021.xlsx]原始数据'!$E:$E,MATCH($A640,'[AQ_2021.xlsx]原始数据'!$A:$A,0)),""))</f>
        <v/>
      </c>
      <c r="S640">
        <f>IF($A640="","",IFERROR(INDEX('[AQ_2022.xlsx]原始数据'!$E:$E,MATCH($A640,'[AQ_2022.xlsx]原始数据'!$A:$A,0)),""))</f>
        <v/>
      </c>
      <c r="T640">
        <f>IF($A640="","",IFERROR(INDEX('[AQ_2023.xlsx]原始数据'!$E:$E,MATCH($A640,'[AQ_2023.xlsx]原始数据'!$A:$A,0)),""))</f>
        <v/>
      </c>
      <c r="U640">
        <f>IF($A640="","",IFERROR(INDEX('[AQ_2024.xlsx]原始数据'!$E:$E,MATCH($A640,'[AQ_2024.xlsx]原始数据'!$A:$A,0)),""))</f>
        <v/>
      </c>
      <c r="V640">
        <f>IF($A640="","",IFERROR(INDEX('[AQ_2020.xlsx]原始数据'!$F:$F,MATCH($A640,'[AQ_2020.xlsx]原始数据'!$A:$A,0)),""))</f>
        <v/>
      </c>
      <c r="W640">
        <f>IF($A640="","",IFERROR(INDEX('[AQ_2021.xlsx]原始数据'!$F:$F,MATCH($A640,'[AQ_2021.xlsx]原始数据'!$A:$A,0)),""))</f>
        <v/>
      </c>
      <c r="X640">
        <f>IF($A640="","",IFERROR(INDEX('[AQ_2022.xlsx]原始数据'!$F:$F,MATCH($A640,'[AQ_2022.xlsx]原始数据'!$A:$A,0)),""))</f>
        <v/>
      </c>
      <c r="Y640">
        <f>IF($A640="","",IFERROR(INDEX('[AQ_2023.xlsx]原始数据'!$F:$F,MATCH($A640,'[AQ_2023.xlsx]原始数据'!$A:$A,0)),""))</f>
        <v/>
      </c>
      <c r="Z640">
        <f>IF($A640="","",IFERROR(INDEX('[AQ_2024.xlsx]原始数据'!$F:$F,MATCH($A640,'[AQ_2024.xlsx]原始数据'!$A:$A,0)),""))</f>
        <v/>
      </c>
      <c r="AA640" s="2">
        <f>IFERROR(G640/B640,"")</f>
        <v/>
      </c>
      <c r="AB640" s="2">
        <f>IFERROR(H640/C640,"")</f>
        <v/>
      </c>
      <c r="AC640" s="2">
        <f>IFERROR(I640/D640,"")</f>
        <v/>
      </c>
      <c r="AD640" s="2">
        <f>IFERROR(J640/E640,"")</f>
        <v/>
      </c>
      <c r="AE640" s="2">
        <f>IFERROR(K640/F640,"")</f>
        <v/>
      </c>
      <c r="AF640" s="2">
        <f>IFERROR(L640/B640,"")</f>
        <v/>
      </c>
      <c r="AG640" s="2">
        <f>IFERROR(M640/C640,"")</f>
        <v/>
      </c>
      <c r="AH640" s="2">
        <f>IFERROR(N640/D640,"")</f>
        <v/>
      </c>
      <c r="AI640" s="2">
        <f>IFERROR(O640/E640,"")</f>
        <v/>
      </c>
      <c r="AJ640" s="2">
        <f>IFERROR(P640/F640,"")</f>
        <v/>
      </c>
      <c r="AK640" s="2">
        <f>IFERROR(Q640/B640,"")</f>
        <v/>
      </c>
      <c r="AL640" s="2">
        <f>IFERROR(R640/C640,"")</f>
        <v/>
      </c>
      <c r="AM640" s="2">
        <f>IFERROR(S640/D640,"")</f>
        <v/>
      </c>
      <c r="AN640" s="2">
        <f>IFERROR(T640/E640,"")</f>
        <v/>
      </c>
      <c r="AO640" s="2">
        <f>IFERROR(U640/F640,"")</f>
        <v/>
      </c>
    </row>
    <row r="641">
      <c r="B641">
        <f>IF($A641="","",IFERROR(INDEX('[AQ_2020.xlsx]原始数据'!$B:$B,MATCH($A641,'[AQ_2020.xlsx]原始数据'!$A:$A,0)),""))</f>
        <v/>
      </c>
      <c r="C641">
        <f>IF($A641="","",IFERROR(INDEX('[AQ_2021.xlsx]原始数据'!$B:$B,MATCH($A641,'[AQ_2021.xlsx]原始数据'!$A:$A,0)),""))</f>
        <v/>
      </c>
      <c r="D641">
        <f>IF($A641="","",IFERROR(INDEX('[AQ_2022.xlsx]原始数据'!$B:$B,MATCH($A641,'[AQ_2022.xlsx]原始数据'!$A:$A,0)),""))</f>
        <v/>
      </c>
      <c r="E641">
        <f>IF($A641="","",IFERROR(INDEX('[AQ_2023.xlsx]原始数据'!$B:$B,MATCH($A641,'[AQ_2023.xlsx]原始数据'!$A:$A,0)),""))</f>
        <v/>
      </c>
      <c r="F641">
        <f>IF($A641="","",IFERROR(INDEX('[AQ_2024.xlsx]原始数据'!$B:$B,MATCH($A641,'[AQ_2024.xlsx]原始数据'!$A:$A,0)),""))</f>
        <v/>
      </c>
      <c r="G641">
        <f>IF($A641="","",IFERROR(INDEX('[AQ_2020.xlsx]原始数据'!$C:$C,MATCH($A641,'[AQ_2020.xlsx]原始数据'!$A:$A,0)),""))</f>
        <v/>
      </c>
      <c r="H641">
        <f>IF($A641="","",IFERROR(INDEX('[AQ_2021.xlsx]原始数据'!$C:$C,MATCH($A641,'[AQ_2021.xlsx]原始数据'!$A:$A,0)),""))</f>
        <v/>
      </c>
      <c r="I641">
        <f>IF($A641="","",IFERROR(INDEX('[AQ_2022.xlsx]原始数据'!$C:$C,MATCH($A641,'[AQ_2022.xlsx]原始数据'!$A:$A,0)),""))</f>
        <v/>
      </c>
      <c r="J641">
        <f>IF($A641="","",IFERROR(INDEX('[AQ_2023.xlsx]原始数据'!$C:$C,MATCH($A641,'[AQ_2023.xlsx]原始数据'!$A:$A,0)),""))</f>
        <v/>
      </c>
      <c r="K641">
        <f>IF($A641="","",IFERROR(INDEX('[AQ_2024.xlsx]原始数据'!$C:$C,MATCH($A641,'[AQ_2024.xlsx]原始数据'!$A:$A,0)),""))</f>
        <v/>
      </c>
      <c r="L641">
        <f>IF($A641="","",IFERROR(INDEX('[AQ_2020.xlsx]原始数据'!$D:$D,MATCH($A641,'[AQ_2020.xlsx]原始数据'!$A:$A,0)),""))</f>
        <v/>
      </c>
      <c r="M641">
        <f>IF($A641="","",IFERROR(INDEX('[AQ_2021.xlsx]原始数据'!$D:$D,MATCH($A641,'[AQ_2021.xlsx]原始数据'!$A:$A,0)),""))</f>
        <v/>
      </c>
      <c r="N641">
        <f>IF($A641="","",IFERROR(INDEX('[AQ_2022.xlsx]原始数据'!$D:$D,MATCH($A641,'[AQ_2022.xlsx]原始数据'!$A:$A,0)),""))</f>
        <v/>
      </c>
      <c r="O641">
        <f>IF($A641="","",IFERROR(INDEX('[AQ_2023.xlsx]原始数据'!$D:$D,MATCH($A641,'[AQ_2023.xlsx]原始数据'!$A:$A,0)),""))</f>
        <v/>
      </c>
      <c r="P641">
        <f>IF($A641="","",IFERROR(INDEX('[AQ_2024.xlsx]原始数据'!$D:$D,MATCH($A641,'[AQ_2024.xlsx]原始数据'!$A:$A,0)),""))</f>
        <v/>
      </c>
      <c r="Q641">
        <f>IF($A641="","",IFERROR(INDEX('[AQ_2020.xlsx]原始数据'!$E:$E,MATCH($A641,'[AQ_2020.xlsx]原始数据'!$A:$A,0)),""))</f>
        <v/>
      </c>
      <c r="R641">
        <f>IF($A641="","",IFERROR(INDEX('[AQ_2021.xlsx]原始数据'!$E:$E,MATCH($A641,'[AQ_2021.xlsx]原始数据'!$A:$A,0)),""))</f>
        <v/>
      </c>
      <c r="S641">
        <f>IF($A641="","",IFERROR(INDEX('[AQ_2022.xlsx]原始数据'!$E:$E,MATCH($A641,'[AQ_2022.xlsx]原始数据'!$A:$A,0)),""))</f>
        <v/>
      </c>
      <c r="T641">
        <f>IF($A641="","",IFERROR(INDEX('[AQ_2023.xlsx]原始数据'!$E:$E,MATCH($A641,'[AQ_2023.xlsx]原始数据'!$A:$A,0)),""))</f>
        <v/>
      </c>
      <c r="U641">
        <f>IF($A641="","",IFERROR(INDEX('[AQ_2024.xlsx]原始数据'!$E:$E,MATCH($A641,'[AQ_2024.xlsx]原始数据'!$A:$A,0)),""))</f>
        <v/>
      </c>
      <c r="V641">
        <f>IF($A641="","",IFERROR(INDEX('[AQ_2020.xlsx]原始数据'!$F:$F,MATCH($A641,'[AQ_2020.xlsx]原始数据'!$A:$A,0)),""))</f>
        <v/>
      </c>
      <c r="W641">
        <f>IF($A641="","",IFERROR(INDEX('[AQ_2021.xlsx]原始数据'!$F:$F,MATCH($A641,'[AQ_2021.xlsx]原始数据'!$A:$A,0)),""))</f>
        <v/>
      </c>
      <c r="X641">
        <f>IF($A641="","",IFERROR(INDEX('[AQ_2022.xlsx]原始数据'!$F:$F,MATCH($A641,'[AQ_2022.xlsx]原始数据'!$A:$A,0)),""))</f>
        <v/>
      </c>
      <c r="Y641">
        <f>IF($A641="","",IFERROR(INDEX('[AQ_2023.xlsx]原始数据'!$F:$F,MATCH($A641,'[AQ_2023.xlsx]原始数据'!$A:$A,0)),""))</f>
        <v/>
      </c>
      <c r="Z641">
        <f>IF($A641="","",IFERROR(INDEX('[AQ_2024.xlsx]原始数据'!$F:$F,MATCH($A641,'[AQ_2024.xlsx]原始数据'!$A:$A,0)),""))</f>
        <v/>
      </c>
      <c r="AA641" s="2">
        <f>IFERROR(G641/B641,"")</f>
        <v/>
      </c>
      <c r="AB641" s="2">
        <f>IFERROR(H641/C641,"")</f>
        <v/>
      </c>
      <c r="AC641" s="2">
        <f>IFERROR(I641/D641,"")</f>
        <v/>
      </c>
      <c r="AD641" s="2">
        <f>IFERROR(J641/E641,"")</f>
        <v/>
      </c>
      <c r="AE641" s="2">
        <f>IFERROR(K641/F641,"")</f>
        <v/>
      </c>
      <c r="AF641" s="2">
        <f>IFERROR(L641/B641,"")</f>
        <v/>
      </c>
      <c r="AG641" s="2">
        <f>IFERROR(M641/C641,"")</f>
        <v/>
      </c>
      <c r="AH641" s="2">
        <f>IFERROR(N641/D641,"")</f>
        <v/>
      </c>
      <c r="AI641" s="2">
        <f>IFERROR(O641/E641,"")</f>
        <v/>
      </c>
      <c r="AJ641" s="2">
        <f>IFERROR(P641/F641,"")</f>
        <v/>
      </c>
      <c r="AK641" s="2">
        <f>IFERROR(Q641/B641,"")</f>
        <v/>
      </c>
      <c r="AL641" s="2">
        <f>IFERROR(R641/C641,"")</f>
        <v/>
      </c>
      <c r="AM641" s="2">
        <f>IFERROR(S641/D641,"")</f>
        <v/>
      </c>
      <c r="AN641" s="2">
        <f>IFERROR(T641/E641,"")</f>
        <v/>
      </c>
      <c r="AO641" s="2">
        <f>IFERROR(U641/F641,"")</f>
        <v/>
      </c>
    </row>
    <row r="642">
      <c r="B642">
        <f>IF($A642="","",IFERROR(INDEX('[AQ_2020.xlsx]原始数据'!$B:$B,MATCH($A642,'[AQ_2020.xlsx]原始数据'!$A:$A,0)),""))</f>
        <v/>
      </c>
      <c r="C642">
        <f>IF($A642="","",IFERROR(INDEX('[AQ_2021.xlsx]原始数据'!$B:$B,MATCH($A642,'[AQ_2021.xlsx]原始数据'!$A:$A,0)),""))</f>
        <v/>
      </c>
      <c r="D642">
        <f>IF($A642="","",IFERROR(INDEX('[AQ_2022.xlsx]原始数据'!$B:$B,MATCH($A642,'[AQ_2022.xlsx]原始数据'!$A:$A,0)),""))</f>
        <v/>
      </c>
      <c r="E642">
        <f>IF($A642="","",IFERROR(INDEX('[AQ_2023.xlsx]原始数据'!$B:$B,MATCH($A642,'[AQ_2023.xlsx]原始数据'!$A:$A,0)),""))</f>
        <v/>
      </c>
      <c r="F642">
        <f>IF($A642="","",IFERROR(INDEX('[AQ_2024.xlsx]原始数据'!$B:$B,MATCH($A642,'[AQ_2024.xlsx]原始数据'!$A:$A,0)),""))</f>
        <v/>
      </c>
      <c r="G642">
        <f>IF($A642="","",IFERROR(INDEX('[AQ_2020.xlsx]原始数据'!$C:$C,MATCH($A642,'[AQ_2020.xlsx]原始数据'!$A:$A,0)),""))</f>
        <v/>
      </c>
      <c r="H642">
        <f>IF($A642="","",IFERROR(INDEX('[AQ_2021.xlsx]原始数据'!$C:$C,MATCH($A642,'[AQ_2021.xlsx]原始数据'!$A:$A,0)),""))</f>
        <v/>
      </c>
      <c r="I642">
        <f>IF($A642="","",IFERROR(INDEX('[AQ_2022.xlsx]原始数据'!$C:$C,MATCH($A642,'[AQ_2022.xlsx]原始数据'!$A:$A,0)),""))</f>
        <v/>
      </c>
      <c r="J642">
        <f>IF($A642="","",IFERROR(INDEX('[AQ_2023.xlsx]原始数据'!$C:$C,MATCH($A642,'[AQ_2023.xlsx]原始数据'!$A:$A,0)),""))</f>
        <v/>
      </c>
      <c r="K642">
        <f>IF($A642="","",IFERROR(INDEX('[AQ_2024.xlsx]原始数据'!$C:$C,MATCH($A642,'[AQ_2024.xlsx]原始数据'!$A:$A,0)),""))</f>
        <v/>
      </c>
      <c r="L642">
        <f>IF($A642="","",IFERROR(INDEX('[AQ_2020.xlsx]原始数据'!$D:$D,MATCH($A642,'[AQ_2020.xlsx]原始数据'!$A:$A,0)),""))</f>
        <v/>
      </c>
      <c r="M642">
        <f>IF($A642="","",IFERROR(INDEX('[AQ_2021.xlsx]原始数据'!$D:$D,MATCH($A642,'[AQ_2021.xlsx]原始数据'!$A:$A,0)),""))</f>
        <v/>
      </c>
      <c r="N642">
        <f>IF($A642="","",IFERROR(INDEX('[AQ_2022.xlsx]原始数据'!$D:$D,MATCH($A642,'[AQ_2022.xlsx]原始数据'!$A:$A,0)),""))</f>
        <v/>
      </c>
      <c r="O642">
        <f>IF($A642="","",IFERROR(INDEX('[AQ_2023.xlsx]原始数据'!$D:$D,MATCH($A642,'[AQ_2023.xlsx]原始数据'!$A:$A,0)),""))</f>
        <v/>
      </c>
      <c r="P642">
        <f>IF($A642="","",IFERROR(INDEX('[AQ_2024.xlsx]原始数据'!$D:$D,MATCH($A642,'[AQ_2024.xlsx]原始数据'!$A:$A,0)),""))</f>
        <v/>
      </c>
      <c r="Q642">
        <f>IF($A642="","",IFERROR(INDEX('[AQ_2020.xlsx]原始数据'!$E:$E,MATCH($A642,'[AQ_2020.xlsx]原始数据'!$A:$A,0)),""))</f>
        <v/>
      </c>
      <c r="R642">
        <f>IF($A642="","",IFERROR(INDEX('[AQ_2021.xlsx]原始数据'!$E:$E,MATCH($A642,'[AQ_2021.xlsx]原始数据'!$A:$A,0)),""))</f>
        <v/>
      </c>
      <c r="S642">
        <f>IF($A642="","",IFERROR(INDEX('[AQ_2022.xlsx]原始数据'!$E:$E,MATCH($A642,'[AQ_2022.xlsx]原始数据'!$A:$A,0)),""))</f>
        <v/>
      </c>
      <c r="T642">
        <f>IF($A642="","",IFERROR(INDEX('[AQ_2023.xlsx]原始数据'!$E:$E,MATCH($A642,'[AQ_2023.xlsx]原始数据'!$A:$A,0)),""))</f>
        <v/>
      </c>
      <c r="U642">
        <f>IF($A642="","",IFERROR(INDEX('[AQ_2024.xlsx]原始数据'!$E:$E,MATCH($A642,'[AQ_2024.xlsx]原始数据'!$A:$A,0)),""))</f>
        <v/>
      </c>
      <c r="V642">
        <f>IF($A642="","",IFERROR(INDEX('[AQ_2020.xlsx]原始数据'!$F:$F,MATCH($A642,'[AQ_2020.xlsx]原始数据'!$A:$A,0)),""))</f>
        <v/>
      </c>
      <c r="W642">
        <f>IF($A642="","",IFERROR(INDEX('[AQ_2021.xlsx]原始数据'!$F:$F,MATCH($A642,'[AQ_2021.xlsx]原始数据'!$A:$A,0)),""))</f>
        <v/>
      </c>
      <c r="X642">
        <f>IF($A642="","",IFERROR(INDEX('[AQ_2022.xlsx]原始数据'!$F:$F,MATCH($A642,'[AQ_2022.xlsx]原始数据'!$A:$A,0)),""))</f>
        <v/>
      </c>
      <c r="Y642">
        <f>IF($A642="","",IFERROR(INDEX('[AQ_2023.xlsx]原始数据'!$F:$F,MATCH($A642,'[AQ_2023.xlsx]原始数据'!$A:$A,0)),""))</f>
        <v/>
      </c>
      <c r="Z642">
        <f>IF($A642="","",IFERROR(INDEX('[AQ_2024.xlsx]原始数据'!$F:$F,MATCH($A642,'[AQ_2024.xlsx]原始数据'!$A:$A,0)),""))</f>
        <v/>
      </c>
      <c r="AA642" s="2">
        <f>IFERROR(G642/B642,"")</f>
        <v/>
      </c>
      <c r="AB642" s="2">
        <f>IFERROR(H642/C642,"")</f>
        <v/>
      </c>
      <c r="AC642" s="2">
        <f>IFERROR(I642/D642,"")</f>
        <v/>
      </c>
      <c r="AD642" s="2">
        <f>IFERROR(J642/E642,"")</f>
        <v/>
      </c>
      <c r="AE642" s="2">
        <f>IFERROR(K642/F642,"")</f>
        <v/>
      </c>
      <c r="AF642" s="2">
        <f>IFERROR(L642/B642,"")</f>
        <v/>
      </c>
      <c r="AG642" s="2">
        <f>IFERROR(M642/C642,"")</f>
        <v/>
      </c>
      <c r="AH642" s="2">
        <f>IFERROR(N642/D642,"")</f>
        <v/>
      </c>
      <c r="AI642" s="2">
        <f>IFERROR(O642/E642,"")</f>
        <v/>
      </c>
      <c r="AJ642" s="2">
        <f>IFERROR(P642/F642,"")</f>
        <v/>
      </c>
      <c r="AK642" s="2">
        <f>IFERROR(Q642/B642,"")</f>
        <v/>
      </c>
      <c r="AL642" s="2">
        <f>IFERROR(R642/C642,"")</f>
        <v/>
      </c>
      <c r="AM642" s="2">
        <f>IFERROR(S642/D642,"")</f>
        <v/>
      </c>
      <c r="AN642" s="2">
        <f>IFERROR(T642/E642,"")</f>
        <v/>
      </c>
      <c r="AO642" s="2">
        <f>IFERROR(U642/F642,"")</f>
        <v/>
      </c>
    </row>
    <row r="643">
      <c r="B643">
        <f>IF($A643="","",IFERROR(INDEX('[AQ_2020.xlsx]原始数据'!$B:$B,MATCH($A643,'[AQ_2020.xlsx]原始数据'!$A:$A,0)),""))</f>
        <v/>
      </c>
      <c r="C643">
        <f>IF($A643="","",IFERROR(INDEX('[AQ_2021.xlsx]原始数据'!$B:$B,MATCH($A643,'[AQ_2021.xlsx]原始数据'!$A:$A,0)),""))</f>
        <v/>
      </c>
      <c r="D643">
        <f>IF($A643="","",IFERROR(INDEX('[AQ_2022.xlsx]原始数据'!$B:$B,MATCH($A643,'[AQ_2022.xlsx]原始数据'!$A:$A,0)),""))</f>
        <v/>
      </c>
      <c r="E643">
        <f>IF($A643="","",IFERROR(INDEX('[AQ_2023.xlsx]原始数据'!$B:$B,MATCH($A643,'[AQ_2023.xlsx]原始数据'!$A:$A,0)),""))</f>
        <v/>
      </c>
      <c r="F643">
        <f>IF($A643="","",IFERROR(INDEX('[AQ_2024.xlsx]原始数据'!$B:$B,MATCH($A643,'[AQ_2024.xlsx]原始数据'!$A:$A,0)),""))</f>
        <v/>
      </c>
      <c r="G643">
        <f>IF($A643="","",IFERROR(INDEX('[AQ_2020.xlsx]原始数据'!$C:$C,MATCH($A643,'[AQ_2020.xlsx]原始数据'!$A:$A,0)),""))</f>
        <v/>
      </c>
      <c r="H643">
        <f>IF($A643="","",IFERROR(INDEX('[AQ_2021.xlsx]原始数据'!$C:$C,MATCH($A643,'[AQ_2021.xlsx]原始数据'!$A:$A,0)),""))</f>
        <v/>
      </c>
      <c r="I643">
        <f>IF($A643="","",IFERROR(INDEX('[AQ_2022.xlsx]原始数据'!$C:$C,MATCH($A643,'[AQ_2022.xlsx]原始数据'!$A:$A,0)),""))</f>
        <v/>
      </c>
      <c r="J643">
        <f>IF($A643="","",IFERROR(INDEX('[AQ_2023.xlsx]原始数据'!$C:$C,MATCH($A643,'[AQ_2023.xlsx]原始数据'!$A:$A,0)),""))</f>
        <v/>
      </c>
      <c r="K643">
        <f>IF($A643="","",IFERROR(INDEX('[AQ_2024.xlsx]原始数据'!$C:$C,MATCH($A643,'[AQ_2024.xlsx]原始数据'!$A:$A,0)),""))</f>
        <v/>
      </c>
      <c r="L643">
        <f>IF($A643="","",IFERROR(INDEX('[AQ_2020.xlsx]原始数据'!$D:$D,MATCH($A643,'[AQ_2020.xlsx]原始数据'!$A:$A,0)),""))</f>
        <v/>
      </c>
      <c r="M643">
        <f>IF($A643="","",IFERROR(INDEX('[AQ_2021.xlsx]原始数据'!$D:$D,MATCH($A643,'[AQ_2021.xlsx]原始数据'!$A:$A,0)),""))</f>
        <v/>
      </c>
      <c r="N643">
        <f>IF($A643="","",IFERROR(INDEX('[AQ_2022.xlsx]原始数据'!$D:$D,MATCH($A643,'[AQ_2022.xlsx]原始数据'!$A:$A,0)),""))</f>
        <v/>
      </c>
      <c r="O643">
        <f>IF($A643="","",IFERROR(INDEX('[AQ_2023.xlsx]原始数据'!$D:$D,MATCH($A643,'[AQ_2023.xlsx]原始数据'!$A:$A,0)),""))</f>
        <v/>
      </c>
      <c r="P643">
        <f>IF($A643="","",IFERROR(INDEX('[AQ_2024.xlsx]原始数据'!$D:$D,MATCH($A643,'[AQ_2024.xlsx]原始数据'!$A:$A,0)),""))</f>
        <v/>
      </c>
      <c r="Q643">
        <f>IF($A643="","",IFERROR(INDEX('[AQ_2020.xlsx]原始数据'!$E:$E,MATCH($A643,'[AQ_2020.xlsx]原始数据'!$A:$A,0)),""))</f>
        <v/>
      </c>
      <c r="R643">
        <f>IF($A643="","",IFERROR(INDEX('[AQ_2021.xlsx]原始数据'!$E:$E,MATCH($A643,'[AQ_2021.xlsx]原始数据'!$A:$A,0)),""))</f>
        <v/>
      </c>
      <c r="S643">
        <f>IF($A643="","",IFERROR(INDEX('[AQ_2022.xlsx]原始数据'!$E:$E,MATCH($A643,'[AQ_2022.xlsx]原始数据'!$A:$A,0)),""))</f>
        <v/>
      </c>
      <c r="T643">
        <f>IF($A643="","",IFERROR(INDEX('[AQ_2023.xlsx]原始数据'!$E:$E,MATCH($A643,'[AQ_2023.xlsx]原始数据'!$A:$A,0)),""))</f>
        <v/>
      </c>
      <c r="U643">
        <f>IF($A643="","",IFERROR(INDEX('[AQ_2024.xlsx]原始数据'!$E:$E,MATCH($A643,'[AQ_2024.xlsx]原始数据'!$A:$A,0)),""))</f>
        <v/>
      </c>
      <c r="V643">
        <f>IF($A643="","",IFERROR(INDEX('[AQ_2020.xlsx]原始数据'!$F:$F,MATCH($A643,'[AQ_2020.xlsx]原始数据'!$A:$A,0)),""))</f>
        <v/>
      </c>
      <c r="W643">
        <f>IF($A643="","",IFERROR(INDEX('[AQ_2021.xlsx]原始数据'!$F:$F,MATCH($A643,'[AQ_2021.xlsx]原始数据'!$A:$A,0)),""))</f>
        <v/>
      </c>
      <c r="X643">
        <f>IF($A643="","",IFERROR(INDEX('[AQ_2022.xlsx]原始数据'!$F:$F,MATCH($A643,'[AQ_2022.xlsx]原始数据'!$A:$A,0)),""))</f>
        <v/>
      </c>
      <c r="Y643">
        <f>IF($A643="","",IFERROR(INDEX('[AQ_2023.xlsx]原始数据'!$F:$F,MATCH($A643,'[AQ_2023.xlsx]原始数据'!$A:$A,0)),""))</f>
        <v/>
      </c>
      <c r="Z643">
        <f>IF($A643="","",IFERROR(INDEX('[AQ_2024.xlsx]原始数据'!$F:$F,MATCH($A643,'[AQ_2024.xlsx]原始数据'!$A:$A,0)),""))</f>
        <v/>
      </c>
      <c r="AA643" s="2">
        <f>IFERROR(G643/B643,"")</f>
        <v/>
      </c>
      <c r="AB643" s="2">
        <f>IFERROR(H643/C643,"")</f>
        <v/>
      </c>
      <c r="AC643" s="2">
        <f>IFERROR(I643/D643,"")</f>
        <v/>
      </c>
      <c r="AD643" s="2">
        <f>IFERROR(J643/E643,"")</f>
        <v/>
      </c>
      <c r="AE643" s="2">
        <f>IFERROR(K643/F643,"")</f>
        <v/>
      </c>
      <c r="AF643" s="2">
        <f>IFERROR(L643/B643,"")</f>
        <v/>
      </c>
      <c r="AG643" s="2">
        <f>IFERROR(M643/C643,"")</f>
        <v/>
      </c>
      <c r="AH643" s="2">
        <f>IFERROR(N643/D643,"")</f>
        <v/>
      </c>
      <c r="AI643" s="2">
        <f>IFERROR(O643/E643,"")</f>
        <v/>
      </c>
      <c r="AJ643" s="2">
        <f>IFERROR(P643/F643,"")</f>
        <v/>
      </c>
      <c r="AK643" s="2">
        <f>IFERROR(Q643/B643,"")</f>
        <v/>
      </c>
      <c r="AL643" s="2">
        <f>IFERROR(R643/C643,"")</f>
        <v/>
      </c>
      <c r="AM643" s="2">
        <f>IFERROR(S643/D643,"")</f>
        <v/>
      </c>
      <c r="AN643" s="2">
        <f>IFERROR(T643/E643,"")</f>
        <v/>
      </c>
      <c r="AO643" s="2">
        <f>IFERROR(U643/F643,"")</f>
        <v/>
      </c>
    </row>
    <row r="644">
      <c r="B644">
        <f>IF($A644="","",IFERROR(INDEX('[AQ_2020.xlsx]原始数据'!$B:$B,MATCH($A644,'[AQ_2020.xlsx]原始数据'!$A:$A,0)),""))</f>
        <v/>
      </c>
      <c r="C644">
        <f>IF($A644="","",IFERROR(INDEX('[AQ_2021.xlsx]原始数据'!$B:$B,MATCH($A644,'[AQ_2021.xlsx]原始数据'!$A:$A,0)),""))</f>
        <v/>
      </c>
      <c r="D644">
        <f>IF($A644="","",IFERROR(INDEX('[AQ_2022.xlsx]原始数据'!$B:$B,MATCH($A644,'[AQ_2022.xlsx]原始数据'!$A:$A,0)),""))</f>
        <v/>
      </c>
      <c r="E644">
        <f>IF($A644="","",IFERROR(INDEX('[AQ_2023.xlsx]原始数据'!$B:$B,MATCH($A644,'[AQ_2023.xlsx]原始数据'!$A:$A,0)),""))</f>
        <v/>
      </c>
      <c r="F644">
        <f>IF($A644="","",IFERROR(INDEX('[AQ_2024.xlsx]原始数据'!$B:$B,MATCH($A644,'[AQ_2024.xlsx]原始数据'!$A:$A,0)),""))</f>
        <v/>
      </c>
      <c r="G644">
        <f>IF($A644="","",IFERROR(INDEX('[AQ_2020.xlsx]原始数据'!$C:$C,MATCH($A644,'[AQ_2020.xlsx]原始数据'!$A:$A,0)),""))</f>
        <v/>
      </c>
      <c r="H644">
        <f>IF($A644="","",IFERROR(INDEX('[AQ_2021.xlsx]原始数据'!$C:$C,MATCH($A644,'[AQ_2021.xlsx]原始数据'!$A:$A,0)),""))</f>
        <v/>
      </c>
      <c r="I644">
        <f>IF($A644="","",IFERROR(INDEX('[AQ_2022.xlsx]原始数据'!$C:$C,MATCH($A644,'[AQ_2022.xlsx]原始数据'!$A:$A,0)),""))</f>
        <v/>
      </c>
      <c r="J644">
        <f>IF($A644="","",IFERROR(INDEX('[AQ_2023.xlsx]原始数据'!$C:$C,MATCH($A644,'[AQ_2023.xlsx]原始数据'!$A:$A,0)),""))</f>
        <v/>
      </c>
      <c r="K644">
        <f>IF($A644="","",IFERROR(INDEX('[AQ_2024.xlsx]原始数据'!$C:$C,MATCH($A644,'[AQ_2024.xlsx]原始数据'!$A:$A,0)),""))</f>
        <v/>
      </c>
      <c r="L644">
        <f>IF($A644="","",IFERROR(INDEX('[AQ_2020.xlsx]原始数据'!$D:$D,MATCH($A644,'[AQ_2020.xlsx]原始数据'!$A:$A,0)),""))</f>
        <v/>
      </c>
      <c r="M644">
        <f>IF($A644="","",IFERROR(INDEX('[AQ_2021.xlsx]原始数据'!$D:$D,MATCH($A644,'[AQ_2021.xlsx]原始数据'!$A:$A,0)),""))</f>
        <v/>
      </c>
      <c r="N644">
        <f>IF($A644="","",IFERROR(INDEX('[AQ_2022.xlsx]原始数据'!$D:$D,MATCH($A644,'[AQ_2022.xlsx]原始数据'!$A:$A,0)),""))</f>
        <v/>
      </c>
      <c r="O644">
        <f>IF($A644="","",IFERROR(INDEX('[AQ_2023.xlsx]原始数据'!$D:$D,MATCH($A644,'[AQ_2023.xlsx]原始数据'!$A:$A,0)),""))</f>
        <v/>
      </c>
      <c r="P644">
        <f>IF($A644="","",IFERROR(INDEX('[AQ_2024.xlsx]原始数据'!$D:$D,MATCH($A644,'[AQ_2024.xlsx]原始数据'!$A:$A,0)),""))</f>
        <v/>
      </c>
      <c r="Q644">
        <f>IF($A644="","",IFERROR(INDEX('[AQ_2020.xlsx]原始数据'!$E:$E,MATCH($A644,'[AQ_2020.xlsx]原始数据'!$A:$A,0)),""))</f>
        <v/>
      </c>
      <c r="R644">
        <f>IF($A644="","",IFERROR(INDEX('[AQ_2021.xlsx]原始数据'!$E:$E,MATCH($A644,'[AQ_2021.xlsx]原始数据'!$A:$A,0)),""))</f>
        <v/>
      </c>
      <c r="S644">
        <f>IF($A644="","",IFERROR(INDEX('[AQ_2022.xlsx]原始数据'!$E:$E,MATCH($A644,'[AQ_2022.xlsx]原始数据'!$A:$A,0)),""))</f>
        <v/>
      </c>
      <c r="T644">
        <f>IF($A644="","",IFERROR(INDEX('[AQ_2023.xlsx]原始数据'!$E:$E,MATCH($A644,'[AQ_2023.xlsx]原始数据'!$A:$A,0)),""))</f>
        <v/>
      </c>
      <c r="U644">
        <f>IF($A644="","",IFERROR(INDEX('[AQ_2024.xlsx]原始数据'!$E:$E,MATCH($A644,'[AQ_2024.xlsx]原始数据'!$A:$A,0)),""))</f>
        <v/>
      </c>
      <c r="V644">
        <f>IF($A644="","",IFERROR(INDEX('[AQ_2020.xlsx]原始数据'!$F:$F,MATCH($A644,'[AQ_2020.xlsx]原始数据'!$A:$A,0)),""))</f>
        <v/>
      </c>
      <c r="W644">
        <f>IF($A644="","",IFERROR(INDEX('[AQ_2021.xlsx]原始数据'!$F:$F,MATCH($A644,'[AQ_2021.xlsx]原始数据'!$A:$A,0)),""))</f>
        <v/>
      </c>
      <c r="X644">
        <f>IF($A644="","",IFERROR(INDEX('[AQ_2022.xlsx]原始数据'!$F:$F,MATCH($A644,'[AQ_2022.xlsx]原始数据'!$A:$A,0)),""))</f>
        <v/>
      </c>
      <c r="Y644">
        <f>IF($A644="","",IFERROR(INDEX('[AQ_2023.xlsx]原始数据'!$F:$F,MATCH($A644,'[AQ_2023.xlsx]原始数据'!$A:$A,0)),""))</f>
        <v/>
      </c>
      <c r="Z644">
        <f>IF($A644="","",IFERROR(INDEX('[AQ_2024.xlsx]原始数据'!$F:$F,MATCH($A644,'[AQ_2024.xlsx]原始数据'!$A:$A,0)),""))</f>
        <v/>
      </c>
      <c r="AA644" s="2">
        <f>IFERROR(G644/B644,"")</f>
        <v/>
      </c>
      <c r="AB644" s="2">
        <f>IFERROR(H644/C644,"")</f>
        <v/>
      </c>
      <c r="AC644" s="2">
        <f>IFERROR(I644/D644,"")</f>
        <v/>
      </c>
      <c r="AD644" s="2">
        <f>IFERROR(J644/E644,"")</f>
        <v/>
      </c>
      <c r="AE644" s="2">
        <f>IFERROR(K644/F644,"")</f>
        <v/>
      </c>
      <c r="AF644" s="2">
        <f>IFERROR(L644/B644,"")</f>
        <v/>
      </c>
      <c r="AG644" s="2">
        <f>IFERROR(M644/C644,"")</f>
        <v/>
      </c>
      <c r="AH644" s="2">
        <f>IFERROR(N644/D644,"")</f>
        <v/>
      </c>
      <c r="AI644" s="2">
        <f>IFERROR(O644/E644,"")</f>
        <v/>
      </c>
      <c r="AJ644" s="2">
        <f>IFERROR(P644/F644,"")</f>
        <v/>
      </c>
      <c r="AK644" s="2">
        <f>IFERROR(Q644/B644,"")</f>
        <v/>
      </c>
      <c r="AL644" s="2">
        <f>IFERROR(R644/C644,"")</f>
        <v/>
      </c>
      <c r="AM644" s="2">
        <f>IFERROR(S644/D644,"")</f>
        <v/>
      </c>
      <c r="AN644" s="2">
        <f>IFERROR(T644/E644,"")</f>
        <v/>
      </c>
      <c r="AO644" s="2">
        <f>IFERROR(U644/F644,"")</f>
        <v/>
      </c>
    </row>
    <row r="645">
      <c r="B645">
        <f>IF($A645="","",IFERROR(INDEX('[AQ_2020.xlsx]原始数据'!$B:$B,MATCH($A645,'[AQ_2020.xlsx]原始数据'!$A:$A,0)),""))</f>
        <v/>
      </c>
      <c r="C645">
        <f>IF($A645="","",IFERROR(INDEX('[AQ_2021.xlsx]原始数据'!$B:$B,MATCH($A645,'[AQ_2021.xlsx]原始数据'!$A:$A,0)),""))</f>
        <v/>
      </c>
      <c r="D645">
        <f>IF($A645="","",IFERROR(INDEX('[AQ_2022.xlsx]原始数据'!$B:$B,MATCH($A645,'[AQ_2022.xlsx]原始数据'!$A:$A,0)),""))</f>
        <v/>
      </c>
      <c r="E645">
        <f>IF($A645="","",IFERROR(INDEX('[AQ_2023.xlsx]原始数据'!$B:$B,MATCH($A645,'[AQ_2023.xlsx]原始数据'!$A:$A,0)),""))</f>
        <v/>
      </c>
      <c r="F645">
        <f>IF($A645="","",IFERROR(INDEX('[AQ_2024.xlsx]原始数据'!$B:$B,MATCH($A645,'[AQ_2024.xlsx]原始数据'!$A:$A,0)),""))</f>
        <v/>
      </c>
      <c r="G645">
        <f>IF($A645="","",IFERROR(INDEX('[AQ_2020.xlsx]原始数据'!$C:$C,MATCH($A645,'[AQ_2020.xlsx]原始数据'!$A:$A,0)),""))</f>
        <v/>
      </c>
      <c r="H645">
        <f>IF($A645="","",IFERROR(INDEX('[AQ_2021.xlsx]原始数据'!$C:$C,MATCH($A645,'[AQ_2021.xlsx]原始数据'!$A:$A,0)),""))</f>
        <v/>
      </c>
      <c r="I645">
        <f>IF($A645="","",IFERROR(INDEX('[AQ_2022.xlsx]原始数据'!$C:$C,MATCH($A645,'[AQ_2022.xlsx]原始数据'!$A:$A,0)),""))</f>
        <v/>
      </c>
      <c r="J645">
        <f>IF($A645="","",IFERROR(INDEX('[AQ_2023.xlsx]原始数据'!$C:$C,MATCH($A645,'[AQ_2023.xlsx]原始数据'!$A:$A,0)),""))</f>
        <v/>
      </c>
      <c r="K645">
        <f>IF($A645="","",IFERROR(INDEX('[AQ_2024.xlsx]原始数据'!$C:$C,MATCH($A645,'[AQ_2024.xlsx]原始数据'!$A:$A,0)),""))</f>
        <v/>
      </c>
      <c r="L645">
        <f>IF($A645="","",IFERROR(INDEX('[AQ_2020.xlsx]原始数据'!$D:$D,MATCH($A645,'[AQ_2020.xlsx]原始数据'!$A:$A,0)),""))</f>
        <v/>
      </c>
      <c r="M645">
        <f>IF($A645="","",IFERROR(INDEX('[AQ_2021.xlsx]原始数据'!$D:$D,MATCH($A645,'[AQ_2021.xlsx]原始数据'!$A:$A,0)),""))</f>
        <v/>
      </c>
      <c r="N645">
        <f>IF($A645="","",IFERROR(INDEX('[AQ_2022.xlsx]原始数据'!$D:$D,MATCH($A645,'[AQ_2022.xlsx]原始数据'!$A:$A,0)),""))</f>
        <v/>
      </c>
      <c r="O645">
        <f>IF($A645="","",IFERROR(INDEX('[AQ_2023.xlsx]原始数据'!$D:$D,MATCH($A645,'[AQ_2023.xlsx]原始数据'!$A:$A,0)),""))</f>
        <v/>
      </c>
      <c r="P645">
        <f>IF($A645="","",IFERROR(INDEX('[AQ_2024.xlsx]原始数据'!$D:$D,MATCH($A645,'[AQ_2024.xlsx]原始数据'!$A:$A,0)),""))</f>
        <v/>
      </c>
      <c r="Q645">
        <f>IF($A645="","",IFERROR(INDEX('[AQ_2020.xlsx]原始数据'!$E:$E,MATCH($A645,'[AQ_2020.xlsx]原始数据'!$A:$A,0)),""))</f>
        <v/>
      </c>
      <c r="R645">
        <f>IF($A645="","",IFERROR(INDEX('[AQ_2021.xlsx]原始数据'!$E:$E,MATCH($A645,'[AQ_2021.xlsx]原始数据'!$A:$A,0)),""))</f>
        <v/>
      </c>
      <c r="S645">
        <f>IF($A645="","",IFERROR(INDEX('[AQ_2022.xlsx]原始数据'!$E:$E,MATCH($A645,'[AQ_2022.xlsx]原始数据'!$A:$A,0)),""))</f>
        <v/>
      </c>
      <c r="T645">
        <f>IF($A645="","",IFERROR(INDEX('[AQ_2023.xlsx]原始数据'!$E:$E,MATCH($A645,'[AQ_2023.xlsx]原始数据'!$A:$A,0)),""))</f>
        <v/>
      </c>
      <c r="U645">
        <f>IF($A645="","",IFERROR(INDEX('[AQ_2024.xlsx]原始数据'!$E:$E,MATCH($A645,'[AQ_2024.xlsx]原始数据'!$A:$A,0)),""))</f>
        <v/>
      </c>
      <c r="V645">
        <f>IF($A645="","",IFERROR(INDEX('[AQ_2020.xlsx]原始数据'!$F:$F,MATCH($A645,'[AQ_2020.xlsx]原始数据'!$A:$A,0)),""))</f>
        <v/>
      </c>
      <c r="W645">
        <f>IF($A645="","",IFERROR(INDEX('[AQ_2021.xlsx]原始数据'!$F:$F,MATCH($A645,'[AQ_2021.xlsx]原始数据'!$A:$A,0)),""))</f>
        <v/>
      </c>
      <c r="X645">
        <f>IF($A645="","",IFERROR(INDEX('[AQ_2022.xlsx]原始数据'!$F:$F,MATCH($A645,'[AQ_2022.xlsx]原始数据'!$A:$A,0)),""))</f>
        <v/>
      </c>
      <c r="Y645">
        <f>IF($A645="","",IFERROR(INDEX('[AQ_2023.xlsx]原始数据'!$F:$F,MATCH($A645,'[AQ_2023.xlsx]原始数据'!$A:$A,0)),""))</f>
        <v/>
      </c>
      <c r="Z645">
        <f>IF($A645="","",IFERROR(INDEX('[AQ_2024.xlsx]原始数据'!$F:$F,MATCH($A645,'[AQ_2024.xlsx]原始数据'!$A:$A,0)),""))</f>
        <v/>
      </c>
      <c r="AA645" s="2">
        <f>IFERROR(G645/B645,"")</f>
        <v/>
      </c>
      <c r="AB645" s="2">
        <f>IFERROR(H645/C645,"")</f>
        <v/>
      </c>
      <c r="AC645" s="2">
        <f>IFERROR(I645/D645,"")</f>
        <v/>
      </c>
      <c r="AD645" s="2">
        <f>IFERROR(J645/E645,"")</f>
        <v/>
      </c>
      <c r="AE645" s="2">
        <f>IFERROR(K645/F645,"")</f>
        <v/>
      </c>
      <c r="AF645" s="2">
        <f>IFERROR(L645/B645,"")</f>
        <v/>
      </c>
      <c r="AG645" s="2">
        <f>IFERROR(M645/C645,"")</f>
        <v/>
      </c>
      <c r="AH645" s="2">
        <f>IFERROR(N645/D645,"")</f>
        <v/>
      </c>
      <c r="AI645" s="2">
        <f>IFERROR(O645/E645,"")</f>
        <v/>
      </c>
      <c r="AJ645" s="2">
        <f>IFERROR(P645/F645,"")</f>
        <v/>
      </c>
      <c r="AK645" s="2">
        <f>IFERROR(Q645/B645,"")</f>
        <v/>
      </c>
      <c r="AL645" s="2">
        <f>IFERROR(R645/C645,"")</f>
        <v/>
      </c>
      <c r="AM645" s="2">
        <f>IFERROR(S645/D645,"")</f>
        <v/>
      </c>
      <c r="AN645" s="2">
        <f>IFERROR(T645/E645,"")</f>
        <v/>
      </c>
      <c r="AO645" s="2">
        <f>IFERROR(U645/F645,"")</f>
        <v/>
      </c>
    </row>
    <row r="646">
      <c r="B646">
        <f>IF($A646="","",IFERROR(INDEX('[AQ_2020.xlsx]原始数据'!$B:$B,MATCH($A646,'[AQ_2020.xlsx]原始数据'!$A:$A,0)),""))</f>
        <v/>
      </c>
      <c r="C646">
        <f>IF($A646="","",IFERROR(INDEX('[AQ_2021.xlsx]原始数据'!$B:$B,MATCH($A646,'[AQ_2021.xlsx]原始数据'!$A:$A,0)),""))</f>
        <v/>
      </c>
      <c r="D646">
        <f>IF($A646="","",IFERROR(INDEX('[AQ_2022.xlsx]原始数据'!$B:$B,MATCH($A646,'[AQ_2022.xlsx]原始数据'!$A:$A,0)),""))</f>
        <v/>
      </c>
      <c r="E646">
        <f>IF($A646="","",IFERROR(INDEX('[AQ_2023.xlsx]原始数据'!$B:$B,MATCH($A646,'[AQ_2023.xlsx]原始数据'!$A:$A,0)),""))</f>
        <v/>
      </c>
      <c r="F646">
        <f>IF($A646="","",IFERROR(INDEX('[AQ_2024.xlsx]原始数据'!$B:$B,MATCH($A646,'[AQ_2024.xlsx]原始数据'!$A:$A,0)),""))</f>
        <v/>
      </c>
      <c r="G646">
        <f>IF($A646="","",IFERROR(INDEX('[AQ_2020.xlsx]原始数据'!$C:$C,MATCH($A646,'[AQ_2020.xlsx]原始数据'!$A:$A,0)),""))</f>
        <v/>
      </c>
      <c r="H646">
        <f>IF($A646="","",IFERROR(INDEX('[AQ_2021.xlsx]原始数据'!$C:$C,MATCH($A646,'[AQ_2021.xlsx]原始数据'!$A:$A,0)),""))</f>
        <v/>
      </c>
      <c r="I646">
        <f>IF($A646="","",IFERROR(INDEX('[AQ_2022.xlsx]原始数据'!$C:$C,MATCH($A646,'[AQ_2022.xlsx]原始数据'!$A:$A,0)),""))</f>
        <v/>
      </c>
      <c r="J646">
        <f>IF($A646="","",IFERROR(INDEX('[AQ_2023.xlsx]原始数据'!$C:$C,MATCH($A646,'[AQ_2023.xlsx]原始数据'!$A:$A,0)),""))</f>
        <v/>
      </c>
      <c r="K646">
        <f>IF($A646="","",IFERROR(INDEX('[AQ_2024.xlsx]原始数据'!$C:$C,MATCH($A646,'[AQ_2024.xlsx]原始数据'!$A:$A,0)),""))</f>
        <v/>
      </c>
      <c r="L646">
        <f>IF($A646="","",IFERROR(INDEX('[AQ_2020.xlsx]原始数据'!$D:$D,MATCH($A646,'[AQ_2020.xlsx]原始数据'!$A:$A,0)),""))</f>
        <v/>
      </c>
      <c r="M646">
        <f>IF($A646="","",IFERROR(INDEX('[AQ_2021.xlsx]原始数据'!$D:$D,MATCH($A646,'[AQ_2021.xlsx]原始数据'!$A:$A,0)),""))</f>
        <v/>
      </c>
      <c r="N646">
        <f>IF($A646="","",IFERROR(INDEX('[AQ_2022.xlsx]原始数据'!$D:$D,MATCH($A646,'[AQ_2022.xlsx]原始数据'!$A:$A,0)),""))</f>
        <v/>
      </c>
      <c r="O646">
        <f>IF($A646="","",IFERROR(INDEX('[AQ_2023.xlsx]原始数据'!$D:$D,MATCH($A646,'[AQ_2023.xlsx]原始数据'!$A:$A,0)),""))</f>
        <v/>
      </c>
      <c r="P646">
        <f>IF($A646="","",IFERROR(INDEX('[AQ_2024.xlsx]原始数据'!$D:$D,MATCH($A646,'[AQ_2024.xlsx]原始数据'!$A:$A,0)),""))</f>
        <v/>
      </c>
      <c r="Q646">
        <f>IF($A646="","",IFERROR(INDEX('[AQ_2020.xlsx]原始数据'!$E:$E,MATCH($A646,'[AQ_2020.xlsx]原始数据'!$A:$A,0)),""))</f>
        <v/>
      </c>
      <c r="R646">
        <f>IF($A646="","",IFERROR(INDEX('[AQ_2021.xlsx]原始数据'!$E:$E,MATCH($A646,'[AQ_2021.xlsx]原始数据'!$A:$A,0)),""))</f>
        <v/>
      </c>
      <c r="S646">
        <f>IF($A646="","",IFERROR(INDEX('[AQ_2022.xlsx]原始数据'!$E:$E,MATCH($A646,'[AQ_2022.xlsx]原始数据'!$A:$A,0)),""))</f>
        <v/>
      </c>
      <c r="T646">
        <f>IF($A646="","",IFERROR(INDEX('[AQ_2023.xlsx]原始数据'!$E:$E,MATCH($A646,'[AQ_2023.xlsx]原始数据'!$A:$A,0)),""))</f>
        <v/>
      </c>
      <c r="U646">
        <f>IF($A646="","",IFERROR(INDEX('[AQ_2024.xlsx]原始数据'!$E:$E,MATCH($A646,'[AQ_2024.xlsx]原始数据'!$A:$A,0)),""))</f>
        <v/>
      </c>
      <c r="V646">
        <f>IF($A646="","",IFERROR(INDEX('[AQ_2020.xlsx]原始数据'!$F:$F,MATCH($A646,'[AQ_2020.xlsx]原始数据'!$A:$A,0)),""))</f>
        <v/>
      </c>
      <c r="W646">
        <f>IF($A646="","",IFERROR(INDEX('[AQ_2021.xlsx]原始数据'!$F:$F,MATCH($A646,'[AQ_2021.xlsx]原始数据'!$A:$A,0)),""))</f>
        <v/>
      </c>
      <c r="X646">
        <f>IF($A646="","",IFERROR(INDEX('[AQ_2022.xlsx]原始数据'!$F:$F,MATCH($A646,'[AQ_2022.xlsx]原始数据'!$A:$A,0)),""))</f>
        <v/>
      </c>
      <c r="Y646">
        <f>IF($A646="","",IFERROR(INDEX('[AQ_2023.xlsx]原始数据'!$F:$F,MATCH($A646,'[AQ_2023.xlsx]原始数据'!$A:$A,0)),""))</f>
        <v/>
      </c>
      <c r="Z646">
        <f>IF($A646="","",IFERROR(INDEX('[AQ_2024.xlsx]原始数据'!$F:$F,MATCH($A646,'[AQ_2024.xlsx]原始数据'!$A:$A,0)),""))</f>
        <v/>
      </c>
      <c r="AA646" s="2">
        <f>IFERROR(G646/B646,"")</f>
        <v/>
      </c>
      <c r="AB646" s="2">
        <f>IFERROR(H646/C646,"")</f>
        <v/>
      </c>
      <c r="AC646" s="2">
        <f>IFERROR(I646/D646,"")</f>
        <v/>
      </c>
      <c r="AD646" s="2">
        <f>IFERROR(J646/E646,"")</f>
        <v/>
      </c>
      <c r="AE646" s="2">
        <f>IFERROR(K646/F646,"")</f>
        <v/>
      </c>
      <c r="AF646" s="2">
        <f>IFERROR(L646/B646,"")</f>
        <v/>
      </c>
      <c r="AG646" s="2">
        <f>IFERROR(M646/C646,"")</f>
        <v/>
      </c>
      <c r="AH646" s="2">
        <f>IFERROR(N646/D646,"")</f>
        <v/>
      </c>
      <c r="AI646" s="2">
        <f>IFERROR(O646/E646,"")</f>
        <v/>
      </c>
      <c r="AJ646" s="2">
        <f>IFERROR(P646/F646,"")</f>
        <v/>
      </c>
      <c r="AK646" s="2">
        <f>IFERROR(Q646/B646,"")</f>
        <v/>
      </c>
      <c r="AL646" s="2">
        <f>IFERROR(R646/C646,"")</f>
        <v/>
      </c>
      <c r="AM646" s="2">
        <f>IFERROR(S646/D646,"")</f>
        <v/>
      </c>
      <c r="AN646" s="2">
        <f>IFERROR(T646/E646,"")</f>
        <v/>
      </c>
      <c r="AO646" s="2">
        <f>IFERROR(U646/F646,"")</f>
        <v/>
      </c>
    </row>
    <row r="647">
      <c r="B647">
        <f>IF($A647="","",IFERROR(INDEX('[AQ_2020.xlsx]原始数据'!$B:$B,MATCH($A647,'[AQ_2020.xlsx]原始数据'!$A:$A,0)),""))</f>
        <v/>
      </c>
      <c r="C647">
        <f>IF($A647="","",IFERROR(INDEX('[AQ_2021.xlsx]原始数据'!$B:$B,MATCH($A647,'[AQ_2021.xlsx]原始数据'!$A:$A,0)),""))</f>
        <v/>
      </c>
      <c r="D647">
        <f>IF($A647="","",IFERROR(INDEX('[AQ_2022.xlsx]原始数据'!$B:$B,MATCH($A647,'[AQ_2022.xlsx]原始数据'!$A:$A,0)),""))</f>
        <v/>
      </c>
      <c r="E647">
        <f>IF($A647="","",IFERROR(INDEX('[AQ_2023.xlsx]原始数据'!$B:$B,MATCH($A647,'[AQ_2023.xlsx]原始数据'!$A:$A,0)),""))</f>
        <v/>
      </c>
      <c r="F647">
        <f>IF($A647="","",IFERROR(INDEX('[AQ_2024.xlsx]原始数据'!$B:$B,MATCH($A647,'[AQ_2024.xlsx]原始数据'!$A:$A,0)),""))</f>
        <v/>
      </c>
      <c r="G647">
        <f>IF($A647="","",IFERROR(INDEX('[AQ_2020.xlsx]原始数据'!$C:$C,MATCH($A647,'[AQ_2020.xlsx]原始数据'!$A:$A,0)),""))</f>
        <v/>
      </c>
      <c r="H647">
        <f>IF($A647="","",IFERROR(INDEX('[AQ_2021.xlsx]原始数据'!$C:$C,MATCH($A647,'[AQ_2021.xlsx]原始数据'!$A:$A,0)),""))</f>
        <v/>
      </c>
      <c r="I647">
        <f>IF($A647="","",IFERROR(INDEX('[AQ_2022.xlsx]原始数据'!$C:$C,MATCH($A647,'[AQ_2022.xlsx]原始数据'!$A:$A,0)),""))</f>
        <v/>
      </c>
      <c r="J647">
        <f>IF($A647="","",IFERROR(INDEX('[AQ_2023.xlsx]原始数据'!$C:$C,MATCH($A647,'[AQ_2023.xlsx]原始数据'!$A:$A,0)),""))</f>
        <v/>
      </c>
      <c r="K647">
        <f>IF($A647="","",IFERROR(INDEX('[AQ_2024.xlsx]原始数据'!$C:$C,MATCH($A647,'[AQ_2024.xlsx]原始数据'!$A:$A,0)),""))</f>
        <v/>
      </c>
      <c r="L647">
        <f>IF($A647="","",IFERROR(INDEX('[AQ_2020.xlsx]原始数据'!$D:$D,MATCH($A647,'[AQ_2020.xlsx]原始数据'!$A:$A,0)),""))</f>
        <v/>
      </c>
      <c r="M647">
        <f>IF($A647="","",IFERROR(INDEX('[AQ_2021.xlsx]原始数据'!$D:$D,MATCH($A647,'[AQ_2021.xlsx]原始数据'!$A:$A,0)),""))</f>
        <v/>
      </c>
      <c r="N647">
        <f>IF($A647="","",IFERROR(INDEX('[AQ_2022.xlsx]原始数据'!$D:$D,MATCH($A647,'[AQ_2022.xlsx]原始数据'!$A:$A,0)),""))</f>
        <v/>
      </c>
      <c r="O647">
        <f>IF($A647="","",IFERROR(INDEX('[AQ_2023.xlsx]原始数据'!$D:$D,MATCH($A647,'[AQ_2023.xlsx]原始数据'!$A:$A,0)),""))</f>
        <v/>
      </c>
      <c r="P647">
        <f>IF($A647="","",IFERROR(INDEX('[AQ_2024.xlsx]原始数据'!$D:$D,MATCH($A647,'[AQ_2024.xlsx]原始数据'!$A:$A,0)),""))</f>
        <v/>
      </c>
      <c r="Q647">
        <f>IF($A647="","",IFERROR(INDEX('[AQ_2020.xlsx]原始数据'!$E:$E,MATCH($A647,'[AQ_2020.xlsx]原始数据'!$A:$A,0)),""))</f>
        <v/>
      </c>
      <c r="R647">
        <f>IF($A647="","",IFERROR(INDEX('[AQ_2021.xlsx]原始数据'!$E:$E,MATCH($A647,'[AQ_2021.xlsx]原始数据'!$A:$A,0)),""))</f>
        <v/>
      </c>
      <c r="S647">
        <f>IF($A647="","",IFERROR(INDEX('[AQ_2022.xlsx]原始数据'!$E:$E,MATCH($A647,'[AQ_2022.xlsx]原始数据'!$A:$A,0)),""))</f>
        <v/>
      </c>
      <c r="T647">
        <f>IF($A647="","",IFERROR(INDEX('[AQ_2023.xlsx]原始数据'!$E:$E,MATCH($A647,'[AQ_2023.xlsx]原始数据'!$A:$A,0)),""))</f>
        <v/>
      </c>
      <c r="U647">
        <f>IF($A647="","",IFERROR(INDEX('[AQ_2024.xlsx]原始数据'!$E:$E,MATCH($A647,'[AQ_2024.xlsx]原始数据'!$A:$A,0)),""))</f>
        <v/>
      </c>
      <c r="V647">
        <f>IF($A647="","",IFERROR(INDEX('[AQ_2020.xlsx]原始数据'!$F:$F,MATCH($A647,'[AQ_2020.xlsx]原始数据'!$A:$A,0)),""))</f>
        <v/>
      </c>
      <c r="W647">
        <f>IF($A647="","",IFERROR(INDEX('[AQ_2021.xlsx]原始数据'!$F:$F,MATCH($A647,'[AQ_2021.xlsx]原始数据'!$A:$A,0)),""))</f>
        <v/>
      </c>
      <c r="X647">
        <f>IF($A647="","",IFERROR(INDEX('[AQ_2022.xlsx]原始数据'!$F:$F,MATCH($A647,'[AQ_2022.xlsx]原始数据'!$A:$A,0)),""))</f>
        <v/>
      </c>
      <c r="Y647">
        <f>IF($A647="","",IFERROR(INDEX('[AQ_2023.xlsx]原始数据'!$F:$F,MATCH($A647,'[AQ_2023.xlsx]原始数据'!$A:$A,0)),""))</f>
        <v/>
      </c>
      <c r="Z647">
        <f>IF($A647="","",IFERROR(INDEX('[AQ_2024.xlsx]原始数据'!$F:$F,MATCH($A647,'[AQ_2024.xlsx]原始数据'!$A:$A,0)),""))</f>
        <v/>
      </c>
      <c r="AA647" s="2">
        <f>IFERROR(G647/B647,"")</f>
        <v/>
      </c>
      <c r="AB647" s="2">
        <f>IFERROR(H647/C647,"")</f>
        <v/>
      </c>
      <c r="AC647" s="2">
        <f>IFERROR(I647/D647,"")</f>
        <v/>
      </c>
      <c r="AD647" s="2">
        <f>IFERROR(J647/E647,"")</f>
        <v/>
      </c>
      <c r="AE647" s="2">
        <f>IFERROR(K647/F647,"")</f>
        <v/>
      </c>
      <c r="AF647" s="2">
        <f>IFERROR(L647/B647,"")</f>
        <v/>
      </c>
      <c r="AG647" s="2">
        <f>IFERROR(M647/C647,"")</f>
        <v/>
      </c>
      <c r="AH647" s="2">
        <f>IFERROR(N647/D647,"")</f>
        <v/>
      </c>
      <c r="AI647" s="2">
        <f>IFERROR(O647/E647,"")</f>
        <v/>
      </c>
      <c r="AJ647" s="2">
        <f>IFERROR(P647/F647,"")</f>
        <v/>
      </c>
      <c r="AK647" s="2">
        <f>IFERROR(Q647/B647,"")</f>
        <v/>
      </c>
      <c r="AL647" s="2">
        <f>IFERROR(R647/C647,"")</f>
        <v/>
      </c>
      <c r="AM647" s="2">
        <f>IFERROR(S647/D647,"")</f>
        <v/>
      </c>
      <c r="AN647" s="2">
        <f>IFERROR(T647/E647,"")</f>
        <v/>
      </c>
      <c r="AO647" s="2">
        <f>IFERROR(U647/F647,"")</f>
        <v/>
      </c>
    </row>
    <row r="648">
      <c r="B648">
        <f>IF($A648="","",IFERROR(INDEX('[AQ_2020.xlsx]原始数据'!$B:$B,MATCH($A648,'[AQ_2020.xlsx]原始数据'!$A:$A,0)),""))</f>
        <v/>
      </c>
      <c r="C648">
        <f>IF($A648="","",IFERROR(INDEX('[AQ_2021.xlsx]原始数据'!$B:$B,MATCH($A648,'[AQ_2021.xlsx]原始数据'!$A:$A,0)),""))</f>
        <v/>
      </c>
      <c r="D648">
        <f>IF($A648="","",IFERROR(INDEX('[AQ_2022.xlsx]原始数据'!$B:$B,MATCH($A648,'[AQ_2022.xlsx]原始数据'!$A:$A,0)),""))</f>
        <v/>
      </c>
      <c r="E648">
        <f>IF($A648="","",IFERROR(INDEX('[AQ_2023.xlsx]原始数据'!$B:$B,MATCH($A648,'[AQ_2023.xlsx]原始数据'!$A:$A,0)),""))</f>
        <v/>
      </c>
      <c r="F648">
        <f>IF($A648="","",IFERROR(INDEX('[AQ_2024.xlsx]原始数据'!$B:$B,MATCH($A648,'[AQ_2024.xlsx]原始数据'!$A:$A,0)),""))</f>
        <v/>
      </c>
      <c r="G648">
        <f>IF($A648="","",IFERROR(INDEX('[AQ_2020.xlsx]原始数据'!$C:$C,MATCH($A648,'[AQ_2020.xlsx]原始数据'!$A:$A,0)),""))</f>
        <v/>
      </c>
      <c r="H648">
        <f>IF($A648="","",IFERROR(INDEX('[AQ_2021.xlsx]原始数据'!$C:$C,MATCH($A648,'[AQ_2021.xlsx]原始数据'!$A:$A,0)),""))</f>
        <v/>
      </c>
      <c r="I648">
        <f>IF($A648="","",IFERROR(INDEX('[AQ_2022.xlsx]原始数据'!$C:$C,MATCH($A648,'[AQ_2022.xlsx]原始数据'!$A:$A,0)),""))</f>
        <v/>
      </c>
      <c r="J648">
        <f>IF($A648="","",IFERROR(INDEX('[AQ_2023.xlsx]原始数据'!$C:$C,MATCH($A648,'[AQ_2023.xlsx]原始数据'!$A:$A,0)),""))</f>
        <v/>
      </c>
      <c r="K648">
        <f>IF($A648="","",IFERROR(INDEX('[AQ_2024.xlsx]原始数据'!$C:$C,MATCH($A648,'[AQ_2024.xlsx]原始数据'!$A:$A,0)),""))</f>
        <v/>
      </c>
      <c r="L648">
        <f>IF($A648="","",IFERROR(INDEX('[AQ_2020.xlsx]原始数据'!$D:$D,MATCH($A648,'[AQ_2020.xlsx]原始数据'!$A:$A,0)),""))</f>
        <v/>
      </c>
      <c r="M648">
        <f>IF($A648="","",IFERROR(INDEX('[AQ_2021.xlsx]原始数据'!$D:$D,MATCH($A648,'[AQ_2021.xlsx]原始数据'!$A:$A,0)),""))</f>
        <v/>
      </c>
      <c r="N648">
        <f>IF($A648="","",IFERROR(INDEX('[AQ_2022.xlsx]原始数据'!$D:$D,MATCH($A648,'[AQ_2022.xlsx]原始数据'!$A:$A,0)),""))</f>
        <v/>
      </c>
      <c r="O648">
        <f>IF($A648="","",IFERROR(INDEX('[AQ_2023.xlsx]原始数据'!$D:$D,MATCH($A648,'[AQ_2023.xlsx]原始数据'!$A:$A,0)),""))</f>
        <v/>
      </c>
      <c r="P648">
        <f>IF($A648="","",IFERROR(INDEX('[AQ_2024.xlsx]原始数据'!$D:$D,MATCH($A648,'[AQ_2024.xlsx]原始数据'!$A:$A,0)),""))</f>
        <v/>
      </c>
      <c r="Q648">
        <f>IF($A648="","",IFERROR(INDEX('[AQ_2020.xlsx]原始数据'!$E:$E,MATCH($A648,'[AQ_2020.xlsx]原始数据'!$A:$A,0)),""))</f>
        <v/>
      </c>
      <c r="R648">
        <f>IF($A648="","",IFERROR(INDEX('[AQ_2021.xlsx]原始数据'!$E:$E,MATCH($A648,'[AQ_2021.xlsx]原始数据'!$A:$A,0)),""))</f>
        <v/>
      </c>
      <c r="S648">
        <f>IF($A648="","",IFERROR(INDEX('[AQ_2022.xlsx]原始数据'!$E:$E,MATCH($A648,'[AQ_2022.xlsx]原始数据'!$A:$A,0)),""))</f>
        <v/>
      </c>
      <c r="T648">
        <f>IF($A648="","",IFERROR(INDEX('[AQ_2023.xlsx]原始数据'!$E:$E,MATCH($A648,'[AQ_2023.xlsx]原始数据'!$A:$A,0)),""))</f>
        <v/>
      </c>
      <c r="U648">
        <f>IF($A648="","",IFERROR(INDEX('[AQ_2024.xlsx]原始数据'!$E:$E,MATCH($A648,'[AQ_2024.xlsx]原始数据'!$A:$A,0)),""))</f>
        <v/>
      </c>
      <c r="V648">
        <f>IF($A648="","",IFERROR(INDEX('[AQ_2020.xlsx]原始数据'!$F:$F,MATCH($A648,'[AQ_2020.xlsx]原始数据'!$A:$A,0)),""))</f>
        <v/>
      </c>
      <c r="W648">
        <f>IF($A648="","",IFERROR(INDEX('[AQ_2021.xlsx]原始数据'!$F:$F,MATCH($A648,'[AQ_2021.xlsx]原始数据'!$A:$A,0)),""))</f>
        <v/>
      </c>
      <c r="X648">
        <f>IF($A648="","",IFERROR(INDEX('[AQ_2022.xlsx]原始数据'!$F:$F,MATCH($A648,'[AQ_2022.xlsx]原始数据'!$A:$A,0)),""))</f>
        <v/>
      </c>
      <c r="Y648">
        <f>IF($A648="","",IFERROR(INDEX('[AQ_2023.xlsx]原始数据'!$F:$F,MATCH($A648,'[AQ_2023.xlsx]原始数据'!$A:$A,0)),""))</f>
        <v/>
      </c>
      <c r="Z648">
        <f>IF($A648="","",IFERROR(INDEX('[AQ_2024.xlsx]原始数据'!$F:$F,MATCH($A648,'[AQ_2024.xlsx]原始数据'!$A:$A,0)),""))</f>
        <v/>
      </c>
      <c r="AA648" s="2">
        <f>IFERROR(G648/B648,"")</f>
        <v/>
      </c>
      <c r="AB648" s="2">
        <f>IFERROR(H648/C648,"")</f>
        <v/>
      </c>
      <c r="AC648" s="2">
        <f>IFERROR(I648/D648,"")</f>
        <v/>
      </c>
      <c r="AD648" s="2">
        <f>IFERROR(J648/E648,"")</f>
        <v/>
      </c>
      <c r="AE648" s="2">
        <f>IFERROR(K648/F648,"")</f>
        <v/>
      </c>
      <c r="AF648" s="2">
        <f>IFERROR(L648/B648,"")</f>
        <v/>
      </c>
      <c r="AG648" s="2">
        <f>IFERROR(M648/C648,"")</f>
        <v/>
      </c>
      <c r="AH648" s="2">
        <f>IFERROR(N648/D648,"")</f>
        <v/>
      </c>
      <c r="AI648" s="2">
        <f>IFERROR(O648/E648,"")</f>
        <v/>
      </c>
      <c r="AJ648" s="2">
        <f>IFERROR(P648/F648,"")</f>
        <v/>
      </c>
      <c r="AK648" s="2">
        <f>IFERROR(Q648/B648,"")</f>
        <v/>
      </c>
      <c r="AL648" s="2">
        <f>IFERROR(R648/C648,"")</f>
        <v/>
      </c>
      <c r="AM648" s="2">
        <f>IFERROR(S648/D648,"")</f>
        <v/>
      </c>
      <c r="AN648" s="2">
        <f>IFERROR(T648/E648,"")</f>
        <v/>
      </c>
      <c r="AO648" s="2">
        <f>IFERROR(U648/F648,"")</f>
        <v/>
      </c>
    </row>
    <row r="649">
      <c r="B649">
        <f>IF($A649="","",IFERROR(INDEX('[AQ_2020.xlsx]原始数据'!$B:$B,MATCH($A649,'[AQ_2020.xlsx]原始数据'!$A:$A,0)),""))</f>
        <v/>
      </c>
      <c r="C649">
        <f>IF($A649="","",IFERROR(INDEX('[AQ_2021.xlsx]原始数据'!$B:$B,MATCH($A649,'[AQ_2021.xlsx]原始数据'!$A:$A,0)),""))</f>
        <v/>
      </c>
      <c r="D649">
        <f>IF($A649="","",IFERROR(INDEX('[AQ_2022.xlsx]原始数据'!$B:$B,MATCH($A649,'[AQ_2022.xlsx]原始数据'!$A:$A,0)),""))</f>
        <v/>
      </c>
      <c r="E649">
        <f>IF($A649="","",IFERROR(INDEX('[AQ_2023.xlsx]原始数据'!$B:$B,MATCH($A649,'[AQ_2023.xlsx]原始数据'!$A:$A,0)),""))</f>
        <v/>
      </c>
      <c r="F649">
        <f>IF($A649="","",IFERROR(INDEX('[AQ_2024.xlsx]原始数据'!$B:$B,MATCH($A649,'[AQ_2024.xlsx]原始数据'!$A:$A,0)),""))</f>
        <v/>
      </c>
      <c r="G649">
        <f>IF($A649="","",IFERROR(INDEX('[AQ_2020.xlsx]原始数据'!$C:$C,MATCH($A649,'[AQ_2020.xlsx]原始数据'!$A:$A,0)),""))</f>
        <v/>
      </c>
      <c r="H649">
        <f>IF($A649="","",IFERROR(INDEX('[AQ_2021.xlsx]原始数据'!$C:$C,MATCH($A649,'[AQ_2021.xlsx]原始数据'!$A:$A,0)),""))</f>
        <v/>
      </c>
      <c r="I649">
        <f>IF($A649="","",IFERROR(INDEX('[AQ_2022.xlsx]原始数据'!$C:$C,MATCH($A649,'[AQ_2022.xlsx]原始数据'!$A:$A,0)),""))</f>
        <v/>
      </c>
      <c r="J649">
        <f>IF($A649="","",IFERROR(INDEX('[AQ_2023.xlsx]原始数据'!$C:$C,MATCH($A649,'[AQ_2023.xlsx]原始数据'!$A:$A,0)),""))</f>
        <v/>
      </c>
      <c r="K649">
        <f>IF($A649="","",IFERROR(INDEX('[AQ_2024.xlsx]原始数据'!$C:$C,MATCH($A649,'[AQ_2024.xlsx]原始数据'!$A:$A,0)),""))</f>
        <v/>
      </c>
      <c r="L649">
        <f>IF($A649="","",IFERROR(INDEX('[AQ_2020.xlsx]原始数据'!$D:$D,MATCH($A649,'[AQ_2020.xlsx]原始数据'!$A:$A,0)),""))</f>
        <v/>
      </c>
      <c r="M649">
        <f>IF($A649="","",IFERROR(INDEX('[AQ_2021.xlsx]原始数据'!$D:$D,MATCH($A649,'[AQ_2021.xlsx]原始数据'!$A:$A,0)),""))</f>
        <v/>
      </c>
      <c r="N649">
        <f>IF($A649="","",IFERROR(INDEX('[AQ_2022.xlsx]原始数据'!$D:$D,MATCH($A649,'[AQ_2022.xlsx]原始数据'!$A:$A,0)),""))</f>
        <v/>
      </c>
      <c r="O649">
        <f>IF($A649="","",IFERROR(INDEX('[AQ_2023.xlsx]原始数据'!$D:$D,MATCH($A649,'[AQ_2023.xlsx]原始数据'!$A:$A,0)),""))</f>
        <v/>
      </c>
      <c r="P649">
        <f>IF($A649="","",IFERROR(INDEX('[AQ_2024.xlsx]原始数据'!$D:$D,MATCH($A649,'[AQ_2024.xlsx]原始数据'!$A:$A,0)),""))</f>
        <v/>
      </c>
      <c r="Q649">
        <f>IF($A649="","",IFERROR(INDEX('[AQ_2020.xlsx]原始数据'!$E:$E,MATCH($A649,'[AQ_2020.xlsx]原始数据'!$A:$A,0)),""))</f>
        <v/>
      </c>
      <c r="R649">
        <f>IF($A649="","",IFERROR(INDEX('[AQ_2021.xlsx]原始数据'!$E:$E,MATCH($A649,'[AQ_2021.xlsx]原始数据'!$A:$A,0)),""))</f>
        <v/>
      </c>
      <c r="S649">
        <f>IF($A649="","",IFERROR(INDEX('[AQ_2022.xlsx]原始数据'!$E:$E,MATCH($A649,'[AQ_2022.xlsx]原始数据'!$A:$A,0)),""))</f>
        <v/>
      </c>
      <c r="T649">
        <f>IF($A649="","",IFERROR(INDEX('[AQ_2023.xlsx]原始数据'!$E:$E,MATCH($A649,'[AQ_2023.xlsx]原始数据'!$A:$A,0)),""))</f>
        <v/>
      </c>
      <c r="U649">
        <f>IF($A649="","",IFERROR(INDEX('[AQ_2024.xlsx]原始数据'!$E:$E,MATCH($A649,'[AQ_2024.xlsx]原始数据'!$A:$A,0)),""))</f>
        <v/>
      </c>
      <c r="V649">
        <f>IF($A649="","",IFERROR(INDEX('[AQ_2020.xlsx]原始数据'!$F:$F,MATCH($A649,'[AQ_2020.xlsx]原始数据'!$A:$A,0)),""))</f>
        <v/>
      </c>
      <c r="W649">
        <f>IF($A649="","",IFERROR(INDEX('[AQ_2021.xlsx]原始数据'!$F:$F,MATCH($A649,'[AQ_2021.xlsx]原始数据'!$A:$A,0)),""))</f>
        <v/>
      </c>
      <c r="X649">
        <f>IF($A649="","",IFERROR(INDEX('[AQ_2022.xlsx]原始数据'!$F:$F,MATCH($A649,'[AQ_2022.xlsx]原始数据'!$A:$A,0)),""))</f>
        <v/>
      </c>
      <c r="Y649">
        <f>IF($A649="","",IFERROR(INDEX('[AQ_2023.xlsx]原始数据'!$F:$F,MATCH($A649,'[AQ_2023.xlsx]原始数据'!$A:$A,0)),""))</f>
        <v/>
      </c>
      <c r="Z649">
        <f>IF($A649="","",IFERROR(INDEX('[AQ_2024.xlsx]原始数据'!$F:$F,MATCH($A649,'[AQ_2024.xlsx]原始数据'!$A:$A,0)),""))</f>
        <v/>
      </c>
      <c r="AA649" s="2">
        <f>IFERROR(G649/B649,"")</f>
        <v/>
      </c>
      <c r="AB649" s="2">
        <f>IFERROR(H649/C649,"")</f>
        <v/>
      </c>
      <c r="AC649" s="2">
        <f>IFERROR(I649/D649,"")</f>
        <v/>
      </c>
      <c r="AD649" s="2">
        <f>IFERROR(J649/E649,"")</f>
        <v/>
      </c>
      <c r="AE649" s="2">
        <f>IFERROR(K649/F649,"")</f>
        <v/>
      </c>
      <c r="AF649" s="2">
        <f>IFERROR(L649/B649,"")</f>
        <v/>
      </c>
      <c r="AG649" s="2">
        <f>IFERROR(M649/C649,"")</f>
        <v/>
      </c>
      <c r="AH649" s="2">
        <f>IFERROR(N649/D649,"")</f>
        <v/>
      </c>
      <c r="AI649" s="2">
        <f>IFERROR(O649/E649,"")</f>
        <v/>
      </c>
      <c r="AJ649" s="2">
        <f>IFERROR(P649/F649,"")</f>
        <v/>
      </c>
      <c r="AK649" s="2">
        <f>IFERROR(Q649/B649,"")</f>
        <v/>
      </c>
      <c r="AL649" s="2">
        <f>IFERROR(R649/C649,"")</f>
        <v/>
      </c>
      <c r="AM649" s="2">
        <f>IFERROR(S649/D649,"")</f>
        <v/>
      </c>
      <c r="AN649" s="2">
        <f>IFERROR(T649/E649,"")</f>
        <v/>
      </c>
      <c r="AO649" s="2">
        <f>IFERROR(U649/F649,"")</f>
        <v/>
      </c>
    </row>
    <row r="650">
      <c r="B650">
        <f>IF($A650="","",IFERROR(INDEX('[AQ_2020.xlsx]原始数据'!$B:$B,MATCH($A650,'[AQ_2020.xlsx]原始数据'!$A:$A,0)),""))</f>
        <v/>
      </c>
      <c r="C650">
        <f>IF($A650="","",IFERROR(INDEX('[AQ_2021.xlsx]原始数据'!$B:$B,MATCH($A650,'[AQ_2021.xlsx]原始数据'!$A:$A,0)),""))</f>
        <v/>
      </c>
      <c r="D650">
        <f>IF($A650="","",IFERROR(INDEX('[AQ_2022.xlsx]原始数据'!$B:$B,MATCH($A650,'[AQ_2022.xlsx]原始数据'!$A:$A,0)),""))</f>
        <v/>
      </c>
      <c r="E650">
        <f>IF($A650="","",IFERROR(INDEX('[AQ_2023.xlsx]原始数据'!$B:$B,MATCH($A650,'[AQ_2023.xlsx]原始数据'!$A:$A,0)),""))</f>
        <v/>
      </c>
      <c r="F650">
        <f>IF($A650="","",IFERROR(INDEX('[AQ_2024.xlsx]原始数据'!$B:$B,MATCH($A650,'[AQ_2024.xlsx]原始数据'!$A:$A,0)),""))</f>
        <v/>
      </c>
      <c r="G650">
        <f>IF($A650="","",IFERROR(INDEX('[AQ_2020.xlsx]原始数据'!$C:$C,MATCH($A650,'[AQ_2020.xlsx]原始数据'!$A:$A,0)),""))</f>
        <v/>
      </c>
      <c r="H650">
        <f>IF($A650="","",IFERROR(INDEX('[AQ_2021.xlsx]原始数据'!$C:$C,MATCH($A650,'[AQ_2021.xlsx]原始数据'!$A:$A,0)),""))</f>
        <v/>
      </c>
      <c r="I650">
        <f>IF($A650="","",IFERROR(INDEX('[AQ_2022.xlsx]原始数据'!$C:$C,MATCH($A650,'[AQ_2022.xlsx]原始数据'!$A:$A,0)),""))</f>
        <v/>
      </c>
      <c r="J650">
        <f>IF($A650="","",IFERROR(INDEX('[AQ_2023.xlsx]原始数据'!$C:$C,MATCH($A650,'[AQ_2023.xlsx]原始数据'!$A:$A,0)),""))</f>
        <v/>
      </c>
      <c r="K650">
        <f>IF($A650="","",IFERROR(INDEX('[AQ_2024.xlsx]原始数据'!$C:$C,MATCH($A650,'[AQ_2024.xlsx]原始数据'!$A:$A,0)),""))</f>
        <v/>
      </c>
      <c r="L650">
        <f>IF($A650="","",IFERROR(INDEX('[AQ_2020.xlsx]原始数据'!$D:$D,MATCH($A650,'[AQ_2020.xlsx]原始数据'!$A:$A,0)),""))</f>
        <v/>
      </c>
      <c r="M650">
        <f>IF($A650="","",IFERROR(INDEX('[AQ_2021.xlsx]原始数据'!$D:$D,MATCH($A650,'[AQ_2021.xlsx]原始数据'!$A:$A,0)),""))</f>
        <v/>
      </c>
      <c r="N650">
        <f>IF($A650="","",IFERROR(INDEX('[AQ_2022.xlsx]原始数据'!$D:$D,MATCH($A650,'[AQ_2022.xlsx]原始数据'!$A:$A,0)),""))</f>
        <v/>
      </c>
      <c r="O650">
        <f>IF($A650="","",IFERROR(INDEX('[AQ_2023.xlsx]原始数据'!$D:$D,MATCH($A650,'[AQ_2023.xlsx]原始数据'!$A:$A,0)),""))</f>
        <v/>
      </c>
      <c r="P650">
        <f>IF($A650="","",IFERROR(INDEX('[AQ_2024.xlsx]原始数据'!$D:$D,MATCH($A650,'[AQ_2024.xlsx]原始数据'!$A:$A,0)),""))</f>
        <v/>
      </c>
      <c r="Q650">
        <f>IF($A650="","",IFERROR(INDEX('[AQ_2020.xlsx]原始数据'!$E:$E,MATCH($A650,'[AQ_2020.xlsx]原始数据'!$A:$A,0)),""))</f>
        <v/>
      </c>
      <c r="R650">
        <f>IF($A650="","",IFERROR(INDEX('[AQ_2021.xlsx]原始数据'!$E:$E,MATCH($A650,'[AQ_2021.xlsx]原始数据'!$A:$A,0)),""))</f>
        <v/>
      </c>
      <c r="S650">
        <f>IF($A650="","",IFERROR(INDEX('[AQ_2022.xlsx]原始数据'!$E:$E,MATCH($A650,'[AQ_2022.xlsx]原始数据'!$A:$A,0)),""))</f>
        <v/>
      </c>
      <c r="T650">
        <f>IF($A650="","",IFERROR(INDEX('[AQ_2023.xlsx]原始数据'!$E:$E,MATCH($A650,'[AQ_2023.xlsx]原始数据'!$A:$A,0)),""))</f>
        <v/>
      </c>
      <c r="U650">
        <f>IF($A650="","",IFERROR(INDEX('[AQ_2024.xlsx]原始数据'!$E:$E,MATCH($A650,'[AQ_2024.xlsx]原始数据'!$A:$A,0)),""))</f>
        <v/>
      </c>
      <c r="V650">
        <f>IF($A650="","",IFERROR(INDEX('[AQ_2020.xlsx]原始数据'!$F:$F,MATCH($A650,'[AQ_2020.xlsx]原始数据'!$A:$A,0)),""))</f>
        <v/>
      </c>
      <c r="W650">
        <f>IF($A650="","",IFERROR(INDEX('[AQ_2021.xlsx]原始数据'!$F:$F,MATCH($A650,'[AQ_2021.xlsx]原始数据'!$A:$A,0)),""))</f>
        <v/>
      </c>
      <c r="X650">
        <f>IF($A650="","",IFERROR(INDEX('[AQ_2022.xlsx]原始数据'!$F:$F,MATCH($A650,'[AQ_2022.xlsx]原始数据'!$A:$A,0)),""))</f>
        <v/>
      </c>
      <c r="Y650">
        <f>IF($A650="","",IFERROR(INDEX('[AQ_2023.xlsx]原始数据'!$F:$F,MATCH($A650,'[AQ_2023.xlsx]原始数据'!$A:$A,0)),""))</f>
        <v/>
      </c>
      <c r="Z650">
        <f>IF($A650="","",IFERROR(INDEX('[AQ_2024.xlsx]原始数据'!$F:$F,MATCH($A650,'[AQ_2024.xlsx]原始数据'!$A:$A,0)),""))</f>
        <v/>
      </c>
      <c r="AA650" s="2">
        <f>IFERROR(G650/B650,"")</f>
        <v/>
      </c>
      <c r="AB650" s="2">
        <f>IFERROR(H650/C650,"")</f>
        <v/>
      </c>
      <c r="AC650" s="2">
        <f>IFERROR(I650/D650,"")</f>
        <v/>
      </c>
      <c r="AD650" s="2">
        <f>IFERROR(J650/E650,"")</f>
        <v/>
      </c>
      <c r="AE650" s="2">
        <f>IFERROR(K650/F650,"")</f>
        <v/>
      </c>
      <c r="AF650" s="2">
        <f>IFERROR(L650/B650,"")</f>
        <v/>
      </c>
      <c r="AG650" s="2">
        <f>IFERROR(M650/C650,"")</f>
        <v/>
      </c>
      <c r="AH650" s="2">
        <f>IFERROR(N650/D650,"")</f>
        <v/>
      </c>
      <c r="AI650" s="2">
        <f>IFERROR(O650/E650,"")</f>
        <v/>
      </c>
      <c r="AJ650" s="2">
        <f>IFERROR(P650/F650,"")</f>
        <v/>
      </c>
      <c r="AK650" s="2">
        <f>IFERROR(Q650/B650,"")</f>
        <v/>
      </c>
      <c r="AL650" s="2">
        <f>IFERROR(R650/C650,"")</f>
        <v/>
      </c>
      <c r="AM650" s="2">
        <f>IFERROR(S650/D650,"")</f>
        <v/>
      </c>
      <c r="AN650" s="2">
        <f>IFERROR(T650/E650,"")</f>
        <v/>
      </c>
      <c r="AO650" s="2">
        <f>IFERROR(U650/F650,"")</f>
        <v/>
      </c>
    </row>
    <row r="651">
      <c r="B651">
        <f>IF($A651="","",IFERROR(INDEX('[AQ_2020.xlsx]原始数据'!$B:$B,MATCH($A651,'[AQ_2020.xlsx]原始数据'!$A:$A,0)),""))</f>
        <v/>
      </c>
      <c r="C651">
        <f>IF($A651="","",IFERROR(INDEX('[AQ_2021.xlsx]原始数据'!$B:$B,MATCH($A651,'[AQ_2021.xlsx]原始数据'!$A:$A,0)),""))</f>
        <v/>
      </c>
      <c r="D651">
        <f>IF($A651="","",IFERROR(INDEX('[AQ_2022.xlsx]原始数据'!$B:$B,MATCH($A651,'[AQ_2022.xlsx]原始数据'!$A:$A,0)),""))</f>
        <v/>
      </c>
      <c r="E651">
        <f>IF($A651="","",IFERROR(INDEX('[AQ_2023.xlsx]原始数据'!$B:$B,MATCH($A651,'[AQ_2023.xlsx]原始数据'!$A:$A,0)),""))</f>
        <v/>
      </c>
      <c r="F651">
        <f>IF($A651="","",IFERROR(INDEX('[AQ_2024.xlsx]原始数据'!$B:$B,MATCH($A651,'[AQ_2024.xlsx]原始数据'!$A:$A,0)),""))</f>
        <v/>
      </c>
      <c r="G651">
        <f>IF($A651="","",IFERROR(INDEX('[AQ_2020.xlsx]原始数据'!$C:$C,MATCH($A651,'[AQ_2020.xlsx]原始数据'!$A:$A,0)),""))</f>
        <v/>
      </c>
      <c r="H651">
        <f>IF($A651="","",IFERROR(INDEX('[AQ_2021.xlsx]原始数据'!$C:$C,MATCH($A651,'[AQ_2021.xlsx]原始数据'!$A:$A,0)),""))</f>
        <v/>
      </c>
      <c r="I651">
        <f>IF($A651="","",IFERROR(INDEX('[AQ_2022.xlsx]原始数据'!$C:$C,MATCH($A651,'[AQ_2022.xlsx]原始数据'!$A:$A,0)),""))</f>
        <v/>
      </c>
      <c r="J651">
        <f>IF($A651="","",IFERROR(INDEX('[AQ_2023.xlsx]原始数据'!$C:$C,MATCH($A651,'[AQ_2023.xlsx]原始数据'!$A:$A,0)),""))</f>
        <v/>
      </c>
      <c r="K651">
        <f>IF($A651="","",IFERROR(INDEX('[AQ_2024.xlsx]原始数据'!$C:$C,MATCH($A651,'[AQ_2024.xlsx]原始数据'!$A:$A,0)),""))</f>
        <v/>
      </c>
      <c r="L651">
        <f>IF($A651="","",IFERROR(INDEX('[AQ_2020.xlsx]原始数据'!$D:$D,MATCH($A651,'[AQ_2020.xlsx]原始数据'!$A:$A,0)),""))</f>
        <v/>
      </c>
      <c r="M651">
        <f>IF($A651="","",IFERROR(INDEX('[AQ_2021.xlsx]原始数据'!$D:$D,MATCH($A651,'[AQ_2021.xlsx]原始数据'!$A:$A,0)),""))</f>
        <v/>
      </c>
      <c r="N651">
        <f>IF($A651="","",IFERROR(INDEX('[AQ_2022.xlsx]原始数据'!$D:$D,MATCH($A651,'[AQ_2022.xlsx]原始数据'!$A:$A,0)),""))</f>
        <v/>
      </c>
      <c r="O651">
        <f>IF($A651="","",IFERROR(INDEX('[AQ_2023.xlsx]原始数据'!$D:$D,MATCH($A651,'[AQ_2023.xlsx]原始数据'!$A:$A,0)),""))</f>
        <v/>
      </c>
      <c r="P651">
        <f>IF($A651="","",IFERROR(INDEX('[AQ_2024.xlsx]原始数据'!$D:$D,MATCH($A651,'[AQ_2024.xlsx]原始数据'!$A:$A,0)),""))</f>
        <v/>
      </c>
      <c r="Q651">
        <f>IF($A651="","",IFERROR(INDEX('[AQ_2020.xlsx]原始数据'!$E:$E,MATCH($A651,'[AQ_2020.xlsx]原始数据'!$A:$A,0)),""))</f>
        <v/>
      </c>
      <c r="R651">
        <f>IF($A651="","",IFERROR(INDEX('[AQ_2021.xlsx]原始数据'!$E:$E,MATCH($A651,'[AQ_2021.xlsx]原始数据'!$A:$A,0)),""))</f>
        <v/>
      </c>
      <c r="S651">
        <f>IF($A651="","",IFERROR(INDEX('[AQ_2022.xlsx]原始数据'!$E:$E,MATCH($A651,'[AQ_2022.xlsx]原始数据'!$A:$A,0)),""))</f>
        <v/>
      </c>
      <c r="T651">
        <f>IF($A651="","",IFERROR(INDEX('[AQ_2023.xlsx]原始数据'!$E:$E,MATCH($A651,'[AQ_2023.xlsx]原始数据'!$A:$A,0)),""))</f>
        <v/>
      </c>
      <c r="U651">
        <f>IF($A651="","",IFERROR(INDEX('[AQ_2024.xlsx]原始数据'!$E:$E,MATCH($A651,'[AQ_2024.xlsx]原始数据'!$A:$A,0)),""))</f>
        <v/>
      </c>
      <c r="V651">
        <f>IF($A651="","",IFERROR(INDEX('[AQ_2020.xlsx]原始数据'!$F:$F,MATCH($A651,'[AQ_2020.xlsx]原始数据'!$A:$A,0)),""))</f>
        <v/>
      </c>
      <c r="W651">
        <f>IF($A651="","",IFERROR(INDEX('[AQ_2021.xlsx]原始数据'!$F:$F,MATCH($A651,'[AQ_2021.xlsx]原始数据'!$A:$A,0)),""))</f>
        <v/>
      </c>
      <c r="X651">
        <f>IF($A651="","",IFERROR(INDEX('[AQ_2022.xlsx]原始数据'!$F:$F,MATCH($A651,'[AQ_2022.xlsx]原始数据'!$A:$A,0)),""))</f>
        <v/>
      </c>
      <c r="Y651">
        <f>IF($A651="","",IFERROR(INDEX('[AQ_2023.xlsx]原始数据'!$F:$F,MATCH($A651,'[AQ_2023.xlsx]原始数据'!$A:$A,0)),""))</f>
        <v/>
      </c>
      <c r="Z651">
        <f>IF($A651="","",IFERROR(INDEX('[AQ_2024.xlsx]原始数据'!$F:$F,MATCH($A651,'[AQ_2024.xlsx]原始数据'!$A:$A,0)),""))</f>
        <v/>
      </c>
      <c r="AA651" s="2">
        <f>IFERROR(G651/B651,"")</f>
        <v/>
      </c>
      <c r="AB651" s="2">
        <f>IFERROR(H651/C651,"")</f>
        <v/>
      </c>
      <c r="AC651" s="2">
        <f>IFERROR(I651/D651,"")</f>
        <v/>
      </c>
      <c r="AD651" s="2">
        <f>IFERROR(J651/E651,"")</f>
        <v/>
      </c>
      <c r="AE651" s="2">
        <f>IFERROR(K651/F651,"")</f>
        <v/>
      </c>
      <c r="AF651" s="2">
        <f>IFERROR(L651/B651,"")</f>
        <v/>
      </c>
      <c r="AG651" s="2">
        <f>IFERROR(M651/C651,"")</f>
        <v/>
      </c>
      <c r="AH651" s="2">
        <f>IFERROR(N651/D651,"")</f>
        <v/>
      </c>
      <c r="AI651" s="2">
        <f>IFERROR(O651/E651,"")</f>
        <v/>
      </c>
      <c r="AJ651" s="2">
        <f>IFERROR(P651/F651,"")</f>
        <v/>
      </c>
      <c r="AK651" s="2">
        <f>IFERROR(Q651/B651,"")</f>
        <v/>
      </c>
      <c r="AL651" s="2">
        <f>IFERROR(R651/C651,"")</f>
        <v/>
      </c>
      <c r="AM651" s="2">
        <f>IFERROR(S651/D651,"")</f>
        <v/>
      </c>
      <c r="AN651" s="2">
        <f>IFERROR(T651/E651,"")</f>
        <v/>
      </c>
      <c r="AO651" s="2">
        <f>IFERROR(U651/F651,"")</f>
        <v/>
      </c>
    </row>
    <row r="652">
      <c r="B652">
        <f>IF($A652="","",IFERROR(INDEX('[AQ_2020.xlsx]原始数据'!$B:$B,MATCH($A652,'[AQ_2020.xlsx]原始数据'!$A:$A,0)),""))</f>
        <v/>
      </c>
      <c r="C652">
        <f>IF($A652="","",IFERROR(INDEX('[AQ_2021.xlsx]原始数据'!$B:$B,MATCH($A652,'[AQ_2021.xlsx]原始数据'!$A:$A,0)),""))</f>
        <v/>
      </c>
      <c r="D652">
        <f>IF($A652="","",IFERROR(INDEX('[AQ_2022.xlsx]原始数据'!$B:$B,MATCH($A652,'[AQ_2022.xlsx]原始数据'!$A:$A,0)),""))</f>
        <v/>
      </c>
      <c r="E652">
        <f>IF($A652="","",IFERROR(INDEX('[AQ_2023.xlsx]原始数据'!$B:$B,MATCH($A652,'[AQ_2023.xlsx]原始数据'!$A:$A,0)),""))</f>
        <v/>
      </c>
      <c r="F652">
        <f>IF($A652="","",IFERROR(INDEX('[AQ_2024.xlsx]原始数据'!$B:$B,MATCH($A652,'[AQ_2024.xlsx]原始数据'!$A:$A,0)),""))</f>
        <v/>
      </c>
      <c r="G652">
        <f>IF($A652="","",IFERROR(INDEX('[AQ_2020.xlsx]原始数据'!$C:$C,MATCH($A652,'[AQ_2020.xlsx]原始数据'!$A:$A,0)),""))</f>
        <v/>
      </c>
      <c r="H652">
        <f>IF($A652="","",IFERROR(INDEX('[AQ_2021.xlsx]原始数据'!$C:$C,MATCH($A652,'[AQ_2021.xlsx]原始数据'!$A:$A,0)),""))</f>
        <v/>
      </c>
      <c r="I652">
        <f>IF($A652="","",IFERROR(INDEX('[AQ_2022.xlsx]原始数据'!$C:$C,MATCH($A652,'[AQ_2022.xlsx]原始数据'!$A:$A,0)),""))</f>
        <v/>
      </c>
      <c r="J652">
        <f>IF($A652="","",IFERROR(INDEX('[AQ_2023.xlsx]原始数据'!$C:$C,MATCH($A652,'[AQ_2023.xlsx]原始数据'!$A:$A,0)),""))</f>
        <v/>
      </c>
      <c r="K652">
        <f>IF($A652="","",IFERROR(INDEX('[AQ_2024.xlsx]原始数据'!$C:$C,MATCH($A652,'[AQ_2024.xlsx]原始数据'!$A:$A,0)),""))</f>
        <v/>
      </c>
      <c r="L652">
        <f>IF($A652="","",IFERROR(INDEX('[AQ_2020.xlsx]原始数据'!$D:$D,MATCH($A652,'[AQ_2020.xlsx]原始数据'!$A:$A,0)),""))</f>
        <v/>
      </c>
      <c r="M652">
        <f>IF($A652="","",IFERROR(INDEX('[AQ_2021.xlsx]原始数据'!$D:$D,MATCH($A652,'[AQ_2021.xlsx]原始数据'!$A:$A,0)),""))</f>
        <v/>
      </c>
      <c r="N652">
        <f>IF($A652="","",IFERROR(INDEX('[AQ_2022.xlsx]原始数据'!$D:$D,MATCH($A652,'[AQ_2022.xlsx]原始数据'!$A:$A,0)),""))</f>
        <v/>
      </c>
      <c r="O652">
        <f>IF($A652="","",IFERROR(INDEX('[AQ_2023.xlsx]原始数据'!$D:$D,MATCH($A652,'[AQ_2023.xlsx]原始数据'!$A:$A,0)),""))</f>
        <v/>
      </c>
      <c r="P652">
        <f>IF($A652="","",IFERROR(INDEX('[AQ_2024.xlsx]原始数据'!$D:$D,MATCH($A652,'[AQ_2024.xlsx]原始数据'!$A:$A,0)),""))</f>
        <v/>
      </c>
      <c r="Q652">
        <f>IF($A652="","",IFERROR(INDEX('[AQ_2020.xlsx]原始数据'!$E:$E,MATCH($A652,'[AQ_2020.xlsx]原始数据'!$A:$A,0)),""))</f>
        <v/>
      </c>
      <c r="R652">
        <f>IF($A652="","",IFERROR(INDEX('[AQ_2021.xlsx]原始数据'!$E:$E,MATCH($A652,'[AQ_2021.xlsx]原始数据'!$A:$A,0)),""))</f>
        <v/>
      </c>
      <c r="S652">
        <f>IF($A652="","",IFERROR(INDEX('[AQ_2022.xlsx]原始数据'!$E:$E,MATCH($A652,'[AQ_2022.xlsx]原始数据'!$A:$A,0)),""))</f>
        <v/>
      </c>
      <c r="T652">
        <f>IF($A652="","",IFERROR(INDEX('[AQ_2023.xlsx]原始数据'!$E:$E,MATCH($A652,'[AQ_2023.xlsx]原始数据'!$A:$A,0)),""))</f>
        <v/>
      </c>
      <c r="U652">
        <f>IF($A652="","",IFERROR(INDEX('[AQ_2024.xlsx]原始数据'!$E:$E,MATCH($A652,'[AQ_2024.xlsx]原始数据'!$A:$A,0)),""))</f>
        <v/>
      </c>
      <c r="V652">
        <f>IF($A652="","",IFERROR(INDEX('[AQ_2020.xlsx]原始数据'!$F:$F,MATCH($A652,'[AQ_2020.xlsx]原始数据'!$A:$A,0)),""))</f>
        <v/>
      </c>
      <c r="W652">
        <f>IF($A652="","",IFERROR(INDEX('[AQ_2021.xlsx]原始数据'!$F:$F,MATCH($A652,'[AQ_2021.xlsx]原始数据'!$A:$A,0)),""))</f>
        <v/>
      </c>
      <c r="X652">
        <f>IF($A652="","",IFERROR(INDEX('[AQ_2022.xlsx]原始数据'!$F:$F,MATCH($A652,'[AQ_2022.xlsx]原始数据'!$A:$A,0)),""))</f>
        <v/>
      </c>
      <c r="Y652">
        <f>IF($A652="","",IFERROR(INDEX('[AQ_2023.xlsx]原始数据'!$F:$F,MATCH($A652,'[AQ_2023.xlsx]原始数据'!$A:$A,0)),""))</f>
        <v/>
      </c>
      <c r="Z652">
        <f>IF($A652="","",IFERROR(INDEX('[AQ_2024.xlsx]原始数据'!$F:$F,MATCH($A652,'[AQ_2024.xlsx]原始数据'!$A:$A,0)),""))</f>
        <v/>
      </c>
      <c r="AA652" s="2">
        <f>IFERROR(G652/B652,"")</f>
        <v/>
      </c>
      <c r="AB652" s="2">
        <f>IFERROR(H652/C652,"")</f>
        <v/>
      </c>
      <c r="AC652" s="2">
        <f>IFERROR(I652/D652,"")</f>
        <v/>
      </c>
      <c r="AD652" s="2">
        <f>IFERROR(J652/E652,"")</f>
        <v/>
      </c>
      <c r="AE652" s="2">
        <f>IFERROR(K652/F652,"")</f>
        <v/>
      </c>
      <c r="AF652" s="2">
        <f>IFERROR(L652/B652,"")</f>
        <v/>
      </c>
      <c r="AG652" s="2">
        <f>IFERROR(M652/C652,"")</f>
        <v/>
      </c>
      <c r="AH652" s="2">
        <f>IFERROR(N652/D652,"")</f>
        <v/>
      </c>
      <c r="AI652" s="2">
        <f>IFERROR(O652/E652,"")</f>
        <v/>
      </c>
      <c r="AJ652" s="2">
        <f>IFERROR(P652/F652,"")</f>
        <v/>
      </c>
      <c r="AK652" s="2">
        <f>IFERROR(Q652/B652,"")</f>
        <v/>
      </c>
      <c r="AL652" s="2">
        <f>IFERROR(R652/C652,"")</f>
        <v/>
      </c>
      <c r="AM652" s="2">
        <f>IFERROR(S652/D652,"")</f>
        <v/>
      </c>
      <c r="AN652" s="2">
        <f>IFERROR(T652/E652,"")</f>
        <v/>
      </c>
      <c r="AO652" s="2">
        <f>IFERROR(U652/F652,"")</f>
        <v/>
      </c>
    </row>
    <row r="653">
      <c r="B653">
        <f>IF($A653="","",IFERROR(INDEX('[AQ_2020.xlsx]原始数据'!$B:$B,MATCH($A653,'[AQ_2020.xlsx]原始数据'!$A:$A,0)),""))</f>
        <v/>
      </c>
      <c r="C653">
        <f>IF($A653="","",IFERROR(INDEX('[AQ_2021.xlsx]原始数据'!$B:$B,MATCH($A653,'[AQ_2021.xlsx]原始数据'!$A:$A,0)),""))</f>
        <v/>
      </c>
      <c r="D653">
        <f>IF($A653="","",IFERROR(INDEX('[AQ_2022.xlsx]原始数据'!$B:$B,MATCH($A653,'[AQ_2022.xlsx]原始数据'!$A:$A,0)),""))</f>
        <v/>
      </c>
      <c r="E653">
        <f>IF($A653="","",IFERROR(INDEX('[AQ_2023.xlsx]原始数据'!$B:$B,MATCH($A653,'[AQ_2023.xlsx]原始数据'!$A:$A,0)),""))</f>
        <v/>
      </c>
      <c r="F653">
        <f>IF($A653="","",IFERROR(INDEX('[AQ_2024.xlsx]原始数据'!$B:$B,MATCH($A653,'[AQ_2024.xlsx]原始数据'!$A:$A,0)),""))</f>
        <v/>
      </c>
      <c r="G653">
        <f>IF($A653="","",IFERROR(INDEX('[AQ_2020.xlsx]原始数据'!$C:$C,MATCH($A653,'[AQ_2020.xlsx]原始数据'!$A:$A,0)),""))</f>
        <v/>
      </c>
      <c r="H653">
        <f>IF($A653="","",IFERROR(INDEX('[AQ_2021.xlsx]原始数据'!$C:$C,MATCH($A653,'[AQ_2021.xlsx]原始数据'!$A:$A,0)),""))</f>
        <v/>
      </c>
      <c r="I653">
        <f>IF($A653="","",IFERROR(INDEX('[AQ_2022.xlsx]原始数据'!$C:$C,MATCH($A653,'[AQ_2022.xlsx]原始数据'!$A:$A,0)),""))</f>
        <v/>
      </c>
      <c r="J653">
        <f>IF($A653="","",IFERROR(INDEX('[AQ_2023.xlsx]原始数据'!$C:$C,MATCH($A653,'[AQ_2023.xlsx]原始数据'!$A:$A,0)),""))</f>
        <v/>
      </c>
      <c r="K653">
        <f>IF($A653="","",IFERROR(INDEX('[AQ_2024.xlsx]原始数据'!$C:$C,MATCH($A653,'[AQ_2024.xlsx]原始数据'!$A:$A,0)),""))</f>
        <v/>
      </c>
      <c r="L653">
        <f>IF($A653="","",IFERROR(INDEX('[AQ_2020.xlsx]原始数据'!$D:$D,MATCH($A653,'[AQ_2020.xlsx]原始数据'!$A:$A,0)),""))</f>
        <v/>
      </c>
      <c r="M653">
        <f>IF($A653="","",IFERROR(INDEX('[AQ_2021.xlsx]原始数据'!$D:$D,MATCH($A653,'[AQ_2021.xlsx]原始数据'!$A:$A,0)),""))</f>
        <v/>
      </c>
      <c r="N653">
        <f>IF($A653="","",IFERROR(INDEX('[AQ_2022.xlsx]原始数据'!$D:$D,MATCH($A653,'[AQ_2022.xlsx]原始数据'!$A:$A,0)),""))</f>
        <v/>
      </c>
      <c r="O653">
        <f>IF($A653="","",IFERROR(INDEX('[AQ_2023.xlsx]原始数据'!$D:$D,MATCH($A653,'[AQ_2023.xlsx]原始数据'!$A:$A,0)),""))</f>
        <v/>
      </c>
      <c r="P653">
        <f>IF($A653="","",IFERROR(INDEX('[AQ_2024.xlsx]原始数据'!$D:$D,MATCH($A653,'[AQ_2024.xlsx]原始数据'!$A:$A,0)),""))</f>
        <v/>
      </c>
      <c r="Q653">
        <f>IF($A653="","",IFERROR(INDEX('[AQ_2020.xlsx]原始数据'!$E:$E,MATCH($A653,'[AQ_2020.xlsx]原始数据'!$A:$A,0)),""))</f>
        <v/>
      </c>
      <c r="R653">
        <f>IF($A653="","",IFERROR(INDEX('[AQ_2021.xlsx]原始数据'!$E:$E,MATCH($A653,'[AQ_2021.xlsx]原始数据'!$A:$A,0)),""))</f>
        <v/>
      </c>
      <c r="S653">
        <f>IF($A653="","",IFERROR(INDEX('[AQ_2022.xlsx]原始数据'!$E:$E,MATCH($A653,'[AQ_2022.xlsx]原始数据'!$A:$A,0)),""))</f>
        <v/>
      </c>
      <c r="T653">
        <f>IF($A653="","",IFERROR(INDEX('[AQ_2023.xlsx]原始数据'!$E:$E,MATCH($A653,'[AQ_2023.xlsx]原始数据'!$A:$A,0)),""))</f>
        <v/>
      </c>
      <c r="U653">
        <f>IF($A653="","",IFERROR(INDEX('[AQ_2024.xlsx]原始数据'!$E:$E,MATCH($A653,'[AQ_2024.xlsx]原始数据'!$A:$A,0)),""))</f>
        <v/>
      </c>
      <c r="V653">
        <f>IF($A653="","",IFERROR(INDEX('[AQ_2020.xlsx]原始数据'!$F:$F,MATCH($A653,'[AQ_2020.xlsx]原始数据'!$A:$A,0)),""))</f>
        <v/>
      </c>
      <c r="W653">
        <f>IF($A653="","",IFERROR(INDEX('[AQ_2021.xlsx]原始数据'!$F:$F,MATCH($A653,'[AQ_2021.xlsx]原始数据'!$A:$A,0)),""))</f>
        <v/>
      </c>
      <c r="X653">
        <f>IF($A653="","",IFERROR(INDEX('[AQ_2022.xlsx]原始数据'!$F:$F,MATCH($A653,'[AQ_2022.xlsx]原始数据'!$A:$A,0)),""))</f>
        <v/>
      </c>
      <c r="Y653">
        <f>IF($A653="","",IFERROR(INDEX('[AQ_2023.xlsx]原始数据'!$F:$F,MATCH($A653,'[AQ_2023.xlsx]原始数据'!$A:$A,0)),""))</f>
        <v/>
      </c>
      <c r="Z653">
        <f>IF($A653="","",IFERROR(INDEX('[AQ_2024.xlsx]原始数据'!$F:$F,MATCH($A653,'[AQ_2024.xlsx]原始数据'!$A:$A,0)),""))</f>
        <v/>
      </c>
      <c r="AA653" s="2">
        <f>IFERROR(G653/B653,"")</f>
        <v/>
      </c>
      <c r="AB653" s="2">
        <f>IFERROR(H653/C653,"")</f>
        <v/>
      </c>
      <c r="AC653" s="2">
        <f>IFERROR(I653/D653,"")</f>
        <v/>
      </c>
      <c r="AD653" s="2">
        <f>IFERROR(J653/E653,"")</f>
        <v/>
      </c>
      <c r="AE653" s="2">
        <f>IFERROR(K653/F653,"")</f>
        <v/>
      </c>
      <c r="AF653" s="2">
        <f>IFERROR(L653/B653,"")</f>
        <v/>
      </c>
      <c r="AG653" s="2">
        <f>IFERROR(M653/C653,"")</f>
        <v/>
      </c>
      <c r="AH653" s="2">
        <f>IFERROR(N653/D653,"")</f>
        <v/>
      </c>
      <c r="AI653" s="2">
        <f>IFERROR(O653/E653,"")</f>
        <v/>
      </c>
      <c r="AJ653" s="2">
        <f>IFERROR(P653/F653,"")</f>
        <v/>
      </c>
      <c r="AK653" s="2">
        <f>IFERROR(Q653/B653,"")</f>
        <v/>
      </c>
      <c r="AL653" s="2">
        <f>IFERROR(R653/C653,"")</f>
        <v/>
      </c>
      <c r="AM653" s="2">
        <f>IFERROR(S653/D653,"")</f>
        <v/>
      </c>
      <c r="AN653" s="2">
        <f>IFERROR(T653/E653,"")</f>
        <v/>
      </c>
      <c r="AO653" s="2">
        <f>IFERROR(U653/F653,"")</f>
        <v/>
      </c>
    </row>
    <row r="654">
      <c r="B654">
        <f>IF($A654="","",IFERROR(INDEX('[AQ_2020.xlsx]原始数据'!$B:$B,MATCH($A654,'[AQ_2020.xlsx]原始数据'!$A:$A,0)),""))</f>
        <v/>
      </c>
      <c r="C654">
        <f>IF($A654="","",IFERROR(INDEX('[AQ_2021.xlsx]原始数据'!$B:$B,MATCH($A654,'[AQ_2021.xlsx]原始数据'!$A:$A,0)),""))</f>
        <v/>
      </c>
      <c r="D654">
        <f>IF($A654="","",IFERROR(INDEX('[AQ_2022.xlsx]原始数据'!$B:$B,MATCH($A654,'[AQ_2022.xlsx]原始数据'!$A:$A,0)),""))</f>
        <v/>
      </c>
      <c r="E654">
        <f>IF($A654="","",IFERROR(INDEX('[AQ_2023.xlsx]原始数据'!$B:$B,MATCH($A654,'[AQ_2023.xlsx]原始数据'!$A:$A,0)),""))</f>
        <v/>
      </c>
      <c r="F654">
        <f>IF($A654="","",IFERROR(INDEX('[AQ_2024.xlsx]原始数据'!$B:$B,MATCH($A654,'[AQ_2024.xlsx]原始数据'!$A:$A,0)),""))</f>
        <v/>
      </c>
      <c r="G654">
        <f>IF($A654="","",IFERROR(INDEX('[AQ_2020.xlsx]原始数据'!$C:$C,MATCH($A654,'[AQ_2020.xlsx]原始数据'!$A:$A,0)),""))</f>
        <v/>
      </c>
      <c r="H654">
        <f>IF($A654="","",IFERROR(INDEX('[AQ_2021.xlsx]原始数据'!$C:$C,MATCH($A654,'[AQ_2021.xlsx]原始数据'!$A:$A,0)),""))</f>
        <v/>
      </c>
      <c r="I654">
        <f>IF($A654="","",IFERROR(INDEX('[AQ_2022.xlsx]原始数据'!$C:$C,MATCH($A654,'[AQ_2022.xlsx]原始数据'!$A:$A,0)),""))</f>
        <v/>
      </c>
      <c r="J654">
        <f>IF($A654="","",IFERROR(INDEX('[AQ_2023.xlsx]原始数据'!$C:$C,MATCH($A654,'[AQ_2023.xlsx]原始数据'!$A:$A,0)),""))</f>
        <v/>
      </c>
      <c r="K654">
        <f>IF($A654="","",IFERROR(INDEX('[AQ_2024.xlsx]原始数据'!$C:$C,MATCH($A654,'[AQ_2024.xlsx]原始数据'!$A:$A,0)),""))</f>
        <v/>
      </c>
      <c r="L654">
        <f>IF($A654="","",IFERROR(INDEX('[AQ_2020.xlsx]原始数据'!$D:$D,MATCH($A654,'[AQ_2020.xlsx]原始数据'!$A:$A,0)),""))</f>
        <v/>
      </c>
      <c r="M654">
        <f>IF($A654="","",IFERROR(INDEX('[AQ_2021.xlsx]原始数据'!$D:$D,MATCH($A654,'[AQ_2021.xlsx]原始数据'!$A:$A,0)),""))</f>
        <v/>
      </c>
      <c r="N654">
        <f>IF($A654="","",IFERROR(INDEX('[AQ_2022.xlsx]原始数据'!$D:$D,MATCH($A654,'[AQ_2022.xlsx]原始数据'!$A:$A,0)),""))</f>
        <v/>
      </c>
      <c r="O654">
        <f>IF($A654="","",IFERROR(INDEX('[AQ_2023.xlsx]原始数据'!$D:$D,MATCH($A654,'[AQ_2023.xlsx]原始数据'!$A:$A,0)),""))</f>
        <v/>
      </c>
      <c r="P654">
        <f>IF($A654="","",IFERROR(INDEX('[AQ_2024.xlsx]原始数据'!$D:$D,MATCH($A654,'[AQ_2024.xlsx]原始数据'!$A:$A,0)),""))</f>
        <v/>
      </c>
      <c r="Q654">
        <f>IF($A654="","",IFERROR(INDEX('[AQ_2020.xlsx]原始数据'!$E:$E,MATCH($A654,'[AQ_2020.xlsx]原始数据'!$A:$A,0)),""))</f>
        <v/>
      </c>
      <c r="R654">
        <f>IF($A654="","",IFERROR(INDEX('[AQ_2021.xlsx]原始数据'!$E:$E,MATCH($A654,'[AQ_2021.xlsx]原始数据'!$A:$A,0)),""))</f>
        <v/>
      </c>
      <c r="S654">
        <f>IF($A654="","",IFERROR(INDEX('[AQ_2022.xlsx]原始数据'!$E:$E,MATCH($A654,'[AQ_2022.xlsx]原始数据'!$A:$A,0)),""))</f>
        <v/>
      </c>
      <c r="T654">
        <f>IF($A654="","",IFERROR(INDEX('[AQ_2023.xlsx]原始数据'!$E:$E,MATCH($A654,'[AQ_2023.xlsx]原始数据'!$A:$A,0)),""))</f>
        <v/>
      </c>
      <c r="U654">
        <f>IF($A654="","",IFERROR(INDEX('[AQ_2024.xlsx]原始数据'!$E:$E,MATCH($A654,'[AQ_2024.xlsx]原始数据'!$A:$A,0)),""))</f>
        <v/>
      </c>
      <c r="V654">
        <f>IF($A654="","",IFERROR(INDEX('[AQ_2020.xlsx]原始数据'!$F:$F,MATCH($A654,'[AQ_2020.xlsx]原始数据'!$A:$A,0)),""))</f>
        <v/>
      </c>
      <c r="W654">
        <f>IF($A654="","",IFERROR(INDEX('[AQ_2021.xlsx]原始数据'!$F:$F,MATCH($A654,'[AQ_2021.xlsx]原始数据'!$A:$A,0)),""))</f>
        <v/>
      </c>
      <c r="X654">
        <f>IF($A654="","",IFERROR(INDEX('[AQ_2022.xlsx]原始数据'!$F:$F,MATCH($A654,'[AQ_2022.xlsx]原始数据'!$A:$A,0)),""))</f>
        <v/>
      </c>
      <c r="Y654">
        <f>IF($A654="","",IFERROR(INDEX('[AQ_2023.xlsx]原始数据'!$F:$F,MATCH($A654,'[AQ_2023.xlsx]原始数据'!$A:$A,0)),""))</f>
        <v/>
      </c>
      <c r="Z654">
        <f>IF($A654="","",IFERROR(INDEX('[AQ_2024.xlsx]原始数据'!$F:$F,MATCH($A654,'[AQ_2024.xlsx]原始数据'!$A:$A,0)),""))</f>
        <v/>
      </c>
      <c r="AA654" s="2">
        <f>IFERROR(G654/B654,"")</f>
        <v/>
      </c>
      <c r="AB654" s="2">
        <f>IFERROR(H654/C654,"")</f>
        <v/>
      </c>
      <c r="AC654" s="2">
        <f>IFERROR(I654/D654,"")</f>
        <v/>
      </c>
      <c r="AD654" s="2">
        <f>IFERROR(J654/E654,"")</f>
        <v/>
      </c>
      <c r="AE654" s="2">
        <f>IFERROR(K654/F654,"")</f>
        <v/>
      </c>
      <c r="AF654" s="2">
        <f>IFERROR(L654/B654,"")</f>
        <v/>
      </c>
      <c r="AG654" s="2">
        <f>IFERROR(M654/C654,"")</f>
        <v/>
      </c>
      <c r="AH654" s="2">
        <f>IFERROR(N654/D654,"")</f>
        <v/>
      </c>
      <c r="AI654" s="2">
        <f>IFERROR(O654/E654,"")</f>
        <v/>
      </c>
      <c r="AJ654" s="2">
        <f>IFERROR(P654/F654,"")</f>
        <v/>
      </c>
      <c r="AK654" s="2">
        <f>IFERROR(Q654/B654,"")</f>
        <v/>
      </c>
      <c r="AL654" s="2">
        <f>IFERROR(R654/C654,"")</f>
        <v/>
      </c>
      <c r="AM654" s="2">
        <f>IFERROR(S654/D654,"")</f>
        <v/>
      </c>
      <c r="AN654" s="2">
        <f>IFERROR(T654/E654,"")</f>
        <v/>
      </c>
      <c r="AO654" s="2">
        <f>IFERROR(U654/F654,"")</f>
        <v/>
      </c>
    </row>
    <row r="655">
      <c r="B655">
        <f>IF($A655="","",IFERROR(INDEX('[AQ_2020.xlsx]原始数据'!$B:$B,MATCH($A655,'[AQ_2020.xlsx]原始数据'!$A:$A,0)),""))</f>
        <v/>
      </c>
      <c r="C655">
        <f>IF($A655="","",IFERROR(INDEX('[AQ_2021.xlsx]原始数据'!$B:$B,MATCH($A655,'[AQ_2021.xlsx]原始数据'!$A:$A,0)),""))</f>
        <v/>
      </c>
      <c r="D655">
        <f>IF($A655="","",IFERROR(INDEX('[AQ_2022.xlsx]原始数据'!$B:$B,MATCH($A655,'[AQ_2022.xlsx]原始数据'!$A:$A,0)),""))</f>
        <v/>
      </c>
      <c r="E655">
        <f>IF($A655="","",IFERROR(INDEX('[AQ_2023.xlsx]原始数据'!$B:$B,MATCH($A655,'[AQ_2023.xlsx]原始数据'!$A:$A,0)),""))</f>
        <v/>
      </c>
      <c r="F655">
        <f>IF($A655="","",IFERROR(INDEX('[AQ_2024.xlsx]原始数据'!$B:$B,MATCH($A655,'[AQ_2024.xlsx]原始数据'!$A:$A,0)),""))</f>
        <v/>
      </c>
      <c r="G655">
        <f>IF($A655="","",IFERROR(INDEX('[AQ_2020.xlsx]原始数据'!$C:$C,MATCH($A655,'[AQ_2020.xlsx]原始数据'!$A:$A,0)),""))</f>
        <v/>
      </c>
      <c r="H655">
        <f>IF($A655="","",IFERROR(INDEX('[AQ_2021.xlsx]原始数据'!$C:$C,MATCH($A655,'[AQ_2021.xlsx]原始数据'!$A:$A,0)),""))</f>
        <v/>
      </c>
      <c r="I655">
        <f>IF($A655="","",IFERROR(INDEX('[AQ_2022.xlsx]原始数据'!$C:$C,MATCH($A655,'[AQ_2022.xlsx]原始数据'!$A:$A,0)),""))</f>
        <v/>
      </c>
      <c r="J655">
        <f>IF($A655="","",IFERROR(INDEX('[AQ_2023.xlsx]原始数据'!$C:$C,MATCH($A655,'[AQ_2023.xlsx]原始数据'!$A:$A,0)),""))</f>
        <v/>
      </c>
      <c r="K655">
        <f>IF($A655="","",IFERROR(INDEX('[AQ_2024.xlsx]原始数据'!$C:$C,MATCH($A655,'[AQ_2024.xlsx]原始数据'!$A:$A,0)),""))</f>
        <v/>
      </c>
      <c r="L655">
        <f>IF($A655="","",IFERROR(INDEX('[AQ_2020.xlsx]原始数据'!$D:$D,MATCH($A655,'[AQ_2020.xlsx]原始数据'!$A:$A,0)),""))</f>
        <v/>
      </c>
      <c r="M655">
        <f>IF($A655="","",IFERROR(INDEX('[AQ_2021.xlsx]原始数据'!$D:$D,MATCH($A655,'[AQ_2021.xlsx]原始数据'!$A:$A,0)),""))</f>
        <v/>
      </c>
      <c r="N655">
        <f>IF($A655="","",IFERROR(INDEX('[AQ_2022.xlsx]原始数据'!$D:$D,MATCH($A655,'[AQ_2022.xlsx]原始数据'!$A:$A,0)),""))</f>
        <v/>
      </c>
      <c r="O655">
        <f>IF($A655="","",IFERROR(INDEX('[AQ_2023.xlsx]原始数据'!$D:$D,MATCH($A655,'[AQ_2023.xlsx]原始数据'!$A:$A,0)),""))</f>
        <v/>
      </c>
      <c r="P655">
        <f>IF($A655="","",IFERROR(INDEX('[AQ_2024.xlsx]原始数据'!$D:$D,MATCH($A655,'[AQ_2024.xlsx]原始数据'!$A:$A,0)),""))</f>
        <v/>
      </c>
      <c r="Q655">
        <f>IF($A655="","",IFERROR(INDEX('[AQ_2020.xlsx]原始数据'!$E:$E,MATCH($A655,'[AQ_2020.xlsx]原始数据'!$A:$A,0)),""))</f>
        <v/>
      </c>
      <c r="R655">
        <f>IF($A655="","",IFERROR(INDEX('[AQ_2021.xlsx]原始数据'!$E:$E,MATCH($A655,'[AQ_2021.xlsx]原始数据'!$A:$A,0)),""))</f>
        <v/>
      </c>
      <c r="S655">
        <f>IF($A655="","",IFERROR(INDEX('[AQ_2022.xlsx]原始数据'!$E:$E,MATCH($A655,'[AQ_2022.xlsx]原始数据'!$A:$A,0)),""))</f>
        <v/>
      </c>
      <c r="T655">
        <f>IF($A655="","",IFERROR(INDEX('[AQ_2023.xlsx]原始数据'!$E:$E,MATCH($A655,'[AQ_2023.xlsx]原始数据'!$A:$A,0)),""))</f>
        <v/>
      </c>
      <c r="U655">
        <f>IF($A655="","",IFERROR(INDEX('[AQ_2024.xlsx]原始数据'!$E:$E,MATCH($A655,'[AQ_2024.xlsx]原始数据'!$A:$A,0)),""))</f>
        <v/>
      </c>
      <c r="V655">
        <f>IF($A655="","",IFERROR(INDEX('[AQ_2020.xlsx]原始数据'!$F:$F,MATCH($A655,'[AQ_2020.xlsx]原始数据'!$A:$A,0)),""))</f>
        <v/>
      </c>
      <c r="W655">
        <f>IF($A655="","",IFERROR(INDEX('[AQ_2021.xlsx]原始数据'!$F:$F,MATCH($A655,'[AQ_2021.xlsx]原始数据'!$A:$A,0)),""))</f>
        <v/>
      </c>
      <c r="X655">
        <f>IF($A655="","",IFERROR(INDEX('[AQ_2022.xlsx]原始数据'!$F:$F,MATCH($A655,'[AQ_2022.xlsx]原始数据'!$A:$A,0)),""))</f>
        <v/>
      </c>
      <c r="Y655">
        <f>IF($A655="","",IFERROR(INDEX('[AQ_2023.xlsx]原始数据'!$F:$F,MATCH($A655,'[AQ_2023.xlsx]原始数据'!$A:$A,0)),""))</f>
        <v/>
      </c>
      <c r="Z655">
        <f>IF($A655="","",IFERROR(INDEX('[AQ_2024.xlsx]原始数据'!$F:$F,MATCH($A655,'[AQ_2024.xlsx]原始数据'!$A:$A,0)),""))</f>
        <v/>
      </c>
      <c r="AA655" s="2">
        <f>IFERROR(G655/B655,"")</f>
        <v/>
      </c>
      <c r="AB655" s="2">
        <f>IFERROR(H655/C655,"")</f>
        <v/>
      </c>
      <c r="AC655" s="2">
        <f>IFERROR(I655/D655,"")</f>
        <v/>
      </c>
      <c r="AD655" s="2">
        <f>IFERROR(J655/E655,"")</f>
        <v/>
      </c>
      <c r="AE655" s="2">
        <f>IFERROR(K655/F655,"")</f>
        <v/>
      </c>
      <c r="AF655" s="2">
        <f>IFERROR(L655/B655,"")</f>
        <v/>
      </c>
      <c r="AG655" s="2">
        <f>IFERROR(M655/C655,"")</f>
        <v/>
      </c>
      <c r="AH655" s="2">
        <f>IFERROR(N655/D655,"")</f>
        <v/>
      </c>
      <c r="AI655" s="2">
        <f>IFERROR(O655/E655,"")</f>
        <v/>
      </c>
      <c r="AJ655" s="2">
        <f>IFERROR(P655/F655,"")</f>
        <v/>
      </c>
      <c r="AK655" s="2">
        <f>IFERROR(Q655/B655,"")</f>
        <v/>
      </c>
      <c r="AL655" s="2">
        <f>IFERROR(R655/C655,"")</f>
        <v/>
      </c>
      <c r="AM655" s="2">
        <f>IFERROR(S655/D655,"")</f>
        <v/>
      </c>
      <c r="AN655" s="2">
        <f>IFERROR(T655/E655,"")</f>
        <v/>
      </c>
      <c r="AO655" s="2">
        <f>IFERROR(U655/F655,"")</f>
        <v/>
      </c>
    </row>
    <row r="656">
      <c r="B656">
        <f>IF($A656="","",IFERROR(INDEX('[AQ_2020.xlsx]原始数据'!$B:$B,MATCH($A656,'[AQ_2020.xlsx]原始数据'!$A:$A,0)),""))</f>
        <v/>
      </c>
      <c r="C656">
        <f>IF($A656="","",IFERROR(INDEX('[AQ_2021.xlsx]原始数据'!$B:$B,MATCH($A656,'[AQ_2021.xlsx]原始数据'!$A:$A,0)),""))</f>
        <v/>
      </c>
      <c r="D656">
        <f>IF($A656="","",IFERROR(INDEX('[AQ_2022.xlsx]原始数据'!$B:$B,MATCH($A656,'[AQ_2022.xlsx]原始数据'!$A:$A,0)),""))</f>
        <v/>
      </c>
      <c r="E656">
        <f>IF($A656="","",IFERROR(INDEX('[AQ_2023.xlsx]原始数据'!$B:$B,MATCH($A656,'[AQ_2023.xlsx]原始数据'!$A:$A,0)),""))</f>
        <v/>
      </c>
      <c r="F656">
        <f>IF($A656="","",IFERROR(INDEX('[AQ_2024.xlsx]原始数据'!$B:$B,MATCH($A656,'[AQ_2024.xlsx]原始数据'!$A:$A,0)),""))</f>
        <v/>
      </c>
      <c r="G656">
        <f>IF($A656="","",IFERROR(INDEX('[AQ_2020.xlsx]原始数据'!$C:$C,MATCH($A656,'[AQ_2020.xlsx]原始数据'!$A:$A,0)),""))</f>
        <v/>
      </c>
      <c r="H656">
        <f>IF($A656="","",IFERROR(INDEX('[AQ_2021.xlsx]原始数据'!$C:$C,MATCH($A656,'[AQ_2021.xlsx]原始数据'!$A:$A,0)),""))</f>
        <v/>
      </c>
      <c r="I656">
        <f>IF($A656="","",IFERROR(INDEX('[AQ_2022.xlsx]原始数据'!$C:$C,MATCH($A656,'[AQ_2022.xlsx]原始数据'!$A:$A,0)),""))</f>
        <v/>
      </c>
      <c r="J656">
        <f>IF($A656="","",IFERROR(INDEX('[AQ_2023.xlsx]原始数据'!$C:$C,MATCH($A656,'[AQ_2023.xlsx]原始数据'!$A:$A,0)),""))</f>
        <v/>
      </c>
      <c r="K656">
        <f>IF($A656="","",IFERROR(INDEX('[AQ_2024.xlsx]原始数据'!$C:$C,MATCH($A656,'[AQ_2024.xlsx]原始数据'!$A:$A,0)),""))</f>
        <v/>
      </c>
      <c r="L656">
        <f>IF($A656="","",IFERROR(INDEX('[AQ_2020.xlsx]原始数据'!$D:$D,MATCH($A656,'[AQ_2020.xlsx]原始数据'!$A:$A,0)),""))</f>
        <v/>
      </c>
      <c r="M656">
        <f>IF($A656="","",IFERROR(INDEX('[AQ_2021.xlsx]原始数据'!$D:$D,MATCH($A656,'[AQ_2021.xlsx]原始数据'!$A:$A,0)),""))</f>
        <v/>
      </c>
      <c r="N656">
        <f>IF($A656="","",IFERROR(INDEX('[AQ_2022.xlsx]原始数据'!$D:$D,MATCH($A656,'[AQ_2022.xlsx]原始数据'!$A:$A,0)),""))</f>
        <v/>
      </c>
      <c r="O656">
        <f>IF($A656="","",IFERROR(INDEX('[AQ_2023.xlsx]原始数据'!$D:$D,MATCH($A656,'[AQ_2023.xlsx]原始数据'!$A:$A,0)),""))</f>
        <v/>
      </c>
      <c r="P656">
        <f>IF($A656="","",IFERROR(INDEX('[AQ_2024.xlsx]原始数据'!$D:$D,MATCH($A656,'[AQ_2024.xlsx]原始数据'!$A:$A,0)),""))</f>
        <v/>
      </c>
      <c r="Q656">
        <f>IF($A656="","",IFERROR(INDEX('[AQ_2020.xlsx]原始数据'!$E:$E,MATCH($A656,'[AQ_2020.xlsx]原始数据'!$A:$A,0)),""))</f>
        <v/>
      </c>
      <c r="R656">
        <f>IF($A656="","",IFERROR(INDEX('[AQ_2021.xlsx]原始数据'!$E:$E,MATCH($A656,'[AQ_2021.xlsx]原始数据'!$A:$A,0)),""))</f>
        <v/>
      </c>
      <c r="S656">
        <f>IF($A656="","",IFERROR(INDEX('[AQ_2022.xlsx]原始数据'!$E:$E,MATCH($A656,'[AQ_2022.xlsx]原始数据'!$A:$A,0)),""))</f>
        <v/>
      </c>
      <c r="T656">
        <f>IF($A656="","",IFERROR(INDEX('[AQ_2023.xlsx]原始数据'!$E:$E,MATCH($A656,'[AQ_2023.xlsx]原始数据'!$A:$A,0)),""))</f>
        <v/>
      </c>
      <c r="U656">
        <f>IF($A656="","",IFERROR(INDEX('[AQ_2024.xlsx]原始数据'!$E:$E,MATCH($A656,'[AQ_2024.xlsx]原始数据'!$A:$A,0)),""))</f>
        <v/>
      </c>
      <c r="V656">
        <f>IF($A656="","",IFERROR(INDEX('[AQ_2020.xlsx]原始数据'!$F:$F,MATCH($A656,'[AQ_2020.xlsx]原始数据'!$A:$A,0)),""))</f>
        <v/>
      </c>
      <c r="W656">
        <f>IF($A656="","",IFERROR(INDEX('[AQ_2021.xlsx]原始数据'!$F:$F,MATCH($A656,'[AQ_2021.xlsx]原始数据'!$A:$A,0)),""))</f>
        <v/>
      </c>
      <c r="X656">
        <f>IF($A656="","",IFERROR(INDEX('[AQ_2022.xlsx]原始数据'!$F:$F,MATCH($A656,'[AQ_2022.xlsx]原始数据'!$A:$A,0)),""))</f>
        <v/>
      </c>
      <c r="Y656">
        <f>IF($A656="","",IFERROR(INDEX('[AQ_2023.xlsx]原始数据'!$F:$F,MATCH($A656,'[AQ_2023.xlsx]原始数据'!$A:$A,0)),""))</f>
        <v/>
      </c>
      <c r="Z656">
        <f>IF($A656="","",IFERROR(INDEX('[AQ_2024.xlsx]原始数据'!$F:$F,MATCH($A656,'[AQ_2024.xlsx]原始数据'!$A:$A,0)),""))</f>
        <v/>
      </c>
      <c r="AA656" s="2">
        <f>IFERROR(G656/B656,"")</f>
        <v/>
      </c>
      <c r="AB656" s="2">
        <f>IFERROR(H656/C656,"")</f>
        <v/>
      </c>
      <c r="AC656" s="2">
        <f>IFERROR(I656/D656,"")</f>
        <v/>
      </c>
      <c r="AD656" s="2">
        <f>IFERROR(J656/E656,"")</f>
        <v/>
      </c>
      <c r="AE656" s="2">
        <f>IFERROR(K656/F656,"")</f>
        <v/>
      </c>
      <c r="AF656" s="2">
        <f>IFERROR(L656/B656,"")</f>
        <v/>
      </c>
      <c r="AG656" s="2">
        <f>IFERROR(M656/C656,"")</f>
        <v/>
      </c>
      <c r="AH656" s="2">
        <f>IFERROR(N656/D656,"")</f>
        <v/>
      </c>
      <c r="AI656" s="2">
        <f>IFERROR(O656/E656,"")</f>
        <v/>
      </c>
      <c r="AJ656" s="2">
        <f>IFERROR(P656/F656,"")</f>
        <v/>
      </c>
      <c r="AK656" s="2">
        <f>IFERROR(Q656/B656,"")</f>
        <v/>
      </c>
      <c r="AL656" s="2">
        <f>IFERROR(R656/C656,"")</f>
        <v/>
      </c>
      <c r="AM656" s="2">
        <f>IFERROR(S656/D656,"")</f>
        <v/>
      </c>
      <c r="AN656" s="2">
        <f>IFERROR(T656/E656,"")</f>
        <v/>
      </c>
      <c r="AO656" s="2">
        <f>IFERROR(U656/F656,"")</f>
        <v/>
      </c>
    </row>
    <row r="657">
      <c r="B657">
        <f>IF($A657="","",IFERROR(INDEX('[AQ_2020.xlsx]原始数据'!$B:$B,MATCH($A657,'[AQ_2020.xlsx]原始数据'!$A:$A,0)),""))</f>
        <v/>
      </c>
      <c r="C657">
        <f>IF($A657="","",IFERROR(INDEX('[AQ_2021.xlsx]原始数据'!$B:$B,MATCH($A657,'[AQ_2021.xlsx]原始数据'!$A:$A,0)),""))</f>
        <v/>
      </c>
      <c r="D657">
        <f>IF($A657="","",IFERROR(INDEX('[AQ_2022.xlsx]原始数据'!$B:$B,MATCH($A657,'[AQ_2022.xlsx]原始数据'!$A:$A,0)),""))</f>
        <v/>
      </c>
      <c r="E657">
        <f>IF($A657="","",IFERROR(INDEX('[AQ_2023.xlsx]原始数据'!$B:$B,MATCH($A657,'[AQ_2023.xlsx]原始数据'!$A:$A,0)),""))</f>
        <v/>
      </c>
      <c r="F657">
        <f>IF($A657="","",IFERROR(INDEX('[AQ_2024.xlsx]原始数据'!$B:$B,MATCH($A657,'[AQ_2024.xlsx]原始数据'!$A:$A,0)),""))</f>
        <v/>
      </c>
      <c r="G657">
        <f>IF($A657="","",IFERROR(INDEX('[AQ_2020.xlsx]原始数据'!$C:$C,MATCH($A657,'[AQ_2020.xlsx]原始数据'!$A:$A,0)),""))</f>
        <v/>
      </c>
      <c r="H657">
        <f>IF($A657="","",IFERROR(INDEX('[AQ_2021.xlsx]原始数据'!$C:$C,MATCH($A657,'[AQ_2021.xlsx]原始数据'!$A:$A,0)),""))</f>
        <v/>
      </c>
      <c r="I657">
        <f>IF($A657="","",IFERROR(INDEX('[AQ_2022.xlsx]原始数据'!$C:$C,MATCH($A657,'[AQ_2022.xlsx]原始数据'!$A:$A,0)),""))</f>
        <v/>
      </c>
      <c r="J657">
        <f>IF($A657="","",IFERROR(INDEX('[AQ_2023.xlsx]原始数据'!$C:$C,MATCH($A657,'[AQ_2023.xlsx]原始数据'!$A:$A,0)),""))</f>
        <v/>
      </c>
      <c r="K657">
        <f>IF($A657="","",IFERROR(INDEX('[AQ_2024.xlsx]原始数据'!$C:$C,MATCH($A657,'[AQ_2024.xlsx]原始数据'!$A:$A,0)),""))</f>
        <v/>
      </c>
      <c r="L657">
        <f>IF($A657="","",IFERROR(INDEX('[AQ_2020.xlsx]原始数据'!$D:$D,MATCH($A657,'[AQ_2020.xlsx]原始数据'!$A:$A,0)),""))</f>
        <v/>
      </c>
      <c r="M657">
        <f>IF($A657="","",IFERROR(INDEX('[AQ_2021.xlsx]原始数据'!$D:$D,MATCH($A657,'[AQ_2021.xlsx]原始数据'!$A:$A,0)),""))</f>
        <v/>
      </c>
      <c r="N657">
        <f>IF($A657="","",IFERROR(INDEX('[AQ_2022.xlsx]原始数据'!$D:$D,MATCH($A657,'[AQ_2022.xlsx]原始数据'!$A:$A,0)),""))</f>
        <v/>
      </c>
      <c r="O657">
        <f>IF($A657="","",IFERROR(INDEX('[AQ_2023.xlsx]原始数据'!$D:$D,MATCH($A657,'[AQ_2023.xlsx]原始数据'!$A:$A,0)),""))</f>
        <v/>
      </c>
      <c r="P657">
        <f>IF($A657="","",IFERROR(INDEX('[AQ_2024.xlsx]原始数据'!$D:$D,MATCH($A657,'[AQ_2024.xlsx]原始数据'!$A:$A,0)),""))</f>
        <v/>
      </c>
      <c r="Q657">
        <f>IF($A657="","",IFERROR(INDEX('[AQ_2020.xlsx]原始数据'!$E:$E,MATCH($A657,'[AQ_2020.xlsx]原始数据'!$A:$A,0)),""))</f>
        <v/>
      </c>
      <c r="R657">
        <f>IF($A657="","",IFERROR(INDEX('[AQ_2021.xlsx]原始数据'!$E:$E,MATCH($A657,'[AQ_2021.xlsx]原始数据'!$A:$A,0)),""))</f>
        <v/>
      </c>
      <c r="S657">
        <f>IF($A657="","",IFERROR(INDEX('[AQ_2022.xlsx]原始数据'!$E:$E,MATCH($A657,'[AQ_2022.xlsx]原始数据'!$A:$A,0)),""))</f>
        <v/>
      </c>
      <c r="T657">
        <f>IF($A657="","",IFERROR(INDEX('[AQ_2023.xlsx]原始数据'!$E:$E,MATCH($A657,'[AQ_2023.xlsx]原始数据'!$A:$A,0)),""))</f>
        <v/>
      </c>
      <c r="U657">
        <f>IF($A657="","",IFERROR(INDEX('[AQ_2024.xlsx]原始数据'!$E:$E,MATCH($A657,'[AQ_2024.xlsx]原始数据'!$A:$A,0)),""))</f>
        <v/>
      </c>
      <c r="V657">
        <f>IF($A657="","",IFERROR(INDEX('[AQ_2020.xlsx]原始数据'!$F:$F,MATCH($A657,'[AQ_2020.xlsx]原始数据'!$A:$A,0)),""))</f>
        <v/>
      </c>
      <c r="W657">
        <f>IF($A657="","",IFERROR(INDEX('[AQ_2021.xlsx]原始数据'!$F:$F,MATCH($A657,'[AQ_2021.xlsx]原始数据'!$A:$A,0)),""))</f>
        <v/>
      </c>
      <c r="X657">
        <f>IF($A657="","",IFERROR(INDEX('[AQ_2022.xlsx]原始数据'!$F:$F,MATCH($A657,'[AQ_2022.xlsx]原始数据'!$A:$A,0)),""))</f>
        <v/>
      </c>
      <c r="Y657">
        <f>IF($A657="","",IFERROR(INDEX('[AQ_2023.xlsx]原始数据'!$F:$F,MATCH($A657,'[AQ_2023.xlsx]原始数据'!$A:$A,0)),""))</f>
        <v/>
      </c>
      <c r="Z657">
        <f>IF($A657="","",IFERROR(INDEX('[AQ_2024.xlsx]原始数据'!$F:$F,MATCH($A657,'[AQ_2024.xlsx]原始数据'!$A:$A,0)),""))</f>
        <v/>
      </c>
      <c r="AA657" s="2">
        <f>IFERROR(G657/B657,"")</f>
        <v/>
      </c>
      <c r="AB657" s="2">
        <f>IFERROR(H657/C657,"")</f>
        <v/>
      </c>
      <c r="AC657" s="2">
        <f>IFERROR(I657/D657,"")</f>
        <v/>
      </c>
      <c r="AD657" s="2">
        <f>IFERROR(J657/E657,"")</f>
        <v/>
      </c>
      <c r="AE657" s="2">
        <f>IFERROR(K657/F657,"")</f>
        <v/>
      </c>
      <c r="AF657" s="2">
        <f>IFERROR(L657/B657,"")</f>
        <v/>
      </c>
      <c r="AG657" s="2">
        <f>IFERROR(M657/C657,"")</f>
        <v/>
      </c>
      <c r="AH657" s="2">
        <f>IFERROR(N657/D657,"")</f>
        <v/>
      </c>
      <c r="AI657" s="2">
        <f>IFERROR(O657/E657,"")</f>
        <v/>
      </c>
      <c r="AJ657" s="2">
        <f>IFERROR(P657/F657,"")</f>
        <v/>
      </c>
      <c r="AK657" s="2">
        <f>IFERROR(Q657/B657,"")</f>
        <v/>
      </c>
      <c r="AL657" s="2">
        <f>IFERROR(R657/C657,"")</f>
        <v/>
      </c>
      <c r="AM657" s="2">
        <f>IFERROR(S657/D657,"")</f>
        <v/>
      </c>
      <c r="AN657" s="2">
        <f>IFERROR(T657/E657,"")</f>
        <v/>
      </c>
      <c r="AO657" s="2">
        <f>IFERROR(U657/F657,"")</f>
        <v/>
      </c>
    </row>
    <row r="658">
      <c r="B658">
        <f>IF($A658="","",IFERROR(INDEX('[AQ_2020.xlsx]原始数据'!$B:$B,MATCH($A658,'[AQ_2020.xlsx]原始数据'!$A:$A,0)),""))</f>
        <v/>
      </c>
      <c r="C658">
        <f>IF($A658="","",IFERROR(INDEX('[AQ_2021.xlsx]原始数据'!$B:$B,MATCH($A658,'[AQ_2021.xlsx]原始数据'!$A:$A,0)),""))</f>
        <v/>
      </c>
      <c r="D658">
        <f>IF($A658="","",IFERROR(INDEX('[AQ_2022.xlsx]原始数据'!$B:$B,MATCH($A658,'[AQ_2022.xlsx]原始数据'!$A:$A,0)),""))</f>
        <v/>
      </c>
      <c r="E658">
        <f>IF($A658="","",IFERROR(INDEX('[AQ_2023.xlsx]原始数据'!$B:$B,MATCH($A658,'[AQ_2023.xlsx]原始数据'!$A:$A,0)),""))</f>
        <v/>
      </c>
      <c r="F658">
        <f>IF($A658="","",IFERROR(INDEX('[AQ_2024.xlsx]原始数据'!$B:$B,MATCH($A658,'[AQ_2024.xlsx]原始数据'!$A:$A,0)),""))</f>
        <v/>
      </c>
      <c r="G658">
        <f>IF($A658="","",IFERROR(INDEX('[AQ_2020.xlsx]原始数据'!$C:$C,MATCH($A658,'[AQ_2020.xlsx]原始数据'!$A:$A,0)),""))</f>
        <v/>
      </c>
      <c r="H658">
        <f>IF($A658="","",IFERROR(INDEX('[AQ_2021.xlsx]原始数据'!$C:$C,MATCH($A658,'[AQ_2021.xlsx]原始数据'!$A:$A,0)),""))</f>
        <v/>
      </c>
      <c r="I658">
        <f>IF($A658="","",IFERROR(INDEX('[AQ_2022.xlsx]原始数据'!$C:$C,MATCH($A658,'[AQ_2022.xlsx]原始数据'!$A:$A,0)),""))</f>
        <v/>
      </c>
      <c r="J658">
        <f>IF($A658="","",IFERROR(INDEX('[AQ_2023.xlsx]原始数据'!$C:$C,MATCH($A658,'[AQ_2023.xlsx]原始数据'!$A:$A,0)),""))</f>
        <v/>
      </c>
      <c r="K658">
        <f>IF($A658="","",IFERROR(INDEX('[AQ_2024.xlsx]原始数据'!$C:$C,MATCH($A658,'[AQ_2024.xlsx]原始数据'!$A:$A,0)),""))</f>
        <v/>
      </c>
      <c r="L658">
        <f>IF($A658="","",IFERROR(INDEX('[AQ_2020.xlsx]原始数据'!$D:$D,MATCH($A658,'[AQ_2020.xlsx]原始数据'!$A:$A,0)),""))</f>
        <v/>
      </c>
      <c r="M658">
        <f>IF($A658="","",IFERROR(INDEX('[AQ_2021.xlsx]原始数据'!$D:$D,MATCH($A658,'[AQ_2021.xlsx]原始数据'!$A:$A,0)),""))</f>
        <v/>
      </c>
      <c r="N658">
        <f>IF($A658="","",IFERROR(INDEX('[AQ_2022.xlsx]原始数据'!$D:$D,MATCH($A658,'[AQ_2022.xlsx]原始数据'!$A:$A,0)),""))</f>
        <v/>
      </c>
      <c r="O658">
        <f>IF($A658="","",IFERROR(INDEX('[AQ_2023.xlsx]原始数据'!$D:$D,MATCH($A658,'[AQ_2023.xlsx]原始数据'!$A:$A,0)),""))</f>
        <v/>
      </c>
      <c r="P658">
        <f>IF($A658="","",IFERROR(INDEX('[AQ_2024.xlsx]原始数据'!$D:$D,MATCH($A658,'[AQ_2024.xlsx]原始数据'!$A:$A,0)),""))</f>
        <v/>
      </c>
      <c r="Q658">
        <f>IF($A658="","",IFERROR(INDEX('[AQ_2020.xlsx]原始数据'!$E:$E,MATCH($A658,'[AQ_2020.xlsx]原始数据'!$A:$A,0)),""))</f>
        <v/>
      </c>
      <c r="R658">
        <f>IF($A658="","",IFERROR(INDEX('[AQ_2021.xlsx]原始数据'!$E:$E,MATCH($A658,'[AQ_2021.xlsx]原始数据'!$A:$A,0)),""))</f>
        <v/>
      </c>
      <c r="S658">
        <f>IF($A658="","",IFERROR(INDEX('[AQ_2022.xlsx]原始数据'!$E:$E,MATCH($A658,'[AQ_2022.xlsx]原始数据'!$A:$A,0)),""))</f>
        <v/>
      </c>
      <c r="T658">
        <f>IF($A658="","",IFERROR(INDEX('[AQ_2023.xlsx]原始数据'!$E:$E,MATCH($A658,'[AQ_2023.xlsx]原始数据'!$A:$A,0)),""))</f>
        <v/>
      </c>
      <c r="U658">
        <f>IF($A658="","",IFERROR(INDEX('[AQ_2024.xlsx]原始数据'!$E:$E,MATCH($A658,'[AQ_2024.xlsx]原始数据'!$A:$A,0)),""))</f>
        <v/>
      </c>
      <c r="V658">
        <f>IF($A658="","",IFERROR(INDEX('[AQ_2020.xlsx]原始数据'!$F:$F,MATCH($A658,'[AQ_2020.xlsx]原始数据'!$A:$A,0)),""))</f>
        <v/>
      </c>
      <c r="W658">
        <f>IF($A658="","",IFERROR(INDEX('[AQ_2021.xlsx]原始数据'!$F:$F,MATCH($A658,'[AQ_2021.xlsx]原始数据'!$A:$A,0)),""))</f>
        <v/>
      </c>
      <c r="X658">
        <f>IF($A658="","",IFERROR(INDEX('[AQ_2022.xlsx]原始数据'!$F:$F,MATCH($A658,'[AQ_2022.xlsx]原始数据'!$A:$A,0)),""))</f>
        <v/>
      </c>
      <c r="Y658">
        <f>IF($A658="","",IFERROR(INDEX('[AQ_2023.xlsx]原始数据'!$F:$F,MATCH($A658,'[AQ_2023.xlsx]原始数据'!$A:$A,0)),""))</f>
        <v/>
      </c>
      <c r="Z658">
        <f>IF($A658="","",IFERROR(INDEX('[AQ_2024.xlsx]原始数据'!$F:$F,MATCH($A658,'[AQ_2024.xlsx]原始数据'!$A:$A,0)),""))</f>
        <v/>
      </c>
      <c r="AA658" s="2">
        <f>IFERROR(G658/B658,"")</f>
        <v/>
      </c>
      <c r="AB658" s="2">
        <f>IFERROR(H658/C658,"")</f>
        <v/>
      </c>
      <c r="AC658" s="2">
        <f>IFERROR(I658/D658,"")</f>
        <v/>
      </c>
      <c r="AD658" s="2">
        <f>IFERROR(J658/E658,"")</f>
        <v/>
      </c>
      <c r="AE658" s="2">
        <f>IFERROR(K658/F658,"")</f>
        <v/>
      </c>
      <c r="AF658" s="2">
        <f>IFERROR(L658/B658,"")</f>
        <v/>
      </c>
      <c r="AG658" s="2">
        <f>IFERROR(M658/C658,"")</f>
        <v/>
      </c>
      <c r="AH658" s="2">
        <f>IFERROR(N658/D658,"")</f>
        <v/>
      </c>
      <c r="AI658" s="2">
        <f>IFERROR(O658/E658,"")</f>
        <v/>
      </c>
      <c r="AJ658" s="2">
        <f>IFERROR(P658/F658,"")</f>
        <v/>
      </c>
      <c r="AK658" s="2">
        <f>IFERROR(Q658/B658,"")</f>
        <v/>
      </c>
      <c r="AL658" s="2">
        <f>IFERROR(R658/C658,"")</f>
        <v/>
      </c>
      <c r="AM658" s="2">
        <f>IFERROR(S658/D658,"")</f>
        <v/>
      </c>
      <c r="AN658" s="2">
        <f>IFERROR(T658/E658,"")</f>
        <v/>
      </c>
      <c r="AO658" s="2">
        <f>IFERROR(U658/F658,"")</f>
        <v/>
      </c>
    </row>
    <row r="659">
      <c r="B659">
        <f>IF($A659="","",IFERROR(INDEX('[AQ_2020.xlsx]原始数据'!$B:$B,MATCH($A659,'[AQ_2020.xlsx]原始数据'!$A:$A,0)),""))</f>
        <v/>
      </c>
      <c r="C659">
        <f>IF($A659="","",IFERROR(INDEX('[AQ_2021.xlsx]原始数据'!$B:$B,MATCH($A659,'[AQ_2021.xlsx]原始数据'!$A:$A,0)),""))</f>
        <v/>
      </c>
      <c r="D659">
        <f>IF($A659="","",IFERROR(INDEX('[AQ_2022.xlsx]原始数据'!$B:$B,MATCH($A659,'[AQ_2022.xlsx]原始数据'!$A:$A,0)),""))</f>
        <v/>
      </c>
      <c r="E659">
        <f>IF($A659="","",IFERROR(INDEX('[AQ_2023.xlsx]原始数据'!$B:$B,MATCH($A659,'[AQ_2023.xlsx]原始数据'!$A:$A,0)),""))</f>
        <v/>
      </c>
      <c r="F659">
        <f>IF($A659="","",IFERROR(INDEX('[AQ_2024.xlsx]原始数据'!$B:$B,MATCH($A659,'[AQ_2024.xlsx]原始数据'!$A:$A,0)),""))</f>
        <v/>
      </c>
      <c r="G659">
        <f>IF($A659="","",IFERROR(INDEX('[AQ_2020.xlsx]原始数据'!$C:$C,MATCH($A659,'[AQ_2020.xlsx]原始数据'!$A:$A,0)),""))</f>
        <v/>
      </c>
      <c r="H659">
        <f>IF($A659="","",IFERROR(INDEX('[AQ_2021.xlsx]原始数据'!$C:$C,MATCH($A659,'[AQ_2021.xlsx]原始数据'!$A:$A,0)),""))</f>
        <v/>
      </c>
      <c r="I659">
        <f>IF($A659="","",IFERROR(INDEX('[AQ_2022.xlsx]原始数据'!$C:$C,MATCH($A659,'[AQ_2022.xlsx]原始数据'!$A:$A,0)),""))</f>
        <v/>
      </c>
      <c r="J659">
        <f>IF($A659="","",IFERROR(INDEX('[AQ_2023.xlsx]原始数据'!$C:$C,MATCH($A659,'[AQ_2023.xlsx]原始数据'!$A:$A,0)),""))</f>
        <v/>
      </c>
      <c r="K659">
        <f>IF($A659="","",IFERROR(INDEX('[AQ_2024.xlsx]原始数据'!$C:$C,MATCH($A659,'[AQ_2024.xlsx]原始数据'!$A:$A,0)),""))</f>
        <v/>
      </c>
      <c r="L659">
        <f>IF($A659="","",IFERROR(INDEX('[AQ_2020.xlsx]原始数据'!$D:$D,MATCH($A659,'[AQ_2020.xlsx]原始数据'!$A:$A,0)),""))</f>
        <v/>
      </c>
      <c r="M659">
        <f>IF($A659="","",IFERROR(INDEX('[AQ_2021.xlsx]原始数据'!$D:$D,MATCH($A659,'[AQ_2021.xlsx]原始数据'!$A:$A,0)),""))</f>
        <v/>
      </c>
      <c r="N659">
        <f>IF($A659="","",IFERROR(INDEX('[AQ_2022.xlsx]原始数据'!$D:$D,MATCH($A659,'[AQ_2022.xlsx]原始数据'!$A:$A,0)),""))</f>
        <v/>
      </c>
      <c r="O659">
        <f>IF($A659="","",IFERROR(INDEX('[AQ_2023.xlsx]原始数据'!$D:$D,MATCH($A659,'[AQ_2023.xlsx]原始数据'!$A:$A,0)),""))</f>
        <v/>
      </c>
      <c r="P659">
        <f>IF($A659="","",IFERROR(INDEX('[AQ_2024.xlsx]原始数据'!$D:$D,MATCH($A659,'[AQ_2024.xlsx]原始数据'!$A:$A,0)),""))</f>
        <v/>
      </c>
      <c r="Q659">
        <f>IF($A659="","",IFERROR(INDEX('[AQ_2020.xlsx]原始数据'!$E:$E,MATCH($A659,'[AQ_2020.xlsx]原始数据'!$A:$A,0)),""))</f>
        <v/>
      </c>
      <c r="R659">
        <f>IF($A659="","",IFERROR(INDEX('[AQ_2021.xlsx]原始数据'!$E:$E,MATCH($A659,'[AQ_2021.xlsx]原始数据'!$A:$A,0)),""))</f>
        <v/>
      </c>
      <c r="S659">
        <f>IF($A659="","",IFERROR(INDEX('[AQ_2022.xlsx]原始数据'!$E:$E,MATCH($A659,'[AQ_2022.xlsx]原始数据'!$A:$A,0)),""))</f>
        <v/>
      </c>
      <c r="T659">
        <f>IF($A659="","",IFERROR(INDEX('[AQ_2023.xlsx]原始数据'!$E:$E,MATCH($A659,'[AQ_2023.xlsx]原始数据'!$A:$A,0)),""))</f>
        <v/>
      </c>
      <c r="U659">
        <f>IF($A659="","",IFERROR(INDEX('[AQ_2024.xlsx]原始数据'!$E:$E,MATCH($A659,'[AQ_2024.xlsx]原始数据'!$A:$A,0)),""))</f>
        <v/>
      </c>
      <c r="V659">
        <f>IF($A659="","",IFERROR(INDEX('[AQ_2020.xlsx]原始数据'!$F:$F,MATCH($A659,'[AQ_2020.xlsx]原始数据'!$A:$A,0)),""))</f>
        <v/>
      </c>
      <c r="W659">
        <f>IF($A659="","",IFERROR(INDEX('[AQ_2021.xlsx]原始数据'!$F:$F,MATCH($A659,'[AQ_2021.xlsx]原始数据'!$A:$A,0)),""))</f>
        <v/>
      </c>
      <c r="X659">
        <f>IF($A659="","",IFERROR(INDEX('[AQ_2022.xlsx]原始数据'!$F:$F,MATCH($A659,'[AQ_2022.xlsx]原始数据'!$A:$A,0)),""))</f>
        <v/>
      </c>
      <c r="Y659">
        <f>IF($A659="","",IFERROR(INDEX('[AQ_2023.xlsx]原始数据'!$F:$F,MATCH($A659,'[AQ_2023.xlsx]原始数据'!$A:$A,0)),""))</f>
        <v/>
      </c>
      <c r="Z659">
        <f>IF($A659="","",IFERROR(INDEX('[AQ_2024.xlsx]原始数据'!$F:$F,MATCH($A659,'[AQ_2024.xlsx]原始数据'!$A:$A,0)),""))</f>
        <v/>
      </c>
      <c r="AA659" s="2">
        <f>IFERROR(G659/B659,"")</f>
        <v/>
      </c>
      <c r="AB659" s="2">
        <f>IFERROR(H659/C659,"")</f>
        <v/>
      </c>
      <c r="AC659" s="2">
        <f>IFERROR(I659/D659,"")</f>
        <v/>
      </c>
      <c r="AD659" s="2">
        <f>IFERROR(J659/E659,"")</f>
        <v/>
      </c>
      <c r="AE659" s="2">
        <f>IFERROR(K659/F659,"")</f>
        <v/>
      </c>
      <c r="AF659" s="2">
        <f>IFERROR(L659/B659,"")</f>
        <v/>
      </c>
      <c r="AG659" s="2">
        <f>IFERROR(M659/C659,"")</f>
        <v/>
      </c>
      <c r="AH659" s="2">
        <f>IFERROR(N659/D659,"")</f>
        <v/>
      </c>
      <c r="AI659" s="2">
        <f>IFERROR(O659/E659,"")</f>
        <v/>
      </c>
      <c r="AJ659" s="2">
        <f>IFERROR(P659/F659,"")</f>
        <v/>
      </c>
      <c r="AK659" s="2">
        <f>IFERROR(Q659/B659,"")</f>
        <v/>
      </c>
      <c r="AL659" s="2">
        <f>IFERROR(R659/C659,"")</f>
        <v/>
      </c>
      <c r="AM659" s="2">
        <f>IFERROR(S659/D659,"")</f>
        <v/>
      </c>
      <c r="AN659" s="2">
        <f>IFERROR(T659/E659,"")</f>
        <v/>
      </c>
      <c r="AO659" s="2">
        <f>IFERROR(U659/F659,"")</f>
        <v/>
      </c>
    </row>
    <row r="660">
      <c r="B660">
        <f>IF($A660="","",IFERROR(INDEX('[AQ_2020.xlsx]原始数据'!$B:$B,MATCH($A660,'[AQ_2020.xlsx]原始数据'!$A:$A,0)),""))</f>
        <v/>
      </c>
      <c r="C660">
        <f>IF($A660="","",IFERROR(INDEX('[AQ_2021.xlsx]原始数据'!$B:$B,MATCH($A660,'[AQ_2021.xlsx]原始数据'!$A:$A,0)),""))</f>
        <v/>
      </c>
      <c r="D660">
        <f>IF($A660="","",IFERROR(INDEX('[AQ_2022.xlsx]原始数据'!$B:$B,MATCH($A660,'[AQ_2022.xlsx]原始数据'!$A:$A,0)),""))</f>
        <v/>
      </c>
      <c r="E660">
        <f>IF($A660="","",IFERROR(INDEX('[AQ_2023.xlsx]原始数据'!$B:$B,MATCH($A660,'[AQ_2023.xlsx]原始数据'!$A:$A,0)),""))</f>
        <v/>
      </c>
      <c r="F660">
        <f>IF($A660="","",IFERROR(INDEX('[AQ_2024.xlsx]原始数据'!$B:$B,MATCH($A660,'[AQ_2024.xlsx]原始数据'!$A:$A,0)),""))</f>
        <v/>
      </c>
      <c r="G660">
        <f>IF($A660="","",IFERROR(INDEX('[AQ_2020.xlsx]原始数据'!$C:$C,MATCH($A660,'[AQ_2020.xlsx]原始数据'!$A:$A,0)),""))</f>
        <v/>
      </c>
      <c r="H660">
        <f>IF($A660="","",IFERROR(INDEX('[AQ_2021.xlsx]原始数据'!$C:$C,MATCH($A660,'[AQ_2021.xlsx]原始数据'!$A:$A,0)),""))</f>
        <v/>
      </c>
      <c r="I660">
        <f>IF($A660="","",IFERROR(INDEX('[AQ_2022.xlsx]原始数据'!$C:$C,MATCH($A660,'[AQ_2022.xlsx]原始数据'!$A:$A,0)),""))</f>
        <v/>
      </c>
      <c r="J660">
        <f>IF($A660="","",IFERROR(INDEX('[AQ_2023.xlsx]原始数据'!$C:$C,MATCH($A660,'[AQ_2023.xlsx]原始数据'!$A:$A,0)),""))</f>
        <v/>
      </c>
      <c r="K660">
        <f>IF($A660="","",IFERROR(INDEX('[AQ_2024.xlsx]原始数据'!$C:$C,MATCH($A660,'[AQ_2024.xlsx]原始数据'!$A:$A,0)),""))</f>
        <v/>
      </c>
      <c r="L660">
        <f>IF($A660="","",IFERROR(INDEX('[AQ_2020.xlsx]原始数据'!$D:$D,MATCH($A660,'[AQ_2020.xlsx]原始数据'!$A:$A,0)),""))</f>
        <v/>
      </c>
      <c r="M660">
        <f>IF($A660="","",IFERROR(INDEX('[AQ_2021.xlsx]原始数据'!$D:$D,MATCH($A660,'[AQ_2021.xlsx]原始数据'!$A:$A,0)),""))</f>
        <v/>
      </c>
      <c r="N660">
        <f>IF($A660="","",IFERROR(INDEX('[AQ_2022.xlsx]原始数据'!$D:$D,MATCH($A660,'[AQ_2022.xlsx]原始数据'!$A:$A,0)),""))</f>
        <v/>
      </c>
      <c r="O660">
        <f>IF($A660="","",IFERROR(INDEX('[AQ_2023.xlsx]原始数据'!$D:$D,MATCH($A660,'[AQ_2023.xlsx]原始数据'!$A:$A,0)),""))</f>
        <v/>
      </c>
      <c r="P660">
        <f>IF($A660="","",IFERROR(INDEX('[AQ_2024.xlsx]原始数据'!$D:$D,MATCH($A660,'[AQ_2024.xlsx]原始数据'!$A:$A,0)),""))</f>
        <v/>
      </c>
      <c r="Q660">
        <f>IF($A660="","",IFERROR(INDEX('[AQ_2020.xlsx]原始数据'!$E:$E,MATCH($A660,'[AQ_2020.xlsx]原始数据'!$A:$A,0)),""))</f>
        <v/>
      </c>
      <c r="R660">
        <f>IF($A660="","",IFERROR(INDEX('[AQ_2021.xlsx]原始数据'!$E:$E,MATCH($A660,'[AQ_2021.xlsx]原始数据'!$A:$A,0)),""))</f>
        <v/>
      </c>
      <c r="S660">
        <f>IF($A660="","",IFERROR(INDEX('[AQ_2022.xlsx]原始数据'!$E:$E,MATCH($A660,'[AQ_2022.xlsx]原始数据'!$A:$A,0)),""))</f>
        <v/>
      </c>
      <c r="T660">
        <f>IF($A660="","",IFERROR(INDEX('[AQ_2023.xlsx]原始数据'!$E:$E,MATCH($A660,'[AQ_2023.xlsx]原始数据'!$A:$A,0)),""))</f>
        <v/>
      </c>
      <c r="U660">
        <f>IF($A660="","",IFERROR(INDEX('[AQ_2024.xlsx]原始数据'!$E:$E,MATCH($A660,'[AQ_2024.xlsx]原始数据'!$A:$A,0)),""))</f>
        <v/>
      </c>
      <c r="V660">
        <f>IF($A660="","",IFERROR(INDEX('[AQ_2020.xlsx]原始数据'!$F:$F,MATCH($A660,'[AQ_2020.xlsx]原始数据'!$A:$A,0)),""))</f>
        <v/>
      </c>
      <c r="W660">
        <f>IF($A660="","",IFERROR(INDEX('[AQ_2021.xlsx]原始数据'!$F:$F,MATCH($A660,'[AQ_2021.xlsx]原始数据'!$A:$A,0)),""))</f>
        <v/>
      </c>
      <c r="X660">
        <f>IF($A660="","",IFERROR(INDEX('[AQ_2022.xlsx]原始数据'!$F:$F,MATCH($A660,'[AQ_2022.xlsx]原始数据'!$A:$A,0)),""))</f>
        <v/>
      </c>
      <c r="Y660">
        <f>IF($A660="","",IFERROR(INDEX('[AQ_2023.xlsx]原始数据'!$F:$F,MATCH($A660,'[AQ_2023.xlsx]原始数据'!$A:$A,0)),""))</f>
        <v/>
      </c>
      <c r="Z660">
        <f>IF($A660="","",IFERROR(INDEX('[AQ_2024.xlsx]原始数据'!$F:$F,MATCH($A660,'[AQ_2024.xlsx]原始数据'!$A:$A,0)),""))</f>
        <v/>
      </c>
      <c r="AA660" s="2">
        <f>IFERROR(G660/B660,"")</f>
        <v/>
      </c>
      <c r="AB660" s="2">
        <f>IFERROR(H660/C660,"")</f>
        <v/>
      </c>
      <c r="AC660" s="2">
        <f>IFERROR(I660/D660,"")</f>
        <v/>
      </c>
      <c r="AD660" s="2">
        <f>IFERROR(J660/E660,"")</f>
        <v/>
      </c>
      <c r="AE660" s="2">
        <f>IFERROR(K660/F660,"")</f>
        <v/>
      </c>
      <c r="AF660" s="2">
        <f>IFERROR(L660/B660,"")</f>
        <v/>
      </c>
      <c r="AG660" s="2">
        <f>IFERROR(M660/C660,"")</f>
        <v/>
      </c>
      <c r="AH660" s="2">
        <f>IFERROR(N660/D660,"")</f>
        <v/>
      </c>
      <c r="AI660" s="2">
        <f>IFERROR(O660/E660,"")</f>
        <v/>
      </c>
      <c r="AJ660" s="2">
        <f>IFERROR(P660/F660,"")</f>
        <v/>
      </c>
      <c r="AK660" s="2">
        <f>IFERROR(Q660/B660,"")</f>
        <v/>
      </c>
      <c r="AL660" s="2">
        <f>IFERROR(R660/C660,"")</f>
        <v/>
      </c>
      <c r="AM660" s="2">
        <f>IFERROR(S660/D660,"")</f>
        <v/>
      </c>
      <c r="AN660" s="2">
        <f>IFERROR(T660/E660,"")</f>
        <v/>
      </c>
      <c r="AO660" s="2">
        <f>IFERROR(U660/F660,"")</f>
        <v/>
      </c>
    </row>
    <row r="661">
      <c r="B661">
        <f>IF($A661="","",IFERROR(INDEX('[AQ_2020.xlsx]原始数据'!$B:$B,MATCH($A661,'[AQ_2020.xlsx]原始数据'!$A:$A,0)),""))</f>
        <v/>
      </c>
      <c r="C661">
        <f>IF($A661="","",IFERROR(INDEX('[AQ_2021.xlsx]原始数据'!$B:$B,MATCH($A661,'[AQ_2021.xlsx]原始数据'!$A:$A,0)),""))</f>
        <v/>
      </c>
      <c r="D661">
        <f>IF($A661="","",IFERROR(INDEX('[AQ_2022.xlsx]原始数据'!$B:$B,MATCH($A661,'[AQ_2022.xlsx]原始数据'!$A:$A,0)),""))</f>
        <v/>
      </c>
      <c r="E661">
        <f>IF($A661="","",IFERROR(INDEX('[AQ_2023.xlsx]原始数据'!$B:$B,MATCH($A661,'[AQ_2023.xlsx]原始数据'!$A:$A,0)),""))</f>
        <v/>
      </c>
      <c r="F661">
        <f>IF($A661="","",IFERROR(INDEX('[AQ_2024.xlsx]原始数据'!$B:$B,MATCH($A661,'[AQ_2024.xlsx]原始数据'!$A:$A,0)),""))</f>
        <v/>
      </c>
      <c r="G661">
        <f>IF($A661="","",IFERROR(INDEX('[AQ_2020.xlsx]原始数据'!$C:$C,MATCH($A661,'[AQ_2020.xlsx]原始数据'!$A:$A,0)),""))</f>
        <v/>
      </c>
      <c r="H661">
        <f>IF($A661="","",IFERROR(INDEX('[AQ_2021.xlsx]原始数据'!$C:$C,MATCH($A661,'[AQ_2021.xlsx]原始数据'!$A:$A,0)),""))</f>
        <v/>
      </c>
      <c r="I661">
        <f>IF($A661="","",IFERROR(INDEX('[AQ_2022.xlsx]原始数据'!$C:$C,MATCH($A661,'[AQ_2022.xlsx]原始数据'!$A:$A,0)),""))</f>
        <v/>
      </c>
      <c r="J661">
        <f>IF($A661="","",IFERROR(INDEX('[AQ_2023.xlsx]原始数据'!$C:$C,MATCH($A661,'[AQ_2023.xlsx]原始数据'!$A:$A,0)),""))</f>
        <v/>
      </c>
      <c r="K661">
        <f>IF($A661="","",IFERROR(INDEX('[AQ_2024.xlsx]原始数据'!$C:$C,MATCH($A661,'[AQ_2024.xlsx]原始数据'!$A:$A,0)),""))</f>
        <v/>
      </c>
      <c r="L661">
        <f>IF($A661="","",IFERROR(INDEX('[AQ_2020.xlsx]原始数据'!$D:$D,MATCH($A661,'[AQ_2020.xlsx]原始数据'!$A:$A,0)),""))</f>
        <v/>
      </c>
      <c r="M661">
        <f>IF($A661="","",IFERROR(INDEX('[AQ_2021.xlsx]原始数据'!$D:$D,MATCH($A661,'[AQ_2021.xlsx]原始数据'!$A:$A,0)),""))</f>
        <v/>
      </c>
      <c r="N661">
        <f>IF($A661="","",IFERROR(INDEX('[AQ_2022.xlsx]原始数据'!$D:$D,MATCH($A661,'[AQ_2022.xlsx]原始数据'!$A:$A,0)),""))</f>
        <v/>
      </c>
      <c r="O661">
        <f>IF($A661="","",IFERROR(INDEX('[AQ_2023.xlsx]原始数据'!$D:$D,MATCH($A661,'[AQ_2023.xlsx]原始数据'!$A:$A,0)),""))</f>
        <v/>
      </c>
      <c r="P661">
        <f>IF($A661="","",IFERROR(INDEX('[AQ_2024.xlsx]原始数据'!$D:$D,MATCH($A661,'[AQ_2024.xlsx]原始数据'!$A:$A,0)),""))</f>
        <v/>
      </c>
      <c r="Q661">
        <f>IF($A661="","",IFERROR(INDEX('[AQ_2020.xlsx]原始数据'!$E:$E,MATCH($A661,'[AQ_2020.xlsx]原始数据'!$A:$A,0)),""))</f>
        <v/>
      </c>
      <c r="R661">
        <f>IF($A661="","",IFERROR(INDEX('[AQ_2021.xlsx]原始数据'!$E:$E,MATCH($A661,'[AQ_2021.xlsx]原始数据'!$A:$A,0)),""))</f>
        <v/>
      </c>
      <c r="S661">
        <f>IF($A661="","",IFERROR(INDEX('[AQ_2022.xlsx]原始数据'!$E:$E,MATCH($A661,'[AQ_2022.xlsx]原始数据'!$A:$A,0)),""))</f>
        <v/>
      </c>
      <c r="T661">
        <f>IF($A661="","",IFERROR(INDEX('[AQ_2023.xlsx]原始数据'!$E:$E,MATCH($A661,'[AQ_2023.xlsx]原始数据'!$A:$A,0)),""))</f>
        <v/>
      </c>
      <c r="U661">
        <f>IF($A661="","",IFERROR(INDEX('[AQ_2024.xlsx]原始数据'!$E:$E,MATCH($A661,'[AQ_2024.xlsx]原始数据'!$A:$A,0)),""))</f>
        <v/>
      </c>
      <c r="V661">
        <f>IF($A661="","",IFERROR(INDEX('[AQ_2020.xlsx]原始数据'!$F:$F,MATCH($A661,'[AQ_2020.xlsx]原始数据'!$A:$A,0)),""))</f>
        <v/>
      </c>
      <c r="W661">
        <f>IF($A661="","",IFERROR(INDEX('[AQ_2021.xlsx]原始数据'!$F:$F,MATCH($A661,'[AQ_2021.xlsx]原始数据'!$A:$A,0)),""))</f>
        <v/>
      </c>
      <c r="X661">
        <f>IF($A661="","",IFERROR(INDEX('[AQ_2022.xlsx]原始数据'!$F:$F,MATCH($A661,'[AQ_2022.xlsx]原始数据'!$A:$A,0)),""))</f>
        <v/>
      </c>
      <c r="Y661">
        <f>IF($A661="","",IFERROR(INDEX('[AQ_2023.xlsx]原始数据'!$F:$F,MATCH($A661,'[AQ_2023.xlsx]原始数据'!$A:$A,0)),""))</f>
        <v/>
      </c>
      <c r="Z661">
        <f>IF($A661="","",IFERROR(INDEX('[AQ_2024.xlsx]原始数据'!$F:$F,MATCH($A661,'[AQ_2024.xlsx]原始数据'!$A:$A,0)),""))</f>
        <v/>
      </c>
      <c r="AA661" s="2">
        <f>IFERROR(G661/B661,"")</f>
        <v/>
      </c>
      <c r="AB661" s="2">
        <f>IFERROR(H661/C661,"")</f>
        <v/>
      </c>
      <c r="AC661" s="2">
        <f>IFERROR(I661/D661,"")</f>
        <v/>
      </c>
      <c r="AD661" s="2">
        <f>IFERROR(J661/E661,"")</f>
        <v/>
      </c>
      <c r="AE661" s="2">
        <f>IFERROR(K661/F661,"")</f>
        <v/>
      </c>
      <c r="AF661" s="2">
        <f>IFERROR(L661/B661,"")</f>
        <v/>
      </c>
      <c r="AG661" s="2">
        <f>IFERROR(M661/C661,"")</f>
        <v/>
      </c>
      <c r="AH661" s="2">
        <f>IFERROR(N661/D661,"")</f>
        <v/>
      </c>
      <c r="AI661" s="2">
        <f>IFERROR(O661/E661,"")</f>
        <v/>
      </c>
      <c r="AJ661" s="2">
        <f>IFERROR(P661/F661,"")</f>
        <v/>
      </c>
      <c r="AK661" s="2">
        <f>IFERROR(Q661/B661,"")</f>
        <v/>
      </c>
      <c r="AL661" s="2">
        <f>IFERROR(R661/C661,"")</f>
        <v/>
      </c>
      <c r="AM661" s="2">
        <f>IFERROR(S661/D661,"")</f>
        <v/>
      </c>
      <c r="AN661" s="2">
        <f>IFERROR(T661/E661,"")</f>
        <v/>
      </c>
      <c r="AO661" s="2">
        <f>IFERROR(U661/F661,"")</f>
        <v/>
      </c>
    </row>
    <row r="662">
      <c r="B662">
        <f>IF($A662="","",IFERROR(INDEX('[AQ_2020.xlsx]原始数据'!$B:$B,MATCH($A662,'[AQ_2020.xlsx]原始数据'!$A:$A,0)),""))</f>
        <v/>
      </c>
      <c r="C662">
        <f>IF($A662="","",IFERROR(INDEX('[AQ_2021.xlsx]原始数据'!$B:$B,MATCH($A662,'[AQ_2021.xlsx]原始数据'!$A:$A,0)),""))</f>
        <v/>
      </c>
      <c r="D662">
        <f>IF($A662="","",IFERROR(INDEX('[AQ_2022.xlsx]原始数据'!$B:$B,MATCH($A662,'[AQ_2022.xlsx]原始数据'!$A:$A,0)),""))</f>
        <v/>
      </c>
      <c r="E662">
        <f>IF($A662="","",IFERROR(INDEX('[AQ_2023.xlsx]原始数据'!$B:$B,MATCH($A662,'[AQ_2023.xlsx]原始数据'!$A:$A,0)),""))</f>
        <v/>
      </c>
      <c r="F662">
        <f>IF($A662="","",IFERROR(INDEX('[AQ_2024.xlsx]原始数据'!$B:$B,MATCH($A662,'[AQ_2024.xlsx]原始数据'!$A:$A,0)),""))</f>
        <v/>
      </c>
      <c r="G662">
        <f>IF($A662="","",IFERROR(INDEX('[AQ_2020.xlsx]原始数据'!$C:$C,MATCH($A662,'[AQ_2020.xlsx]原始数据'!$A:$A,0)),""))</f>
        <v/>
      </c>
      <c r="H662">
        <f>IF($A662="","",IFERROR(INDEX('[AQ_2021.xlsx]原始数据'!$C:$C,MATCH($A662,'[AQ_2021.xlsx]原始数据'!$A:$A,0)),""))</f>
        <v/>
      </c>
      <c r="I662">
        <f>IF($A662="","",IFERROR(INDEX('[AQ_2022.xlsx]原始数据'!$C:$C,MATCH($A662,'[AQ_2022.xlsx]原始数据'!$A:$A,0)),""))</f>
        <v/>
      </c>
      <c r="J662">
        <f>IF($A662="","",IFERROR(INDEX('[AQ_2023.xlsx]原始数据'!$C:$C,MATCH($A662,'[AQ_2023.xlsx]原始数据'!$A:$A,0)),""))</f>
        <v/>
      </c>
      <c r="K662">
        <f>IF($A662="","",IFERROR(INDEX('[AQ_2024.xlsx]原始数据'!$C:$C,MATCH($A662,'[AQ_2024.xlsx]原始数据'!$A:$A,0)),""))</f>
        <v/>
      </c>
      <c r="L662">
        <f>IF($A662="","",IFERROR(INDEX('[AQ_2020.xlsx]原始数据'!$D:$D,MATCH($A662,'[AQ_2020.xlsx]原始数据'!$A:$A,0)),""))</f>
        <v/>
      </c>
      <c r="M662">
        <f>IF($A662="","",IFERROR(INDEX('[AQ_2021.xlsx]原始数据'!$D:$D,MATCH($A662,'[AQ_2021.xlsx]原始数据'!$A:$A,0)),""))</f>
        <v/>
      </c>
      <c r="N662">
        <f>IF($A662="","",IFERROR(INDEX('[AQ_2022.xlsx]原始数据'!$D:$D,MATCH($A662,'[AQ_2022.xlsx]原始数据'!$A:$A,0)),""))</f>
        <v/>
      </c>
      <c r="O662">
        <f>IF($A662="","",IFERROR(INDEX('[AQ_2023.xlsx]原始数据'!$D:$D,MATCH($A662,'[AQ_2023.xlsx]原始数据'!$A:$A,0)),""))</f>
        <v/>
      </c>
      <c r="P662">
        <f>IF($A662="","",IFERROR(INDEX('[AQ_2024.xlsx]原始数据'!$D:$D,MATCH($A662,'[AQ_2024.xlsx]原始数据'!$A:$A,0)),""))</f>
        <v/>
      </c>
      <c r="Q662">
        <f>IF($A662="","",IFERROR(INDEX('[AQ_2020.xlsx]原始数据'!$E:$E,MATCH($A662,'[AQ_2020.xlsx]原始数据'!$A:$A,0)),""))</f>
        <v/>
      </c>
      <c r="R662">
        <f>IF($A662="","",IFERROR(INDEX('[AQ_2021.xlsx]原始数据'!$E:$E,MATCH($A662,'[AQ_2021.xlsx]原始数据'!$A:$A,0)),""))</f>
        <v/>
      </c>
      <c r="S662">
        <f>IF($A662="","",IFERROR(INDEX('[AQ_2022.xlsx]原始数据'!$E:$E,MATCH($A662,'[AQ_2022.xlsx]原始数据'!$A:$A,0)),""))</f>
        <v/>
      </c>
      <c r="T662">
        <f>IF($A662="","",IFERROR(INDEX('[AQ_2023.xlsx]原始数据'!$E:$E,MATCH($A662,'[AQ_2023.xlsx]原始数据'!$A:$A,0)),""))</f>
        <v/>
      </c>
      <c r="U662">
        <f>IF($A662="","",IFERROR(INDEX('[AQ_2024.xlsx]原始数据'!$E:$E,MATCH($A662,'[AQ_2024.xlsx]原始数据'!$A:$A,0)),""))</f>
        <v/>
      </c>
      <c r="V662">
        <f>IF($A662="","",IFERROR(INDEX('[AQ_2020.xlsx]原始数据'!$F:$F,MATCH($A662,'[AQ_2020.xlsx]原始数据'!$A:$A,0)),""))</f>
        <v/>
      </c>
      <c r="W662">
        <f>IF($A662="","",IFERROR(INDEX('[AQ_2021.xlsx]原始数据'!$F:$F,MATCH($A662,'[AQ_2021.xlsx]原始数据'!$A:$A,0)),""))</f>
        <v/>
      </c>
      <c r="X662">
        <f>IF($A662="","",IFERROR(INDEX('[AQ_2022.xlsx]原始数据'!$F:$F,MATCH($A662,'[AQ_2022.xlsx]原始数据'!$A:$A,0)),""))</f>
        <v/>
      </c>
      <c r="Y662">
        <f>IF($A662="","",IFERROR(INDEX('[AQ_2023.xlsx]原始数据'!$F:$F,MATCH($A662,'[AQ_2023.xlsx]原始数据'!$A:$A,0)),""))</f>
        <v/>
      </c>
      <c r="Z662">
        <f>IF($A662="","",IFERROR(INDEX('[AQ_2024.xlsx]原始数据'!$F:$F,MATCH($A662,'[AQ_2024.xlsx]原始数据'!$A:$A,0)),""))</f>
        <v/>
      </c>
      <c r="AA662" s="2">
        <f>IFERROR(G662/B662,"")</f>
        <v/>
      </c>
      <c r="AB662" s="2">
        <f>IFERROR(H662/C662,"")</f>
        <v/>
      </c>
      <c r="AC662" s="2">
        <f>IFERROR(I662/D662,"")</f>
        <v/>
      </c>
      <c r="AD662" s="2">
        <f>IFERROR(J662/E662,"")</f>
        <v/>
      </c>
      <c r="AE662" s="2">
        <f>IFERROR(K662/F662,"")</f>
        <v/>
      </c>
      <c r="AF662" s="2">
        <f>IFERROR(L662/B662,"")</f>
        <v/>
      </c>
      <c r="AG662" s="2">
        <f>IFERROR(M662/C662,"")</f>
        <v/>
      </c>
      <c r="AH662" s="2">
        <f>IFERROR(N662/D662,"")</f>
        <v/>
      </c>
      <c r="AI662" s="2">
        <f>IFERROR(O662/E662,"")</f>
        <v/>
      </c>
      <c r="AJ662" s="2">
        <f>IFERROR(P662/F662,"")</f>
        <v/>
      </c>
      <c r="AK662" s="2">
        <f>IFERROR(Q662/B662,"")</f>
        <v/>
      </c>
      <c r="AL662" s="2">
        <f>IFERROR(R662/C662,"")</f>
        <v/>
      </c>
      <c r="AM662" s="2">
        <f>IFERROR(S662/D662,"")</f>
        <v/>
      </c>
      <c r="AN662" s="2">
        <f>IFERROR(T662/E662,"")</f>
        <v/>
      </c>
      <c r="AO662" s="2">
        <f>IFERROR(U662/F662,"")</f>
        <v/>
      </c>
    </row>
    <row r="663">
      <c r="B663">
        <f>IF($A663="","",IFERROR(INDEX('[AQ_2020.xlsx]原始数据'!$B:$B,MATCH($A663,'[AQ_2020.xlsx]原始数据'!$A:$A,0)),""))</f>
        <v/>
      </c>
      <c r="C663">
        <f>IF($A663="","",IFERROR(INDEX('[AQ_2021.xlsx]原始数据'!$B:$B,MATCH($A663,'[AQ_2021.xlsx]原始数据'!$A:$A,0)),""))</f>
        <v/>
      </c>
      <c r="D663">
        <f>IF($A663="","",IFERROR(INDEX('[AQ_2022.xlsx]原始数据'!$B:$B,MATCH($A663,'[AQ_2022.xlsx]原始数据'!$A:$A,0)),""))</f>
        <v/>
      </c>
      <c r="E663">
        <f>IF($A663="","",IFERROR(INDEX('[AQ_2023.xlsx]原始数据'!$B:$B,MATCH($A663,'[AQ_2023.xlsx]原始数据'!$A:$A,0)),""))</f>
        <v/>
      </c>
      <c r="F663">
        <f>IF($A663="","",IFERROR(INDEX('[AQ_2024.xlsx]原始数据'!$B:$B,MATCH($A663,'[AQ_2024.xlsx]原始数据'!$A:$A,0)),""))</f>
        <v/>
      </c>
      <c r="G663">
        <f>IF($A663="","",IFERROR(INDEX('[AQ_2020.xlsx]原始数据'!$C:$C,MATCH($A663,'[AQ_2020.xlsx]原始数据'!$A:$A,0)),""))</f>
        <v/>
      </c>
      <c r="H663">
        <f>IF($A663="","",IFERROR(INDEX('[AQ_2021.xlsx]原始数据'!$C:$C,MATCH($A663,'[AQ_2021.xlsx]原始数据'!$A:$A,0)),""))</f>
        <v/>
      </c>
      <c r="I663">
        <f>IF($A663="","",IFERROR(INDEX('[AQ_2022.xlsx]原始数据'!$C:$C,MATCH($A663,'[AQ_2022.xlsx]原始数据'!$A:$A,0)),""))</f>
        <v/>
      </c>
      <c r="J663">
        <f>IF($A663="","",IFERROR(INDEX('[AQ_2023.xlsx]原始数据'!$C:$C,MATCH($A663,'[AQ_2023.xlsx]原始数据'!$A:$A,0)),""))</f>
        <v/>
      </c>
      <c r="K663">
        <f>IF($A663="","",IFERROR(INDEX('[AQ_2024.xlsx]原始数据'!$C:$C,MATCH($A663,'[AQ_2024.xlsx]原始数据'!$A:$A,0)),""))</f>
        <v/>
      </c>
      <c r="L663">
        <f>IF($A663="","",IFERROR(INDEX('[AQ_2020.xlsx]原始数据'!$D:$D,MATCH($A663,'[AQ_2020.xlsx]原始数据'!$A:$A,0)),""))</f>
        <v/>
      </c>
      <c r="M663">
        <f>IF($A663="","",IFERROR(INDEX('[AQ_2021.xlsx]原始数据'!$D:$D,MATCH($A663,'[AQ_2021.xlsx]原始数据'!$A:$A,0)),""))</f>
        <v/>
      </c>
      <c r="N663">
        <f>IF($A663="","",IFERROR(INDEX('[AQ_2022.xlsx]原始数据'!$D:$D,MATCH($A663,'[AQ_2022.xlsx]原始数据'!$A:$A,0)),""))</f>
        <v/>
      </c>
      <c r="O663">
        <f>IF($A663="","",IFERROR(INDEX('[AQ_2023.xlsx]原始数据'!$D:$D,MATCH($A663,'[AQ_2023.xlsx]原始数据'!$A:$A,0)),""))</f>
        <v/>
      </c>
      <c r="P663">
        <f>IF($A663="","",IFERROR(INDEX('[AQ_2024.xlsx]原始数据'!$D:$D,MATCH($A663,'[AQ_2024.xlsx]原始数据'!$A:$A,0)),""))</f>
        <v/>
      </c>
      <c r="Q663">
        <f>IF($A663="","",IFERROR(INDEX('[AQ_2020.xlsx]原始数据'!$E:$E,MATCH($A663,'[AQ_2020.xlsx]原始数据'!$A:$A,0)),""))</f>
        <v/>
      </c>
      <c r="R663">
        <f>IF($A663="","",IFERROR(INDEX('[AQ_2021.xlsx]原始数据'!$E:$E,MATCH($A663,'[AQ_2021.xlsx]原始数据'!$A:$A,0)),""))</f>
        <v/>
      </c>
      <c r="S663">
        <f>IF($A663="","",IFERROR(INDEX('[AQ_2022.xlsx]原始数据'!$E:$E,MATCH($A663,'[AQ_2022.xlsx]原始数据'!$A:$A,0)),""))</f>
        <v/>
      </c>
      <c r="T663">
        <f>IF($A663="","",IFERROR(INDEX('[AQ_2023.xlsx]原始数据'!$E:$E,MATCH($A663,'[AQ_2023.xlsx]原始数据'!$A:$A,0)),""))</f>
        <v/>
      </c>
      <c r="U663">
        <f>IF($A663="","",IFERROR(INDEX('[AQ_2024.xlsx]原始数据'!$E:$E,MATCH($A663,'[AQ_2024.xlsx]原始数据'!$A:$A,0)),""))</f>
        <v/>
      </c>
      <c r="V663">
        <f>IF($A663="","",IFERROR(INDEX('[AQ_2020.xlsx]原始数据'!$F:$F,MATCH($A663,'[AQ_2020.xlsx]原始数据'!$A:$A,0)),""))</f>
        <v/>
      </c>
      <c r="W663">
        <f>IF($A663="","",IFERROR(INDEX('[AQ_2021.xlsx]原始数据'!$F:$F,MATCH($A663,'[AQ_2021.xlsx]原始数据'!$A:$A,0)),""))</f>
        <v/>
      </c>
      <c r="X663">
        <f>IF($A663="","",IFERROR(INDEX('[AQ_2022.xlsx]原始数据'!$F:$F,MATCH($A663,'[AQ_2022.xlsx]原始数据'!$A:$A,0)),""))</f>
        <v/>
      </c>
      <c r="Y663">
        <f>IF($A663="","",IFERROR(INDEX('[AQ_2023.xlsx]原始数据'!$F:$F,MATCH($A663,'[AQ_2023.xlsx]原始数据'!$A:$A,0)),""))</f>
        <v/>
      </c>
      <c r="Z663">
        <f>IF($A663="","",IFERROR(INDEX('[AQ_2024.xlsx]原始数据'!$F:$F,MATCH($A663,'[AQ_2024.xlsx]原始数据'!$A:$A,0)),""))</f>
        <v/>
      </c>
      <c r="AA663" s="2">
        <f>IFERROR(G663/B663,"")</f>
        <v/>
      </c>
      <c r="AB663" s="2">
        <f>IFERROR(H663/C663,"")</f>
        <v/>
      </c>
      <c r="AC663" s="2">
        <f>IFERROR(I663/D663,"")</f>
        <v/>
      </c>
      <c r="AD663" s="2">
        <f>IFERROR(J663/E663,"")</f>
        <v/>
      </c>
      <c r="AE663" s="2">
        <f>IFERROR(K663/F663,"")</f>
        <v/>
      </c>
      <c r="AF663" s="2">
        <f>IFERROR(L663/B663,"")</f>
        <v/>
      </c>
      <c r="AG663" s="2">
        <f>IFERROR(M663/C663,"")</f>
        <v/>
      </c>
      <c r="AH663" s="2">
        <f>IFERROR(N663/D663,"")</f>
        <v/>
      </c>
      <c r="AI663" s="2">
        <f>IFERROR(O663/E663,"")</f>
        <v/>
      </c>
      <c r="AJ663" s="2">
        <f>IFERROR(P663/F663,"")</f>
        <v/>
      </c>
      <c r="AK663" s="2">
        <f>IFERROR(Q663/B663,"")</f>
        <v/>
      </c>
      <c r="AL663" s="2">
        <f>IFERROR(R663/C663,"")</f>
        <v/>
      </c>
      <c r="AM663" s="2">
        <f>IFERROR(S663/D663,"")</f>
        <v/>
      </c>
      <c r="AN663" s="2">
        <f>IFERROR(T663/E663,"")</f>
        <v/>
      </c>
      <c r="AO663" s="2">
        <f>IFERROR(U663/F663,"")</f>
        <v/>
      </c>
    </row>
    <row r="664">
      <c r="B664">
        <f>IF($A664="","",IFERROR(INDEX('[AQ_2020.xlsx]原始数据'!$B:$B,MATCH($A664,'[AQ_2020.xlsx]原始数据'!$A:$A,0)),""))</f>
        <v/>
      </c>
      <c r="C664">
        <f>IF($A664="","",IFERROR(INDEX('[AQ_2021.xlsx]原始数据'!$B:$B,MATCH($A664,'[AQ_2021.xlsx]原始数据'!$A:$A,0)),""))</f>
        <v/>
      </c>
      <c r="D664">
        <f>IF($A664="","",IFERROR(INDEX('[AQ_2022.xlsx]原始数据'!$B:$B,MATCH($A664,'[AQ_2022.xlsx]原始数据'!$A:$A,0)),""))</f>
        <v/>
      </c>
      <c r="E664">
        <f>IF($A664="","",IFERROR(INDEX('[AQ_2023.xlsx]原始数据'!$B:$B,MATCH($A664,'[AQ_2023.xlsx]原始数据'!$A:$A,0)),""))</f>
        <v/>
      </c>
      <c r="F664">
        <f>IF($A664="","",IFERROR(INDEX('[AQ_2024.xlsx]原始数据'!$B:$B,MATCH($A664,'[AQ_2024.xlsx]原始数据'!$A:$A,0)),""))</f>
        <v/>
      </c>
      <c r="G664">
        <f>IF($A664="","",IFERROR(INDEX('[AQ_2020.xlsx]原始数据'!$C:$C,MATCH($A664,'[AQ_2020.xlsx]原始数据'!$A:$A,0)),""))</f>
        <v/>
      </c>
      <c r="H664">
        <f>IF($A664="","",IFERROR(INDEX('[AQ_2021.xlsx]原始数据'!$C:$C,MATCH($A664,'[AQ_2021.xlsx]原始数据'!$A:$A,0)),""))</f>
        <v/>
      </c>
      <c r="I664">
        <f>IF($A664="","",IFERROR(INDEX('[AQ_2022.xlsx]原始数据'!$C:$C,MATCH($A664,'[AQ_2022.xlsx]原始数据'!$A:$A,0)),""))</f>
        <v/>
      </c>
      <c r="J664">
        <f>IF($A664="","",IFERROR(INDEX('[AQ_2023.xlsx]原始数据'!$C:$C,MATCH($A664,'[AQ_2023.xlsx]原始数据'!$A:$A,0)),""))</f>
        <v/>
      </c>
      <c r="K664">
        <f>IF($A664="","",IFERROR(INDEX('[AQ_2024.xlsx]原始数据'!$C:$C,MATCH($A664,'[AQ_2024.xlsx]原始数据'!$A:$A,0)),""))</f>
        <v/>
      </c>
      <c r="L664">
        <f>IF($A664="","",IFERROR(INDEX('[AQ_2020.xlsx]原始数据'!$D:$D,MATCH($A664,'[AQ_2020.xlsx]原始数据'!$A:$A,0)),""))</f>
        <v/>
      </c>
      <c r="M664">
        <f>IF($A664="","",IFERROR(INDEX('[AQ_2021.xlsx]原始数据'!$D:$D,MATCH($A664,'[AQ_2021.xlsx]原始数据'!$A:$A,0)),""))</f>
        <v/>
      </c>
      <c r="N664">
        <f>IF($A664="","",IFERROR(INDEX('[AQ_2022.xlsx]原始数据'!$D:$D,MATCH($A664,'[AQ_2022.xlsx]原始数据'!$A:$A,0)),""))</f>
        <v/>
      </c>
      <c r="O664">
        <f>IF($A664="","",IFERROR(INDEX('[AQ_2023.xlsx]原始数据'!$D:$D,MATCH($A664,'[AQ_2023.xlsx]原始数据'!$A:$A,0)),""))</f>
        <v/>
      </c>
      <c r="P664">
        <f>IF($A664="","",IFERROR(INDEX('[AQ_2024.xlsx]原始数据'!$D:$D,MATCH($A664,'[AQ_2024.xlsx]原始数据'!$A:$A,0)),""))</f>
        <v/>
      </c>
      <c r="Q664">
        <f>IF($A664="","",IFERROR(INDEX('[AQ_2020.xlsx]原始数据'!$E:$E,MATCH($A664,'[AQ_2020.xlsx]原始数据'!$A:$A,0)),""))</f>
        <v/>
      </c>
      <c r="R664">
        <f>IF($A664="","",IFERROR(INDEX('[AQ_2021.xlsx]原始数据'!$E:$E,MATCH($A664,'[AQ_2021.xlsx]原始数据'!$A:$A,0)),""))</f>
        <v/>
      </c>
      <c r="S664">
        <f>IF($A664="","",IFERROR(INDEX('[AQ_2022.xlsx]原始数据'!$E:$E,MATCH($A664,'[AQ_2022.xlsx]原始数据'!$A:$A,0)),""))</f>
        <v/>
      </c>
      <c r="T664">
        <f>IF($A664="","",IFERROR(INDEX('[AQ_2023.xlsx]原始数据'!$E:$E,MATCH($A664,'[AQ_2023.xlsx]原始数据'!$A:$A,0)),""))</f>
        <v/>
      </c>
      <c r="U664">
        <f>IF($A664="","",IFERROR(INDEX('[AQ_2024.xlsx]原始数据'!$E:$E,MATCH($A664,'[AQ_2024.xlsx]原始数据'!$A:$A,0)),""))</f>
        <v/>
      </c>
      <c r="V664">
        <f>IF($A664="","",IFERROR(INDEX('[AQ_2020.xlsx]原始数据'!$F:$F,MATCH($A664,'[AQ_2020.xlsx]原始数据'!$A:$A,0)),""))</f>
        <v/>
      </c>
      <c r="W664">
        <f>IF($A664="","",IFERROR(INDEX('[AQ_2021.xlsx]原始数据'!$F:$F,MATCH($A664,'[AQ_2021.xlsx]原始数据'!$A:$A,0)),""))</f>
        <v/>
      </c>
      <c r="X664">
        <f>IF($A664="","",IFERROR(INDEX('[AQ_2022.xlsx]原始数据'!$F:$F,MATCH($A664,'[AQ_2022.xlsx]原始数据'!$A:$A,0)),""))</f>
        <v/>
      </c>
      <c r="Y664">
        <f>IF($A664="","",IFERROR(INDEX('[AQ_2023.xlsx]原始数据'!$F:$F,MATCH($A664,'[AQ_2023.xlsx]原始数据'!$A:$A,0)),""))</f>
        <v/>
      </c>
      <c r="Z664">
        <f>IF($A664="","",IFERROR(INDEX('[AQ_2024.xlsx]原始数据'!$F:$F,MATCH($A664,'[AQ_2024.xlsx]原始数据'!$A:$A,0)),""))</f>
        <v/>
      </c>
      <c r="AA664" s="2">
        <f>IFERROR(G664/B664,"")</f>
        <v/>
      </c>
      <c r="AB664" s="2">
        <f>IFERROR(H664/C664,"")</f>
        <v/>
      </c>
      <c r="AC664" s="2">
        <f>IFERROR(I664/D664,"")</f>
        <v/>
      </c>
      <c r="AD664" s="2">
        <f>IFERROR(J664/E664,"")</f>
        <v/>
      </c>
      <c r="AE664" s="2">
        <f>IFERROR(K664/F664,"")</f>
        <v/>
      </c>
      <c r="AF664" s="2">
        <f>IFERROR(L664/B664,"")</f>
        <v/>
      </c>
      <c r="AG664" s="2">
        <f>IFERROR(M664/C664,"")</f>
        <v/>
      </c>
      <c r="AH664" s="2">
        <f>IFERROR(N664/D664,"")</f>
        <v/>
      </c>
      <c r="AI664" s="2">
        <f>IFERROR(O664/E664,"")</f>
        <v/>
      </c>
      <c r="AJ664" s="2">
        <f>IFERROR(P664/F664,"")</f>
        <v/>
      </c>
      <c r="AK664" s="2">
        <f>IFERROR(Q664/B664,"")</f>
        <v/>
      </c>
      <c r="AL664" s="2">
        <f>IFERROR(R664/C664,"")</f>
        <v/>
      </c>
      <c r="AM664" s="2">
        <f>IFERROR(S664/D664,"")</f>
        <v/>
      </c>
      <c r="AN664" s="2">
        <f>IFERROR(T664/E664,"")</f>
        <v/>
      </c>
      <c r="AO664" s="2">
        <f>IFERROR(U664/F664,"")</f>
        <v/>
      </c>
    </row>
    <row r="665">
      <c r="B665">
        <f>IF($A665="","",IFERROR(INDEX('[AQ_2020.xlsx]原始数据'!$B:$B,MATCH($A665,'[AQ_2020.xlsx]原始数据'!$A:$A,0)),""))</f>
        <v/>
      </c>
      <c r="C665">
        <f>IF($A665="","",IFERROR(INDEX('[AQ_2021.xlsx]原始数据'!$B:$B,MATCH($A665,'[AQ_2021.xlsx]原始数据'!$A:$A,0)),""))</f>
        <v/>
      </c>
      <c r="D665">
        <f>IF($A665="","",IFERROR(INDEX('[AQ_2022.xlsx]原始数据'!$B:$B,MATCH($A665,'[AQ_2022.xlsx]原始数据'!$A:$A,0)),""))</f>
        <v/>
      </c>
      <c r="E665">
        <f>IF($A665="","",IFERROR(INDEX('[AQ_2023.xlsx]原始数据'!$B:$B,MATCH($A665,'[AQ_2023.xlsx]原始数据'!$A:$A,0)),""))</f>
        <v/>
      </c>
      <c r="F665">
        <f>IF($A665="","",IFERROR(INDEX('[AQ_2024.xlsx]原始数据'!$B:$B,MATCH($A665,'[AQ_2024.xlsx]原始数据'!$A:$A,0)),""))</f>
        <v/>
      </c>
      <c r="G665">
        <f>IF($A665="","",IFERROR(INDEX('[AQ_2020.xlsx]原始数据'!$C:$C,MATCH($A665,'[AQ_2020.xlsx]原始数据'!$A:$A,0)),""))</f>
        <v/>
      </c>
      <c r="H665">
        <f>IF($A665="","",IFERROR(INDEX('[AQ_2021.xlsx]原始数据'!$C:$C,MATCH($A665,'[AQ_2021.xlsx]原始数据'!$A:$A,0)),""))</f>
        <v/>
      </c>
      <c r="I665">
        <f>IF($A665="","",IFERROR(INDEX('[AQ_2022.xlsx]原始数据'!$C:$C,MATCH($A665,'[AQ_2022.xlsx]原始数据'!$A:$A,0)),""))</f>
        <v/>
      </c>
      <c r="J665">
        <f>IF($A665="","",IFERROR(INDEX('[AQ_2023.xlsx]原始数据'!$C:$C,MATCH($A665,'[AQ_2023.xlsx]原始数据'!$A:$A,0)),""))</f>
        <v/>
      </c>
      <c r="K665">
        <f>IF($A665="","",IFERROR(INDEX('[AQ_2024.xlsx]原始数据'!$C:$C,MATCH($A665,'[AQ_2024.xlsx]原始数据'!$A:$A,0)),""))</f>
        <v/>
      </c>
      <c r="L665">
        <f>IF($A665="","",IFERROR(INDEX('[AQ_2020.xlsx]原始数据'!$D:$D,MATCH($A665,'[AQ_2020.xlsx]原始数据'!$A:$A,0)),""))</f>
        <v/>
      </c>
      <c r="M665">
        <f>IF($A665="","",IFERROR(INDEX('[AQ_2021.xlsx]原始数据'!$D:$D,MATCH($A665,'[AQ_2021.xlsx]原始数据'!$A:$A,0)),""))</f>
        <v/>
      </c>
      <c r="N665">
        <f>IF($A665="","",IFERROR(INDEX('[AQ_2022.xlsx]原始数据'!$D:$D,MATCH($A665,'[AQ_2022.xlsx]原始数据'!$A:$A,0)),""))</f>
        <v/>
      </c>
      <c r="O665">
        <f>IF($A665="","",IFERROR(INDEX('[AQ_2023.xlsx]原始数据'!$D:$D,MATCH($A665,'[AQ_2023.xlsx]原始数据'!$A:$A,0)),""))</f>
        <v/>
      </c>
      <c r="P665">
        <f>IF($A665="","",IFERROR(INDEX('[AQ_2024.xlsx]原始数据'!$D:$D,MATCH($A665,'[AQ_2024.xlsx]原始数据'!$A:$A,0)),""))</f>
        <v/>
      </c>
      <c r="Q665">
        <f>IF($A665="","",IFERROR(INDEX('[AQ_2020.xlsx]原始数据'!$E:$E,MATCH($A665,'[AQ_2020.xlsx]原始数据'!$A:$A,0)),""))</f>
        <v/>
      </c>
      <c r="R665">
        <f>IF($A665="","",IFERROR(INDEX('[AQ_2021.xlsx]原始数据'!$E:$E,MATCH($A665,'[AQ_2021.xlsx]原始数据'!$A:$A,0)),""))</f>
        <v/>
      </c>
      <c r="S665">
        <f>IF($A665="","",IFERROR(INDEX('[AQ_2022.xlsx]原始数据'!$E:$E,MATCH($A665,'[AQ_2022.xlsx]原始数据'!$A:$A,0)),""))</f>
        <v/>
      </c>
      <c r="T665">
        <f>IF($A665="","",IFERROR(INDEX('[AQ_2023.xlsx]原始数据'!$E:$E,MATCH($A665,'[AQ_2023.xlsx]原始数据'!$A:$A,0)),""))</f>
        <v/>
      </c>
      <c r="U665">
        <f>IF($A665="","",IFERROR(INDEX('[AQ_2024.xlsx]原始数据'!$E:$E,MATCH($A665,'[AQ_2024.xlsx]原始数据'!$A:$A,0)),""))</f>
        <v/>
      </c>
      <c r="V665">
        <f>IF($A665="","",IFERROR(INDEX('[AQ_2020.xlsx]原始数据'!$F:$F,MATCH($A665,'[AQ_2020.xlsx]原始数据'!$A:$A,0)),""))</f>
        <v/>
      </c>
      <c r="W665">
        <f>IF($A665="","",IFERROR(INDEX('[AQ_2021.xlsx]原始数据'!$F:$F,MATCH($A665,'[AQ_2021.xlsx]原始数据'!$A:$A,0)),""))</f>
        <v/>
      </c>
      <c r="X665">
        <f>IF($A665="","",IFERROR(INDEX('[AQ_2022.xlsx]原始数据'!$F:$F,MATCH($A665,'[AQ_2022.xlsx]原始数据'!$A:$A,0)),""))</f>
        <v/>
      </c>
      <c r="Y665">
        <f>IF($A665="","",IFERROR(INDEX('[AQ_2023.xlsx]原始数据'!$F:$F,MATCH($A665,'[AQ_2023.xlsx]原始数据'!$A:$A,0)),""))</f>
        <v/>
      </c>
      <c r="Z665">
        <f>IF($A665="","",IFERROR(INDEX('[AQ_2024.xlsx]原始数据'!$F:$F,MATCH($A665,'[AQ_2024.xlsx]原始数据'!$A:$A,0)),""))</f>
        <v/>
      </c>
      <c r="AA665" s="2">
        <f>IFERROR(G665/B665,"")</f>
        <v/>
      </c>
      <c r="AB665" s="2">
        <f>IFERROR(H665/C665,"")</f>
        <v/>
      </c>
      <c r="AC665" s="2">
        <f>IFERROR(I665/D665,"")</f>
        <v/>
      </c>
      <c r="AD665" s="2">
        <f>IFERROR(J665/E665,"")</f>
        <v/>
      </c>
      <c r="AE665" s="2">
        <f>IFERROR(K665/F665,"")</f>
        <v/>
      </c>
      <c r="AF665" s="2">
        <f>IFERROR(L665/B665,"")</f>
        <v/>
      </c>
      <c r="AG665" s="2">
        <f>IFERROR(M665/C665,"")</f>
        <v/>
      </c>
      <c r="AH665" s="2">
        <f>IFERROR(N665/D665,"")</f>
        <v/>
      </c>
      <c r="AI665" s="2">
        <f>IFERROR(O665/E665,"")</f>
        <v/>
      </c>
      <c r="AJ665" s="2">
        <f>IFERROR(P665/F665,"")</f>
        <v/>
      </c>
      <c r="AK665" s="2">
        <f>IFERROR(Q665/B665,"")</f>
        <v/>
      </c>
      <c r="AL665" s="2">
        <f>IFERROR(R665/C665,"")</f>
        <v/>
      </c>
      <c r="AM665" s="2">
        <f>IFERROR(S665/D665,"")</f>
        <v/>
      </c>
      <c r="AN665" s="2">
        <f>IFERROR(T665/E665,"")</f>
        <v/>
      </c>
      <c r="AO665" s="2">
        <f>IFERROR(U665/F665,"")</f>
        <v/>
      </c>
    </row>
    <row r="666">
      <c r="B666">
        <f>IF($A666="","",IFERROR(INDEX('[AQ_2020.xlsx]原始数据'!$B:$B,MATCH($A666,'[AQ_2020.xlsx]原始数据'!$A:$A,0)),""))</f>
        <v/>
      </c>
      <c r="C666">
        <f>IF($A666="","",IFERROR(INDEX('[AQ_2021.xlsx]原始数据'!$B:$B,MATCH($A666,'[AQ_2021.xlsx]原始数据'!$A:$A,0)),""))</f>
        <v/>
      </c>
      <c r="D666">
        <f>IF($A666="","",IFERROR(INDEX('[AQ_2022.xlsx]原始数据'!$B:$B,MATCH($A666,'[AQ_2022.xlsx]原始数据'!$A:$A,0)),""))</f>
        <v/>
      </c>
      <c r="E666">
        <f>IF($A666="","",IFERROR(INDEX('[AQ_2023.xlsx]原始数据'!$B:$B,MATCH($A666,'[AQ_2023.xlsx]原始数据'!$A:$A,0)),""))</f>
        <v/>
      </c>
      <c r="F666">
        <f>IF($A666="","",IFERROR(INDEX('[AQ_2024.xlsx]原始数据'!$B:$B,MATCH($A666,'[AQ_2024.xlsx]原始数据'!$A:$A,0)),""))</f>
        <v/>
      </c>
      <c r="G666">
        <f>IF($A666="","",IFERROR(INDEX('[AQ_2020.xlsx]原始数据'!$C:$C,MATCH($A666,'[AQ_2020.xlsx]原始数据'!$A:$A,0)),""))</f>
        <v/>
      </c>
      <c r="H666">
        <f>IF($A666="","",IFERROR(INDEX('[AQ_2021.xlsx]原始数据'!$C:$C,MATCH($A666,'[AQ_2021.xlsx]原始数据'!$A:$A,0)),""))</f>
        <v/>
      </c>
      <c r="I666">
        <f>IF($A666="","",IFERROR(INDEX('[AQ_2022.xlsx]原始数据'!$C:$C,MATCH($A666,'[AQ_2022.xlsx]原始数据'!$A:$A,0)),""))</f>
        <v/>
      </c>
      <c r="J666">
        <f>IF($A666="","",IFERROR(INDEX('[AQ_2023.xlsx]原始数据'!$C:$C,MATCH($A666,'[AQ_2023.xlsx]原始数据'!$A:$A,0)),""))</f>
        <v/>
      </c>
      <c r="K666">
        <f>IF($A666="","",IFERROR(INDEX('[AQ_2024.xlsx]原始数据'!$C:$C,MATCH($A666,'[AQ_2024.xlsx]原始数据'!$A:$A,0)),""))</f>
        <v/>
      </c>
      <c r="L666">
        <f>IF($A666="","",IFERROR(INDEX('[AQ_2020.xlsx]原始数据'!$D:$D,MATCH($A666,'[AQ_2020.xlsx]原始数据'!$A:$A,0)),""))</f>
        <v/>
      </c>
      <c r="M666">
        <f>IF($A666="","",IFERROR(INDEX('[AQ_2021.xlsx]原始数据'!$D:$D,MATCH($A666,'[AQ_2021.xlsx]原始数据'!$A:$A,0)),""))</f>
        <v/>
      </c>
      <c r="N666">
        <f>IF($A666="","",IFERROR(INDEX('[AQ_2022.xlsx]原始数据'!$D:$D,MATCH($A666,'[AQ_2022.xlsx]原始数据'!$A:$A,0)),""))</f>
        <v/>
      </c>
      <c r="O666">
        <f>IF($A666="","",IFERROR(INDEX('[AQ_2023.xlsx]原始数据'!$D:$D,MATCH($A666,'[AQ_2023.xlsx]原始数据'!$A:$A,0)),""))</f>
        <v/>
      </c>
      <c r="P666">
        <f>IF($A666="","",IFERROR(INDEX('[AQ_2024.xlsx]原始数据'!$D:$D,MATCH($A666,'[AQ_2024.xlsx]原始数据'!$A:$A,0)),""))</f>
        <v/>
      </c>
      <c r="Q666">
        <f>IF($A666="","",IFERROR(INDEX('[AQ_2020.xlsx]原始数据'!$E:$E,MATCH($A666,'[AQ_2020.xlsx]原始数据'!$A:$A,0)),""))</f>
        <v/>
      </c>
      <c r="R666">
        <f>IF($A666="","",IFERROR(INDEX('[AQ_2021.xlsx]原始数据'!$E:$E,MATCH($A666,'[AQ_2021.xlsx]原始数据'!$A:$A,0)),""))</f>
        <v/>
      </c>
      <c r="S666">
        <f>IF($A666="","",IFERROR(INDEX('[AQ_2022.xlsx]原始数据'!$E:$E,MATCH($A666,'[AQ_2022.xlsx]原始数据'!$A:$A,0)),""))</f>
        <v/>
      </c>
      <c r="T666">
        <f>IF($A666="","",IFERROR(INDEX('[AQ_2023.xlsx]原始数据'!$E:$E,MATCH($A666,'[AQ_2023.xlsx]原始数据'!$A:$A,0)),""))</f>
        <v/>
      </c>
      <c r="U666">
        <f>IF($A666="","",IFERROR(INDEX('[AQ_2024.xlsx]原始数据'!$E:$E,MATCH($A666,'[AQ_2024.xlsx]原始数据'!$A:$A,0)),""))</f>
        <v/>
      </c>
      <c r="V666">
        <f>IF($A666="","",IFERROR(INDEX('[AQ_2020.xlsx]原始数据'!$F:$F,MATCH($A666,'[AQ_2020.xlsx]原始数据'!$A:$A,0)),""))</f>
        <v/>
      </c>
      <c r="W666">
        <f>IF($A666="","",IFERROR(INDEX('[AQ_2021.xlsx]原始数据'!$F:$F,MATCH($A666,'[AQ_2021.xlsx]原始数据'!$A:$A,0)),""))</f>
        <v/>
      </c>
      <c r="X666">
        <f>IF($A666="","",IFERROR(INDEX('[AQ_2022.xlsx]原始数据'!$F:$F,MATCH($A666,'[AQ_2022.xlsx]原始数据'!$A:$A,0)),""))</f>
        <v/>
      </c>
      <c r="Y666">
        <f>IF($A666="","",IFERROR(INDEX('[AQ_2023.xlsx]原始数据'!$F:$F,MATCH($A666,'[AQ_2023.xlsx]原始数据'!$A:$A,0)),""))</f>
        <v/>
      </c>
      <c r="Z666">
        <f>IF($A666="","",IFERROR(INDEX('[AQ_2024.xlsx]原始数据'!$F:$F,MATCH($A666,'[AQ_2024.xlsx]原始数据'!$A:$A,0)),""))</f>
        <v/>
      </c>
      <c r="AA666" s="2">
        <f>IFERROR(G666/B666,"")</f>
        <v/>
      </c>
      <c r="AB666" s="2">
        <f>IFERROR(H666/C666,"")</f>
        <v/>
      </c>
      <c r="AC666" s="2">
        <f>IFERROR(I666/D666,"")</f>
        <v/>
      </c>
      <c r="AD666" s="2">
        <f>IFERROR(J666/E666,"")</f>
        <v/>
      </c>
      <c r="AE666" s="2">
        <f>IFERROR(K666/F666,"")</f>
        <v/>
      </c>
      <c r="AF666" s="2">
        <f>IFERROR(L666/B666,"")</f>
        <v/>
      </c>
      <c r="AG666" s="2">
        <f>IFERROR(M666/C666,"")</f>
        <v/>
      </c>
      <c r="AH666" s="2">
        <f>IFERROR(N666/D666,"")</f>
        <v/>
      </c>
      <c r="AI666" s="2">
        <f>IFERROR(O666/E666,"")</f>
        <v/>
      </c>
      <c r="AJ666" s="2">
        <f>IFERROR(P666/F666,"")</f>
        <v/>
      </c>
      <c r="AK666" s="2">
        <f>IFERROR(Q666/B666,"")</f>
        <v/>
      </c>
      <c r="AL666" s="2">
        <f>IFERROR(R666/C666,"")</f>
        <v/>
      </c>
      <c r="AM666" s="2">
        <f>IFERROR(S666/D666,"")</f>
        <v/>
      </c>
      <c r="AN666" s="2">
        <f>IFERROR(T666/E666,"")</f>
        <v/>
      </c>
      <c r="AO666" s="2">
        <f>IFERROR(U666/F666,"")</f>
        <v/>
      </c>
    </row>
    <row r="667">
      <c r="B667">
        <f>IF($A667="","",IFERROR(INDEX('[AQ_2020.xlsx]原始数据'!$B:$B,MATCH($A667,'[AQ_2020.xlsx]原始数据'!$A:$A,0)),""))</f>
        <v/>
      </c>
      <c r="C667">
        <f>IF($A667="","",IFERROR(INDEX('[AQ_2021.xlsx]原始数据'!$B:$B,MATCH($A667,'[AQ_2021.xlsx]原始数据'!$A:$A,0)),""))</f>
        <v/>
      </c>
      <c r="D667">
        <f>IF($A667="","",IFERROR(INDEX('[AQ_2022.xlsx]原始数据'!$B:$B,MATCH($A667,'[AQ_2022.xlsx]原始数据'!$A:$A,0)),""))</f>
        <v/>
      </c>
      <c r="E667">
        <f>IF($A667="","",IFERROR(INDEX('[AQ_2023.xlsx]原始数据'!$B:$B,MATCH($A667,'[AQ_2023.xlsx]原始数据'!$A:$A,0)),""))</f>
        <v/>
      </c>
      <c r="F667">
        <f>IF($A667="","",IFERROR(INDEX('[AQ_2024.xlsx]原始数据'!$B:$B,MATCH($A667,'[AQ_2024.xlsx]原始数据'!$A:$A,0)),""))</f>
        <v/>
      </c>
      <c r="G667">
        <f>IF($A667="","",IFERROR(INDEX('[AQ_2020.xlsx]原始数据'!$C:$C,MATCH($A667,'[AQ_2020.xlsx]原始数据'!$A:$A,0)),""))</f>
        <v/>
      </c>
      <c r="H667">
        <f>IF($A667="","",IFERROR(INDEX('[AQ_2021.xlsx]原始数据'!$C:$C,MATCH($A667,'[AQ_2021.xlsx]原始数据'!$A:$A,0)),""))</f>
        <v/>
      </c>
      <c r="I667">
        <f>IF($A667="","",IFERROR(INDEX('[AQ_2022.xlsx]原始数据'!$C:$C,MATCH($A667,'[AQ_2022.xlsx]原始数据'!$A:$A,0)),""))</f>
        <v/>
      </c>
      <c r="J667">
        <f>IF($A667="","",IFERROR(INDEX('[AQ_2023.xlsx]原始数据'!$C:$C,MATCH($A667,'[AQ_2023.xlsx]原始数据'!$A:$A,0)),""))</f>
        <v/>
      </c>
      <c r="K667">
        <f>IF($A667="","",IFERROR(INDEX('[AQ_2024.xlsx]原始数据'!$C:$C,MATCH($A667,'[AQ_2024.xlsx]原始数据'!$A:$A,0)),""))</f>
        <v/>
      </c>
      <c r="L667">
        <f>IF($A667="","",IFERROR(INDEX('[AQ_2020.xlsx]原始数据'!$D:$D,MATCH($A667,'[AQ_2020.xlsx]原始数据'!$A:$A,0)),""))</f>
        <v/>
      </c>
      <c r="M667">
        <f>IF($A667="","",IFERROR(INDEX('[AQ_2021.xlsx]原始数据'!$D:$D,MATCH($A667,'[AQ_2021.xlsx]原始数据'!$A:$A,0)),""))</f>
        <v/>
      </c>
      <c r="N667">
        <f>IF($A667="","",IFERROR(INDEX('[AQ_2022.xlsx]原始数据'!$D:$D,MATCH($A667,'[AQ_2022.xlsx]原始数据'!$A:$A,0)),""))</f>
        <v/>
      </c>
      <c r="O667">
        <f>IF($A667="","",IFERROR(INDEX('[AQ_2023.xlsx]原始数据'!$D:$D,MATCH($A667,'[AQ_2023.xlsx]原始数据'!$A:$A,0)),""))</f>
        <v/>
      </c>
      <c r="P667">
        <f>IF($A667="","",IFERROR(INDEX('[AQ_2024.xlsx]原始数据'!$D:$D,MATCH($A667,'[AQ_2024.xlsx]原始数据'!$A:$A,0)),""))</f>
        <v/>
      </c>
      <c r="Q667">
        <f>IF($A667="","",IFERROR(INDEX('[AQ_2020.xlsx]原始数据'!$E:$E,MATCH($A667,'[AQ_2020.xlsx]原始数据'!$A:$A,0)),""))</f>
        <v/>
      </c>
      <c r="R667">
        <f>IF($A667="","",IFERROR(INDEX('[AQ_2021.xlsx]原始数据'!$E:$E,MATCH($A667,'[AQ_2021.xlsx]原始数据'!$A:$A,0)),""))</f>
        <v/>
      </c>
      <c r="S667">
        <f>IF($A667="","",IFERROR(INDEX('[AQ_2022.xlsx]原始数据'!$E:$E,MATCH($A667,'[AQ_2022.xlsx]原始数据'!$A:$A,0)),""))</f>
        <v/>
      </c>
      <c r="T667">
        <f>IF($A667="","",IFERROR(INDEX('[AQ_2023.xlsx]原始数据'!$E:$E,MATCH($A667,'[AQ_2023.xlsx]原始数据'!$A:$A,0)),""))</f>
        <v/>
      </c>
      <c r="U667">
        <f>IF($A667="","",IFERROR(INDEX('[AQ_2024.xlsx]原始数据'!$E:$E,MATCH($A667,'[AQ_2024.xlsx]原始数据'!$A:$A,0)),""))</f>
        <v/>
      </c>
      <c r="V667">
        <f>IF($A667="","",IFERROR(INDEX('[AQ_2020.xlsx]原始数据'!$F:$F,MATCH($A667,'[AQ_2020.xlsx]原始数据'!$A:$A,0)),""))</f>
        <v/>
      </c>
      <c r="W667">
        <f>IF($A667="","",IFERROR(INDEX('[AQ_2021.xlsx]原始数据'!$F:$F,MATCH($A667,'[AQ_2021.xlsx]原始数据'!$A:$A,0)),""))</f>
        <v/>
      </c>
      <c r="X667">
        <f>IF($A667="","",IFERROR(INDEX('[AQ_2022.xlsx]原始数据'!$F:$F,MATCH($A667,'[AQ_2022.xlsx]原始数据'!$A:$A,0)),""))</f>
        <v/>
      </c>
      <c r="Y667">
        <f>IF($A667="","",IFERROR(INDEX('[AQ_2023.xlsx]原始数据'!$F:$F,MATCH($A667,'[AQ_2023.xlsx]原始数据'!$A:$A,0)),""))</f>
        <v/>
      </c>
      <c r="Z667">
        <f>IF($A667="","",IFERROR(INDEX('[AQ_2024.xlsx]原始数据'!$F:$F,MATCH($A667,'[AQ_2024.xlsx]原始数据'!$A:$A,0)),""))</f>
        <v/>
      </c>
      <c r="AA667" s="2">
        <f>IFERROR(G667/B667,"")</f>
        <v/>
      </c>
      <c r="AB667" s="2">
        <f>IFERROR(H667/C667,"")</f>
        <v/>
      </c>
      <c r="AC667" s="2">
        <f>IFERROR(I667/D667,"")</f>
        <v/>
      </c>
      <c r="AD667" s="2">
        <f>IFERROR(J667/E667,"")</f>
        <v/>
      </c>
      <c r="AE667" s="2">
        <f>IFERROR(K667/F667,"")</f>
        <v/>
      </c>
      <c r="AF667" s="2">
        <f>IFERROR(L667/B667,"")</f>
        <v/>
      </c>
      <c r="AG667" s="2">
        <f>IFERROR(M667/C667,"")</f>
        <v/>
      </c>
      <c r="AH667" s="2">
        <f>IFERROR(N667/D667,"")</f>
        <v/>
      </c>
      <c r="AI667" s="2">
        <f>IFERROR(O667/E667,"")</f>
        <v/>
      </c>
      <c r="AJ667" s="2">
        <f>IFERROR(P667/F667,"")</f>
        <v/>
      </c>
      <c r="AK667" s="2">
        <f>IFERROR(Q667/B667,"")</f>
        <v/>
      </c>
      <c r="AL667" s="2">
        <f>IFERROR(R667/C667,"")</f>
        <v/>
      </c>
      <c r="AM667" s="2">
        <f>IFERROR(S667/D667,"")</f>
        <v/>
      </c>
      <c r="AN667" s="2">
        <f>IFERROR(T667/E667,"")</f>
        <v/>
      </c>
      <c r="AO667" s="2">
        <f>IFERROR(U667/F667,"")</f>
        <v/>
      </c>
    </row>
    <row r="668">
      <c r="B668">
        <f>IF($A668="","",IFERROR(INDEX('[AQ_2020.xlsx]原始数据'!$B:$B,MATCH($A668,'[AQ_2020.xlsx]原始数据'!$A:$A,0)),""))</f>
        <v/>
      </c>
      <c r="C668">
        <f>IF($A668="","",IFERROR(INDEX('[AQ_2021.xlsx]原始数据'!$B:$B,MATCH($A668,'[AQ_2021.xlsx]原始数据'!$A:$A,0)),""))</f>
        <v/>
      </c>
      <c r="D668">
        <f>IF($A668="","",IFERROR(INDEX('[AQ_2022.xlsx]原始数据'!$B:$B,MATCH($A668,'[AQ_2022.xlsx]原始数据'!$A:$A,0)),""))</f>
        <v/>
      </c>
      <c r="E668">
        <f>IF($A668="","",IFERROR(INDEX('[AQ_2023.xlsx]原始数据'!$B:$B,MATCH($A668,'[AQ_2023.xlsx]原始数据'!$A:$A,0)),""))</f>
        <v/>
      </c>
      <c r="F668">
        <f>IF($A668="","",IFERROR(INDEX('[AQ_2024.xlsx]原始数据'!$B:$B,MATCH($A668,'[AQ_2024.xlsx]原始数据'!$A:$A,0)),""))</f>
        <v/>
      </c>
      <c r="G668">
        <f>IF($A668="","",IFERROR(INDEX('[AQ_2020.xlsx]原始数据'!$C:$C,MATCH($A668,'[AQ_2020.xlsx]原始数据'!$A:$A,0)),""))</f>
        <v/>
      </c>
      <c r="H668">
        <f>IF($A668="","",IFERROR(INDEX('[AQ_2021.xlsx]原始数据'!$C:$C,MATCH($A668,'[AQ_2021.xlsx]原始数据'!$A:$A,0)),""))</f>
        <v/>
      </c>
      <c r="I668">
        <f>IF($A668="","",IFERROR(INDEX('[AQ_2022.xlsx]原始数据'!$C:$C,MATCH($A668,'[AQ_2022.xlsx]原始数据'!$A:$A,0)),""))</f>
        <v/>
      </c>
      <c r="J668">
        <f>IF($A668="","",IFERROR(INDEX('[AQ_2023.xlsx]原始数据'!$C:$C,MATCH($A668,'[AQ_2023.xlsx]原始数据'!$A:$A,0)),""))</f>
        <v/>
      </c>
      <c r="K668">
        <f>IF($A668="","",IFERROR(INDEX('[AQ_2024.xlsx]原始数据'!$C:$C,MATCH($A668,'[AQ_2024.xlsx]原始数据'!$A:$A,0)),""))</f>
        <v/>
      </c>
      <c r="L668">
        <f>IF($A668="","",IFERROR(INDEX('[AQ_2020.xlsx]原始数据'!$D:$D,MATCH($A668,'[AQ_2020.xlsx]原始数据'!$A:$A,0)),""))</f>
        <v/>
      </c>
      <c r="M668">
        <f>IF($A668="","",IFERROR(INDEX('[AQ_2021.xlsx]原始数据'!$D:$D,MATCH($A668,'[AQ_2021.xlsx]原始数据'!$A:$A,0)),""))</f>
        <v/>
      </c>
      <c r="N668">
        <f>IF($A668="","",IFERROR(INDEX('[AQ_2022.xlsx]原始数据'!$D:$D,MATCH($A668,'[AQ_2022.xlsx]原始数据'!$A:$A,0)),""))</f>
        <v/>
      </c>
      <c r="O668">
        <f>IF($A668="","",IFERROR(INDEX('[AQ_2023.xlsx]原始数据'!$D:$D,MATCH($A668,'[AQ_2023.xlsx]原始数据'!$A:$A,0)),""))</f>
        <v/>
      </c>
      <c r="P668">
        <f>IF($A668="","",IFERROR(INDEX('[AQ_2024.xlsx]原始数据'!$D:$D,MATCH($A668,'[AQ_2024.xlsx]原始数据'!$A:$A,0)),""))</f>
        <v/>
      </c>
      <c r="Q668">
        <f>IF($A668="","",IFERROR(INDEX('[AQ_2020.xlsx]原始数据'!$E:$E,MATCH($A668,'[AQ_2020.xlsx]原始数据'!$A:$A,0)),""))</f>
        <v/>
      </c>
      <c r="R668">
        <f>IF($A668="","",IFERROR(INDEX('[AQ_2021.xlsx]原始数据'!$E:$E,MATCH($A668,'[AQ_2021.xlsx]原始数据'!$A:$A,0)),""))</f>
        <v/>
      </c>
      <c r="S668">
        <f>IF($A668="","",IFERROR(INDEX('[AQ_2022.xlsx]原始数据'!$E:$E,MATCH($A668,'[AQ_2022.xlsx]原始数据'!$A:$A,0)),""))</f>
        <v/>
      </c>
      <c r="T668">
        <f>IF($A668="","",IFERROR(INDEX('[AQ_2023.xlsx]原始数据'!$E:$E,MATCH($A668,'[AQ_2023.xlsx]原始数据'!$A:$A,0)),""))</f>
        <v/>
      </c>
      <c r="U668">
        <f>IF($A668="","",IFERROR(INDEX('[AQ_2024.xlsx]原始数据'!$E:$E,MATCH($A668,'[AQ_2024.xlsx]原始数据'!$A:$A,0)),""))</f>
        <v/>
      </c>
      <c r="V668">
        <f>IF($A668="","",IFERROR(INDEX('[AQ_2020.xlsx]原始数据'!$F:$F,MATCH($A668,'[AQ_2020.xlsx]原始数据'!$A:$A,0)),""))</f>
        <v/>
      </c>
      <c r="W668">
        <f>IF($A668="","",IFERROR(INDEX('[AQ_2021.xlsx]原始数据'!$F:$F,MATCH($A668,'[AQ_2021.xlsx]原始数据'!$A:$A,0)),""))</f>
        <v/>
      </c>
      <c r="X668">
        <f>IF($A668="","",IFERROR(INDEX('[AQ_2022.xlsx]原始数据'!$F:$F,MATCH($A668,'[AQ_2022.xlsx]原始数据'!$A:$A,0)),""))</f>
        <v/>
      </c>
      <c r="Y668">
        <f>IF($A668="","",IFERROR(INDEX('[AQ_2023.xlsx]原始数据'!$F:$F,MATCH($A668,'[AQ_2023.xlsx]原始数据'!$A:$A,0)),""))</f>
        <v/>
      </c>
      <c r="Z668">
        <f>IF($A668="","",IFERROR(INDEX('[AQ_2024.xlsx]原始数据'!$F:$F,MATCH($A668,'[AQ_2024.xlsx]原始数据'!$A:$A,0)),""))</f>
        <v/>
      </c>
      <c r="AA668" s="2">
        <f>IFERROR(G668/B668,"")</f>
        <v/>
      </c>
      <c r="AB668" s="2">
        <f>IFERROR(H668/C668,"")</f>
        <v/>
      </c>
      <c r="AC668" s="2">
        <f>IFERROR(I668/D668,"")</f>
        <v/>
      </c>
      <c r="AD668" s="2">
        <f>IFERROR(J668/E668,"")</f>
        <v/>
      </c>
      <c r="AE668" s="2">
        <f>IFERROR(K668/F668,"")</f>
        <v/>
      </c>
      <c r="AF668" s="2">
        <f>IFERROR(L668/B668,"")</f>
        <v/>
      </c>
      <c r="AG668" s="2">
        <f>IFERROR(M668/C668,"")</f>
        <v/>
      </c>
      <c r="AH668" s="2">
        <f>IFERROR(N668/D668,"")</f>
        <v/>
      </c>
      <c r="AI668" s="2">
        <f>IFERROR(O668/E668,"")</f>
        <v/>
      </c>
      <c r="AJ668" s="2">
        <f>IFERROR(P668/F668,"")</f>
        <v/>
      </c>
      <c r="AK668" s="2">
        <f>IFERROR(Q668/B668,"")</f>
        <v/>
      </c>
      <c r="AL668" s="2">
        <f>IFERROR(R668/C668,"")</f>
        <v/>
      </c>
      <c r="AM668" s="2">
        <f>IFERROR(S668/D668,"")</f>
        <v/>
      </c>
      <c r="AN668" s="2">
        <f>IFERROR(T668/E668,"")</f>
        <v/>
      </c>
      <c r="AO668" s="2">
        <f>IFERROR(U668/F668,"")</f>
        <v/>
      </c>
    </row>
    <row r="669">
      <c r="B669">
        <f>IF($A669="","",IFERROR(INDEX('[AQ_2020.xlsx]原始数据'!$B:$B,MATCH($A669,'[AQ_2020.xlsx]原始数据'!$A:$A,0)),""))</f>
        <v/>
      </c>
      <c r="C669">
        <f>IF($A669="","",IFERROR(INDEX('[AQ_2021.xlsx]原始数据'!$B:$B,MATCH($A669,'[AQ_2021.xlsx]原始数据'!$A:$A,0)),""))</f>
        <v/>
      </c>
      <c r="D669">
        <f>IF($A669="","",IFERROR(INDEX('[AQ_2022.xlsx]原始数据'!$B:$B,MATCH($A669,'[AQ_2022.xlsx]原始数据'!$A:$A,0)),""))</f>
        <v/>
      </c>
      <c r="E669">
        <f>IF($A669="","",IFERROR(INDEX('[AQ_2023.xlsx]原始数据'!$B:$B,MATCH($A669,'[AQ_2023.xlsx]原始数据'!$A:$A,0)),""))</f>
        <v/>
      </c>
      <c r="F669">
        <f>IF($A669="","",IFERROR(INDEX('[AQ_2024.xlsx]原始数据'!$B:$B,MATCH($A669,'[AQ_2024.xlsx]原始数据'!$A:$A,0)),""))</f>
        <v/>
      </c>
      <c r="G669">
        <f>IF($A669="","",IFERROR(INDEX('[AQ_2020.xlsx]原始数据'!$C:$C,MATCH($A669,'[AQ_2020.xlsx]原始数据'!$A:$A,0)),""))</f>
        <v/>
      </c>
      <c r="H669">
        <f>IF($A669="","",IFERROR(INDEX('[AQ_2021.xlsx]原始数据'!$C:$C,MATCH($A669,'[AQ_2021.xlsx]原始数据'!$A:$A,0)),""))</f>
        <v/>
      </c>
      <c r="I669">
        <f>IF($A669="","",IFERROR(INDEX('[AQ_2022.xlsx]原始数据'!$C:$C,MATCH($A669,'[AQ_2022.xlsx]原始数据'!$A:$A,0)),""))</f>
        <v/>
      </c>
      <c r="J669">
        <f>IF($A669="","",IFERROR(INDEX('[AQ_2023.xlsx]原始数据'!$C:$C,MATCH($A669,'[AQ_2023.xlsx]原始数据'!$A:$A,0)),""))</f>
        <v/>
      </c>
      <c r="K669">
        <f>IF($A669="","",IFERROR(INDEX('[AQ_2024.xlsx]原始数据'!$C:$C,MATCH($A669,'[AQ_2024.xlsx]原始数据'!$A:$A,0)),""))</f>
        <v/>
      </c>
      <c r="L669">
        <f>IF($A669="","",IFERROR(INDEX('[AQ_2020.xlsx]原始数据'!$D:$D,MATCH($A669,'[AQ_2020.xlsx]原始数据'!$A:$A,0)),""))</f>
        <v/>
      </c>
      <c r="M669">
        <f>IF($A669="","",IFERROR(INDEX('[AQ_2021.xlsx]原始数据'!$D:$D,MATCH($A669,'[AQ_2021.xlsx]原始数据'!$A:$A,0)),""))</f>
        <v/>
      </c>
      <c r="N669">
        <f>IF($A669="","",IFERROR(INDEX('[AQ_2022.xlsx]原始数据'!$D:$D,MATCH($A669,'[AQ_2022.xlsx]原始数据'!$A:$A,0)),""))</f>
        <v/>
      </c>
      <c r="O669">
        <f>IF($A669="","",IFERROR(INDEX('[AQ_2023.xlsx]原始数据'!$D:$D,MATCH($A669,'[AQ_2023.xlsx]原始数据'!$A:$A,0)),""))</f>
        <v/>
      </c>
      <c r="P669">
        <f>IF($A669="","",IFERROR(INDEX('[AQ_2024.xlsx]原始数据'!$D:$D,MATCH($A669,'[AQ_2024.xlsx]原始数据'!$A:$A,0)),""))</f>
        <v/>
      </c>
      <c r="Q669">
        <f>IF($A669="","",IFERROR(INDEX('[AQ_2020.xlsx]原始数据'!$E:$E,MATCH($A669,'[AQ_2020.xlsx]原始数据'!$A:$A,0)),""))</f>
        <v/>
      </c>
      <c r="R669">
        <f>IF($A669="","",IFERROR(INDEX('[AQ_2021.xlsx]原始数据'!$E:$E,MATCH($A669,'[AQ_2021.xlsx]原始数据'!$A:$A,0)),""))</f>
        <v/>
      </c>
      <c r="S669">
        <f>IF($A669="","",IFERROR(INDEX('[AQ_2022.xlsx]原始数据'!$E:$E,MATCH($A669,'[AQ_2022.xlsx]原始数据'!$A:$A,0)),""))</f>
        <v/>
      </c>
      <c r="T669">
        <f>IF($A669="","",IFERROR(INDEX('[AQ_2023.xlsx]原始数据'!$E:$E,MATCH($A669,'[AQ_2023.xlsx]原始数据'!$A:$A,0)),""))</f>
        <v/>
      </c>
      <c r="U669">
        <f>IF($A669="","",IFERROR(INDEX('[AQ_2024.xlsx]原始数据'!$E:$E,MATCH($A669,'[AQ_2024.xlsx]原始数据'!$A:$A,0)),""))</f>
        <v/>
      </c>
      <c r="V669">
        <f>IF($A669="","",IFERROR(INDEX('[AQ_2020.xlsx]原始数据'!$F:$F,MATCH($A669,'[AQ_2020.xlsx]原始数据'!$A:$A,0)),""))</f>
        <v/>
      </c>
      <c r="W669">
        <f>IF($A669="","",IFERROR(INDEX('[AQ_2021.xlsx]原始数据'!$F:$F,MATCH($A669,'[AQ_2021.xlsx]原始数据'!$A:$A,0)),""))</f>
        <v/>
      </c>
      <c r="X669">
        <f>IF($A669="","",IFERROR(INDEX('[AQ_2022.xlsx]原始数据'!$F:$F,MATCH($A669,'[AQ_2022.xlsx]原始数据'!$A:$A,0)),""))</f>
        <v/>
      </c>
      <c r="Y669">
        <f>IF($A669="","",IFERROR(INDEX('[AQ_2023.xlsx]原始数据'!$F:$F,MATCH($A669,'[AQ_2023.xlsx]原始数据'!$A:$A,0)),""))</f>
        <v/>
      </c>
      <c r="Z669">
        <f>IF($A669="","",IFERROR(INDEX('[AQ_2024.xlsx]原始数据'!$F:$F,MATCH($A669,'[AQ_2024.xlsx]原始数据'!$A:$A,0)),""))</f>
        <v/>
      </c>
      <c r="AA669" s="2">
        <f>IFERROR(G669/B669,"")</f>
        <v/>
      </c>
      <c r="AB669" s="2">
        <f>IFERROR(H669/C669,"")</f>
        <v/>
      </c>
      <c r="AC669" s="2">
        <f>IFERROR(I669/D669,"")</f>
        <v/>
      </c>
      <c r="AD669" s="2">
        <f>IFERROR(J669/E669,"")</f>
        <v/>
      </c>
      <c r="AE669" s="2">
        <f>IFERROR(K669/F669,"")</f>
        <v/>
      </c>
      <c r="AF669" s="2">
        <f>IFERROR(L669/B669,"")</f>
        <v/>
      </c>
      <c r="AG669" s="2">
        <f>IFERROR(M669/C669,"")</f>
        <v/>
      </c>
      <c r="AH669" s="2">
        <f>IFERROR(N669/D669,"")</f>
        <v/>
      </c>
      <c r="AI669" s="2">
        <f>IFERROR(O669/E669,"")</f>
        <v/>
      </c>
      <c r="AJ669" s="2">
        <f>IFERROR(P669/F669,"")</f>
        <v/>
      </c>
      <c r="AK669" s="2">
        <f>IFERROR(Q669/B669,"")</f>
        <v/>
      </c>
      <c r="AL669" s="2">
        <f>IFERROR(R669/C669,"")</f>
        <v/>
      </c>
      <c r="AM669" s="2">
        <f>IFERROR(S669/D669,"")</f>
        <v/>
      </c>
      <c r="AN669" s="2">
        <f>IFERROR(T669/E669,"")</f>
        <v/>
      </c>
      <c r="AO669" s="2">
        <f>IFERROR(U669/F669,"")</f>
        <v/>
      </c>
    </row>
    <row r="670">
      <c r="B670">
        <f>IF($A670="","",IFERROR(INDEX('[AQ_2020.xlsx]原始数据'!$B:$B,MATCH($A670,'[AQ_2020.xlsx]原始数据'!$A:$A,0)),""))</f>
        <v/>
      </c>
      <c r="C670">
        <f>IF($A670="","",IFERROR(INDEX('[AQ_2021.xlsx]原始数据'!$B:$B,MATCH($A670,'[AQ_2021.xlsx]原始数据'!$A:$A,0)),""))</f>
        <v/>
      </c>
      <c r="D670">
        <f>IF($A670="","",IFERROR(INDEX('[AQ_2022.xlsx]原始数据'!$B:$B,MATCH($A670,'[AQ_2022.xlsx]原始数据'!$A:$A,0)),""))</f>
        <v/>
      </c>
      <c r="E670">
        <f>IF($A670="","",IFERROR(INDEX('[AQ_2023.xlsx]原始数据'!$B:$B,MATCH($A670,'[AQ_2023.xlsx]原始数据'!$A:$A,0)),""))</f>
        <v/>
      </c>
      <c r="F670">
        <f>IF($A670="","",IFERROR(INDEX('[AQ_2024.xlsx]原始数据'!$B:$B,MATCH($A670,'[AQ_2024.xlsx]原始数据'!$A:$A,0)),""))</f>
        <v/>
      </c>
      <c r="G670">
        <f>IF($A670="","",IFERROR(INDEX('[AQ_2020.xlsx]原始数据'!$C:$C,MATCH($A670,'[AQ_2020.xlsx]原始数据'!$A:$A,0)),""))</f>
        <v/>
      </c>
      <c r="H670">
        <f>IF($A670="","",IFERROR(INDEX('[AQ_2021.xlsx]原始数据'!$C:$C,MATCH($A670,'[AQ_2021.xlsx]原始数据'!$A:$A,0)),""))</f>
        <v/>
      </c>
      <c r="I670">
        <f>IF($A670="","",IFERROR(INDEX('[AQ_2022.xlsx]原始数据'!$C:$C,MATCH($A670,'[AQ_2022.xlsx]原始数据'!$A:$A,0)),""))</f>
        <v/>
      </c>
      <c r="J670">
        <f>IF($A670="","",IFERROR(INDEX('[AQ_2023.xlsx]原始数据'!$C:$C,MATCH($A670,'[AQ_2023.xlsx]原始数据'!$A:$A,0)),""))</f>
        <v/>
      </c>
      <c r="K670">
        <f>IF($A670="","",IFERROR(INDEX('[AQ_2024.xlsx]原始数据'!$C:$C,MATCH($A670,'[AQ_2024.xlsx]原始数据'!$A:$A,0)),""))</f>
        <v/>
      </c>
      <c r="L670">
        <f>IF($A670="","",IFERROR(INDEX('[AQ_2020.xlsx]原始数据'!$D:$D,MATCH($A670,'[AQ_2020.xlsx]原始数据'!$A:$A,0)),""))</f>
        <v/>
      </c>
      <c r="M670">
        <f>IF($A670="","",IFERROR(INDEX('[AQ_2021.xlsx]原始数据'!$D:$D,MATCH($A670,'[AQ_2021.xlsx]原始数据'!$A:$A,0)),""))</f>
        <v/>
      </c>
      <c r="N670">
        <f>IF($A670="","",IFERROR(INDEX('[AQ_2022.xlsx]原始数据'!$D:$D,MATCH($A670,'[AQ_2022.xlsx]原始数据'!$A:$A,0)),""))</f>
        <v/>
      </c>
      <c r="O670">
        <f>IF($A670="","",IFERROR(INDEX('[AQ_2023.xlsx]原始数据'!$D:$D,MATCH($A670,'[AQ_2023.xlsx]原始数据'!$A:$A,0)),""))</f>
        <v/>
      </c>
      <c r="P670">
        <f>IF($A670="","",IFERROR(INDEX('[AQ_2024.xlsx]原始数据'!$D:$D,MATCH($A670,'[AQ_2024.xlsx]原始数据'!$A:$A,0)),""))</f>
        <v/>
      </c>
      <c r="Q670">
        <f>IF($A670="","",IFERROR(INDEX('[AQ_2020.xlsx]原始数据'!$E:$E,MATCH($A670,'[AQ_2020.xlsx]原始数据'!$A:$A,0)),""))</f>
        <v/>
      </c>
      <c r="R670">
        <f>IF($A670="","",IFERROR(INDEX('[AQ_2021.xlsx]原始数据'!$E:$E,MATCH($A670,'[AQ_2021.xlsx]原始数据'!$A:$A,0)),""))</f>
        <v/>
      </c>
      <c r="S670">
        <f>IF($A670="","",IFERROR(INDEX('[AQ_2022.xlsx]原始数据'!$E:$E,MATCH($A670,'[AQ_2022.xlsx]原始数据'!$A:$A,0)),""))</f>
        <v/>
      </c>
      <c r="T670">
        <f>IF($A670="","",IFERROR(INDEX('[AQ_2023.xlsx]原始数据'!$E:$E,MATCH($A670,'[AQ_2023.xlsx]原始数据'!$A:$A,0)),""))</f>
        <v/>
      </c>
      <c r="U670">
        <f>IF($A670="","",IFERROR(INDEX('[AQ_2024.xlsx]原始数据'!$E:$E,MATCH($A670,'[AQ_2024.xlsx]原始数据'!$A:$A,0)),""))</f>
        <v/>
      </c>
      <c r="V670">
        <f>IF($A670="","",IFERROR(INDEX('[AQ_2020.xlsx]原始数据'!$F:$F,MATCH($A670,'[AQ_2020.xlsx]原始数据'!$A:$A,0)),""))</f>
        <v/>
      </c>
      <c r="W670">
        <f>IF($A670="","",IFERROR(INDEX('[AQ_2021.xlsx]原始数据'!$F:$F,MATCH($A670,'[AQ_2021.xlsx]原始数据'!$A:$A,0)),""))</f>
        <v/>
      </c>
      <c r="X670">
        <f>IF($A670="","",IFERROR(INDEX('[AQ_2022.xlsx]原始数据'!$F:$F,MATCH($A670,'[AQ_2022.xlsx]原始数据'!$A:$A,0)),""))</f>
        <v/>
      </c>
      <c r="Y670">
        <f>IF($A670="","",IFERROR(INDEX('[AQ_2023.xlsx]原始数据'!$F:$F,MATCH($A670,'[AQ_2023.xlsx]原始数据'!$A:$A,0)),""))</f>
        <v/>
      </c>
      <c r="Z670">
        <f>IF($A670="","",IFERROR(INDEX('[AQ_2024.xlsx]原始数据'!$F:$F,MATCH($A670,'[AQ_2024.xlsx]原始数据'!$A:$A,0)),""))</f>
        <v/>
      </c>
      <c r="AA670" s="2">
        <f>IFERROR(G670/B670,"")</f>
        <v/>
      </c>
      <c r="AB670" s="2">
        <f>IFERROR(H670/C670,"")</f>
        <v/>
      </c>
      <c r="AC670" s="2">
        <f>IFERROR(I670/D670,"")</f>
        <v/>
      </c>
      <c r="AD670" s="2">
        <f>IFERROR(J670/E670,"")</f>
        <v/>
      </c>
      <c r="AE670" s="2">
        <f>IFERROR(K670/F670,"")</f>
        <v/>
      </c>
      <c r="AF670" s="2">
        <f>IFERROR(L670/B670,"")</f>
        <v/>
      </c>
      <c r="AG670" s="2">
        <f>IFERROR(M670/C670,"")</f>
        <v/>
      </c>
      <c r="AH670" s="2">
        <f>IFERROR(N670/D670,"")</f>
        <v/>
      </c>
      <c r="AI670" s="2">
        <f>IFERROR(O670/E670,"")</f>
        <v/>
      </c>
      <c r="AJ670" s="2">
        <f>IFERROR(P670/F670,"")</f>
        <v/>
      </c>
      <c r="AK670" s="2">
        <f>IFERROR(Q670/B670,"")</f>
        <v/>
      </c>
      <c r="AL670" s="2">
        <f>IFERROR(R670/C670,"")</f>
        <v/>
      </c>
      <c r="AM670" s="2">
        <f>IFERROR(S670/D670,"")</f>
        <v/>
      </c>
      <c r="AN670" s="2">
        <f>IFERROR(T670/E670,"")</f>
        <v/>
      </c>
      <c r="AO670" s="2">
        <f>IFERROR(U670/F670,"")</f>
        <v/>
      </c>
    </row>
    <row r="671">
      <c r="B671">
        <f>IF($A671="","",IFERROR(INDEX('[AQ_2020.xlsx]原始数据'!$B:$B,MATCH($A671,'[AQ_2020.xlsx]原始数据'!$A:$A,0)),""))</f>
        <v/>
      </c>
      <c r="C671">
        <f>IF($A671="","",IFERROR(INDEX('[AQ_2021.xlsx]原始数据'!$B:$B,MATCH($A671,'[AQ_2021.xlsx]原始数据'!$A:$A,0)),""))</f>
        <v/>
      </c>
      <c r="D671">
        <f>IF($A671="","",IFERROR(INDEX('[AQ_2022.xlsx]原始数据'!$B:$B,MATCH($A671,'[AQ_2022.xlsx]原始数据'!$A:$A,0)),""))</f>
        <v/>
      </c>
      <c r="E671">
        <f>IF($A671="","",IFERROR(INDEX('[AQ_2023.xlsx]原始数据'!$B:$B,MATCH($A671,'[AQ_2023.xlsx]原始数据'!$A:$A,0)),""))</f>
        <v/>
      </c>
      <c r="F671">
        <f>IF($A671="","",IFERROR(INDEX('[AQ_2024.xlsx]原始数据'!$B:$B,MATCH($A671,'[AQ_2024.xlsx]原始数据'!$A:$A,0)),""))</f>
        <v/>
      </c>
      <c r="G671">
        <f>IF($A671="","",IFERROR(INDEX('[AQ_2020.xlsx]原始数据'!$C:$C,MATCH($A671,'[AQ_2020.xlsx]原始数据'!$A:$A,0)),""))</f>
        <v/>
      </c>
      <c r="H671">
        <f>IF($A671="","",IFERROR(INDEX('[AQ_2021.xlsx]原始数据'!$C:$C,MATCH($A671,'[AQ_2021.xlsx]原始数据'!$A:$A,0)),""))</f>
        <v/>
      </c>
      <c r="I671">
        <f>IF($A671="","",IFERROR(INDEX('[AQ_2022.xlsx]原始数据'!$C:$C,MATCH($A671,'[AQ_2022.xlsx]原始数据'!$A:$A,0)),""))</f>
        <v/>
      </c>
      <c r="J671">
        <f>IF($A671="","",IFERROR(INDEX('[AQ_2023.xlsx]原始数据'!$C:$C,MATCH($A671,'[AQ_2023.xlsx]原始数据'!$A:$A,0)),""))</f>
        <v/>
      </c>
      <c r="K671">
        <f>IF($A671="","",IFERROR(INDEX('[AQ_2024.xlsx]原始数据'!$C:$C,MATCH($A671,'[AQ_2024.xlsx]原始数据'!$A:$A,0)),""))</f>
        <v/>
      </c>
      <c r="L671">
        <f>IF($A671="","",IFERROR(INDEX('[AQ_2020.xlsx]原始数据'!$D:$D,MATCH($A671,'[AQ_2020.xlsx]原始数据'!$A:$A,0)),""))</f>
        <v/>
      </c>
      <c r="M671">
        <f>IF($A671="","",IFERROR(INDEX('[AQ_2021.xlsx]原始数据'!$D:$D,MATCH($A671,'[AQ_2021.xlsx]原始数据'!$A:$A,0)),""))</f>
        <v/>
      </c>
      <c r="N671">
        <f>IF($A671="","",IFERROR(INDEX('[AQ_2022.xlsx]原始数据'!$D:$D,MATCH($A671,'[AQ_2022.xlsx]原始数据'!$A:$A,0)),""))</f>
        <v/>
      </c>
      <c r="O671">
        <f>IF($A671="","",IFERROR(INDEX('[AQ_2023.xlsx]原始数据'!$D:$D,MATCH($A671,'[AQ_2023.xlsx]原始数据'!$A:$A,0)),""))</f>
        <v/>
      </c>
      <c r="P671">
        <f>IF($A671="","",IFERROR(INDEX('[AQ_2024.xlsx]原始数据'!$D:$D,MATCH($A671,'[AQ_2024.xlsx]原始数据'!$A:$A,0)),""))</f>
        <v/>
      </c>
      <c r="Q671">
        <f>IF($A671="","",IFERROR(INDEX('[AQ_2020.xlsx]原始数据'!$E:$E,MATCH($A671,'[AQ_2020.xlsx]原始数据'!$A:$A,0)),""))</f>
        <v/>
      </c>
      <c r="R671">
        <f>IF($A671="","",IFERROR(INDEX('[AQ_2021.xlsx]原始数据'!$E:$E,MATCH($A671,'[AQ_2021.xlsx]原始数据'!$A:$A,0)),""))</f>
        <v/>
      </c>
      <c r="S671">
        <f>IF($A671="","",IFERROR(INDEX('[AQ_2022.xlsx]原始数据'!$E:$E,MATCH($A671,'[AQ_2022.xlsx]原始数据'!$A:$A,0)),""))</f>
        <v/>
      </c>
      <c r="T671">
        <f>IF($A671="","",IFERROR(INDEX('[AQ_2023.xlsx]原始数据'!$E:$E,MATCH($A671,'[AQ_2023.xlsx]原始数据'!$A:$A,0)),""))</f>
        <v/>
      </c>
      <c r="U671">
        <f>IF($A671="","",IFERROR(INDEX('[AQ_2024.xlsx]原始数据'!$E:$E,MATCH($A671,'[AQ_2024.xlsx]原始数据'!$A:$A,0)),""))</f>
        <v/>
      </c>
      <c r="V671">
        <f>IF($A671="","",IFERROR(INDEX('[AQ_2020.xlsx]原始数据'!$F:$F,MATCH($A671,'[AQ_2020.xlsx]原始数据'!$A:$A,0)),""))</f>
        <v/>
      </c>
      <c r="W671">
        <f>IF($A671="","",IFERROR(INDEX('[AQ_2021.xlsx]原始数据'!$F:$F,MATCH($A671,'[AQ_2021.xlsx]原始数据'!$A:$A,0)),""))</f>
        <v/>
      </c>
      <c r="X671">
        <f>IF($A671="","",IFERROR(INDEX('[AQ_2022.xlsx]原始数据'!$F:$F,MATCH($A671,'[AQ_2022.xlsx]原始数据'!$A:$A,0)),""))</f>
        <v/>
      </c>
      <c r="Y671">
        <f>IF($A671="","",IFERROR(INDEX('[AQ_2023.xlsx]原始数据'!$F:$F,MATCH($A671,'[AQ_2023.xlsx]原始数据'!$A:$A,0)),""))</f>
        <v/>
      </c>
      <c r="Z671">
        <f>IF($A671="","",IFERROR(INDEX('[AQ_2024.xlsx]原始数据'!$F:$F,MATCH($A671,'[AQ_2024.xlsx]原始数据'!$A:$A,0)),""))</f>
        <v/>
      </c>
      <c r="AA671" s="2">
        <f>IFERROR(G671/B671,"")</f>
        <v/>
      </c>
      <c r="AB671" s="2">
        <f>IFERROR(H671/C671,"")</f>
        <v/>
      </c>
      <c r="AC671" s="2">
        <f>IFERROR(I671/D671,"")</f>
        <v/>
      </c>
      <c r="AD671" s="2">
        <f>IFERROR(J671/E671,"")</f>
        <v/>
      </c>
      <c r="AE671" s="2">
        <f>IFERROR(K671/F671,"")</f>
        <v/>
      </c>
      <c r="AF671" s="2">
        <f>IFERROR(L671/B671,"")</f>
        <v/>
      </c>
      <c r="AG671" s="2">
        <f>IFERROR(M671/C671,"")</f>
        <v/>
      </c>
      <c r="AH671" s="2">
        <f>IFERROR(N671/D671,"")</f>
        <v/>
      </c>
      <c r="AI671" s="2">
        <f>IFERROR(O671/E671,"")</f>
        <v/>
      </c>
      <c r="AJ671" s="2">
        <f>IFERROR(P671/F671,"")</f>
        <v/>
      </c>
      <c r="AK671" s="2">
        <f>IFERROR(Q671/B671,"")</f>
        <v/>
      </c>
      <c r="AL671" s="2">
        <f>IFERROR(R671/C671,"")</f>
        <v/>
      </c>
      <c r="AM671" s="2">
        <f>IFERROR(S671/D671,"")</f>
        <v/>
      </c>
      <c r="AN671" s="2">
        <f>IFERROR(T671/E671,"")</f>
        <v/>
      </c>
      <c r="AO671" s="2">
        <f>IFERROR(U671/F671,"")</f>
        <v/>
      </c>
    </row>
    <row r="672">
      <c r="B672">
        <f>IF($A672="","",IFERROR(INDEX('[AQ_2020.xlsx]原始数据'!$B:$B,MATCH($A672,'[AQ_2020.xlsx]原始数据'!$A:$A,0)),""))</f>
        <v/>
      </c>
      <c r="C672">
        <f>IF($A672="","",IFERROR(INDEX('[AQ_2021.xlsx]原始数据'!$B:$B,MATCH($A672,'[AQ_2021.xlsx]原始数据'!$A:$A,0)),""))</f>
        <v/>
      </c>
      <c r="D672">
        <f>IF($A672="","",IFERROR(INDEX('[AQ_2022.xlsx]原始数据'!$B:$B,MATCH($A672,'[AQ_2022.xlsx]原始数据'!$A:$A,0)),""))</f>
        <v/>
      </c>
      <c r="E672">
        <f>IF($A672="","",IFERROR(INDEX('[AQ_2023.xlsx]原始数据'!$B:$B,MATCH($A672,'[AQ_2023.xlsx]原始数据'!$A:$A,0)),""))</f>
        <v/>
      </c>
      <c r="F672">
        <f>IF($A672="","",IFERROR(INDEX('[AQ_2024.xlsx]原始数据'!$B:$B,MATCH($A672,'[AQ_2024.xlsx]原始数据'!$A:$A,0)),""))</f>
        <v/>
      </c>
      <c r="G672">
        <f>IF($A672="","",IFERROR(INDEX('[AQ_2020.xlsx]原始数据'!$C:$C,MATCH($A672,'[AQ_2020.xlsx]原始数据'!$A:$A,0)),""))</f>
        <v/>
      </c>
      <c r="H672">
        <f>IF($A672="","",IFERROR(INDEX('[AQ_2021.xlsx]原始数据'!$C:$C,MATCH($A672,'[AQ_2021.xlsx]原始数据'!$A:$A,0)),""))</f>
        <v/>
      </c>
      <c r="I672">
        <f>IF($A672="","",IFERROR(INDEX('[AQ_2022.xlsx]原始数据'!$C:$C,MATCH($A672,'[AQ_2022.xlsx]原始数据'!$A:$A,0)),""))</f>
        <v/>
      </c>
      <c r="J672">
        <f>IF($A672="","",IFERROR(INDEX('[AQ_2023.xlsx]原始数据'!$C:$C,MATCH($A672,'[AQ_2023.xlsx]原始数据'!$A:$A,0)),""))</f>
        <v/>
      </c>
      <c r="K672">
        <f>IF($A672="","",IFERROR(INDEX('[AQ_2024.xlsx]原始数据'!$C:$C,MATCH($A672,'[AQ_2024.xlsx]原始数据'!$A:$A,0)),""))</f>
        <v/>
      </c>
      <c r="L672">
        <f>IF($A672="","",IFERROR(INDEX('[AQ_2020.xlsx]原始数据'!$D:$D,MATCH($A672,'[AQ_2020.xlsx]原始数据'!$A:$A,0)),""))</f>
        <v/>
      </c>
      <c r="M672">
        <f>IF($A672="","",IFERROR(INDEX('[AQ_2021.xlsx]原始数据'!$D:$D,MATCH($A672,'[AQ_2021.xlsx]原始数据'!$A:$A,0)),""))</f>
        <v/>
      </c>
      <c r="N672">
        <f>IF($A672="","",IFERROR(INDEX('[AQ_2022.xlsx]原始数据'!$D:$D,MATCH($A672,'[AQ_2022.xlsx]原始数据'!$A:$A,0)),""))</f>
        <v/>
      </c>
      <c r="O672">
        <f>IF($A672="","",IFERROR(INDEX('[AQ_2023.xlsx]原始数据'!$D:$D,MATCH($A672,'[AQ_2023.xlsx]原始数据'!$A:$A,0)),""))</f>
        <v/>
      </c>
      <c r="P672">
        <f>IF($A672="","",IFERROR(INDEX('[AQ_2024.xlsx]原始数据'!$D:$D,MATCH($A672,'[AQ_2024.xlsx]原始数据'!$A:$A,0)),""))</f>
        <v/>
      </c>
      <c r="Q672">
        <f>IF($A672="","",IFERROR(INDEX('[AQ_2020.xlsx]原始数据'!$E:$E,MATCH($A672,'[AQ_2020.xlsx]原始数据'!$A:$A,0)),""))</f>
        <v/>
      </c>
      <c r="R672">
        <f>IF($A672="","",IFERROR(INDEX('[AQ_2021.xlsx]原始数据'!$E:$E,MATCH($A672,'[AQ_2021.xlsx]原始数据'!$A:$A,0)),""))</f>
        <v/>
      </c>
      <c r="S672">
        <f>IF($A672="","",IFERROR(INDEX('[AQ_2022.xlsx]原始数据'!$E:$E,MATCH($A672,'[AQ_2022.xlsx]原始数据'!$A:$A,0)),""))</f>
        <v/>
      </c>
      <c r="T672">
        <f>IF($A672="","",IFERROR(INDEX('[AQ_2023.xlsx]原始数据'!$E:$E,MATCH($A672,'[AQ_2023.xlsx]原始数据'!$A:$A,0)),""))</f>
        <v/>
      </c>
      <c r="U672">
        <f>IF($A672="","",IFERROR(INDEX('[AQ_2024.xlsx]原始数据'!$E:$E,MATCH($A672,'[AQ_2024.xlsx]原始数据'!$A:$A,0)),""))</f>
        <v/>
      </c>
      <c r="V672">
        <f>IF($A672="","",IFERROR(INDEX('[AQ_2020.xlsx]原始数据'!$F:$F,MATCH($A672,'[AQ_2020.xlsx]原始数据'!$A:$A,0)),""))</f>
        <v/>
      </c>
      <c r="W672">
        <f>IF($A672="","",IFERROR(INDEX('[AQ_2021.xlsx]原始数据'!$F:$F,MATCH($A672,'[AQ_2021.xlsx]原始数据'!$A:$A,0)),""))</f>
        <v/>
      </c>
      <c r="X672">
        <f>IF($A672="","",IFERROR(INDEX('[AQ_2022.xlsx]原始数据'!$F:$F,MATCH($A672,'[AQ_2022.xlsx]原始数据'!$A:$A,0)),""))</f>
        <v/>
      </c>
      <c r="Y672">
        <f>IF($A672="","",IFERROR(INDEX('[AQ_2023.xlsx]原始数据'!$F:$F,MATCH($A672,'[AQ_2023.xlsx]原始数据'!$A:$A,0)),""))</f>
        <v/>
      </c>
      <c r="Z672">
        <f>IF($A672="","",IFERROR(INDEX('[AQ_2024.xlsx]原始数据'!$F:$F,MATCH($A672,'[AQ_2024.xlsx]原始数据'!$A:$A,0)),""))</f>
        <v/>
      </c>
      <c r="AA672" s="2">
        <f>IFERROR(G672/B672,"")</f>
        <v/>
      </c>
      <c r="AB672" s="2">
        <f>IFERROR(H672/C672,"")</f>
        <v/>
      </c>
      <c r="AC672" s="2">
        <f>IFERROR(I672/D672,"")</f>
        <v/>
      </c>
      <c r="AD672" s="2">
        <f>IFERROR(J672/E672,"")</f>
        <v/>
      </c>
      <c r="AE672" s="2">
        <f>IFERROR(K672/F672,"")</f>
        <v/>
      </c>
      <c r="AF672" s="2">
        <f>IFERROR(L672/B672,"")</f>
        <v/>
      </c>
      <c r="AG672" s="2">
        <f>IFERROR(M672/C672,"")</f>
        <v/>
      </c>
      <c r="AH672" s="2">
        <f>IFERROR(N672/D672,"")</f>
        <v/>
      </c>
      <c r="AI672" s="2">
        <f>IFERROR(O672/E672,"")</f>
        <v/>
      </c>
      <c r="AJ672" s="2">
        <f>IFERROR(P672/F672,"")</f>
        <v/>
      </c>
      <c r="AK672" s="2">
        <f>IFERROR(Q672/B672,"")</f>
        <v/>
      </c>
      <c r="AL672" s="2">
        <f>IFERROR(R672/C672,"")</f>
        <v/>
      </c>
      <c r="AM672" s="2">
        <f>IFERROR(S672/D672,"")</f>
        <v/>
      </c>
      <c r="AN672" s="2">
        <f>IFERROR(T672/E672,"")</f>
        <v/>
      </c>
      <c r="AO672" s="2">
        <f>IFERROR(U672/F672,"")</f>
        <v/>
      </c>
    </row>
    <row r="673">
      <c r="B673">
        <f>IF($A673="","",IFERROR(INDEX('[AQ_2020.xlsx]原始数据'!$B:$B,MATCH($A673,'[AQ_2020.xlsx]原始数据'!$A:$A,0)),""))</f>
        <v/>
      </c>
      <c r="C673">
        <f>IF($A673="","",IFERROR(INDEX('[AQ_2021.xlsx]原始数据'!$B:$B,MATCH($A673,'[AQ_2021.xlsx]原始数据'!$A:$A,0)),""))</f>
        <v/>
      </c>
      <c r="D673">
        <f>IF($A673="","",IFERROR(INDEX('[AQ_2022.xlsx]原始数据'!$B:$B,MATCH($A673,'[AQ_2022.xlsx]原始数据'!$A:$A,0)),""))</f>
        <v/>
      </c>
      <c r="E673">
        <f>IF($A673="","",IFERROR(INDEX('[AQ_2023.xlsx]原始数据'!$B:$B,MATCH($A673,'[AQ_2023.xlsx]原始数据'!$A:$A,0)),""))</f>
        <v/>
      </c>
      <c r="F673">
        <f>IF($A673="","",IFERROR(INDEX('[AQ_2024.xlsx]原始数据'!$B:$B,MATCH($A673,'[AQ_2024.xlsx]原始数据'!$A:$A,0)),""))</f>
        <v/>
      </c>
      <c r="G673">
        <f>IF($A673="","",IFERROR(INDEX('[AQ_2020.xlsx]原始数据'!$C:$C,MATCH($A673,'[AQ_2020.xlsx]原始数据'!$A:$A,0)),""))</f>
        <v/>
      </c>
      <c r="H673">
        <f>IF($A673="","",IFERROR(INDEX('[AQ_2021.xlsx]原始数据'!$C:$C,MATCH($A673,'[AQ_2021.xlsx]原始数据'!$A:$A,0)),""))</f>
        <v/>
      </c>
      <c r="I673">
        <f>IF($A673="","",IFERROR(INDEX('[AQ_2022.xlsx]原始数据'!$C:$C,MATCH($A673,'[AQ_2022.xlsx]原始数据'!$A:$A,0)),""))</f>
        <v/>
      </c>
      <c r="J673">
        <f>IF($A673="","",IFERROR(INDEX('[AQ_2023.xlsx]原始数据'!$C:$C,MATCH($A673,'[AQ_2023.xlsx]原始数据'!$A:$A,0)),""))</f>
        <v/>
      </c>
      <c r="K673">
        <f>IF($A673="","",IFERROR(INDEX('[AQ_2024.xlsx]原始数据'!$C:$C,MATCH($A673,'[AQ_2024.xlsx]原始数据'!$A:$A,0)),""))</f>
        <v/>
      </c>
      <c r="L673">
        <f>IF($A673="","",IFERROR(INDEX('[AQ_2020.xlsx]原始数据'!$D:$D,MATCH($A673,'[AQ_2020.xlsx]原始数据'!$A:$A,0)),""))</f>
        <v/>
      </c>
      <c r="M673">
        <f>IF($A673="","",IFERROR(INDEX('[AQ_2021.xlsx]原始数据'!$D:$D,MATCH($A673,'[AQ_2021.xlsx]原始数据'!$A:$A,0)),""))</f>
        <v/>
      </c>
      <c r="N673">
        <f>IF($A673="","",IFERROR(INDEX('[AQ_2022.xlsx]原始数据'!$D:$D,MATCH($A673,'[AQ_2022.xlsx]原始数据'!$A:$A,0)),""))</f>
        <v/>
      </c>
      <c r="O673">
        <f>IF($A673="","",IFERROR(INDEX('[AQ_2023.xlsx]原始数据'!$D:$D,MATCH($A673,'[AQ_2023.xlsx]原始数据'!$A:$A,0)),""))</f>
        <v/>
      </c>
      <c r="P673">
        <f>IF($A673="","",IFERROR(INDEX('[AQ_2024.xlsx]原始数据'!$D:$D,MATCH($A673,'[AQ_2024.xlsx]原始数据'!$A:$A,0)),""))</f>
        <v/>
      </c>
      <c r="Q673">
        <f>IF($A673="","",IFERROR(INDEX('[AQ_2020.xlsx]原始数据'!$E:$E,MATCH($A673,'[AQ_2020.xlsx]原始数据'!$A:$A,0)),""))</f>
        <v/>
      </c>
      <c r="R673">
        <f>IF($A673="","",IFERROR(INDEX('[AQ_2021.xlsx]原始数据'!$E:$E,MATCH($A673,'[AQ_2021.xlsx]原始数据'!$A:$A,0)),""))</f>
        <v/>
      </c>
      <c r="S673">
        <f>IF($A673="","",IFERROR(INDEX('[AQ_2022.xlsx]原始数据'!$E:$E,MATCH($A673,'[AQ_2022.xlsx]原始数据'!$A:$A,0)),""))</f>
        <v/>
      </c>
      <c r="T673">
        <f>IF($A673="","",IFERROR(INDEX('[AQ_2023.xlsx]原始数据'!$E:$E,MATCH($A673,'[AQ_2023.xlsx]原始数据'!$A:$A,0)),""))</f>
        <v/>
      </c>
      <c r="U673">
        <f>IF($A673="","",IFERROR(INDEX('[AQ_2024.xlsx]原始数据'!$E:$E,MATCH($A673,'[AQ_2024.xlsx]原始数据'!$A:$A,0)),""))</f>
        <v/>
      </c>
      <c r="V673">
        <f>IF($A673="","",IFERROR(INDEX('[AQ_2020.xlsx]原始数据'!$F:$F,MATCH($A673,'[AQ_2020.xlsx]原始数据'!$A:$A,0)),""))</f>
        <v/>
      </c>
      <c r="W673">
        <f>IF($A673="","",IFERROR(INDEX('[AQ_2021.xlsx]原始数据'!$F:$F,MATCH($A673,'[AQ_2021.xlsx]原始数据'!$A:$A,0)),""))</f>
        <v/>
      </c>
      <c r="X673">
        <f>IF($A673="","",IFERROR(INDEX('[AQ_2022.xlsx]原始数据'!$F:$F,MATCH($A673,'[AQ_2022.xlsx]原始数据'!$A:$A,0)),""))</f>
        <v/>
      </c>
      <c r="Y673">
        <f>IF($A673="","",IFERROR(INDEX('[AQ_2023.xlsx]原始数据'!$F:$F,MATCH($A673,'[AQ_2023.xlsx]原始数据'!$A:$A,0)),""))</f>
        <v/>
      </c>
      <c r="Z673">
        <f>IF($A673="","",IFERROR(INDEX('[AQ_2024.xlsx]原始数据'!$F:$F,MATCH($A673,'[AQ_2024.xlsx]原始数据'!$A:$A,0)),""))</f>
        <v/>
      </c>
      <c r="AA673" s="2">
        <f>IFERROR(G673/B673,"")</f>
        <v/>
      </c>
      <c r="AB673" s="2">
        <f>IFERROR(H673/C673,"")</f>
        <v/>
      </c>
      <c r="AC673" s="2">
        <f>IFERROR(I673/D673,"")</f>
        <v/>
      </c>
      <c r="AD673" s="2">
        <f>IFERROR(J673/E673,"")</f>
        <v/>
      </c>
      <c r="AE673" s="2">
        <f>IFERROR(K673/F673,"")</f>
        <v/>
      </c>
      <c r="AF673" s="2">
        <f>IFERROR(L673/B673,"")</f>
        <v/>
      </c>
      <c r="AG673" s="2">
        <f>IFERROR(M673/C673,"")</f>
        <v/>
      </c>
      <c r="AH673" s="2">
        <f>IFERROR(N673/D673,"")</f>
        <v/>
      </c>
      <c r="AI673" s="2">
        <f>IFERROR(O673/E673,"")</f>
        <v/>
      </c>
      <c r="AJ673" s="2">
        <f>IFERROR(P673/F673,"")</f>
        <v/>
      </c>
      <c r="AK673" s="2">
        <f>IFERROR(Q673/B673,"")</f>
        <v/>
      </c>
      <c r="AL673" s="2">
        <f>IFERROR(R673/C673,"")</f>
        <v/>
      </c>
      <c r="AM673" s="2">
        <f>IFERROR(S673/D673,"")</f>
        <v/>
      </c>
      <c r="AN673" s="2">
        <f>IFERROR(T673/E673,"")</f>
        <v/>
      </c>
      <c r="AO673" s="2">
        <f>IFERROR(U673/F673,"")</f>
        <v/>
      </c>
    </row>
    <row r="674">
      <c r="B674">
        <f>IF($A674="","",IFERROR(INDEX('[AQ_2020.xlsx]原始数据'!$B:$B,MATCH($A674,'[AQ_2020.xlsx]原始数据'!$A:$A,0)),""))</f>
        <v/>
      </c>
      <c r="C674">
        <f>IF($A674="","",IFERROR(INDEX('[AQ_2021.xlsx]原始数据'!$B:$B,MATCH($A674,'[AQ_2021.xlsx]原始数据'!$A:$A,0)),""))</f>
        <v/>
      </c>
      <c r="D674">
        <f>IF($A674="","",IFERROR(INDEX('[AQ_2022.xlsx]原始数据'!$B:$B,MATCH($A674,'[AQ_2022.xlsx]原始数据'!$A:$A,0)),""))</f>
        <v/>
      </c>
      <c r="E674">
        <f>IF($A674="","",IFERROR(INDEX('[AQ_2023.xlsx]原始数据'!$B:$B,MATCH($A674,'[AQ_2023.xlsx]原始数据'!$A:$A,0)),""))</f>
        <v/>
      </c>
      <c r="F674">
        <f>IF($A674="","",IFERROR(INDEX('[AQ_2024.xlsx]原始数据'!$B:$B,MATCH($A674,'[AQ_2024.xlsx]原始数据'!$A:$A,0)),""))</f>
        <v/>
      </c>
      <c r="G674">
        <f>IF($A674="","",IFERROR(INDEX('[AQ_2020.xlsx]原始数据'!$C:$C,MATCH($A674,'[AQ_2020.xlsx]原始数据'!$A:$A,0)),""))</f>
        <v/>
      </c>
      <c r="H674">
        <f>IF($A674="","",IFERROR(INDEX('[AQ_2021.xlsx]原始数据'!$C:$C,MATCH($A674,'[AQ_2021.xlsx]原始数据'!$A:$A,0)),""))</f>
        <v/>
      </c>
      <c r="I674">
        <f>IF($A674="","",IFERROR(INDEX('[AQ_2022.xlsx]原始数据'!$C:$C,MATCH($A674,'[AQ_2022.xlsx]原始数据'!$A:$A,0)),""))</f>
        <v/>
      </c>
      <c r="J674">
        <f>IF($A674="","",IFERROR(INDEX('[AQ_2023.xlsx]原始数据'!$C:$C,MATCH($A674,'[AQ_2023.xlsx]原始数据'!$A:$A,0)),""))</f>
        <v/>
      </c>
      <c r="K674">
        <f>IF($A674="","",IFERROR(INDEX('[AQ_2024.xlsx]原始数据'!$C:$C,MATCH($A674,'[AQ_2024.xlsx]原始数据'!$A:$A,0)),""))</f>
        <v/>
      </c>
      <c r="L674">
        <f>IF($A674="","",IFERROR(INDEX('[AQ_2020.xlsx]原始数据'!$D:$D,MATCH($A674,'[AQ_2020.xlsx]原始数据'!$A:$A,0)),""))</f>
        <v/>
      </c>
      <c r="M674">
        <f>IF($A674="","",IFERROR(INDEX('[AQ_2021.xlsx]原始数据'!$D:$D,MATCH($A674,'[AQ_2021.xlsx]原始数据'!$A:$A,0)),""))</f>
        <v/>
      </c>
      <c r="N674">
        <f>IF($A674="","",IFERROR(INDEX('[AQ_2022.xlsx]原始数据'!$D:$D,MATCH($A674,'[AQ_2022.xlsx]原始数据'!$A:$A,0)),""))</f>
        <v/>
      </c>
      <c r="O674">
        <f>IF($A674="","",IFERROR(INDEX('[AQ_2023.xlsx]原始数据'!$D:$D,MATCH($A674,'[AQ_2023.xlsx]原始数据'!$A:$A,0)),""))</f>
        <v/>
      </c>
      <c r="P674">
        <f>IF($A674="","",IFERROR(INDEX('[AQ_2024.xlsx]原始数据'!$D:$D,MATCH($A674,'[AQ_2024.xlsx]原始数据'!$A:$A,0)),""))</f>
        <v/>
      </c>
      <c r="Q674">
        <f>IF($A674="","",IFERROR(INDEX('[AQ_2020.xlsx]原始数据'!$E:$E,MATCH($A674,'[AQ_2020.xlsx]原始数据'!$A:$A,0)),""))</f>
        <v/>
      </c>
      <c r="R674">
        <f>IF($A674="","",IFERROR(INDEX('[AQ_2021.xlsx]原始数据'!$E:$E,MATCH($A674,'[AQ_2021.xlsx]原始数据'!$A:$A,0)),""))</f>
        <v/>
      </c>
      <c r="S674">
        <f>IF($A674="","",IFERROR(INDEX('[AQ_2022.xlsx]原始数据'!$E:$E,MATCH($A674,'[AQ_2022.xlsx]原始数据'!$A:$A,0)),""))</f>
        <v/>
      </c>
      <c r="T674">
        <f>IF($A674="","",IFERROR(INDEX('[AQ_2023.xlsx]原始数据'!$E:$E,MATCH($A674,'[AQ_2023.xlsx]原始数据'!$A:$A,0)),""))</f>
        <v/>
      </c>
      <c r="U674">
        <f>IF($A674="","",IFERROR(INDEX('[AQ_2024.xlsx]原始数据'!$E:$E,MATCH($A674,'[AQ_2024.xlsx]原始数据'!$A:$A,0)),""))</f>
        <v/>
      </c>
      <c r="V674">
        <f>IF($A674="","",IFERROR(INDEX('[AQ_2020.xlsx]原始数据'!$F:$F,MATCH($A674,'[AQ_2020.xlsx]原始数据'!$A:$A,0)),""))</f>
        <v/>
      </c>
      <c r="W674">
        <f>IF($A674="","",IFERROR(INDEX('[AQ_2021.xlsx]原始数据'!$F:$F,MATCH($A674,'[AQ_2021.xlsx]原始数据'!$A:$A,0)),""))</f>
        <v/>
      </c>
      <c r="X674">
        <f>IF($A674="","",IFERROR(INDEX('[AQ_2022.xlsx]原始数据'!$F:$F,MATCH($A674,'[AQ_2022.xlsx]原始数据'!$A:$A,0)),""))</f>
        <v/>
      </c>
      <c r="Y674">
        <f>IF($A674="","",IFERROR(INDEX('[AQ_2023.xlsx]原始数据'!$F:$F,MATCH($A674,'[AQ_2023.xlsx]原始数据'!$A:$A,0)),""))</f>
        <v/>
      </c>
      <c r="Z674">
        <f>IF($A674="","",IFERROR(INDEX('[AQ_2024.xlsx]原始数据'!$F:$F,MATCH($A674,'[AQ_2024.xlsx]原始数据'!$A:$A,0)),""))</f>
        <v/>
      </c>
      <c r="AA674" s="2">
        <f>IFERROR(G674/B674,"")</f>
        <v/>
      </c>
      <c r="AB674" s="2">
        <f>IFERROR(H674/C674,"")</f>
        <v/>
      </c>
      <c r="AC674" s="2">
        <f>IFERROR(I674/D674,"")</f>
        <v/>
      </c>
      <c r="AD674" s="2">
        <f>IFERROR(J674/E674,"")</f>
        <v/>
      </c>
      <c r="AE674" s="2">
        <f>IFERROR(K674/F674,"")</f>
        <v/>
      </c>
      <c r="AF674" s="2">
        <f>IFERROR(L674/B674,"")</f>
        <v/>
      </c>
      <c r="AG674" s="2">
        <f>IFERROR(M674/C674,"")</f>
        <v/>
      </c>
      <c r="AH674" s="2">
        <f>IFERROR(N674/D674,"")</f>
        <v/>
      </c>
      <c r="AI674" s="2">
        <f>IFERROR(O674/E674,"")</f>
        <v/>
      </c>
      <c r="AJ674" s="2">
        <f>IFERROR(P674/F674,"")</f>
        <v/>
      </c>
      <c r="AK674" s="2">
        <f>IFERROR(Q674/B674,"")</f>
        <v/>
      </c>
      <c r="AL674" s="2">
        <f>IFERROR(R674/C674,"")</f>
        <v/>
      </c>
      <c r="AM674" s="2">
        <f>IFERROR(S674/D674,"")</f>
        <v/>
      </c>
      <c r="AN674" s="2">
        <f>IFERROR(T674/E674,"")</f>
        <v/>
      </c>
      <c r="AO674" s="2">
        <f>IFERROR(U674/F674,"")</f>
        <v/>
      </c>
    </row>
    <row r="675">
      <c r="B675">
        <f>IF($A675="","",IFERROR(INDEX('[AQ_2020.xlsx]原始数据'!$B:$B,MATCH($A675,'[AQ_2020.xlsx]原始数据'!$A:$A,0)),""))</f>
        <v/>
      </c>
      <c r="C675">
        <f>IF($A675="","",IFERROR(INDEX('[AQ_2021.xlsx]原始数据'!$B:$B,MATCH($A675,'[AQ_2021.xlsx]原始数据'!$A:$A,0)),""))</f>
        <v/>
      </c>
      <c r="D675">
        <f>IF($A675="","",IFERROR(INDEX('[AQ_2022.xlsx]原始数据'!$B:$B,MATCH($A675,'[AQ_2022.xlsx]原始数据'!$A:$A,0)),""))</f>
        <v/>
      </c>
      <c r="E675">
        <f>IF($A675="","",IFERROR(INDEX('[AQ_2023.xlsx]原始数据'!$B:$B,MATCH($A675,'[AQ_2023.xlsx]原始数据'!$A:$A,0)),""))</f>
        <v/>
      </c>
      <c r="F675">
        <f>IF($A675="","",IFERROR(INDEX('[AQ_2024.xlsx]原始数据'!$B:$B,MATCH($A675,'[AQ_2024.xlsx]原始数据'!$A:$A,0)),""))</f>
        <v/>
      </c>
      <c r="G675">
        <f>IF($A675="","",IFERROR(INDEX('[AQ_2020.xlsx]原始数据'!$C:$C,MATCH($A675,'[AQ_2020.xlsx]原始数据'!$A:$A,0)),""))</f>
        <v/>
      </c>
      <c r="H675">
        <f>IF($A675="","",IFERROR(INDEX('[AQ_2021.xlsx]原始数据'!$C:$C,MATCH($A675,'[AQ_2021.xlsx]原始数据'!$A:$A,0)),""))</f>
        <v/>
      </c>
      <c r="I675">
        <f>IF($A675="","",IFERROR(INDEX('[AQ_2022.xlsx]原始数据'!$C:$C,MATCH($A675,'[AQ_2022.xlsx]原始数据'!$A:$A,0)),""))</f>
        <v/>
      </c>
      <c r="J675">
        <f>IF($A675="","",IFERROR(INDEX('[AQ_2023.xlsx]原始数据'!$C:$C,MATCH($A675,'[AQ_2023.xlsx]原始数据'!$A:$A,0)),""))</f>
        <v/>
      </c>
      <c r="K675">
        <f>IF($A675="","",IFERROR(INDEX('[AQ_2024.xlsx]原始数据'!$C:$C,MATCH($A675,'[AQ_2024.xlsx]原始数据'!$A:$A,0)),""))</f>
        <v/>
      </c>
      <c r="L675">
        <f>IF($A675="","",IFERROR(INDEX('[AQ_2020.xlsx]原始数据'!$D:$D,MATCH($A675,'[AQ_2020.xlsx]原始数据'!$A:$A,0)),""))</f>
        <v/>
      </c>
      <c r="M675">
        <f>IF($A675="","",IFERROR(INDEX('[AQ_2021.xlsx]原始数据'!$D:$D,MATCH($A675,'[AQ_2021.xlsx]原始数据'!$A:$A,0)),""))</f>
        <v/>
      </c>
      <c r="N675">
        <f>IF($A675="","",IFERROR(INDEX('[AQ_2022.xlsx]原始数据'!$D:$D,MATCH($A675,'[AQ_2022.xlsx]原始数据'!$A:$A,0)),""))</f>
        <v/>
      </c>
      <c r="O675">
        <f>IF($A675="","",IFERROR(INDEX('[AQ_2023.xlsx]原始数据'!$D:$D,MATCH($A675,'[AQ_2023.xlsx]原始数据'!$A:$A,0)),""))</f>
        <v/>
      </c>
      <c r="P675">
        <f>IF($A675="","",IFERROR(INDEX('[AQ_2024.xlsx]原始数据'!$D:$D,MATCH($A675,'[AQ_2024.xlsx]原始数据'!$A:$A,0)),""))</f>
        <v/>
      </c>
      <c r="Q675">
        <f>IF($A675="","",IFERROR(INDEX('[AQ_2020.xlsx]原始数据'!$E:$E,MATCH($A675,'[AQ_2020.xlsx]原始数据'!$A:$A,0)),""))</f>
        <v/>
      </c>
      <c r="R675">
        <f>IF($A675="","",IFERROR(INDEX('[AQ_2021.xlsx]原始数据'!$E:$E,MATCH($A675,'[AQ_2021.xlsx]原始数据'!$A:$A,0)),""))</f>
        <v/>
      </c>
      <c r="S675">
        <f>IF($A675="","",IFERROR(INDEX('[AQ_2022.xlsx]原始数据'!$E:$E,MATCH($A675,'[AQ_2022.xlsx]原始数据'!$A:$A,0)),""))</f>
        <v/>
      </c>
      <c r="T675">
        <f>IF($A675="","",IFERROR(INDEX('[AQ_2023.xlsx]原始数据'!$E:$E,MATCH($A675,'[AQ_2023.xlsx]原始数据'!$A:$A,0)),""))</f>
        <v/>
      </c>
      <c r="U675">
        <f>IF($A675="","",IFERROR(INDEX('[AQ_2024.xlsx]原始数据'!$E:$E,MATCH($A675,'[AQ_2024.xlsx]原始数据'!$A:$A,0)),""))</f>
        <v/>
      </c>
      <c r="V675">
        <f>IF($A675="","",IFERROR(INDEX('[AQ_2020.xlsx]原始数据'!$F:$F,MATCH($A675,'[AQ_2020.xlsx]原始数据'!$A:$A,0)),""))</f>
        <v/>
      </c>
      <c r="W675">
        <f>IF($A675="","",IFERROR(INDEX('[AQ_2021.xlsx]原始数据'!$F:$F,MATCH($A675,'[AQ_2021.xlsx]原始数据'!$A:$A,0)),""))</f>
        <v/>
      </c>
      <c r="X675">
        <f>IF($A675="","",IFERROR(INDEX('[AQ_2022.xlsx]原始数据'!$F:$F,MATCH($A675,'[AQ_2022.xlsx]原始数据'!$A:$A,0)),""))</f>
        <v/>
      </c>
      <c r="Y675">
        <f>IF($A675="","",IFERROR(INDEX('[AQ_2023.xlsx]原始数据'!$F:$F,MATCH($A675,'[AQ_2023.xlsx]原始数据'!$A:$A,0)),""))</f>
        <v/>
      </c>
      <c r="Z675">
        <f>IF($A675="","",IFERROR(INDEX('[AQ_2024.xlsx]原始数据'!$F:$F,MATCH($A675,'[AQ_2024.xlsx]原始数据'!$A:$A,0)),""))</f>
        <v/>
      </c>
      <c r="AA675" s="2">
        <f>IFERROR(G675/B675,"")</f>
        <v/>
      </c>
      <c r="AB675" s="2">
        <f>IFERROR(H675/C675,"")</f>
        <v/>
      </c>
      <c r="AC675" s="2">
        <f>IFERROR(I675/D675,"")</f>
        <v/>
      </c>
      <c r="AD675" s="2">
        <f>IFERROR(J675/E675,"")</f>
        <v/>
      </c>
      <c r="AE675" s="2">
        <f>IFERROR(K675/F675,"")</f>
        <v/>
      </c>
      <c r="AF675" s="2">
        <f>IFERROR(L675/B675,"")</f>
        <v/>
      </c>
      <c r="AG675" s="2">
        <f>IFERROR(M675/C675,"")</f>
        <v/>
      </c>
      <c r="AH675" s="2">
        <f>IFERROR(N675/D675,"")</f>
        <v/>
      </c>
      <c r="AI675" s="2">
        <f>IFERROR(O675/E675,"")</f>
        <v/>
      </c>
      <c r="AJ675" s="2">
        <f>IFERROR(P675/F675,"")</f>
        <v/>
      </c>
      <c r="AK675" s="2">
        <f>IFERROR(Q675/B675,"")</f>
        <v/>
      </c>
      <c r="AL675" s="2">
        <f>IFERROR(R675/C675,"")</f>
        <v/>
      </c>
      <c r="AM675" s="2">
        <f>IFERROR(S675/D675,"")</f>
        <v/>
      </c>
      <c r="AN675" s="2">
        <f>IFERROR(T675/E675,"")</f>
        <v/>
      </c>
      <c r="AO675" s="2">
        <f>IFERROR(U675/F675,"")</f>
        <v/>
      </c>
    </row>
    <row r="676">
      <c r="B676">
        <f>IF($A676="","",IFERROR(INDEX('[AQ_2020.xlsx]原始数据'!$B:$B,MATCH($A676,'[AQ_2020.xlsx]原始数据'!$A:$A,0)),""))</f>
        <v/>
      </c>
      <c r="C676">
        <f>IF($A676="","",IFERROR(INDEX('[AQ_2021.xlsx]原始数据'!$B:$B,MATCH($A676,'[AQ_2021.xlsx]原始数据'!$A:$A,0)),""))</f>
        <v/>
      </c>
      <c r="D676">
        <f>IF($A676="","",IFERROR(INDEX('[AQ_2022.xlsx]原始数据'!$B:$B,MATCH($A676,'[AQ_2022.xlsx]原始数据'!$A:$A,0)),""))</f>
        <v/>
      </c>
      <c r="E676">
        <f>IF($A676="","",IFERROR(INDEX('[AQ_2023.xlsx]原始数据'!$B:$B,MATCH($A676,'[AQ_2023.xlsx]原始数据'!$A:$A,0)),""))</f>
        <v/>
      </c>
      <c r="F676">
        <f>IF($A676="","",IFERROR(INDEX('[AQ_2024.xlsx]原始数据'!$B:$B,MATCH($A676,'[AQ_2024.xlsx]原始数据'!$A:$A,0)),""))</f>
        <v/>
      </c>
      <c r="G676">
        <f>IF($A676="","",IFERROR(INDEX('[AQ_2020.xlsx]原始数据'!$C:$C,MATCH($A676,'[AQ_2020.xlsx]原始数据'!$A:$A,0)),""))</f>
        <v/>
      </c>
      <c r="H676">
        <f>IF($A676="","",IFERROR(INDEX('[AQ_2021.xlsx]原始数据'!$C:$C,MATCH($A676,'[AQ_2021.xlsx]原始数据'!$A:$A,0)),""))</f>
        <v/>
      </c>
      <c r="I676">
        <f>IF($A676="","",IFERROR(INDEX('[AQ_2022.xlsx]原始数据'!$C:$C,MATCH($A676,'[AQ_2022.xlsx]原始数据'!$A:$A,0)),""))</f>
        <v/>
      </c>
      <c r="J676">
        <f>IF($A676="","",IFERROR(INDEX('[AQ_2023.xlsx]原始数据'!$C:$C,MATCH($A676,'[AQ_2023.xlsx]原始数据'!$A:$A,0)),""))</f>
        <v/>
      </c>
      <c r="K676">
        <f>IF($A676="","",IFERROR(INDEX('[AQ_2024.xlsx]原始数据'!$C:$C,MATCH($A676,'[AQ_2024.xlsx]原始数据'!$A:$A,0)),""))</f>
        <v/>
      </c>
      <c r="L676">
        <f>IF($A676="","",IFERROR(INDEX('[AQ_2020.xlsx]原始数据'!$D:$D,MATCH($A676,'[AQ_2020.xlsx]原始数据'!$A:$A,0)),""))</f>
        <v/>
      </c>
      <c r="M676">
        <f>IF($A676="","",IFERROR(INDEX('[AQ_2021.xlsx]原始数据'!$D:$D,MATCH($A676,'[AQ_2021.xlsx]原始数据'!$A:$A,0)),""))</f>
        <v/>
      </c>
      <c r="N676">
        <f>IF($A676="","",IFERROR(INDEX('[AQ_2022.xlsx]原始数据'!$D:$D,MATCH($A676,'[AQ_2022.xlsx]原始数据'!$A:$A,0)),""))</f>
        <v/>
      </c>
      <c r="O676">
        <f>IF($A676="","",IFERROR(INDEX('[AQ_2023.xlsx]原始数据'!$D:$D,MATCH($A676,'[AQ_2023.xlsx]原始数据'!$A:$A,0)),""))</f>
        <v/>
      </c>
      <c r="P676">
        <f>IF($A676="","",IFERROR(INDEX('[AQ_2024.xlsx]原始数据'!$D:$D,MATCH($A676,'[AQ_2024.xlsx]原始数据'!$A:$A,0)),""))</f>
        <v/>
      </c>
      <c r="Q676">
        <f>IF($A676="","",IFERROR(INDEX('[AQ_2020.xlsx]原始数据'!$E:$E,MATCH($A676,'[AQ_2020.xlsx]原始数据'!$A:$A,0)),""))</f>
        <v/>
      </c>
      <c r="R676">
        <f>IF($A676="","",IFERROR(INDEX('[AQ_2021.xlsx]原始数据'!$E:$E,MATCH($A676,'[AQ_2021.xlsx]原始数据'!$A:$A,0)),""))</f>
        <v/>
      </c>
      <c r="S676">
        <f>IF($A676="","",IFERROR(INDEX('[AQ_2022.xlsx]原始数据'!$E:$E,MATCH($A676,'[AQ_2022.xlsx]原始数据'!$A:$A,0)),""))</f>
        <v/>
      </c>
      <c r="T676">
        <f>IF($A676="","",IFERROR(INDEX('[AQ_2023.xlsx]原始数据'!$E:$E,MATCH($A676,'[AQ_2023.xlsx]原始数据'!$A:$A,0)),""))</f>
        <v/>
      </c>
      <c r="U676">
        <f>IF($A676="","",IFERROR(INDEX('[AQ_2024.xlsx]原始数据'!$E:$E,MATCH($A676,'[AQ_2024.xlsx]原始数据'!$A:$A,0)),""))</f>
        <v/>
      </c>
      <c r="V676">
        <f>IF($A676="","",IFERROR(INDEX('[AQ_2020.xlsx]原始数据'!$F:$F,MATCH($A676,'[AQ_2020.xlsx]原始数据'!$A:$A,0)),""))</f>
        <v/>
      </c>
      <c r="W676">
        <f>IF($A676="","",IFERROR(INDEX('[AQ_2021.xlsx]原始数据'!$F:$F,MATCH($A676,'[AQ_2021.xlsx]原始数据'!$A:$A,0)),""))</f>
        <v/>
      </c>
      <c r="X676">
        <f>IF($A676="","",IFERROR(INDEX('[AQ_2022.xlsx]原始数据'!$F:$F,MATCH($A676,'[AQ_2022.xlsx]原始数据'!$A:$A,0)),""))</f>
        <v/>
      </c>
      <c r="Y676">
        <f>IF($A676="","",IFERROR(INDEX('[AQ_2023.xlsx]原始数据'!$F:$F,MATCH($A676,'[AQ_2023.xlsx]原始数据'!$A:$A,0)),""))</f>
        <v/>
      </c>
      <c r="Z676">
        <f>IF($A676="","",IFERROR(INDEX('[AQ_2024.xlsx]原始数据'!$F:$F,MATCH($A676,'[AQ_2024.xlsx]原始数据'!$A:$A,0)),""))</f>
        <v/>
      </c>
      <c r="AA676" s="2">
        <f>IFERROR(G676/B676,"")</f>
        <v/>
      </c>
      <c r="AB676" s="2">
        <f>IFERROR(H676/C676,"")</f>
        <v/>
      </c>
      <c r="AC676" s="2">
        <f>IFERROR(I676/D676,"")</f>
        <v/>
      </c>
      <c r="AD676" s="2">
        <f>IFERROR(J676/E676,"")</f>
        <v/>
      </c>
      <c r="AE676" s="2">
        <f>IFERROR(K676/F676,"")</f>
        <v/>
      </c>
      <c r="AF676" s="2">
        <f>IFERROR(L676/B676,"")</f>
        <v/>
      </c>
      <c r="AG676" s="2">
        <f>IFERROR(M676/C676,"")</f>
        <v/>
      </c>
      <c r="AH676" s="2">
        <f>IFERROR(N676/D676,"")</f>
        <v/>
      </c>
      <c r="AI676" s="2">
        <f>IFERROR(O676/E676,"")</f>
        <v/>
      </c>
      <c r="AJ676" s="2">
        <f>IFERROR(P676/F676,"")</f>
        <v/>
      </c>
      <c r="AK676" s="2">
        <f>IFERROR(Q676/B676,"")</f>
        <v/>
      </c>
      <c r="AL676" s="2">
        <f>IFERROR(R676/C676,"")</f>
        <v/>
      </c>
      <c r="AM676" s="2">
        <f>IFERROR(S676/D676,"")</f>
        <v/>
      </c>
      <c r="AN676" s="2">
        <f>IFERROR(T676/E676,"")</f>
        <v/>
      </c>
      <c r="AO676" s="2">
        <f>IFERROR(U676/F676,"")</f>
        <v/>
      </c>
    </row>
    <row r="677">
      <c r="B677">
        <f>IF($A677="","",IFERROR(INDEX('[AQ_2020.xlsx]原始数据'!$B:$B,MATCH($A677,'[AQ_2020.xlsx]原始数据'!$A:$A,0)),""))</f>
        <v/>
      </c>
      <c r="C677">
        <f>IF($A677="","",IFERROR(INDEX('[AQ_2021.xlsx]原始数据'!$B:$B,MATCH($A677,'[AQ_2021.xlsx]原始数据'!$A:$A,0)),""))</f>
        <v/>
      </c>
      <c r="D677">
        <f>IF($A677="","",IFERROR(INDEX('[AQ_2022.xlsx]原始数据'!$B:$B,MATCH($A677,'[AQ_2022.xlsx]原始数据'!$A:$A,0)),""))</f>
        <v/>
      </c>
      <c r="E677">
        <f>IF($A677="","",IFERROR(INDEX('[AQ_2023.xlsx]原始数据'!$B:$B,MATCH($A677,'[AQ_2023.xlsx]原始数据'!$A:$A,0)),""))</f>
        <v/>
      </c>
      <c r="F677">
        <f>IF($A677="","",IFERROR(INDEX('[AQ_2024.xlsx]原始数据'!$B:$B,MATCH($A677,'[AQ_2024.xlsx]原始数据'!$A:$A,0)),""))</f>
        <v/>
      </c>
      <c r="G677">
        <f>IF($A677="","",IFERROR(INDEX('[AQ_2020.xlsx]原始数据'!$C:$C,MATCH($A677,'[AQ_2020.xlsx]原始数据'!$A:$A,0)),""))</f>
        <v/>
      </c>
      <c r="H677">
        <f>IF($A677="","",IFERROR(INDEX('[AQ_2021.xlsx]原始数据'!$C:$C,MATCH($A677,'[AQ_2021.xlsx]原始数据'!$A:$A,0)),""))</f>
        <v/>
      </c>
      <c r="I677">
        <f>IF($A677="","",IFERROR(INDEX('[AQ_2022.xlsx]原始数据'!$C:$C,MATCH($A677,'[AQ_2022.xlsx]原始数据'!$A:$A,0)),""))</f>
        <v/>
      </c>
      <c r="J677">
        <f>IF($A677="","",IFERROR(INDEX('[AQ_2023.xlsx]原始数据'!$C:$C,MATCH($A677,'[AQ_2023.xlsx]原始数据'!$A:$A,0)),""))</f>
        <v/>
      </c>
      <c r="K677">
        <f>IF($A677="","",IFERROR(INDEX('[AQ_2024.xlsx]原始数据'!$C:$C,MATCH($A677,'[AQ_2024.xlsx]原始数据'!$A:$A,0)),""))</f>
        <v/>
      </c>
      <c r="L677">
        <f>IF($A677="","",IFERROR(INDEX('[AQ_2020.xlsx]原始数据'!$D:$D,MATCH($A677,'[AQ_2020.xlsx]原始数据'!$A:$A,0)),""))</f>
        <v/>
      </c>
      <c r="M677">
        <f>IF($A677="","",IFERROR(INDEX('[AQ_2021.xlsx]原始数据'!$D:$D,MATCH($A677,'[AQ_2021.xlsx]原始数据'!$A:$A,0)),""))</f>
        <v/>
      </c>
      <c r="N677">
        <f>IF($A677="","",IFERROR(INDEX('[AQ_2022.xlsx]原始数据'!$D:$D,MATCH($A677,'[AQ_2022.xlsx]原始数据'!$A:$A,0)),""))</f>
        <v/>
      </c>
      <c r="O677">
        <f>IF($A677="","",IFERROR(INDEX('[AQ_2023.xlsx]原始数据'!$D:$D,MATCH($A677,'[AQ_2023.xlsx]原始数据'!$A:$A,0)),""))</f>
        <v/>
      </c>
      <c r="P677">
        <f>IF($A677="","",IFERROR(INDEX('[AQ_2024.xlsx]原始数据'!$D:$D,MATCH($A677,'[AQ_2024.xlsx]原始数据'!$A:$A,0)),""))</f>
        <v/>
      </c>
      <c r="Q677">
        <f>IF($A677="","",IFERROR(INDEX('[AQ_2020.xlsx]原始数据'!$E:$E,MATCH($A677,'[AQ_2020.xlsx]原始数据'!$A:$A,0)),""))</f>
        <v/>
      </c>
      <c r="R677">
        <f>IF($A677="","",IFERROR(INDEX('[AQ_2021.xlsx]原始数据'!$E:$E,MATCH($A677,'[AQ_2021.xlsx]原始数据'!$A:$A,0)),""))</f>
        <v/>
      </c>
      <c r="S677">
        <f>IF($A677="","",IFERROR(INDEX('[AQ_2022.xlsx]原始数据'!$E:$E,MATCH($A677,'[AQ_2022.xlsx]原始数据'!$A:$A,0)),""))</f>
        <v/>
      </c>
      <c r="T677">
        <f>IF($A677="","",IFERROR(INDEX('[AQ_2023.xlsx]原始数据'!$E:$E,MATCH($A677,'[AQ_2023.xlsx]原始数据'!$A:$A,0)),""))</f>
        <v/>
      </c>
      <c r="U677">
        <f>IF($A677="","",IFERROR(INDEX('[AQ_2024.xlsx]原始数据'!$E:$E,MATCH($A677,'[AQ_2024.xlsx]原始数据'!$A:$A,0)),""))</f>
        <v/>
      </c>
      <c r="V677">
        <f>IF($A677="","",IFERROR(INDEX('[AQ_2020.xlsx]原始数据'!$F:$F,MATCH($A677,'[AQ_2020.xlsx]原始数据'!$A:$A,0)),""))</f>
        <v/>
      </c>
      <c r="W677">
        <f>IF($A677="","",IFERROR(INDEX('[AQ_2021.xlsx]原始数据'!$F:$F,MATCH($A677,'[AQ_2021.xlsx]原始数据'!$A:$A,0)),""))</f>
        <v/>
      </c>
      <c r="X677">
        <f>IF($A677="","",IFERROR(INDEX('[AQ_2022.xlsx]原始数据'!$F:$F,MATCH($A677,'[AQ_2022.xlsx]原始数据'!$A:$A,0)),""))</f>
        <v/>
      </c>
      <c r="Y677">
        <f>IF($A677="","",IFERROR(INDEX('[AQ_2023.xlsx]原始数据'!$F:$F,MATCH($A677,'[AQ_2023.xlsx]原始数据'!$A:$A,0)),""))</f>
        <v/>
      </c>
      <c r="Z677">
        <f>IF($A677="","",IFERROR(INDEX('[AQ_2024.xlsx]原始数据'!$F:$F,MATCH($A677,'[AQ_2024.xlsx]原始数据'!$A:$A,0)),""))</f>
        <v/>
      </c>
      <c r="AA677" s="2">
        <f>IFERROR(G677/B677,"")</f>
        <v/>
      </c>
      <c r="AB677" s="2">
        <f>IFERROR(H677/C677,"")</f>
        <v/>
      </c>
      <c r="AC677" s="2">
        <f>IFERROR(I677/D677,"")</f>
        <v/>
      </c>
      <c r="AD677" s="2">
        <f>IFERROR(J677/E677,"")</f>
        <v/>
      </c>
      <c r="AE677" s="2">
        <f>IFERROR(K677/F677,"")</f>
        <v/>
      </c>
      <c r="AF677" s="2">
        <f>IFERROR(L677/B677,"")</f>
        <v/>
      </c>
      <c r="AG677" s="2">
        <f>IFERROR(M677/C677,"")</f>
        <v/>
      </c>
      <c r="AH677" s="2">
        <f>IFERROR(N677/D677,"")</f>
        <v/>
      </c>
      <c r="AI677" s="2">
        <f>IFERROR(O677/E677,"")</f>
        <v/>
      </c>
      <c r="AJ677" s="2">
        <f>IFERROR(P677/F677,"")</f>
        <v/>
      </c>
      <c r="AK677" s="2">
        <f>IFERROR(Q677/B677,"")</f>
        <v/>
      </c>
      <c r="AL677" s="2">
        <f>IFERROR(R677/C677,"")</f>
        <v/>
      </c>
      <c r="AM677" s="2">
        <f>IFERROR(S677/D677,"")</f>
        <v/>
      </c>
      <c r="AN677" s="2">
        <f>IFERROR(T677/E677,"")</f>
        <v/>
      </c>
      <c r="AO677" s="2">
        <f>IFERROR(U677/F677,"")</f>
        <v/>
      </c>
    </row>
    <row r="678">
      <c r="B678">
        <f>IF($A678="","",IFERROR(INDEX('[AQ_2020.xlsx]原始数据'!$B:$B,MATCH($A678,'[AQ_2020.xlsx]原始数据'!$A:$A,0)),""))</f>
        <v/>
      </c>
      <c r="C678">
        <f>IF($A678="","",IFERROR(INDEX('[AQ_2021.xlsx]原始数据'!$B:$B,MATCH($A678,'[AQ_2021.xlsx]原始数据'!$A:$A,0)),""))</f>
        <v/>
      </c>
      <c r="D678">
        <f>IF($A678="","",IFERROR(INDEX('[AQ_2022.xlsx]原始数据'!$B:$B,MATCH($A678,'[AQ_2022.xlsx]原始数据'!$A:$A,0)),""))</f>
        <v/>
      </c>
      <c r="E678">
        <f>IF($A678="","",IFERROR(INDEX('[AQ_2023.xlsx]原始数据'!$B:$B,MATCH($A678,'[AQ_2023.xlsx]原始数据'!$A:$A,0)),""))</f>
        <v/>
      </c>
      <c r="F678">
        <f>IF($A678="","",IFERROR(INDEX('[AQ_2024.xlsx]原始数据'!$B:$B,MATCH($A678,'[AQ_2024.xlsx]原始数据'!$A:$A,0)),""))</f>
        <v/>
      </c>
      <c r="G678">
        <f>IF($A678="","",IFERROR(INDEX('[AQ_2020.xlsx]原始数据'!$C:$C,MATCH($A678,'[AQ_2020.xlsx]原始数据'!$A:$A,0)),""))</f>
        <v/>
      </c>
      <c r="H678">
        <f>IF($A678="","",IFERROR(INDEX('[AQ_2021.xlsx]原始数据'!$C:$C,MATCH($A678,'[AQ_2021.xlsx]原始数据'!$A:$A,0)),""))</f>
        <v/>
      </c>
      <c r="I678">
        <f>IF($A678="","",IFERROR(INDEX('[AQ_2022.xlsx]原始数据'!$C:$C,MATCH($A678,'[AQ_2022.xlsx]原始数据'!$A:$A,0)),""))</f>
        <v/>
      </c>
      <c r="J678">
        <f>IF($A678="","",IFERROR(INDEX('[AQ_2023.xlsx]原始数据'!$C:$C,MATCH($A678,'[AQ_2023.xlsx]原始数据'!$A:$A,0)),""))</f>
        <v/>
      </c>
      <c r="K678">
        <f>IF($A678="","",IFERROR(INDEX('[AQ_2024.xlsx]原始数据'!$C:$C,MATCH($A678,'[AQ_2024.xlsx]原始数据'!$A:$A,0)),""))</f>
        <v/>
      </c>
      <c r="L678">
        <f>IF($A678="","",IFERROR(INDEX('[AQ_2020.xlsx]原始数据'!$D:$D,MATCH($A678,'[AQ_2020.xlsx]原始数据'!$A:$A,0)),""))</f>
        <v/>
      </c>
      <c r="M678">
        <f>IF($A678="","",IFERROR(INDEX('[AQ_2021.xlsx]原始数据'!$D:$D,MATCH($A678,'[AQ_2021.xlsx]原始数据'!$A:$A,0)),""))</f>
        <v/>
      </c>
      <c r="N678">
        <f>IF($A678="","",IFERROR(INDEX('[AQ_2022.xlsx]原始数据'!$D:$D,MATCH($A678,'[AQ_2022.xlsx]原始数据'!$A:$A,0)),""))</f>
        <v/>
      </c>
      <c r="O678">
        <f>IF($A678="","",IFERROR(INDEX('[AQ_2023.xlsx]原始数据'!$D:$D,MATCH($A678,'[AQ_2023.xlsx]原始数据'!$A:$A,0)),""))</f>
        <v/>
      </c>
      <c r="P678">
        <f>IF($A678="","",IFERROR(INDEX('[AQ_2024.xlsx]原始数据'!$D:$D,MATCH($A678,'[AQ_2024.xlsx]原始数据'!$A:$A,0)),""))</f>
        <v/>
      </c>
      <c r="Q678">
        <f>IF($A678="","",IFERROR(INDEX('[AQ_2020.xlsx]原始数据'!$E:$E,MATCH($A678,'[AQ_2020.xlsx]原始数据'!$A:$A,0)),""))</f>
        <v/>
      </c>
      <c r="R678">
        <f>IF($A678="","",IFERROR(INDEX('[AQ_2021.xlsx]原始数据'!$E:$E,MATCH($A678,'[AQ_2021.xlsx]原始数据'!$A:$A,0)),""))</f>
        <v/>
      </c>
      <c r="S678">
        <f>IF($A678="","",IFERROR(INDEX('[AQ_2022.xlsx]原始数据'!$E:$E,MATCH($A678,'[AQ_2022.xlsx]原始数据'!$A:$A,0)),""))</f>
        <v/>
      </c>
      <c r="T678">
        <f>IF($A678="","",IFERROR(INDEX('[AQ_2023.xlsx]原始数据'!$E:$E,MATCH($A678,'[AQ_2023.xlsx]原始数据'!$A:$A,0)),""))</f>
        <v/>
      </c>
      <c r="U678">
        <f>IF($A678="","",IFERROR(INDEX('[AQ_2024.xlsx]原始数据'!$E:$E,MATCH($A678,'[AQ_2024.xlsx]原始数据'!$A:$A,0)),""))</f>
        <v/>
      </c>
      <c r="V678">
        <f>IF($A678="","",IFERROR(INDEX('[AQ_2020.xlsx]原始数据'!$F:$F,MATCH($A678,'[AQ_2020.xlsx]原始数据'!$A:$A,0)),""))</f>
        <v/>
      </c>
      <c r="W678">
        <f>IF($A678="","",IFERROR(INDEX('[AQ_2021.xlsx]原始数据'!$F:$F,MATCH($A678,'[AQ_2021.xlsx]原始数据'!$A:$A,0)),""))</f>
        <v/>
      </c>
      <c r="X678">
        <f>IF($A678="","",IFERROR(INDEX('[AQ_2022.xlsx]原始数据'!$F:$F,MATCH($A678,'[AQ_2022.xlsx]原始数据'!$A:$A,0)),""))</f>
        <v/>
      </c>
      <c r="Y678">
        <f>IF($A678="","",IFERROR(INDEX('[AQ_2023.xlsx]原始数据'!$F:$F,MATCH($A678,'[AQ_2023.xlsx]原始数据'!$A:$A,0)),""))</f>
        <v/>
      </c>
      <c r="Z678">
        <f>IF($A678="","",IFERROR(INDEX('[AQ_2024.xlsx]原始数据'!$F:$F,MATCH($A678,'[AQ_2024.xlsx]原始数据'!$A:$A,0)),""))</f>
        <v/>
      </c>
      <c r="AA678" s="2">
        <f>IFERROR(G678/B678,"")</f>
        <v/>
      </c>
      <c r="AB678" s="2">
        <f>IFERROR(H678/C678,"")</f>
        <v/>
      </c>
      <c r="AC678" s="2">
        <f>IFERROR(I678/D678,"")</f>
        <v/>
      </c>
      <c r="AD678" s="2">
        <f>IFERROR(J678/E678,"")</f>
        <v/>
      </c>
      <c r="AE678" s="2">
        <f>IFERROR(K678/F678,"")</f>
        <v/>
      </c>
      <c r="AF678" s="2">
        <f>IFERROR(L678/B678,"")</f>
        <v/>
      </c>
      <c r="AG678" s="2">
        <f>IFERROR(M678/C678,"")</f>
        <v/>
      </c>
      <c r="AH678" s="2">
        <f>IFERROR(N678/D678,"")</f>
        <v/>
      </c>
      <c r="AI678" s="2">
        <f>IFERROR(O678/E678,"")</f>
        <v/>
      </c>
      <c r="AJ678" s="2">
        <f>IFERROR(P678/F678,"")</f>
        <v/>
      </c>
      <c r="AK678" s="2">
        <f>IFERROR(Q678/B678,"")</f>
        <v/>
      </c>
      <c r="AL678" s="2">
        <f>IFERROR(R678/C678,"")</f>
        <v/>
      </c>
      <c r="AM678" s="2">
        <f>IFERROR(S678/D678,"")</f>
        <v/>
      </c>
      <c r="AN678" s="2">
        <f>IFERROR(T678/E678,"")</f>
        <v/>
      </c>
      <c r="AO678" s="2">
        <f>IFERROR(U678/F678,"")</f>
        <v/>
      </c>
    </row>
    <row r="679">
      <c r="B679">
        <f>IF($A679="","",IFERROR(INDEX('[AQ_2020.xlsx]原始数据'!$B:$B,MATCH($A679,'[AQ_2020.xlsx]原始数据'!$A:$A,0)),""))</f>
        <v/>
      </c>
      <c r="C679">
        <f>IF($A679="","",IFERROR(INDEX('[AQ_2021.xlsx]原始数据'!$B:$B,MATCH($A679,'[AQ_2021.xlsx]原始数据'!$A:$A,0)),""))</f>
        <v/>
      </c>
      <c r="D679">
        <f>IF($A679="","",IFERROR(INDEX('[AQ_2022.xlsx]原始数据'!$B:$B,MATCH($A679,'[AQ_2022.xlsx]原始数据'!$A:$A,0)),""))</f>
        <v/>
      </c>
      <c r="E679">
        <f>IF($A679="","",IFERROR(INDEX('[AQ_2023.xlsx]原始数据'!$B:$B,MATCH($A679,'[AQ_2023.xlsx]原始数据'!$A:$A,0)),""))</f>
        <v/>
      </c>
      <c r="F679">
        <f>IF($A679="","",IFERROR(INDEX('[AQ_2024.xlsx]原始数据'!$B:$B,MATCH($A679,'[AQ_2024.xlsx]原始数据'!$A:$A,0)),""))</f>
        <v/>
      </c>
      <c r="G679">
        <f>IF($A679="","",IFERROR(INDEX('[AQ_2020.xlsx]原始数据'!$C:$C,MATCH($A679,'[AQ_2020.xlsx]原始数据'!$A:$A,0)),""))</f>
        <v/>
      </c>
      <c r="H679">
        <f>IF($A679="","",IFERROR(INDEX('[AQ_2021.xlsx]原始数据'!$C:$C,MATCH($A679,'[AQ_2021.xlsx]原始数据'!$A:$A,0)),""))</f>
        <v/>
      </c>
      <c r="I679">
        <f>IF($A679="","",IFERROR(INDEX('[AQ_2022.xlsx]原始数据'!$C:$C,MATCH($A679,'[AQ_2022.xlsx]原始数据'!$A:$A,0)),""))</f>
        <v/>
      </c>
      <c r="J679">
        <f>IF($A679="","",IFERROR(INDEX('[AQ_2023.xlsx]原始数据'!$C:$C,MATCH($A679,'[AQ_2023.xlsx]原始数据'!$A:$A,0)),""))</f>
        <v/>
      </c>
      <c r="K679">
        <f>IF($A679="","",IFERROR(INDEX('[AQ_2024.xlsx]原始数据'!$C:$C,MATCH($A679,'[AQ_2024.xlsx]原始数据'!$A:$A,0)),""))</f>
        <v/>
      </c>
      <c r="L679">
        <f>IF($A679="","",IFERROR(INDEX('[AQ_2020.xlsx]原始数据'!$D:$D,MATCH($A679,'[AQ_2020.xlsx]原始数据'!$A:$A,0)),""))</f>
        <v/>
      </c>
      <c r="M679">
        <f>IF($A679="","",IFERROR(INDEX('[AQ_2021.xlsx]原始数据'!$D:$D,MATCH($A679,'[AQ_2021.xlsx]原始数据'!$A:$A,0)),""))</f>
        <v/>
      </c>
      <c r="N679">
        <f>IF($A679="","",IFERROR(INDEX('[AQ_2022.xlsx]原始数据'!$D:$D,MATCH($A679,'[AQ_2022.xlsx]原始数据'!$A:$A,0)),""))</f>
        <v/>
      </c>
      <c r="O679">
        <f>IF($A679="","",IFERROR(INDEX('[AQ_2023.xlsx]原始数据'!$D:$D,MATCH($A679,'[AQ_2023.xlsx]原始数据'!$A:$A,0)),""))</f>
        <v/>
      </c>
      <c r="P679">
        <f>IF($A679="","",IFERROR(INDEX('[AQ_2024.xlsx]原始数据'!$D:$D,MATCH($A679,'[AQ_2024.xlsx]原始数据'!$A:$A,0)),""))</f>
        <v/>
      </c>
      <c r="Q679">
        <f>IF($A679="","",IFERROR(INDEX('[AQ_2020.xlsx]原始数据'!$E:$E,MATCH($A679,'[AQ_2020.xlsx]原始数据'!$A:$A,0)),""))</f>
        <v/>
      </c>
      <c r="R679">
        <f>IF($A679="","",IFERROR(INDEX('[AQ_2021.xlsx]原始数据'!$E:$E,MATCH($A679,'[AQ_2021.xlsx]原始数据'!$A:$A,0)),""))</f>
        <v/>
      </c>
      <c r="S679">
        <f>IF($A679="","",IFERROR(INDEX('[AQ_2022.xlsx]原始数据'!$E:$E,MATCH($A679,'[AQ_2022.xlsx]原始数据'!$A:$A,0)),""))</f>
        <v/>
      </c>
      <c r="T679">
        <f>IF($A679="","",IFERROR(INDEX('[AQ_2023.xlsx]原始数据'!$E:$E,MATCH($A679,'[AQ_2023.xlsx]原始数据'!$A:$A,0)),""))</f>
        <v/>
      </c>
      <c r="U679">
        <f>IF($A679="","",IFERROR(INDEX('[AQ_2024.xlsx]原始数据'!$E:$E,MATCH($A679,'[AQ_2024.xlsx]原始数据'!$A:$A,0)),""))</f>
        <v/>
      </c>
      <c r="V679">
        <f>IF($A679="","",IFERROR(INDEX('[AQ_2020.xlsx]原始数据'!$F:$F,MATCH($A679,'[AQ_2020.xlsx]原始数据'!$A:$A,0)),""))</f>
        <v/>
      </c>
      <c r="W679">
        <f>IF($A679="","",IFERROR(INDEX('[AQ_2021.xlsx]原始数据'!$F:$F,MATCH($A679,'[AQ_2021.xlsx]原始数据'!$A:$A,0)),""))</f>
        <v/>
      </c>
      <c r="X679">
        <f>IF($A679="","",IFERROR(INDEX('[AQ_2022.xlsx]原始数据'!$F:$F,MATCH($A679,'[AQ_2022.xlsx]原始数据'!$A:$A,0)),""))</f>
        <v/>
      </c>
      <c r="Y679">
        <f>IF($A679="","",IFERROR(INDEX('[AQ_2023.xlsx]原始数据'!$F:$F,MATCH($A679,'[AQ_2023.xlsx]原始数据'!$A:$A,0)),""))</f>
        <v/>
      </c>
      <c r="Z679">
        <f>IF($A679="","",IFERROR(INDEX('[AQ_2024.xlsx]原始数据'!$F:$F,MATCH($A679,'[AQ_2024.xlsx]原始数据'!$A:$A,0)),""))</f>
        <v/>
      </c>
      <c r="AA679" s="2">
        <f>IFERROR(G679/B679,"")</f>
        <v/>
      </c>
      <c r="AB679" s="2">
        <f>IFERROR(H679/C679,"")</f>
        <v/>
      </c>
      <c r="AC679" s="2">
        <f>IFERROR(I679/D679,"")</f>
        <v/>
      </c>
      <c r="AD679" s="2">
        <f>IFERROR(J679/E679,"")</f>
        <v/>
      </c>
      <c r="AE679" s="2">
        <f>IFERROR(K679/F679,"")</f>
        <v/>
      </c>
      <c r="AF679" s="2">
        <f>IFERROR(L679/B679,"")</f>
        <v/>
      </c>
      <c r="AG679" s="2">
        <f>IFERROR(M679/C679,"")</f>
        <v/>
      </c>
      <c r="AH679" s="2">
        <f>IFERROR(N679/D679,"")</f>
        <v/>
      </c>
      <c r="AI679" s="2">
        <f>IFERROR(O679/E679,"")</f>
        <v/>
      </c>
      <c r="AJ679" s="2">
        <f>IFERROR(P679/F679,"")</f>
        <v/>
      </c>
      <c r="AK679" s="2">
        <f>IFERROR(Q679/B679,"")</f>
        <v/>
      </c>
      <c r="AL679" s="2">
        <f>IFERROR(R679/C679,"")</f>
        <v/>
      </c>
      <c r="AM679" s="2">
        <f>IFERROR(S679/D679,"")</f>
        <v/>
      </c>
      <c r="AN679" s="2">
        <f>IFERROR(T679/E679,"")</f>
        <v/>
      </c>
      <c r="AO679" s="2">
        <f>IFERROR(U679/F679,"")</f>
        <v/>
      </c>
    </row>
    <row r="680">
      <c r="B680">
        <f>IF($A680="","",IFERROR(INDEX('[AQ_2020.xlsx]原始数据'!$B:$B,MATCH($A680,'[AQ_2020.xlsx]原始数据'!$A:$A,0)),""))</f>
        <v/>
      </c>
      <c r="C680">
        <f>IF($A680="","",IFERROR(INDEX('[AQ_2021.xlsx]原始数据'!$B:$B,MATCH($A680,'[AQ_2021.xlsx]原始数据'!$A:$A,0)),""))</f>
        <v/>
      </c>
      <c r="D680">
        <f>IF($A680="","",IFERROR(INDEX('[AQ_2022.xlsx]原始数据'!$B:$B,MATCH($A680,'[AQ_2022.xlsx]原始数据'!$A:$A,0)),""))</f>
        <v/>
      </c>
      <c r="E680">
        <f>IF($A680="","",IFERROR(INDEX('[AQ_2023.xlsx]原始数据'!$B:$B,MATCH($A680,'[AQ_2023.xlsx]原始数据'!$A:$A,0)),""))</f>
        <v/>
      </c>
      <c r="F680">
        <f>IF($A680="","",IFERROR(INDEX('[AQ_2024.xlsx]原始数据'!$B:$B,MATCH($A680,'[AQ_2024.xlsx]原始数据'!$A:$A,0)),""))</f>
        <v/>
      </c>
      <c r="G680">
        <f>IF($A680="","",IFERROR(INDEX('[AQ_2020.xlsx]原始数据'!$C:$C,MATCH($A680,'[AQ_2020.xlsx]原始数据'!$A:$A,0)),""))</f>
        <v/>
      </c>
      <c r="H680">
        <f>IF($A680="","",IFERROR(INDEX('[AQ_2021.xlsx]原始数据'!$C:$C,MATCH($A680,'[AQ_2021.xlsx]原始数据'!$A:$A,0)),""))</f>
        <v/>
      </c>
      <c r="I680">
        <f>IF($A680="","",IFERROR(INDEX('[AQ_2022.xlsx]原始数据'!$C:$C,MATCH($A680,'[AQ_2022.xlsx]原始数据'!$A:$A,0)),""))</f>
        <v/>
      </c>
      <c r="J680">
        <f>IF($A680="","",IFERROR(INDEX('[AQ_2023.xlsx]原始数据'!$C:$C,MATCH($A680,'[AQ_2023.xlsx]原始数据'!$A:$A,0)),""))</f>
        <v/>
      </c>
      <c r="K680">
        <f>IF($A680="","",IFERROR(INDEX('[AQ_2024.xlsx]原始数据'!$C:$C,MATCH($A680,'[AQ_2024.xlsx]原始数据'!$A:$A,0)),""))</f>
        <v/>
      </c>
      <c r="L680">
        <f>IF($A680="","",IFERROR(INDEX('[AQ_2020.xlsx]原始数据'!$D:$D,MATCH($A680,'[AQ_2020.xlsx]原始数据'!$A:$A,0)),""))</f>
        <v/>
      </c>
      <c r="M680">
        <f>IF($A680="","",IFERROR(INDEX('[AQ_2021.xlsx]原始数据'!$D:$D,MATCH($A680,'[AQ_2021.xlsx]原始数据'!$A:$A,0)),""))</f>
        <v/>
      </c>
      <c r="N680">
        <f>IF($A680="","",IFERROR(INDEX('[AQ_2022.xlsx]原始数据'!$D:$D,MATCH($A680,'[AQ_2022.xlsx]原始数据'!$A:$A,0)),""))</f>
        <v/>
      </c>
      <c r="O680">
        <f>IF($A680="","",IFERROR(INDEX('[AQ_2023.xlsx]原始数据'!$D:$D,MATCH($A680,'[AQ_2023.xlsx]原始数据'!$A:$A,0)),""))</f>
        <v/>
      </c>
      <c r="P680">
        <f>IF($A680="","",IFERROR(INDEX('[AQ_2024.xlsx]原始数据'!$D:$D,MATCH($A680,'[AQ_2024.xlsx]原始数据'!$A:$A,0)),""))</f>
        <v/>
      </c>
      <c r="Q680">
        <f>IF($A680="","",IFERROR(INDEX('[AQ_2020.xlsx]原始数据'!$E:$E,MATCH($A680,'[AQ_2020.xlsx]原始数据'!$A:$A,0)),""))</f>
        <v/>
      </c>
      <c r="R680">
        <f>IF($A680="","",IFERROR(INDEX('[AQ_2021.xlsx]原始数据'!$E:$E,MATCH($A680,'[AQ_2021.xlsx]原始数据'!$A:$A,0)),""))</f>
        <v/>
      </c>
      <c r="S680">
        <f>IF($A680="","",IFERROR(INDEX('[AQ_2022.xlsx]原始数据'!$E:$E,MATCH($A680,'[AQ_2022.xlsx]原始数据'!$A:$A,0)),""))</f>
        <v/>
      </c>
      <c r="T680">
        <f>IF($A680="","",IFERROR(INDEX('[AQ_2023.xlsx]原始数据'!$E:$E,MATCH($A680,'[AQ_2023.xlsx]原始数据'!$A:$A,0)),""))</f>
        <v/>
      </c>
      <c r="U680">
        <f>IF($A680="","",IFERROR(INDEX('[AQ_2024.xlsx]原始数据'!$E:$E,MATCH($A680,'[AQ_2024.xlsx]原始数据'!$A:$A,0)),""))</f>
        <v/>
      </c>
      <c r="V680">
        <f>IF($A680="","",IFERROR(INDEX('[AQ_2020.xlsx]原始数据'!$F:$F,MATCH($A680,'[AQ_2020.xlsx]原始数据'!$A:$A,0)),""))</f>
        <v/>
      </c>
      <c r="W680">
        <f>IF($A680="","",IFERROR(INDEX('[AQ_2021.xlsx]原始数据'!$F:$F,MATCH($A680,'[AQ_2021.xlsx]原始数据'!$A:$A,0)),""))</f>
        <v/>
      </c>
      <c r="X680">
        <f>IF($A680="","",IFERROR(INDEX('[AQ_2022.xlsx]原始数据'!$F:$F,MATCH($A680,'[AQ_2022.xlsx]原始数据'!$A:$A,0)),""))</f>
        <v/>
      </c>
      <c r="Y680">
        <f>IF($A680="","",IFERROR(INDEX('[AQ_2023.xlsx]原始数据'!$F:$F,MATCH($A680,'[AQ_2023.xlsx]原始数据'!$A:$A,0)),""))</f>
        <v/>
      </c>
      <c r="Z680">
        <f>IF($A680="","",IFERROR(INDEX('[AQ_2024.xlsx]原始数据'!$F:$F,MATCH($A680,'[AQ_2024.xlsx]原始数据'!$A:$A,0)),""))</f>
        <v/>
      </c>
      <c r="AA680" s="2">
        <f>IFERROR(G680/B680,"")</f>
        <v/>
      </c>
      <c r="AB680" s="2">
        <f>IFERROR(H680/C680,"")</f>
        <v/>
      </c>
      <c r="AC680" s="2">
        <f>IFERROR(I680/D680,"")</f>
        <v/>
      </c>
      <c r="AD680" s="2">
        <f>IFERROR(J680/E680,"")</f>
        <v/>
      </c>
      <c r="AE680" s="2">
        <f>IFERROR(K680/F680,"")</f>
        <v/>
      </c>
      <c r="AF680" s="2">
        <f>IFERROR(L680/B680,"")</f>
        <v/>
      </c>
      <c r="AG680" s="2">
        <f>IFERROR(M680/C680,"")</f>
        <v/>
      </c>
      <c r="AH680" s="2">
        <f>IFERROR(N680/D680,"")</f>
        <v/>
      </c>
      <c r="AI680" s="2">
        <f>IFERROR(O680/E680,"")</f>
        <v/>
      </c>
      <c r="AJ680" s="2">
        <f>IFERROR(P680/F680,"")</f>
        <v/>
      </c>
      <c r="AK680" s="2">
        <f>IFERROR(Q680/B680,"")</f>
        <v/>
      </c>
      <c r="AL680" s="2">
        <f>IFERROR(R680/C680,"")</f>
        <v/>
      </c>
      <c r="AM680" s="2">
        <f>IFERROR(S680/D680,"")</f>
        <v/>
      </c>
      <c r="AN680" s="2">
        <f>IFERROR(T680/E680,"")</f>
        <v/>
      </c>
      <c r="AO680" s="2">
        <f>IFERROR(U680/F680,"")</f>
        <v/>
      </c>
    </row>
    <row r="681">
      <c r="B681">
        <f>IF($A681="","",IFERROR(INDEX('[AQ_2020.xlsx]原始数据'!$B:$B,MATCH($A681,'[AQ_2020.xlsx]原始数据'!$A:$A,0)),""))</f>
        <v/>
      </c>
      <c r="C681">
        <f>IF($A681="","",IFERROR(INDEX('[AQ_2021.xlsx]原始数据'!$B:$B,MATCH($A681,'[AQ_2021.xlsx]原始数据'!$A:$A,0)),""))</f>
        <v/>
      </c>
      <c r="D681">
        <f>IF($A681="","",IFERROR(INDEX('[AQ_2022.xlsx]原始数据'!$B:$B,MATCH($A681,'[AQ_2022.xlsx]原始数据'!$A:$A,0)),""))</f>
        <v/>
      </c>
      <c r="E681">
        <f>IF($A681="","",IFERROR(INDEX('[AQ_2023.xlsx]原始数据'!$B:$B,MATCH($A681,'[AQ_2023.xlsx]原始数据'!$A:$A,0)),""))</f>
        <v/>
      </c>
      <c r="F681">
        <f>IF($A681="","",IFERROR(INDEX('[AQ_2024.xlsx]原始数据'!$B:$B,MATCH($A681,'[AQ_2024.xlsx]原始数据'!$A:$A,0)),""))</f>
        <v/>
      </c>
      <c r="G681">
        <f>IF($A681="","",IFERROR(INDEX('[AQ_2020.xlsx]原始数据'!$C:$C,MATCH($A681,'[AQ_2020.xlsx]原始数据'!$A:$A,0)),""))</f>
        <v/>
      </c>
      <c r="H681">
        <f>IF($A681="","",IFERROR(INDEX('[AQ_2021.xlsx]原始数据'!$C:$C,MATCH($A681,'[AQ_2021.xlsx]原始数据'!$A:$A,0)),""))</f>
        <v/>
      </c>
      <c r="I681">
        <f>IF($A681="","",IFERROR(INDEX('[AQ_2022.xlsx]原始数据'!$C:$C,MATCH($A681,'[AQ_2022.xlsx]原始数据'!$A:$A,0)),""))</f>
        <v/>
      </c>
      <c r="J681">
        <f>IF($A681="","",IFERROR(INDEX('[AQ_2023.xlsx]原始数据'!$C:$C,MATCH($A681,'[AQ_2023.xlsx]原始数据'!$A:$A,0)),""))</f>
        <v/>
      </c>
      <c r="K681">
        <f>IF($A681="","",IFERROR(INDEX('[AQ_2024.xlsx]原始数据'!$C:$C,MATCH($A681,'[AQ_2024.xlsx]原始数据'!$A:$A,0)),""))</f>
        <v/>
      </c>
      <c r="L681">
        <f>IF($A681="","",IFERROR(INDEX('[AQ_2020.xlsx]原始数据'!$D:$D,MATCH($A681,'[AQ_2020.xlsx]原始数据'!$A:$A,0)),""))</f>
        <v/>
      </c>
      <c r="M681">
        <f>IF($A681="","",IFERROR(INDEX('[AQ_2021.xlsx]原始数据'!$D:$D,MATCH($A681,'[AQ_2021.xlsx]原始数据'!$A:$A,0)),""))</f>
        <v/>
      </c>
      <c r="N681">
        <f>IF($A681="","",IFERROR(INDEX('[AQ_2022.xlsx]原始数据'!$D:$D,MATCH($A681,'[AQ_2022.xlsx]原始数据'!$A:$A,0)),""))</f>
        <v/>
      </c>
      <c r="O681">
        <f>IF($A681="","",IFERROR(INDEX('[AQ_2023.xlsx]原始数据'!$D:$D,MATCH($A681,'[AQ_2023.xlsx]原始数据'!$A:$A,0)),""))</f>
        <v/>
      </c>
      <c r="P681">
        <f>IF($A681="","",IFERROR(INDEX('[AQ_2024.xlsx]原始数据'!$D:$D,MATCH($A681,'[AQ_2024.xlsx]原始数据'!$A:$A,0)),""))</f>
        <v/>
      </c>
      <c r="Q681">
        <f>IF($A681="","",IFERROR(INDEX('[AQ_2020.xlsx]原始数据'!$E:$E,MATCH($A681,'[AQ_2020.xlsx]原始数据'!$A:$A,0)),""))</f>
        <v/>
      </c>
      <c r="R681">
        <f>IF($A681="","",IFERROR(INDEX('[AQ_2021.xlsx]原始数据'!$E:$E,MATCH($A681,'[AQ_2021.xlsx]原始数据'!$A:$A,0)),""))</f>
        <v/>
      </c>
      <c r="S681">
        <f>IF($A681="","",IFERROR(INDEX('[AQ_2022.xlsx]原始数据'!$E:$E,MATCH($A681,'[AQ_2022.xlsx]原始数据'!$A:$A,0)),""))</f>
        <v/>
      </c>
      <c r="T681">
        <f>IF($A681="","",IFERROR(INDEX('[AQ_2023.xlsx]原始数据'!$E:$E,MATCH($A681,'[AQ_2023.xlsx]原始数据'!$A:$A,0)),""))</f>
        <v/>
      </c>
      <c r="U681">
        <f>IF($A681="","",IFERROR(INDEX('[AQ_2024.xlsx]原始数据'!$E:$E,MATCH($A681,'[AQ_2024.xlsx]原始数据'!$A:$A,0)),""))</f>
        <v/>
      </c>
      <c r="V681">
        <f>IF($A681="","",IFERROR(INDEX('[AQ_2020.xlsx]原始数据'!$F:$F,MATCH($A681,'[AQ_2020.xlsx]原始数据'!$A:$A,0)),""))</f>
        <v/>
      </c>
      <c r="W681">
        <f>IF($A681="","",IFERROR(INDEX('[AQ_2021.xlsx]原始数据'!$F:$F,MATCH($A681,'[AQ_2021.xlsx]原始数据'!$A:$A,0)),""))</f>
        <v/>
      </c>
      <c r="X681">
        <f>IF($A681="","",IFERROR(INDEX('[AQ_2022.xlsx]原始数据'!$F:$F,MATCH($A681,'[AQ_2022.xlsx]原始数据'!$A:$A,0)),""))</f>
        <v/>
      </c>
      <c r="Y681">
        <f>IF($A681="","",IFERROR(INDEX('[AQ_2023.xlsx]原始数据'!$F:$F,MATCH($A681,'[AQ_2023.xlsx]原始数据'!$A:$A,0)),""))</f>
        <v/>
      </c>
      <c r="Z681">
        <f>IF($A681="","",IFERROR(INDEX('[AQ_2024.xlsx]原始数据'!$F:$F,MATCH($A681,'[AQ_2024.xlsx]原始数据'!$A:$A,0)),""))</f>
        <v/>
      </c>
      <c r="AA681" s="2">
        <f>IFERROR(G681/B681,"")</f>
        <v/>
      </c>
      <c r="AB681" s="2">
        <f>IFERROR(H681/C681,"")</f>
        <v/>
      </c>
      <c r="AC681" s="2">
        <f>IFERROR(I681/D681,"")</f>
        <v/>
      </c>
      <c r="AD681" s="2">
        <f>IFERROR(J681/E681,"")</f>
        <v/>
      </c>
      <c r="AE681" s="2">
        <f>IFERROR(K681/F681,"")</f>
        <v/>
      </c>
      <c r="AF681" s="2">
        <f>IFERROR(L681/B681,"")</f>
        <v/>
      </c>
      <c r="AG681" s="2">
        <f>IFERROR(M681/C681,"")</f>
        <v/>
      </c>
      <c r="AH681" s="2">
        <f>IFERROR(N681/D681,"")</f>
        <v/>
      </c>
      <c r="AI681" s="2">
        <f>IFERROR(O681/E681,"")</f>
        <v/>
      </c>
      <c r="AJ681" s="2">
        <f>IFERROR(P681/F681,"")</f>
        <v/>
      </c>
      <c r="AK681" s="2">
        <f>IFERROR(Q681/B681,"")</f>
        <v/>
      </c>
      <c r="AL681" s="2">
        <f>IFERROR(R681/C681,"")</f>
        <v/>
      </c>
      <c r="AM681" s="2">
        <f>IFERROR(S681/D681,"")</f>
        <v/>
      </c>
      <c r="AN681" s="2">
        <f>IFERROR(T681/E681,"")</f>
        <v/>
      </c>
      <c r="AO681" s="2">
        <f>IFERROR(U681/F681,"")</f>
        <v/>
      </c>
    </row>
    <row r="682">
      <c r="B682">
        <f>IF($A682="","",IFERROR(INDEX('[AQ_2020.xlsx]原始数据'!$B:$B,MATCH($A682,'[AQ_2020.xlsx]原始数据'!$A:$A,0)),""))</f>
        <v/>
      </c>
      <c r="C682">
        <f>IF($A682="","",IFERROR(INDEX('[AQ_2021.xlsx]原始数据'!$B:$B,MATCH($A682,'[AQ_2021.xlsx]原始数据'!$A:$A,0)),""))</f>
        <v/>
      </c>
      <c r="D682">
        <f>IF($A682="","",IFERROR(INDEX('[AQ_2022.xlsx]原始数据'!$B:$B,MATCH($A682,'[AQ_2022.xlsx]原始数据'!$A:$A,0)),""))</f>
        <v/>
      </c>
      <c r="E682">
        <f>IF($A682="","",IFERROR(INDEX('[AQ_2023.xlsx]原始数据'!$B:$B,MATCH($A682,'[AQ_2023.xlsx]原始数据'!$A:$A,0)),""))</f>
        <v/>
      </c>
      <c r="F682">
        <f>IF($A682="","",IFERROR(INDEX('[AQ_2024.xlsx]原始数据'!$B:$B,MATCH($A682,'[AQ_2024.xlsx]原始数据'!$A:$A,0)),""))</f>
        <v/>
      </c>
      <c r="G682">
        <f>IF($A682="","",IFERROR(INDEX('[AQ_2020.xlsx]原始数据'!$C:$C,MATCH($A682,'[AQ_2020.xlsx]原始数据'!$A:$A,0)),""))</f>
        <v/>
      </c>
      <c r="H682">
        <f>IF($A682="","",IFERROR(INDEX('[AQ_2021.xlsx]原始数据'!$C:$C,MATCH($A682,'[AQ_2021.xlsx]原始数据'!$A:$A,0)),""))</f>
        <v/>
      </c>
      <c r="I682">
        <f>IF($A682="","",IFERROR(INDEX('[AQ_2022.xlsx]原始数据'!$C:$C,MATCH($A682,'[AQ_2022.xlsx]原始数据'!$A:$A,0)),""))</f>
        <v/>
      </c>
      <c r="J682">
        <f>IF($A682="","",IFERROR(INDEX('[AQ_2023.xlsx]原始数据'!$C:$C,MATCH($A682,'[AQ_2023.xlsx]原始数据'!$A:$A,0)),""))</f>
        <v/>
      </c>
      <c r="K682">
        <f>IF($A682="","",IFERROR(INDEX('[AQ_2024.xlsx]原始数据'!$C:$C,MATCH($A682,'[AQ_2024.xlsx]原始数据'!$A:$A,0)),""))</f>
        <v/>
      </c>
      <c r="L682">
        <f>IF($A682="","",IFERROR(INDEX('[AQ_2020.xlsx]原始数据'!$D:$D,MATCH($A682,'[AQ_2020.xlsx]原始数据'!$A:$A,0)),""))</f>
        <v/>
      </c>
      <c r="M682">
        <f>IF($A682="","",IFERROR(INDEX('[AQ_2021.xlsx]原始数据'!$D:$D,MATCH($A682,'[AQ_2021.xlsx]原始数据'!$A:$A,0)),""))</f>
        <v/>
      </c>
      <c r="N682">
        <f>IF($A682="","",IFERROR(INDEX('[AQ_2022.xlsx]原始数据'!$D:$D,MATCH($A682,'[AQ_2022.xlsx]原始数据'!$A:$A,0)),""))</f>
        <v/>
      </c>
      <c r="O682">
        <f>IF($A682="","",IFERROR(INDEX('[AQ_2023.xlsx]原始数据'!$D:$D,MATCH($A682,'[AQ_2023.xlsx]原始数据'!$A:$A,0)),""))</f>
        <v/>
      </c>
      <c r="P682">
        <f>IF($A682="","",IFERROR(INDEX('[AQ_2024.xlsx]原始数据'!$D:$D,MATCH($A682,'[AQ_2024.xlsx]原始数据'!$A:$A,0)),""))</f>
        <v/>
      </c>
      <c r="Q682">
        <f>IF($A682="","",IFERROR(INDEX('[AQ_2020.xlsx]原始数据'!$E:$E,MATCH($A682,'[AQ_2020.xlsx]原始数据'!$A:$A,0)),""))</f>
        <v/>
      </c>
      <c r="R682">
        <f>IF($A682="","",IFERROR(INDEX('[AQ_2021.xlsx]原始数据'!$E:$E,MATCH($A682,'[AQ_2021.xlsx]原始数据'!$A:$A,0)),""))</f>
        <v/>
      </c>
      <c r="S682">
        <f>IF($A682="","",IFERROR(INDEX('[AQ_2022.xlsx]原始数据'!$E:$E,MATCH($A682,'[AQ_2022.xlsx]原始数据'!$A:$A,0)),""))</f>
        <v/>
      </c>
      <c r="T682">
        <f>IF($A682="","",IFERROR(INDEX('[AQ_2023.xlsx]原始数据'!$E:$E,MATCH($A682,'[AQ_2023.xlsx]原始数据'!$A:$A,0)),""))</f>
        <v/>
      </c>
      <c r="U682">
        <f>IF($A682="","",IFERROR(INDEX('[AQ_2024.xlsx]原始数据'!$E:$E,MATCH($A682,'[AQ_2024.xlsx]原始数据'!$A:$A,0)),""))</f>
        <v/>
      </c>
      <c r="V682">
        <f>IF($A682="","",IFERROR(INDEX('[AQ_2020.xlsx]原始数据'!$F:$F,MATCH($A682,'[AQ_2020.xlsx]原始数据'!$A:$A,0)),""))</f>
        <v/>
      </c>
      <c r="W682">
        <f>IF($A682="","",IFERROR(INDEX('[AQ_2021.xlsx]原始数据'!$F:$F,MATCH($A682,'[AQ_2021.xlsx]原始数据'!$A:$A,0)),""))</f>
        <v/>
      </c>
      <c r="X682">
        <f>IF($A682="","",IFERROR(INDEX('[AQ_2022.xlsx]原始数据'!$F:$F,MATCH($A682,'[AQ_2022.xlsx]原始数据'!$A:$A,0)),""))</f>
        <v/>
      </c>
      <c r="Y682">
        <f>IF($A682="","",IFERROR(INDEX('[AQ_2023.xlsx]原始数据'!$F:$F,MATCH($A682,'[AQ_2023.xlsx]原始数据'!$A:$A,0)),""))</f>
        <v/>
      </c>
      <c r="Z682">
        <f>IF($A682="","",IFERROR(INDEX('[AQ_2024.xlsx]原始数据'!$F:$F,MATCH($A682,'[AQ_2024.xlsx]原始数据'!$A:$A,0)),""))</f>
        <v/>
      </c>
      <c r="AA682" s="2">
        <f>IFERROR(G682/B682,"")</f>
        <v/>
      </c>
      <c r="AB682" s="2">
        <f>IFERROR(H682/C682,"")</f>
        <v/>
      </c>
      <c r="AC682" s="2">
        <f>IFERROR(I682/D682,"")</f>
        <v/>
      </c>
      <c r="AD682" s="2">
        <f>IFERROR(J682/E682,"")</f>
        <v/>
      </c>
      <c r="AE682" s="2">
        <f>IFERROR(K682/F682,"")</f>
        <v/>
      </c>
      <c r="AF682" s="2">
        <f>IFERROR(L682/B682,"")</f>
        <v/>
      </c>
      <c r="AG682" s="2">
        <f>IFERROR(M682/C682,"")</f>
        <v/>
      </c>
      <c r="AH682" s="2">
        <f>IFERROR(N682/D682,"")</f>
        <v/>
      </c>
      <c r="AI682" s="2">
        <f>IFERROR(O682/E682,"")</f>
        <v/>
      </c>
      <c r="AJ682" s="2">
        <f>IFERROR(P682/F682,"")</f>
        <v/>
      </c>
      <c r="AK682" s="2">
        <f>IFERROR(Q682/B682,"")</f>
        <v/>
      </c>
      <c r="AL682" s="2">
        <f>IFERROR(R682/C682,"")</f>
        <v/>
      </c>
      <c r="AM682" s="2">
        <f>IFERROR(S682/D682,"")</f>
        <v/>
      </c>
      <c r="AN682" s="2">
        <f>IFERROR(T682/E682,"")</f>
        <v/>
      </c>
      <c r="AO682" s="2">
        <f>IFERROR(U682/F682,"")</f>
        <v/>
      </c>
    </row>
    <row r="683">
      <c r="B683">
        <f>IF($A683="","",IFERROR(INDEX('[AQ_2020.xlsx]原始数据'!$B:$B,MATCH($A683,'[AQ_2020.xlsx]原始数据'!$A:$A,0)),""))</f>
        <v/>
      </c>
      <c r="C683">
        <f>IF($A683="","",IFERROR(INDEX('[AQ_2021.xlsx]原始数据'!$B:$B,MATCH($A683,'[AQ_2021.xlsx]原始数据'!$A:$A,0)),""))</f>
        <v/>
      </c>
      <c r="D683">
        <f>IF($A683="","",IFERROR(INDEX('[AQ_2022.xlsx]原始数据'!$B:$B,MATCH($A683,'[AQ_2022.xlsx]原始数据'!$A:$A,0)),""))</f>
        <v/>
      </c>
      <c r="E683">
        <f>IF($A683="","",IFERROR(INDEX('[AQ_2023.xlsx]原始数据'!$B:$B,MATCH($A683,'[AQ_2023.xlsx]原始数据'!$A:$A,0)),""))</f>
        <v/>
      </c>
      <c r="F683">
        <f>IF($A683="","",IFERROR(INDEX('[AQ_2024.xlsx]原始数据'!$B:$B,MATCH($A683,'[AQ_2024.xlsx]原始数据'!$A:$A,0)),""))</f>
        <v/>
      </c>
      <c r="G683">
        <f>IF($A683="","",IFERROR(INDEX('[AQ_2020.xlsx]原始数据'!$C:$C,MATCH($A683,'[AQ_2020.xlsx]原始数据'!$A:$A,0)),""))</f>
        <v/>
      </c>
      <c r="H683">
        <f>IF($A683="","",IFERROR(INDEX('[AQ_2021.xlsx]原始数据'!$C:$C,MATCH($A683,'[AQ_2021.xlsx]原始数据'!$A:$A,0)),""))</f>
        <v/>
      </c>
      <c r="I683">
        <f>IF($A683="","",IFERROR(INDEX('[AQ_2022.xlsx]原始数据'!$C:$C,MATCH($A683,'[AQ_2022.xlsx]原始数据'!$A:$A,0)),""))</f>
        <v/>
      </c>
      <c r="J683">
        <f>IF($A683="","",IFERROR(INDEX('[AQ_2023.xlsx]原始数据'!$C:$C,MATCH($A683,'[AQ_2023.xlsx]原始数据'!$A:$A,0)),""))</f>
        <v/>
      </c>
      <c r="K683">
        <f>IF($A683="","",IFERROR(INDEX('[AQ_2024.xlsx]原始数据'!$C:$C,MATCH($A683,'[AQ_2024.xlsx]原始数据'!$A:$A,0)),""))</f>
        <v/>
      </c>
      <c r="L683">
        <f>IF($A683="","",IFERROR(INDEX('[AQ_2020.xlsx]原始数据'!$D:$D,MATCH($A683,'[AQ_2020.xlsx]原始数据'!$A:$A,0)),""))</f>
        <v/>
      </c>
      <c r="M683">
        <f>IF($A683="","",IFERROR(INDEX('[AQ_2021.xlsx]原始数据'!$D:$D,MATCH($A683,'[AQ_2021.xlsx]原始数据'!$A:$A,0)),""))</f>
        <v/>
      </c>
      <c r="N683">
        <f>IF($A683="","",IFERROR(INDEX('[AQ_2022.xlsx]原始数据'!$D:$D,MATCH($A683,'[AQ_2022.xlsx]原始数据'!$A:$A,0)),""))</f>
        <v/>
      </c>
      <c r="O683">
        <f>IF($A683="","",IFERROR(INDEX('[AQ_2023.xlsx]原始数据'!$D:$D,MATCH($A683,'[AQ_2023.xlsx]原始数据'!$A:$A,0)),""))</f>
        <v/>
      </c>
      <c r="P683">
        <f>IF($A683="","",IFERROR(INDEX('[AQ_2024.xlsx]原始数据'!$D:$D,MATCH($A683,'[AQ_2024.xlsx]原始数据'!$A:$A,0)),""))</f>
        <v/>
      </c>
      <c r="Q683">
        <f>IF($A683="","",IFERROR(INDEX('[AQ_2020.xlsx]原始数据'!$E:$E,MATCH($A683,'[AQ_2020.xlsx]原始数据'!$A:$A,0)),""))</f>
        <v/>
      </c>
      <c r="R683">
        <f>IF($A683="","",IFERROR(INDEX('[AQ_2021.xlsx]原始数据'!$E:$E,MATCH($A683,'[AQ_2021.xlsx]原始数据'!$A:$A,0)),""))</f>
        <v/>
      </c>
      <c r="S683">
        <f>IF($A683="","",IFERROR(INDEX('[AQ_2022.xlsx]原始数据'!$E:$E,MATCH($A683,'[AQ_2022.xlsx]原始数据'!$A:$A,0)),""))</f>
        <v/>
      </c>
      <c r="T683">
        <f>IF($A683="","",IFERROR(INDEX('[AQ_2023.xlsx]原始数据'!$E:$E,MATCH($A683,'[AQ_2023.xlsx]原始数据'!$A:$A,0)),""))</f>
        <v/>
      </c>
      <c r="U683">
        <f>IF($A683="","",IFERROR(INDEX('[AQ_2024.xlsx]原始数据'!$E:$E,MATCH($A683,'[AQ_2024.xlsx]原始数据'!$A:$A,0)),""))</f>
        <v/>
      </c>
      <c r="V683">
        <f>IF($A683="","",IFERROR(INDEX('[AQ_2020.xlsx]原始数据'!$F:$F,MATCH($A683,'[AQ_2020.xlsx]原始数据'!$A:$A,0)),""))</f>
        <v/>
      </c>
      <c r="W683">
        <f>IF($A683="","",IFERROR(INDEX('[AQ_2021.xlsx]原始数据'!$F:$F,MATCH($A683,'[AQ_2021.xlsx]原始数据'!$A:$A,0)),""))</f>
        <v/>
      </c>
      <c r="X683">
        <f>IF($A683="","",IFERROR(INDEX('[AQ_2022.xlsx]原始数据'!$F:$F,MATCH($A683,'[AQ_2022.xlsx]原始数据'!$A:$A,0)),""))</f>
        <v/>
      </c>
      <c r="Y683">
        <f>IF($A683="","",IFERROR(INDEX('[AQ_2023.xlsx]原始数据'!$F:$F,MATCH($A683,'[AQ_2023.xlsx]原始数据'!$A:$A,0)),""))</f>
        <v/>
      </c>
      <c r="Z683">
        <f>IF($A683="","",IFERROR(INDEX('[AQ_2024.xlsx]原始数据'!$F:$F,MATCH($A683,'[AQ_2024.xlsx]原始数据'!$A:$A,0)),""))</f>
        <v/>
      </c>
      <c r="AA683" s="2">
        <f>IFERROR(G683/B683,"")</f>
        <v/>
      </c>
      <c r="AB683" s="2">
        <f>IFERROR(H683/C683,"")</f>
        <v/>
      </c>
      <c r="AC683" s="2">
        <f>IFERROR(I683/D683,"")</f>
        <v/>
      </c>
      <c r="AD683" s="2">
        <f>IFERROR(J683/E683,"")</f>
        <v/>
      </c>
      <c r="AE683" s="2">
        <f>IFERROR(K683/F683,"")</f>
        <v/>
      </c>
      <c r="AF683" s="2">
        <f>IFERROR(L683/B683,"")</f>
        <v/>
      </c>
      <c r="AG683" s="2">
        <f>IFERROR(M683/C683,"")</f>
        <v/>
      </c>
      <c r="AH683" s="2">
        <f>IFERROR(N683/D683,"")</f>
        <v/>
      </c>
      <c r="AI683" s="2">
        <f>IFERROR(O683/E683,"")</f>
        <v/>
      </c>
      <c r="AJ683" s="2">
        <f>IFERROR(P683/F683,"")</f>
        <v/>
      </c>
      <c r="AK683" s="2">
        <f>IFERROR(Q683/B683,"")</f>
        <v/>
      </c>
      <c r="AL683" s="2">
        <f>IFERROR(R683/C683,"")</f>
        <v/>
      </c>
      <c r="AM683" s="2">
        <f>IFERROR(S683/D683,"")</f>
        <v/>
      </c>
      <c r="AN683" s="2">
        <f>IFERROR(T683/E683,"")</f>
        <v/>
      </c>
      <c r="AO683" s="2">
        <f>IFERROR(U683/F683,"")</f>
        <v/>
      </c>
    </row>
    <row r="684">
      <c r="B684">
        <f>IF($A684="","",IFERROR(INDEX('[AQ_2020.xlsx]原始数据'!$B:$B,MATCH($A684,'[AQ_2020.xlsx]原始数据'!$A:$A,0)),""))</f>
        <v/>
      </c>
      <c r="C684">
        <f>IF($A684="","",IFERROR(INDEX('[AQ_2021.xlsx]原始数据'!$B:$B,MATCH($A684,'[AQ_2021.xlsx]原始数据'!$A:$A,0)),""))</f>
        <v/>
      </c>
      <c r="D684">
        <f>IF($A684="","",IFERROR(INDEX('[AQ_2022.xlsx]原始数据'!$B:$B,MATCH($A684,'[AQ_2022.xlsx]原始数据'!$A:$A,0)),""))</f>
        <v/>
      </c>
      <c r="E684">
        <f>IF($A684="","",IFERROR(INDEX('[AQ_2023.xlsx]原始数据'!$B:$B,MATCH($A684,'[AQ_2023.xlsx]原始数据'!$A:$A,0)),""))</f>
        <v/>
      </c>
      <c r="F684">
        <f>IF($A684="","",IFERROR(INDEX('[AQ_2024.xlsx]原始数据'!$B:$B,MATCH($A684,'[AQ_2024.xlsx]原始数据'!$A:$A,0)),""))</f>
        <v/>
      </c>
      <c r="G684">
        <f>IF($A684="","",IFERROR(INDEX('[AQ_2020.xlsx]原始数据'!$C:$C,MATCH($A684,'[AQ_2020.xlsx]原始数据'!$A:$A,0)),""))</f>
        <v/>
      </c>
      <c r="H684">
        <f>IF($A684="","",IFERROR(INDEX('[AQ_2021.xlsx]原始数据'!$C:$C,MATCH($A684,'[AQ_2021.xlsx]原始数据'!$A:$A,0)),""))</f>
        <v/>
      </c>
      <c r="I684">
        <f>IF($A684="","",IFERROR(INDEX('[AQ_2022.xlsx]原始数据'!$C:$C,MATCH($A684,'[AQ_2022.xlsx]原始数据'!$A:$A,0)),""))</f>
        <v/>
      </c>
      <c r="J684">
        <f>IF($A684="","",IFERROR(INDEX('[AQ_2023.xlsx]原始数据'!$C:$C,MATCH($A684,'[AQ_2023.xlsx]原始数据'!$A:$A,0)),""))</f>
        <v/>
      </c>
      <c r="K684">
        <f>IF($A684="","",IFERROR(INDEX('[AQ_2024.xlsx]原始数据'!$C:$C,MATCH($A684,'[AQ_2024.xlsx]原始数据'!$A:$A,0)),""))</f>
        <v/>
      </c>
      <c r="L684">
        <f>IF($A684="","",IFERROR(INDEX('[AQ_2020.xlsx]原始数据'!$D:$D,MATCH($A684,'[AQ_2020.xlsx]原始数据'!$A:$A,0)),""))</f>
        <v/>
      </c>
      <c r="M684">
        <f>IF($A684="","",IFERROR(INDEX('[AQ_2021.xlsx]原始数据'!$D:$D,MATCH($A684,'[AQ_2021.xlsx]原始数据'!$A:$A,0)),""))</f>
        <v/>
      </c>
      <c r="N684">
        <f>IF($A684="","",IFERROR(INDEX('[AQ_2022.xlsx]原始数据'!$D:$D,MATCH($A684,'[AQ_2022.xlsx]原始数据'!$A:$A,0)),""))</f>
        <v/>
      </c>
      <c r="O684">
        <f>IF($A684="","",IFERROR(INDEX('[AQ_2023.xlsx]原始数据'!$D:$D,MATCH($A684,'[AQ_2023.xlsx]原始数据'!$A:$A,0)),""))</f>
        <v/>
      </c>
      <c r="P684">
        <f>IF($A684="","",IFERROR(INDEX('[AQ_2024.xlsx]原始数据'!$D:$D,MATCH($A684,'[AQ_2024.xlsx]原始数据'!$A:$A,0)),""))</f>
        <v/>
      </c>
      <c r="Q684">
        <f>IF($A684="","",IFERROR(INDEX('[AQ_2020.xlsx]原始数据'!$E:$E,MATCH($A684,'[AQ_2020.xlsx]原始数据'!$A:$A,0)),""))</f>
        <v/>
      </c>
      <c r="R684">
        <f>IF($A684="","",IFERROR(INDEX('[AQ_2021.xlsx]原始数据'!$E:$E,MATCH($A684,'[AQ_2021.xlsx]原始数据'!$A:$A,0)),""))</f>
        <v/>
      </c>
      <c r="S684">
        <f>IF($A684="","",IFERROR(INDEX('[AQ_2022.xlsx]原始数据'!$E:$E,MATCH($A684,'[AQ_2022.xlsx]原始数据'!$A:$A,0)),""))</f>
        <v/>
      </c>
      <c r="T684">
        <f>IF($A684="","",IFERROR(INDEX('[AQ_2023.xlsx]原始数据'!$E:$E,MATCH($A684,'[AQ_2023.xlsx]原始数据'!$A:$A,0)),""))</f>
        <v/>
      </c>
      <c r="U684">
        <f>IF($A684="","",IFERROR(INDEX('[AQ_2024.xlsx]原始数据'!$E:$E,MATCH($A684,'[AQ_2024.xlsx]原始数据'!$A:$A,0)),""))</f>
        <v/>
      </c>
      <c r="V684">
        <f>IF($A684="","",IFERROR(INDEX('[AQ_2020.xlsx]原始数据'!$F:$F,MATCH($A684,'[AQ_2020.xlsx]原始数据'!$A:$A,0)),""))</f>
        <v/>
      </c>
      <c r="W684">
        <f>IF($A684="","",IFERROR(INDEX('[AQ_2021.xlsx]原始数据'!$F:$F,MATCH($A684,'[AQ_2021.xlsx]原始数据'!$A:$A,0)),""))</f>
        <v/>
      </c>
      <c r="X684">
        <f>IF($A684="","",IFERROR(INDEX('[AQ_2022.xlsx]原始数据'!$F:$F,MATCH($A684,'[AQ_2022.xlsx]原始数据'!$A:$A,0)),""))</f>
        <v/>
      </c>
      <c r="Y684">
        <f>IF($A684="","",IFERROR(INDEX('[AQ_2023.xlsx]原始数据'!$F:$F,MATCH($A684,'[AQ_2023.xlsx]原始数据'!$A:$A,0)),""))</f>
        <v/>
      </c>
      <c r="Z684">
        <f>IF($A684="","",IFERROR(INDEX('[AQ_2024.xlsx]原始数据'!$F:$F,MATCH($A684,'[AQ_2024.xlsx]原始数据'!$A:$A,0)),""))</f>
        <v/>
      </c>
      <c r="AA684" s="2">
        <f>IFERROR(G684/B684,"")</f>
        <v/>
      </c>
      <c r="AB684" s="2">
        <f>IFERROR(H684/C684,"")</f>
        <v/>
      </c>
      <c r="AC684" s="2">
        <f>IFERROR(I684/D684,"")</f>
        <v/>
      </c>
      <c r="AD684" s="2">
        <f>IFERROR(J684/E684,"")</f>
        <v/>
      </c>
      <c r="AE684" s="2">
        <f>IFERROR(K684/F684,"")</f>
        <v/>
      </c>
      <c r="AF684" s="2">
        <f>IFERROR(L684/B684,"")</f>
        <v/>
      </c>
      <c r="AG684" s="2">
        <f>IFERROR(M684/C684,"")</f>
        <v/>
      </c>
      <c r="AH684" s="2">
        <f>IFERROR(N684/D684,"")</f>
        <v/>
      </c>
      <c r="AI684" s="2">
        <f>IFERROR(O684/E684,"")</f>
        <v/>
      </c>
      <c r="AJ684" s="2">
        <f>IFERROR(P684/F684,"")</f>
        <v/>
      </c>
      <c r="AK684" s="2">
        <f>IFERROR(Q684/B684,"")</f>
        <v/>
      </c>
      <c r="AL684" s="2">
        <f>IFERROR(R684/C684,"")</f>
        <v/>
      </c>
      <c r="AM684" s="2">
        <f>IFERROR(S684/D684,"")</f>
        <v/>
      </c>
      <c r="AN684" s="2">
        <f>IFERROR(T684/E684,"")</f>
        <v/>
      </c>
      <c r="AO684" s="2">
        <f>IFERROR(U684/F684,"")</f>
        <v/>
      </c>
    </row>
    <row r="685">
      <c r="B685">
        <f>IF($A685="","",IFERROR(INDEX('[AQ_2020.xlsx]原始数据'!$B:$B,MATCH($A685,'[AQ_2020.xlsx]原始数据'!$A:$A,0)),""))</f>
        <v/>
      </c>
      <c r="C685">
        <f>IF($A685="","",IFERROR(INDEX('[AQ_2021.xlsx]原始数据'!$B:$B,MATCH($A685,'[AQ_2021.xlsx]原始数据'!$A:$A,0)),""))</f>
        <v/>
      </c>
      <c r="D685">
        <f>IF($A685="","",IFERROR(INDEX('[AQ_2022.xlsx]原始数据'!$B:$B,MATCH($A685,'[AQ_2022.xlsx]原始数据'!$A:$A,0)),""))</f>
        <v/>
      </c>
      <c r="E685">
        <f>IF($A685="","",IFERROR(INDEX('[AQ_2023.xlsx]原始数据'!$B:$B,MATCH($A685,'[AQ_2023.xlsx]原始数据'!$A:$A,0)),""))</f>
        <v/>
      </c>
      <c r="F685">
        <f>IF($A685="","",IFERROR(INDEX('[AQ_2024.xlsx]原始数据'!$B:$B,MATCH($A685,'[AQ_2024.xlsx]原始数据'!$A:$A,0)),""))</f>
        <v/>
      </c>
      <c r="G685">
        <f>IF($A685="","",IFERROR(INDEX('[AQ_2020.xlsx]原始数据'!$C:$C,MATCH($A685,'[AQ_2020.xlsx]原始数据'!$A:$A,0)),""))</f>
        <v/>
      </c>
      <c r="H685">
        <f>IF($A685="","",IFERROR(INDEX('[AQ_2021.xlsx]原始数据'!$C:$C,MATCH($A685,'[AQ_2021.xlsx]原始数据'!$A:$A,0)),""))</f>
        <v/>
      </c>
      <c r="I685">
        <f>IF($A685="","",IFERROR(INDEX('[AQ_2022.xlsx]原始数据'!$C:$C,MATCH($A685,'[AQ_2022.xlsx]原始数据'!$A:$A,0)),""))</f>
        <v/>
      </c>
      <c r="J685">
        <f>IF($A685="","",IFERROR(INDEX('[AQ_2023.xlsx]原始数据'!$C:$C,MATCH($A685,'[AQ_2023.xlsx]原始数据'!$A:$A,0)),""))</f>
        <v/>
      </c>
      <c r="K685">
        <f>IF($A685="","",IFERROR(INDEX('[AQ_2024.xlsx]原始数据'!$C:$C,MATCH($A685,'[AQ_2024.xlsx]原始数据'!$A:$A,0)),""))</f>
        <v/>
      </c>
      <c r="L685">
        <f>IF($A685="","",IFERROR(INDEX('[AQ_2020.xlsx]原始数据'!$D:$D,MATCH($A685,'[AQ_2020.xlsx]原始数据'!$A:$A,0)),""))</f>
        <v/>
      </c>
      <c r="M685">
        <f>IF($A685="","",IFERROR(INDEX('[AQ_2021.xlsx]原始数据'!$D:$D,MATCH($A685,'[AQ_2021.xlsx]原始数据'!$A:$A,0)),""))</f>
        <v/>
      </c>
      <c r="N685">
        <f>IF($A685="","",IFERROR(INDEX('[AQ_2022.xlsx]原始数据'!$D:$D,MATCH($A685,'[AQ_2022.xlsx]原始数据'!$A:$A,0)),""))</f>
        <v/>
      </c>
      <c r="O685">
        <f>IF($A685="","",IFERROR(INDEX('[AQ_2023.xlsx]原始数据'!$D:$D,MATCH($A685,'[AQ_2023.xlsx]原始数据'!$A:$A,0)),""))</f>
        <v/>
      </c>
      <c r="P685">
        <f>IF($A685="","",IFERROR(INDEX('[AQ_2024.xlsx]原始数据'!$D:$D,MATCH($A685,'[AQ_2024.xlsx]原始数据'!$A:$A,0)),""))</f>
        <v/>
      </c>
      <c r="Q685">
        <f>IF($A685="","",IFERROR(INDEX('[AQ_2020.xlsx]原始数据'!$E:$E,MATCH($A685,'[AQ_2020.xlsx]原始数据'!$A:$A,0)),""))</f>
        <v/>
      </c>
      <c r="R685">
        <f>IF($A685="","",IFERROR(INDEX('[AQ_2021.xlsx]原始数据'!$E:$E,MATCH($A685,'[AQ_2021.xlsx]原始数据'!$A:$A,0)),""))</f>
        <v/>
      </c>
      <c r="S685">
        <f>IF($A685="","",IFERROR(INDEX('[AQ_2022.xlsx]原始数据'!$E:$E,MATCH($A685,'[AQ_2022.xlsx]原始数据'!$A:$A,0)),""))</f>
        <v/>
      </c>
      <c r="T685">
        <f>IF($A685="","",IFERROR(INDEX('[AQ_2023.xlsx]原始数据'!$E:$E,MATCH($A685,'[AQ_2023.xlsx]原始数据'!$A:$A,0)),""))</f>
        <v/>
      </c>
      <c r="U685">
        <f>IF($A685="","",IFERROR(INDEX('[AQ_2024.xlsx]原始数据'!$E:$E,MATCH($A685,'[AQ_2024.xlsx]原始数据'!$A:$A,0)),""))</f>
        <v/>
      </c>
      <c r="V685">
        <f>IF($A685="","",IFERROR(INDEX('[AQ_2020.xlsx]原始数据'!$F:$F,MATCH($A685,'[AQ_2020.xlsx]原始数据'!$A:$A,0)),""))</f>
        <v/>
      </c>
      <c r="W685">
        <f>IF($A685="","",IFERROR(INDEX('[AQ_2021.xlsx]原始数据'!$F:$F,MATCH($A685,'[AQ_2021.xlsx]原始数据'!$A:$A,0)),""))</f>
        <v/>
      </c>
      <c r="X685">
        <f>IF($A685="","",IFERROR(INDEX('[AQ_2022.xlsx]原始数据'!$F:$F,MATCH($A685,'[AQ_2022.xlsx]原始数据'!$A:$A,0)),""))</f>
        <v/>
      </c>
      <c r="Y685">
        <f>IF($A685="","",IFERROR(INDEX('[AQ_2023.xlsx]原始数据'!$F:$F,MATCH($A685,'[AQ_2023.xlsx]原始数据'!$A:$A,0)),""))</f>
        <v/>
      </c>
      <c r="Z685">
        <f>IF($A685="","",IFERROR(INDEX('[AQ_2024.xlsx]原始数据'!$F:$F,MATCH($A685,'[AQ_2024.xlsx]原始数据'!$A:$A,0)),""))</f>
        <v/>
      </c>
      <c r="AA685" s="2">
        <f>IFERROR(G685/B685,"")</f>
        <v/>
      </c>
      <c r="AB685" s="2">
        <f>IFERROR(H685/C685,"")</f>
        <v/>
      </c>
      <c r="AC685" s="2">
        <f>IFERROR(I685/D685,"")</f>
        <v/>
      </c>
      <c r="AD685" s="2">
        <f>IFERROR(J685/E685,"")</f>
        <v/>
      </c>
      <c r="AE685" s="2">
        <f>IFERROR(K685/F685,"")</f>
        <v/>
      </c>
      <c r="AF685" s="2">
        <f>IFERROR(L685/B685,"")</f>
        <v/>
      </c>
      <c r="AG685" s="2">
        <f>IFERROR(M685/C685,"")</f>
        <v/>
      </c>
      <c r="AH685" s="2">
        <f>IFERROR(N685/D685,"")</f>
        <v/>
      </c>
      <c r="AI685" s="2">
        <f>IFERROR(O685/E685,"")</f>
        <v/>
      </c>
      <c r="AJ685" s="2">
        <f>IFERROR(P685/F685,"")</f>
        <v/>
      </c>
      <c r="AK685" s="2">
        <f>IFERROR(Q685/B685,"")</f>
        <v/>
      </c>
      <c r="AL685" s="2">
        <f>IFERROR(R685/C685,"")</f>
        <v/>
      </c>
      <c r="AM685" s="2">
        <f>IFERROR(S685/D685,"")</f>
        <v/>
      </c>
      <c r="AN685" s="2">
        <f>IFERROR(T685/E685,"")</f>
        <v/>
      </c>
      <c r="AO685" s="2">
        <f>IFERROR(U685/F685,"")</f>
        <v/>
      </c>
    </row>
    <row r="686">
      <c r="B686">
        <f>IF($A686="","",IFERROR(INDEX('[AQ_2020.xlsx]原始数据'!$B:$B,MATCH($A686,'[AQ_2020.xlsx]原始数据'!$A:$A,0)),""))</f>
        <v/>
      </c>
      <c r="C686">
        <f>IF($A686="","",IFERROR(INDEX('[AQ_2021.xlsx]原始数据'!$B:$B,MATCH($A686,'[AQ_2021.xlsx]原始数据'!$A:$A,0)),""))</f>
        <v/>
      </c>
      <c r="D686">
        <f>IF($A686="","",IFERROR(INDEX('[AQ_2022.xlsx]原始数据'!$B:$B,MATCH($A686,'[AQ_2022.xlsx]原始数据'!$A:$A,0)),""))</f>
        <v/>
      </c>
      <c r="E686">
        <f>IF($A686="","",IFERROR(INDEX('[AQ_2023.xlsx]原始数据'!$B:$B,MATCH($A686,'[AQ_2023.xlsx]原始数据'!$A:$A,0)),""))</f>
        <v/>
      </c>
      <c r="F686">
        <f>IF($A686="","",IFERROR(INDEX('[AQ_2024.xlsx]原始数据'!$B:$B,MATCH($A686,'[AQ_2024.xlsx]原始数据'!$A:$A,0)),""))</f>
        <v/>
      </c>
      <c r="G686">
        <f>IF($A686="","",IFERROR(INDEX('[AQ_2020.xlsx]原始数据'!$C:$C,MATCH($A686,'[AQ_2020.xlsx]原始数据'!$A:$A,0)),""))</f>
        <v/>
      </c>
      <c r="H686">
        <f>IF($A686="","",IFERROR(INDEX('[AQ_2021.xlsx]原始数据'!$C:$C,MATCH($A686,'[AQ_2021.xlsx]原始数据'!$A:$A,0)),""))</f>
        <v/>
      </c>
      <c r="I686">
        <f>IF($A686="","",IFERROR(INDEX('[AQ_2022.xlsx]原始数据'!$C:$C,MATCH($A686,'[AQ_2022.xlsx]原始数据'!$A:$A,0)),""))</f>
        <v/>
      </c>
      <c r="J686">
        <f>IF($A686="","",IFERROR(INDEX('[AQ_2023.xlsx]原始数据'!$C:$C,MATCH($A686,'[AQ_2023.xlsx]原始数据'!$A:$A,0)),""))</f>
        <v/>
      </c>
      <c r="K686">
        <f>IF($A686="","",IFERROR(INDEX('[AQ_2024.xlsx]原始数据'!$C:$C,MATCH($A686,'[AQ_2024.xlsx]原始数据'!$A:$A,0)),""))</f>
        <v/>
      </c>
      <c r="L686">
        <f>IF($A686="","",IFERROR(INDEX('[AQ_2020.xlsx]原始数据'!$D:$D,MATCH($A686,'[AQ_2020.xlsx]原始数据'!$A:$A,0)),""))</f>
        <v/>
      </c>
      <c r="M686">
        <f>IF($A686="","",IFERROR(INDEX('[AQ_2021.xlsx]原始数据'!$D:$D,MATCH($A686,'[AQ_2021.xlsx]原始数据'!$A:$A,0)),""))</f>
        <v/>
      </c>
      <c r="N686">
        <f>IF($A686="","",IFERROR(INDEX('[AQ_2022.xlsx]原始数据'!$D:$D,MATCH($A686,'[AQ_2022.xlsx]原始数据'!$A:$A,0)),""))</f>
        <v/>
      </c>
      <c r="O686">
        <f>IF($A686="","",IFERROR(INDEX('[AQ_2023.xlsx]原始数据'!$D:$D,MATCH($A686,'[AQ_2023.xlsx]原始数据'!$A:$A,0)),""))</f>
        <v/>
      </c>
      <c r="P686">
        <f>IF($A686="","",IFERROR(INDEX('[AQ_2024.xlsx]原始数据'!$D:$D,MATCH($A686,'[AQ_2024.xlsx]原始数据'!$A:$A,0)),""))</f>
        <v/>
      </c>
      <c r="Q686">
        <f>IF($A686="","",IFERROR(INDEX('[AQ_2020.xlsx]原始数据'!$E:$E,MATCH($A686,'[AQ_2020.xlsx]原始数据'!$A:$A,0)),""))</f>
        <v/>
      </c>
      <c r="R686">
        <f>IF($A686="","",IFERROR(INDEX('[AQ_2021.xlsx]原始数据'!$E:$E,MATCH($A686,'[AQ_2021.xlsx]原始数据'!$A:$A,0)),""))</f>
        <v/>
      </c>
      <c r="S686">
        <f>IF($A686="","",IFERROR(INDEX('[AQ_2022.xlsx]原始数据'!$E:$E,MATCH($A686,'[AQ_2022.xlsx]原始数据'!$A:$A,0)),""))</f>
        <v/>
      </c>
      <c r="T686">
        <f>IF($A686="","",IFERROR(INDEX('[AQ_2023.xlsx]原始数据'!$E:$E,MATCH($A686,'[AQ_2023.xlsx]原始数据'!$A:$A,0)),""))</f>
        <v/>
      </c>
      <c r="U686">
        <f>IF($A686="","",IFERROR(INDEX('[AQ_2024.xlsx]原始数据'!$E:$E,MATCH($A686,'[AQ_2024.xlsx]原始数据'!$A:$A,0)),""))</f>
        <v/>
      </c>
      <c r="V686">
        <f>IF($A686="","",IFERROR(INDEX('[AQ_2020.xlsx]原始数据'!$F:$F,MATCH($A686,'[AQ_2020.xlsx]原始数据'!$A:$A,0)),""))</f>
        <v/>
      </c>
      <c r="W686">
        <f>IF($A686="","",IFERROR(INDEX('[AQ_2021.xlsx]原始数据'!$F:$F,MATCH($A686,'[AQ_2021.xlsx]原始数据'!$A:$A,0)),""))</f>
        <v/>
      </c>
      <c r="X686">
        <f>IF($A686="","",IFERROR(INDEX('[AQ_2022.xlsx]原始数据'!$F:$F,MATCH($A686,'[AQ_2022.xlsx]原始数据'!$A:$A,0)),""))</f>
        <v/>
      </c>
      <c r="Y686">
        <f>IF($A686="","",IFERROR(INDEX('[AQ_2023.xlsx]原始数据'!$F:$F,MATCH($A686,'[AQ_2023.xlsx]原始数据'!$A:$A,0)),""))</f>
        <v/>
      </c>
      <c r="Z686">
        <f>IF($A686="","",IFERROR(INDEX('[AQ_2024.xlsx]原始数据'!$F:$F,MATCH($A686,'[AQ_2024.xlsx]原始数据'!$A:$A,0)),""))</f>
        <v/>
      </c>
      <c r="AA686" s="2">
        <f>IFERROR(G686/B686,"")</f>
        <v/>
      </c>
      <c r="AB686" s="2">
        <f>IFERROR(H686/C686,"")</f>
        <v/>
      </c>
      <c r="AC686" s="2">
        <f>IFERROR(I686/D686,"")</f>
        <v/>
      </c>
      <c r="AD686" s="2">
        <f>IFERROR(J686/E686,"")</f>
        <v/>
      </c>
      <c r="AE686" s="2">
        <f>IFERROR(K686/F686,"")</f>
        <v/>
      </c>
      <c r="AF686" s="2">
        <f>IFERROR(L686/B686,"")</f>
        <v/>
      </c>
      <c r="AG686" s="2">
        <f>IFERROR(M686/C686,"")</f>
        <v/>
      </c>
      <c r="AH686" s="2">
        <f>IFERROR(N686/D686,"")</f>
        <v/>
      </c>
      <c r="AI686" s="2">
        <f>IFERROR(O686/E686,"")</f>
        <v/>
      </c>
      <c r="AJ686" s="2">
        <f>IFERROR(P686/F686,"")</f>
        <v/>
      </c>
      <c r="AK686" s="2">
        <f>IFERROR(Q686/B686,"")</f>
        <v/>
      </c>
      <c r="AL686" s="2">
        <f>IFERROR(R686/C686,"")</f>
        <v/>
      </c>
      <c r="AM686" s="2">
        <f>IFERROR(S686/D686,"")</f>
        <v/>
      </c>
      <c r="AN686" s="2">
        <f>IFERROR(T686/E686,"")</f>
        <v/>
      </c>
      <c r="AO686" s="2">
        <f>IFERROR(U686/F686,"")</f>
        <v/>
      </c>
    </row>
    <row r="687">
      <c r="B687">
        <f>IF($A687="","",IFERROR(INDEX('[AQ_2020.xlsx]原始数据'!$B:$B,MATCH($A687,'[AQ_2020.xlsx]原始数据'!$A:$A,0)),""))</f>
        <v/>
      </c>
      <c r="C687">
        <f>IF($A687="","",IFERROR(INDEX('[AQ_2021.xlsx]原始数据'!$B:$B,MATCH($A687,'[AQ_2021.xlsx]原始数据'!$A:$A,0)),""))</f>
        <v/>
      </c>
      <c r="D687">
        <f>IF($A687="","",IFERROR(INDEX('[AQ_2022.xlsx]原始数据'!$B:$B,MATCH($A687,'[AQ_2022.xlsx]原始数据'!$A:$A,0)),""))</f>
        <v/>
      </c>
      <c r="E687">
        <f>IF($A687="","",IFERROR(INDEX('[AQ_2023.xlsx]原始数据'!$B:$B,MATCH($A687,'[AQ_2023.xlsx]原始数据'!$A:$A,0)),""))</f>
        <v/>
      </c>
      <c r="F687">
        <f>IF($A687="","",IFERROR(INDEX('[AQ_2024.xlsx]原始数据'!$B:$B,MATCH($A687,'[AQ_2024.xlsx]原始数据'!$A:$A,0)),""))</f>
        <v/>
      </c>
      <c r="G687">
        <f>IF($A687="","",IFERROR(INDEX('[AQ_2020.xlsx]原始数据'!$C:$C,MATCH($A687,'[AQ_2020.xlsx]原始数据'!$A:$A,0)),""))</f>
        <v/>
      </c>
      <c r="H687">
        <f>IF($A687="","",IFERROR(INDEX('[AQ_2021.xlsx]原始数据'!$C:$C,MATCH($A687,'[AQ_2021.xlsx]原始数据'!$A:$A,0)),""))</f>
        <v/>
      </c>
      <c r="I687">
        <f>IF($A687="","",IFERROR(INDEX('[AQ_2022.xlsx]原始数据'!$C:$C,MATCH($A687,'[AQ_2022.xlsx]原始数据'!$A:$A,0)),""))</f>
        <v/>
      </c>
      <c r="J687">
        <f>IF($A687="","",IFERROR(INDEX('[AQ_2023.xlsx]原始数据'!$C:$C,MATCH($A687,'[AQ_2023.xlsx]原始数据'!$A:$A,0)),""))</f>
        <v/>
      </c>
      <c r="K687">
        <f>IF($A687="","",IFERROR(INDEX('[AQ_2024.xlsx]原始数据'!$C:$C,MATCH($A687,'[AQ_2024.xlsx]原始数据'!$A:$A,0)),""))</f>
        <v/>
      </c>
      <c r="L687">
        <f>IF($A687="","",IFERROR(INDEX('[AQ_2020.xlsx]原始数据'!$D:$D,MATCH($A687,'[AQ_2020.xlsx]原始数据'!$A:$A,0)),""))</f>
        <v/>
      </c>
      <c r="M687">
        <f>IF($A687="","",IFERROR(INDEX('[AQ_2021.xlsx]原始数据'!$D:$D,MATCH($A687,'[AQ_2021.xlsx]原始数据'!$A:$A,0)),""))</f>
        <v/>
      </c>
      <c r="N687">
        <f>IF($A687="","",IFERROR(INDEX('[AQ_2022.xlsx]原始数据'!$D:$D,MATCH($A687,'[AQ_2022.xlsx]原始数据'!$A:$A,0)),""))</f>
        <v/>
      </c>
      <c r="O687">
        <f>IF($A687="","",IFERROR(INDEX('[AQ_2023.xlsx]原始数据'!$D:$D,MATCH($A687,'[AQ_2023.xlsx]原始数据'!$A:$A,0)),""))</f>
        <v/>
      </c>
      <c r="P687">
        <f>IF($A687="","",IFERROR(INDEX('[AQ_2024.xlsx]原始数据'!$D:$D,MATCH($A687,'[AQ_2024.xlsx]原始数据'!$A:$A,0)),""))</f>
        <v/>
      </c>
      <c r="Q687">
        <f>IF($A687="","",IFERROR(INDEX('[AQ_2020.xlsx]原始数据'!$E:$E,MATCH($A687,'[AQ_2020.xlsx]原始数据'!$A:$A,0)),""))</f>
        <v/>
      </c>
      <c r="R687">
        <f>IF($A687="","",IFERROR(INDEX('[AQ_2021.xlsx]原始数据'!$E:$E,MATCH($A687,'[AQ_2021.xlsx]原始数据'!$A:$A,0)),""))</f>
        <v/>
      </c>
      <c r="S687">
        <f>IF($A687="","",IFERROR(INDEX('[AQ_2022.xlsx]原始数据'!$E:$E,MATCH($A687,'[AQ_2022.xlsx]原始数据'!$A:$A,0)),""))</f>
        <v/>
      </c>
      <c r="T687">
        <f>IF($A687="","",IFERROR(INDEX('[AQ_2023.xlsx]原始数据'!$E:$E,MATCH($A687,'[AQ_2023.xlsx]原始数据'!$A:$A,0)),""))</f>
        <v/>
      </c>
      <c r="U687">
        <f>IF($A687="","",IFERROR(INDEX('[AQ_2024.xlsx]原始数据'!$E:$E,MATCH($A687,'[AQ_2024.xlsx]原始数据'!$A:$A,0)),""))</f>
        <v/>
      </c>
      <c r="V687">
        <f>IF($A687="","",IFERROR(INDEX('[AQ_2020.xlsx]原始数据'!$F:$F,MATCH($A687,'[AQ_2020.xlsx]原始数据'!$A:$A,0)),""))</f>
        <v/>
      </c>
      <c r="W687">
        <f>IF($A687="","",IFERROR(INDEX('[AQ_2021.xlsx]原始数据'!$F:$F,MATCH($A687,'[AQ_2021.xlsx]原始数据'!$A:$A,0)),""))</f>
        <v/>
      </c>
      <c r="X687">
        <f>IF($A687="","",IFERROR(INDEX('[AQ_2022.xlsx]原始数据'!$F:$F,MATCH($A687,'[AQ_2022.xlsx]原始数据'!$A:$A,0)),""))</f>
        <v/>
      </c>
      <c r="Y687">
        <f>IF($A687="","",IFERROR(INDEX('[AQ_2023.xlsx]原始数据'!$F:$F,MATCH($A687,'[AQ_2023.xlsx]原始数据'!$A:$A,0)),""))</f>
        <v/>
      </c>
      <c r="Z687">
        <f>IF($A687="","",IFERROR(INDEX('[AQ_2024.xlsx]原始数据'!$F:$F,MATCH($A687,'[AQ_2024.xlsx]原始数据'!$A:$A,0)),""))</f>
        <v/>
      </c>
      <c r="AA687" s="2">
        <f>IFERROR(G687/B687,"")</f>
        <v/>
      </c>
      <c r="AB687" s="2">
        <f>IFERROR(H687/C687,"")</f>
        <v/>
      </c>
      <c r="AC687" s="2">
        <f>IFERROR(I687/D687,"")</f>
        <v/>
      </c>
      <c r="AD687" s="2">
        <f>IFERROR(J687/E687,"")</f>
        <v/>
      </c>
      <c r="AE687" s="2">
        <f>IFERROR(K687/F687,"")</f>
        <v/>
      </c>
      <c r="AF687" s="2">
        <f>IFERROR(L687/B687,"")</f>
        <v/>
      </c>
      <c r="AG687" s="2">
        <f>IFERROR(M687/C687,"")</f>
        <v/>
      </c>
      <c r="AH687" s="2">
        <f>IFERROR(N687/D687,"")</f>
        <v/>
      </c>
      <c r="AI687" s="2">
        <f>IFERROR(O687/E687,"")</f>
        <v/>
      </c>
      <c r="AJ687" s="2">
        <f>IFERROR(P687/F687,"")</f>
        <v/>
      </c>
      <c r="AK687" s="2">
        <f>IFERROR(Q687/B687,"")</f>
        <v/>
      </c>
      <c r="AL687" s="2">
        <f>IFERROR(R687/C687,"")</f>
        <v/>
      </c>
      <c r="AM687" s="2">
        <f>IFERROR(S687/D687,"")</f>
        <v/>
      </c>
      <c r="AN687" s="2">
        <f>IFERROR(T687/E687,"")</f>
        <v/>
      </c>
      <c r="AO687" s="2">
        <f>IFERROR(U687/F687,"")</f>
        <v/>
      </c>
    </row>
    <row r="688">
      <c r="B688">
        <f>IF($A688="","",IFERROR(INDEX('[AQ_2020.xlsx]原始数据'!$B:$B,MATCH($A688,'[AQ_2020.xlsx]原始数据'!$A:$A,0)),""))</f>
        <v/>
      </c>
      <c r="C688">
        <f>IF($A688="","",IFERROR(INDEX('[AQ_2021.xlsx]原始数据'!$B:$B,MATCH($A688,'[AQ_2021.xlsx]原始数据'!$A:$A,0)),""))</f>
        <v/>
      </c>
      <c r="D688">
        <f>IF($A688="","",IFERROR(INDEX('[AQ_2022.xlsx]原始数据'!$B:$B,MATCH($A688,'[AQ_2022.xlsx]原始数据'!$A:$A,0)),""))</f>
        <v/>
      </c>
      <c r="E688">
        <f>IF($A688="","",IFERROR(INDEX('[AQ_2023.xlsx]原始数据'!$B:$B,MATCH($A688,'[AQ_2023.xlsx]原始数据'!$A:$A,0)),""))</f>
        <v/>
      </c>
      <c r="F688">
        <f>IF($A688="","",IFERROR(INDEX('[AQ_2024.xlsx]原始数据'!$B:$B,MATCH($A688,'[AQ_2024.xlsx]原始数据'!$A:$A,0)),""))</f>
        <v/>
      </c>
      <c r="G688">
        <f>IF($A688="","",IFERROR(INDEX('[AQ_2020.xlsx]原始数据'!$C:$C,MATCH($A688,'[AQ_2020.xlsx]原始数据'!$A:$A,0)),""))</f>
        <v/>
      </c>
      <c r="H688">
        <f>IF($A688="","",IFERROR(INDEX('[AQ_2021.xlsx]原始数据'!$C:$C,MATCH($A688,'[AQ_2021.xlsx]原始数据'!$A:$A,0)),""))</f>
        <v/>
      </c>
      <c r="I688">
        <f>IF($A688="","",IFERROR(INDEX('[AQ_2022.xlsx]原始数据'!$C:$C,MATCH($A688,'[AQ_2022.xlsx]原始数据'!$A:$A,0)),""))</f>
        <v/>
      </c>
      <c r="J688">
        <f>IF($A688="","",IFERROR(INDEX('[AQ_2023.xlsx]原始数据'!$C:$C,MATCH($A688,'[AQ_2023.xlsx]原始数据'!$A:$A,0)),""))</f>
        <v/>
      </c>
      <c r="K688">
        <f>IF($A688="","",IFERROR(INDEX('[AQ_2024.xlsx]原始数据'!$C:$C,MATCH($A688,'[AQ_2024.xlsx]原始数据'!$A:$A,0)),""))</f>
        <v/>
      </c>
      <c r="L688">
        <f>IF($A688="","",IFERROR(INDEX('[AQ_2020.xlsx]原始数据'!$D:$D,MATCH($A688,'[AQ_2020.xlsx]原始数据'!$A:$A,0)),""))</f>
        <v/>
      </c>
      <c r="M688">
        <f>IF($A688="","",IFERROR(INDEX('[AQ_2021.xlsx]原始数据'!$D:$D,MATCH($A688,'[AQ_2021.xlsx]原始数据'!$A:$A,0)),""))</f>
        <v/>
      </c>
      <c r="N688">
        <f>IF($A688="","",IFERROR(INDEX('[AQ_2022.xlsx]原始数据'!$D:$D,MATCH($A688,'[AQ_2022.xlsx]原始数据'!$A:$A,0)),""))</f>
        <v/>
      </c>
      <c r="O688">
        <f>IF($A688="","",IFERROR(INDEX('[AQ_2023.xlsx]原始数据'!$D:$D,MATCH($A688,'[AQ_2023.xlsx]原始数据'!$A:$A,0)),""))</f>
        <v/>
      </c>
      <c r="P688">
        <f>IF($A688="","",IFERROR(INDEX('[AQ_2024.xlsx]原始数据'!$D:$D,MATCH($A688,'[AQ_2024.xlsx]原始数据'!$A:$A,0)),""))</f>
        <v/>
      </c>
      <c r="Q688">
        <f>IF($A688="","",IFERROR(INDEX('[AQ_2020.xlsx]原始数据'!$E:$E,MATCH($A688,'[AQ_2020.xlsx]原始数据'!$A:$A,0)),""))</f>
        <v/>
      </c>
      <c r="R688">
        <f>IF($A688="","",IFERROR(INDEX('[AQ_2021.xlsx]原始数据'!$E:$E,MATCH($A688,'[AQ_2021.xlsx]原始数据'!$A:$A,0)),""))</f>
        <v/>
      </c>
      <c r="S688">
        <f>IF($A688="","",IFERROR(INDEX('[AQ_2022.xlsx]原始数据'!$E:$E,MATCH($A688,'[AQ_2022.xlsx]原始数据'!$A:$A,0)),""))</f>
        <v/>
      </c>
      <c r="T688">
        <f>IF($A688="","",IFERROR(INDEX('[AQ_2023.xlsx]原始数据'!$E:$E,MATCH($A688,'[AQ_2023.xlsx]原始数据'!$A:$A,0)),""))</f>
        <v/>
      </c>
      <c r="U688">
        <f>IF($A688="","",IFERROR(INDEX('[AQ_2024.xlsx]原始数据'!$E:$E,MATCH($A688,'[AQ_2024.xlsx]原始数据'!$A:$A,0)),""))</f>
        <v/>
      </c>
      <c r="V688">
        <f>IF($A688="","",IFERROR(INDEX('[AQ_2020.xlsx]原始数据'!$F:$F,MATCH($A688,'[AQ_2020.xlsx]原始数据'!$A:$A,0)),""))</f>
        <v/>
      </c>
      <c r="W688">
        <f>IF($A688="","",IFERROR(INDEX('[AQ_2021.xlsx]原始数据'!$F:$F,MATCH($A688,'[AQ_2021.xlsx]原始数据'!$A:$A,0)),""))</f>
        <v/>
      </c>
      <c r="X688">
        <f>IF($A688="","",IFERROR(INDEX('[AQ_2022.xlsx]原始数据'!$F:$F,MATCH($A688,'[AQ_2022.xlsx]原始数据'!$A:$A,0)),""))</f>
        <v/>
      </c>
      <c r="Y688">
        <f>IF($A688="","",IFERROR(INDEX('[AQ_2023.xlsx]原始数据'!$F:$F,MATCH($A688,'[AQ_2023.xlsx]原始数据'!$A:$A,0)),""))</f>
        <v/>
      </c>
      <c r="Z688">
        <f>IF($A688="","",IFERROR(INDEX('[AQ_2024.xlsx]原始数据'!$F:$F,MATCH($A688,'[AQ_2024.xlsx]原始数据'!$A:$A,0)),""))</f>
        <v/>
      </c>
      <c r="AA688" s="2">
        <f>IFERROR(G688/B688,"")</f>
        <v/>
      </c>
      <c r="AB688" s="2">
        <f>IFERROR(H688/C688,"")</f>
        <v/>
      </c>
      <c r="AC688" s="2">
        <f>IFERROR(I688/D688,"")</f>
        <v/>
      </c>
      <c r="AD688" s="2">
        <f>IFERROR(J688/E688,"")</f>
        <v/>
      </c>
      <c r="AE688" s="2">
        <f>IFERROR(K688/F688,"")</f>
        <v/>
      </c>
      <c r="AF688" s="2">
        <f>IFERROR(L688/B688,"")</f>
        <v/>
      </c>
      <c r="AG688" s="2">
        <f>IFERROR(M688/C688,"")</f>
        <v/>
      </c>
      <c r="AH688" s="2">
        <f>IFERROR(N688/D688,"")</f>
        <v/>
      </c>
      <c r="AI688" s="2">
        <f>IFERROR(O688/E688,"")</f>
        <v/>
      </c>
      <c r="AJ688" s="2">
        <f>IFERROR(P688/F688,"")</f>
        <v/>
      </c>
      <c r="AK688" s="2">
        <f>IFERROR(Q688/B688,"")</f>
        <v/>
      </c>
      <c r="AL688" s="2">
        <f>IFERROR(R688/C688,"")</f>
        <v/>
      </c>
      <c r="AM688" s="2">
        <f>IFERROR(S688/D688,"")</f>
        <v/>
      </c>
      <c r="AN688" s="2">
        <f>IFERROR(T688/E688,"")</f>
        <v/>
      </c>
      <c r="AO688" s="2">
        <f>IFERROR(U688/F688,"")</f>
        <v/>
      </c>
    </row>
    <row r="689">
      <c r="B689">
        <f>IF($A689="","",IFERROR(INDEX('[AQ_2020.xlsx]原始数据'!$B:$B,MATCH($A689,'[AQ_2020.xlsx]原始数据'!$A:$A,0)),""))</f>
        <v/>
      </c>
      <c r="C689">
        <f>IF($A689="","",IFERROR(INDEX('[AQ_2021.xlsx]原始数据'!$B:$B,MATCH($A689,'[AQ_2021.xlsx]原始数据'!$A:$A,0)),""))</f>
        <v/>
      </c>
      <c r="D689">
        <f>IF($A689="","",IFERROR(INDEX('[AQ_2022.xlsx]原始数据'!$B:$B,MATCH($A689,'[AQ_2022.xlsx]原始数据'!$A:$A,0)),""))</f>
        <v/>
      </c>
      <c r="E689">
        <f>IF($A689="","",IFERROR(INDEX('[AQ_2023.xlsx]原始数据'!$B:$B,MATCH($A689,'[AQ_2023.xlsx]原始数据'!$A:$A,0)),""))</f>
        <v/>
      </c>
      <c r="F689">
        <f>IF($A689="","",IFERROR(INDEX('[AQ_2024.xlsx]原始数据'!$B:$B,MATCH($A689,'[AQ_2024.xlsx]原始数据'!$A:$A,0)),""))</f>
        <v/>
      </c>
      <c r="G689">
        <f>IF($A689="","",IFERROR(INDEX('[AQ_2020.xlsx]原始数据'!$C:$C,MATCH($A689,'[AQ_2020.xlsx]原始数据'!$A:$A,0)),""))</f>
        <v/>
      </c>
      <c r="H689">
        <f>IF($A689="","",IFERROR(INDEX('[AQ_2021.xlsx]原始数据'!$C:$C,MATCH($A689,'[AQ_2021.xlsx]原始数据'!$A:$A,0)),""))</f>
        <v/>
      </c>
      <c r="I689">
        <f>IF($A689="","",IFERROR(INDEX('[AQ_2022.xlsx]原始数据'!$C:$C,MATCH($A689,'[AQ_2022.xlsx]原始数据'!$A:$A,0)),""))</f>
        <v/>
      </c>
      <c r="J689">
        <f>IF($A689="","",IFERROR(INDEX('[AQ_2023.xlsx]原始数据'!$C:$C,MATCH($A689,'[AQ_2023.xlsx]原始数据'!$A:$A,0)),""))</f>
        <v/>
      </c>
      <c r="K689">
        <f>IF($A689="","",IFERROR(INDEX('[AQ_2024.xlsx]原始数据'!$C:$C,MATCH($A689,'[AQ_2024.xlsx]原始数据'!$A:$A,0)),""))</f>
        <v/>
      </c>
      <c r="L689">
        <f>IF($A689="","",IFERROR(INDEX('[AQ_2020.xlsx]原始数据'!$D:$D,MATCH($A689,'[AQ_2020.xlsx]原始数据'!$A:$A,0)),""))</f>
        <v/>
      </c>
      <c r="M689">
        <f>IF($A689="","",IFERROR(INDEX('[AQ_2021.xlsx]原始数据'!$D:$D,MATCH($A689,'[AQ_2021.xlsx]原始数据'!$A:$A,0)),""))</f>
        <v/>
      </c>
      <c r="N689">
        <f>IF($A689="","",IFERROR(INDEX('[AQ_2022.xlsx]原始数据'!$D:$D,MATCH($A689,'[AQ_2022.xlsx]原始数据'!$A:$A,0)),""))</f>
        <v/>
      </c>
      <c r="O689">
        <f>IF($A689="","",IFERROR(INDEX('[AQ_2023.xlsx]原始数据'!$D:$D,MATCH($A689,'[AQ_2023.xlsx]原始数据'!$A:$A,0)),""))</f>
        <v/>
      </c>
      <c r="P689">
        <f>IF($A689="","",IFERROR(INDEX('[AQ_2024.xlsx]原始数据'!$D:$D,MATCH($A689,'[AQ_2024.xlsx]原始数据'!$A:$A,0)),""))</f>
        <v/>
      </c>
      <c r="Q689">
        <f>IF($A689="","",IFERROR(INDEX('[AQ_2020.xlsx]原始数据'!$E:$E,MATCH($A689,'[AQ_2020.xlsx]原始数据'!$A:$A,0)),""))</f>
        <v/>
      </c>
      <c r="R689">
        <f>IF($A689="","",IFERROR(INDEX('[AQ_2021.xlsx]原始数据'!$E:$E,MATCH($A689,'[AQ_2021.xlsx]原始数据'!$A:$A,0)),""))</f>
        <v/>
      </c>
      <c r="S689">
        <f>IF($A689="","",IFERROR(INDEX('[AQ_2022.xlsx]原始数据'!$E:$E,MATCH($A689,'[AQ_2022.xlsx]原始数据'!$A:$A,0)),""))</f>
        <v/>
      </c>
      <c r="T689">
        <f>IF($A689="","",IFERROR(INDEX('[AQ_2023.xlsx]原始数据'!$E:$E,MATCH($A689,'[AQ_2023.xlsx]原始数据'!$A:$A,0)),""))</f>
        <v/>
      </c>
      <c r="U689">
        <f>IF($A689="","",IFERROR(INDEX('[AQ_2024.xlsx]原始数据'!$E:$E,MATCH($A689,'[AQ_2024.xlsx]原始数据'!$A:$A,0)),""))</f>
        <v/>
      </c>
      <c r="V689">
        <f>IF($A689="","",IFERROR(INDEX('[AQ_2020.xlsx]原始数据'!$F:$F,MATCH($A689,'[AQ_2020.xlsx]原始数据'!$A:$A,0)),""))</f>
        <v/>
      </c>
      <c r="W689">
        <f>IF($A689="","",IFERROR(INDEX('[AQ_2021.xlsx]原始数据'!$F:$F,MATCH($A689,'[AQ_2021.xlsx]原始数据'!$A:$A,0)),""))</f>
        <v/>
      </c>
      <c r="X689">
        <f>IF($A689="","",IFERROR(INDEX('[AQ_2022.xlsx]原始数据'!$F:$F,MATCH($A689,'[AQ_2022.xlsx]原始数据'!$A:$A,0)),""))</f>
        <v/>
      </c>
      <c r="Y689">
        <f>IF($A689="","",IFERROR(INDEX('[AQ_2023.xlsx]原始数据'!$F:$F,MATCH($A689,'[AQ_2023.xlsx]原始数据'!$A:$A,0)),""))</f>
        <v/>
      </c>
      <c r="Z689">
        <f>IF($A689="","",IFERROR(INDEX('[AQ_2024.xlsx]原始数据'!$F:$F,MATCH($A689,'[AQ_2024.xlsx]原始数据'!$A:$A,0)),""))</f>
        <v/>
      </c>
      <c r="AA689" s="2">
        <f>IFERROR(G689/B689,"")</f>
        <v/>
      </c>
      <c r="AB689" s="2">
        <f>IFERROR(H689/C689,"")</f>
        <v/>
      </c>
      <c r="AC689" s="2">
        <f>IFERROR(I689/D689,"")</f>
        <v/>
      </c>
      <c r="AD689" s="2">
        <f>IFERROR(J689/E689,"")</f>
        <v/>
      </c>
      <c r="AE689" s="2">
        <f>IFERROR(K689/F689,"")</f>
        <v/>
      </c>
      <c r="AF689" s="2">
        <f>IFERROR(L689/B689,"")</f>
        <v/>
      </c>
      <c r="AG689" s="2">
        <f>IFERROR(M689/C689,"")</f>
        <v/>
      </c>
      <c r="AH689" s="2">
        <f>IFERROR(N689/D689,"")</f>
        <v/>
      </c>
      <c r="AI689" s="2">
        <f>IFERROR(O689/E689,"")</f>
        <v/>
      </c>
      <c r="AJ689" s="2">
        <f>IFERROR(P689/F689,"")</f>
        <v/>
      </c>
      <c r="AK689" s="2">
        <f>IFERROR(Q689/B689,"")</f>
        <v/>
      </c>
      <c r="AL689" s="2">
        <f>IFERROR(R689/C689,"")</f>
        <v/>
      </c>
      <c r="AM689" s="2">
        <f>IFERROR(S689/D689,"")</f>
        <v/>
      </c>
      <c r="AN689" s="2">
        <f>IFERROR(T689/E689,"")</f>
        <v/>
      </c>
      <c r="AO689" s="2">
        <f>IFERROR(U689/F689,"")</f>
        <v/>
      </c>
    </row>
    <row r="690">
      <c r="B690">
        <f>IF($A690="","",IFERROR(INDEX('[AQ_2020.xlsx]原始数据'!$B:$B,MATCH($A690,'[AQ_2020.xlsx]原始数据'!$A:$A,0)),""))</f>
        <v/>
      </c>
      <c r="C690">
        <f>IF($A690="","",IFERROR(INDEX('[AQ_2021.xlsx]原始数据'!$B:$B,MATCH($A690,'[AQ_2021.xlsx]原始数据'!$A:$A,0)),""))</f>
        <v/>
      </c>
      <c r="D690">
        <f>IF($A690="","",IFERROR(INDEX('[AQ_2022.xlsx]原始数据'!$B:$B,MATCH($A690,'[AQ_2022.xlsx]原始数据'!$A:$A,0)),""))</f>
        <v/>
      </c>
      <c r="E690">
        <f>IF($A690="","",IFERROR(INDEX('[AQ_2023.xlsx]原始数据'!$B:$B,MATCH($A690,'[AQ_2023.xlsx]原始数据'!$A:$A,0)),""))</f>
        <v/>
      </c>
      <c r="F690">
        <f>IF($A690="","",IFERROR(INDEX('[AQ_2024.xlsx]原始数据'!$B:$B,MATCH($A690,'[AQ_2024.xlsx]原始数据'!$A:$A,0)),""))</f>
        <v/>
      </c>
      <c r="G690">
        <f>IF($A690="","",IFERROR(INDEX('[AQ_2020.xlsx]原始数据'!$C:$C,MATCH($A690,'[AQ_2020.xlsx]原始数据'!$A:$A,0)),""))</f>
        <v/>
      </c>
      <c r="H690">
        <f>IF($A690="","",IFERROR(INDEX('[AQ_2021.xlsx]原始数据'!$C:$C,MATCH($A690,'[AQ_2021.xlsx]原始数据'!$A:$A,0)),""))</f>
        <v/>
      </c>
      <c r="I690">
        <f>IF($A690="","",IFERROR(INDEX('[AQ_2022.xlsx]原始数据'!$C:$C,MATCH($A690,'[AQ_2022.xlsx]原始数据'!$A:$A,0)),""))</f>
        <v/>
      </c>
      <c r="J690">
        <f>IF($A690="","",IFERROR(INDEX('[AQ_2023.xlsx]原始数据'!$C:$C,MATCH($A690,'[AQ_2023.xlsx]原始数据'!$A:$A,0)),""))</f>
        <v/>
      </c>
      <c r="K690">
        <f>IF($A690="","",IFERROR(INDEX('[AQ_2024.xlsx]原始数据'!$C:$C,MATCH($A690,'[AQ_2024.xlsx]原始数据'!$A:$A,0)),""))</f>
        <v/>
      </c>
      <c r="L690">
        <f>IF($A690="","",IFERROR(INDEX('[AQ_2020.xlsx]原始数据'!$D:$D,MATCH($A690,'[AQ_2020.xlsx]原始数据'!$A:$A,0)),""))</f>
        <v/>
      </c>
      <c r="M690">
        <f>IF($A690="","",IFERROR(INDEX('[AQ_2021.xlsx]原始数据'!$D:$D,MATCH($A690,'[AQ_2021.xlsx]原始数据'!$A:$A,0)),""))</f>
        <v/>
      </c>
      <c r="N690">
        <f>IF($A690="","",IFERROR(INDEX('[AQ_2022.xlsx]原始数据'!$D:$D,MATCH($A690,'[AQ_2022.xlsx]原始数据'!$A:$A,0)),""))</f>
        <v/>
      </c>
      <c r="O690">
        <f>IF($A690="","",IFERROR(INDEX('[AQ_2023.xlsx]原始数据'!$D:$D,MATCH($A690,'[AQ_2023.xlsx]原始数据'!$A:$A,0)),""))</f>
        <v/>
      </c>
      <c r="P690">
        <f>IF($A690="","",IFERROR(INDEX('[AQ_2024.xlsx]原始数据'!$D:$D,MATCH($A690,'[AQ_2024.xlsx]原始数据'!$A:$A,0)),""))</f>
        <v/>
      </c>
      <c r="Q690">
        <f>IF($A690="","",IFERROR(INDEX('[AQ_2020.xlsx]原始数据'!$E:$E,MATCH($A690,'[AQ_2020.xlsx]原始数据'!$A:$A,0)),""))</f>
        <v/>
      </c>
      <c r="R690">
        <f>IF($A690="","",IFERROR(INDEX('[AQ_2021.xlsx]原始数据'!$E:$E,MATCH($A690,'[AQ_2021.xlsx]原始数据'!$A:$A,0)),""))</f>
        <v/>
      </c>
      <c r="S690">
        <f>IF($A690="","",IFERROR(INDEX('[AQ_2022.xlsx]原始数据'!$E:$E,MATCH($A690,'[AQ_2022.xlsx]原始数据'!$A:$A,0)),""))</f>
        <v/>
      </c>
      <c r="T690">
        <f>IF($A690="","",IFERROR(INDEX('[AQ_2023.xlsx]原始数据'!$E:$E,MATCH($A690,'[AQ_2023.xlsx]原始数据'!$A:$A,0)),""))</f>
        <v/>
      </c>
      <c r="U690">
        <f>IF($A690="","",IFERROR(INDEX('[AQ_2024.xlsx]原始数据'!$E:$E,MATCH($A690,'[AQ_2024.xlsx]原始数据'!$A:$A,0)),""))</f>
        <v/>
      </c>
      <c r="V690">
        <f>IF($A690="","",IFERROR(INDEX('[AQ_2020.xlsx]原始数据'!$F:$F,MATCH($A690,'[AQ_2020.xlsx]原始数据'!$A:$A,0)),""))</f>
        <v/>
      </c>
      <c r="W690">
        <f>IF($A690="","",IFERROR(INDEX('[AQ_2021.xlsx]原始数据'!$F:$F,MATCH($A690,'[AQ_2021.xlsx]原始数据'!$A:$A,0)),""))</f>
        <v/>
      </c>
      <c r="X690">
        <f>IF($A690="","",IFERROR(INDEX('[AQ_2022.xlsx]原始数据'!$F:$F,MATCH($A690,'[AQ_2022.xlsx]原始数据'!$A:$A,0)),""))</f>
        <v/>
      </c>
      <c r="Y690">
        <f>IF($A690="","",IFERROR(INDEX('[AQ_2023.xlsx]原始数据'!$F:$F,MATCH($A690,'[AQ_2023.xlsx]原始数据'!$A:$A,0)),""))</f>
        <v/>
      </c>
      <c r="Z690">
        <f>IF($A690="","",IFERROR(INDEX('[AQ_2024.xlsx]原始数据'!$F:$F,MATCH($A690,'[AQ_2024.xlsx]原始数据'!$A:$A,0)),""))</f>
        <v/>
      </c>
      <c r="AA690" s="2">
        <f>IFERROR(G690/B690,"")</f>
        <v/>
      </c>
      <c r="AB690" s="2">
        <f>IFERROR(H690/C690,"")</f>
        <v/>
      </c>
      <c r="AC690" s="2">
        <f>IFERROR(I690/D690,"")</f>
        <v/>
      </c>
      <c r="AD690" s="2">
        <f>IFERROR(J690/E690,"")</f>
        <v/>
      </c>
      <c r="AE690" s="2">
        <f>IFERROR(K690/F690,"")</f>
        <v/>
      </c>
      <c r="AF690" s="2">
        <f>IFERROR(L690/B690,"")</f>
        <v/>
      </c>
      <c r="AG690" s="2">
        <f>IFERROR(M690/C690,"")</f>
        <v/>
      </c>
      <c r="AH690" s="2">
        <f>IFERROR(N690/D690,"")</f>
        <v/>
      </c>
      <c r="AI690" s="2">
        <f>IFERROR(O690/E690,"")</f>
        <v/>
      </c>
      <c r="AJ690" s="2">
        <f>IFERROR(P690/F690,"")</f>
        <v/>
      </c>
      <c r="AK690" s="2">
        <f>IFERROR(Q690/B690,"")</f>
        <v/>
      </c>
      <c r="AL690" s="2">
        <f>IFERROR(R690/C690,"")</f>
        <v/>
      </c>
      <c r="AM690" s="2">
        <f>IFERROR(S690/D690,"")</f>
        <v/>
      </c>
      <c r="AN690" s="2">
        <f>IFERROR(T690/E690,"")</f>
        <v/>
      </c>
      <c r="AO690" s="2">
        <f>IFERROR(U690/F690,"")</f>
        <v/>
      </c>
    </row>
    <row r="691">
      <c r="B691">
        <f>IF($A691="","",IFERROR(INDEX('[AQ_2020.xlsx]原始数据'!$B:$B,MATCH($A691,'[AQ_2020.xlsx]原始数据'!$A:$A,0)),""))</f>
        <v/>
      </c>
      <c r="C691">
        <f>IF($A691="","",IFERROR(INDEX('[AQ_2021.xlsx]原始数据'!$B:$B,MATCH($A691,'[AQ_2021.xlsx]原始数据'!$A:$A,0)),""))</f>
        <v/>
      </c>
      <c r="D691">
        <f>IF($A691="","",IFERROR(INDEX('[AQ_2022.xlsx]原始数据'!$B:$B,MATCH($A691,'[AQ_2022.xlsx]原始数据'!$A:$A,0)),""))</f>
        <v/>
      </c>
      <c r="E691">
        <f>IF($A691="","",IFERROR(INDEX('[AQ_2023.xlsx]原始数据'!$B:$B,MATCH($A691,'[AQ_2023.xlsx]原始数据'!$A:$A,0)),""))</f>
        <v/>
      </c>
      <c r="F691">
        <f>IF($A691="","",IFERROR(INDEX('[AQ_2024.xlsx]原始数据'!$B:$B,MATCH($A691,'[AQ_2024.xlsx]原始数据'!$A:$A,0)),""))</f>
        <v/>
      </c>
      <c r="G691">
        <f>IF($A691="","",IFERROR(INDEX('[AQ_2020.xlsx]原始数据'!$C:$C,MATCH($A691,'[AQ_2020.xlsx]原始数据'!$A:$A,0)),""))</f>
        <v/>
      </c>
      <c r="H691">
        <f>IF($A691="","",IFERROR(INDEX('[AQ_2021.xlsx]原始数据'!$C:$C,MATCH($A691,'[AQ_2021.xlsx]原始数据'!$A:$A,0)),""))</f>
        <v/>
      </c>
      <c r="I691">
        <f>IF($A691="","",IFERROR(INDEX('[AQ_2022.xlsx]原始数据'!$C:$C,MATCH($A691,'[AQ_2022.xlsx]原始数据'!$A:$A,0)),""))</f>
        <v/>
      </c>
      <c r="J691">
        <f>IF($A691="","",IFERROR(INDEX('[AQ_2023.xlsx]原始数据'!$C:$C,MATCH($A691,'[AQ_2023.xlsx]原始数据'!$A:$A,0)),""))</f>
        <v/>
      </c>
      <c r="K691">
        <f>IF($A691="","",IFERROR(INDEX('[AQ_2024.xlsx]原始数据'!$C:$C,MATCH($A691,'[AQ_2024.xlsx]原始数据'!$A:$A,0)),""))</f>
        <v/>
      </c>
      <c r="L691">
        <f>IF($A691="","",IFERROR(INDEX('[AQ_2020.xlsx]原始数据'!$D:$D,MATCH($A691,'[AQ_2020.xlsx]原始数据'!$A:$A,0)),""))</f>
        <v/>
      </c>
      <c r="M691">
        <f>IF($A691="","",IFERROR(INDEX('[AQ_2021.xlsx]原始数据'!$D:$D,MATCH($A691,'[AQ_2021.xlsx]原始数据'!$A:$A,0)),""))</f>
        <v/>
      </c>
      <c r="N691">
        <f>IF($A691="","",IFERROR(INDEX('[AQ_2022.xlsx]原始数据'!$D:$D,MATCH($A691,'[AQ_2022.xlsx]原始数据'!$A:$A,0)),""))</f>
        <v/>
      </c>
      <c r="O691">
        <f>IF($A691="","",IFERROR(INDEX('[AQ_2023.xlsx]原始数据'!$D:$D,MATCH($A691,'[AQ_2023.xlsx]原始数据'!$A:$A,0)),""))</f>
        <v/>
      </c>
      <c r="P691">
        <f>IF($A691="","",IFERROR(INDEX('[AQ_2024.xlsx]原始数据'!$D:$D,MATCH($A691,'[AQ_2024.xlsx]原始数据'!$A:$A,0)),""))</f>
        <v/>
      </c>
      <c r="Q691">
        <f>IF($A691="","",IFERROR(INDEX('[AQ_2020.xlsx]原始数据'!$E:$E,MATCH($A691,'[AQ_2020.xlsx]原始数据'!$A:$A,0)),""))</f>
        <v/>
      </c>
      <c r="R691">
        <f>IF($A691="","",IFERROR(INDEX('[AQ_2021.xlsx]原始数据'!$E:$E,MATCH($A691,'[AQ_2021.xlsx]原始数据'!$A:$A,0)),""))</f>
        <v/>
      </c>
      <c r="S691">
        <f>IF($A691="","",IFERROR(INDEX('[AQ_2022.xlsx]原始数据'!$E:$E,MATCH($A691,'[AQ_2022.xlsx]原始数据'!$A:$A,0)),""))</f>
        <v/>
      </c>
      <c r="T691">
        <f>IF($A691="","",IFERROR(INDEX('[AQ_2023.xlsx]原始数据'!$E:$E,MATCH($A691,'[AQ_2023.xlsx]原始数据'!$A:$A,0)),""))</f>
        <v/>
      </c>
      <c r="U691">
        <f>IF($A691="","",IFERROR(INDEX('[AQ_2024.xlsx]原始数据'!$E:$E,MATCH($A691,'[AQ_2024.xlsx]原始数据'!$A:$A,0)),""))</f>
        <v/>
      </c>
      <c r="V691">
        <f>IF($A691="","",IFERROR(INDEX('[AQ_2020.xlsx]原始数据'!$F:$F,MATCH($A691,'[AQ_2020.xlsx]原始数据'!$A:$A,0)),""))</f>
        <v/>
      </c>
      <c r="W691">
        <f>IF($A691="","",IFERROR(INDEX('[AQ_2021.xlsx]原始数据'!$F:$F,MATCH($A691,'[AQ_2021.xlsx]原始数据'!$A:$A,0)),""))</f>
        <v/>
      </c>
      <c r="X691">
        <f>IF($A691="","",IFERROR(INDEX('[AQ_2022.xlsx]原始数据'!$F:$F,MATCH($A691,'[AQ_2022.xlsx]原始数据'!$A:$A,0)),""))</f>
        <v/>
      </c>
      <c r="Y691">
        <f>IF($A691="","",IFERROR(INDEX('[AQ_2023.xlsx]原始数据'!$F:$F,MATCH($A691,'[AQ_2023.xlsx]原始数据'!$A:$A,0)),""))</f>
        <v/>
      </c>
      <c r="Z691">
        <f>IF($A691="","",IFERROR(INDEX('[AQ_2024.xlsx]原始数据'!$F:$F,MATCH($A691,'[AQ_2024.xlsx]原始数据'!$A:$A,0)),""))</f>
        <v/>
      </c>
      <c r="AA691" s="2">
        <f>IFERROR(G691/B691,"")</f>
        <v/>
      </c>
      <c r="AB691" s="2">
        <f>IFERROR(H691/C691,"")</f>
        <v/>
      </c>
      <c r="AC691" s="2">
        <f>IFERROR(I691/D691,"")</f>
        <v/>
      </c>
      <c r="AD691" s="2">
        <f>IFERROR(J691/E691,"")</f>
        <v/>
      </c>
      <c r="AE691" s="2">
        <f>IFERROR(K691/F691,"")</f>
        <v/>
      </c>
      <c r="AF691" s="2">
        <f>IFERROR(L691/B691,"")</f>
        <v/>
      </c>
      <c r="AG691" s="2">
        <f>IFERROR(M691/C691,"")</f>
        <v/>
      </c>
      <c r="AH691" s="2">
        <f>IFERROR(N691/D691,"")</f>
        <v/>
      </c>
      <c r="AI691" s="2">
        <f>IFERROR(O691/E691,"")</f>
        <v/>
      </c>
      <c r="AJ691" s="2">
        <f>IFERROR(P691/F691,"")</f>
        <v/>
      </c>
      <c r="AK691" s="2">
        <f>IFERROR(Q691/B691,"")</f>
        <v/>
      </c>
      <c r="AL691" s="2">
        <f>IFERROR(R691/C691,"")</f>
        <v/>
      </c>
      <c r="AM691" s="2">
        <f>IFERROR(S691/D691,"")</f>
        <v/>
      </c>
      <c r="AN691" s="2">
        <f>IFERROR(T691/E691,"")</f>
        <v/>
      </c>
      <c r="AO691" s="2">
        <f>IFERROR(U691/F691,"")</f>
        <v/>
      </c>
    </row>
    <row r="692">
      <c r="B692">
        <f>IF($A692="","",IFERROR(INDEX('[AQ_2020.xlsx]原始数据'!$B:$B,MATCH($A692,'[AQ_2020.xlsx]原始数据'!$A:$A,0)),""))</f>
        <v/>
      </c>
      <c r="C692">
        <f>IF($A692="","",IFERROR(INDEX('[AQ_2021.xlsx]原始数据'!$B:$B,MATCH($A692,'[AQ_2021.xlsx]原始数据'!$A:$A,0)),""))</f>
        <v/>
      </c>
      <c r="D692">
        <f>IF($A692="","",IFERROR(INDEX('[AQ_2022.xlsx]原始数据'!$B:$B,MATCH($A692,'[AQ_2022.xlsx]原始数据'!$A:$A,0)),""))</f>
        <v/>
      </c>
      <c r="E692">
        <f>IF($A692="","",IFERROR(INDEX('[AQ_2023.xlsx]原始数据'!$B:$B,MATCH($A692,'[AQ_2023.xlsx]原始数据'!$A:$A,0)),""))</f>
        <v/>
      </c>
      <c r="F692">
        <f>IF($A692="","",IFERROR(INDEX('[AQ_2024.xlsx]原始数据'!$B:$B,MATCH($A692,'[AQ_2024.xlsx]原始数据'!$A:$A,0)),""))</f>
        <v/>
      </c>
      <c r="G692">
        <f>IF($A692="","",IFERROR(INDEX('[AQ_2020.xlsx]原始数据'!$C:$C,MATCH($A692,'[AQ_2020.xlsx]原始数据'!$A:$A,0)),""))</f>
        <v/>
      </c>
      <c r="H692">
        <f>IF($A692="","",IFERROR(INDEX('[AQ_2021.xlsx]原始数据'!$C:$C,MATCH($A692,'[AQ_2021.xlsx]原始数据'!$A:$A,0)),""))</f>
        <v/>
      </c>
      <c r="I692">
        <f>IF($A692="","",IFERROR(INDEX('[AQ_2022.xlsx]原始数据'!$C:$C,MATCH($A692,'[AQ_2022.xlsx]原始数据'!$A:$A,0)),""))</f>
        <v/>
      </c>
      <c r="J692">
        <f>IF($A692="","",IFERROR(INDEX('[AQ_2023.xlsx]原始数据'!$C:$C,MATCH($A692,'[AQ_2023.xlsx]原始数据'!$A:$A,0)),""))</f>
        <v/>
      </c>
      <c r="K692">
        <f>IF($A692="","",IFERROR(INDEX('[AQ_2024.xlsx]原始数据'!$C:$C,MATCH($A692,'[AQ_2024.xlsx]原始数据'!$A:$A,0)),""))</f>
        <v/>
      </c>
      <c r="L692">
        <f>IF($A692="","",IFERROR(INDEX('[AQ_2020.xlsx]原始数据'!$D:$D,MATCH($A692,'[AQ_2020.xlsx]原始数据'!$A:$A,0)),""))</f>
        <v/>
      </c>
      <c r="M692">
        <f>IF($A692="","",IFERROR(INDEX('[AQ_2021.xlsx]原始数据'!$D:$D,MATCH($A692,'[AQ_2021.xlsx]原始数据'!$A:$A,0)),""))</f>
        <v/>
      </c>
      <c r="N692">
        <f>IF($A692="","",IFERROR(INDEX('[AQ_2022.xlsx]原始数据'!$D:$D,MATCH($A692,'[AQ_2022.xlsx]原始数据'!$A:$A,0)),""))</f>
        <v/>
      </c>
      <c r="O692">
        <f>IF($A692="","",IFERROR(INDEX('[AQ_2023.xlsx]原始数据'!$D:$D,MATCH($A692,'[AQ_2023.xlsx]原始数据'!$A:$A,0)),""))</f>
        <v/>
      </c>
      <c r="P692">
        <f>IF($A692="","",IFERROR(INDEX('[AQ_2024.xlsx]原始数据'!$D:$D,MATCH($A692,'[AQ_2024.xlsx]原始数据'!$A:$A,0)),""))</f>
        <v/>
      </c>
      <c r="Q692">
        <f>IF($A692="","",IFERROR(INDEX('[AQ_2020.xlsx]原始数据'!$E:$E,MATCH($A692,'[AQ_2020.xlsx]原始数据'!$A:$A,0)),""))</f>
        <v/>
      </c>
      <c r="R692">
        <f>IF($A692="","",IFERROR(INDEX('[AQ_2021.xlsx]原始数据'!$E:$E,MATCH($A692,'[AQ_2021.xlsx]原始数据'!$A:$A,0)),""))</f>
        <v/>
      </c>
      <c r="S692">
        <f>IF($A692="","",IFERROR(INDEX('[AQ_2022.xlsx]原始数据'!$E:$E,MATCH($A692,'[AQ_2022.xlsx]原始数据'!$A:$A,0)),""))</f>
        <v/>
      </c>
      <c r="T692">
        <f>IF($A692="","",IFERROR(INDEX('[AQ_2023.xlsx]原始数据'!$E:$E,MATCH($A692,'[AQ_2023.xlsx]原始数据'!$A:$A,0)),""))</f>
        <v/>
      </c>
      <c r="U692">
        <f>IF($A692="","",IFERROR(INDEX('[AQ_2024.xlsx]原始数据'!$E:$E,MATCH($A692,'[AQ_2024.xlsx]原始数据'!$A:$A,0)),""))</f>
        <v/>
      </c>
      <c r="V692">
        <f>IF($A692="","",IFERROR(INDEX('[AQ_2020.xlsx]原始数据'!$F:$F,MATCH($A692,'[AQ_2020.xlsx]原始数据'!$A:$A,0)),""))</f>
        <v/>
      </c>
      <c r="W692">
        <f>IF($A692="","",IFERROR(INDEX('[AQ_2021.xlsx]原始数据'!$F:$F,MATCH($A692,'[AQ_2021.xlsx]原始数据'!$A:$A,0)),""))</f>
        <v/>
      </c>
      <c r="X692">
        <f>IF($A692="","",IFERROR(INDEX('[AQ_2022.xlsx]原始数据'!$F:$F,MATCH($A692,'[AQ_2022.xlsx]原始数据'!$A:$A,0)),""))</f>
        <v/>
      </c>
      <c r="Y692">
        <f>IF($A692="","",IFERROR(INDEX('[AQ_2023.xlsx]原始数据'!$F:$F,MATCH($A692,'[AQ_2023.xlsx]原始数据'!$A:$A,0)),""))</f>
        <v/>
      </c>
      <c r="Z692">
        <f>IF($A692="","",IFERROR(INDEX('[AQ_2024.xlsx]原始数据'!$F:$F,MATCH($A692,'[AQ_2024.xlsx]原始数据'!$A:$A,0)),""))</f>
        <v/>
      </c>
      <c r="AA692" s="2">
        <f>IFERROR(G692/B692,"")</f>
        <v/>
      </c>
      <c r="AB692" s="2">
        <f>IFERROR(H692/C692,"")</f>
        <v/>
      </c>
      <c r="AC692" s="2">
        <f>IFERROR(I692/D692,"")</f>
        <v/>
      </c>
      <c r="AD692" s="2">
        <f>IFERROR(J692/E692,"")</f>
        <v/>
      </c>
      <c r="AE692" s="2">
        <f>IFERROR(K692/F692,"")</f>
        <v/>
      </c>
      <c r="AF692" s="2">
        <f>IFERROR(L692/B692,"")</f>
        <v/>
      </c>
      <c r="AG692" s="2">
        <f>IFERROR(M692/C692,"")</f>
        <v/>
      </c>
      <c r="AH692" s="2">
        <f>IFERROR(N692/D692,"")</f>
        <v/>
      </c>
      <c r="AI692" s="2">
        <f>IFERROR(O692/E692,"")</f>
        <v/>
      </c>
      <c r="AJ692" s="2">
        <f>IFERROR(P692/F692,"")</f>
        <v/>
      </c>
      <c r="AK692" s="2">
        <f>IFERROR(Q692/B692,"")</f>
        <v/>
      </c>
      <c r="AL692" s="2">
        <f>IFERROR(R692/C692,"")</f>
        <v/>
      </c>
      <c r="AM692" s="2">
        <f>IFERROR(S692/D692,"")</f>
        <v/>
      </c>
      <c r="AN692" s="2">
        <f>IFERROR(T692/E692,"")</f>
        <v/>
      </c>
      <c r="AO692" s="2">
        <f>IFERROR(U692/F692,"")</f>
        <v/>
      </c>
    </row>
    <row r="693">
      <c r="B693">
        <f>IF($A693="","",IFERROR(INDEX('[AQ_2020.xlsx]原始数据'!$B:$B,MATCH($A693,'[AQ_2020.xlsx]原始数据'!$A:$A,0)),""))</f>
        <v/>
      </c>
      <c r="C693">
        <f>IF($A693="","",IFERROR(INDEX('[AQ_2021.xlsx]原始数据'!$B:$B,MATCH($A693,'[AQ_2021.xlsx]原始数据'!$A:$A,0)),""))</f>
        <v/>
      </c>
      <c r="D693">
        <f>IF($A693="","",IFERROR(INDEX('[AQ_2022.xlsx]原始数据'!$B:$B,MATCH($A693,'[AQ_2022.xlsx]原始数据'!$A:$A,0)),""))</f>
        <v/>
      </c>
      <c r="E693">
        <f>IF($A693="","",IFERROR(INDEX('[AQ_2023.xlsx]原始数据'!$B:$B,MATCH($A693,'[AQ_2023.xlsx]原始数据'!$A:$A,0)),""))</f>
        <v/>
      </c>
      <c r="F693">
        <f>IF($A693="","",IFERROR(INDEX('[AQ_2024.xlsx]原始数据'!$B:$B,MATCH($A693,'[AQ_2024.xlsx]原始数据'!$A:$A,0)),""))</f>
        <v/>
      </c>
      <c r="G693">
        <f>IF($A693="","",IFERROR(INDEX('[AQ_2020.xlsx]原始数据'!$C:$C,MATCH($A693,'[AQ_2020.xlsx]原始数据'!$A:$A,0)),""))</f>
        <v/>
      </c>
      <c r="H693">
        <f>IF($A693="","",IFERROR(INDEX('[AQ_2021.xlsx]原始数据'!$C:$C,MATCH($A693,'[AQ_2021.xlsx]原始数据'!$A:$A,0)),""))</f>
        <v/>
      </c>
      <c r="I693">
        <f>IF($A693="","",IFERROR(INDEX('[AQ_2022.xlsx]原始数据'!$C:$C,MATCH($A693,'[AQ_2022.xlsx]原始数据'!$A:$A,0)),""))</f>
        <v/>
      </c>
      <c r="J693">
        <f>IF($A693="","",IFERROR(INDEX('[AQ_2023.xlsx]原始数据'!$C:$C,MATCH($A693,'[AQ_2023.xlsx]原始数据'!$A:$A,0)),""))</f>
        <v/>
      </c>
      <c r="K693">
        <f>IF($A693="","",IFERROR(INDEX('[AQ_2024.xlsx]原始数据'!$C:$C,MATCH($A693,'[AQ_2024.xlsx]原始数据'!$A:$A,0)),""))</f>
        <v/>
      </c>
      <c r="L693">
        <f>IF($A693="","",IFERROR(INDEX('[AQ_2020.xlsx]原始数据'!$D:$D,MATCH($A693,'[AQ_2020.xlsx]原始数据'!$A:$A,0)),""))</f>
        <v/>
      </c>
      <c r="M693">
        <f>IF($A693="","",IFERROR(INDEX('[AQ_2021.xlsx]原始数据'!$D:$D,MATCH($A693,'[AQ_2021.xlsx]原始数据'!$A:$A,0)),""))</f>
        <v/>
      </c>
      <c r="N693">
        <f>IF($A693="","",IFERROR(INDEX('[AQ_2022.xlsx]原始数据'!$D:$D,MATCH($A693,'[AQ_2022.xlsx]原始数据'!$A:$A,0)),""))</f>
        <v/>
      </c>
      <c r="O693">
        <f>IF($A693="","",IFERROR(INDEX('[AQ_2023.xlsx]原始数据'!$D:$D,MATCH($A693,'[AQ_2023.xlsx]原始数据'!$A:$A,0)),""))</f>
        <v/>
      </c>
      <c r="P693">
        <f>IF($A693="","",IFERROR(INDEX('[AQ_2024.xlsx]原始数据'!$D:$D,MATCH($A693,'[AQ_2024.xlsx]原始数据'!$A:$A,0)),""))</f>
        <v/>
      </c>
      <c r="Q693">
        <f>IF($A693="","",IFERROR(INDEX('[AQ_2020.xlsx]原始数据'!$E:$E,MATCH($A693,'[AQ_2020.xlsx]原始数据'!$A:$A,0)),""))</f>
        <v/>
      </c>
      <c r="R693">
        <f>IF($A693="","",IFERROR(INDEX('[AQ_2021.xlsx]原始数据'!$E:$E,MATCH($A693,'[AQ_2021.xlsx]原始数据'!$A:$A,0)),""))</f>
        <v/>
      </c>
      <c r="S693">
        <f>IF($A693="","",IFERROR(INDEX('[AQ_2022.xlsx]原始数据'!$E:$E,MATCH($A693,'[AQ_2022.xlsx]原始数据'!$A:$A,0)),""))</f>
        <v/>
      </c>
      <c r="T693">
        <f>IF($A693="","",IFERROR(INDEX('[AQ_2023.xlsx]原始数据'!$E:$E,MATCH($A693,'[AQ_2023.xlsx]原始数据'!$A:$A,0)),""))</f>
        <v/>
      </c>
      <c r="U693">
        <f>IF($A693="","",IFERROR(INDEX('[AQ_2024.xlsx]原始数据'!$E:$E,MATCH($A693,'[AQ_2024.xlsx]原始数据'!$A:$A,0)),""))</f>
        <v/>
      </c>
      <c r="V693">
        <f>IF($A693="","",IFERROR(INDEX('[AQ_2020.xlsx]原始数据'!$F:$F,MATCH($A693,'[AQ_2020.xlsx]原始数据'!$A:$A,0)),""))</f>
        <v/>
      </c>
      <c r="W693">
        <f>IF($A693="","",IFERROR(INDEX('[AQ_2021.xlsx]原始数据'!$F:$F,MATCH($A693,'[AQ_2021.xlsx]原始数据'!$A:$A,0)),""))</f>
        <v/>
      </c>
      <c r="X693">
        <f>IF($A693="","",IFERROR(INDEX('[AQ_2022.xlsx]原始数据'!$F:$F,MATCH($A693,'[AQ_2022.xlsx]原始数据'!$A:$A,0)),""))</f>
        <v/>
      </c>
      <c r="Y693">
        <f>IF($A693="","",IFERROR(INDEX('[AQ_2023.xlsx]原始数据'!$F:$F,MATCH($A693,'[AQ_2023.xlsx]原始数据'!$A:$A,0)),""))</f>
        <v/>
      </c>
      <c r="Z693">
        <f>IF($A693="","",IFERROR(INDEX('[AQ_2024.xlsx]原始数据'!$F:$F,MATCH($A693,'[AQ_2024.xlsx]原始数据'!$A:$A,0)),""))</f>
        <v/>
      </c>
      <c r="AA693" s="2">
        <f>IFERROR(G693/B693,"")</f>
        <v/>
      </c>
      <c r="AB693" s="2">
        <f>IFERROR(H693/C693,"")</f>
        <v/>
      </c>
      <c r="AC693" s="2">
        <f>IFERROR(I693/D693,"")</f>
        <v/>
      </c>
      <c r="AD693" s="2">
        <f>IFERROR(J693/E693,"")</f>
        <v/>
      </c>
      <c r="AE693" s="2">
        <f>IFERROR(K693/F693,"")</f>
        <v/>
      </c>
      <c r="AF693" s="2">
        <f>IFERROR(L693/B693,"")</f>
        <v/>
      </c>
      <c r="AG693" s="2">
        <f>IFERROR(M693/C693,"")</f>
        <v/>
      </c>
      <c r="AH693" s="2">
        <f>IFERROR(N693/D693,"")</f>
        <v/>
      </c>
      <c r="AI693" s="2">
        <f>IFERROR(O693/E693,"")</f>
        <v/>
      </c>
      <c r="AJ693" s="2">
        <f>IFERROR(P693/F693,"")</f>
        <v/>
      </c>
      <c r="AK693" s="2">
        <f>IFERROR(Q693/B693,"")</f>
        <v/>
      </c>
      <c r="AL693" s="2">
        <f>IFERROR(R693/C693,"")</f>
        <v/>
      </c>
      <c r="AM693" s="2">
        <f>IFERROR(S693/D693,"")</f>
        <v/>
      </c>
      <c r="AN693" s="2">
        <f>IFERROR(T693/E693,"")</f>
        <v/>
      </c>
      <c r="AO693" s="2">
        <f>IFERROR(U693/F693,"")</f>
        <v/>
      </c>
    </row>
    <row r="694">
      <c r="B694">
        <f>IF($A694="","",IFERROR(INDEX('[AQ_2020.xlsx]原始数据'!$B:$B,MATCH($A694,'[AQ_2020.xlsx]原始数据'!$A:$A,0)),""))</f>
        <v/>
      </c>
      <c r="C694">
        <f>IF($A694="","",IFERROR(INDEX('[AQ_2021.xlsx]原始数据'!$B:$B,MATCH($A694,'[AQ_2021.xlsx]原始数据'!$A:$A,0)),""))</f>
        <v/>
      </c>
      <c r="D694">
        <f>IF($A694="","",IFERROR(INDEX('[AQ_2022.xlsx]原始数据'!$B:$B,MATCH($A694,'[AQ_2022.xlsx]原始数据'!$A:$A,0)),""))</f>
        <v/>
      </c>
      <c r="E694">
        <f>IF($A694="","",IFERROR(INDEX('[AQ_2023.xlsx]原始数据'!$B:$B,MATCH($A694,'[AQ_2023.xlsx]原始数据'!$A:$A,0)),""))</f>
        <v/>
      </c>
      <c r="F694">
        <f>IF($A694="","",IFERROR(INDEX('[AQ_2024.xlsx]原始数据'!$B:$B,MATCH($A694,'[AQ_2024.xlsx]原始数据'!$A:$A,0)),""))</f>
        <v/>
      </c>
      <c r="G694">
        <f>IF($A694="","",IFERROR(INDEX('[AQ_2020.xlsx]原始数据'!$C:$C,MATCH($A694,'[AQ_2020.xlsx]原始数据'!$A:$A,0)),""))</f>
        <v/>
      </c>
      <c r="H694">
        <f>IF($A694="","",IFERROR(INDEX('[AQ_2021.xlsx]原始数据'!$C:$C,MATCH($A694,'[AQ_2021.xlsx]原始数据'!$A:$A,0)),""))</f>
        <v/>
      </c>
      <c r="I694">
        <f>IF($A694="","",IFERROR(INDEX('[AQ_2022.xlsx]原始数据'!$C:$C,MATCH($A694,'[AQ_2022.xlsx]原始数据'!$A:$A,0)),""))</f>
        <v/>
      </c>
      <c r="J694">
        <f>IF($A694="","",IFERROR(INDEX('[AQ_2023.xlsx]原始数据'!$C:$C,MATCH($A694,'[AQ_2023.xlsx]原始数据'!$A:$A,0)),""))</f>
        <v/>
      </c>
      <c r="K694">
        <f>IF($A694="","",IFERROR(INDEX('[AQ_2024.xlsx]原始数据'!$C:$C,MATCH($A694,'[AQ_2024.xlsx]原始数据'!$A:$A,0)),""))</f>
        <v/>
      </c>
      <c r="L694">
        <f>IF($A694="","",IFERROR(INDEX('[AQ_2020.xlsx]原始数据'!$D:$D,MATCH($A694,'[AQ_2020.xlsx]原始数据'!$A:$A,0)),""))</f>
        <v/>
      </c>
      <c r="M694">
        <f>IF($A694="","",IFERROR(INDEX('[AQ_2021.xlsx]原始数据'!$D:$D,MATCH($A694,'[AQ_2021.xlsx]原始数据'!$A:$A,0)),""))</f>
        <v/>
      </c>
      <c r="N694">
        <f>IF($A694="","",IFERROR(INDEX('[AQ_2022.xlsx]原始数据'!$D:$D,MATCH($A694,'[AQ_2022.xlsx]原始数据'!$A:$A,0)),""))</f>
        <v/>
      </c>
      <c r="O694">
        <f>IF($A694="","",IFERROR(INDEX('[AQ_2023.xlsx]原始数据'!$D:$D,MATCH($A694,'[AQ_2023.xlsx]原始数据'!$A:$A,0)),""))</f>
        <v/>
      </c>
      <c r="P694">
        <f>IF($A694="","",IFERROR(INDEX('[AQ_2024.xlsx]原始数据'!$D:$D,MATCH($A694,'[AQ_2024.xlsx]原始数据'!$A:$A,0)),""))</f>
        <v/>
      </c>
      <c r="Q694">
        <f>IF($A694="","",IFERROR(INDEX('[AQ_2020.xlsx]原始数据'!$E:$E,MATCH($A694,'[AQ_2020.xlsx]原始数据'!$A:$A,0)),""))</f>
        <v/>
      </c>
      <c r="R694">
        <f>IF($A694="","",IFERROR(INDEX('[AQ_2021.xlsx]原始数据'!$E:$E,MATCH($A694,'[AQ_2021.xlsx]原始数据'!$A:$A,0)),""))</f>
        <v/>
      </c>
      <c r="S694">
        <f>IF($A694="","",IFERROR(INDEX('[AQ_2022.xlsx]原始数据'!$E:$E,MATCH($A694,'[AQ_2022.xlsx]原始数据'!$A:$A,0)),""))</f>
        <v/>
      </c>
      <c r="T694">
        <f>IF($A694="","",IFERROR(INDEX('[AQ_2023.xlsx]原始数据'!$E:$E,MATCH($A694,'[AQ_2023.xlsx]原始数据'!$A:$A,0)),""))</f>
        <v/>
      </c>
      <c r="U694">
        <f>IF($A694="","",IFERROR(INDEX('[AQ_2024.xlsx]原始数据'!$E:$E,MATCH($A694,'[AQ_2024.xlsx]原始数据'!$A:$A,0)),""))</f>
        <v/>
      </c>
      <c r="V694">
        <f>IF($A694="","",IFERROR(INDEX('[AQ_2020.xlsx]原始数据'!$F:$F,MATCH($A694,'[AQ_2020.xlsx]原始数据'!$A:$A,0)),""))</f>
        <v/>
      </c>
      <c r="W694">
        <f>IF($A694="","",IFERROR(INDEX('[AQ_2021.xlsx]原始数据'!$F:$F,MATCH($A694,'[AQ_2021.xlsx]原始数据'!$A:$A,0)),""))</f>
        <v/>
      </c>
      <c r="X694">
        <f>IF($A694="","",IFERROR(INDEX('[AQ_2022.xlsx]原始数据'!$F:$F,MATCH($A694,'[AQ_2022.xlsx]原始数据'!$A:$A,0)),""))</f>
        <v/>
      </c>
      <c r="Y694">
        <f>IF($A694="","",IFERROR(INDEX('[AQ_2023.xlsx]原始数据'!$F:$F,MATCH($A694,'[AQ_2023.xlsx]原始数据'!$A:$A,0)),""))</f>
        <v/>
      </c>
      <c r="Z694">
        <f>IF($A694="","",IFERROR(INDEX('[AQ_2024.xlsx]原始数据'!$F:$F,MATCH($A694,'[AQ_2024.xlsx]原始数据'!$A:$A,0)),""))</f>
        <v/>
      </c>
      <c r="AA694" s="2">
        <f>IFERROR(G694/B694,"")</f>
        <v/>
      </c>
      <c r="AB694" s="2">
        <f>IFERROR(H694/C694,"")</f>
        <v/>
      </c>
      <c r="AC694" s="2">
        <f>IFERROR(I694/D694,"")</f>
        <v/>
      </c>
      <c r="AD694" s="2">
        <f>IFERROR(J694/E694,"")</f>
        <v/>
      </c>
      <c r="AE694" s="2">
        <f>IFERROR(K694/F694,"")</f>
        <v/>
      </c>
      <c r="AF694" s="2">
        <f>IFERROR(L694/B694,"")</f>
        <v/>
      </c>
      <c r="AG694" s="2">
        <f>IFERROR(M694/C694,"")</f>
        <v/>
      </c>
      <c r="AH694" s="2">
        <f>IFERROR(N694/D694,"")</f>
        <v/>
      </c>
      <c r="AI694" s="2">
        <f>IFERROR(O694/E694,"")</f>
        <v/>
      </c>
      <c r="AJ694" s="2">
        <f>IFERROR(P694/F694,"")</f>
        <v/>
      </c>
      <c r="AK694" s="2">
        <f>IFERROR(Q694/B694,"")</f>
        <v/>
      </c>
      <c r="AL694" s="2">
        <f>IFERROR(R694/C694,"")</f>
        <v/>
      </c>
      <c r="AM694" s="2">
        <f>IFERROR(S694/D694,"")</f>
        <v/>
      </c>
      <c r="AN694" s="2">
        <f>IFERROR(T694/E694,"")</f>
        <v/>
      </c>
      <c r="AO694" s="2">
        <f>IFERROR(U694/F694,"")</f>
        <v/>
      </c>
    </row>
    <row r="695">
      <c r="B695">
        <f>IF($A695="","",IFERROR(INDEX('[AQ_2020.xlsx]原始数据'!$B:$B,MATCH($A695,'[AQ_2020.xlsx]原始数据'!$A:$A,0)),""))</f>
        <v/>
      </c>
      <c r="C695">
        <f>IF($A695="","",IFERROR(INDEX('[AQ_2021.xlsx]原始数据'!$B:$B,MATCH($A695,'[AQ_2021.xlsx]原始数据'!$A:$A,0)),""))</f>
        <v/>
      </c>
      <c r="D695">
        <f>IF($A695="","",IFERROR(INDEX('[AQ_2022.xlsx]原始数据'!$B:$B,MATCH($A695,'[AQ_2022.xlsx]原始数据'!$A:$A,0)),""))</f>
        <v/>
      </c>
      <c r="E695">
        <f>IF($A695="","",IFERROR(INDEX('[AQ_2023.xlsx]原始数据'!$B:$B,MATCH($A695,'[AQ_2023.xlsx]原始数据'!$A:$A,0)),""))</f>
        <v/>
      </c>
      <c r="F695">
        <f>IF($A695="","",IFERROR(INDEX('[AQ_2024.xlsx]原始数据'!$B:$B,MATCH($A695,'[AQ_2024.xlsx]原始数据'!$A:$A,0)),""))</f>
        <v/>
      </c>
      <c r="G695">
        <f>IF($A695="","",IFERROR(INDEX('[AQ_2020.xlsx]原始数据'!$C:$C,MATCH($A695,'[AQ_2020.xlsx]原始数据'!$A:$A,0)),""))</f>
        <v/>
      </c>
      <c r="H695">
        <f>IF($A695="","",IFERROR(INDEX('[AQ_2021.xlsx]原始数据'!$C:$C,MATCH($A695,'[AQ_2021.xlsx]原始数据'!$A:$A,0)),""))</f>
        <v/>
      </c>
      <c r="I695">
        <f>IF($A695="","",IFERROR(INDEX('[AQ_2022.xlsx]原始数据'!$C:$C,MATCH($A695,'[AQ_2022.xlsx]原始数据'!$A:$A,0)),""))</f>
        <v/>
      </c>
      <c r="J695">
        <f>IF($A695="","",IFERROR(INDEX('[AQ_2023.xlsx]原始数据'!$C:$C,MATCH($A695,'[AQ_2023.xlsx]原始数据'!$A:$A,0)),""))</f>
        <v/>
      </c>
      <c r="K695">
        <f>IF($A695="","",IFERROR(INDEX('[AQ_2024.xlsx]原始数据'!$C:$C,MATCH($A695,'[AQ_2024.xlsx]原始数据'!$A:$A,0)),""))</f>
        <v/>
      </c>
      <c r="L695">
        <f>IF($A695="","",IFERROR(INDEX('[AQ_2020.xlsx]原始数据'!$D:$D,MATCH($A695,'[AQ_2020.xlsx]原始数据'!$A:$A,0)),""))</f>
        <v/>
      </c>
      <c r="M695">
        <f>IF($A695="","",IFERROR(INDEX('[AQ_2021.xlsx]原始数据'!$D:$D,MATCH($A695,'[AQ_2021.xlsx]原始数据'!$A:$A,0)),""))</f>
        <v/>
      </c>
      <c r="N695">
        <f>IF($A695="","",IFERROR(INDEX('[AQ_2022.xlsx]原始数据'!$D:$D,MATCH($A695,'[AQ_2022.xlsx]原始数据'!$A:$A,0)),""))</f>
        <v/>
      </c>
      <c r="O695">
        <f>IF($A695="","",IFERROR(INDEX('[AQ_2023.xlsx]原始数据'!$D:$D,MATCH($A695,'[AQ_2023.xlsx]原始数据'!$A:$A,0)),""))</f>
        <v/>
      </c>
      <c r="P695">
        <f>IF($A695="","",IFERROR(INDEX('[AQ_2024.xlsx]原始数据'!$D:$D,MATCH($A695,'[AQ_2024.xlsx]原始数据'!$A:$A,0)),""))</f>
        <v/>
      </c>
      <c r="Q695">
        <f>IF($A695="","",IFERROR(INDEX('[AQ_2020.xlsx]原始数据'!$E:$E,MATCH($A695,'[AQ_2020.xlsx]原始数据'!$A:$A,0)),""))</f>
        <v/>
      </c>
      <c r="R695">
        <f>IF($A695="","",IFERROR(INDEX('[AQ_2021.xlsx]原始数据'!$E:$E,MATCH($A695,'[AQ_2021.xlsx]原始数据'!$A:$A,0)),""))</f>
        <v/>
      </c>
      <c r="S695">
        <f>IF($A695="","",IFERROR(INDEX('[AQ_2022.xlsx]原始数据'!$E:$E,MATCH($A695,'[AQ_2022.xlsx]原始数据'!$A:$A,0)),""))</f>
        <v/>
      </c>
      <c r="T695">
        <f>IF($A695="","",IFERROR(INDEX('[AQ_2023.xlsx]原始数据'!$E:$E,MATCH($A695,'[AQ_2023.xlsx]原始数据'!$A:$A,0)),""))</f>
        <v/>
      </c>
      <c r="U695">
        <f>IF($A695="","",IFERROR(INDEX('[AQ_2024.xlsx]原始数据'!$E:$E,MATCH($A695,'[AQ_2024.xlsx]原始数据'!$A:$A,0)),""))</f>
        <v/>
      </c>
      <c r="V695">
        <f>IF($A695="","",IFERROR(INDEX('[AQ_2020.xlsx]原始数据'!$F:$F,MATCH($A695,'[AQ_2020.xlsx]原始数据'!$A:$A,0)),""))</f>
        <v/>
      </c>
      <c r="W695">
        <f>IF($A695="","",IFERROR(INDEX('[AQ_2021.xlsx]原始数据'!$F:$F,MATCH($A695,'[AQ_2021.xlsx]原始数据'!$A:$A,0)),""))</f>
        <v/>
      </c>
      <c r="X695">
        <f>IF($A695="","",IFERROR(INDEX('[AQ_2022.xlsx]原始数据'!$F:$F,MATCH($A695,'[AQ_2022.xlsx]原始数据'!$A:$A,0)),""))</f>
        <v/>
      </c>
      <c r="Y695">
        <f>IF($A695="","",IFERROR(INDEX('[AQ_2023.xlsx]原始数据'!$F:$F,MATCH($A695,'[AQ_2023.xlsx]原始数据'!$A:$A,0)),""))</f>
        <v/>
      </c>
      <c r="Z695">
        <f>IF($A695="","",IFERROR(INDEX('[AQ_2024.xlsx]原始数据'!$F:$F,MATCH($A695,'[AQ_2024.xlsx]原始数据'!$A:$A,0)),""))</f>
        <v/>
      </c>
      <c r="AA695" s="2">
        <f>IFERROR(G695/B695,"")</f>
        <v/>
      </c>
      <c r="AB695" s="2">
        <f>IFERROR(H695/C695,"")</f>
        <v/>
      </c>
      <c r="AC695" s="2">
        <f>IFERROR(I695/D695,"")</f>
        <v/>
      </c>
      <c r="AD695" s="2">
        <f>IFERROR(J695/E695,"")</f>
        <v/>
      </c>
      <c r="AE695" s="2">
        <f>IFERROR(K695/F695,"")</f>
        <v/>
      </c>
      <c r="AF695" s="2">
        <f>IFERROR(L695/B695,"")</f>
        <v/>
      </c>
      <c r="AG695" s="2">
        <f>IFERROR(M695/C695,"")</f>
        <v/>
      </c>
      <c r="AH695" s="2">
        <f>IFERROR(N695/D695,"")</f>
        <v/>
      </c>
      <c r="AI695" s="2">
        <f>IFERROR(O695/E695,"")</f>
        <v/>
      </c>
      <c r="AJ695" s="2">
        <f>IFERROR(P695/F695,"")</f>
        <v/>
      </c>
      <c r="AK695" s="2">
        <f>IFERROR(Q695/B695,"")</f>
        <v/>
      </c>
      <c r="AL695" s="2">
        <f>IFERROR(R695/C695,"")</f>
        <v/>
      </c>
      <c r="AM695" s="2">
        <f>IFERROR(S695/D695,"")</f>
        <v/>
      </c>
      <c r="AN695" s="2">
        <f>IFERROR(T695/E695,"")</f>
        <v/>
      </c>
      <c r="AO695" s="2">
        <f>IFERROR(U695/F695,"")</f>
        <v/>
      </c>
    </row>
    <row r="696">
      <c r="B696">
        <f>IF($A696="","",IFERROR(INDEX('[AQ_2020.xlsx]原始数据'!$B:$B,MATCH($A696,'[AQ_2020.xlsx]原始数据'!$A:$A,0)),""))</f>
        <v/>
      </c>
      <c r="C696">
        <f>IF($A696="","",IFERROR(INDEX('[AQ_2021.xlsx]原始数据'!$B:$B,MATCH($A696,'[AQ_2021.xlsx]原始数据'!$A:$A,0)),""))</f>
        <v/>
      </c>
      <c r="D696">
        <f>IF($A696="","",IFERROR(INDEX('[AQ_2022.xlsx]原始数据'!$B:$B,MATCH($A696,'[AQ_2022.xlsx]原始数据'!$A:$A,0)),""))</f>
        <v/>
      </c>
      <c r="E696">
        <f>IF($A696="","",IFERROR(INDEX('[AQ_2023.xlsx]原始数据'!$B:$B,MATCH($A696,'[AQ_2023.xlsx]原始数据'!$A:$A,0)),""))</f>
        <v/>
      </c>
      <c r="F696">
        <f>IF($A696="","",IFERROR(INDEX('[AQ_2024.xlsx]原始数据'!$B:$B,MATCH($A696,'[AQ_2024.xlsx]原始数据'!$A:$A,0)),""))</f>
        <v/>
      </c>
      <c r="G696">
        <f>IF($A696="","",IFERROR(INDEX('[AQ_2020.xlsx]原始数据'!$C:$C,MATCH($A696,'[AQ_2020.xlsx]原始数据'!$A:$A,0)),""))</f>
        <v/>
      </c>
      <c r="H696">
        <f>IF($A696="","",IFERROR(INDEX('[AQ_2021.xlsx]原始数据'!$C:$C,MATCH($A696,'[AQ_2021.xlsx]原始数据'!$A:$A,0)),""))</f>
        <v/>
      </c>
      <c r="I696">
        <f>IF($A696="","",IFERROR(INDEX('[AQ_2022.xlsx]原始数据'!$C:$C,MATCH($A696,'[AQ_2022.xlsx]原始数据'!$A:$A,0)),""))</f>
        <v/>
      </c>
      <c r="J696">
        <f>IF($A696="","",IFERROR(INDEX('[AQ_2023.xlsx]原始数据'!$C:$C,MATCH($A696,'[AQ_2023.xlsx]原始数据'!$A:$A,0)),""))</f>
        <v/>
      </c>
      <c r="K696">
        <f>IF($A696="","",IFERROR(INDEX('[AQ_2024.xlsx]原始数据'!$C:$C,MATCH($A696,'[AQ_2024.xlsx]原始数据'!$A:$A,0)),""))</f>
        <v/>
      </c>
      <c r="L696">
        <f>IF($A696="","",IFERROR(INDEX('[AQ_2020.xlsx]原始数据'!$D:$D,MATCH($A696,'[AQ_2020.xlsx]原始数据'!$A:$A,0)),""))</f>
        <v/>
      </c>
      <c r="M696">
        <f>IF($A696="","",IFERROR(INDEX('[AQ_2021.xlsx]原始数据'!$D:$D,MATCH($A696,'[AQ_2021.xlsx]原始数据'!$A:$A,0)),""))</f>
        <v/>
      </c>
      <c r="N696">
        <f>IF($A696="","",IFERROR(INDEX('[AQ_2022.xlsx]原始数据'!$D:$D,MATCH($A696,'[AQ_2022.xlsx]原始数据'!$A:$A,0)),""))</f>
        <v/>
      </c>
      <c r="O696">
        <f>IF($A696="","",IFERROR(INDEX('[AQ_2023.xlsx]原始数据'!$D:$D,MATCH($A696,'[AQ_2023.xlsx]原始数据'!$A:$A,0)),""))</f>
        <v/>
      </c>
      <c r="P696">
        <f>IF($A696="","",IFERROR(INDEX('[AQ_2024.xlsx]原始数据'!$D:$D,MATCH($A696,'[AQ_2024.xlsx]原始数据'!$A:$A,0)),""))</f>
        <v/>
      </c>
      <c r="Q696">
        <f>IF($A696="","",IFERROR(INDEX('[AQ_2020.xlsx]原始数据'!$E:$E,MATCH($A696,'[AQ_2020.xlsx]原始数据'!$A:$A,0)),""))</f>
        <v/>
      </c>
      <c r="R696">
        <f>IF($A696="","",IFERROR(INDEX('[AQ_2021.xlsx]原始数据'!$E:$E,MATCH($A696,'[AQ_2021.xlsx]原始数据'!$A:$A,0)),""))</f>
        <v/>
      </c>
      <c r="S696">
        <f>IF($A696="","",IFERROR(INDEX('[AQ_2022.xlsx]原始数据'!$E:$E,MATCH($A696,'[AQ_2022.xlsx]原始数据'!$A:$A,0)),""))</f>
        <v/>
      </c>
      <c r="T696">
        <f>IF($A696="","",IFERROR(INDEX('[AQ_2023.xlsx]原始数据'!$E:$E,MATCH($A696,'[AQ_2023.xlsx]原始数据'!$A:$A,0)),""))</f>
        <v/>
      </c>
      <c r="U696">
        <f>IF($A696="","",IFERROR(INDEX('[AQ_2024.xlsx]原始数据'!$E:$E,MATCH($A696,'[AQ_2024.xlsx]原始数据'!$A:$A,0)),""))</f>
        <v/>
      </c>
      <c r="V696">
        <f>IF($A696="","",IFERROR(INDEX('[AQ_2020.xlsx]原始数据'!$F:$F,MATCH($A696,'[AQ_2020.xlsx]原始数据'!$A:$A,0)),""))</f>
        <v/>
      </c>
      <c r="W696">
        <f>IF($A696="","",IFERROR(INDEX('[AQ_2021.xlsx]原始数据'!$F:$F,MATCH($A696,'[AQ_2021.xlsx]原始数据'!$A:$A,0)),""))</f>
        <v/>
      </c>
      <c r="X696">
        <f>IF($A696="","",IFERROR(INDEX('[AQ_2022.xlsx]原始数据'!$F:$F,MATCH($A696,'[AQ_2022.xlsx]原始数据'!$A:$A,0)),""))</f>
        <v/>
      </c>
      <c r="Y696">
        <f>IF($A696="","",IFERROR(INDEX('[AQ_2023.xlsx]原始数据'!$F:$F,MATCH($A696,'[AQ_2023.xlsx]原始数据'!$A:$A,0)),""))</f>
        <v/>
      </c>
      <c r="Z696">
        <f>IF($A696="","",IFERROR(INDEX('[AQ_2024.xlsx]原始数据'!$F:$F,MATCH($A696,'[AQ_2024.xlsx]原始数据'!$A:$A,0)),""))</f>
        <v/>
      </c>
      <c r="AA696" s="2">
        <f>IFERROR(G696/B696,"")</f>
        <v/>
      </c>
      <c r="AB696" s="2">
        <f>IFERROR(H696/C696,"")</f>
        <v/>
      </c>
      <c r="AC696" s="2">
        <f>IFERROR(I696/D696,"")</f>
        <v/>
      </c>
      <c r="AD696" s="2">
        <f>IFERROR(J696/E696,"")</f>
        <v/>
      </c>
      <c r="AE696" s="2">
        <f>IFERROR(K696/F696,"")</f>
        <v/>
      </c>
      <c r="AF696" s="2">
        <f>IFERROR(L696/B696,"")</f>
        <v/>
      </c>
      <c r="AG696" s="2">
        <f>IFERROR(M696/C696,"")</f>
        <v/>
      </c>
      <c r="AH696" s="2">
        <f>IFERROR(N696/D696,"")</f>
        <v/>
      </c>
      <c r="AI696" s="2">
        <f>IFERROR(O696/E696,"")</f>
        <v/>
      </c>
      <c r="AJ696" s="2">
        <f>IFERROR(P696/F696,"")</f>
        <v/>
      </c>
      <c r="AK696" s="2">
        <f>IFERROR(Q696/B696,"")</f>
        <v/>
      </c>
      <c r="AL696" s="2">
        <f>IFERROR(R696/C696,"")</f>
        <v/>
      </c>
      <c r="AM696" s="2">
        <f>IFERROR(S696/D696,"")</f>
        <v/>
      </c>
      <c r="AN696" s="2">
        <f>IFERROR(T696/E696,"")</f>
        <v/>
      </c>
      <c r="AO696" s="2">
        <f>IFERROR(U696/F696,"")</f>
        <v/>
      </c>
    </row>
    <row r="697">
      <c r="B697">
        <f>IF($A697="","",IFERROR(INDEX('[AQ_2020.xlsx]原始数据'!$B:$B,MATCH($A697,'[AQ_2020.xlsx]原始数据'!$A:$A,0)),""))</f>
        <v/>
      </c>
      <c r="C697">
        <f>IF($A697="","",IFERROR(INDEX('[AQ_2021.xlsx]原始数据'!$B:$B,MATCH($A697,'[AQ_2021.xlsx]原始数据'!$A:$A,0)),""))</f>
        <v/>
      </c>
      <c r="D697">
        <f>IF($A697="","",IFERROR(INDEX('[AQ_2022.xlsx]原始数据'!$B:$B,MATCH($A697,'[AQ_2022.xlsx]原始数据'!$A:$A,0)),""))</f>
        <v/>
      </c>
      <c r="E697">
        <f>IF($A697="","",IFERROR(INDEX('[AQ_2023.xlsx]原始数据'!$B:$B,MATCH($A697,'[AQ_2023.xlsx]原始数据'!$A:$A,0)),""))</f>
        <v/>
      </c>
      <c r="F697">
        <f>IF($A697="","",IFERROR(INDEX('[AQ_2024.xlsx]原始数据'!$B:$B,MATCH($A697,'[AQ_2024.xlsx]原始数据'!$A:$A,0)),""))</f>
        <v/>
      </c>
      <c r="G697">
        <f>IF($A697="","",IFERROR(INDEX('[AQ_2020.xlsx]原始数据'!$C:$C,MATCH($A697,'[AQ_2020.xlsx]原始数据'!$A:$A,0)),""))</f>
        <v/>
      </c>
      <c r="H697">
        <f>IF($A697="","",IFERROR(INDEX('[AQ_2021.xlsx]原始数据'!$C:$C,MATCH($A697,'[AQ_2021.xlsx]原始数据'!$A:$A,0)),""))</f>
        <v/>
      </c>
      <c r="I697">
        <f>IF($A697="","",IFERROR(INDEX('[AQ_2022.xlsx]原始数据'!$C:$C,MATCH($A697,'[AQ_2022.xlsx]原始数据'!$A:$A,0)),""))</f>
        <v/>
      </c>
      <c r="J697">
        <f>IF($A697="","",IFERROR(INDEX('[AQ_2023.xlsx]原始数据'!$C:$C,MATCH($A697,'[AQ_2023.xlsx]原始数据'!$A:$A,0)),""))</f>
        <v/>
      </c>
      <c r="K697">
        <f>IF($A697="","",IFERROR(INDEX('[AQ_2024.xlsx]原始数据'!$C:$C,MATCH($A697,'[AQ_2024.xlsx]原始数据'!$A:$A,0)),""))</f>
        <v/>
      </c>
      <c r="L697">
        <f>IF($A697="","",IFERROR(INDEX('[AQ_2020.xlsx]原始数据'!$D:$D,MATCH($A697,'[AQ_2020.xlsx]原始数据'!$A:$A,0)),""))</f>
        <v/>
      </c>
      <c r="M697">
        <f>IF($A697="","",IFERROR(INDEX('[AQ_2021.xlsx]原始数据'!$D:$D,MATCH($A697,'[AQ_2021.xlsx]原始数据'!$A:$A,0)),""))</f>
        <v/>
      </c>
      <c r="N697">
        <f>IF($A697="","",IFERROR(INDEX('[AQ_2022.xlsx]原始数据'!$D:$D,MATCH($A697,'[AQ_2022.xlsx]原始数据'!$A:$A,0)),""))</f>
        <v/>
      </c>
      <c r="O697">
        <f>IF($A697="","",IFERROR(INDEX('[AQ_2023.xlsx]原始数据'!$D:$D,MATCH($A697,'[AQ_2023.xlsx]原始数据'!$A:$A,0)),""))</f>
        <v/>
      </c>
      <c r="P697">
        <f>IF($A697="","",IFERROR(INDEX('[AQ_2024.xlsx]原始数据'!$D:$D,MATCH($A697,'[AQ_2024.xlsx]原始数据'!$A:$A,0)),""))</f>
        <v/>
      </c>
      <c r="Q697">
        <f>IF($A697="","",IFERROR(INDEX('[AQ_2020.xlsx]原始数据'!$E:$E,MATCH($A697,'[AQ_2020.xlsx]原始数据'!$A:$A,0)),""))</f>
        <v/>
      </c>
      <c r="R697">
        <f>IF($A697="","",IFERROR(INDEX('[AQ_2021.xlsx]原始数据'!$E:$E,MATCH($A697,'[AQ_2021.xlsx]原始数据'!$A:$A,0)),""))</f>
        <v/>
      </c>
      <c r="S697">
        <f>IF($A697="","",IFERROR(INDEX('[AQ_2022.xlsx]原始数据'!$E:$E,MATCH($A697,'[AQ_2022.xlsx]原始数据'!$A:$A,0)),""))</f>
        <v/>
      </c>
      <c r="T697">
        <f>IF($A697="","",IFERROR(INDEX('[AQ_2023.xlsx]原始数据'!$E:$E,MATCH($A697,'[AQ_2023.xlsx]原始数据'!$A:$A,0)),""))</f>
        <v/>
      </c>
      <c r="U697">
        <f>IF($A697="","",IFERROR(INDEX('[AQ_2024.xlsx]原始数据'!$E:$E,MATCH($A697,'[AQ_2024.xlsx]原始数据'!$A:$A,0)),""))</f>
        <v/>
      </c>
      <c r="V697">
        <f>IF($A697="","",IFERROR(INDEX('[AQ_2020.xlsx]原始数据'!$F:$F,MATCH($A697,'[AQ_2020.xlsx]原始数据'!$A:$A,0)),""))</f>
        <v/>
      </c>
      <c r="W697">
        <f>IF($A697="","",IFERROR(INDEX('[AQ_2021.xlsx]原始数据'!$F:$F,MATCH($A697,'[AQ_2021.xlsx]原始数据'!$A:$A,0)),""))</f>
        <v/>
      </c>
      <c r="X697">
        <f>IF($A697="","",IFERROR(INDEX('[AQ_2022.xlsx]原始数据'!$F:$F,MATCH($A697,'[AQ_2022.xlsx]原始数据'!$A:$A,0)),""))</f>
        <v/>
      </c>
      <c r="Y697">
        <f>IF($A697="","",IFERROR(INDEX('[AQ_2023.xlsx]原始数据'!$F:$F,MATCH($A697,'[AQ_2023.xlsx]原始数据'!$A:$A,0)),""))</f>
        <v/>
      </c>
      <c r="Z697">
        <f>IF($A697="","",IFERROR(INDEX('[AQ_2024.xlsx]原始数据'!$F:$F,MATCH($A697,'[AQ_2024.xlsx]原始数据'!$A:$A,0)),""))</f>
        <v/>
      </c>
      <c r="AA697" s="2">
        <f>IFERROR(G697/B697,"")</f>
        <v/>
      </c>
      <c r="AB697" s="2">
        <f>IFERROR(H697/C697,"")</f>
        <v/>
      </c>
      <c r="AC697" s="2">
        <f>IFERROR(I697/D697,"")</f>
        <v/>
      </c>
      <c r="AD697" s="2">
        <f>IFERROR(J697/E697,"")</f>
        <v/>
      </c>
      <c r="AE697" s="2">
        <f>IFERROR(K697/F697,"")</f>
        <v/>
      </c>
      <c r="AF697" s="2">
        <f>IFERROR(L697/B697,"")</f>
        <v/>
      </c>
      <c r="AG697" s="2">
        <f>IFERROR(M697/C697,"")</f>
        <v/>
      </c>
      <c r="AH697" s="2">
        <f>IFERROR(N697/D697,"")</f>
        <v/>
      </c>
      <c r="AI697" s="2">
        <f>IFERROR(O697/E697,"")</f>
        <v/>
      </c>
      <c r="AJ697" s="2">
        <f>IFERROR(P697/F697,"")</f>
        <v/>
      </c>
      <c r="AK697" s="2">
        <f>IFERROR(Q697/B697,"")</f>
        <v/>
      </c>
      <c r="AL697" s="2">
        <f>IFERROR(R697/C697,"")</f>
        <v/>
      </c>
      <c r="AM697" s="2">
        <f>IFERROR(S697/D697,"")</f>
        <v/>
      </c>
      <c r="AN697" s="2">
        <f>IFERROR(T697/E697,"")</f>
        <v/>
      </c>
      <c r="AO697" s="2">
        <f>IFERROR(U697/F697,"")</f>
        <v/>
      </c>
    </row>
    <row r="698">
      <c r="B698">
        <f>IF($A698="","",IFERROR(INDEX('[AQ_2020.xlsx]原始数据'!$B:$B,MATCH($A698,'[AQ_2020.xlsx]原始数据'!$A:$A,0)),""))</f>
        <v/>
      </c>
      <c r="C698">
        <f>IF($A698="","",IFERROR(INDEX('[AQ_2021.xlsx]原始数据'!$B:$B,MATCH($A698,'[AQ_2021.xlsx]原始数据'!$A:$A,0)),""))</f>
        <v/>
      </c>
      <c r="D698">
        <f>IF($A698="","",IFERROR(INDEX('[AQ_2022.xlsx]原始数据'!$B:$B,MATCH($A698,'[AQ_2022.xlsx]原始数据'!$A:$A,0)),""))</f>
        <v/>
      </c>
      <c r="E698">
        <f>IF($A698="","",IFERROR(INDEX('[AQ_2023.xlsx]原始数据'!$B:$B,MATCH($A698,'[AQ_2023.xlsx]原始数据'!$A:$A,0)),""))</f>
        <v/>
      </c>
      <c r="F698">
        <f>IF($A698="","",IFERROR(INDEX('[AQ_2024.xlsx]原始数据'!$B:$B,MATCH($A698,'[AQ_2024.xlsx]原始数据'!$A:$A,0)),""))</f>
        <v/>
      </c>
      <c r="G698">
        <f>IF($A698="","",IFERROR(INDEX('[AQ_2020.xlsx]原始数据'!$C:$C,MATCH($A698,'[AQ_2020.xlsx]原始数据'!$A:$A,0)),""))</f>
        <v/>
      </c>
      <c r="H698">
        <f>IF($A698="","",IFERROR(INDEX('[AQ_2021.xlsx]原始数据'!$C:$C,MATCH($A698,'[AQ_2021.xlsx]原始数据'!$A:$A,0)),""))</f>
        <v/>
      </c>
      <c r="I698">
        <f>IF($A698="","",IFERROR(INDEX('[AQ_2022.xlsx]原始数据'!$C:$C,MATCH($A698,'[AQ_2022.xlsx]原始数据'!$A:$A,0)),""))</f>
        <v/>
      </c>
      <c r="J698">
        <f>IF($A698="","",IFERROR(INDEX('[AQ_2023.xlsx]原始数据'!$C:$C,MATCH($A698,'[AQ_2023.xlsx]原始数据'!$A:$A,0)),""))</f>
        <v/>
      </c>
      <c r="K698">
        <f>IF($A698="","",IFERROR(INDEX('[AQ_2024.xlsx]原始数据'!$C:$C,MATCH($A698,'[AQ_2024.xlsx]原始数据'!$A:$A,0)),""))</f>
        <v/>
      </c>
      <c r="L698">
        <f>IF($A698="","",IFERROR(INDEX('[AQ_2020.xlsx]原始数据'!$D:$D,MATCH($A698,'[AQ_2020.xlsx]原始数据'!$A:$A,0)),""))</f>
        <v/>
      </c>
      <c r="M698">
        <f>IF($A698="","",IFERROR(INDEX('[AQ_2021.xlsx]原始数据'!$D:$D,MATCH($A698,'[AQ_2021.xlsx]原始数据'!$A:$A,0)),""))</f>
        <v/>
      </c>
      <c r="N698">
        <f>IF($A698="","",IFERROR(INDEX('[AQ_2022.xlsx]原始数据'!$D:$D,MATCH($A698,'[AQ_2022.xlsx]原始数据'!$A:$A,0)),""))</f>
        <v/>
      </c>
      <c r="O698">
        <f>IF($A698="","",IFERROR(INDEX('[AQ_2023.xlsx]原始数据'!$D:$D,MATCH($A698,'[AQ_2023.xlsx]原始数据'!$A:$A,0)),""))</f>
        <v/>
      </c>
      <c r="P698">
        <f>IF($A698="","",IFERROR(INDEX('[AQ_2024.xlsx]原始数据'!$D:$D,MATCH($A698,'[AQ_2024.xlsx]原始数据'!$A:$A,0)),""))</f>
        <v/>
      </c>
      <c r="Q698">
        <f>IF($A698="","",IFERROR(INDEX('[AQ_2020.xlsx]原始数据'!$E:$E,MATCH($A698,'[AQ_2020.xlsx]原始数据'!$A:$A,0)),""))</f>
        <v/>
      </c>
      <c r="R698">
        <f>IF($A698="","",IFERROR(INDEX('[AQ_2021.xlsx]原始数据'!$E:$E,MATCH($A698,'[AQ_2021.xlsx]原始数据'!$A:$A,0)),""))</f>
        <v/>
      </c>
      <c r="S698">
        <f>IF($A698="","",IFERROR(INDEX('[AQ_2022.xlsx]原始数据'!$E:$E,MATCH($A698,'[AQ_2022.xlsx]原始数据'!$A:$A,0)),""))</f>
        <v/>
      </c>
      <c r="T698">
        <f>IF($A698="","",IFERROR(INDEX('[AQ_2023.xlsx]原始数据'!$E:$E,MATCH($A698,'[AQ_2023.xlsx]原始数据'!$A:$A,0)),""))</f>
        <v/>
      </c>
      <c r="U698">
        <f>IF($A698="","",IFERROR(INDEX('[AQ_2024.xlsx]原始数据'!$E:$E,MATCH($A698,'[AQ_2024.xlsx]原始数据'!$A:$A,0)),""))</f>
        <v/>
      </c>
      <c r="V698">
        <f>IF($A698="","",IFERROR(INDEX('[AQ_2020.xlsx]原始数据'!$F:$F,MATCH($A698,'[AQ_2020.xlsx]原始数据'!$A:$A,0)),""))</f>
        <v/>
      </c>
      <c r="W698">
        <f>IF($A698="","",IFERROR(INDEX('[AQ_2021.xlsx]原始数据'!$F:$F,MATCH($A698,'[AQ_2021.xlsx]原始数据'!$A:$A,0)),""))</f>
        <v/>
      </c>
      <c r="X698">
        <f>IF($A698="","",IFERROR(INDEX('[AQ_2022.xlsx]原始数据'!$F:$F,MATCH($A698,'[AQ_2022.xlsx]原始数据'!$A:$A,0)),""))</f>
        <v/>
      </c>
      <c r="Y698">
        <f>IF($A698="","",IFERROR(INDEX('[AQ_2023.xlsx]原始数据'!$F:$F,MATCH($A698,'[AQ_2023.xlsx]原始数据'!$A:$A,0)),""))</f>
        <v/>
      </c>
      <c r="Z698">
        <f>IF($A698="","",IFERROR(INDEX('[AQ_2024.xlsx]原始数据'!$F:$F,MATCH($A698,'[AQ_2024.xlsx]原始数据'!$A:$A,0)),""))</f>
        <v/>
      </c>
      <c r="AA698" s="2">
        <f>IFERROR(G698/B698,"")</f>
        <v/>
      </c>
      <c r="AB698" s="2">
        <f>IFERROR(H698/C698,"")</f>
        <v/>
      </c>
      <c r="AC698" s="2">
        <f>IFERROR(I698/D698,"")</f>
        <v/>
      </c>
      <c r="AD698" s="2">
        <f>IFERROR(J698/E698,"")</f>
        <v/>
      </c>
      <c r="AE698" s="2">
        <f>IFERROR(K698/F698,"")</f>
        <v/>
      </c>
      <c r="AF698" s="2">
        <f>IFERROR(L698/B698,"")</f>
        <v/>
      </c>
      <c r="AG698" s="2">
        <f>IFERROR(M698/C698,"")</f>
        <v/>
      </c>
      <c r="AH698" s="2">
        <f>IFERROR(N698/D698,"")</f>
        <v/>
      </c>
      <c r="AI698" s="2">
        <f>IFERROR(O698/E698,"")</f>
        <v/>
      </c>
      <c r="AJ698" s="2">
        <f>IFERROR(P698/F698,"")</f>
        <v/>
      </c>
      <c r="AK698" s="2">
        <f>IFERROR(Q698/B698,"")</f>
        <v/>
      </c>
      <c r="AL698" s="2">
        <f>IFERROR(R698/C698,"")</f>
        <v/>
      </c>
      <c r="AM698" s="2">
        <f>IFERROR(S698/D698,"")</f>
        <v/>
      </c>
      <c r="AN698" s="2">
        <f>IFERROR(T698/E698,"")</f>
        <v/>
      </c>
      <c r="AO698" s="2">
        <f>IFERROR(U698/F698,"")</f>
        <v/>
      </c>
    </row>
    <row r="699">
      <c r="B699">
        <f>IF($A699="","",IFERROR(INDEX('[AQ_2020.xlsx]原始数据'!$B:$B,MATCH($A699,'[AQ_2020.xlsx]原始数据'!$A:$A,0)),""))</f>
        <v/>
      </c>
      <c r="C699">
        <f>IF($A699="","",IFERROR(INDEX('[AQ_2021.xlsx]原始数据'!$B:$B,MATCH($A699,'[AQ_2021.xlsx]原始数据'!$A:$A,0)),""))</f>
        <v/>
      </c>
      <c r="D699">
        <f>IF($A699="","",IFERROR(INDEX('[AQ_2022.xlsx]原始数据'!$B:$B,MATCH($A699,'[AQ_2022.xlsx]原始数据'!$A:$A,0)),""))</f>
        <v/>
      </c>
      <c r="E699">
        <f>IF($A699="","",IFERROR(INDEX('[AQ_2023.xlsx]原始数据'!$B:$B,MATCH($A699,'[AQ_2023.xlsx]原始数据'!$A:$A,0)),""))</f>
        <v/>
      </c>
      <c r="F699">
        <f>IF($A699="","",IFERROR(INDEX('[AQ_2024.xlsx]原始数据'!$B:$B,MATCH($A699,'[AQ_2024.xlsx]原始数据'!$A:$A,0)),""))</f>
        <v/>
      </c>
      <c r="G699">
        <f>IF($A699="","",IFERROR(INDEX('[AQ_2020.xlsx]原始数据'!$C:$C,MATCH($A699,'[AQ_2020.xlsx]原始数据'!$A:$A,0)),""))</f>
        <v/>
      </c>
      <c r="H699">
        <f>IF($A699="","",IFERROR(INDEX('[AQ_2021.xlsx]原始数据'!$C:$C,MATCH($A699,'[AQ_2021.xlsx]原始数据'!$A:$A,0)),""))</f>
        <v/>
      </c>
      <c r="I699">
        <f>IF($A699="","",IFERROR(INDEX('[AQ_2022.xlsx]原始数据'!$C:$C,MATCH($A699,'[AQ_2022.xlsx]原始数据'!$A:$A,0)),""))</f>
        <v/>
      </c>
      <c r="J699">
        <f>IF($A699="","",IFERROR(INDEX('[AQ_2023.xlsx]原始数据'!$C:$C,MATCH($A699,'[AQ_2023.xlsx]原始数据'!$A:$A,0)),""))</f>
        <v/>
      </c>
      <c r="K699">
        <f>IF($A699="","",IFERROR(INDEX('[AQ_2024.xlsx]原始数据'!$C:$C,MATCH($A699,'[AQ_2024.xlsx]原始数据'!$A:$A,0)),""))</f>
        <v/>
      </c>
      <c r="L699">
        <f>IF($A699="","",IFERROR(INDEX('[AQ_2020.xlsx]原始数据'!$D:$D,MATCH($A699,'[AQ_2020.xlsx]原始数据'!$A:$A,0)),""))</f>
        <v/>
      </c>
      <c r="M699">
        <f>IF($A699="","",IFERROR(INDEX('[AQ_2021.xlsx]原始数据'!$D:$D,MATCH($A699,'[AQ_2021.xlsx]原始数据'!$A:$A,0)),""))</f>
        <v/>
      </c>
      <c r="N699">
        <f>IF($A699="","",IFERROR(INDEX('[AQ_2022.xlsx]原始数据'!$D:$D,MATCH($A699,'[AQ_2022.xlsx]原始数据'!$A:$A,0)),""))</f>
        <v/>
      </c>
      <c r="O699">
        <f>IF($A699="","",IFERROR(INDEX('[AQ_2023.xlsx]原始数据'!$D:$D,MATCH($A699,'[AQ_2023.xlsx]原始数据'!$A:$A,0)),""))</f>
        <v/>
      </c>
      <c r="P699">
        <f>IF($A699="","",IFERROR(INDEX('[AQ_2024.xlsx]原始数据'!$D:$D,MATCH($A699,'[AQ_2024.xlsx]原始数据'!$A:$A,0)),""))</f>
        <v/>
      </c>
      <c r="Q699">
        <f>IF($A699="","",IFERROR(INDEX('[AQ_2020.xlsx]原始数据'!$E:$E,MATCH($A699,'[AQ_2020.xlsx]原始数据'!$A:$A,0)),""))</f>
        <v/>
      </c>
      <c r="R699">
        <f>IF($A699="","",IFERROR(INDEX('[AQ_2021.xlsx]原始数据'!$E:$E,MATCH($A699,'[AQ_2021.xlsx]原始数据'!$A:$A,0)),""))</f>
        <v/>
      </c>
      <c r="S699">
        <f>IF($A699="","",IFERROR(INDEX('[AQ_2022.xlsx]原始数据'!$E:$E,MATCH($A699,'[AQ_2022.xlsx]原始数据'!$A:$A,0)),""))</f>
        <v/>
      </c>
      <c r="T699">
        <f>IF($A699="","",IFERROR(INDEX('[AQ_2023.xlsx]原始数据'!$E:$E,MATCH($A699,'[AQ_2023.xlsx]原始数据'!$A:$A,0)),""))</f>
        <v/>
      </c>
      <c r="U699">
        <f>IF($A699="","",IFERROR(INDEX('[AQ_2024.xlsx]原始数据'!$E:$E,MATCH($A699,'[AQ_2024.xlsx]原始数据'!$A:$A,0)),""))</f>
        <v/>
      </c>
      <c r="V699">
        <f>IF($A699="","",IFERROR(INDEX('[AQ_2020.xlsx]原始数据'!$F:$F,MATCH($A699,'[AQ_2020.xlsx]原始数据'!$A:$A,0)),""))</f>
        <v/>
      </c>
      <c r="W699">
        <f>IF($A699="","",IFERROR(INDEX('[AQ_2021.xlsx]原始数据'!$F:$F,MATCH($A699,'[AQ_2021.xlsx]原始数据'!$A:$A,0)),""))</f>
        <v/>
      </c>
      <c r="X699">
        <f>IF($A699="","",IFERROR(INDEX('[AQ_2022.xlsx]原始数据'!$F:$F,MATCH($A699,'[AQ_2022.xlsx]原始数据'!$A:$A,0)),""))</f>
        <v/>
      </c>
      <c r="Y699">
        <f>IF($A699="","",IFERROR(INDEX('[AQ_2023.xlsx]原始数据'!$F:$F,MATCH($A699,'[AQ_2023.xlsx]原始数据'!$A:$A,0)),""))</f>
        <v/>
      </c>
      <c r="Z699">
        <f>IF($A699="","",IFERROR(INDEX('[AQ_2024.xlsx]原始数据'!$F:$F,MATCH($A699,'[AQ_2024.xlsx]原始数据'!$A:$A,0)),""))</f>
        <v/>
      </c>
      <c r="AA699" s="2">
        <f>IFERROR(G699/B699,"")</f>
        <v/>
      </c>
      <c r="AB699" s="2">
        <f>IFERROR(H699/C699,"")</f>
        <v/>
      </c>
      <c r="AC699" s="2">
        <f>IFERROR(I699/D699,"")</f>
        <v/>
      </c>
      <c r="AD699" s="2">
        <f>IFERROR(J699/E699,"")</f>
        <v/>
      </c>
      <c r="AE699" s="2">
        <f>IFERROR(K699/F699,"")</f>
        <v/>
      </c>
      <c r="AF699" s="2">
        <f>IFERROR(L699/B699,"")</f>
        <v/>
      </c>
      <c r="AG699" s="2">
        <f>IFERROR(M699/C699,"")</f>
        <v/>
      </c>
      <c r="AH699" s="2">
        <f>IFERROR(N699/D699,"")</f>
        <v/>
      </c>
      <c r="AI699" s="2">
        <f>IFERROR(O699/E699,"")</f>
        <v/>
      </c>
      <c r="AJ699" s="2">
        <f>IFERROR(P699/F699,"")</f>
        <v/>
      </c>
      <c r="AK699" s="2">
        <f>IFERROR(Q699/B699,"")</f>
        <v/>
      </c>
      <c r="AL699" s="2">
        <f>IFERROR(R699/C699,"")</f>
        <v/>
      </c>
      <c r="AM699" s="2">
        <f>IFERROR(S699/D699,"")</f>
        <v/>
      </c>
      <c r="AN699" s="2">
        <f>IFERROR(T699/E699,"")</f>
        <v/>
      </c>
      <c r="AO699" s="2">
        <f>IFERROR(U699/F699,"")</f>
        <v/>
      </c>
    </row>
    <row r="700">
      <c r="B700">
        <f>IF($A700="","",IFERROR(INDEX('[AQ_2020.xlsx]原始数据'!$B:$B,MATCH($A700,'[AQ_2020.xlsx]原始数据'!$A:$A,0)),""))</f>
        <v/>
      </c>
      <c r="C700">
        <f>IF($A700="","",IFERROR(INDEX('[AQ_2021.xlsx]原始数据'!$B:$B,MATCH($A700,'[AQ_2021.xlsx]原始数据'!$A:$A,0)),""))</f>
        <v/>
      </c>
      <c r="D700">
        <f>IF($A700="","",IFERROR(INDEX('[AQ_2022.xlsx]原始数据'!$B:$B,MATCH($A700,'[AQ_2022.xlsx]原始数据'!$A:$A,0)),""))</f>
        <v/>
      </c>
      <c r="E700">
        <f>IF($A700="","",IFERROR(INDEX('[AQ_2023.xlsx]原始数据'!$B:$B,MATCH($A700,'[AQ_2023.xlsx]原始数据'!$A:$A,0)),""))</f>
        <v/>
      </c>
      <c r="F700">
        <f>IF($A700="","",IFERROR(INDEX('[AQ_2024.xlsx]原始数据'!$B:$B,MATCH($A700,'[AQ_2024.xlsx]原始数据'!$A:$A,0)),""))</f>
        <v/>
      </c>
      <c r="G700">
        <f>IF($A700="","",IFERROR(INDEX('[AQ_2020.xlsx]原始数据'!$C:$C,MATCH($A700,'[AQ_2020.xlsx]原始数据'!$A:$A,0)),""))</f>
        <v/>
      </c>
      <c r="H700">
        <f>IF($A700="","",IFERROR(INDEX('[AQ_2021.xlsx]原始数据'!$C:$C,MATCH($A700,'[AQ_2021.xlsx]原始数据'!$A:$A,0)),""))</f>
        <v/>
      </c>
      <c r="I700">
        <f>IF($A700="","",IFERROR(INDEX('[AQ_2022.xlsx]原始数据'!$C:$C,MATCH($A700,'[AQ_2022.xlsx]原始数据'!$A:$A,0)),""))</f>
        <v/>
      </c>
      <c r="J700">
        <f>IF($A700="","",IFERROR(INDEX('[AQ_2023.xlsx]原始数据'!$C:$C,MATCH($A700,'[AQ_2023.xlsx]原始数据'!$A:$A,0)),""))</f>
        <v/>
      </c>
      <c r="K700">
        <f>IF($A700="","",IFERROR(INDEX('[AQ_2024.xlsx]原始数据'!$C:$C,MATCH($A700,'[AQ_2024.xlsx]原始数据'!$A:$A,0)),""))</f>
        <v/>
      </c>
      <c r="L700">
        <f>IF($A700="","",IFERROR(INDEX('[AQ_2020.xlsx]原始数据'!$D:$D,MATCH($A700,'[AQ_2020.xlsx]原始数据'!$A:$A,0)),""))</f>
        <v/>
      </c>
      <c r="M700">
        <f>IF($A700="","",IFERROR(INDEX('[AQ_2021.xlsx]原始数据'!$D:$D,MATCH($A700,'[AQ_2021.xlsx]原始数据'!$A:$A,0)),""))</f>
        <v/>
      </c>
      <c r="N700">
        <f>IF($A700="","",IFERROR(INDEX('[AQ_2022.xlsx]原始数据'!$D:$D,MATCH($A700,'[AQ_2022.xlsx]原始数据'!$A:$A,0)),""))</f>
        <v/>
      </c>
      <c r="O700">
        <f>IF($A700="","",IFERROR(INDEX('[AQ_2023.xlsx]原始数据'!$D:$D,MATCH($A700,'[AQ_2023.xlsx]原始数据'!$A:$A,0)),""))</f>
        <v/>
      </c>
      <c r="P700">
        <f>IF($A700="","",IFERROR(INDEX('[AQ_2024.xlsx]原始数据'!$D:$D,MATCH($A700,'[AQ_2024.xlsx]原始数据'!$A:$A,0)),""))</f>
        <v/>
      </c>
      <c r="Q700">
        <f>IF($A700="","",IFERROR(INDEX('[AQ_2020.xlsx]原始数据'!$E:$E,MATCH($A700,'[AQ_2020.xlsx]原始数据'!$A:$A,0)),""))</f>
        <v/>
      </c>
      <c r="R700">
        <f>IF($A700="","",IFERROR(INDEX('[AQ_2021.xlsx]原始数据'!$E:$E,MATCH($A700,'[AQ_2021.xlsx]原始数据'!$A:$A,0)),""))</f>
        <v/>
      </c>
      <c r="S700">
        <f>IF($A700="","",IFERROR(INDEX('[AQ_2022.xlsx]原始数据'!$E:$E,MATCH($A700,'[AQ_2022.xlsx]原始数据'!$A:$A,0)),""))</f>
        <v/>
      </c>
      <c r="T700">
        <f>IF($A700="","",IFERROR(INDEX('[AQ_2023.xlsx]原始数据'!$E:$E,MATCH($A700,'[AQ_2023.xlsx]原始数据'!$A:$A,0)),""))</f>
        <v/>
      </c>
      <c r="U700">
        <f>IF($A700="","",IFERROR(INDEX('[AQ_2024.xlsx]原始数据'!$E:$E,MATCH($A700,'[AQ_2024.xlsx]原始数据'!$A:$A,0)),""))</f>
        <v/>
      </c>
      <c r="V700">
        <f>IF($A700="","",IFERROR(INDEX('[AQ_2020.xlsx]原始数据'!$F:$F,MATCH($A700,'[AQ_2020.xlsx]原始数据'!$A:$A,0)),""))</f>
        <v/>
      </c>
      <c r="W700">
        <f>IF($A700="","",IFERROR(INDEX('[AQ_2021.xlsx]原始数据'!$F:$F,MATCH($A700,'[AQ_2021.xlsx]原始数据'!$A:$A,0)),""))</f>
        <v/>
      </c>
      <c r="X700">
        <f>IF($A700="","",IFERROR(INDEX('[AQ_2022.xlsx]原始数据'!$F:$F,MATCH($A700,'[AQ_2022.xlsx]原始数据'!$A:$A,0)),""))</f>
        <v/>
      </c>
      <c r="Y700">
        <f>IF($A700="","",IFERROR(INDEX('[AQ_2023.xlsx]原始数据'!$F:$F,MATCH($A700,'[AQ_2023.xlsx]原始数据'!$A:$A,0)),""))</f>
        <v/>
      </c>
      <c r="Z700">
        <f>IF($A700="","",IFERROR(INDEX('[AQ_2024.xlsx]原始数据'!$F:$F,MATCH($A700,'[AQ_2024.xlsx]原始数据'!$A:$A,0)),""))</f>
        <v/>
      </c>
      <c r="AA700" s="2">
        <f>IFERROR(G700/B700,"")</f>
        <v/>
      </c>
      <c r="AB700" s="2">
        <f>IFERROR(H700/C700,"")</f>
        <v/>
      </c>
      <c r="AC700" s="2">
        <f>IFERROR(I700/D700,"")</f>
        <v/>
      </c>
      <c r="AD700" s="2">
        <f>IFERROR(J700/E700,"")</f>
        <v/>
      </c>
      <c r="AE700" s="2">
        <f>IFERROR(K700/F700,"")</f>
        <v/>
      </c>
      <c r="AF700" s="2">
        <f>IFERROR(L700/B700,"")</f>
        <v/>
      </c>
      <c r="AG700" s="2">
        <f>IFERROR(M700/C700,"")</f>
        <v/>
      </c>
      <c r="AH700" s="2">
        <f>IFERROR(N700/D700,"")</f>
        <v/>
      </c>
      <c r="AI700" s="2">
        <f>IFERROR(O700/E700,"")</f>
        <v/>
      </c>
      <c r="AJ700" s="2">
        <f>IFERROR(P700/F700,"")</f>
        <v/>
      </c>
      <c r="AK700" s="2">
        <f>IFERROR(Q700/B700,"")</f>
        <v/>
      </c>
      <c r="AL700" s="2">
        <f>IFERROR(R700/C700,"")</f>
        <v/>
      </c>
      <c r="AM700" s="2">
        <f>IFERROR(S700/D700,"")</f>
        <v/>
      </c>
      <c r="AN700" s="2">
        <f>IFERROR(T700/E700,"")</f>
        <v/>
      </c>
      <c r="AO700" s="2">
        <f>IFERROR(U700/F700,"")</f>
        <v/>
      </c>
    </row>
    <row r="701">
      <c r="B701">
        <f>IF($A701="","",IFERROR(INDEX('[AQ_2020.xlsx]原始数据'!$B:$B,MATCH($A701,'[AQ_2020.xlsx]原始数据'!$A:$A,0)),""))</f>
        <v/>
      </c>
      <c r="C701">
        <f>IF($A701="","",IFERROR(INDEX('[AQ_2021.xlsx]原始数据'!$B:$B,MATCH($A701,'[AQ_2021.xlsx]原始数据'!$A:$A,0)),""))</f>
        <v/>
      </c>
      <c r="D701">
        <f>IF($A701="","",IFERROR(INDEX('[AQ_2022.xlsx]原始数据'!$B:$B,MATCH($A701,'[AQ_2022.xlsx]原始数据'!$A:$A,0)),""))</f>
        <v/>
      </c>
      <c r="E701">
        <f>IF($A701="","",IFERROR(INDEX('[AQ_2023.xlsx]原始数据'!$B:$B,MATCH($A701,'[AQ_2023.xlsx]原始数据'!$A:$A,0)),""))</f>
        <v/>
      </c>
      <c r="F701">
        <f>IF($A701="","",IFERROR(INDEX('[AQ_2024.xlsx]原始数据'!$B:$B,MATCH($A701,'[AQ_2024.xlsx]原始数据'!$A:$A,0)),""))</f>
        <v/>
      </c>
      <c r="G701">
        <f>IF($A701="","",IFERROR(INDEX('[AQ_2020.xlsx]原始数据'!$C:$C,MATCH($A701,'[AQ_2020.xlsx]原始数据'!$A:$A,0)),""))</f>
        <v/>
      </c>
      <c r="H701">
        <f>IF($A701="","",IFERROR(INDEX('[AQ_2021.xlsx]原始数据'!$C:$C,MATCH($A701,'[AQ_2021.xlsx]原始数据'!$A:$A,0)),""))</f>
        <v/>
      </c>
      <c r="I701">
        <f>IF($A701="","",IFERROR(INDEX('[AQ_2022.xlsx]原始数据'!$C:$C,MATCH($A701,'[AQ_2022.xlsx]原始数据'!$A:$A,0)),""))</f>
        <v/>
      </c>
      <c r="J701">
        <f>IF($A701="","",IFERROR(INDEX('[AQ_2023.xlsx]原始数据'!$C:$C,MATCH($A701,'[AQ_2023.xlsx]原始数据'!$A:$A,0)),""))</f>
        <v/>
      </c>
      <c r="K701">
        <f>IF($A701="","",IFERROR(INDEX('[AQ_2024.xlsx]原始数据'!$C:$C,MATCH($A701,'[AQ_2024.xlsx]原始数据'!$A:$A,0)),""))</f>
        <v/>
      </c>
      <c r="L701">
        <f>IF($A701="","",IFERROR(INDEX('[AQ_2020.xlsx]原始数据'!$D:$D,MATCH($A701,'[AQ_2020.xlsx]原始数据'!$A:$A,0)),""))</f>
        <v/>
      </c>
      <c r="M701">
        <f>IF($A701="","",IFERROR(INDEX('[AQ_2021.xlsx]原始数据'!$D:$D,MATCH($A701,'[AQ_2021.xlsx]原始数据'!$A:$A,0)),""))</f>
        <v/>
      </c>
      <c r="N701">
        <f>IF($A701="","",IFERROR(INDEX('[AQ_2022.xlsx]原始数据'!$D:$D,MATCH($A701,'[AQ_2022.xlsx]原始数据'!$A:$A,0)),""))</f>
        <v/>
      </c>
      <c r="O701">
        <f>IF($A701="","",IFERROR(INDEX('[AQ_2023.xlsx]原始数据'!$D:$D,MATCH($A701,'[AQ_2023.xlsx]原始数据'!$A:$A,0)),""))</f>
        <v/>
      </c>
      <c r="P701">
        <f>IF($A701="","",IFERROR(INDEX('[AQ_2024.xlsx]原始数据'!$D:$D,MATCH($A701,'[AQ_2024.xlsx]原始数据'!$A:$A,0)),""))</f>
        <v/>
      </c>
      <c r="Q701">
        <f>IF($A701="","",IFERROR(INDEX('[AQ_2020.xlsx]原始数据'!$E:$E,MATCH($A701,'[AQ_2020.xlsx]原始数据'!$A:$A,0)),""))</f>
        <v/>
      </c>
      <c r="R701">
        <f>IF($A701="","",IFERROR(INDEX('[AQ_2021.xlsx]原始数据'!$E:$E,MATCH($A701,'[AQ_2021.xlsx]原始数据'!$A:$A,0)),""))</f>
        <v/>
      </c>
      <c r="S701">
        <f>IF($A701="","",IFERROR(INDEX('[AQ_2022.xlsx]原始数据'!$E:$E,MATCH($A701,'[AQ_2022.xlsx]原始数据'!$A:$A,0)),""))</f>
        <v/>
      </c>
      <c r="T701">
        <f>IF($A701="","",IFERROR(INDEX('[AQ_2023.xlsx]原始数据'!$E:$E,MATCH($A701,'[AQ_2023.xlsx]原始数据'!$A:$A,0)),""))</f>
        <v/>
      </c>
      <c r="U701">
        <f>IF($A701="","",IFERROR(INDEX('[AQ_2024.xlsx]原始数据'!$E:$E,MATCH($A701,'[AQ_2024.xlsx]原始数据'!$A:$A,0)),""))</f>
        <v/>
      </c>
      <c r="V701">
        <f>IF($A701="","",IFERROR(INDEX('[AQ_2020.xlsx]原始数据'!$F:$F,MATCH($A701,'[AQ_2020.xlsx]原始数据'!$A:$A,0)),""))</f>
        <v/>
      </c>
      <c r="W701">
        <f>IF($A701="","",IFERROR(INDEX('[AQ_2021.xlsx]原始数据'!$F:$F,MATCH($A701,'[AQ_2021.xlsx]原始数据'!$A:$A,0)),""))</f>
        <v/>
      </c>
      <c r="X701">
        <f>IF($A701="","",IFERROR(INDEX('[AQ_2022.xlsx]原始数据'!$F:$F,MATCH($A701,'[AQ_2022.xlsx]原始数据'!$A:$A,0)),""))</f>
        <v/>
      </c>
      <c r="Y701">
        <f>IF($A701="","",IFERROR(INDEX('[AQ_2023.xlsx]原始数据'!$F:$F,MATCH($A701,'[AQ_2023.xlsx]原始数据'!$A:$A,0)),""))</f>
        <v/>
      </c>
      <c r="Z701">
        <f>IF($A701="","",IFERROR(INDEX('[AQ_2024.xlsx]原始数据'!$F:$F,MATCH($A701,'[AQ_2024.xlsx]原始数据'!$A:$A,0)),""))</f>
        <v/>
      </c>
      <c r="AA701" s="2">
        <f>IFERROR(G701/B701,"")</f>
        <v/>
      </c>
      <c r="AB701" s="2">
        <f>IFERROR(H701/C701,"")</f>
        <v/>
      </c>
      <c r="AC701" s="2">
        <f>IFERROR(I701/D701,"")</f>
        <v/>
      </c>
      <c r="AD701" s="2">
        <f>IFERROR(J701/E701,"")</f>
        <v/>
      </c>
      <c r="AE701" s="2">
        <f>IFERROR(K701/F701,"")</f>
        <v/>
      </c>
      <c r="AF701" s="2">
        <f>IFERROR(L701/B701,"")</f>
        <v/>
      </c>
      <c r="AG701" s="2">
        <f>IFERROR(M701/C701,"")</f>
        <v/>
      </c>
      <c r="AH701" s="2">
        <f>IFERROR(N701/D701,"")</f>
        <v/>
      </c>
      <c r="AI701" s="2">
        <f>IFERROR(O701/E701,"")</f>
        <v/>
      </c>
      <c r="AJ701" s="2">
        <f>IFERROR(P701/F701,"")</f>
        <v/>
      </c>
      <c r="AK701" s="2">
        <f>IFERROR(Q701/B701,"")</f>
        <v/>
      </c>
      <c r="AL701" s="2">
        <f>IFERROR(R701/C701,"")</f>
        <v/>
      </c>
      <c r="AM701" s="2">
        <f>IFERROR(S701/D701,"")</f>
        <v/>
      </c>
      <c r="AN701" s="2">
        <f>IFERROR(T701/E701,"")</f>
        <v/>
      </c>
      <c r="AO701" s="2">
        <f>IFERROR(U701/F701,"")</f>
        <v/>
      </c>
    </row>
    <row r="702">
      <c r="B702">
        <f>IF($A702="","",IFERROR(INDEX('[AQ_2020.xlsx]原始数据'!$B:$B,MATCH($A702,'[AQ_2020.xlsx]原始数据'!$A:$A,0)),""))</f>
        <v/>
      </c>
      <c r="C702">
        <f>IF($A702="","",IFERROR(INDEX('[AQ_2021.xlsx]原始数据'!$B:$B,MATCH($A702,'[AQ_2021.xlsx]原始数据'!$A:$A,0)),""))</f>
        <v/>
      </c>
      <c r="D702">
        <f>IF($A702="","",IFERROR(INDEX('[AQ_2022.xlsx]原始数据'!$B:$B,MATCH($A702,'[AQ_2022.xlsx]原始数据'!$A:$A,0)),""))</f>
        <v/>
      </c>
      <c r="E702">
        <f>IF($A702="","",IFERROR(INDEX('[AQ_2023.xlsx]原始数据'!$B:$B,MATCH($A702,'[AQ_2023.xlsx]原始数据'!$A:$A,0)),""))</f>
        <v/>
      </c>
      <c r="F702">
        <f>IF($A702="","",IFERROR(INDEX('[AQ_2024.xlsx]原始数据'!$B:$B,MATCH($A702,'[AQ_2024.xlsx]原始数据'!$A:$A,0)),""))</f>
        <v/>
      </c>
      <c r="G702">
        <f>IF($A702="","",IFERROR(INDEX('[AQ_2020.xlsx]原始数据'!$C:$C,MATCH($A702,'[AQ_2020.xlsx]原始数据'!$A:$A,0)),""))</f>
        <v/>
      </c>
      <c r="H702">
        <f>IF($A702="","",IFERROR(INDEX('[AQ_2021.xlsx]原始数据'!$C:$C,MATCH($A702,'[AQ_2021.xlsx]原始数据'!$A:$A,0)),""))</f>
        <v/>
      </c>
      <c r="I702">
        <f>IF($A702="","",IFERROR(INDEX('[AQ_2022.xlsx]原始数据'!$C:$C,MATCH($A702,'[AQ_2022.xlsx]原始数据'!$A:$A,0)),""))</f>
        <v/>
      </c>
      <c r="J702">
        <f>IF($A702="","",IFERROR(INDEX('[AQ_2023.xlsx]原始数据'!$C:$C,MATCH($A702,'[AQ_2023.xlsx]原始数据'!$A:$A,0)),""))</f>
        <v/>
      </c>
      <c r="K702">
        <f>IF($A702="","",IFERROR(INDEX('[AQ_2024.xlsx]原始数据'!$C:$C,MATCH($A702,'[AQ_2024.xlsx]原始数据'!$A:$A,0)),""))</f>
        <v/>
      </c>
      <c r="L702">
        <f>IF($A702="","",IFERROR(INDEX('[AQ_2020.xlsx]原始数据'!$D:$D,MATCH($A702,'[AQ_2020.xlsx]原始数据'!$A:$A,0)),""))</f>
        <v/>
      </c>
      <c r="M702">
        <f>IF($A702="","",IFERROR(INDEX('[AQ_2021.xlsx]原始数据'!$D:$D,MATCH($A702,'[AQ_2021.xlsx]原始数据'!$A:$A,0)),""))</f>
        <v/>
      </c>
      <c r="N702">
        <f>IF($A702="","",IFERROR(INDEX('[AQ_2022.xlsx]原始数据'!$D:$D,MATCH($A702,'[AQ_2022.xlsx]原始数据'!$A:$A,0)),""))</f>
        <v/>
      </c>
      <c r="O702">
        <f>IF($A702="","",IFERROR(INDEX('[AQ_2023.xlsx]原始数据'!$D:$D,MATCH($A702,'[AQ_2023.xlsx]原始数据'!$A:$A,0)),""))</f>
        <v/>
      </c>
      <c r="P702">
        <f>IF($A702="","",IFERROR(INDEX('[AQ_2024.xlsx]原始数据'!$D:$D,MATCH($A702,'[AQ_2024.xlsx]原始数据'!$A:$A,0)),""))</f>
        <v/>
      </c>
      <c r="Q702">
        <f>IF($A702="","",IFERROR(INDEX('[AQ_2020.xlsx]原始数据'!$E:$E,MATCH($A702,'[AQ_2020.xlsx]原始数据'!$A:$A,0)),""))</f>
        <v/>
      </c>
      <c r="R702">
        <f>IF($A702="","",IFERROR(INDEX('[AQ_2021.xlsx]原始数据'!$E:$E,MATCH($A702,'[AQ_2021.xlsx]原始数据'!$A:$A,0)),""))</f>
        <v/>
      </c>
      <c r="S702">
        <f>IF($A702="","",IFERROR(INDEX('[AQ_2022.xlsx]原始数据'!$E:$E,MATCH($A702,'[AQ_2022.xlsx]原始数据'!$A:$A,0)),""))</f>
        <v/>
      </c>
      <c r="T702">
        <f>IF($A702="","",IFERROR(INDEX('[AQ_2023.xlsx]原始数据'!$E:$E,MATCH($A702,'[AQ_2023.xlsx]原始数据'!$A:$A,0)),""))</f>
        <v/>
      </c>
      <c r="U702">
        <f>IF($A702="","",IFERROR(INDEX('[AQ_2024.xlsx]原始数据'!$E:$E,MATCH($A702,'[AQ_2024.xlsx]原始数据'!$A:$A,0)),""))</f>
        <v/>
      </c>
      <c r="V702">
        <f>IF($A702="","",IFERROR(INDEX('[AQ_2020.xlsx]原始数据'!$F:$F,MATCH($A702,'[AQ_2020.xlsx]原始数据'!$A:$A,0)),""))</f>
        <v/>
      </c>
      <c r="W702">
        <f>IF($A702="","",IFERROR(INDEX('[AQ_2021.xlsx]原始数据'!$F:$F,MATCH($A702,'[AQ_2021.xlsx]原始数据'!$A:$A,0)),""))</f>
        <v/>
      </c>
      <c r="X702">
        <f>IF($A702="","",IFERROR(INDEX('[AQ_2022.xlsx]原始数据'!$F:$F,MATCH($A702,'[AQ_2022.xlsx]原始数据'!$A:$A,0)),""))</f>
        <v/>
      </c>
      <c r="Y702">
        <f>IF($A702="","",IFERROR(INDEX('[AQ_2023.xlsx]原始数据'!$F:$F,MATCH($A702,'[AQ_2023.xlsx]原始数据'!$A:$A,0)),""))</f>
        <v/>
      </c>
      <c r="Z702">
        <f>IF($A702="","",IFERROR(INDEX('[AQ_2024.xlsx]原始数据'!$F:$F,MATCH($A702,'[AQ_2024.xlsx]原始数据'!$A:$A,0)),""))</f>
        <v/>
      </c>
      <c r="AA702" s="2">
        <f>IFERROR(G702/B702,"")</f>
        <v/>
      </c>
      <c r="AB702" s="2">
        <f>IFERROR(H702/C702,"")</f>
        <v/>
      </c>
      <c r="AC702" s="2">
        <f>IFERROR(I702/D702,"")</f>
        <v/>
      </c>
      <c r="AD702" s="2">
        <f>IFERROR(J702/E702,"")</f>
        <v/>
      </c>
      <c r="AE702" s="2">
        <f>IFERROR(K702/F702,"")</f>
        <v/>
      </c>
      <c r="AF702" s="2">
        <f>IFERROR(L702/B702,"")</f>
        <v/>
      </c>
      <c r="AG702" s="2">
        <f>IFERROR(M702/C702,"")</f>
        <v/>
      </c>
      <c r="AH702" s="2">
        <f>IFERROR(N702/D702,"")</f>
        <v/>
      </c>
      <c r="AI702" s="2">
        <f>IFERROR(O702/E702,"")</f>
        <v/>
      </c>
      <c r="AJ702" s="2">
        <f>IFERROR(P702/F702,"")</f>
        <v/>
      </c>
      <c r="AK702" s="2">
        <f>IFERROR(Q702/B702,"")</f>
        <v/>
      </c>
      <c r="AL702" s="2">
        <f>IFERROR(R702/C702,"")</f>
        <v/>
      </c>
      <c r="AM702" s="2">
        <f>IFERROR(S702/D702,"")</f>
        <v/>
      </c>
      <c r="AN702" s="2">
        <f>IFERROR(T702/E702,"")</f>
        <v/>
      </c>
      <c r="AO702" s="2">
        <f>IFERROR(U702/F702,"")</f>
        <v/>
      </c>
    </row>
    <row r="703">
      <c r="B703">
        <f>IF($A703="","",IFERROR(INDEX('[AQ_2020.xlsx]原始数据'!$B:$B,MATCH($A703,'[AQ_2020.xlsx]原始数据'!$A:$A,0)),""))</f>
        <v/>
      </c>
      <c r="C703">
        <f>IF($A703="","",IFERROR(INDEX('[AQ_2021.xlsx]原始数据'!$B:$B,MATCH($A703,'[AQ_2021.xlsx]原始数据'!$A:$A,0)),""))</f>
        <v/>
      </c>
      <c r="D703">
        <f>IF($A703="","",IFERROR(INDEX('[AQ_2022.xlsx]原始数据'!$B:$B,MATCH($A703,'[AQ_2022.xlsx]原始数据'!$A:$A,0)),""))</f>
        <v/>
      </c>
      <c r="E703">
        <f>IF($A703="","",IFERROR(INDEX('[AQ_2023.xlsx]原始数据'!$B:$B,MATCH($A703,'[AQ_2023.xlsx]原始数据'!$A:$A,0)),""))</f>
        <v/>
      </c>
      <c r="F703">
        <f>IF($A703="","",IFERROR(INDEX('[AQ_2024.xlsx]原始数据'!$B:$B,MATCH($A703,'[AQ_2024.xlsx]原始数据'!$A:$A,0)),""))</f>
        <v/>
      </c>
      <c r="G703">
        <f>IF($A703="","",IFERROR(INDEX('[AQ_2020.xlsx]原始数据'!$C:$C,MATCH($A703,'[AQ_2020.xlsx]原始数据'!$A:$A,0)),""))</f>
        <v/>
      </c>
      <c r="H703">
        <f>IF($A703="","",IFERROR(INDEX('[AQ_2021.xlsx]原始数据'!$C:$C,MATCH($A703,'[AQ_2021.xlsx]原始数据'!$A:$A,0)),""))</f>
        <v/>
      </c>
      <c r="I703">
        <f>IF($A703="","",IFERROR(INDEX('[AQ_2022.xlsx]原始数据'!$C:$C,MATCH($A703,'[AQ_2022.xlsx]原始数据'!$A:$A,0)),""))</f>
        <v/>
      </c>
      <c r="J703">
        <f>IF($A703="","",IFERROR(INDEX('[AQ_2023.xlsx]原始数据'!$C:$C,MATCH($A703,'[AQ_2023.xlsx]原始数据'!$A:$A,0)),""))</f>
        <v/>
      </c>
      <c r="K703">
        <f>IF($A703="","",IFERROR(INDEX('[AQ_2024.xlsx]原始数据'!$C:$C,MATCH($A703,'[AQ_2024.xlsx]原始数据'!$A:$A,0)),""))</f>
        <v/>
      </c>
      <c r="L703">
        <f>IF($A703="","",IFERROR(INDEX('[AQ_2020.xlsx]原始数据'!$D:$D,MATCH($A703,'[AQ_2020.xlsx]原始数据'!$A:$A,0)),""))</f>
        <v/>
      </c>
      <c r="M703">
        <f>IF($A703="","",IFERROR(INDEX('[AQ_2021.xlsx]原始数据'!$D:$D,MATCH($A703,'[AQ_2021.xlsx]原始数据'!$A:$A,0)),""))</f>
        <v/>
      </c>
      <c r="N703">
        <f>IF($A703="","",IFERROR(INDEX('[AQ_2022.xlsx]原始数据'!$D:$D,MATCH($A703,'[AQ_2022.xlsx]原始数据'!$A:$A,0)),""))</f>
        <v/>
      </c>
      <c r="O703">
        <f>IF($A703="","",IFERROR(INDEX('[AQ_2023.xlsx]原始数据'!$D:$D,MATCH($A703,'[AQ_2023.xlsx]原始数据'!$A:$A,0)),""))</f>
        <v/>
      </c>
      <c r="P703">
        <f>IF($A703="","",IFERROR(INDEX('[AQ_2024.xlsx]原始数据'!$D:$D,MATCH($A703,'[AQ_2024.xlsx]原始数据'!$A:$A,0)),""))</f>
        <v/>
      </c>
      <c r="Q703">
        <f>IF($A703="","",IFERROR(INDEX('[AQ_2020.xlsx]原始数据'!$E:$E,MATCH($A703,'[AQ_2020.xlsx]原始数据'!$A:$A,0)),""))</f>
        <v/>
      </c>
      <c r="R703">
        <f>IF($A703="","",IFERROR(INDEX('[AQ_2021.xlsx]原始数据'!$E:$E,MATCH($A703,'[AQ_2021.xlsx]原始数据'!$A:$A,0)),""))</f>
        <v/>
      </c>
      <c r="S703">
        <f>IF($A703="","",IFERROR(INDEX('[AQ_2022.xlsx]原始数据'!$E:$E,MATCH($A703,'[AQ_2022.xlsx]原始数据'!$A:$A,0)),""))</f>
        <v/>
      </c>
      <c r="T703">
        <f>IF($A703="","",IFERROR(INDEX('[AQ_2023.xlsx]原始数据'!$E:$E,MATCH($A703,'[AQ_2023.xlsx]原始数据'!$A:$A,0)),""))</f>
        <v/>
      </c>
      <c r="U703">
        <f>IF($A703="","",IFERROR(INDEX('[AQ_2024.xlsx]原始数据'!$E:$E,MATCH($A703,'[AQ_2024.xlsx]原始数据'!$A:$A,0)),""))</f>
        <v/>
      </c>
      <c r="V703">
        <f>IF($A703="","",IFERROR(INDEX('[AQ_2020.xlsx]原始数据'!$F:$F,MATCH($A703,'[AQ_2020.xlsx]原始数据'!$A:$A,0)),""))</f>
        <v/>
      </c>
      <c r="W703">
        <f>IF($A703="","",IFERROR(INDEX('[AQ_2021.xlsx]原始数据'!$F:$F,MATCH($A703,'[AQ_2021.xlsx]原始数据'!$A:$A,0)),""))</f>
        <v/>
      </c>
      <c r="X703">
        <f>IF($A703="","",IFERROR(INDEX('[AQ_2022.xlsx]原始数据'!$F:$F,MATCH($A703,'[AQ_2022.xlsx]原始数据'!$A:$A,0)),""))</f>
        <v/>
      </c>
      <c r="Y703">
        <f>IF($A703="","",IFERROR(INDEX('[AQ_2023.xlsx]原始数据'!$F:$F,MATCH($A703,'[AQ_2023.xlsx]原始数据'!$A:$A,0)),""))</f>
        <v/>
      </c>
      <c r="Z703">
        <f>IF($A703="","",IFERROR(INDEX('[AQ_2024.xlsx]原始数据'!$F:$F,MATCH($A703,'[AQ_2024.xlsx]原始数据'!$A:$A,0)),""))</f>
        <v/>
      </c>
      <c r="AA703" s="2">
        <f>IFERROR(G703/B703,"")</f>
        <v/>
      </c>
      <c r="AB703" s="2">
        <f>IFERROR(H703/C703,"")</f>
        <v/>
      </c>
      <c r="AC703" s="2">
        <f>IFERROR(I703/D703,"")</f>
        <v/>
      </c>
      <c r="AD703" s="2">
        <f>IFERROR(J703/E703,"")</f>
        <v/>
      </c>
      <c r="AE703" s="2">
        <f>IFERROR(K703/F703,"")</f>
        <v/>
      </c>
      <c r="AF703" s="2">
        <f>IFERROR(L703/B703,"")</f>
        <v/>
      </c>
      <c r="AG703" s="2">
        <f>IFERROR(M703/C703,"")</f>
        <v/>
      </c>
      <c r="AH703" s="2">
        <f>IFERROR(N703/D703,"")</f>
        <v/>
      </c>
      <c r="AI703" s="2">
        <f>IFERROR(O703/E703,"")</f>
        <v/>
      </c>
      <c r="AJ703" s="2">
        <f>IFERROR(P703/F703,"")</f>
        <v/>
      </c>
      <c r="AK703" s="2">
        <f>IFERROR(Q703/B703,"")</f>
        <v/>
      </c>
      <c r="AL703" s="2">
        <f>IFERROR(R703/C703,"")</f>
        <v/>
      </c>
      <c r="AM703" s="2">
        <f>IFERROR(S703/D703,"")</f>
        <v/>
      </c>
      <c r="AN703" s="2">
        <f>IFERROR(T703/E703,"")</f>
        <v/>
      </c>
      <c r="AO703" s="2">
        <f>IFERROR(U703/F703,"")</f>
        <v/>
      </c>
    </row>
    <row r="704">
      <c r="B704">
        <f>IF($A704="","",IFERROR(INDEX('[AQ_2020.xlsx]原始数据'!$B:$B,MATCH($A704,'[AQ_2020.xlsx]原始数据'!$A:$A,0)),""))</f>
        <v/>
      </c>
      <c r="C704">
        <f>IF($A704="","",IFERROR(INDEX('[AQ_2021.xlsx]原始数据'!$B:$B,MATCH($A704,'[AQ_2021.xlsx]原始数据'!$A:$A,0)),""))</f>
        <v/>
      </c>
      <c r="D704">
        <f>IF($A704="","",IFERROR(INDEX('[AQ_2022.xlsx]原始数据'!$B:$B,MATCH($A704,'[AQ_2022.xlsx]原始数据'!$A:$A,0)),""))</f>
        <v/>
      </c>
      <c r="E704">
        <f>IF($A704="","",IFERROR(INDEX('[AQ_2023.xlsx]原始数据'!$B:$B,MATCH($A704,'[AQ_2023.xlsx]原始数据'!$A:$A,0)),""))</f>
        <v/>
      </c>
      <c r="F704">
        <f>IF($A704="","",IFERROR(INDEX('[AQ_2024.xlsx]原始数据'!$B:$B,MATCH($A704,'[AQ_2024.xlsx]原始数据'!$A:$A,0)),""))</f>
        <v/>
      </c>
      <c r="G704">
        <f>IF($A704="","",IFERROR(INDEX('[AQ_2020.xlsx]原始数据'!$C:$C,MATCH($A704,'[AQ_2020.xlsx]原始数据'!$A:$A,0)),""))</f>
        <v/>
      </c>
      <c r="H704">
        <f>IF($A704="","",IFERROR(INDEX('[AQ_2021.xlsx]原始数据'!$C:$C,MATCH($A704,'[AQ_2021.xlsx]原始数据'!$A:$A,0)),""))</f>
        <v/>
      </c>
      <c r="I704">
        <f>IF($A704="","",IFERROR(INDEX('[AQ_2022.xlsx]原始数据'!$C:$C,MATCH($A704,'[AQ_2022.xlsx]原始数据'!$A:$A,0)),""))</f>
        <v/>
      </c>
      <c r="J704">
        <f>IF($A704="","",IFERROR(INDEX('[AQ_2023.xlsx]原始数据'!$C:$C,MATCH($A704,'[AQ_2023.xlsx]原始数据'!$A:$A,0)),""))</f>
        <v/>
      </c>
      <c r="K704">
        <f>IF($A704="","",IFERROR(INDEX('[AQ_2024.xlsx]原始数据'!$C:$C,MATCH($A704,'[AQ_2024.xlsx]原始数据'!$A:$A,0)),""))</f>
        <v/>
      </c>
      <c r="L704">
        <f>IF($A704="","",IFERROR(INDEX('[AQ_2020.xlsx]原始数据'!$D:$D,MATCH($A704,'[AQ_2020.xlsx]原始数据'!$A:$A,0)),""))</f>
        <v/>
      </c>
      <c r="M704">
        <f>IF($A704="","",IFERROR(INDEX('[AQ_2021.xlsx]原始数据'!$D:$D,MATCH($A704,'[AQ_2021.xlsx]原始数据'!$A:$A,0)),""))</f>
        <v/>
      </c>
      <c r="N704">
        <f>IF($A704="","",IFERROR(INDEX('[AQ_2022.xlsx]原始数据'!$D:$D,MATCH($A704,'[AQ_2022.xlsx]原始数据'!$A:$A,0)),""))</f>
        <v/>
      </c>
      <c r="O704">
        <f>IF($A704="","",IFERROR(INDEX('[AQ_2023.xlsx]原始数据'!$D:$D,MATCH($A704,'[AQ_2023.xlsx]原始数据'!$A:$A,0)),""))</f>
        <v/>
      </c>
      <c r="P704">
        <f>IF($A704="","",IFERROR(INDEX('[AQ_2024.xlsx]原始数据'!$D:$D,MATCH($A704,'[AQ_2024.xlsx]原始数据'!$A:$A,0)),""))</f>
        <v/>
      </c>
      <c r="Q704">
        <f>IF($A704="","",IFERROR(INDEX('[AQ_2020.xlsx]原始数据'!$E:$E,MATCH($A704,'[AQ_2020.xlsx]原始数据'!$A:$A,0)),""))</f>
        <v/>
      </c>
      <c r="R704">
        <f>IF($A704="","",IFERROR(INDEX('[AQ_2021.xlsx]原始数据'!$E:$E,MATCH($A704,'[AQ_2021.xlsx]原始数据'!$A:$A,0)),""))</f>
        <v/>
      </c>
      <c r="S704">
        <f>IF($A704="","",IFERROR(INDEX('[AQ_2022.xlsx]原始数据'!$E:$E,MATCH($A704,'[AQ_2022.xlsx]原始数据'!$A:$A,0)),""))</f>
        <v/>
      </c>
      <c r="T704">
        <f>IF($A704="","",IFERROR(INDEX('[AQ_2023.xlsx]原始数据'!$E:$E,MATCH($A704,'[AQ_2023.xlsx]原始数据'!$A:$A,0)),""))</f>
        <v/>
      </c>
      <c r="U704">
        <f>IF($A704="","",IFERROR(INDEX('[AQ_2024.xlsx]原始数据'!$E:$E,MATCH($A704,'[AQ_2024.xlsx]原始数据'!$A:$A,0)),""))</f>
        <v/>
      </c>
      <c r="V704">
        <f>IF($A704="","",IFERROR(INDEX('[AQ_2020.xlsx]原始数据'!$F:$F,MATCH($A704,'[AQ_2020.xlsx]原始数据'!$A:$A,0)),""))</f>
        <v/>
      </c>
      <c r="W704">
        <f>IF($A704="","",IFERROR(INDEX('[AQ_2021.xlsx]原始数据'!$F:$F,MATCH($A704,'[AQ_2021.xlsx]原始数据'!$A:$A,0)),""))</f>
        <v/>
      </c>
      <c r="X704">
        <f>IF($A704="","",IFERROR(INDEX('[AQ_2022.xlsx]原始数据'!$F:$F,MATCH($A704,'[AQ_2022.xlsx]原始数据'!$A:$A,0)),""))</f>
        <v/>
      </c>
      <c r="Y704">
        <f>IF($A704="","",IFERROR(INDEX('[AQ_2023.xlsx]原始数据'!$F:$F,MATCH($A704,'[AQ_2023.xlsx]原始数据'!$A:$A,0)),""))</f>
        <v/>
      </c>
      <c r="Z704">
        <f>IF($A704="","",IFERROR(INDEX('[AQ_2024.xlsx]原始数据'!$F:$F,MATCH($A704,'[AQ_2024.xlsx]原始数据'!$A:$A,0)),""))</f>
        <v/>
      </c>
      <c r="AA704" s="2">
        <f>IFERROR(G704/B704,"")</f>
        <v/>
      </c>
      <c r="AB704" s="2">
        <f>IFERROR(H704/C704,"")</f>
        <v/>
      </c>
      <c r="AC704" s="2">
        <f>IFERROR(I704/D704,"")</f>
        <v/>
      </c>
      <c r="AD704" s="2">
        <f>IFERROR(J704/E704,"")</f>
        <v/>
      </c>
      <c r="AE704" s="2">
        <f>IFERROR(K704/F704,"")</f>
        <v/>
      </c>
      <c r="AF704" s="2">
        <f>IFERROR(L704/B704,"")</f>
        <v/>
      </c>
      <c r="AG704" s="2">
        <f>IFERROR(M704/C704,"")</f>
        <v/>
      </c>
      <c r="AH704" s="2">
        <f>IFERROR(N704/D704,"")</f>
        <v/>
      </c>
      <c r="AI704" s="2">
        <f>IFERROR(O704/E704,"")</f>
        <v/>
      </c>
      <c r="AJ704" s="2">
        <f>IFERROR(P704/F704,"")</f>
        <v/>
      </c>
      <c r="AK704" s="2">
        <f>IFERROR(Q704/B704,"")</f>
        <v/>
      </c>
      <c r="AL704" s="2">
        <f>IFERROR(R704/C704,"")</f>
        <v/>
      </c>
      <c r="AM704" s="2">
        <f>IFERROR(S704/D704,"")</f>
        <v/>
      </c>
      <c r="AN704" s="2">
        <f>IFERROR(T704/E704,"")</f>
        <v/>
      </c>
      <c r="AO704" s="2">
        <f>IFERROR(U704/F704,"")</f>
        <v/>
      </c>
    </row>
    <row r="705">
      <c r="B705">
        <f>IF($A705="","",IFERROR(INDEX('[AQ_2020.xlsx]原始数据'!$B:$B,MATCH($A705,'[AQ_2020.xlsx]原始数据'!$A:$A,0)),""))</f>
        <v/>
      </c>
      <c r="C705">
        <f>IF($A705="","",IFERROR(INDEX('[AQ_2021.xlsx]原始数据'!$B:$B,MATCH($A705,'[AQ_2021.xlsx]原始数据'!$A:$A,0)),""))</f>
        <v/>
      </c>
      <c r="D705">
        <f>IF($A705="","",IFERROR(INDEX('[AQ_2022.xlsx]原始数据'!$B:$B,MATCH($A705,'[AQ_2022.xlsx]原始数据'!$A:$A,0)),""))</f>
        <v/>
      </c>
      <c r="E705">
        <f>IF($A705="","",IFERROR(INDEX('[AQ_2023.xlsx]原始数据'!$B:$B,MATCH($A705,'[AQ_2023.xlsx]原始数据'!$A:$A,0)),""))</f>
        <v/>
      </c>
      <c r="F705">
        <f>IF($A705="","",IFERROR(INDEX('[AQ_2024.xlsx]原始数据'!$B:$B,MATCH($A705,'[AQ_2024.xlsx]原始数据'!$A:$A,0)),""))</f>
        <v/>
      </c>
      <c r="G705">
        <f>IF($A705="","",IFERROR(INDEX('[AQ_2020.xlsx]原始数据'!$C:$C,MATCH($A705,'[AQ_2020.xlsx]原始数据'!$A:$A,0)),""))</f>
        <v/>
      </c>
      <c r="H705">
        <f>IF($A705="","",IFERROR(INDEX('[AQ_2021.xlsx]原始数据'!$C:$C,MATCH($A705,'[AQ_2021.xlsx]原始数据'!$A:$A,0)),""))</f>
        <v/>
      </c>
      <c r="I705">
        <f>IF($A705="","",IFERROR(INDEX('[AQ_2022.xlsx]原始数据'!$C:$C,MATCH($A705,'[AQ_2022.xlsx]原始数据'!$A:$A,0)),""))</f>
        <v/>
      </c>
      <c r="J705">
        <f>IF($A705="","",IFERROR(INDEX('[AQ_2023.xlsx]原始数据'!$C:$C,MATCH($A705,'[AQ_2023.xlsx]原始数据'!$A:$A,0)),""))</f>
        <v/>
      </c>
      <c r="K705">
        <f>IF($A705="","",IFERROR(INDEX('[AQ_2024.xlsx]原始数据'!$C:$C,MATCH($A705,'[AQ_2024.xlsx]原始数据'!$A:$A,0)),""))</f>
        <v/>
      </c>
      <c r="L705">
        <f>IF($A705="","",IFERROR(INDEX('[AQ_2020.xlsx]原始数据'!$D:$D,MATCH($A705,'[AQ_2020.xlsx]原始数据'!$A:$A,0)),""))</f>
        <v/>
      </c>
      <c r="M705">
        <f>IF($A705="","",IFERROR(INDEX('[AQ_2021.xlsx]原始数据'!$D:$D,MATCH($A705,'[AQ_2021.xlsx]原始数据'!$A:$A,0)),""))</f>
        <v/>
      </c>
      <c r="N705">
        <f>IF($A705="","",IFERROR(INDEX('[AQ_2022.xlsx]原始数据'!$D:$D,MATCH($A705,'[AQ_2022.xlsx]原始数据'!$A:$A,0)),""))</f>
        <v/>
      </c>
      <c r="O705">
        <f>IF($A705="","",IFERROR(INDEX('[AQ_2023.xlsx]原始数据'!$D:$D,MATCH($A705,'[AQ_2023.xlsx]原始数据'!$A:$A,0)),""))</f>
        <v/>
      </c>
      <c r="P705">
        <f>IF($A705="","",IFERROR(INDEX('[AQ_2024.xlsx]原始数据'!$D:$D,MATCH($A705,'[AQ_2024.xlsx]原始数据'!$A:$A,0)),""))</f>
        <v/>
      </c>
      <c r="Q705">
        <f>IF($A705="","",IFERROR(INDEX('[AQ_2020.xlsx]原始数据'!$E:$E,MATCH($A705,'[AQ_2020.xlsx]原始数据'!$A:$A,0)),""))</f>
        <v/>
      </c>
      <c r="R705">
        <f>IF($A705="","",IFERROR(INDEX('[AQ_2021.xlsx]原始数据'!$E:$E,MATCH($A705,'[AQ_2021.xlsx]原始数据'!$A:$A,0)),""))</f>
        <v/>
      </c>
      <c r="S705">
        <f>IF($A705="","",IFERROR(INDEX('[AQ_2022.xlsx]原始数据'!$E:$E,MATCH($A705,'[AQ_2022.xlsx]原始数据'!$A:$A,0)),""))</f>
        <v/>
      </c>
      <c r="T705">
        <f>IF($A705="","",IFERROR(INDEX('[AQ_2023.xlsx]原始数据'!$E:$E,MATCH($A705,'[AQ_2023.xlsx]原始数据'!$A:$A,0)),""))</f>
        <v/>
      </c>
      <c r="U705">
        <f>IF($A705="","",IFERROR(INDEX('[AQ_2024.xlsx]原始数据'!$E:$E,MATCH($A705,'[AQ_2024.xlsx]原始数据'!$A:$A,0)),""))</f>
        <v/>
      </c>
      <c r="V705">
        <f>IF($A705="","",IFERROR(INDEX('[AQ_2020.xlsx]原始数据'!$F:$F,MATCH($A705,'[AQ_2020.xlsx]原始数据'!$A:$A,0)),""))</f>
        <v/>
      </c>
      <c r="W705">
        <f>IF($A705="","",IFERROR(INDEX('[AQ_2021.xlsx]原始数据'!$F:$F,MATCH($A705,'[AQ_2021.xlsx]原始数据'!$A:$A,0)),""))</f>
        <v/>
      </c>
      <c r="X705">
        <f>IF($A705="","",IFERROR(INDEX('[AQ_2022.xlsx]原始数据'!$F:$F,MATCH($A705,'[AQ_2022.xlsx]原始数据'!$A:$A,0)),""))</f>
        <v/>
      </c>
      <c r="Y705">
        <f>IF($A705="","",IFERROR(INDEX('[AQ_2023.xlsx]原始数据'!$F:$F,MATCH($A705,'[AQ_2023.xlsx]原始数据'!$A:$A,0)),""))</f>
        <v/>
      </c>
      <c r="Z705">
        <f>IF($A705="","",IFERROR(INDEX('[AQ_2024.xlsx]原始数据'!$F:$F,MATCH($A705,'[AQ_2024.xlsx]原始数据'!$A:$A,0)),""))</f>
        <v/>
      </c>
      <c r="AA705" s="2">
        <f>IFERROR(G705/B705,"")</f>
        <v/>
      </c>
      <c r="AB705" s="2">
        <f>IFERROR(H705/C705,"")</f>
        <v/>
      </c>
      <c r="AC705" s="2">
        <f>IFERROR(I705/D705,"")</f>
        <v/>
      </c>
      <c r="AD705" s="2">
        <f>IFERROR(J705/E705,"")</f>
        <v/>
      </c>
      <c r="AE705" s="2">
        <f>IFERROR(K705/F705,"")</f>
        <v/>
      </c>
      <c r="AF705" s="2">
        <f>IFERROR(L705/B705,"")</f>
        <v/>
      </c>
      <c r="AG705" s="2">
        <f>IFERROR(M705/C705,"")</f>
        <v/>
      </c>
      <c r="AH705" s="2">
        <f>IFERROR(N705/D705,"")</f>
        <v/>
      </c>
      <c r="AI705" s="2">
        <f>IFERROR(O705/E705,"")</f>
        <v/>
      </c>
      <c r="AJ705" s="2">
        <f>IFERROR(P705/F705,"")</f>
        <v/>
      </c>
      <c r="AK705" s="2">
        <f>IFERROR(Q705/B705,"")</f>
        <v/>
      </c>
      <c r="AL705" s="2">
        <f>IFERROR(R705/C705,"")</f>
        <v/>
      </c>
      <c r="AM705" s="2">
        <f>IFERROR(S705/D705,"")</f>
        <v/>
      </c>
      <c r="AN705" s="2">
        <f>IFERROR(T705/E705,"")</f>
        <v/>
      </c>
      <c r="AO705" s="2">
        <f>IFERROR(U705/F705,"")</f>
        <v/>
      </c>
    </row>
    <row r="706">
      <c r="B706">
        <f>IF($A706="","",IFERROR(INDEX('[AQ_2020.xlsx]原始数据'!$B:$B,MATCH($A706,'[AQ_2020.xlsx]原始数据'!$A:$A,0)),""))</f>
        <v/>
      </c>
      <c r="C706">
        <f>IF($A706="","",IFERROR(INDEX('[AQ_2021.xlsx]原始数据'!$B:$B,MATCH($A706,'[AQ_2021.xlsx]原始数据'!$A:$A,0)),""))</f>
        <v/>
      </c>
      <c r="D706">
        <f>IF($A706="","",IFERROR(INDEX('[AQ_2022.xlsx]原始数据'!$B:$B,MATCH($A706,'[AQ_2022.xlsx]原始数据'!$A:$A,0)),""))</f>
        <v/>
      </c>
      <c r="E706">
        <f>IF($A706="","",IFERROR(INDEX('[AQ_2023.xlsx]原始数据'!$B:$B,MATCH($A706,'[AQ_2023.xlsx]原始数据'!$A:$A,0)),""))</f>
        <v/>
      </c>
      <c r="F706">
        <f>IF($A706="","",IFERROR(INDEX('[AQ_2024.xlsx]原始数据'!$B:$B,MATCH($A706,'[AQ_2024.xlsx]原始数据'!$A:$A,0)),""))</f>
        <v/>
      </c>
      <c r="G706">
        <f>IF($A706="","",IFERROR(INDEX('[AQ_2020.xlsx]原始数据'!$C:$C,MATCH($A706,'[AQ_2020.xlsx]原始数据'!$A:$A,0)),""))</f>
        <v/>
      </c>
      <c r="H706">
        <f>IF($A706="","",IFERROR(INDEX('[AQ_2021.xlsx]原始数据'!$C:$C,MATCH($A706,'[AQ_2021.xlsx]原始数据'!$A:$A,0)),""))</f>
        <v/>
      </c>
      <c r="I706">
        <f>IF($A706="","",IFERROR(INDEX('[AQ_2022.xlsx]原始数据'!$C:$C,MATCH($A706,'[AQ_2022.xlsx]原始数据'!$A:$A,0)),""))</f>
        <v/>
      </c>
      <c r="J706">
        <f>IF($A706="","",IFERROR(INDEX('[AQ_2023.xlsx]原始数据'!$C:$C,MATCH($A706,'[AQ_2023.xlsx]原始数据'!$A:$A,0)),""))</f>
        <v/>
      </c>
      <c r="K706">
        <f>IF($A706="","",IFERROR(INDEX('[AQ_2024.xlsx]原始数据'!$C:$C,MATCH($A706,'[AQ_2024.xlsx]原始数据'!$A:$A,0)),""))</f>
        <v/>
      </c>
      <c r="L706">
        <f>IF($A706="","",IFERROR(INDEX('[AQ_2020.xlsx]原始数据'!$D:$D,MATCH($A706,'[AQ_2020.xlsx]原始数据'!$A:$A,0)),""))</f>
        <v/>
      </c>
      <c r="M706">
        <f>IF($A706="","",IFERROR(INDEX('[AQ_2021.xlsx]原始数据'!$D:$D,MATCH($A706,'[AQ_2021.xlsx]原始数据'!$A:$A,0)),""))</f>
        <v/>
      </c>
      <c r="N706">
        <f>IF($A706="","",IFERROR(INDEX('[AQ_2022.xlsx]原始数据'!$D:$D,MATCH($A706,'[AQ_2022.xlsx]原始数据'!$A:$A,0)),""))</f>
        <v/>
      </c>
      <c r="O706">
        <f>IF($A706="","",IFERROR(INDEX('[AQ_2023.xlsx]原始数据'!$D:$D,MATCH($A706,'[AQ_2023.xlsx]原始数据'!$A:$A,0)),""))</f>
        <v/>
      </c>
      <c r="P706">
        <f>IF($A706="","",IFERROR(INDEX('[AQ_2024.xlsx]原始数据'!$D:$D,MATCH($A706,'[AQ_2024.xlsx]原始数据'!$A:$A,0)),""))</f>
        <v/>
      </c>
      <c r="Q706">
        <f>IF($A706="","",IFERROR(INDEX('[AQ_2020.xlsx]原始数据'!$E:$E,MATCH($A706,'[AQ_2020.xlsx]原始数据'!$A:$A,0)),""))</f>
        <v/>
      </c>
      <c r="R706">
        <f>IF($A706="","",IFERROR(INDEX('[AQ_2021.xlsx]原始数据'!$E:$E,MATCH($A706,'[AQ_2021.xlsx]原始数据'!$A:$A,0)),""))</f>
        <v/>
      </c>
      <c r="S706">
        <f>IF($A706="","",IFERROR(INDEX('[AQ_2022.xlsx]原始数据'!$E:$E,MATCH($A706,'[AQ_2022.xlsx]原始数据'!$A:$A,0)),""))</f>
        <v/>
      </c>
      <c r="T706">
        <f>IF($A706="","",IFERROR(INDEX('[AQ_2023.xlsx]原始数据'!$E:$E,MATCH($A706,'[AQ_2023.xlsx]原始数据'!$A:$A,0)),""))</f>
        <v/>
      </c>
      <c r="U706">
        <f>IF($A706="","",IFERROR(INDEX('[AQ_2024.xlsx]原始数据'!$E:$E,MATCH($A706,'[AQ_2024.xlsx]原始数据'!$A:$A,0)),""))</f>
        <v/>
      </c>
      <c r="V706">
        <f>IF($A706="","",IFERROR(INDEX('[AQ_2020.xlsx]原始数据'!$F:$F,MATCH($A706,'[AQ_2020.xlsx]原始数据'!$A:$A,0)),""))</f>
        <v/>
      </c>
      <c r="W706">
        <f>IF($A706="","",IFERROR(INDEX('[AQ_2021.xlsx]原始数据'!$F:$F,MATCH($A706,'[AQ_2021.xlsx]原始数据'!$A:$A,0)),""))</f>
        <v/>
      </c>
      <c r="X706">
        <f>IF($A706="","",IFERROR(INDEX('[AQ_2022.xlsx]原始数据'!$F:$F,MATCH($A706,'[AQ_2022.xlsx]原始数据'!$A:$A,0)),""))</f>
        <v/>
      </c>
      <c r="Y706">
        <f>IF($A706="","",IFERROR(INDEX('[AQ_2023.xlsx]原始数据'!$F:$F,MATCH($A706,'[AQ_2023.xlsx]原始数据'!$A:$A,0)),""))</f>
        <v/>
      </c>
      <c r="Z706">
        <f>IF($A706="","",IFERROR(INDEX('[AQ_2024.xlsx]原始数据'!$F:$F,MATCH($A706,'[AQ_2024.xlsx]原始数据'!$A:$A,0)),""))</f>
        <v/>
      </c>
      <c r="AA706" s="2">
        <f>IFERROR(G706/B706,"")</f>
        <v/>
      </c>
      <c r="AB706" s="2">
        <f>IFERROR(H706/C706,"")</f>
        <v/>
      </c>
      <c r="AC706" s="2">
        <f>IFERROR(I706/D706,"")</f>
        <v/>
      </c>
      <c r="AD706" s="2">
        <f>IFERROR(J706/E706,"")</f>
        <v/>
      </c>
      <c r="AE706" s="2">
        <f>IFERROR(K706/F706,"")</f>
        <v/>
      </c>
      <c r="AF706" s="2">
        <f>IFERROR(L706/B706,"")</f>
        <v/>
      </c>
      <c r="AG706" s="2">
        <f>IFERROR(M706/C706,"")</f>
        <v/>
      </c>
      <c r="AH706" s="2">
        <f>IFERROR(N706/D706,"")</f>
        <v/>
      </c>
      <c r="AI706" s="2">
        <f>IFERROR(O706/E706,"")</f>
        <v/>
      </c>
      <c r="AJ706" s="2">
        <f>IFERROR(P706/F706,"")</f>
        <v/>
      </c>
      <c r="AK706" s="2">
        <f>IFERROR(Q706/B706,"")</f>
        <v/>
      </c>
      <c r="AL706" s="2">
        <f>IFERROR(R706/C706,"")</f>
        <v/>
      </c>
      <c r="AM706" s="2">
        <f>IFERROR(S706/D706,"")</f>
        <v/>
      </c>
      <c r="AN706" s="2">
        <f>IFERROR(T706/E706,"")</f>
        <v/>
      </c>
      <c r="AO706" s="2">
        <f>IFERROR(U706/F706,"")</f>
        <v/>
      </c>
    </row>
    <row r="707">
      <c r="B707">
        <f>IF($A707="","",IFERROR(INDEX('[AQ_2020.xlsx]原始数据'!$B:$B,MATCH($A707,'[AQ_2020.xlsx]原始数据'!$A:$A,0)),""))</f>
        <v/>
      </c>
      <c r="C707">
        <f>IF($A707="","",IFERROR(INDEX('[AQ_2021.xlsx]原始数据'!$B:$B,MATCH($A707,'[AQ_2021.xlsx]原始数据'!$A:$A,0)),""))</f>
        <v/>
      </c>
      <c r="D707">
        <f>IF($A707="","",IFERROR(INDEX('[AQ_2022.xlsx]原始数据'!$B:$B,MATCH($A707,'[AQ_2022.xlsx]原始数据'!$A:$A,0)),""))</f>
        <v/>
      </c>
      <c r="E707">
        <f>IF($A707="","",IFERROR(INDEX('[AQ_2023.xlsx]原始数据'!$B:$B,MATCH($A707,'[AQ_2023.xlsx]原始数据'!$A:$A,0)),""))</f>
        <v/>
      </c>
      <c r="F707">
        <f>IF($A707="","",IFERROR(INDEX('[AQ_2024.xlsx]原始数据'!$B:$B,MATCH($A707,'[AQ_2024.xlsx]原始数据'!$A:$A,0)),""))</f>
        <v/>
      </c>
      <c r="G707">
        <f>IF($A707="","",IFERROR(INDEX('[AQ_2020.xlsx]原始数据'!$C:$C,MATCH($A707,'[AQ_2020.xlsx]原始数据'!$A:$A,0)),""))</f>
        <v/>
      </c>
      <c r="H707">
        <f>IF($A707="","",IFERROR(INDEX('[AQ_2021.xlsx]原始数据'!$C:$C,MATCH($A707,'[AQ_2021.xlsx]原始数据'!$A:$A,0)),""))</f>
        <v/>
      </c>
      <c r="I707">
        <f>IF($A707="","",IFERROR(INDEX('[AQ_2022.xlsx]原始数据'!$C:$C,MATCH($A707,'[AQ_2022.xlsx]原始数据'!$A:$A,0)),""))</f>
        <v/>
      </c>
      <c r="J707">
        <f>IF($A707="","",IFERROR(INDEX('[AQ_2023.xlsx]原始数据'!$C:$C,MATCH($A707,'[AQ_2023.xlsx]原始数据'!$A:$A,0)),""))</f>
        <v/>
      </c>
      <c r="K707">
        <f>IF($A707="","",IFERROR(INDEX('[AQ_2024.xlsx]原始数据'!$C:$C,MATCH($A707,'[AQ_2024.xlsx]原始数据'!$A:$A,0)),""))</f>
        <v/>
      </c>
      <c r="L707">
        <f>IF($A707="","",IFERROR(INDEX('[AQ_2020.xlsx]原始数据'!$D:$D,MATCH($A707,'[AQ_2020.xlsx]原始数据'!$A:$A,0)),""))</f>
        <v/>
      </c>
      <c r="M707">
        <f>IF($A707="","",IFERROR(INDEX('[AQ_2021.xlsx]原始数据'!$D:$D,MATCH($A707,'[AQ_2021.xlsx]原始数据'!$A:$A,0)),""))</f>
        <v/>
      </c>
      <c r="N707">
        <f>IF($A707="","",IFERROR(INDEX('[AQ_2022.xlsx]原始数据'!$D:$D,MATCH($A707,'[AQ_2022.xlsx]原始数据'!$A:$A,0)),""))</f>
        <v/>
      </c>
      <c r="O707">
        <f>IF($A707="","",IFERROR(INDEX('[AQ_2023.xlsx]原始数据'!$D:$D,MATCH($A707,'[AQ_2023.xlsx]原始数据'!$A:$A,0)),""))</f>
        <v/>
      </c>
      <c r="P707">
        <f>IF($A707="","",IFERROR(INDEX('[AQ_2024.xlsx]原始数据'!$D:$D,MATCH($A707,'[AQ_2024.xlsx]原始数据'!$A:$A,0)),""))</f>
        <v/>
      </c>
      <c r="Q707">
        <f>IF($A707="","",IFERROR(INDEX('[AQ_2020.xlsx]原始数据'!$E:$E,MATCH($A707,'[AQ_2020.xlsx]原始数据'!$A:$A,0)),""))</f>
        <v/>
      </c>
      <c r="R707">
        <f>IF($A707="","",IFERROR(INDEX('[AQ_2021.xlsx]原始数据'!$E:$E,MATCH($A707,'[AQ_2021.xlsx]原始数据'!$A:$A,0)),""))</f>
        <v/>
      </c>
      <c r="S707">
        <f>IF($A707="","",IFERROR(INDEX('[AQ_2022.xlsx]原始数据'!$E:$E,MATCH($A707,'[AQ_2022.xlsx]原始数据'!$A:$A,0)),""))</f>
        <v/>
      </c>
      <c r="T707">
        <f>IF($A707="","",IFERROR(INDEX('[AQ_2023.xlsx]原始数据'!$E:$E,MATCH($A707,'[AQ_2023.xlsx]原始数据'!$A:$A,0)),""))</f>
        <v/>
      </c>
      <c r="U707">
        <f>IF($A707="","",IFERROR(INDEX('[AQ_2024.xlsx]原始数据'!$E:$E,MATCH($A707,'[AQ_2024.xlsx]原始数据'!$A:$A,0)),""))</f>
        <v/>
      </c>
      <c r="V707">
        <f>IF($A707="","",IFERROR(INDEX('[AQ_2020.xlsx]原始数据'!$F:$F,MATCH($A707,'[AQ_2020.xlsx]原始数据'!$A:$A,0)),""))</f>
        <v/>
      </c>
      <c r="W707">
        <f>IF($A707="","",IFERROR(INDEX('[AQ_2021.xlsx]原始数据'!$F:$F,MATCH($A707,'[AQ_2021.xlsx]原始数据'!$A:$A,0)),""))</f>
        <v/>
      </c>
      <c r="X707">
        <f>IF($A707="","",IFERROR(INDEX('[AQ_2022.xlsx]原始数据'!$F:$F,MATCH($A707,'[AQ_2022.xlsx]原始数据'!$A:$A,0)),""))</f>
        <v/>
      </c>
      <c r="Y707">
        <f>IF($A707="","",IFERROR(INDEX('[AQ_2023.xlsx]原始数据'!$F:$F,MATCH($A707,'[AQ_2023.xlsx]原始数据'!$A:$A,0)),""))</f>
        <v/>
      </c>
      <c r="Z707">
        <f>IF($A707="","",IFERROR(INDEX('[AQ_2024.xlsx]原始数据'!$F:$F,MATCH($A707,'[AQ_2024.xlsx]原始数据'!$A:$A,0)),""))</f>
        <v/>
      </c>
      <c r="AA707" s="2">
        <f>IFERROR(G707/B707,"")</f>
        <v/>
      </c>
      <c r="AB707" s="2">
        <f>IFERROR(H707/C707,"")</f>
        <v/>
      </c>
      <c r="AC707" s="2">
        <f>IFERROR(I707/D707,"")</f>
        <v/>
      </c>
      <c r="AD707" s="2">
        <f>IFERROR(J707/E707,"")</f>
        <v/>
      </c>
      <c r="AE707" s="2">
        <f>IFERROR(K707/F707,"")</f>
        <v/>
      </c>
      <c r="AF707" s="2">
        <f>IFERROR(L707/B707,"")</f>
        <v/>
      </c>
      <c r="AG707" s="2">
        <f>IFERROR(M707/C707,"")</f>
        <v/>
      </c>
      <c r="AH707" s="2">
        <f>IFERROR(N707/D707,"")</f>
        <v/>
      </c>
      <c r="AI707" s="2">
        <f>IFERROR(O707/E707,"")</f>
        <v/>
      </c>
      <c r="AJ707" s="2">
        <f>IFERROR(P707/F707,"")</f>
        <v/>
      </c>
      <c r="AK707" s="2">
        <f>IFERROR(Q707/B707,"")</f>
        <v/>
      </c>
      <c r="AL707" s="2">
        <f>IFERROR(R707/C707,"")</f>
        <v/>
      </c>
      <c r="AM707" s="2">
        <f>IFERROR(S707/D707,"")</f>
        <v/>
      </c>
      <c r="AN707" s="2">
        <f>IFERROR(T707/E707,"")</f>
        <v/>
      </c>
      <c r="AO707" s="2">
        <f>IFERROR(U707/F707,"")</f>
        <v/>
      </c>
    </row>
    <row r="708">
      <c r="B708">
        <f>IF($A708="","",IFERROR(INDEX('[AQ_2020.xlsx]原始数据'!$B:$B,MATCH($A708,'[AQ_2020.xlsx]原始数据'!$A:$A,0)),""))</f>
        <v/>
      </c>
      <c r="C708">
        <f>IF($A708="","",IFERROR(INDEX('[AQ_2021.xlsx]原始数据'!$B:$B,MATCH($A708,'[AQ_2021.xlsx]原始数据'!$A:$A,0)),""))</f>
        <v/>
      </c>
      <c r="D708">
        <f>IF($A708="","",IFERROR(INDEX('[AQ_2022.xlsx]原始数据'!$B:$B,MATCH($A708,'[AQ_2022.xlsx]原始数据'!$A:$A,0)),""))</f>
        <v/>
      </c>
      <c r="E708">
        <f>IF($A708="","",IFERROR(INDEX('[AQ_2023.xlsx]原始数据'!$B:$B,MATCH($A708,'[AQ_2023.xlsx]原始数据'!$A:$A,0)),""))</f>
        <v/>
      </c>
      <c r="F708">
        <f>IF($A708="","",IFERROR(INDEX('[AQ_2024.xlsx]原始数据'!$B:$B,MATCH($A708,'[AQ_2024.xlsx]原始数据'!$A:$A,0)),""))</f>
        <v/>
      </c>
      <c r="G708">
        <f>IF($A708="","",IFERROR(INDEX('[AQ_2020.xlsx]原始数据'!$C:$C,MATCH($A708,'[AQ_2020.xlsx]原始数据'!$A:$A,0)),""))</f>
        <v/>
      </c>
      <c r="H708">
        <f>IF($A708="","",IFERROR(INDEX('[AQ_2021.xlsx]原始数据'!$C:$C,MATCH($A708,'[AQ_2021.xlsx]原始数据'!$A:$A,0)),""))</f>
        <v/>
      </c>
      <c r="I708">
        <f>IF($A708="","",IFERROR(INDEX('[AQ_2022.xlsx]原始数据'!$C:$C,MATCH($A708,'[AQ_2022.xlsx]原始数据'!$A:$A,0)),""))</f>
        <v/>
      </c>
      <c r="J708">
        <f>IF($A708="","",IFERROR(INDEX('[AQ_2023.xlsx]原始数据'!$C:$C,MATCH($A708,'[AQ_2023.xlsx]原始数据'!$A:$A,0)),""))</f>
        <v/>
      </c>
      <c r="K708">
        <f>IF($A708="","",IFERROR(INDEX('[AQ_2024.xlsx]原始数据'!$C:$C,MATCH($A708,'[AQ_2024.xlsx]原始数据'!$A:$A,0)),""))</f>
        <v/>
      </c>
      <c r="L708">
        <f>IF($A708="","",IFERROR(INDEX('[AQ_2020.xlsx]原始数据'!$D:$D,MATCH($A708,'[AQ_2020.xlsx]原始数据'!$A:$A,0)),""))</f>
        <v/>
      </c>
      <c r="M708">
        <f>IF($A708="","",IFERROR(INDEX('[AQ_2021.xlsx]原始数据'!$D:$D,MATCH($A708,'[AQ_2021.xlsx]原始数据'!$A:$A,0)),""))</f>
        <v/>
      </c>
      <c r="N708">
        <f>IF($A708="","",IFERROR(INDEX('[AQ_2022.xlsx]原始数据'!$D:$D,MATCH($A708,'[AQ_2022.xlsx]原始数据'!$A:$A,0)),""))</f>
        <v/>
      </c>
      <c r="O708">
        <f>IF($A708="","",IFERROR(INDEX('[AQ_2023.xlsx]原始数据'!$D:$D,MATCH($A708,'[AQ_2023.xlsx]原始数据'!$A:$A,0)),""))</f>
        <v/>
      </c>
      <c r="P708">
        <f>IF($A708="","",IFERROR(INDEX('[AQ_2024.xlsx]原始数据'!$D:$D,MATCH($A708,'[AQ_2024.xlsx]原始数据'!$A:$A,0)),""))</f>
        <v/>
      </c>
      <c r="Q708">
        <f>IF($A708="","",IFERROR(INDEX('[AQ_2020.xlsx]原始数据'!$E:$E,MATCH($A708,'[AQ_2020.xlsx]原始数据'!$A:$A,0)),""))</f>
        <v/>
      </c>
      <c r="R708">
        <f>IF($A708="","",IFERROR(INDEX('[AQ_2021.xlsx]原始数据'!$E:$E,MATCH($A708,'[AQ_2021.xlsx]原始数据'!$A:$A,0)),""))</f>
        <v/>
      </c>
      <c r="S708">
        <f>IF($A708="","",IFERROR(INDEX('[AQ_2022.xlsx]原始数据'!$E:$E,MATCH($A708,'[AQ_2022.xlsx]原始数据'!$A:$A,0)),""))</f>
        <v/>
      </c>
      <c r="T708">
        <f>IF($A708="","",IFERROR(INDEX('[AQ_2023.xlsx]原始数据'!$E:$E,MATCH($A708,'[AQ_2023.xlsx]原始数据'!$A:$A,0)),""))</f>
        <v/>
      </c>
      <c r="U708">
        <f>IF($A708="","",IFERROR(INDEX('[AQ_2024.xlsx]原始数据'!$E:$E,MATCH($A708,'[AQ_2024.xlsx]原始数据'!$A:$A,0)),""))</f>
        <v/>
      </c>
      <c r="V708">
        <f>IF($A708="","",IFERROR(INDEX('[AQ_2020.xlsx]原始数据'!$F:$F,MATCH($A708,'[AQ_2020.xlsx]原始数据'!$A:$A,0)),""))</f>
        <v/>
      </c>
      <c r="W708">
        <f>IF($A708="","",IFERROR(INDEX('[AQ_2021.xlsx]原始数据'!$F:$F,MATCH($A708,'[AQ_2021.xlsx]原始数据'!$A:$A,0)),""))</f>
        <v/>
      </c>
      <c r="X708">
        <f>IF($A708="","",IFERROR(INDEX('[AQ_2022.xlsx]原始数据'!$F:$F,MATCH($A708,'[AQ_2022.xlsx]原始数据'!$A:$A,0)),""))</f>
        <v/>
      </c>
      <c r="Y708">
        <f>IF($A708="","",IFERROR(INDEX('[AQ_2023.xlsx]原始数据'!$F:$F,MATCH($A708,'[AQ_2023.xlsx]原始数据'!$A:$A,0)),""))</f>
        <v/>
      </c>
      <c r="Z708">
        <f>IF($A708="","",IFERROR(INDEX('[AQ_2024.xlsx]原始数据'!$F:$F,MATCH($A708,'[AQ_2024.xlsx]原始数据'!$A:$A,0)),""))</f>
        <v/>
      </c>
      <c r="AA708" s="2">
        <f>IFERROR(G708/B708,"")</f>
        <v/>
      </c>
      <c r="AB708" s="2">
        <f>IFERROR(H708/C708,"")</f>
        <v/>
      </c>
      <c r="AC708" s="2">
        <f>IFERROR(I708/D708,"")</f>
        <v/>
      </c>
      <c r="AD708" s="2">
        <f>IFERROR(J708/E708,"")</f>
        <v/>
      </c>
      <c r="AE708" s="2">
        <f>IFERROR(K708/F708,"")</f>
        <v/>
      </c>
      <c r="AF708" s="2">
        <f>IFERROR(L708/B708,"")</f>
        <v/>
      </c>
      <c r="AG708" s="2">
        <f>IFERROR(M708/C708,"")</f>
        <v/>
      </c>
      <c r="AH708" s="2">
        <f>IFERROR(N708/D708,"")</f>
        <v/>
      </c>
      <c r="AI708" s="2">
        <f>IFERROR(O708/E708,"")</f>
        <v/>
      </c>
      <c r="AJ708" s="2">
        <f>IFERROR(P708/F708,"")</f>
        <v/>
      </c>
      <c r="AK708" s="2">
        <f>IFERROR(Q708/B708,"")</f>
        <v/>
      </c>
      <c r="AL708" s="2">
        <f>IFERROR(R708/C708,"")</f>
        <v/>
      </c>
      <c r="AM708" s="2">
        <f>IFERROR(S708/D708,"")</f>
        <v/>
      </c>
      <c r="AN708" s="2">
        <f>IFERROR(T708/E708,"")</f>
        <v/>
      </c>
      <c r="AO708" s="2">
        <f>IFERROR(U708/F708,"")</f>
        <v/>
      </c>
    </row>
    <row r="709">
      <c r="B709">
        <f>IF($A709="","",IFERROR(INDEX('[AQ_2020.xlsx]原始数据'!$B:$B,MATCH($A709,'[AQ_2020.xlsx]原始数据'!$A:$A,0)),""))</f>
        <v/>
      </c>
      <c r="C709">
        <f>IF($A709="","",IFERROR(INDEX('[AQ_2021.xlsx]原始数据'!$B:$B,MATCH($A709,'[AQ_2021.xlsx]原始数据'!$A:$A,0)),""))</f>
        <v/>
      </c>
      <c r="D709">
        <f>IF($A709="","",IFERROR(INDEX('[AQ_2022.xlsx]原始数据'!$B:$B,MATCH($A709,'[AQ_2022.xlsx]原始数据'!$A:$A,0)),""))</f>
        <v/>
      </c>
      <c r="E709">
        <f>IF($A709="","",IFERROR(INDEX('[AQ_2023.xlsx]原始数据'!$B:$B,MATCH($A709,'[AQ_2023.xlsx]原始数据'!$A:$A,0)),""))</f>
        <v/>
      </c>
      <c r="F709">
        <f>IF($A709="","",IFERROR(INDEX('[AQ_2024.xlsx]原始数据'!$B:$B,MATCH($A709,'[AQ_2024.xlsx]原始数据'!$A:$A,0)),""))</f>
        <v/>
      </c>
      <c r="G709">
        <f>IF($A709="","",IFERROR(INDEX('[AQ_2020.xlsx]原始数据'!$C:$C,MATCH($A709,'[AQ_2020.xlsx]原始数据'!$A:$A,0)),""))</f>
        <v/>
      </c>
      <c r="H709">
        <f>IF($A709="","",IFERROR(INDEX('[AQ_2021.xlsx]原始数据'!$C:$C,MATCH($A709,'[AQ_2021.xlsx]原始数据'!$A:$A,0)),""))</f>
        <v/>
      </c>
      <c r="I709">
        <f>IF($A709="","",IFERROR(INDEX('[AQ_2022.xlsx]原始数据'!$C:$C,MATCH($A709,'[AQ_2022.xlsx]原始数据'!$A:$A,0)),""))</f>
        <v/>
      </c>
      <c r="J709">
        <f>IF($A709="","",IFERROR(INDEX('[AQ_2023.xlsx]原始数据'!$C:$C,MATCH($A709,'[AQ_2023.xlsx]原始数据'!$A:$A,0)),""))</f>
        <v/>
      </c>
      <c r="K709">
        <f>IF($A709="","",IFERROR(INDEX('[AQ_2024.xlsx]原始数据'!$C:$C,MATCH($A709,'[AQ_2024.xlsx]原始数据'!$A:$A,0)),""))</f>
        <v/>
      </c>
      <c r="L709">
        <f>IF($A709="","",IFERROR(INDEX('[AQ_2020.xlsx]原始数据'!$D:$D,MATCH($A709,'[AQ_2020.xlsx]原始数据'!$A:$A,0)),""))</f>
        <v/>
      </c>
      <c r="M709">
        <f>IF($A709="","",IFERROR(INDEX('[AQ_2021.xlsx]原始数据'!$D:$D,MATCH($A709,'[AQ_2021.xlsx]原始数据'!$A:$A,0)),""))</f>
        <v/>
      </c>
      <c r="N709">
        <f>IF($A709="","",IFERROR(INDEX('[AQ_2022.xlsx]原始数据'!$D:$D,MATCH($A709,'[AQ_2022.xlsx]原始数据'!$A:$A,0)),""))</f>
        <v/>
      </c>
      <c r="O709">
        <f>IF($A709="","",IFERROR(INDEX('[AQ_2023.xlsx]原始数据'!$D:$D,MATCH($A709,'[AQ_2023.xlsx]原始数据'!$A:$A,0)),""))</f>
        <v/>
      </c>
      <c r="P709">
        <f>IF($A709="","",IFERROR(INDEX('[AQ_2024.xlsx]原始数据'!$D:$D,MATCH($A709,'[AQ_2024.xlsx]原始数据'!$A:$A,0)),""))</f>
        <v/>
      </c>
      <c r="Q709">
        <f>IF($A709="","",IFERROR(INDEX('[AQ_2020.xlsx]原始数据'!$E:$E,MATCH($A709,'[AQ_2020.xlsx]原始数据'!$A:$A,0)),""))</f>
        <v/>
      </c>
      <c r="R709">
        <f>IF($A709="","",IFERROR(INDEX('[AQ_2021.xlsx]原始数据'!$E:$E,MATCH($A709,'[AQ_2021.xlsx]原始数据'!$A:$A,0)),""))</f>
        <v/>
      </c>
      <c r="S709">
        <f>IF($A709="","",IFERROR(INDEX('[AQ_2022.xlsx]原始数据'!$E:$E,MATCH($A709,'[AQ_2022.xlsx]原始数据'!$A:$A,0)),""))</f>
        <v/>
      </c>
      <c r="T709">
        <f>IF($A709="","",IFERROR(INDEX('[AQ_2023.xlsx]原始数据'!$E:$E,MATCH($A709,'[AQ_2023.xlsx]原始数据'!$A:$A,0)),""))</f>
        <v/>
      </c>
      <c r="U709">
        <f>IF($A709="","",IFERROR(INDEX('[AQ_2024.xlsx]原始数据'!$E:$E,MATCH($A709,'[AQ_2024.xlsx]原始数据'!$A:$A,0)),""))</f>
        <v/>
      </c>
      <c r="V709">
        <f>IF($A709="","",IFERROR(INDEX('[AQ_2020.xlsx]原始数据'!$F:$F,MATCH($A709,'[AQ_2020.xlsx]原始数据'!$A:$A,0)),""))</f>
        <v/>
      </c>
      <c r="W709">
        <f>IF($A709="","",IFERROR(INDEX('[AQ_2021.xlsx]原始数据'!$F:$F,MATCH($A709,'[AQ_2021.xlsx]原始数据'!$A:$A,0)),""))</f>
        <v/>
      </c>
      <c r="X709">
        <f>IF($A709="","",IFERROR(INDEX('[AQ_2022.xlsx]原始数据'!$F:$F,MATCH($A709,'[AQ_2022.xlsx]原始数据'!$A:$A,0)),""))</f>
        <v/>
      </c>
      <c r="Y709">
        <f>IF($A709="","",IFERROR(INDEX('[AQ_2023.xlsx]原始数据'!$F:$F,MATCH($A709,'[AQ_2023.xlsx]原始数据'!$A:$A,0)),""))</f>
        <v/>
      </c>
      <c r="Z709">
        <f>IF($A709="","",IFERROR(INDEX('[AQ_2024.xlsx]原始数据'!$F:$F,MATCH($A709,'[AQ_2024.xlsx]原始数据'!$A:$A,0)),""))</f>
        <v/>
      </c>
      <c r="AA709" s="2">
        <f>IFERROR(G709/B709,"")</f>
        <v/>
      </c>
      <c r="AB709" s="2">
        <f>IFERROR(H709/C709,"")</f>
        <v/>
      </c>
      <c r="AC709" s="2">
        <f>IFERROR(I709/D709,"")</f>
        <v/>
      </c>
      <c r="AD709" s="2">
        <f>IFERROR(J709/E709,"")</f>
        <v/>
      </c>
      <c r="AE709" s="2">
        <f>IFERROR(K709/F709,"")</f>
        <v/>
      </c>
      <c r="AF709" s="2">
        <f>IFERROR(L709/B709,"")</f>
        <v/>
      </c>
      <c r="AG709" s="2">
        <f>IFERROR(M709/C709,"")</f>
        <v/>
      </c>
      <c r="AH709" s="2">
        <f>IFERROR(N709/D709,"")</f>
        <v/>
      </c>
      <c r="AI709" s="2">
        <f>IFERROR(O709/E709,"")</f>
        <v/>
      </c>
      <c r="AJ709" s="2">
        <f>IFERROR(P709/F709,"")</f>
        <v/>
      </c>
      <c r="AK709" s="2">
        <f>IFERROR(Q709/B709,"")</f>
        <v/>
      </c>
      <c r="AL709" s="2">
        <f>IFERROR(R709/C709,"")</f>
        <v/>
      </c>
      <c r="AM709" s="2">
        <f>IFERROR(S709/D709,"")</f>
        <v/>
      </c>
      <c r="AN709" s="2">
        <f>IFERROR(T709/E709,"")</f>
        <v/>
      </c>
      <c r="AO709" s="2">
        <f>IFERROR(U709/F709,"")</f>
        <v/>
      </c>
    </row>
    <row r="710">
      <c r="B710">
        <f>IF($A710="","",IFERROR(INDEX('[AQ_2020.xlsx]原始数据'!$B:$B,MATCH($A710,'[AQ_2020.xlsx]原始数据'!$A:$A,0)),""))</f>
        <v/>
      </c>
      <c r="C710">
        <f>IF($A710="","",IFERROR(INDEX('[AQ_2021.xlsx]原始数据'!$B:$B,MATCH($A710,'[AQ_2021.xlsx]原始数据'!$A:$A,0)),""))</f>
        <v/>
      </c>
      <c r="D710">
        <f>IF($A710="","",IFERROR(INDEX('[AQ_2022.xlsx]原始数据'!$B:$B,MATCH($A710,'[AQ_2022.xlsx]原始数据'!$A:$A,0)),""))</f>
        <v/>
      </c>
      <c r="E710">
        <f>IF($A710="","",IFERROR(INDEX('[AQ_2023.xlsx]原始数据'!$B:$B,MATCH($A710,'[AQ_2023.xlsx]原始数据'!$A:$A,0)),""))</f>
        <v/>
      </c>
      <c r="F710">
        <f>IF($A710="","",IFERROR(INDEX('[AQ_2024.xlsx]原始数据'!$B:$B,MATCH($A710,'[AQ_2024.xlsx]原始数据'!$A:$A,0)),""))</f>
        <v/>
      </c>
      <c r="G710">
        <f>IF($A710="","",IFERROR(INDEX('[AQ_2020.xlsx]原始数据'!$C:$C,MATCH($A710,'[AQ_2020.xlsx]原始数据'!$A:$A,0)),""))</f>
        <v/>
      </c>
      <c r="H710">
        <f>IF($A710="","",IFERROR(INDEX('[AQ_2021.xlsx]原始数据'!$C:$C,MATCH($A710,'[AQ_2021.xlsx]原始数据'!$A:$A,0)),""))</f>
        <v/>
      </c>
      <c r="I710">
        <f>IF($A710="","",IFERROR(INDEX('[AQ_2022.xlsx]原始数据'!$C:$C,MATCH($A710,'[AQ_2022.xlsx]原始数据'!$A:$A,0)),""))</f>
        <v/>
      </c>
      <c r="J710">
        <f>IF($A710="","",IFERROR(INDEX('[AQ_2023.xlsx]原始数据'!$C:$C,MATCH($A710,'[AQ_2023.xlsx]原始数据'!$A:$A,0)),""))</f>
        <v/>
      </c>
      <c r="K710">
        <f>IF($A710="","",IFERROR(INDEX('[AQ_2024.xlsx]原始数据'!$C:$C,MATCH($A710,'[AQ_2024.xlsx]原始数据'!$A:$A,0)),""))</f>
        <v/>
      </c>
      <c r="L710">
        <f>IF($A710="","",IFERROR(INDEX('[AQ_2020.xlsx]原始数据'!$D:$D,MATCH($A710,'[AQ_2020.xlsx]原始数据'!$A:$A,0)),""))</f>
        <v/>
      </c>
      <c r="M710">
        <f>IF($A710="","",IFERROR(INDEX('[AQ_2021.xlsx]原始数据'!$D:$D,MATCH($A710,'[AQ_2021.xlsx]原始数据'!$A:$A,0)),""))</f>
        <v/>
      </c>
      <c r="N710">
        <f>IF($A710="","",IFERROR(INDEX('[AQ_2022.xlsx]原始数据'!$D:$D,MATCH($A710,'[AQ_2022.xlsx]原始数据'!$A:$A,0)),""))</f>
        <v/>
      </c>
      <c r="O710">
        <f>IF($A710="","",IFERROR(INDEX('[AQ_2023.xlsx]原始数据'!$D:$D,MATCH($A710,'[AQ_2023.xlsx]原始数据'!$A:$A,0)),""))</f>
        <v/>
      </c>
      <c r="P710">
        <f>IF($A710="","",IFERROR(INDEX('[AQ_2024.xlsx]原始数据'!$D:$D,MATCH($A710,'[AQ_2024.xlsx]原始数据'!$A:$A,0)),""))</f>
        <v/>
      </c>
      <c r="Q710">
        <f>IF($A710="","",IFERROR(INDEX('[AQ_2020.xlsx]原始数据'!$E:$E,MATCH($A710,'[AQ_2020.xlsx]原始数据'!$A:$A,0)),""))</f>
        <v/>
      </c>
      <c r="R710">
        <f>IF($A710="","",IFERROR(INDEX('[AQ_2021.xlsx]原始数据'!$E:$E,MATCH($A710,'[AQ_2021.xlsx]原始数据'!$A:$A,0)),""))</f>
        <v/>
      </c>
      <c r="S710">
        <f>IF($A710="","",IFERROR(INDEX('[AQ_2022.xlsx]原始数据'!$E:$E,MATCH($A710,'[AQ_2022.xlsx]原始数据'!$A:$A,0)),""))</f>
        <v/>
      </c>
      <c r="T710">
        <f>IF($A710="","",IFERROR(INDEX('[AQ_2023.xlsx]原始数据'!$E:$E,MATCH($A710,'[AQ_2023.xlsx]原始数据'!$A:$A,0)),""))</f>
        <v/>
      </c>
      <c r="U710">
        <f>IF($A710="","",IFERROR(INDEX('[AQ_2024.xlsx]原始数据'!$E:$E,MATCH($A710,'[AQ_2024.xlsx]原始数据'!$A:$A,0)),""))</f>
        <v/>
      </c>
      <c r="V710">
        <f>IF($A710="","",IFERROR(INDEX('[AQ_2020.xlsx]原始数据'!$F:$F,MATCH($A710,'[AQ_2020.xlsx]原始数据'!$A:$A,0)),""))</f>
        <v/>
      </c>
      <c r="W710">
        <f>IF($A710="","",IFERROR(INDEX('[AQ_2021.xlsx]原始数据'!$F:$F,MATCH($A710,'[AQ_2021.xlsx]原始数据'!$A:$A,0)),""))</f>
        <v/>
      </c>
      <c r="X710">
        <f>IF($A710="","",IFERROR(INDEX('[AQ_2022.xlsx]原始数据'!$F:$F,MATCH($A710,'[AQ_2022.xlsx]原始数据'!$A:$A,0)),""))</f>
        <v/>
      </c>
      <c r="Y710">
        <f>IF($A710="","",IFERROR(INDEX('[AQ_2023.xlsx]原始数据'!$F:$F,MATCH($A710,'[AQ_2023.xlsx]原始数据'!$A:$A,0)),""))</f>
        <v/>
      </c>
      <c r="Z710">
        <f>IF($A710="","",IFERROR(INDEX('[AQ_2024.xlsx]原始数据'!$F:$F,MATCH($A710,'[AQ_2024.xlsx]原始数据'!$A:$A,0)),""))</f>
        <v/>
      </c>
      <c r="AA710" s="2">
        <f>IFERROR(G710/B710,"")</f>
        <v/>
      </c>
      <c r="AB710" s="2">
        <f>IFERROR(H710/C710,"")</f>
        <v/>
      </c>
      <c r="AC710" s="2">
        <f>IFERROR(I710/D710,"")</f>
        <v/>
      </c>
      <c r="AD710" s="2">
        <f>IFERROR(J710/E710,"")</f>
        <v/>
      </c>
      <c r="AE710" s="2">
        <f>IFERROR(K710/F710,"")</f>
        <v/>
      </c>
      <c r="AF710" s="2">
        <f>IFERROR(L710/B710,"")</f>
        <v/>
      </c>
      <c r="AG710" s="2">
        <f>IFERROR(M710/C710,"")</f>
        <v/>
      </c>
      <c r="AH710" s="2">
        <f>IFERROR(N710/D710,"")</f>
        <v/>
      </c>
      <c r="AI710" s="2">
        <f>IFERROR(O710/E710,"")</f>
        <v/>
      </c>
      <c r="AJ710" s="2">
        <f>IFERROR(P710/F710,"")</f>
        <v/>
      </c>
      <c r="AK710" s="2">
        <f>IFERROR(Q710/B710,"")</f>
        <v/>
      </c>
      <c r="AL710" s="2">
        <f>IFERROR(R710/C710,"")</f>
        <v/>
      </c>
      <c r="AM710" s="2">
        <f>IFERROR(S710/D710,"")</f>
        <v/>
      </c>
      <c r="AN710" s="2">
        <f>IFERROR(T710/E710,"")</f>
        <v/>
      </c>
      <c r="AO710" s="2">
        <f>IFERROR(U710/F710,"")</f>
        <v/>
      </c>
    </row>
    <row r="711">
      <c r="B711">
        <f>IF($A711="","",IFERROR(INDEX('[AQ_2020.xlsx]原始数据'!$B:$B,MATCH($A711,'[AQ_2020.xlsx]原始数据'!$A:$A,0)),""))</f>
        <v/>
      </c>
      <c r="C711">
        <f>IF($A711="","",IFERROR(INDEX('[AQ_2021.xlsx]原始数据'!$B:$B,MATCH($A711,'[AQ_2021.xlsx]原始数据'!$A:$A,0)),""))</f>
        <v/>
      </c>
      <c r="D711">
        <f>IF($A711="","",IFERROR(INDEX('[AQ_2022.xlsx]原始数据'!$B:$B,MATCH($A711,'[AQ_2022.xlsx]原始数据'!$A:$A,0)),""))</f>
        <v/>
      </c>
      <c r="E711">
        <f>IF($A711="","",IFERROR(INDEX('[AQ_2023.xlsx]原始数据'!$B:$B,MATCH($A711,'[AQ_2023.xlsx]原始数据'!$A:$A,0)),""))</f>
        <v/>
      </c>
      <c r="F711">
        <f>IF($A711="","",IFERROR(INDEX('[AQ_2024.xlsx]原始数据'!$B:$B,MATCH($A711,'[AQ_2024.xlsx]原始数据'!$A:$A,0)),""))</f>
        <v/>
      </c>
      <c r="G711">
        <f>IF($A711="","",IFERROR(INDEX('[AQ_2020.xlsx]原始数据'!$C:$C,MATCH($A711,'[AQ_2020.xlsx]原始数据'!$A:$A,0)),""))</f>
        <v/>
      </c>
      <c r="H711">
        <f>IF($A711="","",IFERROR(INDEX('[AQ_2021.xlsx]原始数据'!$C:$C,MATCH($A711,'[AQ_2021.xlsx]原始数据'!$A:$A,0)),""))</f>
        <v/>
      </c>
      <c r="I711">
        <f>IF($A711="","",IFERROR(INDEX('[AQ_2022.xlsx]原始数据'!$C:$C,MATCH($A711,'[AQ_2022.xlsx]原始数据'!$A:$A,0)),""))</f>
        <v/>
      </c>
      <c r="J711">
        <f>IF($A711="","",IFERROR(INDEX('[AQ_2023.xlsx]原始数据'!$C:$C,MATCH($A711,'[AQ_2023.xlsx]原始数据'!$A:$A,0)),""))</f>
        <v/>
      </c>
      <c r="K711">
        <f>IF($A711="","",IFERROR(INDEX('[AQ_2024.xlsx]原始数据'!$C:$C,MATCH($A711,'[AQ_2024.xlsx]原始数据'!$A:$A,0)),""))</f>
        <v/>
      </c>
      <c r="L711">
        <f>IF($A711="","",IFERROR(INDEX('[AQ_2020.xlsx]原始数据'!$D:$D,MATCH($A711,'[AQ_2020.xlsx]原始数据'!$A:$A,0)),""))</f>
        <v/>
      </c>
      <c r="M711">
        <f>IF($A711="","",IFERROR(INDEX('[AQ_2021.xlsx]原始数据'!$D:$D,MATCH($A711,'[AQ_2021.xlsx]原始数据'!$A:$A,0)),""))</f>
        <v/>
      </c>
      <c r="N711">
        <f>IF($A711="","",IFERROR(INDEX('[AQ_2022.xlsx]原始数据'!$D:$D,MATCH($A711,'[AQ_2022.xlsx]原始数据'!$A:$A,0)),""))</f>
        <v/>
      </c>
      <c r="O711">
        <f>IF($A711="","",IFERROR(INDEX('[AQ_2023.xlsx]原始数据'!$D:$D,MATCH($A711,'[AQ_2023.xlsx]原始数据'!$A:$A,0)),""))</f>
        <v/>
      </c>
      <c r="P711">
        <f>IF($A711="","",IFERROR(INDEX('[AQ_2024.xlsx]原始数据'!$D:$D,MATCH($A711,'[AQ_2024.xlsx]原始数据'!$A:$A,0)),""))</f>
        <v/>
      </c>
      <c r="Q711">
        <f>IF($A711="","",IFERROR(INDEX('[AQ_2020.xlsx]原始数据'!$E:$E,MATCH($A711,'[AQ_2020.xlsx]原始数据'!$A:$A,0)),""))</f>
        <v/>
      </c>
      <c r="R711">
        <f>IF($A711="","",IFERROR(INDEX('[AQ_2021.xlsx]原始数据'!$E:$E,MATCH($A711,'[AQ_2021.xlsx]原始数据'!$A:$A,0)),""))</f>
        <v/>
      </c>
      <c r="S711">
        <f>IF($A711="","",IFERROR(INDEX('[AQ_2022.xlsx]原始数据'!$E:$E,MATCH($A711,'[AQ_2022.xlsx]原始数据'!$A:$A,0)),""))</f>
        <v/>
      </c>
      <c r="T711">
        <f>IF($A711="","",IFERROR(INDEX('[AQ_2023.xlsx]原始数据'!$E:$E,MATCH($A711,'[AQ_2023.xlsx]原始数据'!$A:$A,0)),""))</f>
        <v/>
      </c>
      <c r="U711">
        <f>IF($A711="","",IFERROR(INDEX('[AQ_2024.xlsx]原始数据'!$E:$E,MATCH($A711,'[AQ_2024.xlsx]原始数据'!$A:$A,0)),""))</f>
        <v/>
      </c>
      <c r="V711">
        <f>IF($A711="","",IFERROR(INDEX('[AQ_2020.xlsx]原始数据'!$F:$F,MATCH($A711,'[AQ_2020.xlsx]原始数据'!$A:$A,0)),""))</f>
        <v/>
      </c>
      <c r="W711">
        <f>IF($A711="","",IFERROR(INDEX('[AQ_2021.xlsx]原始数据'!$F:$F,MATCH($A711,'[AQ_2021.xlsx]原始数据'!$A:$A,0)),""))</f>
        <v/>
      </c>
      <c r="X711">
        <f>IF($A711="","",IFERROR(INDEX('[AQ_2022.xlsx]原始数据'!$F:$F,MATCH($A711,'[AQ_2022.xlsx]原始数据'!$A:$A,0)),""))</f>
        <v/>
      </c>
      <c r="Y711">
        <f>IF($A711="","",IFERROR(INDEX('[AQ_2023.xlsx]原始数据'!$F:$F,MATCH($A711,'[AQ_2023.xlsx]原始数据'!$A:$A,0)),""))</f>
        <v/>
      </c>
      <c r="Z711">
        <f>IF($A711="","",IFERROR(INDEX('[AQ_2024.xlsx]原始数据'!$F:$F,MATCH($A711,'[AQ_2024.xlsx]原始数据'!$A:$A,0)),""))</f>
        <v/>
      </c>
      <c r="AA711" s="2">
        <f>IFERROR(G711/B711,"")</f>
        <v/>
      </c>
      <c r="AB711" s="2">
        <f>IFERROR(H711/C711,"")</f>
        <v/>
      </c>
      <c r="AC711" s="2">
        <f>IFERROR(I711/D711,"")</f>
        <v/>
      </c>
      <c r="AD711" s="2">
        <f>IFERROR(J711/E711,"")</f>
        <v/>
      </c>
      <c r="AE711" s="2">
        <f>IFERROR(K711/F711,"")</f>
        <v/>
      </c>
      <c r="AF711" s="2">
        <f>IFERROR(L711/B711,"")</f>
        <v/>
      </c>
      <c r="AG711" s="2">
        <f>IFERROR(M711/C711,"")</f>
        <v/>
      </c>
      <c r="AH711" s="2">
        <f>IFERROR(N711/D711,"")</f>
        <v/>
      </c>
      <c r="AI711" s="2">
        <f>IFERROR(O711/E711,"")</f>
        <v/>
      </c>
      <c r="AJ711" s="2">
        <f>IFERROR(P711/F711,"")</f>
        <v/>
      </c>
      <c r="AK711" s="2">
        <f>IFERROR(Q711/B711,"")</f>
        <v/>
      </c>
      <c r="AL711" s="2">
        <f>IFERROR(R711/C711,"")</f>
        <v/>
      </c>
      <c r="AM711" s="2">
        <f>IFERROR(S711/D711,"")</f>
        <v/>
      </c>
      <c r="AN711" s="2">
        <f>IFERROR(T711/E711,"")</f>
        <v/>
      </c>
      <c r="AO711" s="2">
        <f>IFERROR(U711/F711,"")</f>
        <v/>
      </c>
    </row>
    <row r="712">
      <c r="B712">
        <f>IF($A712="","",IFERROR(INDEX('[AQ_2020.xlsx]原始数据'!$B:$B,MATCH($A712,'[AQ_2020.xlsx]原始数据'!$A:$A,0)),""))</f>
        <v/>
      </c>
      <c r="C712">
        <f>IF($A712="","",IFERROR(INDEX('[AQ_2021.xlsx]原始数据'!$B:$B,MATCH($A712,'[AQ_2021.xlsx]原始数据'!$A:$A,0)),""))</f>
        <v/>
      </c>
      <c r="D712">
        <f>IF($A712="","",IFERROR(INDEX('[AQ_2022.xlsx]原始数据'!$B:$B,MATCH($A712,'[AQ_2022.xlsx]原始数据'!$A:$A,0)),""))</f>
        <v/>
      </c>
      <c r="E712">
        <f>IF($A712="","",IFERROR(INDEX('[AQ_2023.xlsx]原始数据'!$B:$B,MATCH($A712,'[AQ_2023.xlsx]原始数据'!$A:$A,0)),""))</f>
        <v/>
      </c>
      <c r="F712">
        <f>IF($A712="","",IFERROR(INDEX('[AQ_2024.xlsx]原始数据'!$B:$B,MATCH($A712,'[AQ_2024.xlsx]原始数据'!$A:$A,0)),""))</f>
        <v/>
      </c>
      <c r="G712">
        <f>IF($A712="","",IFERROR(INDEX('[AQ_2020.xlsx]原始数据'!$C:$C,MATCH($A712,'[AQ_2020.xlsx]原始数据'!$A:$A,0)),""))</f>
        <v/>
      </c>
      <c r="H712">
        <f>IF($A712="","",IFERROR(INDEX('[AQ_2021.xlsx]原始数据'!$C:$C,MATCH($A712,'[AQ_2021.xlsx]原始数据'!$A:$A,0)),""))</f>
        <v/>
      </c>
      <c r="I712">
        <f>IF($A712="","",IFERROR(INDEX('[AQ_2022.xlsx]原始数据'!$C:$C,MATCH($A712,'[AQ_2022.xlsx]原始数据'!$A:$A,0)),""))</f>
        <v/>
      </c>
      <c r="J712">
        <f>IF($A712="","",IFERROR(INDEX('[AQ_2023.xlsx]原始数据'!$C:$C,MATCH($A712,'[AQ_2023.xlsx]原始数据'!$A:$A,0)),""))</f>
        <v/>
      </c>
      <c r="K712">
        <f>IF($A712="","",IFERROR(INDEX('[AQ_2024.xlsx]原始数据'!$C:$C,MATCH($A712,'[AQ_2024.xlsx]原始数据'!$A:$A,0)),""))</f>
        <v/>
      </c>
      <c r="L712">
        <f>IF($A712="","",IFERROR(INDEX('[AQ_2020.xlsx]原始数据'!$D:$D,MATCH($A712,'[AQ_2020.xlsx]原始数据'!$A:$A,0)),""))</f>
        <v/>
      </c>
      <c r="M712">
        <f>IF($A712="","",IFERROR(INDEX('[AQ_2021.xlsx]原始数据'!$D:$D,MATCH($A712,'[AQ_2021.xlsx]原始数据'!$A:$A,0)),""))</f>
        <v/>
      </c>
      <c r="N712">
        <f>IF($A712="","",IFERROR(INDEX('[AQ_2022.xlsx]原始数据'!$D:$D,MATCH($A712,'[AQ_2022.xlsx]原始数据'!$A:$A,0)),""))</f>
        <v/>
      </c>
      <c r="O712">
        <f>IF($A712="","",IFERROR(INDEX('[AQ_2023.xlsx]原始数据'!$D:$D,MATCH($A712,'[AQ_2023.xlsx]原始数据'!$A:$A,0)),""))</f>
        <v/>
      </c>
      <c r="P712">
        <f>IF($A712="","",IFERROR(INDEX('[AQ_2024.xlsx]原始数据'!$D:$D,MATCH($A712,'[AQ_2024.xlsx]原始数据'!$A:$A,0)),""))</f>
        <v/>
      </c>
      <c r="Q712">
        <f>IF($A712="","",IFERROR(INDEX('[AQ_2020.xlsx]原始数据'!$E:$E,MATCH($A712,'[AQ_2020.xlsx]原始数据'!$A:$A,0)),""))</f>
        <v/>
      </c>
      <c r="R712">
        <f>IF($A712="","",IFERROR(INDEX('[AQ_2021.xlsx]原始数据'!$E:$E,MATCH($A712,'[AQ_2021.xlsx]原始数据'!$A:$A,0)),""))</f>
        <v/>
      </c>
      <c r="S712">
        <f>IF($A712="","",IFERROR(INDEX('[AQ_2022.xlsx]原始数据'!$E:$E,MATCH($A712,'[AQ_2022.xlsx]原始数据'!$A:$A,0)),""))</f>
        <v/>
      </c>
      <c r="T712">
        <f>IF($A712="","",IFERROR(INDEX('[AQ_2023.xlsx]原始数据'!$E:$E,MATCH($A712,'[AQ_2023.xlsx]原始数据'!$A:$A,0)),""))</f>
        <v/>
      </c>
      <c r="U712">
        <f>IF($A712="","",IFERROR(INDEX('[AQ_2024.xlsx]原始数据'!$E:$E,MATCH($A712,'[AQ_2024.xlsx]原始数据'!$A:$A,0)),""))</f>
        <v/>
      </c>
      <c r="V712">
        <f>IF($A712="","",IFERROR(INDEX('[AQ_2020.xlsx]原始数据'!$F:$F,MATCH($A712,'[AQ_2020.xlsx]原始数据'!$A:$A,0)),""))</f>
        <v/>
      </c>
      <c r="W712">
        <f>IF($A712="","",IFERROR(INDEX('[AQ_2021.xlsx]原始数据'!$F:$F,MATCH($A712,'[AQ_2021.xlsx]原始数据'!$A:$A,0)),""))</f>
        <v/>
      </c>
      <c r="X712">
        <f>IF($A712="","",IFERROR(INDEX('[AQ_2022.xlsx]原始数据'!$F:$F,MATCH($A712,'[AQ_2022.xlsx]原始数据'!$A:$A,0)),""))</f>
        <v/>
      </c>
      <c r="Y712">
        <f>IF($A712="","",IFERROR(INDEX('[AQ_2023.xlsx]原始数据'!$F:$F,MATCH($A712,'[AQ_2023.xlsx]原始数据'!$A:$A,0)),""))</f>
        <v/>
      </c>
      <c r="Z712">
        <f>IF($A712="","",IFERROR(INDEX('[AQ_2024.xlsx]原始数据'!$F:$F,MATCH($A712,'[AQ_2024.xlsx]原始数据'!$A:$A,0)),""))</f>
        <v/>
      </c>
      <c r="AA712" s="2">
        <f>IFERROR(G712/B712,"")</f>
        <v/>
      </c>
      <c r="AB712" s="2">
        <f>IFERROR(H712/C712,"")</f>
        <v/>
      </c>
      <c r="AC712" s="2">
        <f>IFERROR(I712/D712,"")</f>
        <v/>
      </c>
      <c r="AD712" s="2">
        <f>IFERROR(J712/E712,"")</f>
        <v/>
      </c>
      <c r="AE712" s="2">
        <f>IFERROR(K712/F712,"")</f>
        <v/>
      </c>
      <c r="AF712" s="2">
        <f>IFERROR(L712/B712,"")</f>
        <v/>
      </c>
      <c r="AG712" s="2">
        <f>IFERROR(M712/C712,"")</f>
        <v/>
      </c>
      <c r="AH712" s="2">
        <f>IFERROR(N712/D712,"")</f>
        <v/>
      </c>
      <c r="AI712" s="2">
        <f>IFERROR(O712/E712,"")</f>
        <v/>
      </c>
      <c r="AJ712" s="2">
        <f>IFERROR(P712/F712,"")</f>
        <v/>
      </c>
      <c r="AK712" s="2">
        <f>IFERROR(Q712/B712,"")</f>
        <v/>
      </c>
      <c r="AL712" s="2">
        <f>IFERROR(R712/C712,"")</f>
        <v/>
      </c>
      <c r="AM712" s="2">
        <f>IFERROR(S712/D712,"")</f>
        <v/>
      </c>
      <c r="AN712" s="2">
        <f>IFERROR(T712/E712,"")</f>
        <v/>
      </c>
      <c r="AO712" s="2">
        <f>IFERROR(U712/F712,"")</f>
        <v/>
      </c>
    </row>
    <row r="713">
      <c r="B713">
        <f>IF($A713="","",IFERROR(INDEX('[AQ_2020.xlsx]原始数据'!$B:$B,MATCH($A713,'[AQ_2020.xlsx]原始数据'!$A:$A,0)),""))</f>
        <v/>
      </c>
      <c r="C713">
        <f>IF($A713="","",IFERROR(INDEX('[AQ_2021.xlsx]原始数据'!$B:$B,MATCH($A713,'[AQ_2021.xlsx]原始数据'!$A:$A,0)),""))</f>
        <v/>
      </c>
      <c r="D713">
        <f>IF($A713="","",IFERROR(INDEX('[AQ_2022.xlsx]原始数据'!$B:$B,MATCH($A713,'[AQ_2022.xlsx]原始数据'!$A:$A,0)),""))</f>
        <v/>
      </c>
      <c r="E713">
        <f>IF($A713="","",IFERROR(INDEX('[AQ_2023.xlsx]原始数据'!$B:$B,MATCH($A713,'[AQ_2023.xlsx]原始数据'!$A:$A,0)),""))</f>
        <v/>
      </c>
      <c r="F713">
        <f>IF($A713="","",IFERROR(INDEX('[AQ_2024.xlsx]原始数据'!$B:$B,MATCH($A713,'[AQ_2024.xlsx]原始数据'!$A:$A,0)),""))</f>
        <v/>
      </c>
      <c r="G713">
        <f>IF($A713="","",IFERROR(INDEX('[AQ_2020.xlsx]原始数据'!$C:$C,MATCH($A713,'[AQ_2020.xlsx]原始数据'!$A:$A,0)),""))</f>
        <v/>
      </c>
      <c r="H713">
        <f>IF($A713="","",IFERROR(INDEX('[AQ_2021.xlsx]原始数据'!$C:$C,MATCH($A713,'[AQ_2021.xlsx]原始数据'!$A:$A,0)),""))</f>
        <v/>
      </c>
      <c r="I713">
        <f>IF($A713="","",IFERROR(INDEX('[AQ_2022.xlsx]原始数据'!$C:$C,MATCH($A713,'[AQ_2022.xlsx]原始数据'!$A:$A,0)),""))</f>
        <v/>
      </c>
      <c r="J713">
        <f>IF($A713="","",IFERROR(INDEX('[AQ_2023.xlsx]原始数据'!$C:$C,MATCH($A713,'[AQ_2023.xlsx]原始数据'!$A:$A,0)),""))</f>
        <v/>
      </c>
      <c r="K713">
        <f>IF($A713="","",IFERROR(INDEX('[AQ_2024.xlsx]原始数据'!$C:$C,MATCH($A713,'[AQ_2024.xlsx]原始数据'!$A:$A,0)),""))</f>
        <v/>
      </c>
      <c r="L713">
        <f>IF($A713="","",IFERROR(INDEX('[AQ_2020.xlsx]原始数据'!$D:$D,MATCH($A713,'[AQ_2020.xlsx]原始数据'!$A:$A,0)),""))</f>
        <v/>
      </c>
      <c r="M713">
        <f>IF($A713="","",IFERROR(INDEX('[AQ_2021.xlsx]原始数据'!$D:$D,MATCH($A713,'[AQ_2021.xlsx]原始数据'!$A:$A,0)),""))</f>
        <v/>
      </c>
      <c r="N713">
        <f>IF($A713="","",IFERROR(INDEX('[AQ_2022.xlsx]原始数据'!$D:$D,MATCH($A713,'[AQ_2022.xlsx]原始数据'!$A:$A,0)),""))</f>
        <v/>
      </c>
      <c r="O713">
        <f>IF($A713="","",IFERROR(INDEX('[AQ_2023.xlsx]原始数据'!$D:$D,MATCH($A713,'[AQ_2023.xlsx]原始数据'!$A:$A,0)),""))</f>
        <v/>
      </c>
      <c r="P713">
        <f>IF($A713="","",IFERROR(INDEX('[AQ_2024.xlsx]原始数据'!$D:$D,MATCH($A713,'[AQ_2024.xlsx]原始数据'!$A:$A,0)),""))</f>
        <v/>
      </c>
      <c r="Q713">
        <f>IF($A713="","",IFERROR(INDEX('[AQ_2020.xlsx]原始数据'!$E:$E,MATCH($A713,'[AQ_2020.xlsx]原始数据'!$A:$A,0)),""))</f>
        <v/>
      </c>
      <c r="R713">
        <f>IF($A713="","",IFERROR(INDEX('[AQ_2021.xlsx]原始数据'!$E:$E,MATCH($A713,'[AQ_2021.xlsx]原始数据'!$A:$A,0)),""))</f>
        <v/>
      </c>
      <c r="S713">
        <f>IF($A713="","",IFERROR(INDEX('[AQ_2022.xlsx]原始数据'!$E:$E,MATCH($A713,'[AQ_2022.xlsx]原始数据'!$A:$A,0)),""))</f>
        <v/>
      </c>
      <c r="T713">
        <f>IF($A713="","",IFERROR(INDEX('[AQ_2023.xlsx]原始数据'!$E:$E,MATCH($A713,'[AQ_2023.xlsx]原始数据'!$A:$A,0)),""))</f>
        <v/>
      </c>
      <c r="U713">
        <f>IF($A713="","",IFERROR(INDEX('[AQ_2024.xlsx]原始数据'!$E:$E,MATCH($A713,'[AQ_2024.xlsx]原始数据'!$A:$A,0)),""))</f>
        <v/>
      </c>
      <c r="V713">
        <f>IF($A713="","",IFERROR(INDEX('[AQ_2020.xlsx]原始数据'!$F:$F,MATCH($A713,'[AQ_2020.xlsx]原始数据'!$A:$A,0)),""))</f>
        <v/>
      </c>
      <c r="W713">
        <f>IF($A713="","",IFERROR(INDEX('[AQ_2021.xlsx]原始数据'!$F:$F,MATCH($A713,'[AQ_2021.xlsx]原始数据'!$A:$A,0)),""))</f>
        <v/>
      </c>
      <c r="X713">
        <f>IF($A713="","",IFERROR(INDEX('[AQ_2022.xlsx]原始数据'!$F:$F,MATCH($A713,'[AQ_2022.xlsx]原始数据'!$A:$A,0)),""))</f>
        <v/>
      </c>
      <c r="Y713">
        <f>IF($A713="","",IFERROR(INDEX('[AQ_2023.xlsx]原始数据'!$F:$F,MATCH($A713,'[AQ_2023.xlsx]原始数据'!$A:$A,0)),""))</f>
        <v/>
      </c>
      <c r="Z713">
        <f>IF($A713="","",IFERROR(INDEX('[AQ_2024.xlsx]原始数据'!$F:$F,MATCH($A713,'[AQ_2024.xlsx]原始数据'!$A:$A,0)),""))</f>
        <v/>
      </c>
      <c r="AA713" s="2">
        <f>IFERROR(G713/B713,"")</f>
        <v/>
      </c>
      <c r="AB713" s="2">
        <f>IFERROR(H713/C713,"")</f>
        <v/>
      </c>
      <c r="AC713" s="2">
        <f>IFERROR(I713/D713,"")</f>
        <v/>
      </c>
      <c r="AD713" s="2">
        <f>IFERROR(J713/E713,"")</f>
        <v/>
      </c>
      <c r="AE713" s="2">
        <f>IFERROR(K713/F713,"")</f>
        <v/>
      </c>
      <c r="AF713" s="2">
        <f>IFERROR(L713/B713,"")</f>
        <v/>
      </c>
      <c r="AG713" s="2">
        <f>IFERROR(M713/C713,"")</f>
        <v/>
      </c>
      <c r="AH713" s="2">
        <f>IFERROR(N713/D713,"")</f>
        <v/>
      </c>
      <c r="AI713" s="2">
        <f>IFERROR(O713/E713,"")</f>
        <v/>
      </c>
      <c r="AJ713" s="2">
        <f>IFERROR(P713/F713,"")</f>
        <v/>
      </c>
      <c r="AK713" s="2">
        <f>IFERROR(Q713/B713,"")</f>
        <v/>
      </c>
      <c r="AL713" s="2">
        <f>IFERROR(R713/C713,"")</f>
        <v/>
      </c>
      <c r="AM713" s="2">
        <f>IFERROR(S713/D713,"")</f>
        <v/>
      </c>
      <c r="AN713" s="2">
        <f>IFERROR(T713/E713,"")</f>
        <v/>
      </c>
      <c r="AO713" s="2">
        <f>IFERROR(U713/F713,"")</f>
        <v/>
      </c>
    </row>
    <row r="714">
      <c r="B714">
        <f>IF($A714="","",IFERROR(INDEX('[AQ_2020.xlsx]原始数据'!$B:$B,MATCH($A714,'[AQ_2020.xlsx]原始数据'!$A:$A,0)),""))</f>
        <v/>
      </c>
      <c r="C714">
        <f>IF($A714="","",IFERROR(INDEX('[AQ_2021.xlsx]原始数据'!$B:$B,MATCH($A714,'[AQ_2021.xlsx]原始数据'!$A:$A,0)),""))</f>
        <v/>
      </c>
      <c r="D714">
        <f>IF($A714="","",IFERROR(INDEX('[AQ_2022.xlsx]原始数据'!$B:$B,MATCH($A714,'[AQ_2022.xlsx]原始数据'!$A:$A,0)),""))</f>
        <v/>
      </c>
      <c r="E714">
        <f>IF($A714="","",IFERROR(INDEX('[AQ_2023.xlsx]原始数据'!$B:$B,MATCH($A714,'[AQ_2023.xlsx]原始数据'!$A:$A,0)),""))</f>
        <v/>
      </c>
      <c r="F714">
        <f>IF($A714="","",IFERROR(INDEX('[AQ_2024.xlsx]原始数据'!$B:$B,MATCH($A714,'[AQ_2024.xlsx]原始数据'!$A:$A,0)),""))</f>
        <v/>
      </c>
      <c r="G714">
        <f>IF($A714="","",IFERROR(INDEX('[AQ_2020.xlsx]原始数据'!$C:$C,MATCH($A714,'[AQ_2020.xlsx]原始数据'!$A:$A,0)),""))</f>
        <v/>
      </c>
      <c r="H714">
        <f>IF($A714="","",IFERROR(INDEX('[AQ_2021.xlsx]原始数据'!$C:$C,MATCH($A714,'[AQ_2021.xlsx]原始数据'!$A:$A,0)),""))</f>
        <v/>
      </c>
      <c r="I714">
        <f>IF($A714="","",IFERROR(INDEX('[AQ_2022.xlsx]原始数据'!$C:$C,MATCH($A714,'[AQ_2022.xlsx]原始数据'!$A:$A,0)),""))</f>
        <v/>
      </c>
      <c r="J714">
        <f>IF($A714="","",IFERROR(INDEX('[AQ_2023.xlsx]原始数据'!$C:$C,MATCH($A714,'[AQ_2023.xlsx]原始数据'!$A:$A,0)),""))</f>
        <v/>
      </c>
      <c r="K714">
        <f>IF($A714="","",IFERROR(INDEX('[AQ_2024.xlsx]原始数据'!$C:$C,MATCH($A714,'[AQ_2024.xlsx]原始数据'!$A:$A,0)),""))</f>
        <v/>
      </c>
      <c r="L714">
        <f>IF($A714="","",IFERROR(INDEX('[AQ_2020.xlsx]原始数据'!$D:$D,MATCH($A714,'[AQ_2020.xlsx]原始数据'!$A:$A,0)),""))</f>
        <v/>
      </c>
      <c r="M714">
        <f>IF($A714="","",IFERROR(INDEX('[AQ_2021.xlsx]原始数据'!$D:$D,MATCH($A714,'[AQ_2021.xlsx]原始数据'!$A:$A,0)),""))</f>
        <v/>
      </c>
      <c r="N714">
        <f>IF($A714="","",IFERROR(INDEX('[AQ_2022.xlsx]原始数据'!$D:$D,MATCH($A714,'[AQ_2022.xlsx]原始数据'!$A:$A,0)),""))</f>
        <v/>
      </c>
      <c r="O714">
        <f>IF($A714="","",IFERROR(INDEX('[AQ_2023.xlsx]原始数据'!$D:$D,MATCH($A714,'[AQ_2023.xlsx]原始数据'!$A:$A,0)),""))</f>
        <v/>
      </c>
      <c r="P714">
        <f>IF($A714="","",IFERROR(INDEX('[AQ_2024.xlsx]原始数据'!$D:$D,MATCH($A714,'[AQ_2024.xlsx]原始数据'!$A:$A,0)),""))</f>
        <v/>
      </c>
      <c r="Q714">
        <f>IF($A714="","",IFERROR(INDEX('[AQ_2020.xlsx]原始数据'!$E:$E,MATCH($A714,'[AQ_2020.xlsx]原始数据'!$A:$A,0)),""))</f>
        <v/>
      </c>
      <c r="R714">
        <f>IF($A714="","",IFERROR(INDEX('[AQ_2021.xlsx]原始数据'!$E:$E,MATCH($A714,'[AQ_2021.xlsx]原始数据'!$A:$A,0)),""))</f>
        <v/>
      </c>
      <c r="S714">
        <f>IF($A714="","",IFERROR(INDEX('[AQ_2022.xlsx]原始数据'!$E:$E,MATCH($A714,'[AQ_2022.xlsx]原始数据'!$A:$A,0)),""))</f>
        <v/>
      </c>
      <c r="T714">
        <f>IF($A714="","",IFERROR(INDEX('[AQ_2023.xlsx]原始数据'!$E:$E,MATCH($A714,'[AQ_2023.xlsx]原始数据'!$A:$A,0)),""))</f>
        <v/>
      </c>
      <c r="U714">
        <f>IF($A714="","",IFERROR(INDEX('[AQ_2024.xlsx]原始数据'!$E:$E,MATCH($A714,'[AQ_2024.xlsx]原始数据'!$A:$A,0)),""))</f>
        <v/>
      </c>
      <c r="V714">
        <f>IF($A714="","",IFERROR(INDEX('[AQ_2020.xlsx]原始数据'!$F:$F,MATCH($A714,'[AQ_2020.xlsx]原始数据'!$A:$A,0)),""))</f>
        <v/>
      </c>
      <c r="W714">
        <f>IF($A714="","",IFERROR(INDEX('[AQ_2021.xlsx]原始数据'!$F:$F,MATCH($A714,'[AQ_2021.xlsx]原始数据'!$A:$A,0)),""))</f>
        <v/>
      </c>
      <c r="X714">
        <f>IF($A714="","",IFERROR(INDEX('[AQ_2022.xlsx]原始数据'!$F:$F,MATCH($A714,'[AQ_2022.xlsx]原始数据'!$A:$A,0)),""))</f>
        <v/>
      </c>
      <c r="Y714">
        <f>IF($A714="","",IFERROR(INDEX('[AQ_2023.xlsx]原始数据'!$F:$F,MATCH($A714,'[AQ_2023.xlsx]原始数据'!$A:$A,0)),""))</f>
        <v/>
      </c>
      <c r="Z714">
        <f>IF($A714="","",IFERROR(INDEX('[AQ_2024.xlsx]原始数据'!$F:$F,MATCH($A714,'[AQ_2024.xlsx]原始数据'!$A:$A,0)),""))</f>
        <v/>
      </c>
      <c r="AA714" s="2">
        <f>IFERROR(G714/B714,"")</f>
        <v/>
      </c>
      <c r="AB714" s="2">
        <f>IFERROR(H714/C714,"")</f>
        <v/>
      </c>
      <c r="AC714" s="2">
        <f>IFERROR(I714/D714,"")</f>
        <v/>
      </c>
      <c r="AD714" s="2">
        <f>IFERROR(J714/E714,"")</f>
        <v/>
      </c>
      <c r="AE714" s="2">
        <f>IFERROR(K714/F714,"")</f>
        <v/>
      </c>
      <c r="AF714" s="2">
        <f>IFERROR(L714/B714,"")</f>
        <v/>
      </c>
      <c r="AG714" s="2">
        <f>IFERROR(M714/C714,"")</f>
        <v/>
      </c>
      <c r="AH714" s="2">
        <f>IFERROR(N714/D714,"")</f>
        <v/>
      </c>
      <c r="AI714" s="2">
        <f>IFERROR(O714/E714,"")</f>
        <v/>
      </c>
      <c r="AJ714" s="2">
        <f>IFERROR(P714/F714,"")</f>
        <v/>
      </c>
      <c r="AK714" s="2">
        <f>IFERROR(Q714/B714,"")</f>
        <v/>
      </c>
      <c r="AL714" s="2">
        <f>IFERROR(R714/C714,"")</f>
        <v/>
      </c>
      <c r="AM714" s="2">
        <f>IFERROR(S714/D714,"")</f>
        <v/>
      </c>
      <c r="AN714" s="2">
        <f>IFERROR(T714/E714,"")</f>
        <v/>
      </c>
      <c r="AO714" s="2">
        <f>IFERROR(U714/F714,"")</f>
        <v/>
      </c>
    </row>
    <row r="715">
      <c r="B715">
        <f>IF($A715="","",IFERROR(INDEX('[AQ_2020.xlsx]原始数据'!$B:$B,MATCH($A715,'[AQ_2020.xlsx]原始数据'!$A:$A,0)),""))</f>
        <v/>
      </c>
      <c r="C715">
        <f>IF($A715="","",IFERROR(INDEX('[AQ_2021.xlsx]原始数据'!$B:$B,MATCH($A715,'[AQ_2021.xlsx]原始数据'!$A:$A,0)),""))</f>
        <v/>
      </c>
      <c r="D715">
        <f>IF($A715="","",IFERROR(INDEX('[AQ_2022.xlsx]原始数据'!$B:$B,MATCH($A715,'[AQ_2022.xlsx]原始数据'!$A:$A,0)),""))</f>
        <v/>
      </c>
      <c r="E715">
        <f>IF($A715="","",IFERROR(INDEX('[AQ_2023.xlsx]原始数据'!$B:$B,MATCH($A715,'[AQ_2023.xlsx]原始数据'!$A:$A,0)),""))</f>
        <v/>
      </c>
      <c r="F715">
        <f>IF($A715="","",IFERROR(INDEX('[AQ_2024.xlsx]原始数据'!$B:$B,MATCH($A715,'[AQ_2024.xlsx]原始数据'!$A:$A,0)),""))</f>
        <v/>
      </c>
      <c r="G715">
        <f>IF($A715="","",IFERROR(INDEX('[AQ_2020.xlsx]原始数据'!$C:$C,MATCH($A715,'[AQ_2020.xlsx]原始数据'!$A:$A,0)),""))</f>
        <v/>
      </c>
      <c r="H715">
        <f>IF($A715="","",IFERROR(INDEX('[AQ_2021.xlsx]原始数据'!$C:$C,MATCH($A715,'[AQ_2021.xlsx]原始数据'!$A:$A,0)),""))</f>
        <v/>
      </c>
      <c r="I715">
        <f>IF($A715="","",IFERROR(INDEX('[AQ_2022.xlsx]原始数据'!$C:$C,MATCH($A715,'[AQ_2022.xlsx]原始数据'!$A:$A,0)),""))</f>
        <v/>
      </c>
      <c r="J715">
        <f>IF($A715="","",IFERROR(INDEX('[AQ_2023.xlsx]原始数据'!$C:$C,MATCH($A715,'[AQ_2023.xlsx]原始数据'!$A:$A,0)),""))</f>
        <v/>
      </c>
      <c r="K715">
        <f>IF($A715="","",IFERROR(INDEX('[AQ_2024.xlsx]原始数据'!$C:$C,MATCH($A715,'[AQ_2024.xlsx]原始数据'!$A:$A,0)),""))</f>
        <v/>
      </c>
      <c r="L715">
        <f>IF($A715="","",IFERROR(INDEX('[AQ_2020.xlsx]原始数据'!$D:$D,MATCH($A715,'[AQ_2020.xlsx]原始数据'!$A:$A,0)),""))</f>
        <v/>
      </c>
      <c r="M715">
        <f>IF($A715="","",IFERROR(INDEX('[AQ_2021.xlsx]原始数据'!$D:$D,MATCH($A715,'[AQ_2021.xlsx]原始数据'!$A:$A,0)),""))</f>
        <v/>
      </c>
      <c r="N715">
        <f>IF($A715="","",IFERROR(INDEX('[AQ_2022.xlsx]原始数据'!$D:$D,MATCH($A715,'[AQ_2022.xlsx]原始数据'!$A:$A,0)),""))</f>
        <v/>
      </c>
      <c r="O715">
        <f>IF($A715="","",IFERROR(INDEX('[AQ_2023.xlsx]原始数据'!$D:$D,MATCH($A715,'[AQ_2023.xlsx]原始数据'!$A:$A,0)),""))</f>
        <v/>
      </c>
      <c r="P715">
        <f>IF($A715="","",IFERROR(INDEX('[AQ_2024.xlsx]原始数据'!$D:$D,MATCH($A715,'[AQ_2024.xlsx]原始数据'!$A:$A,0)),""))</f>
        <v/>
      </c>
      <c r="Q715">
        <f>IF($A715="","",IFERROR(INDEX('[AQ_2020.xlsx]原始数据'!$E:$E,MATCH($A715,'[AQ_2020.xlsx]原始数据'!$A:$A,0)),""))</f>
        <v/>
      </c>
      <c r="R715">
        <f>IF($A715="","",IFERROR(INDEX('[AQ_2021.xlsx]原始数据'!$E:$E,MATCH($A715,'[AQ_2021.xlsx]原始数据'!$A:$A,0)),""))</f>
        <v/>
      </c>
      <c r="S715">
        <f>IF($A715="","",IFERROR(INDEX('[AQ_2022.xlsx]原始数据'!$E:$E,MATCH($A715,'[AQ_2022.xlsx]原始数据'!$A:$A,0)),""))</f>
        <v/>
      </c>
      <c r="T715">
        <f>IF($A715="","",IFERROR(INDEX('[AQ_2023.xlsx]原始数据'!$E:$E,MATCH($A715,'[AQ_2023.xlsx]原始数据'!$A:$A,0)),""))</f>
        <v/>
      </c>
      <c r="U715">
        <f>IF($A715="","",IFERROR(INDEX('[AQ_2024.xlsx]原始数据'!$E:$E,MATCH($A715,'[AQ_2024.xlsx]原始数据'!$A:$A,0)),""))</f>
        <v/>
      </c>
      <c r="V715">
        <f>IF($A715="","",IFERROR(INDEX('[AQ_2020.xlsx]原始数据'!$F:$F,MATCH($A715,'[AQ_2020.xlsx]原始数据'!$A:$A,0)),""))</f>
        <v/>
      </c>
      <c r="W715">
        <f>IF($A715="","",IFERROR(INDEX('[AQ_2021.xlsx]原始数据'!$F:$F,MATCH($A715,'[AQ_2021.xlsx]原始数据'!$A:$A,0)),""))</f>
        <v/>
      </c>
      <c r="X715">
        <f>IF($A715="","",IFERROR(INDEX('[AQ_2022.xlsx]原始数据'!$F:$F,MATCH($A715,'[AQ_2022.xlsx]原始数据'!$A:$A,0)),""))</f>
        <v/>
      </c>
      <c r="Y715">
        <f>IF($A715="","",IFERROR(INDEX('[AQ_2023.xlsx]原始数据'!$F:$F,MATCH($A715,'[AQ_2023.xlsx]原始数据'!$A:$A,0)),""))</f>
        <v/>
      </c>
      <c r="Z715">
        <f>IF($A715="","",IFERROR(INDEX('[AQ_2024.xlsx]原始数据'!$F:$F,MATCH($A715,'[AQ_2024.xlsx]原始数据'!$A:$A,0)),""))</f>
        <v/>
      </c>
      <c r="AA715" s="2">
        <f>IFERROR(G715/B715,"")</f>
        <v/>
      </c>
      <c r="AB715" s="2">
        <f>IFERROR(H715/C715,"")</f>
        <v/>
      </c>
      <c r="AC715" s="2">
        <f>IFERROR(I715/D715,"")</f>
        <v/>
      </c>
      <c r="AD715" s="2">
        <f>IFERROR(J715/E715,"")</f>
        <v/>
      </c>
      <c r="AE715" s="2">
        <f>IFERROR(K715/F715,"")</f>
        <v/>
      </c>
      <c r="AF715" s="2">
        <f>IFERROR(L715/B715,"")</f>
        <v/>
      </c>
      <c r="AG715" s="2">
        <f>IFERROR(M715/C715,"")</f>
        <v/>
      </c>
      <c r="AH715" s="2">
        <f>IFERROR(N715/D715,"")</f>
        <v/>
      </c>
      <c r="AI715" s="2">
        <f>IFERROR(O715/E715,"")</f>
        <v/>
      </c>
      <c r="AJ715" s="2">
        <f>IFERROR(P715/F715,"")</f>
        <v/>
      </c>
      <c r="AK715" s="2">
        <f>IFERROR(Q715/B715,"")</f>
        <v/>
      </c>
      <c r="AL715" s="2">
        <f>IFERROR(R715/C715,"")</f>
        <v/>
      </c>
      <c r="AM715" s="2">
        <f>IFERROR(S715/D715,"")</f>
        <v/>
      </c>
      <c r="AN715" s="2">
        <f>IFERROR(T715/E715,"")</f>
        <v/>
      </c>
      <c r="AO715" s="2">
        <f>IFERROR(U715/F715,"")</f>
        <v/>
      </c>
    </row>
    <row r="716">
      <c r="B716">
        <f>IF($A716="","",IFERROR(INDEX('[AQ_2020.xlsx]原始数据'!$B:$B,MATCH($A716,'[AQ_2020.xlsx]原始数据'!$A:$A,0)),""))</f>
        <v/>
      </c>
      <c r="C716">
        <f>IF($A716="","",IFERROR(INDEX('[AQ_2021.xlsx]原始数据'!$B:$B,MATCH($A716,'[AQ_2021.xlsx]原始数据'!$A:$A,0)),""))</f>
        <v/>
      </c>
      <c r="D716">
        <f>IF($A716="","",IFERROR(INDEX('[AQ_2022.xlsx]原始数据'!$B:$B,MATCH($A716,'[AQ_2022.xlsx]原始数据'!$A:$A,0)),""))</f>
        <v/>
      </c>
      <c r="E716">
        <f>IF($A716="","",IFERROR(INDEX('[AQ_2023.xlsx]原始数据'!$B:$B,MATCH($A716,'[AQ_2023.xlsx]原始数据'!$A:$A,0)),""))</f>
        <v/>
      </c>
      <c r="F716">
        <f>IF($A716="","",IFERROR(INDEX('[AQ_2024.xlsx]原始数据'!$B:$B,MATCH($A716,'[AQ_2024.xlsx]原始数据'!$A:$A,0)),""))</f>
        <v/>
      </c>
      <c r="G716">
        <f>IF($A716="","",IFERROR(INDEX('[AQ_2020.xlsx]原始数据'!$C:$C,MATCH($A716,'[AQ_2020.xlsx]原始数据'!$A:$A,0)),""))</f>
        <v/>
      </c>
      <c r="H716">
        <f>IF($A716="","",IFERROR(INDEX('[AQ_2021.xlsx]原始数据'!$C:$C,MATCH($A716,'[AQ_2021.xlsx]原始数据'!$A:$A,0)),""))</f>
        <v/>
      </c>
      <c r="I716">
        <f>IF($A716="","",IFERROR(INDEX('[AQ_2022.xlsx]原始数据'!$C:$C,MATCH($A716,'[AQ_2022.xlsx]原始数据'!$A:$A,0)),""))</f>
        <v/>
      </c>
      <c r="J716">
        <f>IF($A716="","",IFERROR(INDEX('[AQ_2023.xlsx]原始数据'!$C:$C,MATCH($A716,'[AQ_2023.xlsx]原始数据'!$A:$A,0)),""))</f>
        <v/>
      </c>
      <c r="K716">
        <f>IF($A716="","",IFERROR(INDEX('[AQ_2024.xlsx]原始数据'!$C:$C,MATCH($A716,'[AQ_2024.xlsx]原始数据'!$A:$A,0)),""))</f>
        <v/>
      </c>
      <c r="L716">
        <f>IF($A716="","",IFERROR(INDEX('[AQ_2020.xlsx]原始数据'!$D:$D,MATCH($A716,'[AQ_2020.xlsx]原始数据'!$A:$A,0)),""))</f>
        <v/>
      </c>
      <c r="M716">
        <f>IF($A716="","",IFERROR(INDEX('[AQ_2021.xlsx]原始数据'!$D:$D,MATCH($A716,'[AQ_2021.xlsx]原始数据'!$A:$A,0)),""))</f>
        <v/>
      </c>
      <c r="N716">
        <f>IF($A716="","",IFERROR(INDEX('[AQ_2022.xlsx]原始数据'!$D:$D,MATCH($A716,'[AQ_2022.xlsx]原始数据'!$A:$A,0)),""))</f>
        <v/>
      </c>
      <c r="O716">
        <f>IF($A716="","",IFERROR(INDEX('[AQ_2023.xlsx]原始数据'!$D:$D,MATCH($A716,'[AQ_2023.xlsx]原始数据'!$A:$A,0)),""))</f>
        <v/>
      </c>
      <c r="P716">
        <f>IF($A716="","",IFERROR(INDEX('[AQ_2024.xlsx]原始数据'!$D:$D,MATCH($A716,'[AQ_2024.xlsx]原始数据'!$A:$A,0)),""))</f>
        <v/>
      </c>
      <c r="Q716">
        <f>IF($A716="","",IFERROR(INDEX('[AQ_2020.xlsx]原始数据'!$E:$E,MATCH($A716,'[AQ_2020.xlsx]原始数据'!$A:$A,0)),""))</f>
        <v/>
      </c>
      <c r="R716">
        <f>IF($A716="","",IFERROR(INDEX('[AQ_2021.xlsx]原始数据'!$E:$E,MATCH($A716,'[AQ_2021.xlsx]原始数据'!$A:$A,0)),""))</f>
        <v/>
      </c>
      <c r="S716">
        <f>IF($A716="","",IFERROR(INDEX('[AQ_2022.xlsx]原始数据'!$E:$E,MATCH($A716,'[AQ_2022.xlsx]原始数据'!$A:$A,0)),""))</f>
        <v/>
      </c>
      <c r="T716">
        <f>IF($A716="","",IFERROR(INDEX('[AQ_2023.xlsx]原始数据'!$E:$E,MATCH($A716,'[AQ_2023.xlsx]原始数据'!$A:$A,0)),""))</f>
        <v/>
      </c>
      <c r="U716">
        <f>IF($A716="","",IFERROR(INDEX('[AQ_2024.xlsx]原始数据'!$E:$E,MATCH($A716,'[AQ_2024.xlsx]原始数据'!$A:$A,0)),""))</f>
        <v/>
      </c>
      <c r="V716">
        <f>IF($A716="","",IFERROR(INDEX('[AQ_2020.xlsx]原始数据'!$F:$F,MATCH($A716,'[AQ_2020.xlsx]原始数据'!$A:$A,0)),""))</f>
        <v/>
      </c>
      <c r="W716">
        <f>IF($A716="","",IFERROR(INDEX('[AQ_2021.xlsx]原始数据'!$F:$F,MATCH($A716,'[AQ_2021.xlsx]原始数据'!$A:$A,0)),""))</f>
        <v/>
      </c>
      <c r="X716">
        <f>IF($A716="","",IFERROR(INDEX('[AQ_2022.xlsx]原始数据'!$F:$F,MATCH($A716,'[AQ_2022.xlsx]原始数据'!$A:$A,0)),""))</f>
        <v/>
      </c>
      <c r="Y716">
        <f>IF($A716="","",IFERROR(INDEX('[AQ_2023.xlsx]原始数据'!$F:$F,MATCH($A716,'[AQ_2023.xlsx]原始数据'!$A:$A,0)),""))</f>
        <v/>
      </c>
      <c r="Z716">
        <f>IF($A716="","",IFERROR(INDEX('[AQ_2024.xlsx]原始数据'!$F:$F,MATCH($A716,'[AQ_2024.xlsx]原始数据'!$A:$A,0)),""))</f>
        <v/>
      </c>
      <c r="AA716" s="2">
        <f>IFERROR(G716/B716,"")</f>
        <v/>
      </c>
      <c r="AB716" s="2">
        <f>IFERROR(H716/C716,"")</f>
        <v/>
      </c>
      <c r="AC716" s="2">
        <f>IFERROR(I716/D716,"")</f>
        <v/>
      </c>
      <c r="AD716" s="2">
        <f>IFERROR(J716/E716,"")</f>
        <v/>
      </c>
      <c r="AE716" s="2">
        <f>IFERROR(K716/F716,"")</f>
        <v/>
      </c>
      <c r="AF716" s="2">
        <f>IFERROR(L716/B716,"")</f>
        <v/>
      </c>
      <c r="AG716" s="2">
        <f>IFERROR(M716/C716,"")</f>
        <v/>
      </c>
      <c r="AH716" s="2">
        <f>IFERROR(N716/D716,"")</f>
        <v/>
      </c>
      <c r="AI716" s="2">
        <f>IFERROR(O716/E716,"")</f>
        <v/>
      </c>
      <c r="AJ716" s="2">
        <f>IFERROR(P716/F716,"")</f>
        <v/>
      </c>
      <c r="AK716" s="2">
        <f>IFERROR(Q716/B716,"")</f>
        <v/>
      </c>
      <c r="AL716" s="2">
        <f>IFERROR(R716/C716,"")</f>
        <v/>
      </c>
      <c r="AM716" s="2">
        <f>IFERROR(S716/D716,"")</f>
        <v/>
      </c>
      <c r="AN716" s="2">
        <f>IFERROR(T716/E716,"")</f>
        <v/>
      </c>
      <c r="AO716" s="2">
        <f>IFERROR(U716/F716,"")</f>
        <v/>
      </c>
    </row>
    <row r="717">
      <c r="B717">
        <f>IF($A717="","",IFERROR(INDEX('[AQ_2020.xlsx]原始数据'!$B:$B,MATCH($A717,'[AQ_2020.xlsx]原始数据'!$A:$A,0)),""))</f>
        <v/>
      </c>
      <c r="C717">
        <f>IF($A717="","",IFERROR(INDEX('[AQ_2021.xlsx]原始数据'!$B:$B,MATCH($A717,'[AQ_2021.xlsx]原始数据'!$A:$A,0)),""))</f>
        <v/>
      </c>
      <c r="D717">
        <f>IF($A717="","",IFERROR(INDEX('[AQ_2022.xlsx]原始数据'!$B:$B,MATCH($A717,'[AQ_2022.xlsx]原始数据'!$A:$A,0)),""))</f>
        <v/>
      </c>
      <c r="E717">
        <f>IF($A717="","",IFERROR(INDEX('[AQ_2023.xlsx]原始数据'!$B:$B,MATCH($A717,'[AQ_2023.xlsx]原始数据'!$A:$A,0)),""))</f>
        <v/>
      </c>
      <c r="F717">
        <f>IF($A717="","",IFERROR(INDEX('[AQ_2024.xlsx]原始数据'!$B:$B,MATCH($A717,'[AQ_2024.xlsx]原始数据'!$A:$A,0)),""))</f>
        <v/>
      </c>
      <c r="G717">
        <f>IF($A717="","",IFERROR(INDEX('[AQ_2020.xlsx]原始数据'!$C:$C,MATCH($A717,'[AQ_2020.xlsx]原始数据'!$A:$A,0)),""))</f>
        <v/>
      </c>
      <c r="H717">
        <f>IF($A717="","",IFERROR(INDEX('[AQ_2021.xlsx]原始数据'!$C:$C,MATCH($A717,'[AQ_2021.xlsx]原始数据'!$A:$A,0)),""))</f>
        <v/>
      </c>
      <c r="I717">
        <f>IF($A717="","",IFERROR(INDEX('[AQ_2022.xlsx]原始数据'!$C:$C,MATCH($A717,'[AQ_2022.xlsx]原始数据'!$A:$A,0)),""))</f>
        <v/>
      </c>
      <c r="J717">
        <f>IF($A717="","",IFERROR(INDEX('[AQ_2023.xlsx]原始数据'!$C:$C,MATCH($A717,'[AQ_2023.xlsx]原始数据'!$A:$A,0)),""))</f>
        <v/>
      </c>
      <c r="K717">
        <f>IF($A717="","",IFERROR(INDEX('[AQ_2024.xlsx]原始数据'!$C:$C,MATCH($A717,'[AQ_2024.xlsx]原始数据'!$A:$A,0)),""))</f>
        <v/>
      </c>
      <c r="L717">
        <f>IF($A717="","",IFERROR(INDEX('[AQ_2020.xlsx]原始数据'!$D:$D,MATCH($A717,'[AQ_2020.xlsx]原始数据'!$A:$A,0)),""))</f>
        <v/>
      </c>
      <c r="M717">
        <f>IF($A717="","",IFERROR(INDEX('[AQ_2021.xlsx]原始数据'!$D:$D,MATCH($A717,'[AQ_2021.xlsx]原始数据'!$A:$A,0)),""))</f>
        <v/>
      </c>
      <c r="N717">
        <f>IF($A717="","",IFERROR(INDEX('[AQ_2022.xlsx]原始数据'!$D:$D,MATCH($A717,'[AQ_2022.xlsx]原始数据'!$A:$A,0)),""))</f>
        <v/>
      </c>
      <c r="O717">
        <f>IF($A717="","",IFERROR(INDEX('[AQ_2023.xlsx]原始数据'!$D:$D,MATCH($A717,'[AQ_2023.xlsx]原始数据'!$A:$A,0)),""))</f>
        <v/>
      </c>
      <c r="P717">
        <f>IF($A717="","",IFERROR(INDEX('[AQ_2024.xlsx]原始数据'!$D:$D,MATCH($A717,'[AQ_2024.xlsx]原始数据'!$A:$A,0)),""))</f>
        <v/>
      </c>
      <c r="Q717">
        <f>IF($A717="","",IFERROR(INDEX('[AQ_2020.xlsx]原始数据'!$E:$E,MATCH($A717,'[AQ_2020.xlsx]原始数据'!$A:$A,0)),""))</f>
        <v/>
      </c>
      <c r="R717">
        <f>IF($A717="","",IFERROR(INDEX('[AQ_2021.xlsx]原始数据'!$E:$E,MATCH($A717,'[AQ_2021.xlsx]原始数据'!$A:$A,0)),""))</f>
        <v/>
      </c>
      <c r="S717">
        <f>IF($A717="","",IFERROR(INDEX('[AQ_2022.xlsx]原始数据'!$E:$E,MATCH($A717,'[AQ_2022.xlsx]原始数据'!$A:$A,0)),""))</f>
        <v/>
      </c>
      <c r="T717">
        <f>IF($A717="","",IFERROR(INDEX('[AQ_2023.xlsx]原始数据'!$E:$E,MATCH($A717,'[AQ_2023.xlsx]原始数据'!$A:$A,0)),""))</f>
        <v/>
      </c>
      <c r="U717">
        <f>IF($A717="","",IFERROR(INDEX('[AQ_2024.xlsx]原始数据'!$E:$E,MATCH($A717,'[AQ_2024.xlsx]原始数据'!$A:$A,0)),""))</f>
        <v/>
      </c>
      <c r="V717">
        <f>IF($A717="","",IFERROR(INDEX('[AQ_2020.xlsx]原始数据'!$F:$F,MATCH($A717,'[AQ_2020.xlsx]原始数据'!$A:$A,0)),""))</f>
        <v/>
      </c>
      <c r="W717">
        <f>IF($A717="","",IFERROR(INDEX('[AQ_2021.xlsx]原始数据'!$F:$F,MATCH($A717,'[AQ_2021.xlsx]原始数据'!$A:$A,0)),""))</f>
        <v/>
      </c>
      <c r="X717">
        <f>IF($A717="","",IFERROR(INDEX('[AQ_2022.xlsx]原始数据'!$F:$F,MATCH($A717,'[AQ_2022.xlsx]原始数据'!$A:$A,0)),""))</f>
        <v/>
      </c>
      <c r="Y717">
        <f>IF($A717="","",IFERROR(INDEX('[AQ_2023.xlsx]原始数据'!$F:$F,MATCH($A717,'[AQ_2023.xlsx]原始数据'!$A:$A,0)),""))</f>
        <v/>
      </c>
      <c r="Z717">
        <f>IF($A717="","",IFERROR(INDEX('[AQ_2024.xlsx]原始数据'!$F:$F,MATCH($A717,'[AQ_2024.xlsx]原始数据'!$A:$A,0)),""))</f>
        <v/>
      </c>
      <c r="AA717" s="2">
        <f>IFERROR(G717/B717,"")</f>
        <v/>
      </c>
      <c r="AB717" s="2">
        <f>IFERROR(H717/C717,"")</f>
        <v/>
      </c>
      <c r="AC717" s="2">
        <f>IFERROR(I717/D717,"")</f>
        <v/>
      </c>
      <c r="AD717" s="2">
        <f>IFERROR(J717/E717,"")</f>
        <v/>
      </c>
      <c r="AE717" s="2">
        <f>IFERROR(K717/F717,"")</f>
        <v/>
      </c>
      <c r="AF717" s="2">
        <f>IFERROR(L717/B717,"")</f>
        <v/>
      </c>
      <c r="AG717" s="2">
        <f>IFERROR(M717/C717,"")</f>
        <v/>
      </c>
      <c r="AH717" s="2">
        <f>IFERROR(N717/D717,"")</f>
        <v/>
      </c>
      <c r="AI717" s="2">
        <f>IFERROR(O717/E717,"")</f>
        <v/>
      </c>
      <c r="AJ717" s="2">
        <f>IFERROR(P717/F717,"")</f>
        <v/>
      </c>
      <c r="AK717" s="2">
        <f>IFERROR(Q717/B717,"")</f>
        <v/>
      </c>
      <c r="AL717" s="2">
        <f>IFERROR(R717/C717,"")</f>
        <v/>
      </c>
      <c r="AM717" s="2">
        <f>IFERROR(S717/D717,"")</f>
        <v/>
      </c>
      <c r="AN717" s="2">
        <f>IFERROR(T717/E717,"")</f>
        <v/>
      </c>
      <c r="AO717" s="2">
        <f>IFERROR(U717/F717,"")</f>
        <v/>
      </c>
    </row>
    <row r="718">
      <c r="B718">
        <f>IF($A718="","",IFERROR(INDEX('[AQ_2020.xlsx]原始数据'!$B:$B,MATCH($A718,'[AQ_2020.xlsx]原始数据'!$A:$A,0)),""))</f>
        <v/>
      </c>
      <c r="C718">
        <f>IF($A718="","",IFERROR(INDEX('[AQ_2021.xlsx]原始数据'!$B:$B,MATCH($A718,'[AQ_2021.xlsx]原始数据'!$A:$A,0)),""))</f>
        <v/>
      </c>
      <c r="D718">
        <f>IF($A718="","",IFERROR(INDEX('[AQ_2022.xlsx]原始数据'!$B:$B,MATCH($A718,'[AQ_2022.xlsx]原始数据'!$A:$A,0)),""))</f>
        <v/>
      </c>
      <c r="E718">
        <f>IF($A718="","",IFERROR(INDEX('[AQ_2023.xlsx]原始数据'!$B:$B,MATCH($A718,'[AQ_2023.xlsx]原始数据'!$A:$A,0)),""))</f>
        <v/>
      </c>
      <c r="F718">
        <f>IF($A718="","",IFERROR(INDEX('[AQ_2024.xlsx]原始数据'!$B:$B,MATCH($A718,'[AQ_2024.xlsx]原始数据'!$A:$A,0)),""))</f>
        <v/>
      </c>
      <c r="G718">
        <f>IF($A718="","",IFERROR(INDEX('[AQ_2020.xlsx]原始数据'!$C:$C,MATCH($A718,'[AQ_2020.xlsx]原始数据'!$A:$A,0)),""))</f>
        <v/>
      </c>
      <c r="H718">
        <f>IF($A718="","",IFERROR(INDEX('[AQ_2021.xlsx]原始数据'!$C:$C,MATCH($A718,'[AQ_2021.xlsx]原始数据'!$A:$A,0)),""))</f>
        <v/>
      </c>
      <c r="I718">
        <f>IF($A718="","",IFERROR(INDEX('[AQ_2022.xlsx]原始数据'!$C:$C,MATCH($A718,'[AQ_2022.xlsx]原始数据'!$A:$A,0)),""))</f>
        <v/>
      </c>
      <c r="J718">
        <f>IF($A718="","",IFERROR(INDEX('[AQ_2023.xlsx]原始数据'!$C:$C,MATCH($A718,'[AQ_2023.xlsx]原始数据'!$A:$A,0)),""))</f>
        <v/>
      </c>
      <c r="K718">
        <f>IF($A718="","",IFERROR(INDEX('[AQ_2024.xlsx]原始数据'!$C:$C,MATCH($A718,'[AQ_2024.xlsx]原始数据'!$A:$A,0)),""))</f>
        <v/>
      </c>
      <c r="L718">
        <f>IF($A718="","",IFERROR(INDEX('[AQ_2020.xlsx]原始数据'!$D:$D,MATCH($A718,'[AQ_2020.xlsx]原始数据'!$A:$A,0)),""))</f>
        <v/>
      </c>
      <c r="M718">
        <f>IF($A718="","",IFERROR(INDEX('[AQ_2021.xlsx]原始数据'!$D:$D,MATCH($A718,'[AQ_2021.xlsx]原始数据'!$A:$A,0)),""))</f>
        <v/>
      </c>
      <c r="N718">
        <f>IF($A718="","",IFERROR(INDEX('[AQ_2022.xlsx]原始数据'!$D:$D,MATCH($A718,'[AQ_2022.xlsx]原始数据'!$A:$A,0)),""))</f>
        <v/>
      </c>
      <c r="O718">
        <f>IF($A718="","",IFERROR(INDEX('[AQ_2023.xlsx]原始数据'!$D:$D,MATCH($A718,'[AQ_2023.xlsx]原始数据'!$A:$A,0)),""))</f>
        <v/>
      </c>
      <c r="P718">
        <f>IF($A718="","",IFERROR(INDEX('[AQ_2024.xlsx]原始数据'!$D:$D,MATCH($A718,'[AQ_2024.xlsx]原始数据'!$A:$A,0)),""))</f>
        <v/>
      </c>
      <c r="Q718">
        <f>IF($A718="","",IFERROR(INDEX('[AQ_2020.xlsx]原始数据'!$E:$E,MATCH($A718,'[AQ_2020.xlsx]原始数据'!$A:$A,0)),""))</f>
        <v/>
      </c>
      <c r="R718">
        <f>IF($A718="","",IFERROR(INDEX('[AQ_2021.xlsx]原始数据'!$E:$E,MATCH($A718,'[AQ_2021.xlsx]原始数据'!$A:$A,0)),""))</f>
        <v/>
      </c>
      <c r="S718">
        <f>IF($A718="","",IFERROR(INDEX('[AQ_2022.xlsx]原始数据'!$E:$E,MATCH($A718,'[AQ_2022.xlsx]原始数据'!$A:$A,0)),""))</f>
        <v/>
      </c>
      <c r="T718">
        <f>IF($A718="","",IFERROR(INDEX('[AQ_2023.xlsx]原始数据'!$E:$E,MATCH($A718,'[AQ_2023.xlsx]原始数据'!$A:$A,0)),""))</f>
        <v/>
      </c>
      <c r="U718">
        <f>IF($A718="","",IFERROR(INDEX('[AQ_2024.xlsx]原始数据'!$E:$E,MATCH($A718,'[AQ_2024.xlsx]原始数据'!$A:$A,0)),""))</f>
        <v/>
      </c>
      <c r="V718">
        <f>IF($A718="","",IFERROR(INDEX('[AQ_2020.xlsx]原始数据'!$F:$F,MATCH($A718,'[AQ_2020.xlsx]原始数据'!$A:$A,0)),""))</f>
        <v/>
      </c>
      <c r="W718">
        <f>IF($A718="","",IFERROR(INDEX('[AQ_2021.xlsx]原始数据'!$F:$F,MATCH($A718,'[AQ_2021.xlsx]原始数据'!$A:$A,0)),""))</f>
        <v/>
      </c>
      <c r="X718">
        <f>IF($A718="","",IFERROR(INDEX('[AQ_2022.xlsx]原始数据'!$F:$F,MATCH($A718,'[AQ_2022.xlsx]原始数据'!$A:$A,0)),""))</f>
        <v/>
      </c>
      <c r="Y718">
        <f>IF($A718="","",IFERROR(INDEX('[AQ_2023.xlsx]原始数据'!$F:$F,MATCH($A718,'[AQ_2023.xlsx]原始数据'!$A:$A,0)),""))</f>
        <v/>
      </c>
      <c r="Z718">
        <f>IF($A718="","",IFERROR(INDEX('[AQ_2024.xlsx]原始数据'!$F:$F,MATCH($A718,'[AQ_2024.xlsx]原始数据'!$A:$A,0)),""))</f>
        <v/>
      </c>
      <c r="AA718" s="2">
        <f>IFERROR(G718/B718,"")</f>
        <v/>
      </c>
      <c r="AB718" s="2">
        <f>IFERROR(H718/C718,"")</f>
        <v/>
      </c>
      <c r="AC718" s="2">
        <f>IFERROR(I718/D718,"")</f>
        <v/>
      </c>
      <c r="AD718" s="2">
        <f>IFERROR(J718/E718,"")</f>
        <v/>
      </c>
      <c r="AE718" s="2">
        <f>IFERROR(K718/F718,"")</f>
        <v/>
      </c>
      <c r="AF718" s="2">
        <f>IFERROR(L718/B718,"")</f>
        <v/>
      </c>
      <c r="AG718" s="2">
        <f>IFERROR(M718/C718,"")</f>
        <v/>
      </c>
      <c r="AH718" s="2">
        <f>IFERROR(N718/D718,"")</f>
        <v/>
      </c>
      <c r="AI718" s="2">
        <f>IFERROR(O718/E718,"")</f>
        <v/>
      </c>
      <c r="AJ718" s="2">
        <f>IFERROR(P718/F718,"")</f>
        <v/>
      </c>
      <c r="AK718" s="2">
        <f>IFERROR(Q718/B718,"")</f>
        <v/>
      </c>
      <c r="AL718" s="2">
        <f>IFERROR(R718/C718,"")</f>
        <v/>
      </c>
      <c r="AM718" s="2">
        <f>IFERROR(S718/D718,"")</f>
        <v/>
      </c>
      <c r="AN718" s="2">
        <f>IFERROR(T718/E718,"")</f>
        <v/>
      </c>
      <c r="AO718" s="2">
        <f>IFERROR(U718/F718,"")</f>
        <v/>
      </c>
    </row>
    <row r="719">
      <c r="B719">
        <f>IF($A719="","",IFERROR(INDEX('[AQ_2020.xlsx]原始数据'!$B:$B,MATCH($A719,'[AQ_2020.xlsx]原始数据'!$A:$A,0)),""))</f>
        <v/>
      </c>
      <c r="C719">
        <f>IF($A719="","",IFERROR(INDEX('[AQ_2021.xlsx]原始数据'!$B:$B,MATCH($A719,'[AQ_2021.xlsx]原始数据'!$A:$A,0)),""))</f>
        <v/>
      </c>
      <c r="D719">
        <f>IF($A719="","",IFERROR(INDEX('[AQ_2022.xlsx]原始数据'!$B:$B,MATCH($A719,'[AQ_2022.xlsx]原始数据'!$A:$A,0)),""))</f>
        <v/>
      </c>
      <c r="E719">
        <f>IF($A719="","",IFERROR(INDEX('[AQ_2023.xlsx]原始数据'!$B:$B,MATCH($A719,'[AQ_2023.xlsx]原始数据'!$A:$A,0)),""))</f>
        <v/>
      </c>
      <c r="F719">
        <f>IF($A719="","",IFERROR(INDEX('[AQ_2024.xlsx]原始数据'!$B:$B,MATCH($A719,'[AQ_2024.xlsx]原始数据'!$A:$A,0)),""))</f>
        <v/>
      </c>
      <c r="G719">
        <f>IF($A719="","",IFERROR(INDEX('[AQ_2020.xlsx]原始数据'!$C:$C,MATCH($A719,'[AQ_2020.xlsx]原始数据'!$A:$A,0)),""))</f>
        <v/>
      </c>
      <c r="H719">
        <f>IF($A719="","",IFERROR(INDEX('[AQ_2021.xlsx]原始数据'!$C:$C,MATCH($A719,'[AQ_2021.xlsx]原始数据'!$A:$A,0)),""))</f>
        <v/>
      </c>
      <c r="I719">
        <f>IF($A719="","",IFERROR(INDEX('[AQ_2022.xlsx]原始数据'!$C:$C,MATCH($A719,'[AQ_2022.xlsx]原始数据'!$A:$A,0)),""))</f>
        <v/>
      </c>
      <c r="J719">
        <f>IF($A719="","",IFERROR(INDEX('[AQ_2023.xlsx]原始数据'!$C:$C,MATCH($A719,'[AQ_2023.xlsx]原始数据'!$A:$A,0)),""))</f>
        <v/>
      </c>
      <c r="K719">
        <f>IF($A719="","",IFERROR(INDEX('[AQ_2024.xlsx]原始数据'!$C:$C,MATCH($A719,'[AQ_2024.xlsx]原始数据'!$A:$A,0)),""))</f>
        <v/>
      </c>
      <c r="L719">
        <f>IF($A719="","",IFERROR(INDEX('[AQ_2020.xlsx]原始数据'!$D:$D,MATCH($A719,'[AQ_2020.xlsx]原始数据'!$A:$A,0)),""))</f>
        <v/>
      </c>
      <c r="M719">
        <f>IF($A719="","",IFERROR(INDEX('[AQ_2021.xlsx]原始数据'!$D:$D,MATCH($A719,'[AQ_2021.xlsx]原始数据'!$A:$A,0)),""))</f>
        <v/>
      </c>
      <c r="N719">
        <f>IF($A719="","",IFERROR(INDEX('[AQ_2022.xlsx]原始数据'!$D:$D,MATCH($A719,'[AQ_2022.xlsx]原始数据'!$A:$A,0)),""))</f>
        <v/>
      </c>
      <c r="O719">
        <f>IF($A719="","",IFERROR(INDEX('[AQ_2023.xlsx]原始数据'!$D:$D,MATCH($A719,'[AQ_2023.xlsx]原始数据'!$A:$A,0)),""))</f>
        <v/>
      </c>
      <c r="P719">
        <f>IF($A719="","",IFERROR(INDEX('[AQ_2024.xlsx]原始数据'!$D:$D,MATCH($A719,'[AQ_2024.xlsx]原始数据'!$A:$A,0)),""))</f>
        <v/>
      </c>
      <c r="Q719">
        <f>IF($A719="","",IFERROR(INDEX('[AQ_2020.xlsx]原始数据'!$E:$E,MATCH($A719,'[AQ_2020.xlsx]原始数据'!$A:$A,0)),""))</f>
        <v/>
      </c>
      <c r="R719">
        <f>IF($A719="","",IFERROR(INDEX('[AQ_2021.xlsx]原始数据'!$E:$E,MATCH($A719,'[AQ_2021.xlsx]原始数据'!$A:$A,0)),""))</f>
        <v/>
      </c>
      <c r="S719">
        <f>IF($A719="","",IFERROR(INDEX('[AQ_2022.xlsx]原始数据'!$E:$E,MATCH($A719,'[AQ_2022.xlsx]原始数据'!$A:$A,0)),""))</f>
        <v/>
      </c>
      <c r="T719">
        <f>IF($A719="","",IFERROR(INDEX('[AQ_2023.xlsx]原始数据'!$E:$E,MATCH($A719,'[AQ_2023.xlsx]原始数据'!$A:$A,0)),""))</f>
        <v/>
      </c>
      <c r="U719">
        <f>IF($A719="","",IFERROR(INDEX('[AQ_2024.xlsx]原始数据'!$E:$E,MATCH($A719,'[AQ_2024.xlsx]原始数据'!$A:$A,0)),""))</f>
        <v/>
      </c>
      <c r="V719">
        <f>IF($A719="","",IFERROR(INDEX('[AQ_2020.xlsx]原始数据'!$F:$F,MATCH($A719,'[AQ_2020.xlsx]原始数据'!$A:$A,0)),""))</f>
        <v/>
      </c>
      <c r="W719">
        <f>IF($A719="","",IFERROR(INDEX('[AQ_2021.xlsx]原始数据'!$F:$F,MATCH($A719,'[AQ_2021.xlsx]原始数据'!$A:$A,0)),""))</f>
        <v/>
      </c>
      <c r="X719">
        <f>IF($A719="","",IFERROR(INDEX('[AQ_2022.xlsx]原始数据'!$F:$F,MATCH($A719,'[AQ_2022.xlsx]原始数据'!$A:$A,0)),""))</f>
        <v/>
      </c>
      <c r="Y719">
        <f>IF($A719="","",IFERROR(INDEX('[AQ_2023.xlsx]原始数据'!$F:$F,MATCH($A719,'[AQ_2023.xlsx]原始数据'!$A:$A,0)),""))</f>
        <v/>
      </c>
      <c r="Z719">
        <f>IF($A719="","",IFERROR(INDEX('[AQ_2024.xlsx]原始数据'!$F:$F,MATCH($A719,'[AQ_2024.xlsx]原始数据'!$A:$A,0)),""))</f>
        <v/>
      </c>
      <c r="AA719" s="2">
        <f>IFERROR(G719/B719,"")</f>
        <v/>
      </c>
      <c r="AB719" s="2">
        <f>IFERROR(H719/C719,"")</f>
        <v/>
      </c>
      <c r="AC719" s="2">
        <f>IFERROR(I719/D719,"")</f>
        <v/>
      </c>
      <c r="AD719" s="2">
        <f>IFERROR(J719/E719,"")</f>
        <v/>
      </c>
      <c r="AE719" s="2">
        <f>IFERROR(K719/F719,"")</f>
        <v/>
      </c>
      <c r="AF719" s="2">
        <f>IFERROR(L719/B719,"")</f>
        <v/>
      </c>
      <c r="AG719" s="2">
        <f>IFERROR(M719/C719,"")</f>
        <v/>
      </c>
      <c r="AH719" s="2">
        <f>IFERROR(N719/D719,"")</f>
        <v/>
      </c>
      <c r="AI719" s="2">
        <f>IFERROR(O719/E719,"")</f>
        <v/>
      </c>
      <c r="AJ719" s="2">
        <f>IFERROR(P719/F719,"")</f>
        <v/>
      </c>
      <c r="AK719" s="2">
        <f>IFERROR(Q719/B719,"")</f>
        <v/>
      </c>
      <c r="AL719" s="2">
        <f>IFERROR(R719/C719,"")</f>
        <v/>
      </c>
      <c r="AM719" s="2">
        <f>IFERROR(S719/D719,"")</f>
        <v/>
      </c>
      <c r="AN719" s="2">
        <f>IFERROR(T719/E719,"")</f>
        <v/>
      </c>
      <c r="AO719" s="2">
        <f>IFERROR(U719/F719,"")</f>
        <v/>
      </c>
    </row>
    <row r="720">
      <c r="B720">
        <f>IF($A720="","",IFERROR(INDEX('[AQ_2020.xlsx]原始数据'!$B:$B,MATCH($A720,'[AQ_2020.xlsx]原始数据'!$A:$A,0)),""))</f>
        <v/>
      </c>
      <c r="C720">
        <f>IF($A720="","",IFERROR(INDEX('[AQ_2021.xlsx]原始数据'!$B:$B,MATCH($A720,'[AQ_2021.xlsx]原始数据'!$A:$A,0)),""))</f>
        <v/>
      </c>
      <c r="D720">
        <f>IF($A720="","",IFERROR(INDEX('[AQ_2022.xlsx]原始数据'!$B:$B,MATCH($A720,'[AQ_2022.xlsx]原始数据'!$A:$A,0)),""))</f>
        <v/>
      </c>
      <c r="E720">
        <f>IF($A720="","",IFERROR(INDEX('[AQ_2023.xlsx]原始数据'!$B:$B,MATCH($A720,'[AQ_2023.xlsx]原始数据'!$A:$A,0)),""))</f>
        <v/>
      </c>
      <c r="F720">
        <f>IF($A720="","",IFERROR(INDEX('[AQ_2024.xlsx]原始数据'!$B:$B,MATCH($A720,'[AQ_2024.xlsx]原始数据'!$A:$A,0)),""))</f>
        <v/>
      </c>
      <c r="G720">
        <f>IF($A720="","",IFERROR(INDEX('[AQ_2020.xlsx]原始数据'!$C:$C,MATCH($A720,'[AQ_2020.xlsx]原始数据'!$A:$A,0)),""))</f>
        <v/>
      </c>
      <c r="H720">
        <f>IF($A720="","",IFERROR(INDEX('[AQ_2021.xlsx]原始数据'!$C:$C,MATCH($A720,'[AQ_2021.xlsx]原始数据'!$A:$A,0)),""))</f>
        <v/>
      </c>
      <c r="I720">
        <f>IF($A720="","",IFERROR(INDEX('[AQ_2022.xlsx]原始数据'!$C:$C,MATCH($A720,'[AQ_2022.xlsx]原始数据'!$A:$A,0)),""))</f>
        <v/>
      </c>
      <c r="J720">
        <f>IF($A720="","",IFERROR(INDEX('[AQ_2023.xlsx]原始数据'!$C:$C,MATCH($A720,'[AQ_2023.xlsx]原始数据'!$A:$A,0)),""))</f>
        <v/>
      </c>
      <c r="K720">
        <f>IF($A720="","",IFERROR(INDEX('[AQ_2024.xlsx]原始数据'!$C:$C,MATCH($A720,'[AQ_2024.xlsx]原始数据'!$A:$A,0)),""))</f>
        <v/>
      </c>
      <c r="L720">
        <f>IF($A720="","",IFERROR(INDEX('[AQ_2020.xlsx]原始数据'!$D:$D,MATCH($A720,'[AQ_2020.xlsx]原始数据'!$A:$A,0)),""))</f>
        <v/>
      </c>
      <c r="M720">
        <f>IF($A720="","",IFERROR(INDEX('[AQ_2021.xlsx]原始数据'!$D:$D,MATCH($A720,'[AQ_2021.xlsx]原始数据'!$A:$A,0)),""))</f>
        <v/>
      </c>
      <c r="N720">
        <f>IF($A720="","",IFERROR(INDEX('[AQ_2022.xlsx]原始数据'!$D:$D,MATCH($A720,'[AQ_2022.xlsx]原始数据'!$A:$A,0)),""))</f>
        <v/>
      </c>
      <c r="O720">
        <f>IF($A720="","",IFERROR(INDEX('[AQ_2023.xlsx]原始数据'!$D:$D,MATCH($A720,'[AQ_2023.xlsx]原始数据'!$A:$A,0)),""))</f>
        <v/>
      </c>
      <c r="P720">
        <f>IF($A720="","",IFERROR(INDEX('[AQ_2024.xlsx]原始数据'!$D:$D,MATCH($A720,'[AQ_2024.xlsx]原始数据'!$A:$A,0)),""))</f>
        <v/>
      </c>
      <c r="Q720">
        <f>IF($A720="","",IFERROR(INDEX('[AQ_2020.xlsx]原始数据'!$E:$E,MATCH($A720,'[AQ_2020.xlsx]原始数据'!$A:$A,0)),""))</f>
        <v/>
      </c>
      <c r="R720">
        <f>IF($A720="","",IFERROR(INDEX('[AQ_2021.xlsx]原始数据'!$E:$E,MATCH($A720,'[AQ_2021.xlsx]原始数据'!$A:$A,0)),""))</f>
        <v/>
      </c>
      <c r="S720">
        <f>IF($A720="","",IFERROR(INDEX('[AQ_2022.xlsx]原始数据'!$E:$E,MATCH($A720,'[AQ_2022.xlsx]原始数据'!$A:$A,0)),""))</f>
        <v/>
      </c>
      <c r="T720">
        <f>IF($A720="","",IFERROR(INDEX('[AQ_2023.xlsx]原始数据'!$E:$E,MATCH($A720,'[AQ_2023.xlsx]原始数据'!$A:$A,0)),""))</f>
        <v/>
      </c>
      <c r="U720">
        <f>IF($A720="","",IFERROR(INDEX('[AQ_2024.xlsx]原始数据'!$E:$E,MATCH($A720,'[AQ_2024.xlsx]原始数据'!$A:$A,0)),""))</f>
        <v/>
      </c>
      <c r="V720">
        <f>IF($A720="","",IFERROR(INDEX('[AQ_2020.xlsx]原始数据'!$F:$F,MATCH($A720,'[AQ_2020.xlsx]原始数据'!$A:$A,0)),""))</f>
        <v/>
      </c>
      <c r="W720">
        <f>IF($A720="","",IFERROR(INDEX('[AQ_2021.xlsx]原始数据'!$F:$F,MATCH($A720,'[AQ_2021.xlsx]原始数据'!$A:$A,0)),""))</f>
        <v/>
      </c>
      <c r="X720">
        <f>IF($A720="","",IFERROR(INDEX('[AQ_2022.xlsx]原始数据'!$F:$F,MATCH($A720,'[AQ_2022.xlsx]原始数据'!$A:$A,0)),""))</f>
        <v/>
      </c>
      <c r="Y720">
        <f>IF($A720="","",IFERROR(INDEX('[AQ_2023.xlsx]原始数据'!$F:$F,MATCH($A720,'[AQ_2023.xlsx]原始数据'!$A:$A,0)),""))</f>
        <v/>
      </c>
      <c r="Z720">
        <f>IF($A720="","",IFERROR(INDEX('[AQ_2024.xlsx]原始数据'!$F:$F,MATCH($A720,'[AQ_2024.xlsx]原始数据'!$A:$A,0)),""))</f>
        <v/>
      </c>
      <c r="AA720" s="2">
        <f>IFERROR(G720/B720,"")</f>
        <v/>
      </c>
      <c r="AB720" s="2">
        <f>IFERROR(H720/C720,"")</f>
        <v/>
      </c>
      <c r="AC720" s="2">
        <f>IFERROR(I720/D720,"")</f>
        <v/>
      </c>
      <c r="AD720" s="2">
        <f>IFERROR(J720/E720,"")</f>
        <v/>
      </c>
      <c r="AE720" s="2">
        <f>IFERROR(K720/F720,"")</f>
        <v/>
      </c>
      <c r="AF720" s="2">
        <f>IFERROR(L720/B720,"")</f>
        <v/>
      </c>
      <c r="AG720" s="2">
        <f>IFERROR(M720/C720,"")</f>
        <v/>
      </c>
      <c r="AH720" s="2">
        <f>IFERROR(N720/D720,"")</f>
        <v/>
      </c>
      <c r="AI720" s="2">
        <f>IFERROR(O720/E720,"")</f>
        <v/>
      </c>
      <c r="AJ720" s="2">
        <f>IFERROR(P720/F720,"")</f>
        <v/>
      </c>
      <c r="AK720" s="2">
        <f>IFERROR(Q720/B720,"")</f>
        <v/>
      </c>
      <c r="AL720" s="2">
        <f>IFERROR(R720/C720,"")</f>
        <v/>
      </c>
      <c r="AM720" s="2">
        <f>IFERROR(S720/D720,"")</f>
        <v/>
      </c>
      <c r="AN720" s="2">
        <f>IFERROR(T720/E720,"")</f>
        <v/>
      </c>
      <c r="AO720" s="2">
        <f>IFERROR(U720/F720,"")</f>
        <v/>
      </c>
    </row>
    <row r="721">
      <c r="B721">
        <f>IF($A721="","",IFERROR(INDEX('[AQ_2020.xlsx]原始数据'!$B:$B,MATCH($A721,'[AQ_2020.xlsx]原始数据'!$A:$A,0)),""))</f>
        <v/>
      </c>
      <c r="C721">
        <f>IF($A721="","",IFERROR(INDEX('[AQ_2021.xlsx]原始数据'!$B:$B,MATCH($A721,'[AQ_2021.xlsx]原始数据'!$A:$A,0)),""))</f>
        <v/>
      </c>
      <c r="D721">
        <f>IF($A721="","",IFERROR(INDEX('[AQ_2022.xlsx]原始数据'!$B:$B,MATCH($A721,'[AQ_2022.xlsx]原始数据'!$A:$A,0)),""))</f>
        <v/>
      </c>
      <c r="E721">
        <f>IF($A721="","",IFERROR(INDEX('[AQ_2023.xlsx]原始数据'!$B:$B,MATCH($A721,'[AQ_2023.xlsx]原始数据'!$A:$A,0)),""))</f>
        <v/>
      </c>
      <c r="F721">
        <f>IF($A721="","",IFERROR(INDEX('[AQ_2024.xlsx]原始数据'!$B:$B,MATCH($A721,'[AQ_2024.xlsx]原始数据'!$A:$A,0)),""))</f>
        <v/>
      </c>
      <c r="G721">
        <f>IF($A721="","",IFERROR(INDEX('[AQ_2020.xlsx]原始数据'!$C:$C,MATCH($A721,'[AQ_2020.xlsx]原始数据'!$A:$A,0)),""))</f>
        <v/>
      </c>
      <c r="H721">
        <f>IF($A721="","",IFERROR(INDEX('[AQ_2021.xlsx]原始数据'!$C:$C,MATCH($A721,'[AQ_2021.xlsx]原始数据'!$A:$A,0)),""))</f>
        <v/>
      </c>
      <c r="I721">
        <f>IF($A721="","",IFERROR(INDEX('[AQ_2022.xlsx]原始数据'!$C:$C,MATCH($A721,'[AQ_2022.xlsx]原始数据'!$A:$A,0)),""))</f>
        <v/>
      </c>
      <c r="J721">
        <f>IF($A721="","",IFERROR(INDEX('[AQ_2023.xlsx]原始数据'!$C:$C,MATCH($A721,'[AQ_2023.xlsx]原始数据'!$A:$A,0)),""))</f>
        <v/>
      </c>
      <c r="K721">
        <f>IF($A721="","",IFERROR(INDEX('[AQ_2024.xlsx]原始数据'!$C:$C,MATCH($A721,'[AQ_2024.xlsx]原始数据'!$A:$A,0)),""))</f>
        <v/>
      </c>
      <c r="L721">
        <f>IF($A721="","",IFERROR(INDEX('[AQ_2020.xlsx]原始数据'!$D:$D,MATCH($A721,'[AQ_2020.xlsx]原始数据'!$A:$A,0)),""))</f>
        <v/>
      </c>
      <c r="M721">
        <f>IF($A721="","",IFERROR(INDEX('[AQ_2021.xlsx]原始数据'!$D:$D,MATCH($A721,'[AQ_2021.xlsx]原始数据'!$A:$A,0)),""))</f>
        <v/>
      </c>
      <c r="N721">
        <f>IF($A721="","",IFERROR(INDEX('[AQ_2022.xlsx]原始数据'!$D:$D,MATCH($A721,'[AQ_2022.xlsx]原始数据'!$A:$A,0)),""))</f>
        <v/>
      </c>
      <c r="O721">
        <f>IF($A721="","",IFERROR(INDEX('[AQ_2023.xlsx]原始数据'!$D:$D,MATCH($A721,'[AQ_2023.xlsx]原始数据'!$A:$A,0)),""))</f>
        <v/>
      </c>
      <c r="P721">
        <f>IF($A721="","",IFERROR(INDEX('[AQ_2024.xlsx]原始数据'!$D:$D,MATCH($A721,'[AQ_2024.xlsx]原始数据'!$A:$A,0)),""))</f>
        <v/>
      </c>
      <c r="Q721">
        <f>IF($A721="","",IFERROR(INDEX('[AQ_2020.xlsx]原始数据'!$E:$E,MATCH($A721,'[AQ_2020.xlsx]原始数据'!$A:$A,0)),""))</f>
        <v/>
      </c>
      <c r="R721">
        <f>IF($A721="","",IFERROR(INDEX('[AQ_2021.xlsx]原始数据'!$E:$E,MATCH($A721,'[AQ_2021.xlsx]原始数据'!$A:$A,0)),""))</f>
        <v/>
      </c>
      <c r="S721">
        <f>IF($A721="","",IFERROR(INDEX('[AQ_2022.xlsx]原始数据'!$E:$E,MATCH($A721,'[AQ_2022.xlsx]原始数据'!$A:$A,0)),""))</f>
        <v/>
      </c>
      <c r="T721">
        <f>IF($A721="","",IFERROR(INDEX('[AQ_2023.xlsx]原始数据'!$E:$E,MATCH($A721,'[AQ_2023.xlsx]原始数据'!$A:$A,0)),""))</f>
        <v/>
      </c>
      <c r="U721">
        <f>IF($A721="","",IFERROR(INDEX('[AQ_2024.xlsx]原始数据'!$E:$E,MATCH($A721,'[AQ_2024.xlsx]原始数据'!$A:$A,0)),""))</f>
        <v/>
      </c>
      <c r="V721">
        <f>IF($A721="","",IFERROR(INDEX('[AQ_2020.xlsx]原始数据'!$F:$F,MATCH($A721,'[AQ_2020.xlsx]原始数据'!$A:$A,0)),""))</f>
        <v/>
      </c>
      <c r="W721">
        <f>IF($A721="","",IFERROR(INDEX('[AQ_2021.xlsx]原始数据'!$F:$F,MATCH($A721,'[AQ_2021.xlsx]原始数据'!$A:$A,0)),""))</f>
        <v/>
      </c>
      <c r="X721">
        <f>IF($A721="","",IFERROR(INDEX('[AQ_2022.xlsx]原始数据'!$F:$F,MATCH($A721,'[AQ_2022.xlsx]原始数据'!$A:$A,0)),""))</f>
        <v/>
      </c>
      <c r="Y721">
        <f>IF($A721="","",IFERROR(INDEX('[AQ_2023.xlsx]原始数据'!$F:$F,MATCH($A721,'[AQ_2023.xlsx]原始数据'!$A:$A,0)),""))</f>
        <v/>
      </c>
      <c r="Z721">
        <f>IF($A721="","",IFERROR(INDEX('[AQ_2024.xlsx]原始数据'!$F:$F,MATCH($A721,'[AQ_2024.xlsx]原始数据'!$A:$A,0)),""))</f>
        <v/>
      </c>
      <c r="AA721" s="2">
        <f>IFERROR(G721/B721,"")</f>
        <v/>
      </c>
      <c r="AB721" s="2">
        <f>IFERROR(H721/C721,"")</f>
        <v/>
      </c>
      <c r="AC721" s="2">
        <f>IFERROR(I721/D721,"")</f>
        <v/>
      </c>
      <c r="AD721" s="2">
        <f>IFERROR(J721/E721,"")</f>
        <v/>
      </c>
      <c r="AE721" s="2">
        <f>IFERROR(K721/F721,"")</f>
        <v/>
      </c>
      <c r="AF721" s="2">
        <f>IFERROR(L721/B721,"")</f>
        <v/>
      </c>
      <c r="AG721" s="2">
        <f>IFERROR(M721/C721,"")</f>
        <v/>
      </c>
      <c r="AH721" s="2">
        <f>IFERROR(N721/D721,"")</f>
        <v/>
      </c>
      <c r="AI721" s="2">
        <f>IFERROR(O721/E721,"")</f>
        <v/>
      </c>
      <c r="AJ721" s="2">
        <f>IFERROR(P721/F721,"")</f>
        <v/>
      </c>
      <c r="AK721" s="2">
        <f>IFERROR(Q721/B721,"")</f>
        <v/>
      </c>
      <c r="AL721" s="2">
        <f>IFERROR(R721/C721,"")</f>
        <v/>
      </c>
      <c r="AM721" s="2">
        <f>IFERROR(S721/D721,"")</f>
        <v/>
      </c>
      <c r="AN721" s="2">
        <f>IFERROR(T721/E721,"")</f>
        <v/>
      </c>
      <c r="AO721" s="2">
        <f>IFERROR(U721/F721,"")</f>
        <v/>
      </c>
    </row>
    <row r="722">
      <c r="B722">
        <f>IF($A722="","",IFERROR(INDEX('[AQ_2020.xlsx]原始数据'!$B:$B,MATCH($A722,'[AQ_2020.xlsx]原始数据'!$A:$A,0)),""))</f>
        <v/>
      </c>
      <c r="C722">
        <f>IF($A722="","",IFERROR(INDEX('[AQ_2021.xlsx]原始数据'!$B:$B,MATCH($A722,'[AQ_2021.xlsx]原始数据'!$A:$A,0)),""))</f>
        <v/>
      </c>
      <c r="D722">
        <f>IF($A722="","",IFERROR(INDEX('[AQ_2022.xlsx]原始数据'!$B:$B,MATCH($A722,'[AQ_2022.xlsx]原始数据'!$A:$A,0)),""))</f>
        <v/>
      </c>
      <c r="E722">
        <f>IF($A722="","",IFERROR(INDEX('[AQ_2023.xlsx]原始数据'!$B:$B,MATCH($A722,'[AQ_2023.xlsx]原始数据'!$A:$A,0)),""))</f>
        <v/>
      </c>
      <c r="F722">
        <f>IF($A722="","",IFERROR(INDEX('[AQ_2024.xlsx]原始数据'!$B:$B,MATCH($A722,'[AQ_2024.xlsx]原始数据'!$A:$A,0)),""))</f>
        <v/>
      </c>
      <c r="G722">
        <f>IF($A722="","",IFERROR(INDEX('[AQ_2020.xlsx]原始数据'!$C:$C,MATCH($A722,'[AQ_2020.xlsx]原始数据'!$A:$A,0)),""))</f>
        <v/>
      </c>
      <c r="H722">
        <f>IF($A722="","",IFERROR(INDEX('[AQ_2021.xlsx]原始数据'!$C:$C,MATCH($A722,'[AQ_2021.xlsx]原始数据'!$A:$A,0)),""))</f>
        <v/>
      </c>
      <c r="I722">
        <f>IF($A722="","",IFERROR(INDEX('[AQ_2022.xlsx]原始数据'!$C:$C,MATCH($A722,'[AQ_2022.xlsx]原始数据'!$A:$A,0)),""))</f>
        <v/>
      </c>
      <c r="J722">
        <f>IF($A722="","",IFERROR(INDEX('[AQ_2023.xlsx]原始数据'!$C:$C,MATCH($A722,'[AQ_2023.xlsx]原始数据'!$A:$A,0)),""))</f>
        <v/>
      </c>
      <c r="K722">
        <f>IF($A722="","",IFERROR(INDEX('[AQ_2024.xlsx]原始数据'!$C:$C,MATCH($A722,'[AQ_2024.xlsx]原始数据'!$A:$A,0)),""))</f>
        <v/>
      </c>
      <c r="L722">
        <f>IF($A722="","",IFERROR(INDEX('[AQ_2020.xlsx]原始数据'!$D:$D,MATCH($A722,'[AQ_2020.xlsx]原始数据'!$A:$A,0)),""))</f>
        <v/>
      </c>
      <c r="M722">
        <f>IF($A722="","",IFERROR(INDEX('[AQ_2021.xlsx]原始数据'!$D:$D,MATCH($A722,'[AQ_2021.xlsx]原始数据'!$A:$A,0)),""))</f>
        <v/>
      </c>
      <c r="N722">
        <f>IF($A722="","",IFERROR(INDEX('[AQ_2022.xlsx]原始数据'!$D:$D,MATCH($A722,'[AQ_2022.xlsx]原始数据'!$A:$A,0)),""))</f>
        <v/>
      </c>
      <c r="O722">
        <f>IF($A722="","",IFERROR(INDEX('[AQ_2023.xlsx]原始数据'!$D:$D,MATCH($A722,'[AQ_2023.xlsx]原始数据'!$A:$A,0)),""))</f>
        <v/>
      </c>
      <c r="P722">
        <f>IF($A722="","",IFERROR(INDEX('[AQ_2024.xlsx]原始数据'!$D:$D,MATCH($A722,'[AQ_2024.xlsx]原始数据'!$A:$A,0)),""))</f>
        <v/>
      </c>
      <c r="Q722">
        <f>IF($A722="","",IFERROR(INDEX('[AQ_2020.xlsx]原始数据'!$E:$E,MATCH($A722,'[AQ_2020.xlsx]原始数据'!$A:$A,0)),""))</f>
        <v/>
      </c>
      <c r="R722">
        <f>IF($A722="","",IFERROR(INDEX('[AQ_2021.xlsx]原始数据'!$E:$E,MATCH($A722,'[AQ_2021.xlsx]原始数据'!$A:$A,0)),""))</f>
        <v/>
      </c>
      <c r="S722">
        <f>IF($A722="","",IFERROR(INDEX('[AQ_2022.xlsx]原始数据'!$E:$E,MATCH($A722,'[AQ_2022.xlsx]原始数据'!$A:$A,0)),""))</f>
        <v/>
      </c>
      <c r="T722">
        <f>IF($A722="","",IFERROR(INDEX('[AQ_2023.xlsx]原始数据'!$E:$E,MATCH($A722,'[AQ_2023.xlsx]原始数据'!$A:$A,0)),""))</f>
        <v/>
      </c>
      <c r="U722">
        <f>IF($A722="","",IFERROR(INDEX('[AQ_2024.xlsx]原始数据'!$E:$E,MATCH($A722,'[AQ_2024.xlsx]原始数据'!$A:$A,0)),""))</f>
        <v/>
      </c>
      <c r="V722">
        <f>IF($A722="","",IFERROR(INDEX('[AQ_2020.xlsx]原始数据'!$F:$F,MATCH($A722,'[AQ_2020.xlsx]原始数据'!$A:$A,0)),""))</f>
        <v/>
      </c>
      <c r="W722">
        <f>IF($A722="","",IFERROR(INDEX('[AQ_2021.xlsx]原始数据'!$F:$F,MATCH($A722,'[AQ_2021.xlsx]原始数据'!$A:$A,0)),""))</f>
        <v/>
      </c>
      <c r="X722">
        <f>IF($A722="","",IFERROR(INDEX('[AQ_2022.xlsx]原始数据'!$F:$F,MATCH($A722,'[AQ_2022.xlsx]原始数据'!$A:$A,0)),""))</f>
        <v/>
      </c>
      <c r="Y722">
        <f>IF($A722="","",IFERROR(INDEX('[AQ_2023.xlsx]原始数据'!$F:$F,MATCH($A722,'[AQ_2023.xlsx]原始数据'!$A:$A,0)),""))</f>
        <v/>
      </c>
      <c r="Z722">
        <f>IF($A722="","",IFERROR(INDEX('[AQ_2024.xlsx]原始数据'!$F:$F,MATCH($A722,'[AQ_2024.xlsx]原始数据'!$A:$A,0)),""))</f>
        <v/>
      </c>
      <c r="AA722" s="2">
        <f>IFERROR(G722/B722,"")</f>
        <v/>
      </c>
      <c r="AB722" s="2">
        <f>IFERROR(H722/C722,"")</f>
        <v/>
      </c>
      <c r="AC722" s="2">
        <f>IFERROR(I722/D722,"")</f>
        <v/>
      </c>
      <c r="AD722" s="2">
        <f>IFERROR(J722/E722,"")</f>
        <v/>
      </c>
      <c r="AE722" s="2">
        <f>IFERROR(K722/F722,"")</f>
        <v/>
      </c>
      <c r="AF722" s="2">
        <f>IFERROR(L722/B722,"")</f>
        <v/>
      </c>
      <c r="AG722" s="2">
        <f>IFERROR(M722/C722,"")</f>
        <v/>
      </c>
      <c r="AH722" s="2">
        <f>IFERROR(N722/D722,"")</f>
        <v/>
      </c>
      <c r="AI722" s="2">
        <f>IFERROR(O722/E722,"")</f>
        <v/>
      </c>
      <c r="AJ722" s="2">
        <f>IFERROR(P722/F722,"")</f>
        <v/>
      </c>
      <c r="AK722" s="2">
        <f>IFERROR(Q722/B722,"")</f>
        <v/>
      </c>
      <c r="AL722" s="2">
        <f>IFERROR(R722/C722,"")</f>
        <v/>
      </c>
      <c r="AM722" s="2">
        <f>IFERROR(S722/D722,"")</f>
        <v/>
      </c>
      <c r="AN722" s="2">
        <f>IFERROR(T722/E722,"")</f>
        <v/>
      </c>
      <c r="AO722" s="2">
        <f>IFERROR(U722/F722,"")</f>
        <v/>
      </c>
    </row>
    <row r="723">
      <c r="B723">
        <f>IF($A723="","",IFERROR(INDEX('[AQ_2020.xlsx]原始数据'!$B:$B,MATCH($A723,'[AQ_2020.xlsx]原始数据'!$A:$A,0)),""))</f>
        <v/>
      </c>
      <c r="C723">
        <f>IF($A723="","",IFERROR(INDEX('[AQ_2021.xlsx]原始数据'!$B:$B,MATCH($A723,'[AQ_2021.xlsx]原始数据'!$A:$A,0)),""))</f>
        <v/>
      </c>
      <c r="D723">
        <f>IF($A723="","",IFERROR(INDEX('[AQ_2022.xlsx]原始数据'!$B:$B,MATCH($A723,'[AQ_2022.xlsx]原始数据'!$A:$A,0)),""))</f>
        <v/>
      </c>
      <c r="E723">
        <f>IF($A723="","",IFERROR(INDEX('[AQ_2023.xlsx]原始数据'!$B:$B,MATCH($A723,'[AQ_2023.xlsx]原始数据'!$A:$A,0)),""))</f>
        <v/>
      </c>
      <c r="F723">
        <f>IF($A723="","",IFERROR(INDEX('[AQ_2024.xlsx]原始数据'!$B:$B,MATCH($A723,'[AQ_2024.xlsx]原始数据'!$A:$A,0)),""))</f>
        <v/>
      </c>
      <c r="G723">
        <f>IF($A723="","",IFERROR(INDEX('[AQ_2020.xlsx]原始数据'!$C:$C,MATCH($A723,'[AQ_2020.xlsx]原始数据'!$A:$A,0)),""))</f>
        <v/>
      </c>
      <c r="H723">
        <f>IF($A723="","",IFERROR(INDEX('[AQ_2021.xlsx]原始数据'!$C:$C,MATCH($A723,'[AQ_2021.xlsx]原始数据'!$A:$A,0)),""))</f>
        <v/>
      </c>
      <c r="I723">
        <f>IF($A723="","",IFERROR(INDEX('[AQ_2022.xlsx]原始数据'!$C:$C,MATCH($A723,'[AQ_2022.xlsx]原始数据'!$A:$A,0)),""))</f>
        <v/>
      </c>
      <c r="J723">
        <f>IF($A723="","",IFERROR(INDEX('[AQ_2023.xlsx]原始数据'!$C:$C,MATCH($A723,'[AQ_2023.xlsx]原始数据'!$A:$A,0)),""))</f>
        <v/>
      </c>
      <c r="K723">
        <f>IF($A723="","",IFERROR(INDEX('[AQ_2024.xlsx]原始数据'!$C:$C,MATCH($A723,'[AQ_2024.xlsx]原始数据'!$A:$A,0)),""))</f>
        <v/>
      </c>
      <c r="L723">
        <f>IF($A723="","",IFERROR(INDEX('[AQ_2020.xlsx]原始数据'!$D:$D,MATCH($A723,'[AQ_2020.xlsx]原始数据'!$A:$A,0)),""))</f>
        <v/>
      </c>
      <c r="M723">
        <f>IF($A723="","",IFERROR(INDEX('[AQ_2021.xlsx]原始数据'!$D:$D,MATCH($A723,'[AQ_2021.xlsx]原始数据'!$A:$A,0)),""))</f>
        <v/>
      </c>
      <c r="N723">
        <f>IF($A723="","",IFERROR(INDEX('[AQ_2022.xlsx]原始数据'!$D:$D,MATCH($A723,'[AQ_2022.xlsx]原始数据'!$A:$A,0)),""))</f>
        <v/>
      </c>
      <c r="O723">
        <f>IF($A723="","",IFERROR(INDEX('[AQ_2023.xlsx]原始数据'!$D:$D,MATCH($A723,'[AQ_2023.xlsx]原始数据'!$A:$A,0)),""))</f>
        <v/>
      </c>
      <c r="P723">
        <f>IF($A723="","",IFERROR(INDEX('[AQ_2024.xlsx]原始数据'!$D:$D,MATCH($A723,'[AQ_2024.xlsx]原始数据'!$A:$A,0)),""))</f>
        <v/>
      </c>
      <c r="Q723">
        <f>IF($A723="","",IFERROR(INDEX('[AQ_2020.xlsx]原始数据'!$E:$E,MATCH($A723,'[AQ_2020.xlsx]原始数据'!$A:$A,0)),""))</f>
        <v/>
      </c>
      <c r="R723">
        <f>IF($A723="","",IFERROR(INDEX('[AQ_2021.xlsx]原始数据'!$E:$E,MATCH($A723,'[AQ_2021.xlsx]原始数据'!$A:$A,0)),""))</f>
        <v/>
      </c>
      <c r="S723">
        <f>IF($A723="","",IFERROR(INDEX('[AQ_2022.xlsx]原始数据'!$E:$E,MATCH($A723,'[AQ_2022.xlsx]原始数据'!$A:$A,0)),""))</f>
        <v/>
      </c>
      <c r="T723">
        <f>IF($A723="","",IFERROR(INDEX('[AQ_2023.xlsx]原始数据'!$E:$E,MATCH($A723,'[AQ_2023.xlsx]原始数据'!$A:$A,0)),""))</f>
        <v/>
      </c>
      <c r="U723">
        <f>IF($A723="","",IFERROR(INDEX('[AQ_2024.xlsx]原始数据'!$E:$E,MATCH($A723,'[AQ_2024.xlsx]原始数据'!$A:$A,0)),""))</f>
        <v/>
      </c>
      <c r="V723">
        <f>IF($A723="","",IFERROR(INDEX('[AQ_2020.xlsx]原始数据'!$F:$F,MATCH($A723,'[AQ_2020.xlsx]原始数据'!$A:$A,0)),""))</f>
        <v/>
      </c>
      <c r="W723">
        <f>IF($A723="","",IFERROR(INDEX('[AQ_2021.xlsx]原始数据'!$F:$F,MATCH($A723,'[AQ_2021.xlsx]原始数据'!$A:$A,0)),""))</f>
        <v/>
      </c>
      <c r="X723">
        <f>IF($A723="","",IFERROR(INDEX('[AQ_2022.xlsx]原始数据'!$F:$F,MATCH($A723,'[AQ_2022.xlsx]原始数据'!$A:$A,0)),""))</f>
        <v/>
      </c>
      <c r="Y723">
        <f>IF($A723="","",IFERROR(INDEX('[AQ_2023.xlsx]原始数据'!$F:$F,MATCH($A723,'[AQ_2023.xlsx]原始数据'!$A:$A,0)),""))</f>
        <v/>
      </c>
      <c r="Z723">
        <f>IF($A723="","",IFERROR(INDEX('[AQ_2024.xlsx]原始数据'!$F:$F,MATCH($A723,'[AQ_2024.xlsx]原始数据'!$A:$A,0)),""))</f>
        <v/>
      </c>
      <c r="AA723" s="2">
        <f>IFERROR(G723/B723,"")</f>
        <v/>
      </c>
      <c r="AB723" s="2">
        <f>IFERROR(H723/C723,"")</f>
        <v/>
      </c>
      <c r="AC723" s="2">
        <f>IFERROR(I723/D723,"")</f>
        <v/>
      </c>
      <c r="AD723" s="2">
        <f>IFERROR(J723/E723,"")</f>
        <v/>
      </c>
      <c r="AE723" s="2">
        <f>IFERROR(K723/F723,"")</f>
        <v/>
      </c>
      <c r="AF723" s="2">
        <f>IFERROR(L723/B723,"")</f>
        <v/>
      </c>
      <c r="AG723" s="2">
        <f>IFERROR(M723/C723,"")</f>
        <v/>
      </c>
      <c r="AH723" s="2">
        <f>IFERROR(N723/D723,"")</f>
        <v/>
      </c>
      <c r="AI723" s="2">
        <f>IFERROR(O723/E723,"")</f>
        <v/>
      </c>
      <c r="AJ723" s="2">
        <f>IFERROR(P723/F723,"")</f>
        <v/>
      </c>
      <c r="AK723" s="2">
        <f>IFERROR(Q723/B723,"")</f>
        <v/>
      </c>
      <c r="AL723" s="2">
        <f>IFERROR(R723/C723,"")</f>
        <v/>
      </c>
      <c r="AM723" s="2">
        <f>IFERROR(S723/D723,"")</f>
        <v/>
      </c>
      <c r="AN723" s="2">
        <f>IFERROR(T723/E723,"")</f>
        <v/>
      </c>
      <c r="AO723" s="2">
        <f>IFERROR(U723/F723,"")</f>
        <v/>
      </c>
    </row>
    <row r="724">
      <c r="B724">
        <f>IF($A724="","",IFERROR(INDEX('[AQ_2020.xlsx]原始数据'!$B:$B,MATCH($A724,'[AQ_2020.xlsx]原始数据'!$A:$A,0)),""))</f>
        <v/>
      </c>
      <c r="C724">
        <f>IF($A724="","",IFERROR(INDEX('[AQ_2021.xlsx]原始数据'!$B:$B,MATCH($A724,'[AQ_2021.xlsx]原始数据'!$A:$A,0)),""))</f>
        <v/>
      </c>
      <c r="D724">
        <f>IF($A724="","",IFERROR(INDEX('[AQ_2022.xlsx]原始数据'!$B:$B,MATCH($A724,'[AQ_2022.xlsx]原始数据'!$A:$A,0)),""))</f>
        <v/>
      </c>
      <c r="E724">
        <f>IF($A724="","",IFERROR(INDEX('[AQ_2023.xlsx]原始数据'!$B:$B,MATCH($A724,'[AQ_2023.xlsx]原始数据'!$A:$A,0)),""))</f>
        <v/>
      </c>
      <c r="F724">
        <f>IF($A724="","",IFERROR(INDEX('[AQ_2024.xlsx]原始数据'!$B:$B,MATCH($A724,'[AQ_2024.xlsx]原始数据'!$A:$A,0)),""))</f>
        <v/>
      </c>
      <c r="G724">
        <f>IF($A724="","",IFERROR(INDEX('[AQ_2020.xlsx]原始数据'!$C:$C,MATCH($A724,'[AQ_2020.xlsx]原始数据'!$A:$A,0)),""))</f>
        <v/>
      </c>
      <c r="H724">
        <f>IF($A724="","",IFERROR(INDEX('[AQ_2021.xlsx]原始数据'!$C:$C,MATCH($A724,'[AQ_2021.xlsx]原始数据'!$A:$A,0)),""))</f>
        <v/>
      </c>
      <c r="I724">
        <f>IF($A724="","",IFERROR(INDEX('[AQ_2022.xlsx]原始数据'!$C:$C,MATCH($A724,'[AQ_2022.xlsx]原始数据'!$A:$A,0)),""))</f>
        <v/>
      </c>
      <c r="J724">
        <f>IF($A724="","",IFERROR(INDEX('[AQ_2023.xlsx]原始数据'!$C:$C,MATCH($A724,'[AQ_2023.xlsx]原始数据'!$A:$A,0)),""))</f>
        <v/>
      </c>
      <c r="K724">
        <f>IF($A724="","",IFERROR(INDEX('[AQ_2024.xlsx]原始数据'!$C:$C,MATCH($A724,'[AQ_2024.xlsx]原始数据'!$A:$A,0)),""))</f>
        <v/>
      </c>
      <c r="L724">
        <f>IF($A724="","",IFERROR(INDEX('[AQ_2020.xlsx]原始数据'!$D:$D,MATCH($A724,'[AQ_2020.xlsx]原始数据'!$A:$A,0)),""))</f>
        <v/>
      </c>
      <c r="M724">
        <f>IF($A724="","",IFERROR(INDEX('[AQ_2021.xlsx]原始数据'!$D:$D,MATCH($A724,'[AQ_2021.xlsx]原始数据'!$A:$A,0)),""))</f>
        <v/>
      </c>
      <c r="N724">
        <f>IF($A724="","",IFERROR(INDEX('[AQ_2022.xlsx]原始数据'!$D:$D,MATCH($A724,'[AQ_2022.xlsx]原始数据'!$A:$A,0)),""))</f>
        <v/>
      </c>
      <c r="O724">
        <f>IF($A724="","",IFERROR(INDEX('[AQ_2023.xlsx]原始数据'!$D:$D,MATCH($A724,'[AQ_2023.xlsx]原始数据'!$A:$A,0)),""))</f>
        <v/>
      </c>
      <c r="P724">
        <f>IF($A724="","",IFERROR(INDEX('[AQ_2024.xlsx]原始数据'!$D:$D,MATCH($A724,'[AQ_2024.xlsx]原始数据'!$A:$A,0)),""))</f>
        <v/>
      </c>
      <c r="Q724">
        <f>IF($A724="","",IFERROR(INDEX('[AQ_2020.xlsx]原始数据'!$E:$E,MATCH($A724,'[AQ_2020.xlsx]原始数据'!$A:$A,0)),""))</f>
        <v/>
      </c>
      <c r="R724">
        <f>IF($A724="","",IFERROR(INDEX('[AQ_2021.xlsx]原始数据'!$E:$E,MATCH($A724,'[AQ_2021.xlsx]原始数据'!$A:$A,0)),""))</f>
        <v/>
      </c>
      <c r="S724">
        <f>IF($A724="","",IFERROR(INDEX('[AQ_2022.xlsx]原始数据'!$E:$E,MATCH($A724,'[AQ_2022.xlsx]原始数据'!$A:$A,0)),""))</f>
        <v/>
      </c>
      <c r="T724">
        <f>IF($A724="","",IFERROR(INDEX('[AQ_2023.xlsx]原始数据'!$E:$E,MATCH($A724,'[AQ_2023.xlsx]原始数据'!$A:$A,0)),""))</f>
        <v/>
      </c>
      <c r="U724">
        <f>IF($A724="","",IFERROR(INDEX('[AQ_2024.xlsx]原始数据'!$E:$E,MATCH($A724,'[AQ_2024.xlsx]原始数据'!$A:$A,0)),""))</f>
        <v/>
      </c>
      <c r="V724">
        <f>IF($A724="","",IFERROR(INDEX('[AQ_2020.xlsx]原始数据'!$F:$F,MATCH($A724,'[AQ_2020.xlsx]原始数据'!$A:$A,0)),""))</f>
        <v/>
      </c>
      <c r="W724">
        <f>IF($A724="","",IFERROR(INDEX('[AQ_2021.xlsx]原始数据'!$F:$F,MATCH($A724,'[AQ_2021.xlsx]原始数据'!$A:$A,0)),""))</f>
        <v/>
      </c>
      <c r="X724">
        <f>IF($A724="","",IFERROR(INDEX('[AQ_2022.xlsx]原始数据'!$F:$F,MATCH($A724,'[AQ_2022.xlsx]原始数据'!$A:$A,0)),""))</f>
        <v/>
      </c>
      <c r="Y724">
        <f>IF($A724="","",IFERROR(INDEX('[AQ_2023.xlsx]原始数据'!$F:$F,MATCH($A724,'[AQ_2023.xlsx]原始数据'!$A:$A,0)),""))</f>
        <v/>
      </c>
      <c r="Z724">
        <f>IF($A724="","",IFERROR(INDEX('[AQ_2024.xlsx]原始数据'!$F:$F,MATCH($A724,'[AQ_2024.xlsx]原始数据'!$A:$A,0)),""))</f>
        <v/>
      </c>
      <c r="AA724" s="2">
        <f>IFERROR(G724/B724,"")</f>
        <v/>
      </c>
      <c r="AB724" s="2">
        <f>IFERROR(H724/C724,"")</f>
        <v/>
      </c>
      <c r="AC724" s="2">
        <f>IFERROR(I724/D724,"")</f>
        <v/>
      </c>
      <c r="AD724" s="2">
        <f>IFERROR(J724/E724,"")</f>
        <v/>
      </c>
      <c r="AE724" s="2">
        <f>IFERROR(K724/F724,"")</f>
        <v/>
      </c>
      <c r="AF724" s="2">
        <f>IFERROR(L724/B724,"")</f>
        <v/>
      </c>
      <c r="AG724" s="2">
        <f>IFERROR(M724/C724,"")</f>
        <v/>
      </c>
      <c r="AH724" s="2">
        <f>IFERROR(N724/D724,"")</f>
        <v/>
      </c>
      <c r="AI724" s="2">
        <f>IFERROR(O724/E724,"")</f>
        <v/>
      </c>
      <c r="AJ724" s="2">
        <f>IFERROR(P724/F724,"")</f>
        <v/>
      </c>
      <c r="AK724" s="2">
        <f>IFERROR(Q724/B724,"")</f>
        <v/>
      </c>
      <c r="AL724" s="2">
        <f>IFERROR(R724/C724,"")</f>
        <v/>
      </c>
      <c r="AM724" s="2">
        <f>IFERROR(S724/D724,"")</f>
        <v/>
      </c>
      <c r="AN724" s="2">
        <f>IFERROR(T724/E724,"")</f>
        <v/>
      </c>
      <c r="AO724" s="2">
        <f>IFERROR(U724/F724,"")</f>
        <v/>
      </c>
    </row>
    <row r="725">
      <c r="B725">
        <f>IF($A725="","",IFERROR(INDEX('[AQ_2020.xlsx]原始数据'!$B:$B,MATCH($A725,'[AQ_2020.xlsx]原始数据'!$A:$A,0)),""))</f>
        <v/>
      </c>
      <c r="C725">
        <f>IF($A725="","",IFERROR(INDEX('[AQ_2021.xlsx]原始数据'!$B:$B,MATCH($A725,'[AQ_2021.xlsx]原始数据'!$A:$A,0)),""))</f>
        <v/>
      </c>
      <c r="D725">
        <f>IF($A725="","",IFERROR(INDEX('[AQ_2022.xlsx]原始数据'!$B:$B,MATCH($A725,'[AQ_2022.xlsx]原始数据'!$A:$A,0)),""))</f>
        <v/>
      </c>
      <c r="E725">
        <f>IF($A725="","",IFERROR(INDEX('[AQ_2023.xlsx]原始数据'!$B:$B,MATCH($A725,'[AQ_2023.xlsx]原始数据'!$A:$A,0)),""))</f>
        <v/>
      </c>
      <c r="F725">
        <f>IF($A725="","",IFERROR(INDEX('[AQ_2024.xlsx]原始数据'!$B:$B,MATCH($A725,'[AQ_2024.xlsx]原始数据'!$A:$A,0)),""))</f>
        <v/>
      </c>
      <c r="G725">
        <f>IF($A725="","",IFERROR(INDEX('[AQ_2020.xlsx]原始数据'!$C:$C,MATCH($A725,'[AQ_2020.xlsx]原始数据'!$A:$A,0)),""))</f>
        <v/>
      </c>
      <c r="H725">
        <f>IF($A725="","",IFERROR(INDEX('[AQ_2021.xlsx]原始数据'!$C:$C,MATCH($A725,'[AQ_2021.xlsx]原始数据'!$A:$A,0)),""))</f>
        <v/>
      </c>
      <c r="I725">
        <f>IF($A725="","",IFERROR(INDEX('[AQ_2022.xlsx]原始数据'!$C:$C,MATCH($A725,'[AQ_2022.xlsx]原始数据'!$A:$A,0)),""))</f>
        <v/>
      </c>
      <c r="J725">
        <f>IF($A725="","",IFERROR(INDEX('[AQ_2023.xlsx]原始数据'!$C:$C,MATCH($A725,'[AQ_2023.xlsx]原始数据'!$A:$A,0)),""))</f>
        <v/>
      </c>
      <c r="K725">
        <f>IF($A725="","",IFERROR(INDEX('[AQ_2024.xlsx]原始数据'!$C:$C,MATCH($A725,'[AQ_2024.xlsx]原始数据'!$A:$A,0)),""))</f>
        <v/>
      </c>
      <c r="L725">
        <f>IF($A725="","",IFERROR(INDEX('[AQ_2020.xlsx]原始数据'!$D:$D,MATCH($A725,'[AQ_2020.xlsx]原始数据'!$A:$A,0)),""))</f>
        <v/>
      </c>
      <c r="M725">
        <f>IF($A725="","",IFERROR(INDEX('[AQ_2021.xlsx]原始数据'!$D:$D,MATCH($A725,'[AQ_2021.xlsx]原始数据'!$A:$A,0)),""))</f>
        <v/>
      </c>
      <c r="N725">
        <f>IF($A725="","",IFERROR(INDEX('[AQ_2022.xlsx]原始数据'!$D:$D,MATCH($A725,'[AQ_2022.xlsx]原始数据'!$A:$A,0)),""))</f>
        <v/>
      </c>
      <c r="O725">
        <f>IF($A725="","",IFERROR(INDEX('[AQ_2023.xlsx]原始数据'!$D:$D,MATCH($A725,'[AQ_2023.xlsx]原始数据'!$A:$A,0)),""))</f>
        <v/>
      </c>
      <c r="P725">
        <f>IF($A725="","",IFERROR(INDEX('[AQ_2024.xlsx]原始数据'!$D:$D,MATCH($A725,'[AQ_2024.xlsx]原始数据'!$A:$A,0)),""))</f>
        <v/>
      </c>
      <c r="Q725">
        <f>IF($A725="","",IFERROR(INDEX('[AQ_2020.xlsx]原始数据'!$E:$E,MATCH($A725,'[AQ_2020.xlsx]原始数据'!$A:$A,0)),""))</f>
        <v/>
      </c>
      <c r="R725">
        <f>IF($A725="","",IFERROR(INDEX('[AQ_2021.xlsx]原始数据'!$E:$E,MATCH($A725,'[AQ_2021.xlsx]原始数据'!$A:$A,0)),""))</f>
        <v/>
      </c>
      <c r="S725">
        <f>IF($A725="","",IFERROR(INDEX('[AQ_2022.xlsx]原始数据'!$E:$E,MATCH($A725,'[AQ_2022.xlsx]原始数据'!$A:$A,0)),""))</f>
        <v/>
      </c>
      <c r="T725">
        <f>IF($A725="","",IFERROR(INDEX('[AQ_2023.xlsx]原始数据'!$E:$E,MATCH($A725,'[AQ_2023.xlsx]原始数据'!$A:$A,0)),""))</f>
        <v/>
      </c>
      <c r="U725">
        <f>IF($A725="","",IFERROR(INDEX('[AQ_2024.xlsx]原始数据'!$E:$E,MATCH($A725,'[AQ_2024.xlsx]原始数据'!$A:$A,0)),""))</f>
        <v/>
      </c>
      <c r="V725">
        <f>IF($A725="","",IFERROR(INDEX('[AQ_2020.xlsx]原始数据'!$F:$F,MATCH($A725,'[AQ_2020.xlsx]原始数据'!$A:$A,0)),""))</f>
        <v/>
      </c>
      <c r="W725">
        <f>IF($A725="","",IFERROR(INDEX('[AQ_2021.xlsx]原始数据'!$F:$F,MATCH($A725,'[AQ_2021.xlsx]原始数据'!$A:$A,0)),""))</f>
        <v/>
      </c>
      <c r="X725">
        <f>IF($A725="","",IFERROR(INDEX('[AQ_2022.xlsx]原始数据'!$F:$F,MATCH($A725,'[AQ_2022.xlsx]原始数据'!$A:$A,0)),""))</f>
        <v/>
      </c>
      <c r="Y725">
        <f>IF($A725="","",IFERROR(INDEX('[AQ_2023.xlsx]原始数据'!$F:$F,MATCH($A725,'[AQ_2023.xlsx]原始数据'!$A:$A,0)),""))</f>
        <v/>
      </c>
      <c r="Z725">
        <f>IF($A725="","",IFERROR(INDEX('[AQ_2024.xlsx]原始数据'!$F:$F,MATCH($A725,'[AQ_2024.xlsx]原始数据'!$A:$A,0)),""))</f>
        <v/>
      </c>
      <c r="AA725" s="2">
        <f>IFERROR(G725/B725,"")</f>
        <v/>
      </c>
      <c r="AB725" s="2">
        <f>IFERROR(H725/C725,"")</f>
        <v/>
      </c>
      <c r="AC725" s="2">
        <f>IFERROR(I725/D725,"")</f>
        <v/>
      </c>
      <c r="AD725" s="2">
        <f>IFERROR(J725/E725,"")</f>
        <v/>
      </c>
      <c r="AE725" s="2">
        <f>IFERROR(K725/F725,"")</f>
        <v/>
      </c>
      <c r="AF725" s="2">
        <f>IFERROR(L725/B725,"")</f>
        <v/>
      </c>
      <c r="AG725" s="2">
        <f>IFERROR(M725/C725,"")</f>
        <v/>
      </c>
      <c r="AH725" s="2">
        <f>IFERROR(N725/D725,"")</f>
        <v/>
      </c>
      <c r="AI725" s="2">
        <f>IFERROR(O725/E725,"")</f>
        <v/>
      </c>
      <c r="AJ725" s="2">
        <f>IFERROR(P725/F725,"")</f>
        <v/>
      </c>
      <c r="AK725" s="2">
        <f>IFERROR(Q725/B725,"")</f>
        <v/>
      </c>
      <c r="AL725" s="2">
        <f>IFERROR(R725/C725,"")</f>
        <v/>
      </c>
      <c r="AM725" s="2">
        <f>IFERROR(S725/D725,"")</f>
        <v/>
      </c>
      <c r="AN725" s="2">
        <f>IFERROR(T725/E725,"")</f>
        <v/>
      </c>
      <c r="AO725" s="2">
        <f>IFERROR(U725/F725,"")</f>
        <v/>
      </c>
    </row>
    <row r="726">
      <c r="B726">
        <f>IF($A726="","",IFERROR(INDEX('[AQ_2020.xlsx]原始数据'!$B:$B,MATCH($A726,'[AQ_2020.xlsx]原始数据'!$A:$A,0)),""))</f>
        <v/>
      </c>
      <c r="C726">
        <f>IF($A726="","",IFERROR(INDEX('[AQ_2021.xlsx]原始数据'!$B:$B,MATCH($A726,'[AQ_2021.xlsx]原始数据'!$A:$A,0)),""))</f>
        <v/>
      </c>
      <c r="D726">
        <f>IF($A726="","",IFERROR(INDEX('[AQ_2022.xlsx]原始数据'!$B:$B,MATCH($A726,'[AQ_2022.xlsx]原始数据'!$A:$A,0)),""))</f>
        <v/>
      </c>
      <c r="E726">
        <f>IF($A726="","",IFERROR(INDEX('[AQ_2023.xlsx]原始数据'!$B:$B,MATCH($A726,'[AQ_2023.xlsx]原始数据'!$A:$A,0)),""))</f>
        <v/>
      </c>
      <c r="F726">
        <f>IF($A726="","",IFERROR(INDEX('[AQ_2024.xlsx]原始数据'!$B:$B,MATCH($A726,'[AQ_2024.xlsx]原始数据'!$A:$A,0)),""))</f>
        <v/>
      </c>
      <c r="G726">
        <f>IF($A726="","",IFERROR(INDEX('[AQ_2020.xlsx]原始数据'!$C:$C,MATCH($A726,'[AQ_2020.xlsx]原始数据'!$A:$A,0)),""))</f>
        <v/>
      </c>
      <c r="H726">
        <f>IF($A726="","",IFERROR(INDEX('[AQ_2021.xlsx]原始数据'!$C:$C,MATCH($A726,'[AQ_2021.xlsx]原始数据'!$A:$A,0)),""))</f>
        <v/>
      </c>
      <c r="I726">
        <f>IF($A726="","",IFERROR(INDEX('[AQ_2022.xlsx]原始数据'!$C:$C,MATCH($A726,'[AQ_2022.xlsx]原始数据'!$A:$A,0)),""))</f>
        <v/>
      </c>
      <c r="J726">
        <f>IF($A726="","",IFERROR(INDEX('[AQ_2023.xlsx]原始数据'!$C:$C,MATCH($A726,'[AQ_2023.xlsx]原始数据'!$A:$A,0)),""))</f>
        <v/>
      </c>
      <c r="K726">
        <f>IF($A726="","",IFERROR(INDEX('[AQ_2024.xlsx]原始数据'!$C:$C,MATCH($A726,'[AQ_2024.xlsx]原始数据'!$A:$A,0)),""))</f>
        <v/>
      </c>
      <c r="L726">
        <f>IF($A726="","",IFERROR(INDEX('[AQ_2020.xlsx]原始数据'!$D:$D,MATCH($A726,'[AQ_2020.xlsx]原始数据'!$A:$A,0)),""))</f>
        <v/>
      </c>
      <c r="M726">
        <f>IF($A726="","",IFERROR(INDEX('[AQ_2021.xlsx]原始数据'!$D:$D,MATCH($A726,'[AQ_2021.xlsx]原始数据'!$A:$A,0)),""))</f>
        <v/>
      </c>
      <c r="N726">
        <f>IF($A726="","",IFERROR(INDEX('[AQ_2022.xlsx]原始数据'!$D:$D,MATCH($A726,'[AQ_2022.xlsx]原始数据'!$A:$A,0)),""))</f>
        <v/>
      </c>
      <c r="O726">
        <f>IF($A726="","",IFERROR(INDEX('[AQ_2023.xlsx]原始数据'!$D:$D,MATCH($A726,'[AQ_2023.xlsx]原始数据'!$A:$A,0)),""))</f>
        <v/>
      </c>
      <c r="P726">
        <f>IF($A726="","",IFERROR(INDEX('[AQ_2024.xlsx]原始数据'!$D:$D,MATCH($A726,'[AQ_2024.xlsx]原始数据'!$A:$A,0)),""))</f>
        <v/>
      </c>
      <c r="Q726">
        <f>IF($A726="","",IFERROR(INDEX('[AQ_2020.xlsx]原始数据'!$E:$E,MATCH($A726,'[AQ_2020.xlsx]原始数据'!$A:$A,0)),""))</f>
        <v/>
      </c>
      <c r="R726">
        <f>IF($A726="","",IFERROR(INDEX('[AQ_2021.xlsx]原始数据'!$E:$E,MATCH($A726,'[AQ_2021.xlsx]原始数据'!$A:$A,0)),""))</f>
        <v/>
      </c>
      <c r="S726">
        <f>IF($A726="","",IFERROR(INDEX('[AQ_2022.xlsx]原始数据'!$E:$E,MATCH($A726,'[AQ_2022.xlsx]原始数据'!$A:$A,0)),""))</f>
        <v/>
      </c>
      <c r="T726">
        <f>IF($A726="","",IFERROR(INDEX('[AQ_2023.xlsx]原始数据'!$E:$E,MATCH($A726,'[AQ_2023.xlsx]原始数据'!$A:$A,0)),""))</f>
        <v/>
      </c>
      <c r="U726">
        <f>IF($A726="","",IFERROR(INDEX('[AQ_2024.xlsx]原始数据'!$E:$E,MATCH($A726,'[AQ_2024.xlsx]原始数据'!$A:$A,0)),""))</f>
        <v/>
      </c>
      <c r="V726">
        <f>IF($A726="","",IFERROR(INDEX('[AQ_2020.xlsx]原始数据'!$F:$F,MATCH($A726,'[AQ_2020.xlsx]原始数据'!$A:$A,0)),""))</f>
        <v/>
      </c>
      <c r="W726">
        <f>IF($A726="","",IFERROR(INDEX('[AQ_2021.xlsx]原始数据'!$F:$F,MATCH($A726,'[AQ_2021.xlsx]原始数据'!$A:$A,0)),""))</f>
        <v/>
      </c>
      <c r="X726">
        <f>IF($A726="","",IFERROR(INDEX('[AQ_2022.xlsx]原始数据'!$F:$F,MATCH($A726,'[AQ_2022.xlsx]原始数据'!$A:$A,0)),""))</f>
        <v/>
      </c>
      <c r="Y726">
        <f>IF($A726="","",IFERROR(INDEX('[AQ_2023.xlsx]原始数据'!$F:$F,MATCH($A726,'[AQ_2023.xlsx]原始数据'!$A:$A,0)),""))</f>
        <v/>
      </c>
      <c r="Z726">
        <f>IF($A726="","",IFERROR(INDEX('[AQ_2024.xlsx]原始数据'!$F:$F,MATCH($A726,'[AQ_2024.xlsx]原始数据'!$A:$A,0)),""))</f>
        <v/>
      </c>
      <c r="AA726" s="2">
        <f>IFERROR(G726/B726,"")</f>
        <v/>
      </c>
      <c r="AB726" s="2">
        <f>IFERROR(H726/C726,"")</f>
        <v/>
      </c>
      <c r="AC726" s="2">
        <f>IFERROR(I726/D726,"")</f>
        <v/>
      </c>
      <c r="AD726" s="2">
        <f>IFERROR(J726/E726,"")</f>
        <v/>
      </c>
      <c r="AE726" s="2">
        <f>IFERROR(K726/F726,"")</f>
        <v/>
      </c>
      <c r="AF726" s="2">
        <f>IFERROR(L726/B726,"")</f>
        <v/>
      </c>
      <c r="AG726" s="2">
        <f>IFERROR(M726/C726,"")</f>
        <v/>
      </c>
      <c r="AH726" s="2">
        <f>IFERROR(N726/D726,"")</f>
        <v/>
      </c>
      <c r="AI726" s="2">
        <f>IFERROR(O726/E726,"")</f>
        <v/>
      </c>
      <c r="AJ726" s="2">
        <f>IFERROR(P726/F726,"")</f>
        <v/>
      </c>
      <c r="AK726" s="2">
        <f>IFERROR(Q726/B726,"")</f>
        <v/>
      </c>
      <c r="AL726" s="2">
        <f>IFERROR(R726/C726,"")</f>
        <v/>
      </c>
      <c r="AM726" s="2">
        <f>IFERROR(S726/D726,"")</f>
        <v/>
      </c>
      <c r="AN726" s="2">
        <f>IFERROR(T726/E726,"")</f>
        <v/>
      </c>
      <c r="AO726" s="2">
        <f>IFERROR(U726/F726,"")</f>
        <v/>
      </c>
    </row>
    <row r="727">
      <c r="B727">
        <f>IF($A727="","",IFERROR(INDEX('[AQ_2020.xlsx]原始数据'!$B:$B,MATCH($A727,'[AQ_2020.xlsx]原始数据'!$A:$A,0)),""))</f>
        <v/>
      </c>
      <c r="C727">
        <f>IF($A727="","",IFERROR(INDEX('[AQ_2021.xlsx]原始数据'!$B:$B,MATCH($A727,'[AQ_2021.xlsx]原始数据'!$A:$A,0)),""))</f>
        <v/>
      </c>
      <c r="D727">
        <f>IF($A727="","",IFERROR(INDEX('[AQ_2022.xlsx]原始数据'!$B:$B,MATCH($A727,'[AQ_2022.xlsx]原始数据'!$A:$A,0)),""))</f>
        <v/>
      </c>
      <c r="E727">
        <f>IF($A727="","",IFERROR(INDEX('[AQ_2023.xlsx]原始数据'!$B:$B,MATCH($A727,'[AQ_2023.xlsx]原始数据'!$A:$A,0)),""))</f>
        <v/>
      </c>
      <c r="F727">
        <f>IF($A727="","",IFERROR(INDEX('[AQ_2024.xlsx]原始数据'!$B:$B,MATCH($A727,'[AQ_2024.xlsx]原始数据'!$A:$A,0)),""))</f>
        <v/>
      </c>
      <c r="G727">
        <f>IF($A727="","",IFERROR(INDEX('[AQ_2020.xlsx]原始数据'!$C:$C,MATCH($A727,'[AQ_2020.xlsx]原始数据'!$A:$A,0)),""))</f>
        <v/>
      </c>
      <c r="H727">
        <f>IF($A727="","",IFERROR(INDEX('[AQ_2021.xlsx]原始数据'!$C:$C,MATCH($A727,'[AQ_2021.xlsx]原始数据'!$A:$A,0)),""))</f>
        <v/>
      </c>
      <c r="I727">
        <f>IF($A727="","",IFERROR(INDEX('[AQ_2022.xlsx]原始数据'!$C:$C,MATCH($A727,'[AQ_2022.xlsx]原始数据'!$A:$A,0)),""))</f>
        <v/>
      </c>
      <c r="J727">
        <f>IF($A727="","",IFERROR(INDEX('[AQ_2023.xlsx]原始数据'!$C:$C,MATCH($A727,'[AQ_2023.xlsx]原始数据'!$A:$A,0)),""))</f>
        <v/>
      </c>
      <c r="K727">
        <f>IF($A727="","",IFERROR(INDEX('[AQ_2024.xlsx]原始数据'!$C:$C,MATCH($A727,'[AQ_2024.xlsx]原始数据'!$A:$A,0)),""))</f>
        <v/>
      </c>
      <c r="L727">
        <f>IF($A727="","",IFERROR(INDEX('[AQ_2020.xlsx]原始数据'!$D:$D,MATCH($A727,'[AQ_2020.xlsx]原始数据'!$A:$A,0)),""))</f>
        <v/>
      </c>
      <c r="M727">
        <f>IF($A727="","",IFERROR(INDEX('[AQ_2021.xlsx]原始数据'!$D:$D,MATCH($A727,'[AQ_2021.xlsx]原始数据'!$A:$A,0)),""))</f>
        <v/>
      </c>
      <c r="N727">
        <f>IF($A727="","",IFERROR(INDEX('[AQ_2022.xlsx]原始数据'!$D:$D,MATCH($A727,'[AQ_2022.xlsx]原始数据'!$A:$A,0)),""))</f>
        <v/>
      </c>
      <c r="O727">
        <f>IF($A727="","",IFERROR(INDEX('[AQ_2023.xlsx]原始数据'!$D:$D,MATCH($A727,'[AQ_2023.xlsx]原始数据'!$A:$A,0)),""))</f>
        <v/>
      </c>
      <c r="P727">
        <f>IF($A727="","",IFERROR(INDEX('[AQ_2024.xlsx]原始数据'!$D:$D,MATCH($A727,'[AQ_2024.xlsx]原始数据'!$A:$A,0)),""))</f>
        <v/>
      </c>
      <c r="Q727">
        <f>IF($A727="","",IFERROR(INDEX('[AQ_2020.xlsx]原始数据'!$E:$E,MATCH($A727,'[AQ_2020.xlsx]原始数据'!$A:$A,0)),""))</f>
        <v/>
      </c>
      <c r="R727">
        <f>IF($A727="","",IFERROR(INDEX('[AQ_2021.xlsx]原始数据'!$E:$E,MATCH($A727,'[AQ_2021.xlsx]原始数据'!$A:$A,0)),""))</f>
        <v/>
      </c>
      <c r="S727">
        <f>IF($A727="","",IFERROR(INDEX('[AQ_2022.xlsx]原始数据'!$E:$E,MATCH($A727,'[AQ_2022.xlsx]原始数据'!$A:$A,0)),""))</f>
        <v/>
      </c>
      <c r="T727">
        <f>IF($A727="","",IFERROR(INDEX('[AQ_2023.xlsx]原始数据'!$E:$E,MATCH($A727,'[AQ_2023.xlsx]原始数据'!$A:$A,0)),""))</f>
        <v/>
      </c>
      <c r="U727">
        <f>IF($A727="","",IFERROR(INDEX('[AQ_2024.xlsx]原始数据'!$E:$E,MATCH($A727,'[AQ_2024.xlsx]原始数据'!$A:$A,0)),""))</f>
        <v/>
      </c>
      <c r="V727">
        <f>IF($A727="","",IFERROR(INDEX('[AQ_2020.xlsx]原始数据'!$F:$F,MATCH($A727,'[AQ_2020.xlsx]原始数据'!$A:$A,0)),""))</f>
        <v/>
      </c>
      <c r="W727">
        <f>IF($A727="","",IFERROR(INDEX('[AQ_2021.xlsx]原始数据'!$F:$F,MATCH($A727,'[AQ_2021.xlsx]原始数据'!$A:$A,0)),""))</f>
        <v/>
      </c>
      <c r="X727">
        <f>IF($A727="","",IFERROR(INDEX('[AQ_2022.xlsx]原始数据'!$F:$F,MATCH($A727,'[AQ_2022.xlsx]原始数据'!$A:$A,0)),""))</f>
        <v/>
      </c>
      <c r="Y727">
        <f>IF($A727="","",IFERROR(INDEX('[AQ_2023.xlsx]原始数据'!$F:$F,MATCH($A727,'[AQ_2023.xlsx]原始数据'!$A:$A,0)),""))</f>
        <v/>
      </c>
      <c r="Z727">
        <f>IF($A727="","",IFERROR(INDEX('[AQ_2024.xlsx]原始数据'!$F:$F,MATCH($A727,'[AQ_2024.xlsx]原始数据'!$A:$A,0)),""))</f>
        <v/>
      </c>
      <c r="AA727" s="2">
        <f>IFERROR(G727/B727,"")</f>
        <v/>
      </c>
      <c r="AB727" s="2">
        <f>IFERROR(H727/C727,"")</f>
        <v/>
      </c>
      <c r="AC727" s="2">
        <f>IFERROR(I727/D727,"")</f>
        <v/>
      </c>
      <c r="AD727" s="2">
        <f>IFERROR(J727/E727,"")</f>
        <v/>
      </c>
      <c r="AE727" s="2">
        <f>IFERROR(K727/F727,"")</f>
        <v/>
      </c>
      <c r="AF727" s="2">
        <f>IFERROR(L727/B727,"")</f>
        <v/>
      </c>
      <c r="AG727" s="2">
        <f>IFERROR(M727/C727,"")</f>
        <v/>
      </c>
      <c r="AH727" s="2">
        <f>IFERROR(N727/D727,"")</f>
        <v/>
      </c>
      <c r="AI727" s="2">
        <f>IFERROR(O727/E727,"")</f>
        <v/>
      </c>
      <c r="AJ727" s="2">
        <f>IFERROR(P727/F727,"")</f>
        <v/>
      </c>
      <c r="AK727" s="2">
        <f>IFERROR(Q727/B727,"")</f>
        <v/>
      </c>
      <c r="AL727" s="2">
        <f>IFERROR(R727/C727,"")</f>
        <v/>
      </c>
      <c r="AM727" s="2">
        <f>IFERROR(S727/D727,"")</f>
        <v/>
      </c>
      <c r="AN727" s="2">
        <f>IFERROR(T727/E727,"")</f>
        <v/>
      </c>
      <c r="AO727" s="2">
        <f>IFERROR(U727/F727,"")</f>
        <v/>
      </c>
    </row>
    <row r="728">
      <c r="B728">
        <f>IF($A728="","",IFERROR(INDEX('[AQ_2020.xlsx]原始数据'!$B:$B,MATCH($A728,'[AQ_2020.xlsx]原始数据'!$A:$A,0)),""))</f>
        <v/>
      </c>
      <c r="C728">
        <f>IF($A728="","",IFERROR(INDEX('[AQ_2021.xlsx]原始数据'!$B:$B,MATCH($A728,'[AQ_2021.xlsx]原始数据'!$A:$A,0)),""))</f>
        <v/>
      </c>
      <c r="D728">
        <f>IF($A728="","",IFERROR(INDEX('[AQ_2022.xlsx]原始数据'!$B:$B,MATCH($A728,'[AQ_2022.xlsx]原始数据'!$A:$A,0)),""))</f>
        <v/>
      </c>
      <c r="E728">
        <f>IF($A728="","",IFERROR(INDEX('[AQ_2023.xlsx]原始数据'!$B:$B,MATCH($A728,'[AQ_2023.xlsx]原始数据'!$A:$A,0)),""))</f>
        <v/>
      </c>
      <c r="F728">
        <f>IF($A728="","",IFERROR(INDEX('[AQ_2024.xlsx]原始数据'!$B:$B,MATCH($A728,'[AQ_2024.xlsx]原始数据'!$A:$A,0)),""))</f>
        <v/>
      </c>
      <c r="G728">
        <f>IF($A728="","",IFERROR(INDEX('[AQ_2020.xlsx]原始数据'!$C:$C,MATCH($A728,'[AQ_2020.xlsx]原始数据'!$A:$A,0)),""))</f>
        <v/>
      </c>
      <c r="H728">
        <f>IF($A728="","",IFERROR(INDEX('[AQ_2021.xlsx]原始数据'!$C:$C,MATCH($A728,'[AQ_2021.xlsx]原始数据'!$A:$A,0)),""))</f>
        <v/>
      </c>
      <c r="I728">
        <f>IF($A728="","",IFERROR(INDEX('[AQ_2022.xlsx]原始数据'!$C:$C,MATCH($A728,'[AQ_2022.xlsx]原始数据'!$A:$A,0)),""))</f>
        <v/>
      </c>
      <c r="J728">
        <f>IF($A728="","",IFERROR(INDEX('[AQ_2023.xlsx]原始数据'!$C:$C,MATCH($A728,'[AQ_2023.xlsx]原始数据'!$A:$A,0)),""))</f>
        <v/>
      </c>
      <c r="K728">
        <f>IF($A728="","",IFERROR(INDEX('[AQ_2024.xlsx]原始数据'!$C:$C,MATCH($A728,'[AQ_2024.xlsx]原始数据'!$A:$A,0)),""))</f>
        <v/>
      </c>
      <c r="L728">
        <f>IF($A728="","",IFERROR(INDEX('[AQ_2020.xlsx]原始数据'!$D:$D,MATCH($A728,'[AQ_2020.xlsx]原始数据'!$A:$A,0)),""))</f>
        <v/>
      </c>
      <c r="M728">
        <f>IF($A728="","",IFERROR(INDEX('[AQ_2021.xlsx]原始数据'!$D:$D,MATCH($A728,'[AQ_2021.xlsx]原始数据'!$A:$A,0)),""))</f>
        <v/>
      </c>
      <c r="N728">
        <f>IF($A728="","",IFERROR(INDEX('[AQ_2022.xlsx]原始数据'!$D:$D,MATCH($A728,'[AQ_2022.xlsx]原始数据'!$A:$A,0)),""))</f>
        <v/>
      </c>
      <c r="O728">
        <f>IF($A728="","",IFERROR(INDEX('[AQ_2023.xlsx]原始数据'!$D:$D,MATCH($A728,'[AQ_2023.xlsx]原始数据'!$A:$A,0)),""))</f>
        <v/>
      </c>
      <c r="P728">
        <f>IF($A728="","",IFERROR(INDEX('[AQ_2024.xlsx]原始数据'!$D:$D,MATCH($A728,'[AQ_2024.xlsx]原始数据'!$A:$A,0)),""))</f>
        <v/>
      </c>
      <c r="Q728">
        <f>IF($A728="","",IFERROR(INDEX('[AQ_2020.xlsx]原始数据'!$E:$E,MATCH($A728,'[AQ_2020.xlsx]原始数据'!$A:$A,0)),""))</f>
        <v/>
      </c>
      <c r="R728">
        <f>IF($A728="","",IFERROR(INDEX('[AQ_2021.xlsx]原始数据'!$E:$E,MATCH($A728,'[AQ_2021.xlsx]原始数据'!$A:$A,0)),""))</f>
        <v/>
      </c>
      <c r="S728">
        <f>IF($A728="","",IFERROR(INDEX('[AQ_2022.xlsx]原始数据'!$E:$E,MATCH($A728,'[AQ_2022.xlsx]原始数据'!$A:$A,0)),""))</f>
        <v/>
      </c>
      <c r="T728">
        <f>IF($A728="","",IFERROR(INDEX('[AQ_2023.xlsx]原始数据'!$E:$E,MATCH($A728,'[AQ_2023.xlsx]原始数据'!$A:$A,0)),""))</f>
        <v/>
      </c>
      <c r="U728">
        <f>IF($A728="","",IFERROR(INDEX('[AQ_2024.xlsx]原始数据'!$E:$E,MATCH($A728,'[AQ_2024.xlsx]原始数据'!$A:$A,0)),""))</f>
        <v/>
      </c>
      <c r="V728">
        <f>IF($A728="","",IFERROR(INDEX('[AQ_2020.xlsx]原始数据'!$F:$F,MATCH($A728,'[AQ_2020.xlsx]原始数据'!$A:$A,0)),""))</f>
        <v/>
      </c>
      <c r="W728">
        <f>IF($A728="","",IFERROR(INDEX('[AQ_2021.xlsx]原始数据'!$F:$F,MATCH($A728,'[AQ_2021.xlsx]原始数据'!$A:$A,0)),""))</f>
        <v/>
      </c>
      <c r="X728">
        <f>IF($A728="","",IFERROR(INDEX('[AQ_2022.xlsx]原始数据'!$F:$F,MATCH($A728,'[AQ_2022.xlsx]原始数据'!$A:$A,0)),""))</f>
        <v/>
      </c>
      <c r="Y728">
        <f>IF($A728="","",IFERROR(INDEX('[AQ_2023.xlsx]原始数据'!$F:$F,MATCH($A728,'[AQ_2023.xlsx]原始数据'!$A:$A,0)),""))</f>
        <v/>
      </c>
      <c r="Z728">
        <f>IF($A728="","",IFERROR(INDEX('[AQ_2024.xlsx]原始数据'!$F:$F,MATCH($A728,'[AQ_2024.xlsx]原始数据'!$A:$A,0)),""))</f>
        <v/>
      </c>
      <c r="AA728" s="2">
        <f>IFERROR(G728/B728,"")</f>
        <v/>
      </c>
      <c r="AB728" s="2">
        <f>IFERROR(H728/C728,"")</f>
        <v/>
      </c>
      <c r="AC728" s="2">
        <f>IFERROR(I728/D728,"")</f>
        <v/>
      </c>
      <c r="AD728" s="2">
        <f>IFERROR(J728/E728,"")</f>
        <v/>
      </c>
      <c r="AE728" s="2">
        <f>IFERROR(K728/F728,"")</f>
        <v/>
      </c>
      <c r="AF728" s="2">
        <f>IFERROR(L728/B728,"")</f>
        <v/>
      </c>
      <c r="AG728" s="2">
        <f>IFERROR(M728/C728,"")</f>
        <v/>
      </c>
      <c r="AH728" s="2">
        <f>IFERROR(N728/D728,"")</f>
        <v/>
      </c>
      <c r="AI728" s="2">
        <f>IFERROR(O728/E728,"")</f>
        <v/>
      </c>
      <c r="AJ728" s="2">
        <f>IFERROR(P728/F728,"")</f>
        <v/>
      </c>
      <c r="AK728" s="2">
        <f>IFERROR(Q728/B728,"")</f>
        <v/>
      </c>
      <c r="AL728" s="2">
        <f>IFERROR(R728/C728,"")</f>
        <v/>
      </c>
      <c r="AM728" s="2">
        <f>IFERROR(S728/D728,"")</f>
        <v/>
      </c>
      <c r="AN728" s="2">
        <f>IFERROR(T728/E728,"")</f>
        <v/>
      </c>
      <c r="AO728" s="2">
        <f>IFERROR(U728/F728,"")</f>
        <v/>
      </c>
    </row>
    <row r="729">
      <c r="B729">
        <f>IF($A729="","",IFERROR(INDEX('[AQ_2020.xlsx]原始数据'!$B:$B,MATCH($A729,'[AQ_2020.xlsx]原始数据'!$A:$A,0)),""))</f>
        <v/>
      </c>
      <c r="C729">
        <f>IF($A729="","",IFERROR(INDEX('[AQ_2021.xlsx]原始数据'!$B:$B,MATCH($A729,'[AQ_2021.xlsx]原始数据'!$A:$A,0)),""))</f>
        <v/>
      </c>
      <c r="D729">
        <f>IF($A729="","",IFERROR(INDEX('[AQ_2022.xlsx]原始数据'!$B:$B,MATCH($A729,'[AQ_2022.xlsx]原始数据'!$A:$A,0)),""))</f>
        <v/>
      </c>
      <c r="E729">
        <f>IF($A729="","",IFERROR(INDEX('[AQ_2023.xlsx]原始数据'!$B:$B,MATCH($A729,'[AQ_2023.xlsx]原始数据'!$A:$A,0)),""))</f>
        <v/>
      </c>
      <c r="F729">
        <f>IF($A729="","",IFERROR(INDEX('[AQ_2024.xlsx]原始数据'!$B:$B,MATCH($A729,'[AQ_2024.xlsx]原始数据'!$A:$A,0)),""))</f>
        <v/>
      </c>
      <c r="G729">
        <f>IF($A729="","",IFERROR(INDEX('[AQ_2020.xlsx]原始数据'!$C:$C,MATCH($A729,'[AQ_2020.xlsx]原始数据'!$A:$A,0)),""))</f>
        <v/>
      </c>
      <c r="H729">
        <f>IF($A729="","",IFERROR(INDEX('[AQ_2021.xlsx]原始数据'!$C:$C,MATCH($A729,'[AQ_2021.xlsx]原始数据'!$A:$A,0)),""))</f>
        <v/>
      </c>
      <c r="I729">
        <f>IF($A729="","",IFERROR(INDEX('[AQ_2022.xlsx]原始数据'!$C:$C,MATCH($A729,'[AQ_2022.xlsx]原始数据'!$A:$A,0)),""))</f>
        <v/>
      </c>
      <c r="J729">
        <f>IF($A729="","",IFERROR(INDEX('[AQ_2023.xlsx]原始数据'!$C:$C,MATCH($A729,'[AQ_2023.xlsx]原始数据'!$A:$A,0)),""))</f>
        <v/>
      </c>
      <c r="K729">
        <f>IF($A729="","",IFERROR(INDEX('[AQ_2024.xlsx]原始数据'!$C:$C,MATCH($A729,'[AQ_2024.xlsx]原始数据'!$A:$A,0)),""))</f>
        <v/>
      </c>
      <c r="L729">
        <f>IF($A729="","",IFERROR(INDEX('[AQ_2020.xlsx]原始数据'!$D:$D,MATCH($A729,'[AQ_2020.xlsx]原始数据'!$A:$A,0)),""))</f>
        <v/>
      </c>
      <c r="M729">
        <f>IF($A729="","",IFERROR(INDEX('[AQ_2021.xlsx]原始数据'!$D:$D,MATCH($A729,'[AQ_2021.xlsx]原始数据'!$A:$A,0)),""))</f>
        <v/>
      </c>
      <c r="N729">
        <f>IF($A729="","",IFERROR(INDEX('[AQ_2022.xlsx]原始数据'!$D:$D,MATCH($A729,'[AQ_2022.xlsx]原始数据'!$A:$A,0)),""))</f>
        <v/>
      </c>
      <c r="O729">
        <f>IF($A729="","",IFERROR(INDEX('[AQ_2023.xlsx]原始数据'!$D:$D,MATCH($A729,'[AQ_2023.xlsx]原始数据'!$A:$A,0)),""))</f>
        <v/>
      </c>
      <c r="P729">
        <f>IF($A729="","",IFERROR(INDEX('[AQ_2024.xlsx]原始数据'!$D:$D,MATCH($A729,'[AQ_2024.xlsx]原始数据'!$A:$A,0)),""))</f>
        <v/>
      </c>
      <c r="Q729">
        <f>IF($A729="","",IFERROR(INDEX('[AQ_2020.xlsx]原始数据'!$E:$E,MATCH($A729,'[AQ_2020.xlsx]原始数据'!$A:$A,0)),""))</f>
        <v/>
      </c>
      <c r="R729">
        <f>IF($A729="","",IFERROR(INDEX('[AQ_2021.xlsx]原始数据'!$E:$E,MATCH($A729,'[AQ_2021.xlsx]原始数据'!$A:$A,0)),""))</f>
        <v/>
      </c>
      <c r="S729">
        <f>IF($A729="","",IFERROR(INDEX('[AQ_2022.xlsx]原始数据'!$E:$E,MATCH($A729,'[AQ_2022.xlsx]原始数据'!$A:$A,0)),""))</f>
        <v/>
      </c>
      <c r="T729">
        <f>IF($A729="","",IFERROR(INDEX('[AQ_2023.xlsx]原始数据'!$E:$E,MATCH($A729,'[AQ_2023.xlsx]原始数据'!$A:$A,0)),""))</f>
        <v/>
      </c>
      <c r="U729">
        <f>IF($A729="","",IFERROR(INDEX('[AQ_2024.xlsx]原始数据'!$E:$E,MATCH($A729,'[AQ_2024.xlsx]原始数据'!$A:$A,0)),""))</f>
        <v/>
      </c>
      <c r="V729">
        <f>IF($A729="","",IFERROR(INDEX('[AQ_2020.xlsx]原始数据'!$F:$F,MATCH($A729,'[AQ_2020.xlsx]原始数据'!$A:$A,0)),""))</f>
        <v/>
      </c>
      <c r="W729">
        <f>IF($A729="","",IFERROR(INDEX('[AQ_2021.xlsx]原始数据'!$F:$F,MATCH($A729,'[AQ_2021.xlsx]原始数据'!$A:$A,0)),""))</f>
        <v/>
      </c>
      <c r="X729">
        <f>IF($A729="","",IFERROR(INDEX('[AQ_2022.xlsx]原始数据'!$F:$F,MATCH($A729,'[AQ_2022.xlsx]原始数据'!$A:$A,0)),""))</f>
        <v/>
      </c>
      <c r="Y729">
        <f>IF($A729="","",IFERROR(INDEX('[AQ_2023.xlsx]原始数据'!$F:$F,MATCH($A729,'[AQ_2023.xlsx]原始数据'!$A:$A,0)),""))</f>
        <v/>
      </c>
      <c r="Z729">
        <f>IF($A729="","",IFERROR(INDEX('[AQ_2024.xlsx]原始数据'!$F:$F,MATCH($A729,'[AQ_2024.xlsx]原始数据'!$A:$A,0)),""))</f>
        <v/>
      </c>
      <c r="AA729" s="2">
        <f>IFERROR(G729/B729,"")</f>
        <v/>
      </c>
      <c r="AB729" s="2">
        <f>IFERROR(H729/C729,"")</f>
        <v/>
      </c>
      <c r="AC729" s="2">
        <f>IFERROR(I729/D729,"")</f>
        <v/>
      </c>
      <c r="AD729" s="2">
        <f>IFERROR(J729/E729,"")</f>
        <v/>
      </c>
      <c r="AE729" s="2">
        <f>IFERROR(K729/F729,"")</f>
        <v/>
      </c>
      <c r="AF729" s="2">
        <f>IFERROR(L729/B729,"")</f>
        <v/>
      </c>
      <c r="AG729" s="2">
        <f>IFERROR(M729/C729,"")</f>
        <v/>
      </c>
      <c r="AH729" s="2">
        <f>IFERROR(N729/D729,"")</f>
        <v/>
      </c>
      <c r="AI729" s="2">
        <f>IFERROR(O729/E729,"")</f>
        <v/>
      </c>
      <c r="AJ729" s="2">
        <f>IFERROR(P729/F729,"")</f>
        <v/>
      </c>
      <c r="AK729" s="2">
        <f>IFERROR(Q729/B729,"")</f>
        <v/>
      </c>
      <c r="AL729" s="2">
        <f>IFERROR(R729/C729,"")</f>
        <v/>
      </c>
      <c r="AM729" s="2">
        <f>IFERROR(S729/D729,"")</f>
        <v/>
      </c>
      <c r="AN729" s="2">
        <f>IFERROR(T729/E729,"")</f>
        <v/>
      </c>
      <c r="AO729" s="2">
        <f>IFERROR(U729/F729,"")</f>
        <v/>
      </c>
    </row>
    <row r="730">
      <c r="B730">
        <f>IF($A730="","",IFERROR(INDEX('[AQ_2020.xlsx]原始数据'!$B:$B,MATCH($A730,'[AQ_2020.xlsx]原始数据'!$A:$A,0)),""))</f>
        <v/>
      </c>
      <c r="C730">
        <f>IF($A730="","",IFERROR(INDEX('[AQ_2021.xlsx]原始数据'!$B:$B,MATCH($A730,'[AQ_2021.xlsx]原始数据'!$A:$A,0)),""))</f>
        <v/>
      </c>
      <c r="D730">
        <f>IF($A730="","",IFERROR(INDEX('[AQ_2022.xlsx]原始数据'!$B:$B,MATCH($A730,'[AQ_2022.xlsx]原始数据'!$A:$A,0)),""))</f>
        <v/>
      </c>
      <c r="E730">
        <f>IF($A730="","",IFERROR(INDEX('[AQ_2023.xlsx]原始数据'!$B:$B,MATCH($A730,'[AQ_2023.xlsx]原始数据'!$A:$A,0)),""))</f>
        <v/>
      </c>
      <c r="F730">
        <f>IF($A730="","",IFERROR(INDEX('[AQ_2024.xlsx]原始数据'!$B:$B,MATCH($A730,'[AQ_2024.xlsx]原始数据'!$A:$A,0)),""))</f>
        <v/>
      </c>
      <c r="G730">
        <f>IF($A730="","",IFERROR(INDEX('[AQ_2020.xlsx]原始数据'!$C:$C,MATCH($A730,'[AQ_2020.xlsx]原始数据'!$A:$A,0)),""))</f>
        <v/>
      </c>
      <c r="H730">
        <f>IF($A730="","",IFERROR(INDEX('[AQ_2021.xlsx]原始数据'!$C:$C,MATCH($A730,'[AQ_2021.xlsx]原始数据'!$A:$A,0)),""))</f>
        <v/>
      </c>
      <c r="I730">
        <f>IF($A730="","",IFERROR(INDEX('[AQ_2022.xlsx]原始数据'!$C:$C,MATCH($A730,'[AQ_2022.xlsx]原始数据'!$A:$A,0)),""))</f>
        <v/>
      </c>
      <c r="J730">
        <f>IF($A730="","",IFERROR(INDEX('[AQ_2023.xlsx]原始数据'!$C:$C,MATCH($A730,'[AQ_2023.xlsx]原始数据'!$A:$A,0)),""))</f>
        <v/>
      </c>
      <c r="K730">
        <f>IF($A730="","",IFERROR(INDEX('[AQ_2024.xlsx]原始数据'!$C:$C,MATCH($A730,'[AQ_2024.xlsx]原始数据'!$A:$A,0)),""))</f>
        <v/>
      </c>
      <c r="L730">
        <f>IF($A730="","",IFERROR(INDEX('[AQ_2020.xlsx]原始数据'!$D:$D,MATCH($A730,'[AQ_2020.xlsx]原始数据'!$A:$A,0)),""))</f>
        <v/>
      </c>
      <c r="M730">
        <f>IF($A730="","",IFERROR(INDEX('[AQ_2021.xlsx]原始数据'!$D:$D,MATCH($A730,'[AQ_2021.xlsx]原始数据'!$A:$A,0)),""))</f>
        <v/>
      </c>
      <c r="N730">
        <f>IF($A730="","",IFERROR(INDEX('[AQ_2022.xlsx]原始数据'!$D:$D,MATCH($A730,'[AQ_2022.xlsx]原始数据'!$A:$A,0)),""))</f>
        <v/>
      </c>
      <c r="O730">
        <f>IF($A730="","",IFERROR(INDEX('[AQ_2023.xlsx]原始数据'!$D:$D,MATCH($A730,'[AQ_2023.xlsx]原始数据'!$A:$A,0)),""))</f>
        <v/>
      </c>
      <c r="P730">
        <f>IF($A730="","",IFERROR(INDEX('[AQ_2024.xlsx]原始数据'!$D:$D,MATCH($A730,'[AQ_2024.xlsx]原始数据'!$A:$A,0)),""))</f>
        <v/>
      </c>
      <c r="Q730">
        <f>IF($A730="","",IFERROR(INDEX('[AQ_2020.xlsx]原始数据'!$E:$E,MATCH($A730,'[AQ_2020.xlsx]原始数据'!$A:$A,0)),""))</f>
        <v/>
      </c>
      <c r="R730">
        <f>IF($A730="","",IFERROR(INDEX('[AQ_2021.xlsx]原始数据'!$E:$E,MATCH($A730,'[AQ_2021.xlsx]原始数据'!$A:$A,0)),""))</f>
        <v/>
      </c>
      <c r="S730">
        <f>IF($A730="","",IFERROR(INDEX('[AQ_2022.xlsx]原始数据'!$E:$E,MATCH($A730,'[AQ_2022.xlsx]原始数据'!$A:$A,0)),""))</f>
        <v/>
      </c>
      <c r="T730">
        <f>IF($A730="","",IFERROR(INDEX('[AQ_2023.xlsx]原始数据'!$E:$E,MATCH($A730,'[AQ_2023.xlsx]原始数据'!$A:$A,0)),""))</f>
        <v/>
      </c>
      <c r="U730">
        <f>IF($A730="","",IFERROR(INDEX('[AQ_2024.xlsx]原始数据'!$E:$E,MATCH($A730,'[AQ_2024.xlsx]原始数据'!$A:$A,0)),""))</f>
        <v/>
      </c>
      <c r="V730">
        <f>IF($A730="","",IFERROR(INDEX('[AQ_2020.xlsx]原始数据'!$F:$F,MATCH($A730,'[AQ_2020.xlsx]原始数据'!$A:$A,0)),""))</f>
        <v/>
      </c>
      <c r="W730">
        <f>IF($A730="","",IFERROR(INDEX('[AQ_2021.xlsx]原始数据'!$F:$F,MATCH($A730,'[AQ_2021.xlsx]原始数据'!$A:$A,0)),""))</f>
        <v/>
      </c>
      <c r="X730">
        <f>IF($A730="","",IFERROR(INDEX('[AQ_2022.xlsx]原始数据'!$F:$F,MATCH($A730,'[AQ_2022.xlsx]原始数据'!$A:$A,0)),""))</f>
        <v/>
      </c>
      <c r="Y730">
        <f>IF($A730="","",IFERROR(INDEX('[AQ_2023.xlsx]原始数据'!$F:$F,MATCH($A730,'[AQ_2023.xlsx]原始数据'!$A:$A,0)),""))</f>
        <v/>
      </c>
      <c r="Z730">
        <f>IF($A730="","",IFERROR(INDEX('[AQ_2024.xlsx]原始数据'!$F:$F,MATCH($A730,'[AQ_2024.xlsx]原始数据'!$A:$A,0)),""))</f>
        <v/>
      </c>
      <c r="AA730" s="2">
        <f>IFERROR(G730/B730,"")</f>
        <v/>
      </c>
      <c r="AB730" s="2">
        <f>IFERROR(H730/C730,"")</f>
        <v/>
      </c>
      <c r="AC730" s="2">
        <f>IFERROR(I730/D730,"")</f>
        <v/>
      </c>
      <c r="AD730" s="2">
        <f>IFERROR(J730/E730,"")</f>
        <v/>
      </c>
      <c r="AE730" s="2">
        <f>IFERROR(K730/F730,"")</f>
        <v/>
      </c>
      <c r="AF730" s="2">
        <f>IFERROR(L730/B730,"")</f>
        <v/>
      </c>
      <c r="AG730" s="2">
        <f>IFERROR(M730/C730,"")</f>
        <v/>
      </c>
      <c r="AH730" s="2">
        <f>IFERROR(N730/D730,"")</f>
        <v/>
      </c>
      <c r="AI730" s="2">
        <f>IFERROR(O730/E730,"")</f>
        <v/>
      </c>
      <c r="AJ730" s="2">
        <f>IFERROR(P730/F730,"")</f>
        <v/>
      </c>
      <c r="AK730" s="2">
        <f>IFERROR(Q730/B730,"")</f>
        <v/>
      </c>
      <c r="AL730" s="2">
        <f>IFERROR(R730/C730,"")</f>
        <v/>
      </c>
      <c r="AM730" s="2">
        <f>IFERROR(S730/D730,"")</f>
        <v/>
      </c>
      <c r="AN730" s="2">
        <f>IFERROR(T730/E730,"")</f>
        <v/>
      </c>
      <c r="AO730" s="2">
        <f>IFERROR(U730/F730,"")</f>
        <v/>
      </c>
    </row>
    <row r="731">
      <c r="B731">
        <f>IF($A731="","",IFERROR(INDEX('[AQ_2020.xlsx]原始数据'!$B:$B,MATCH($A731,'[AQ_2020.xlsx]原始数据'!$A:$A,0)),""))</f>
        <v/>
      </c>
      <c r="C731">
        <f>IF($A731="","",IFERROR(INDEX('[AQ_2021.xlsx]原始数据'!$B:$B,MATCH($A731,'[AQ_2021.xlsx]原始数据'!$A:$A,0)),""))</f>
        <v/>
      </c>
      <c r="D731">
        <f>IF($A731="","",IFERROR(INDEX('[AQ_2022.xlsx]原始数据'!$B:$B,MATCH($A731,'[AQ_2022.xlsx]原始数据'!$A:$A,0)),""))</f>
        <v/>
      </c>
      <c r="E731">
        <f>IF($A731="","",IFERROR(INDEX('[AQ_2023.xlsx]原始数据'!$B:$B,MATCH($A731,'[AQ_2023.xlsx]原始数据'!$A:$A,0)),""))</f>
        <v/>
      </c>
      <c r="F731">
        <f>IF($A731="","",IFERROR(INDEX('[AQ_2024.xlsx]原始数据'!$B:$B,MATCH($A731,'[AQ_2024.xlsx]原始数据'!$A:$A,0)),""))</f>
        <v/>
      </c>
      <c r="G731">
        <f>IF($A731="","",IFERROR(INDEX('[AQ_2020.xlsx]原始数据'!$C:$C,MATCH($A731,'[AQ_2020.xlsx]原始数据'!$A:$A,0)),""))</f>
        <v/>
      </c>
      <c r="H731">
        <f>IF($A731="","",IFERROR(INDEX('[AQ_2021.xlsx]原始数据'!$C:$C,MATCH($A731,'[AQ_2021.xlsx]原始数据'!$A:$A,0)),""))</f>
        <v/>
      </c>
      <c r="I731">
        <f>IF($A731="","",IFERROR(INDEX('[AQ_2022.xlsx]原始数据'!$C:$C,MATCH($A731,'[AQ_2022.xlsx]原始数据'!$A:$A,0)),""))</f>
        <v/>
      </c>
      <c r="J731">
        <f>IF($A731="","",IFERROR(INDEX('[AQ_2023.xlsx]原始数据'!$C:$C,MATCH($A731,'[AQ_2023.xlsx]原始数据'!$A:$A,0)),""))</f>
        <v/>
      </c>
      <c r="K731">
        <f>IF($A731="","",IFERROR(INDEX('[AQ_2024.xlsx]原始数据'!$C:$C,MATCH($A731,'[AQ_2024.xlsx]原始数据'!$A:$A,0)),""))</f>
        <v/>
      </c>
      <c r="L731">
        <f>IF($A731="","",IFERROR(INDEX('[AQ_2020.xlsx]原始数据'!$D:$D,MATCH($A731,'[AQ_2020.xlsx]原始数据'!$A:$A,0)),""))</f>
        <v/>
      </c>
      <c r="M731">
        <f>IF($A731="","",IFERROR(INDEX('[AQ_2021.xlsx]原始数据'!$D:$D,MATCH($A731,'[AQ_2021.xlsx]原始数据'!$A:$A,0)),""))</f>
        <v/>
      </c>
      <c r="N731">
        <f>IF($A731="","",IFERROR(INDEX('[AQ_2022.xlsx]原始数据'!$D:$D,MATCH($A731,'[AQ_2022.xlsx]原始数据'!$A:$A,0)),""))</f>
        <v/>
      </c>
      <c r="O731">
        <f>IF($A731="","",IFERROR(INDEX('[AQ_2023.xlsx]原始数据'!$D:$D,MATCH($A731,'[AQ_2023.xlsx]原始数据'!$A:$A,0)),""))</f>
        <v/>
      </c>
      <c r="P731">
        <f>IF($A731="","",IFERROR(INDEX('[AQ_2024.xlsx]原始数据'!$D:$D,MATCH($A731,'[AQ_2024.xlsx]原始数据'!$A:$A,0)),""))</f>
        <v/>
      </c>
      <c r="Q731">
        <f>IF($A731="","",IFERROR(INDEX('[AQ_2020.xlsx]原始数据'!$E:$E,MATCH($A731,'[AQ_2020.xlsx]原始数据'!$A:$A,0)),""))</f>
        <v/>
      </c>
      <c r="R731">
        <f>IF($A731="","",IFERROR(INDEX('[AQ_2021.xlsx]原始数据'!$E:$E,MATCH($A731,'[AQ_2021.xlsx]原始数据'!$A:$A,0)),""))</f>
        <v/>
      </c>
      <c r="S731">
        <f>IF($A731="","",IFERROR(INDEX('[AQ_2022.xlsx]原始数据'!$E:$E,MATCH($A731,'[AQ_2022.xlsx]原始数据'!$A:$A,0)),""))</f>
        <v/>
      </c>
      <c r="T731">
        <f>IF($A731="","",IFERROR(INDEX('[AQ_2023.xlsx]原始数据'!$E:$E,MATCH($A731,'[AQ_2023.xlsx]原始数据'!$A:$A,0)),""))</f>
        <v/>
      </c>
      <c r="U731">
        <f>IF($A731="","",IFERROR(INDEX('[AQ_2024.xlsx]原始数据'!$E:$E,MATCH($A731,'[AQ_2024.xlsx]原始数据'!$A:$A,0)),""))</f>
        <v/>
      </c>
      <c r="V731">
        <f>IF($A731="","",IFERROR(INDEX('[AQ_2020.xlsx]原始数据'!$F:$F,MATCH($A731,'[AQ_2020.xlsx]原始数据'!$A:$A,0)),""))</f>
        <v/>
      </c>
      <c r="W731">
        <f>IF($A731="","",IFERROR(INDEX('[AQ_2021.xlsx]原始数据'!$F:$F,MATCH($A731,'[AQ_2021.xlsx]原始数据'!$A:$A,0)),""))</f>
        <v/>
      </c>
      <c r="X731">
        <f>IF($A731="","",IFERROR(INDEX('[AQ_2022.xlsx]原始数据'!$F:$F,MATCH($A731,'[AQ_2022.xlsx]原始数据'!$A:$A,0)),""))</f>
        <v/>
      </c>
      <c r="Y731">
        <f>IF($A731="","",IFERROR(INDEX('[AQ_2023.xlsx]原始数据'!$F:$F,MATCH($A731,'[AQ_2023.xlsx]原始数据'!$A:$A,0)),""))</f>
        <v/>
      </c>
      <c r="Z731">
        <f>IF($A731="","",IFERROR(INDEX('[AQ_2024.xlsx]原始数据'!$F:$F,MATCH($A731,'[AQ_2024.xlsx]原始数据'!$A:$A,0)),""))</f>
        <v/>
      </c>
      <c r="AA731" s="2">
        <f>IFERROR(G731/B731,"")</f>
        <v/>
      </c>
      <c r="AB731" s="2">
        <f>IFERROR(H731/C731,"")</f>
        <v/>
      </c>
      <c r="AC731" s="2">
        <f>IFERROR(I731/D731,"")</f>
        <v/>
      </c>
      <c r="AD731" s="2">
        <f>IFERROR(J731/E731,"")</f>
        <v/>
      </c>
      <c r="AE731" s="2">
        <f>IFERROR(K731/F731,"")</f>
        <v/>
      </c>
      <c r="AF731" s="2">
        <f>IFERROR(L731/B731,"")</f>
        <v/>
      </c>
      <c r="AG731" s="2">
        <f>IFERROR(M731/C731,"")</f>
        <v/>
      </c>
      <c r="AH731" s="2">
        <f>IFERROR(N731/D731,"")</f>
        <v/>
      </c>
      <c r="AI731" s="2">
        <f>IFERROR(O731/E731,"")</f>
        <v/>
      </c>
      <c r="AJ731" s="2">
        <f>IFERROR(P731/F731,"")</f>
        <v/>
      </c>
      <c r="AK731" s="2">
        <f>IFERROR(Q731/B731,"")</f>
        <v/>
      </c>
      <c r="AL731" s="2">
        <f>IFERROR(R731/C731,"")</f>
        <v/>
      </c>
      <c r="AM731" s="2">
        <f>IFERROR(S731/D731,"")</f>
        <v/>
      </c>
      <c r="AN731" s="2">
        <f>IFERROR(T731/E731,"")</f>
        <v/>
      </c>
      <c r="AO731" s="2">
        <f>IFERROR(U731/F731,"")</f>
        <v/>
      </c>
    </row>
    <row r="732">
      <c r="B732">
        <f>IF($A732="","",IFERROR(INDEX('[AQ_2020.xlsx]原始数据'!$B:$B,MATCH($A732,'[AQ_2020.xlsx]原始数据'!$A:$A,0)),""))</f>
        <v/>
      </c>
      <c r="C732">
        <f>IF($A732="","",IFERROR(INDEX('[AQ_2021.xlsx]原始数据'!$B:$B,MATCH($A732,'[AQ_2021.xlsx]原始数据'!$A:$A,0)),""))</f>
        <v/>
      </c>
      <c r="D732">
        <f>IF($A732="","",IFERROR(INDEX('[AQ_2022.xlsx]原始数据'!$B:$B,MATCH($A732,'[AQ_2022.xlsx]原始数据'!$A:$A,0)),""))</f>
        <v/>
      </c>
      <c r="E732">
        <f>IF($A732="","",IFERROR(INDEX('[AQ_2023.xlsx]原始数据'!$B:$B,MATCH($A732,'[AQ_2023.xlsx]原始数据'!$A:$A,0)),""))</f>
        <v/>
      </c>
      <c r="F732">
        <f>IF($A732="","",IFERROR(INDEX('[AQ_2024.xlsx]原始数据'!$B:$B,MATCH($A732,'[AQ_2024.xlsx]原始数据'!$A:$A,0)),""))</f>
        <v/>
      </c>
      <c r="G732">
        <f>IF($A732="","",IFERROR(INDEX('[AQ_2020.xlsx]原始数据'!$C:$C,MATCH($A732,'[AQ_2020.xlsx]原始数据'!$A:$A,0)),""))</f>
        <v/>
      </c>
      <c r="H732">
        <f>IF($A732="","",IFERROR(INDEX('[AQ_2021.xlsx]原始数据'!$C:$C,MATCH($A732,'[AQ_2021.xlsx]原始数据'!$A:$A,0)),""))</f>
        <v/>
      </c>
      <c r="I732">
        <f>IF($A732="","",IFERROR(INDEX('[AQ_2022.xlsx]原始数据'!$C:$C,MATCH($A732,'[AQ_2022.xlsx]原始数据'!$A:$A,0)),""))</f>
        <v/>
      </c>
      <c r="J732">
        <f>IF($A732="","",IFERROR(INDEX('[AQ_2023.xlsx]原始数据'!$C:$C,MATCH($A732,'[AQ_2023.xlsx]原始数据'!$A:$A,0)),""))</f>
        <v/>
      </c>
      <c r="K732">
        <f>IF($A732="","",IFERROR(INDEX('[AQ_2024.xlsx]原始数据'!$C:$C,MATCH($A732,'[AQ_2024.xlsx]原始数据'!$A:$A,0)),""))</f>
        <v/>
      </c>
      <c r="L732">
        <f>IF($A732="","",IFERROR(INDEX('[AQ_2020.xlsx]原始数据'!$D:$D,MATCH($A732,'[AQ_2020.xlsx]原始数据'!$A:$A,0)),""))</f>
        <v/>
      </c>
      <c r="M732">
        <f>IF($A732="","",IFERROR(INDEX('[AQ_2021.xlsx]原始数据'!$D:$D,MATCH($A732,'[AQ_2021.xlsx]原始数据'!$A:$A,0)),""))</f>
        <v/>
      </c>
      <c r="N732">
        <f>IF($A732="","",IFERROR(INDEX('[AQ_2022.xlsx]原始数据'!$D:$D,MATCH($A732,'[AQ_2022.xlsx]原始数据'!$A:$A,0)),""))</f>
        <v/>
      </c>
      <c r="O732">
        <f>IF($A732="","",IFERROR(INDEX('[AQ_2023.xlsx]原始数据'!$D:$D,MATCH($A732,'[AQ_2023.xlsx]原始数据'!$A:$A,0)),""))</f>
        <v/>
      </c>
      <c r="P732">
        <f>IF($A732="","",IFERROR(INDEX('[AQ_2024.xlsx]原始数据'!$D:$D,MATCH($A732,'[AQ_2024.xlsx]原始数据'!$A:$A,0)),""))</f>
        <v/>
      </c>
      <c r="Q732">
        <f>IF($A732="","",IFERROR(INDEX('[AQ_2020.xlsx]原始数据'!$E:$E,MATCH($A732,'[AQ_2020.xlsx]原始数据'!$A:$A,0)),""))</f>
        <v/>
      </c>
      <c r="R732">
        <f>IF($A732="","",IFERROR(INDEX('[AQ_2021.xlsx]原始数据'!$E:$E,MATCH($A732,'[AQ_2021.xlsx]原始数据'!$A:$A,0)),""))</f>
        <v/>
      </c>
      <c r="S732">
        <f>IF($A732="","",IFERROR(INDEX('[AQ_2022.xlsx]原始数据'!$E:$E,MATCH($A732,'[AQ_2022.xlsx]原始数据'!$A:$A,0)),""))</f>
        <v/>
      </c>
      <c r="T732">
        <f>IF($A732="","",IFERROR(INDEX('[AQ_2023.xlsx]原始数据'!$E:$E,MATCH($A732,'[AQ_2023.xlsx]原始数据'!$A:$A,0)),""))</f>
        <v/>
      </c>
      <c r="U732">
        <f>IF($A732="","",IFERROR(INDEX('[AQ_2024.xlsx]原始数据'!$E:$E,MATCH($A732,'[AQ_2024.xlsx]原始数据'!$A:$A,0)),""))</f>
        <v/>
      </c>
      <c r="V732">
        <f>IF($A732="","",IFERROR(INDEX('[AQ_2020.xlsx]原始数据'!$F:$F,MATCH($A732,'[AQ_2020.xlsx]原始数据'!$A:$A,0)),""))</f>
        <v/>
      </c>
      <c r="W732">
        <f>IF($A732="","",IFERROR(INDEX('[AQ_2021.xlsx]原始数据'!$F:$F,MATCH($A732,'[AQ_2021.xlsx]原始数据'!$A:$A,0)),""))</f>
        <v/>
      </c>
      <c r="X732">
        <f>IF($A732="","",IFERROR(INDEX('[AQ_2022.xlsx]原始数据'!$F:$F,MATCH($A732,'[AQ_2022.xlsx]原始数据'!$A:$A,0)),""))</f>
        <v/>
      </c>
      <c r="Y732">
        <f>IF($A732="","",IFERROR(INDEX('[AQ_2023.xlsx]原始数据'!$F:$F,MATCH($A732,'[AQ_2023.xlsx]原始数据'!$A:$A,0)),""))</f>
        <v/>
      </c>
      <c r="Z732">
        <f>IF($A732="","",IFERROR(INDEX('[AQ_2024.xlsx]原始数据'!$F:$F,MATCH($A732,'[AQ_2024.xlsx]原始数据'!$A:$A,0)),""))</f>
        <v/>
      </c>
      <c r="AA732" s="2">
        <f>IFERROR(G732/B732,"")</f>
        <v/>
      </c>
      <c r="AB732" s="2">
        <f>IFERROR(H732/C732,"")</f>
        <v/>
      </c>
      <c r="AC732" s="2">
        <f>IFERROR(I732/D732,"")</f>
        <v/>
      </c>
      <c r="AD732" s="2">
        <f>IFERROR(J732/E732,"")</f>
        <v/>
      </c>
      <c r="AE732" s="2">
        <f>IFERROR(K732/F732,"")</f>
        <v/>
      </c>
      <c r="AF732" s="2">
        <f>IFERROR(L732/B732,"")</f>
        <v/>
      </c>
      <c r="AG732" s="2">
        <f>IFERROR(M732/C732,"")</f>
        <v/>
      </c>
      <c r="AH732" s="2">
        <f>IFERROR(N732/D732,"")</f>
        <v/>
      </c>
      <c r="AI732" s="2">
        <f>IFERROR(O732/E732,"")</f>
        <v/>
      </c>
      <c r="AJ732" s="2">
        <f>IFERROR(P732/F732,"")</f>
        <v/>
      </c>
      <c r="AK732" s="2">
        <f>IFERROR(Q732/B732,"")</f>
        <v/>
      </c>
      <c r="AL732" s="2">
        <f>IFERROR(R732/C732,"")</f>
        <v/>
      </c>
      <c r="AM732" s="2">
        <f>IFERROR(S732/D732,"")</f>
        <v/>
      </c>
      <c r="AN732" s="2">
        <f>IFERROR(T732/E732,"")</f>
        <v/>
      </c>
      <c r="AO732" s="2">
        <f>IFERROR(U732/F732,"")</f>
        <v/>
      </c>
    </row>
    <row r="733">
      <c r="B733">
        <f>IF($A733="","",IFERROR(INDEX('[AQ_2020.xlsx]原始数据'!$B:$B,MATCH($A733,'[AQ_2020.xlsx]原始数据'!$A:$A,0)),""))</f>
        <v/>
      </c>
      <c r="C733">
        <f>IF($A733="","",IFERROR(INDEX('[AQ_2021.xlsx]原始数据'!$B:$B,MATCH($A733,'[AQ_2021.xlsx]原始数据'!$A:$A,0)),""))</f>
        <v/>
      </c>
      <c r="D733">
        <f>IF($A733="","",IFERROR(INDEX('[AQ_2022.xlsx]原始数据'!$B:$B,MATCH($A733,'[AQ_2022.xlsx]原始数据'!$A:$A,0)),""))</f>
        <v/>
      </c>
      <c r="E733">
        <f>IF($A733="","",IFERROR(INDEX('[AQ_2023.xlsx]原始数据'!$B:$B,MATCH($A733,'[AQ_2023.xlsx]原始数据'!$A:$A,0)),""))</f>
        <v/>
      </c>
      <c r="F733">
        <f>IF($A733="","",IFERROR(INDEX('[AQ_2024.xlsx]原始数据'!$B:$B,MATCH($A733,'[AQ_2024.xlsx]原始数据'!$A:$A,0)),""))</f>
        <v/>
      </c>
      <c r="G733">
        <f>IF($A733="","",IFERROR(INDEX('[AQ_2020.xlsx]原始数据'!$C:$C,MATCH($A733,'[AQ_2020.xlsx]原始数据'!$A:$A,0)),""))</f>
        <v/>
      </c>
      <c r="H733">
        <f>IF($A733="","",IFERROR(INDEX('[AQ_2021.xlsx]原始数据'!$C:$C,MATCH($A733,'[AQ_2021.xlsx]原始数据'!$A:$A,0)),""))</f>
        <v/>
      </c>
      <c r="I733">
        <f>IF($A733="","",IFERROR(INDEX('[AQ_2022.xlsx]原始数据'!$C:$C,MATCH($A733,'[AQ_2022.xlsx]原始数据'!$A:$A,0)),""))</f>
        <v/>
      </c>
      <c r="J733">
        <f>IF($A733="","",IFERROR(INDEX('[AQ_2023.xlsx]原始数据'!$C:$C,MATCH($A733,'[AQ_2023.xlsx]原始数据'!$A:$A,0)),""))</f>
        <v/>
      </c>
      <c r="K733">
        <f>IF($A733="","",IFERROR(INDEX('[AQ_2024.xlsx]原始数据'!$C:$C,MATCH($A733,'[AQ_2024.xlsx]原始数据'!$A:$A,0)),""))</f>
        <v/>
      </c>
      <c r="L733">
        <f>IF($A733="","",IFERROR(INDEX('[AQ_2020.xlsx]原始数据'!$D:$D,MATCH($A733,'[AQ_2020.xlsx]原始数据'!$A:$A,0)),""))</f>
        <v/>
      </c>
      <c r="M733">
        <f>IF($A733="","",IFERROR(INDEX('[AQ_2021.xlsx]原始数据'!$D:$D,MATCH($A733,'[AQ_2021.xlsx]原始数据'!$A:$A,0)),""))</f>
        <v/>
      </c>
      <c r="N733">
        <f>IF($A733="","",IFERROR(INDEX('[AQ_2022.xlsx]原始数据'!$D:$D,MATCH($A733,'[AQ_2022.xlsx]原始数据'!$A:$A,0)),""))</f>
        <v/>
      </c>
      <c r="O733">
        <f>IF($A733="","",IFERROR(INDEX('[AQ_2023.xlsx]原始数据'!$D:$D,MATCH($A733,'[AQ_2023.xlsx]原始数据'!$A:$A,0)),""))</f>
        <v/>
      </c>
      <c r="P733">
        <f>IF($A733="","",IFERROR(INDEX('[AQ_2024.xlsx]原始数据'!$D:$D,MATCH($A733,'[AQ_2024.xlsx]原始数据'!$A:$A,0)),""))</f>
        <v/>
      </c>
      <c r="Q733">
        <f>IF($A733="","",IFERROR(INDEX('[AQ_2020.xlsx]原始数据'!$E:$E,MATCH($A733,'[AQ_2020.xlsx]原始数据'!$A:$A,0)),""))</f>
        <v/>
      </c>
      <c r="R733">
        <f>IF($A733="","",IFERROR(INDEX('[AQ_2021.xlsx]原始数据'!$E:$E,MATCH($A733,'[AQ_2021.xlsx]原始数据'!$A:$A,0)),""))</f>
        <v/>
      </c>
      <c r="S733">
        <f>IF($A733="","",IFERROR(INDEX('[AQ_2022.xlsx]原始数据'!$E:$E,MATCH($A733,'[AQ_2022.xlsx]原始数据'!$A:$A,0)),""))</f>
        <v/>
      </c>
      <c r="T733">
        <f>IF($A733="","",IFERROR(INDEX('[AQ_2023.xlsx]原始数据'!$E:$E,MATCH($A733,'[AQ_2023.xlsx]原始数据'!$A:$A,0)),""))</f>
        <v/>
      </c>
      <c r="U733">
        <f>IF($A733="","",IFERROR(INDEX('[AQ_2024.xlsx]原始数据'!$E:$E,MATCH($A733,'[AQ_2024.xlsx]原始数据'!$A:$A,0)),""))</f>
        <v/>
      </c>
      <c r="V733">
        <f>IF($A733="","",IFERROR(INDEX('[AQ_2020.xlsx]原始数据'!$F:$F,MATCH($A733,'[AQ_2020.xlsx]原始数据'!$A:$A,0)),""))</f>
        <v/>
      </c>
      <c r="W733">
        <f>IF($A733="","",IFERROR(INDEX('[AQ_2021.xlsx]原始数据'!$F:$F,MATCH($A733,'[AQ_2021.xlsx]原始数据'!$A:$A,0)),""))</f>
        <v/>
      </c>
      <c r="X733">
        <f>IF($A733="","",IFERROR(INDEX('[AQ_2022.xlsx]原始数据'!$F:$F,MATCH($A733,'[AQ_2022.xlsx]原始数据'!$A:$A,0)),""))</f>
        <v/>
      </c>
      <c r="Y733">
        <f>IF($A733="","",IFERROR(INDEX('[AQ_2023.xlsx]原始数据'!$F:$F,MATCH($A733,'[AQ_2023.xlsx]原始数据'!$A:$A,0)),""))</f>
        <v/>
      </c>
      <c r="Z733">
        <f>IF($A733="","",IFERROR(INDEX('[AQ_2024.xlsx]原始数据'!$F:$F,MATCH($A733,'[AQ_2024.xlsx]原始数据'!$A:$A,0)),""))</f>
        <v/>
      </c>
      <c r="AA733" s="2">
        <f>IFERROR(G733/B733,"")</f>
        <v/>
      </c>
      <c r="AB733" s="2">
        <f>IFERROR(H733/C733,"")</f>
        <v/>
      </c>
      <c r="AC733" s="2">
        <f>IFERROR(I733/D733,"")</f>
        <v/>
      </c>
      <c r="AD733" s="2">
        <f>IFERROR(J733/E733,"")</f>
        <v/>
      </c>
      <c r="AE733" s="2">
        <f>IFERROR(K733/F733,"")</f>
        <v/>
      </c>
      <c r="AF733" s="2">
        <f>IFERROR(L733/B733,"")</f>
        <v/>
      </c>
      <c r="AG733" s="2">
        <f>IFERROR(M733/C733,"")</f>
        <v/>
      </c>
      <c r="AH733" s="2">
        <f>IFERROR(N733/D733,"")</f>
        <v/>
      </c>
      <c r="AI733" s="2">
        <f>IFERROR(O733/E733,"")</f>
        <v/>
      </c>
      <c r="AJ733" s="2">
        <f>IFERROR(P733/F733,"")</f>
        <v/>
      </c>
      <c r="AK733" s="2">
        <f>IFERROR(Q733/B733,"")</f>
        <v/>
      </c>
      <c r="AL733" s="2">
        <f>IFERROR(R733/C733,"")</f>
        <v/>
      </c>
      <c r="AM733" s="2">
        <f>IFERROR(S733/D733,"")</f>
        <v/>
      </c>
      <c r="AN733" s="2">
        <f>IFERROR(T733/E733,"")</f>
        <v/>
      </c>
      <c r="AO733" s="2">
        <f>IFERROR(U733/F733,"")</f>
        <v/>
      </c>
    </row>
    <row r="734">
      <c r="B734">
        <f>IF($A734="","",IFERROR(INDEX('[AQ_2020.xlsx]原始数据'!$B:$B,MATCH($A734,'[AQ_2020.xlsx]原始数据'!$A:$A,0)),""))</f>
        <v/>
      </c>
      <c r="C734">
        <f>IF($A734="","",IFERROR(INDEX('[AQ_2021.xlsx]原始数据'!$B:$B,MATCH($A734,'[AQ_2021.xlsx]原始数据'!$A:$A,0)),""))</f>
        <v/>
      </c>
      <c r="D734">
        <f>IF($A734="","",IFERROR(INDEX('[AQ_2022.xlsx]原始数据'!$B:$B,MATCH($A734,'[AQ_2022.xlsx]原始数据'!$A:$A,0)),""))</f>
        <v/>
      </c>
      <c r="E734">
        <f>IF($A734="","",IFERROR(INDEX('[AQ_2023.xlsx]原始数据'!$B:$B,MATCH($A734,'[AQ_2023.xlsx]原始数据'!$A:$A,0)),""))</f>
        <v/>
      </c>
      <c r="F734">
        <f>IF($A734="","",IFERROR(INDEX('[AQ_2024.xlsx]原始数据'!$B:$B,MATCH($A734,'[AQ_2024.xlsx]原始数据'!$A:$A,0)),""))</f>
        <v/>
      </c>
      <c r="G734">
        <f>IF($A734="","",IFERROR(INDEX('[AQ_2020.xlsx]原始数据'!$C:$C,MATCH($A734,'[AQ_2020.xlsx]原始数据'!$A:$A,0)),""))</f>
        <v/>
      </c>
      <c r="H734">
        <f>IF($A734="","",IFERROR(INDEX('[AQ_2021.xlsx]原始数据'!$C:$C,MATCH($A734,'[AQ_2021.xlsx]原始数据'!$A:$A,0)),""))</f>
        <v/>
      </c>
      <c r="I734">
        <f>IF($A734="","",IFERROR(INDEX('[AQ_2022.xlsx]原始数据'!$C:$C,MATCH($A734,'[AQ_2022.xlsx]原始数据'!$A:$A,0)),""))</f>
        <v/>
      </c>
      <c r="J734">
        <f>IF($A734="","",IFERROR(INDEX('[AQ_2023.xlsx]原始数据'!$C:$C,MATCH($A734,'[AQ_2023.xlsx]原始数据'!$A:$A,0)),""))</f>
        <v/>
      </c>
      <c r="K734">
        <f>IF($A734="","",IFERROR(INDEX('[AQ_2024.xlsx]原始数据'!$C:$C,MATCH($A734,'[AQ_2024.xlsx]原始数据'!$A:$A,0)),""))</f>
        <v/>
      </c>
      <c r="L734">
        <f>IF($A734="","",IFERROR(INDEX('[AQ_2020.xlsx]原始数据'!$D:$D,MATCH($A734,'[AQ_2020.xlsx]原始数据'!$A:$A,0)),""))</f>
        <v/>
      </c>
      <c r="M734">
        <f>IF($A734="","",IFERROR(INDEX('[AQ_2021.xlsx]原始数据'!$D:$D,MATCH($A734,'[AQ_2021.xlsx]原始数据'!$A:$A,0)),""))</f>
        <v/>
      </c>
      <c r="N734">
        <f>IF($A734="","",IFERROR(INDEX('[AQ_2022.xlsx]原始数据'!$D:$D,MATCH($A734,'[AQ_2022.xlsx]原始数据'!$A:$A,0)),""))</f>
        <v/>
      </c>
      <c r="O734">
        <f>IF($A734="","",IFERROR(INDEX('[AQ_2023.xlsx]原始数据'!$D:$D,MATCH($A734,'[AQ_2023.xlsx]原始数据'!$A:$A,0)),""))</f>
        <v/>
      </c>
      <c r="P734">
        <f>IF($A734="","",IFERROR(INDEX('[AQ_2024.xlsx]原始数据'!$D:$D,MATCH($A734,'[AQ_2024.xlsx]原始数据'!$A:$A,0)),""))</f>
        <v/>
      </c>
      <c r="Q734">
        <f>IF($A734="","",IFERROR(INDEX('[AQ_2020.xlsx]原始数据'!$E:$E,MATCH($A734,'[AQ_2020.xlsx]原始数据'!$A:$A,0)),""))</f>
        <v/>
      </c>
      <c r="R734">
        <f>IF($A734="","",IFERROR(INDEX('[AQ_2021.xlsx]原始数据'!$E:$E,MATCH($A734,'[AQ_2021.xlsx]原始数据'!$A:$A,0)),""))</f>
        <v/>
      </c>
      <c r="S734">
        <f>IF($A734="","",IFERROR(INDEX('[AQ_2022.xlsx]原始数据'!$E:$E,MATCH($A734,'[AQ_2022.xlsx]原始数据'!$A:$A,0)),""))</f>
        <v/>
      </c>
      <c r="T734">
        <f>IF($A734="","",IFERROR(INDEX('[AQ_2023.xlsx]原始数据'!$E:$E,MATCH($A734,'[AQ_2023.xlsx]原始数据'!$A:$A,0)),""))</f>
        <v/>
      </c>
      <c r="U734">
        <f>IF($A734="","",IFERROR(INDEX('[AQ_2024.xlsx]原始数据'!$E:$E,MATCH($A734,'[AQ_2024.xlsx]原始数据'!$A:$A,0)),""))</f>
        <v/>
      </c>
      <c r="V734">
        <f>IF($A734="","",IFERROR(INDEX('[AQ_2020.xlsx]原始数据'!$F:$F,MATCH($A734,'[AQ_2020.xlsx]原始数据'!$A:$A,0)),""))</f>
        <v/>
      </c>
      <c r="W734">
        <f>IF($A734="","",IFERROR(INDEX('[AQ_2021.xlsx]原始数据'!$F:$F,MATCH($A734,'[AQ_2021.xlsx]原始数据'!$A:$A,0)),""))</f>
        <v/>
      </c>
      <c r="X734">
        <f>IF($A734="","",IFERROR(INDEX('[AQ_2022.xlsx]原始数据'!$F:$F,MATCH($A734,'[AQ_2022.xlsx]原始数据'!$A:$A,0)),""))</f>
        <v/>
      </c>
      <c r="Y734">
        <f>IF($A734="","",IFERROR(INDEX('[AQ_2023.xlsx]原始数据'!$F:$F,MATCH($A734,'[AQ_2023.xlsx]原始数据'!$A:$A,0)),""))</f>
        <v/>
      </c>
      <c r="Z734">
        <f>IF($A734="","",IFERROR(INDEX('[AQ_2024.xlsx]原始数据'!$F:$F,MATCH($A734,'[AQ_2024.xlsx]原始数据'!$A:$A,0)),""))</f>
        <v/>
      </c>
      <c r="AA734" s="2">
        <f>IFERROR(G734/B734,"")</f>
        <v/>
      </c>
      <c r="AB734" s="2">
        <f>IFERROR(H734/C734,"")</f>
        <v/>
      </c>
      <c r="AC734" s="2">
        <f>IFERROR(I734/D734,"")</f>
        <v/>
      </c>
      <c r="AD734" s="2">
        <f>IFERROR(J734/E734,"")</f>
        <v/>
      </c>
      <c r="AE734" s="2">
        <f>IFERROR(K734/F734,"")</f>
        <v/>
      </c>
      <c r="AF734" s="2">
        <f>IFERROR(L734/B734,"")</f>
        <v/>
      </c>
      <c r="AG734" s="2">
        <f>IFERROR(M734/C734,"")</f>
        <v/>
      </c>
      <c r="AH734" s="2">
        <f>IFERROR(N734/D734,"")</f>
        <v/>
      </c>
      <c r="AI734" s="2">
        <f>IFERROR(O734/E734,"")</f>
        <v/>
      </c>
      <c r="AJ734" s="2">
        <f>IFERROR(P734/F734,"")</f>
        <v/>
      </c>
      <c r="AK734" s="2">
        <f>IFERROR(Q734/B734,"")</f>
        <v/>
      </c>
      <c r="AL734" s="2">
        <f>IFERROR(R734/C734,"")</f>
        <v/>
      </c>
      <c r="AM734" s="2">
        <f>IFERROR(S734/D734,"")</f>
        <v/>
      </c>
      <c r="AN734" s="2">
        <f>IFERROR(T734/E734,"")</f>
        <v/>
      </c>
      <c r="AO734" s="2">
        <f>IFERROR(U734/F734,"")</f>
        <v/>
      </c>
    </row>
    <row r="735">
      <c r="B735">
        <f>IF($A735="","",IFERROR(INDEX('[AQ_2020.xlsx]原始数据'!$B:$B,MATCH($A735,'[AQ_2020.xlsx]原始数据'!$A:$A,0)),""))</f>
        <v/>
      </c>
      <c r="C735">
        <f>IF($A735="","",IFERROR(INDEX('[AQ_2021.xlsx]原始数据'!$B:$B,MATCH($A735,'[AQ_2021.xlsx]原始数据'!$A:$A,0)),""))</f>
        <v/>
      </c>
      <c r="D735">
        <f>IF($A735="","",IFERROR(INDEX('[AQ_2022.xlsx]原始数据'!$B:$B,MATCH($A735,'[AQ_2022.xlsx]原始数据'!$A:$A,0)),""))</f>
        <v/>
      </c>
      <c r="E735">
        <f>IF($A735="","",IFERROR(INDEX('[AQ_2023.xlsx]原始数据'!$B:$B,MATCH($A735,'[AQ_2023.xlsx]原始数据'!$A:$A,0)),""))</f>
        <v/>
      </c>
      <c r="F735">
        <f>IF($A735="","",IFERROR(INDEX('[AQ_2024.xlsx]原始数据'!$B:$B,MATCH($A735,'[AQ_2024.xlsx]原始数据'!$A:$A,0)),""))</f>
        <v/>
      </c>
      <c r="G735">
        <f>IF($A735="","",IFERROR(INDEX('[AQ_2020.xlsx]原始数据'!$C:$C,MATCH($A735,'[AQ_2020.xlsx]原始数据'!$A:$A,0)),""))</f>
        <v/>
      </c>
      <c r="H735">
        <f>IF($A735="","",IFERROR(INDEX('[AQ_2021.xlsx]原始数据'!$C:$C,MATCH($A735,'[AQ_2021.xlsx]原始数据'!$A:$A,0)),""))</f>
        <v/>
      </c>
      <c r="I735">
        <f>IF($A735="","",IFERROR(INDEX('[AQ_2022.xlsx]原始数据'!$C:$C,MATCH($A735,'[AQ_2022.xlsx]原始数据'!$A:$A,0)),""))</f>
        <v/>
      </c>
      <c r="J735">
        <f>IF($A735="","",IFERROR(INDEX('[AQ_2023.xlsx]原始数据'!$C:$C,MATCH($A735,'[AQ_2023.xlsx]原始数据'!$A:$A,0)),""))</f>
        <v/>
      </c>
      <c r="K735">
        <f>IF($A735="","",IFERROR(INDEX('[AQ_2024.xlsx]原始数据'!$C:$C,MATCH($A735,'[AQ_2024.xlsx]原始数据'!$A:$A,0)),""))</f>
        <v/>
      </c>
      <c r="L735">
        <f>IF($A735="","",IFERROR(INDEX('[AQ_2020.xlsx]原始数据'!$D:$D,MATCH($A735,'[AQ_2020.xlsx]原始数据'!$A:$A,0)),""))</f>
        <v/>
      </c>
      <c r="M735">
        <f>IF($A735="","",IFERROR(INDEX('[AQ_2021.xlsx]原始数据'!$D:$D,MATCH($A735,'[AQ_2021.xlsx]原始数据'!$A:$A,0)),""))</f>
        <v/>
      </c>
      <c r="N735">
        <f>IF($A735="","",IFERROR(INDEX('[AQ_2022.xlsx]原始数据'!$D:$D,MATCH($A735,'[AQ_2022.xlsx]原始数据'!$A:$A,0)),""))</f>
        <v/>
      </c>
      <c r="O735">
        <f>IF($A735="","",IFERROR(INDEX('[AQ_2023.xlsx]原始数据'!$D:$D,MATCH($A735,'[AQ_2023.xlsx]原始数据'!$A:$A,0)),""))</f>
        <v/>
      </c>
      <c r="P735">
        <f>IF($A735="","",IFERROR(INDEX('[AQ_2024.xlsx]原始数据'!$D:$D,MATCH($A735,'[AQ_2024.xlsx]原始数据'!$A:$A,0)),""))</f>
        <v/>
      </c>
      <c r="Q735">
        <f>IF($A735="","",IFERROR(INDEX('[AQ_2020.xlsx]原始数据'!$E:$E,MATCH($A735,'[AQ_2020.xlsx]原始数据'!$A:$A,0)),""))</f>
        <v/>
      </c>
      <c r="R735">
        <f>IF($A735="","",IFERROR(INDEX('[AQ_2021.xlsx]原始数据'!$E:$E,MATCH($A735,'[AQ_2021.xlsx]原始数据'!$A:$A,0)),""))</f>
        <v/>
      </c>
      <c r="S735">
        <f>IF($A735="","",IFERROR(INDEX('[AQ_2022.xlsx]原始数据'!$E:$E,MATCH($A735,'[AQ_2022.xlsx]原始数据'!$A:$A,0)),""))</f>
        <v/>
      </c>
      <c r="T735">
        <f>IF($A735="","",IFERROR(INDEX('[AQ_2023.xlsx]原始数据'!$E:$E,MATCH($A735,'[AQ_2023.xlsx]原始数据'!$A:$A,0)),""))</f>
        <v/>
      </c>
      <c r="U735">
        <f>IF($A735="","",IFERROR(INDEX('[AQ_2024.xlsx]原始数据'!$E:$E,MATCH($A735,'[AQ_2024.xlsx]原始数据'!$A:$A,0)),""))</f>
        <v/>
      </c>
      <c r="V735">
        <f>IF($A735="","",IFERROR(INDEX('[AQ_2020.xlsx]原始数据'!$F:$F,MATCH($A735,'[AQ_2020.xlsx]原始数据'!$A:$A,0)),""))</f>
        <v/>
      </c>
      <c r="W735">
        <f>IF($A735="","",IFERROR(INDEX('[AQ_2021.xlsx]原始数据'!$F:$F,MATCH($A735,'[AQ_2021.xlsx]原始数据'!$A:$A,0)),""))</f>
        <v/>
      </c>
      <c r="X735">
        <f>IF($A735="","",IFERROR(INDEX('[AQ_2022.xlsx]原始数据'!$F:$F,MATCH($A735,'[AQ_2022.xlsx]原始数据'!$A:$A,0)),""))</f>
        <v/>
      </c>
      <c r="Y735">
        <f>IF($A735="","",IFERROR(INDEX('[AQ_2023.xlsx]原始数据'!$F:$F,MATCH($A735,'[AQ_2023.xlsx]原始数据'!$A:$A,0)),""))</f>
        <v/>
      </c>
      <c r="Z735">
        <f>IF($A735="","",IFERROR(INDEX('[AQ_2024.xlsx]原始数据'!$F:$F,MATCH($A735,'[AQ_2024.xlsx]原始数据'!$A:$A,0)),""))</f>
        <v/>
      </c>
      <c r="AA735" s="2">
        <f>IFERROR(G735/B735,"")</f>
        <v/>
      </c>
      <c r="AB735" s="2">
        <f>IFERROR(H735/C735,"")</f>
        <v/>
      </c>
      <c r="AC735" s="2">
        <f>IFERROR(I735/D735,"")</f>
        <v/>
      </c>
      <c r="AD735" s="2">
        <f>IFERROR(J735/E735,"")</f>
        <v/>
      </c>
      <c r="AE735" s="2">
        <f>IFERROR(K735/F735,"")</f>
        <v/>
      </c>
      <c r="AF735" s="2">
        <f>IFERROR(L735/B735,"")</f>
        <v/>
      </c>
      <c r="AG735" s="2">
        <f>IFERROR(M735/C735,"")</f>
        <v/>
      </c>
      <c r="AH735" s="2">
        <f>IFERROR(N735/D735,"")</f>
        <v/>
      </c>
      <c r="AI735" s="2">
        <f>IFERROR(O735/E735,"")</f>
        <v/>
      </c>
      <c r="AJ735" s="2">
        <f>IFERROR(P735/F735,"")</f>
        <v/>
      </c>
      <c r="AK735" s="2">
        <f>IFERROR(Q735/B735,"")</f>
        <v/>
      </c>
      <c r="AL735" s="2">
        <f>IFERROR(R735/C735,"")</f>
        <v/>
      </c>
      <c r="AM735" s="2">
        <f>IFERROR(S735/D735,"")</f>
        <v/>
      </c>
      <c r="AN735" s="2">
        <f>IFERROR(T735/E735,"")</f>
        <v/>
      </c>
      <c r="AO735" s="2">
        <f>IFERROR(U735/F735,"")</f>
        <v/>
      </c>
    </row>
    <row r="736">
      <c r="B736">
        <f>IF($A736="","",IFERROR(INDEX('[AQ_2020.xlsx]原始数据'!$B:$B,MATCH($A736,'[AQ_2020.xlsx]原始数据'!$A:$A,0)),""))</f>
        <v/>
      </c>
      <c r="C736">
        <f>IF($A736="","",IFERROR(INDEX('[AQ_2021.xlsx]原始数据'!$B:$B,MATCH($A736,'[AQ_2021.xlsx]原始数据'!$A:$A,0)),""))</f>
        <v/>
      </c>
      <c r="D736">
        <f>IF($A736="","",IFERROR(INDEX('[AQ_2022.xlsx]原始数据'!$B:$B,MATCH($A736,'[AQ_2022.xlsx]原始数据'!$A:$A,0)),""))</f>
        <v/>
      </c>
      <c r="E736">
        <f>IF($A736="","",IFERROR(INDEX('[AQ_2023.xlsx]原始数据'!$B:$B,MATCH($A736,'[AQ_2023.xlsx]原始数据'!$A:$A,0)),""))</f>
        <v/>
      </c>
      <c r="F736">
        <f>IF($A736="","",IFERROR(INDEX('[AQ_2024.xlsx]原始数据'!$B:$B,MATCH($A736,'[AQ_2024.xlsx]原始数据'!$A:$A,0)),""))</f>
        <v/>
      </c>
      <c r="G736">
        <f>IF($A736="","",IFERROR(INDEX('[AQ_2020.xlsx]原始数据'!$C:$C,MATCH($A736,'[AQ_2020.xlsx]原始数据'!$A:$A,0)),""))</f>
        <v/>
      </c>
      <c r="H736">
        <f>IF($A736="","",IFERROR(INDEX('[AQ_2021.xlsx]原始数据'!$C:$C,MATCH($A736,'[AQ_2021.xlsx]原始数据'!$A:$A,0)),""))</f>
        <v/>
      </c>
      <c r="I736">
        <f>IF($A736="","",IFERROR(INDEX('[AQ_2022.xlsx]原始数据'!$C:$C,MATCH($A736,'[AQ_2022.xlsx]原始数据'!$A:$A,0)),""))</f>
        <v/>
      </c>
      <c r="J736">
        <f>IF($A736="","",IFERROR(INDEX('[AQ_2023.xlsx]原始数据'!$C:$C,MATCH($A736,'[AQ_2023.xlsx]原始数据'!$A:$A,0)),""))</f>
        <v/>
      </c>
      <c r="K736">
        <f>IF($A736="","",IFERROR(INDEX('[AQ_2024.xlsx]原始数据'!$C:$C,MATCH($A736,'[AQ_2024.xlsx]原始数据'!$A:$A,0)),""))</f>
        <v/>
      </c>
      <c r="L736">
        <f>IF($A736="","",IFERROR(INDEX('[AQ_2020.xlsx]原始数据'!$D:$D,MATCH($A736,'[AQ_2020.xlsx]原始数据'!$A:$A,0)),""))</f>
        <v/>
      </c>
      <c r="M736">
        <f>IF($A736="","",IFERROR(INDEX('[AQ_2021.xlsx]原始数据'!$D:$D,MATCH($A736,'[AQ_2021.xlsx]原始数据'!$A:$A,0)),""))</f>
        <v/>
      </c>
      <c r="N736">
        <f>IF($A736="","",IFERROR(INDEX('[AQ_2022.xlsx]原始数据'!$D:$D,MATCH($A736,'[AQ_2022.xlsx]原始数据'!$A:$A,0)),""))</f>
        <v/>
      </c>
      <c r="O736">
        <f>IF($A736="","",IFERROR(INDEX('[AQ_2023.xlsx]原始数据'!$D:$D,MATCH($A736,'[AQ_2023.xlsx]原始数据'!$A:$A,0)),""))</f>
        <v/>
      </c>
      <c r="P736">
        <f>IF($A736="","",IFERROR(INDEX('[AQ_2024.xlsx]原始数据'!$D:$D,MATCH($A736,'[AQ_2024.xlsx]原始数据'!$A:$A,0)),""))</f>
        <v/>
      </c>
      <c r="Q736">
        <f>IF($A736="","",IFERROR(INDEX('[AQ_2020.xlsx]原始数据'!$E:$E,MATCH($A736,'[AQ_2020.xlsx]原始数据'!$A:$A,0)),""))</f>
        <v/>
      </c>
      <c r="R736">
        <f>IF($A736="","",IFERROR(INDEX('[AQ_2021.xlsx]原始数据'!$E:$E,MATCH($A736,'[AQ_2021.xlsx]原始数据'!$A:$A,0)),""))</f>
        <v/>
      </c>
      <c r="S736">
        <f>IF($A736="","",IFERROR(INDEX('[AQ_2022.xlsx]原始数据'!$E:$E,MATCH($A736,'[AQ_2022.xlsx]原始数据'!$A:$A,0)),""))</f>
        <v/>
      </c>
      <c r="T736">
        <f>IF($A736="","",IFERROR(INDEX('[AQ_2023.xlsx]原始数据'!$E:$E,MATCH($A736,'[AQ_2023.xlsx]原始数据'!$A:$A,0)),""))</f>
        <v/>
      </c>
      <c r="U736">
        <f>IF($A736="","",IFERROR(INDEX('[AQ_2024.xlsx]原始数据'!$E:$E,MATCH($A736,'[AQ_2024.xlsx]原始数据'!$A:$A,0)),""))</f>
        <v/>
      </c>
      <c r="V736">
        <f>IF($A736="","",IFERROR(INDEX('[AQ_2020.xlsx]原始数据'!$F:$F,MATCH($A736,'[AQ_2020.xlsx]原始数据'!$A:$A,0)),""))</f>
        <v/>
      </c>
      <c r="W736">
        <f>IF($A736="","",IFERROR(INDEX('[AQ_2021.xlsx]原始数据'!$F:$F,MATCH($A736,'[AQ_2021.xlsx]原始数据'!$A:$A,0)),""))</f>
        <v/>
      </c>
      <c r="X736">
        <f>IF($A736="","",IFERROR(INDEX('[AQ_2022.xlsx]原始数据'!$F:$F,MATCH($A736,'[AQ_2022.xlsx]原始数据'!$A:$A,0)),""))</f>
        <v/>
      </c>
      <c r="Y736">
        <f>IF($A736="","",IFERROR(INDEX('[AQ_2023.xlsx]原始数据'!$F:$F,MATCH($A736,'[AQ_2023.xlsx]原始数据'!$A:$A,0)),""))</f>
        <v/>
      </c>
      <c r="Z736">
        <f>IF($A736="","",IFERROR(INDEX('[AQ_2024.xlsx]原始数据'!$F:$F,MATCH($A736,'[AQ_2024.xlsx]原始数据'!$A:$A,0)),""))</f>
        <v/>
      </c>
      <c r="AA736" s="2">
        <f>IFERROR(G736/B736,"")</f>
        <v/>
      </c>
      <c r="AB736" s="2">
        <f>IFERROR(H736/C736,"")</f>
        <v/>
      </c>
      <c r="AC736" s="2">
        <f>IFERROR(I736/D736,"")</f>
        <v/>
      </c>
      <c r="AD736" s="2">
        <f>IFERROR(J736/E736,"")</f>
        <v/>
      </c>
      <c r="AE736" s="2">
        <f>IFERROR(K736/F736,"")</f>
        <v/>
      </c>
      <c r="AF736" s="2">
        <f>IFERROR(L736/B736,"")</f>
        <v/>
      </c>
      <c r="AG736" s="2">
        <f>IFERROR(M736/C736,"")</f>
        <v/>
      </c>
      <c r="AH736" s="2">
        <f>IFERROR(N736/D736,"")</f>
        <v/>
      </c>
      <c r="AI736" s="2">
        <f>IFERROR(O736/E736,"")</f>
        <v/>
      </c>
      <c r="AJ736" s="2">
        <f>IFERROR(P736/F736,"")</f>
        <v/>
      </c>
      <c r="AK736" s="2">
        <f>IFERROR(Q736/B736,"")</f>
        <v/>
      </c>
      <c r="AL736" s="2">
        <f>IFERROR(R736/C736,"")</f>
        <v/>
      </c>
      <c r="AM736" s="2">
        <f>IFERROR(S736/D736,"")</f>
        <v/>
      </c>
      <c r="AN736" s="2">
        <f>IFERROR(T736/E736,"")</f>
        <v/>
      </c>
      <c r="AO736" s="2">
        <f>IFERROR(U736/F736,"")</f>
        <v/>
      </c>
    </row>
    <row r="737">
      <c r="B737">
        <f>IF($A737="","",IFERROR(INDEX('[AQ_2020.xlsx]原始数据'!$B:$B,MATCH($A737,'[AQ_2020.xlsx]原始数据'!$A:$A,0)),""))</f>
        <v/>
      </c>
      <c r="C737">
        <f>IF($A737="","",IFERROR(INDEX('[AQ_2021.xlsx]原始数据'!$B:$B,MATCH($A737,'[AQ_2021.xlsx]原始数据'!$A:$A,0)),""))</f>
        <v/>
      </c>
      <c r="D737">
        <f>IF($A737="","",IFERROR(INDEX('[AQ_2022.xlsx]原始数据'!$B:$B,MATCH($A737,'[AQ_2022.xlsx]原始数据'!$A:$A,0)),""))</f>
        <v/>
      </c>
      <c r="E737">
        <f>IF($A737="","",IFERROR(INDEX('[AQ_2023.xlsx]原始数据'!$B:$B,MATCH($A737,'[AQ_2023.xlsx]原始数据'!$A:$A,0)),""))</f>
        <v/>
      </c>
      <c r="F737">
        <f>IF($A737="","",IFERROR(INDEX('[AQ_2024.xlsx]原始数据'!$B:$B,MATCH($A737,'[AQ_2024.xlsx]原始数据'!$A:$A,0)),""))</f>
        <v/>
      </c>
      <c r="G737">
        <f>IF($A737="","",IFERROR(INDEX('[AQ_2020.xlsx]原始数据'!$C:$C,MATCH($A737,'[AQ_2020.xlsx]原始数据'!$A:$A,0)),""))</f>
        <v/>
      </c>
      <c r="H737">
        <f>IF($A737="","",IFERROR(INDEX('[AQ_2021.xlsx]原始数据'!$C:$C,MATCH($A737,'[AQ_2021.xlsx]原始数据'!$A:$A,0)),""))</f>
        <v/>
      </c>
      <c r="I737">
        <f>IF($A737="","",IFERROR(INDEX('[AQ_2022.xlsx]原始数据'!$C:$C,MATCH($A737,'[AQ_2022.xlsx]原始数据'!$A:$A,0)),""))</f>
        <v/>
      </c>
      <c r="J737">
        <f>IF($A737="","",IFERROR(INDEX('[AQ_2023.xlsx]原始数据'!$C:$C,MATCH($A737,'[AQ_2023.xlsx]原始数据'!$A:$A,0)),""))</f>
        <v/>
      </c>
      <c r="K737">
        <f>IF($A737="","",IFERROR(INDEX('[AQ_2024.xlsx]原始数据'!$C:$C,MATCH($A737,'[AQ_2024.xlsx]原始数据'!$A:$A,0)),""))</f>
        <v/>
      </c>
      <c r="L737">
        <f>IF($A737="","",IFERROR(INDEX('[AQ_2020.xlsx]原始数据'!$D:$D,MATCH($A737,'[AQ_2020.xlsx]原始数据'!$A:$A,0)),""))</f>
        <v/>
      </c>
      <c r="M737">
        <f>IF($A737="","",IFERROR(INDEX('[AQ_2021.xlsx]原始数据'!$D:$D,MATCH($A737,'[AQ_2021.xlsx]原始数据'!$A:$A,0)),""))</f>
        <v/>
      </c>
      <c r="N737">
        <f>IF($A737="","",IFERROR(INDEX('[AQ_2022.xlsx]原始数据'!$D:$D,MATCH($A737,'[AQ_2022.xlsx]原始数据'!$A:$A,0)),""))</f>
        <v/>
      </c>
      <c r="O737">
        <f>IF($A737="","",IFERROR(INDEX('[AQ_2023.xlsx]原始数据'!$D:$D,MATCH($A737,'[AQ_2023.xlsx]原始数据'!$A:$A,0)),""))</f>
        <v/>
      </c>
      <c r="P737">
        <f>IF($A737="","",IFERROR(INDEX('[AQ_2024.xlsx]原始数据'!$D:$D,MATCH($A737,'[AQ_2024.xlsx]原始数据'!$A:$A,0)),""))</f>
        <v/>
      </c>
      <c r="Q737">
        <f>IF($A737="","",IFERROR(INDEX('[AQ_2020.xlsx]原始数据'!$E:$E,MATCH($A737,'[AQ_2020.xlsx]原始数据'!$A:$A,0)),""))</f>
        <v/>
      </c>
      <c r="R737">
        <f>IF($A737="","",IFERROR(INDEX('[AQ_2021.xlsx]原始数据'!$E:$E,MATCH($A737,'[AQ_2021.xlsx]原始数据'!$A:$A,0)),""))</f>
        <v/>
      </c>
      <c r="S737">
        <f>IF($A737="","",IFERROR(INDEX('[AQ_2022.xlsx]原始数据'!$E:$E,MATCH($A737,'[AQ_2022.xlsx]原始数据'!$A:$A,0)),""))</f>
        <v/>
      </c>
      <c r="T737">
        <f>IF($A737="","",IFERROR(INDEX('[AQ_2023.xlsx]原始数据'!$E:$E,MATCH($A737,'[AQ_2023.xlsx]原始数据'!$A:$A,0)),""))</f>
        <v/>
      </c>
      <c r="U737">
        <f>IF($A737="","",IFERROR(INDEX('[AQ_2024.xlsx]原始数据'!$E:$E,MATCH($A737,'[AQ_2024.xlsx]原始数据'!$A:$A,0)),""))</f>
        <v/>
      </c>
      <c r="V737">
        <f>IF($A737="","",IFERROR(INDEX('[AQ_2020.xlsx]原始数据'!$F:$F,MATCH($A737,'[AQ_2020.xlsx]原始数据'!$A:$A,0)),""))</f>
        <v/>
      </c>
      <c r="W737">
        <f>IF($A737="","",IFERROR(INDEX('[AQ_2021.xlsx]原始数据'!$F:$F,MATCH($A737,'[AQ_2021.xlsx]原始数据'!$A:$A,0)),""))</f>
        <v/>
      </c>
      <c r="X737">
        <f>IF($A737="","",IFERROR(INDEX('[AQ_2022.xlsx]原始数据'!$F:$F,MATCH($A737,'[AQ_2022.xlsx]原始数据'!$A:$A,0)),""))</f>
        <v/>
      </c>
      <c r="Y737">
        <f>IF($A737="","",IFERROR(INDEX('[AQ_2023.xlsx]原始数据'!$F:$F,MATCH($A737,'[AQ_2023.xlsx]原始数据'!$A:$A,0)),""))</f>
        <v/>
      </c>
      <c r="Z737">
        <f>IF($A737="","",IFERROR(INDEX('[AQ_2024.xlsx]原始数据'!$F:$F,MATCH($A737,'[AQ_2024.xlsx]原始数据'!$A:$A,0)),""))</f>
        <v/>
      </c>
      <c r="AA737" s="2">
        <f>IFERROR(G737/B737,"")</f>
        <v/>
      </c>
      <c r="AB737" s="2">
        <f>IFERROR(H737/C737,"")</f>
        <v/>
      </c>
      <c r="AC737" s="2">
        <f>IFERROR(I737/D737,"")</f>
        <v/>
      </c>
      <c r="AD737" s="2">
        <f>IFERROR(J737/E737,"")</f>
        <v/>
      </c>
      <c r="AE737" s="2">
        <f>IFERROR(K737/F737,"")</f>
        <v/>
      </c>
      <c r="AF737" s="2">
        <f>IFERROR(L737/B737,"")</f>
        <v/>
      </c>
      <c r="AG737" s="2">
        <f>IFERROR(M737/C737,"")</f>
        <v/>
      </c>
      <c r="AH737" s="2">
        <f>IFERROR(N737/D737,"")</f>
        <v/>
      </c>
      <c r="AI737" s="2">
        <f>IFERROR(O737/E737,"")</f>
        <v/>
      </c>
      <c r="AJ737" s="2">
        <f>IFERROR(P737/F737,"")</f>
        <v/>
      </c>
      <c r="AK737" s="2">
        <f>IFERROR(Q737/B737,"")</f>
        <v/>
      </c>
      <c r="AL737" s="2">
        <f>IFERROR(R737/C737,"")</f>
        <v/>
      </c>
      <c r="AM737" s="2">
        <f>IFERROR(S737/D737,"")</f>
        <v/>
      </c>
      <c r="AN737" s="2">
        <f>IFERROR(T737/E737,"")</f>
        <v/>
      </c>
      <c r="AO737" s="2">
        <f>IFERROR(U737/F737,"")</f>
        <v/>
      </c>
    </row>
    <row r="738">
      <c r="B738">
        <f>IF($A738="","",IFERROR(INDEX('[AQ_2020.xlsx]原始数据'!$B:$B,MATCH($A738,'[AQ_2020.xlsx]原始数据'!$A:$A,0)),""))</f>
        <v/>
      </c>
      <c r="C738">
        <f>IF($A738="","",IFERROR(INDEX('[AQ_2021.xlsx]原始数据'!$B:$B,MATCH($A738,'[AQ_2021.xlsx]原始数据'!$A:$A,0)),""))</f>
        <v/>
      </c>
      <c r="D738">
        <f>IF($A738="","",IFERROR(INDEX('[AQ_2022.xlsx]原始数据'!$B:$B,MATCH($A738,'[AQ_2022.xlsx]原始数据'!$A:$A,0)),""))</f>
        <v/>
      </c>
      <c r="E738">
        <f>IF($A738="","",IFERROR(INDEX('[AQ_2023.xlsx]原始数据'!$B:$B,MATCH($A738,'[AQ_2023.xlsx]原始数据'!$A:$A,0)),""))</f>
        <v/>
      </c>
      <c r="F738">
        <f>IF($A738="","",IFERROR(INDEX('[AQ_2024.xlsx]原始数据'!$B:$B,MATCH($A738,'[AQ_2024.xlsx]原始数据'!$A:$A,0)),""))</f>
        <v/>
      </c>
      <c r="G738">
        <f>IF($A738="","",IFERROR(INDEX('[AQ_2020.xlsx]原始数据'!$C:$C,MATCH($A738,'[AQ_2020.xlsx]原始数据'!$A:$A,0)),""))</f>
        <v/>
      </c>
      <c r="H738">
        <f>IF($A738="","",IFERROR(INDEX('[AQ_2021.xlsx]原始数据'!$C:$C,MATCH($A738,'[AQ_2021.xlsx]原始数据'!$A:$A,0)),""))</f>
        <v/>
      </c>
      <c r="I738">
        <f>IF($A738="","",IFERROR(INDEX('[AQ_2022.xlsx]原始数据'!$C:$C,MATCH($A738,'[AQ_2022.xlsx]原始数据'!$A:$A,0)),""))</f>
        <v/>
      </c>
      <c r="J738">
        <f>IF($A738="","",IFERROR(INDEX('[AQ_2023.xlsx]原始数据'!$C:$C,MATCH($A738,'[AQ_2023.xlsx]原始数据'!$A:$A,0)),""))</f>
        <v/>
      </c>
      <c r="K738">
        <f>IF($A738="","",IFERROR(INDEX('[AQ_2024.xlsx]原始数据'!$C:$C,MATCH($A738,'[AQ_2024.xlsx]原始数据'!$A:$A,0)),""))</f>
        <v/>
      </c>
      <c r="L738">
        <f>IF($A738="","",IFERROR(INDEX('[AQ_2020.xlsx]原始数据'!$D:$D,MATCH($A738,'[AQ_2020.xlsx]原始数据'!$A:$A,0)),""))</f>
        <v/>
      </c>
      <c r="M738">
        <f>IF($A738="","",IFERROR(INDEX('[AQ_2021.xlsx]原始数据'!$D:$D,MATCH($A738,'[AQ_2021.xlsx]原始数据'!$A:$A,0)),""))</f>
        <v/>
      </c>
      <c r="N738">
        <f>IF($A738="","",IFERROR(INDEX('[AQ_2022.xlsx]原始数据'!$D:$D,MATCH($A738,'[AQ_2022.xlsx]原始数据'!$A:$A,0)),""))</f>
        <v/>
      </c>
      <c r="O738">
        <f>IF($A738="","",IFERROR(INDEX('[AQ_2023.xlsx]原始数据'!$D:$D,MATCH($A738,'[AQ_2023.xlsx]原始数据'!$A:$A,0)),""))</f>
        <v/>
      </c>
      <c r="P738">
        <f>IF($A738="","",IFERROR(INDEX('[AQ_2024.xlsx]原始数据'!$D:$D,MATCH($A738,'[AQ_2024.xlsx]原始数据'!$A:$A,0)),""))</f>
        <v/>
      </c>
      <c r="Q738">
        <f>IF($A738="","",IFERROR(INDEX('[AQ_2020.xlsx]原始数据'!$E:$E,MATCH($A738,'[AQ_2020.xlsx]原始数据'!$A:$A,0)),""))</f>
        <v/>
      </c>
      <c r="R738">
        <f>IF($A738="","",IFERROR(INDEX('[AQ_2021.xlsx]原始数据'!$E:$E,MATCH($A738,'[AQ_2021.xlsx]原始数据'!$A:$A,0)),""))</f>
        <v/>
      </c>
      <c r="S738">
        <f>IF($A738="","",IFERROR(INDEX('[AQ_2022.xlsx]原始数据'!$E:$E,MATCH($A738,'[AQ_2022.xlsx]原始数据'!$A:$A,0)),""))</f>
        <v/>
      </c>
      <c r="T738">
        <f>IF($A738="","",IFERROR(INDEX('[AQ_2023.xlsx]原始数据'!$E:$E,MATCH($A738,'[AQ_2023.xlsx]原始数据'!$A:$A,0)),""))</f>
        <v/>
      </c>
      <c r="U738">
        <f>IF($A738="","",IFERROR(INDEX('[AQ_2024.xlsx]原始数据'!$E:$E,MATCH($A738,'[AQ_2024.xlsx]原始数据'!$A:$A,0)),""))</f>
        <v/>
      </c>
      <c r="V738">
        <f>IF($A738="","",IFERROR(INDEX('[AQ_2020.xlsx]原始数据'!$F:$F,MATCH($A738,'[AQ_2020.xlsx]原始数据'!$A:$A,0)),""))</f>
        <v/>
      </c>
      <c r="W738">
        <f>IF($A738="","",IFERROR(INDEX('[AQ_2021.xlsx]原始数据'!$F:$F,MATCH($A738,'[AQ_2021.xlsx]原始数据'!$A:$A,0)),""))</f>
        <v/>
      </c>
      <c r="X738">
        <f>IF($A738="","",IFERROR(INDEX('[AQ_2022.xlsx]原始数据'!$F:$F,MATCH($A738,'[AQ_2022.xlsx]原始数据'!$A:$A,0)),""))</f>
        <v/>
      </c>
      <c r="Y738">
        <f>IF($A738="","",IFERROR(INDEX('[AQ_2023.xlsx]原始数据'!$F:$F,MATCH($A738,'[AQ_2023.xlsx]原始数据'!$A:$A,0)),""))</f>
        <v/>
      </c>
      <c r="Z738">
        <f>IF($A738="","",IFERROR(INDEX('[AQ_2024.xlsx]原始数据'!$F:$F,MATCH($A738,'[AQ_2024.xlsx]原始数据'!$A:$A,0)),""))</f>
        <v/>
      </c>
      <c r="AA738" s="2">
        <f>IFERROR(G738/B738,"")</f>
        <v/>
      </c>
      <c r="AB738" s="2">
        <f>IFERROR(H738/C738,"")</f>
        <v/>
      </c>
      <c r="AC738" s="2">
        <f>IFERROR(I738/D738,"")</f>
        <v/>
      </c>
      <c r="AD738" s="2">
        <f>IFERROR(J738/E738,"")</f>
        <v/>
      </c>
      <c r="AE738" s="2">
        <f>IFERROR(K738/F738,"")</f>
        <v/>
      </c>
      <c r="AF738" s="2">
        <f>IFERROR(L738/B738,"")</f>
        <v/>
      </c>
      <c r="AG738" s="2">
        <f>IFERROR(M738/C738,"")</f>
        <v/>
      </c>
      <c r="AH738" s="2">
        <f>IFERROR(N738/D738,"")</f>
        <v/>
      </c>
      <c r="AI738" s="2">
        <f>IFERROR(O738/E738,"")</f>
        <v/>
      </c>
      <c r="AJ738" s="2">
        <f>IFERROR(P738/F738,"")</f>
        <v/>
      </c>
      <c r="AK738" s="2">
        <f>IFERROR(Q738/B738,"")</f>
        <v/>
      </c>
      <c r="AL738" s="2">
        <f>IFERROR(R738/C738,"")</f>
        <v/>
      </c>
      <c r="AM738" s="2">
        <f>IFERROR(S738/D738,"")</f>
        <v/>
      </c>
      <c r="AN738" s="2">
        <f>IFERROR(T738/E738,"")</f>
        <v/>
      </c>
      <c r="AO738" s="2">
        <f>IFERROR(U738/F738,"")</f>
        <v/>
      </c>
    </row>
    <row r="739">
      <c r="B739">
        <f>IF($A739="","",IFERROR(INDEX('[AQ_2020.xlsx]原始数据'!$B:$B,MATCH($A739,'[AQ_2020.xlsx]原始数据'!$A:$A,0)),""))</f>
        <v/>
      </c>
      <c r="C739">
        <f>IF($A739="","",IFERROR(INDEX('[AQ_2021.xlsx]原始数据'!$B:$B,MATCH($A739,'[AQ_2021.xlsx]原始数据'!$A:$A,0)),""))</f>
        <v/>
      </c>
      <c r="D739">
        <f>IF($A739="","",IFERROR(INDEX('[AQ_2022.xlsx]原始数据'!$B:$B,MATCH($A739,'[AQ_2022.xlsx]原始数据'!$A:$A,0)),""))</f>
        <v/>
      </c>
      <c r="E739">
        <f>IF($A739="","",IFERROR(INDEX('[AQ_2023.xlsx]原始数据'!$B:$B,MATCH($A739,'[AQ_2023.xlsx]原始数据'!$A:$A,0)),""))</f>
        <v/>
      </c>
      <c r="F739">
        <f>IF($A739="","",IFERROR(INDEX('[AQ_2024.xlsx]原始数据'!$B:$B,MATCH($A739,'[AQ_2024.xlsx]原始数据'!$A:$A,0)),""))</f>
        <v/>
      </c>
      <c r="G739">
        <f>IF($A739="","",IFERROR(INDEX('[AQ_2020.xlsx]原始数据'!$C:$C,MATCH($A739,'[AQ_2020.xlsx]原始数据'!$A:$A,0)),""))</f>
        <v/>
      </c>
      <c r="H739">
        <f>IF($A739="","",IFERROR(INDEX('[AQ_2021.xlsx]原始数据'!$C:$C,MATCH($A739,'[AQ_2021.xlsx]原始数据'!$A:$A,0)),""))</f>
        <v/>
      </c>
      <c r="I739">
        <f>IF($A739="","",IFERROR(INDEX('[AQ_2022.xlsx]原始数据'!$C:$C,MATCH($A739,'[AQ_2022.xlsx]原始数据'!$A:$A,0)),""))</f>
        <v/>
      </c>
      <c r="J739">
        <f>IF($A739="","",IFERROR(INDEX('[AQ_2023.xlsx]原始数据'!$C:$C,MATCH($A739,'[AQ_2023.xlsx]原始数据'!$A:$A,0)),""))</f>
        <v/>
      </c>
      <c r="K739">
        <f>IF($A739="","",IFERROR(INDEX('[AQ_2024.xlsx]原始数据'!$C:$C,MATCH($A739,'[AQ_2024.xlsx]原始数据'!$A:$A,0)),""))</f>
        <v/>
      </c>
      <c r="L739">
        <f>IF($A739="","",IFERROR(INDEX('[AQ_2020.xlsx]原始数据'!$D:$D,MATCH($A739,'[AQ_2020.xlsx]原始数据'!$A:$A,0)),""))</f>
        <v/>
      </c>
      <c r="M739">
        <f>IF($A739="","",IFERROR(INDEX('[AQ_2021.xlsx]原始数据'!$D:$D,MATCH($A739,'[AQ_2021.xlsx]原始数据'!$A:$A,0)),""))</f>
        <v/>
      </c>
      <c r="N739">
        <f>IF($A739="","",IFERROR(INDEX('[AQ_2022.xlsx]原始数据'!$D:$D,MATCH($A739,'[AQ_2022.xlsx]原始数据'!$A:$A,0)),""))</f>
        <v/>
      </c>
      <c r="O739">
        <f>IF($A739="","",IFERROR(INDEX('[AQ_2023.xlsx]原始数据'!$D:$D,MATCH($A739,'[AQ_2023.xlsx]原始数据'!$A:$A,0)),""))</f>
        <v/>
      </c>
      <c r="P739">
        <f>IF($A739="","",IFERROR(INDEX('[AQ_2024.xlsx]原始数据'!$D:$D,MATCH($A739,'[AQ_2024.xlsx]原始数据'!$A:$A,0)),""))</f>
        <v/>
      </c>
      <c r="Q739">
        <f>IF($A739="","",IFERROR(INDEX('[AQ_2020.xlsx]原始数据'!$E:$E,MATCH($A739,'[AQ_2020.xlsx]原始数据'!$A:$A,0)),""))</f>
        <v/>
      </c>
      <c r="R739">
        <f>IF($A739="","",IFERROR(INDEX('[AQ_2021.xlsx]原始数据'!$E:$E,MATCH($A739,'[AQ_2021.xlsx]原始数据'!$A:$A,0)),""))</f>
        <v/>
      </c>
      <c r="S739">
        <f>IF($A739="","",IFERROR(INDEX('[AQ_2022.xlsx]原始数据'!$E:$E,MATCH($A739,'[AQ_2022.xlsx]原始数据'!$A:$A,0)),""))</f>
        <v/>
      </c>
      <c r="T739">
        <f>IF($A739="","",IFERROR(INDEX('[AQ_2023.xlsx]原始数据'!$E:$E,MATCH($A739,'[AQ_2023.xlsx]原始数据'!$A:$A,0)),""))</f>
        <v/>
      </c>
      <c r="U739">
        <f>IF($A739="","",IFERROR(INDEX('[AQ_2024.xlsx]原始数据'!$E:$E,MATCH($A739,'[AQ_2024.xlsx]原始数据'!$A:$A,0)),""))</f>
        <v/>
      </c>
      <c r="V739">
        <f>IF($A739="","",IFERROR(INDEX('[AQ_2020.xlsx]原始数据'!$F:$F,MATCH($A739,'[AQ_2020.xlsx]原始数据'!$A:$A,0)),""))</f>
        <v/>
      </c>
      <c r="W739">
        <f>IF($A739="","",IFERROR(INDEX('[AQ_2021.xlsx]原始数据'!$F:$F,MATCH($A739,'[AQ_2021.xlsx]原始数据'!$A:$A,0)),""))</f>
        <v/>
      </c>
      <c r="X739">
        <f>IF($A739="","",IFERROR(INDEX('[AQ_2022.xlsx]原始数据'!$F:$F,MATCH($A739,'[AQ_2022.xlsx]原始数据'!$A:$A,0)),""))</f>
        <v/>
      </c>
      <c r="Y739">
        <f>IF($A739="","",IFERROR(INDEX('[AQ_2023.xlsx]原始数据'!$F:$F,MATCH($A739,'[AQ_2023.xlsx]原始数据'!$A:$A,0)),""))</f>
        <v/>
      </c>
      <c r="Z739">
        <f>IF($A739="","",IFERROR(INDEX('[AQ_2024.xlsx]原始数据'!$F:$F,MATCH($A739,'[AQ_2024.xlsx]原始数据'!$A:$A,0)),""))</f>
        <v/>
      </c>
      <c r="AA739" s="2">
        <f>IFERROR(G739/B739,"")</f>
        <v/>
      </c>
      <c r="AB739" s="2">
        <f>IFERROR(H739/C739,"")</f>
        <v/>
      </c>
      <c r="AC739" s="2">
        <f>IFERROR(I739/D739,"")</f>
        <v/>
      </c>
      <c r="AD739" s="2">
        <f>IFERROR(J739/E739,"")</f>
        <v/>
      </c>
      <c r="AE739" s="2">
        <f>IFERROR(K739/F739,"")</f>
        <v/>
      </c>
      <c r="AF739" s="2">
        <f>IFERROR(L739/B739,"")</f>
        <v/>
      </c>
      <c r="AG739" s="2">
        <f>IFERROR(M739/C739,"")</f>
        <v/>
      </c>
      <c r="AH739" s="2">
        <f>IFERROR(N739/D739,"")</f>
        <v/>
      </c>
      <c r="AI739" s="2">
        <f>IFERROR(O739/E739,"")</f>
        <v/>
      </c>
      <c r="AJ739" s="2">
        <f>IFERROR(P739/F739,"")</f>
        <v/>
      </c>
      <c r="AK739" s="2">
        <f>IFERROR(Q739/B739,"")</f>
        <v/>
      </c>
      <c r="AL739" s="2">
        <f>IFERROR(R739/C739,"")</f>
        <v/>
      </c>
      <c r="AM739" s="2">
        <f>IFERROR(S739/D739,"")</f>
        <v/>
      </c>
      <c r="AN739" s="2">
        <f>IFERROR(T739/E739,"")</f>
        <v/>
      </c>
      <c r="AO739" s="2">
        <f>IFERROR(U739/F739,"")</f>
        <v/>
      </c>
    </row>
    <row r="740">
      <c r="B740">
        <f>IF($A740="","",IFERROR(INDEX('[AQ_2020.xlsx]原始数据'!$B:$B,MATCH($A740,'[AQ_2020.xlsx]原始数据'!$A:$A,0)),""))</f>
        <v/>
      </c>
      <c r="C740">
        <f>IF($A740="","",IFERROR(INDEX('[AQ_2021.xlsx]原始数据'!$B:$B,MATCH($A740,'[AQ_2021.xlsx]原始数据'!$A:$A,0)),""))</f>
        <v/>
      </c>
      <c r="D740">
        <f>IF($A740="","",IFERROR(INDEX('[AQ_2022.xlsx]原始数据'!$B:$B,MATCH($A740,'[AQ_2022.xlsx]原始数据'!$A:$A,0)),""))</f>
        <v/>
      </c>
      <c r="E740">
        <f>IF($A740="","",IFERROR(INDEX('[AQ_2023.xlsx]原始数据'!$B:$B,MATCH($A740,'[AQ_2023.xlsx]原始数据'!$A:$A,0)),""))</f>
        <v/>
      </c>
      <c r="F740">
        <f>IF($A740="","",IFERROR(INDEX('[AQ_2024.xlsx]原始数据'!$B:$B,MATCH($A740,'[AQ_2024.xlsx]原始数据'!$A:$A,0)),""))</f>
        <v/>
      </c>
      <c r="G740">
        <f>IF($A740="","",IFERROR(INDEX('[AQ_2020.xlsx]原始数据'!$C:$C,MATCH($A740,'[AQ_2020.xlsx]原始数据'!$A:$A,0)),""))</f>
        <v/>
      </c>
      <c r="H740">
        <f>IF($A740="","",IFERROR(INDEX('[AQ_2021.xlsx]原始数据'!$C:$C,MATCH($A740,'[AQ_2021.xlsx]原始数据'!$A:$A,0)),""))</f>
        <v/>
      </c>
      <c r="I740">
        <f>IF($A740="","",IFERROR(INDEX('[AQ_2022.xlsx]原始数据'!$C:$C,MATCH($A740,'[AQ_2022.xlsx]原始数据'!$A:$A,0)),""))</f>
        <v/>
      </c>
      <c r="J740">
        <f>IF($A740="","",IFERROR(INDEX('[AQ_2023.xlsx]原始数据'!$C:$C,MATCH($A740,'[AQ_2023.xlsx]原始数据'!$A:$A,0)),""))</f>
        <v/>
      </c>
      <c r="K740">
        <f>IF($A740="","",IFERROR(INDEX('[AQ_2024.xlsx]原始数据'!$C:$C,MATCH($A740,'[AQ_2024.xlsx]原始数据'!$A:$A,0)),""))</f>
        <v/>
      </c>
      <c r="L740">
        <f>IF($A740="","",IFERROR(INDEX('[AQ_2020.xlsx]原始数据'!$D:$D,MATCH($A740,'[AQ_2020.xlsx]原始数据'!$A:$A,0)),""))</f>
        <v/>
      </c>
      <c r="M740">
        <f>IF($A740="","",IFERROR(INDEX('[AQ_2021.xlsx]原始数据'!$D:$D,MATCH($A740,'[AQ_2021.xlsx]原始数据'!$A:$A,0)),""))</f>
        <v/>
      </c>
      <c r="N740">
        <f>IF($A740="","",IFERROR(INDEX('[AQ_2022.xlsx]原始数据'!$D:$D,MATCH($A740,'[AQ_2022.xlsx]原始数据'!$A:$A,0)),""))</f>
        <v/>
      </c>
      <c r="O740">
        <f>IF($A740="","",IFERROR(INDEX('[AQ_2023.xlsx]原始数据'!$D:$D,MATCH($A740,'[AQ_2023.xlsx]原始数据'!$A:$A,0)),""))</f>
        <v/>
      </c>
      <c r="P740">
        <f>IF($A740="","",IFERROR(INDEX('[AQ_2024.xlsx]原始数据'!$D:$D,MATCH($A740,'[AQ_2024.xlsx]原始数据'!$A:$A,0)),""))</f>
        <v/>
      </c>
      <c r="Q740">
        <f>IF($A740="","",IFERROR(INDEX('[AQ_2020.xlsx]原始数据'!$E:$E,MATCH($A740,'[AQ_2020.xlsx]原始数据'!$A:$A,0)),""))</f>
        <v/>
      </c>
      <c r="R740">
        <f>IF($A740="","",IFERROR(INDEX('[AQ_2021.xlsx]原始数据'!$E:$E,MATCH($A740,'[AQ_2021.xlsx]原始数据'!$A:$A,0)),""))</f>
        <v/>
      </c>
      <c r="S740">
        <f>IF($A740="","",IFERROR(INDEX('[AQ_2022.xlsx]原始数据'!$E:$E,MATCH($A740,'[AQ_2022.xlsx]原始数据'!$A:$A,0)),""))</f>
        <v/>
      </c>
      <c r="T740">
        <f>IF($A740="","",IFERROR(INDEX('[AQ_2023.xlsx]原始数据'!$E:$E,MATCH($A740,'[AQ_2023.xlsx]原始数据'!$A:$A,0)),""))</f>
        <v/>
      </c>
      <c r="U740">
        <f>IF($A740="","",IFERROR(INDEX('[AQ_2024.xlsx]原始数据'!$E:$E,MATCH($A740,'[AQ_2024.xlsx]原始数据'!$A:$A,0)),""))</f>
        <v/>
      </c>
      <c r="V740">
        <f>IF($A740="","",IFERROR(INDEX('[AQ_2020.xlsx]原始数据'!$F:$F,MATCH($A740,'[AQ_2020.xlsx]原始数据'!$A:$A,0)),""))</f>
        <v/>
      </c>
      <c r="W740">
        <f>IF($A740="","",IFERROR(INDEX('[AQ_2021.xlsx]原始数据'!$F:$F,MATCH($A740,'[AQ_2021.xlsx]原始数据'!$A:$A,0)),""))</f>
        <v/>
      </c>
      <c r="X740">
        <f>IF($A740="","",IFERROR(INDEX('[AQ_2022.xlsx]原始数据'!$F:$F,MATCH($A740,'[AQ_2022.xlsx]原始数据'!$A:$A,0)),""))</f>
        <v/>
      </c>
      <c r="Y740">
        <f>IF($A740="","",IFERROR(INDEX('[AQ_2023.xlsx]原始数据'!$F:$F,MATCH($A740,'[AQ_2023.xlsx]原始数据'!$A:$A,0)),""))</f>
        <v/>
      </c>
      <c r="Z740">
        <f>IF($A740="","",IFERROR(INDEX('[AQ_2024.xlsx]原始数据'!$F:$F,MATCH($A740,'[AQ_2024.xlsx]原始数据'!$A:$A,0)),""))</f>
        <v/>
      </c>
      <c r="AA740" s="2">
        <f>IFERROR(G740/B740,"")</f>
        <v/>
      </c>
      <c r="AB740" s="2">
        <f>IFERROR(H740/C740,"")</f>
        <v/>
      </c>
      <c r="AC740" s="2">
        <f>IFERROR(I740/D740,"")</f>
        <v/>
      </c>
      <c r="AD740" s="2">
        <f>IFERROR(J740/E740,"")</f>
        <v/>
      </c>
      <c r="AE740" s="2">
        <f>IFERROR(K740/F740,"")</f>
        <v/>
      </c>
      <c r="AF740" s="2">
        <f>IFERROR(L740/B740,"")</f>
        <v/>
      </c>
      <c r="AG740" s="2">
        <f>IFERROR(M740/C740,"")</f>
        <v/>
      </c>
      <c r="AH740" s="2">
        <f>IFERROR(N740/D740,"")</f>
        <v/>
      </c>
      <c r="AI740" s="2">
        <f>IFERROR(O740/E740,"")</f>
        <v/>
      </c>
      <c r="AJ740" s="2">
        <f>IFERROR(P740/F740,"")</f>
        <v/>
      </c>
      <c r="AK740" s="2">
        <f>IFERROR(Q740/B740,"")</f>
        <v/>
      </c>
      <c r="AL740" s="2">
        <f>IFERROR(R740/C740,"")</f>
        <v/>
      </c>
      <c r="AM740" s="2">
        <f>IFERROR(S740/D740,"")</f>
        <v/>
      </c>
      <c r="AN740" s="2">
        <f>IFERROR(T740/E740,"")</f>
        <v/>
      </c>
      <c r="AO740" s="2">
        <f>IFERROR(U740/F740,"")</f>
        <v/>
      </c>
    </row>
    <row r="741">
      <c r="B741">
        <f>IF($A741="","",IFERROR(INDEX('[AQ_2020.xlsx]原始数据'!$B:$B,MATCH($A741,'[AQ_2020.xlsx]原始数据'!$A:$A,0)),""))</f>
        <v/>
      </c>
      <c r="C741">
        <f>IF($A741="","",IFERROR(INDEX('[AQ_2021.xlsx]原始数据'!$B:$B,MATCH($A741,'[AQ_2021.xlsx]原始数据'!$A:$A,0)),""))</f>
        <v/>
      </c>
      <c r="D741">
        <f>IF($A741="","",IFERROR(INDEX('[AQ_2022.xlsx]原始数据'!$B:$B,MATCH($A741,'[AQ_2022.xlsx]原始数据'!$A:$A,0)),""))</f>
        <v/>
      </c>
      <c r="E741">
        <f>IF($A741="","",IFERROR(INDEX('[AQ_2023.xlsx]原始数据'!$B:$B,MATCH($A741,'[AQ_2023.xlsx]原始数据'!$A:$A,0)),""))</f>
        <v/>
      </c>
      <c r="F741">
        <f>IF($A741="","",IFERROR(INDEX('[AQ_2024.xlsx]原始数据'!$B:$B,MATCH($A741,'[AQ_2024.xlsx]原始数据'!$A:$A,0)),""))</f>
        <v/>
      </c>
      <c r="G741">
        <f>IF($A741="","",IFERROR(INDEX('[AQ_2020.xlsx]原始数据'!$C:$C,MATCH($A741,'[AQ_2020.xlsx]原始数据'!$A:$A,0)),""))</f>
        <v/>
      </c>
      <c r="H741">
        <f>IF($A741="","",IFERROR(INDEX('[AQ_2021.xlsx]原始数据'!$C:$C,MATCH($A741,'[AQ_2021.xlsx]原始数据'!$A:$A,0)),""))</f>
        <v/>
      </c>
      <c r="I741">
        <f>IF($A741="","",IFERROR(INDEX('[AQ_2022.xlsx]原始数据'!$C:$C,MATCH($A741,'[AQ_2022.xlsx]原始数据'!$A:$A,0)),""))</f>
        <v/>
      </c>
      <c r="J741">
        <f>IF($A741="","",IFERROR(INDEX('[AQ_2023.xlsx]原始数据'!$C:$C,MATCH($A741,'[AQ_2023.xlsx]原始数据'!$A:$A,0)),""))</f>
        <v/>
      </c>
      <c r="K741">
        <f>IF($A741="","",IFERROR(INDEX('[AQ_2024.xlsx]原始数据'!$C:$C,MATCH($A741,'[AQ_2024.xlsx]原始数据'!$A:$A,0)),""))</f>
        <v/>
      </c>
      <c r="L741">
        <f>IF($A741="","",IFERROR(INDEX('[AQ_2020.xlsx]原始数据'!$D:$D,MATCH($A741,'[AQ_2020.xlsx]原始数据'!$A:$A,0)),""))</f>
        <v/>
      </c>
      <c r="M741">
        <f>IF($A741="","",IFERROR(INDEX('[AQ_2021.xlsx]原始数据'!$D:$D,MATCH($A741,'[AQ_2021.xlsx]原始数据'!$A:$A,0)),""))</f>
        <v/>
      </c>
      <c r="N741">
        <f>IF($A741="","",IFERROR(INDEX('[AQ_2022.xlsx]原始数据'!$D:$D,MATCH($A741,'[AQ_2022.xlsx]原始数据'!$A:$A,0)),""))</f>
        <v/>
      </c>
      <c r="O741">
        <f>IF($A741="","",IFERROR(INDEX('[AQ_2023.xlsx]原始数据'!$D:$D,MATCH($A741,'[AQ_2023.xlsx]原始数据'!$A:$A,0)),""))</f>
        <v/>
      </c>
      <c r="P741">
        <f>IF($A741="","",IFERROR(INDEX('[AQ_2024.xlsx]原始数据'!$D:$D,MATCH($A741,'[AQ_2024.xlsx]原始数据'!$A:$A,0)),""))</f>
        <v/>
      </c>
      <c r="Q741">
        <f>IF($A741="","",IFERROR(INDEX('[AQ_2020.xlsx]原始数据'!$E:$E,MATCH($A741,'[AQ_2020.xlsx]原始数据'!$A:$A,0)),""))</f>
        <v/>
      </c>
      <c r="R741">
        <f>IF($A741="","",IFERROR(INDEX('[AQ_2021.xlsx]原始数据'!$E:$E,MATCH($A741,'[AQ_2021.xlsx]原始数据'!$A:$A,0)),""))</f>
        <v/>
      </c>
      <c r="S741">
        <f>IF($A741="","",IFERROR(INDEX('[AQ_2022.xlsx]原始数据'!$E:$E,MATCH($A741,'[AQ_2022.xlsx]原始数据'!$A:$A,0)),""))</f>
        <v/>
      </c>
      <c r="T741">
        <f>IF($A741="","",IFERROR(INDEX('[AQ_2023.xlsx]原始数据'!$E:$E,MATCH($A741,'[AQ_2023.xlsx]原始数据'!$A:$A,0)),""))</f>
        <v/>
      </c>
      <c r="U741">
        <f>IF($A741="","",IFERROR(INDEX('[AQ_2024.xlsx]原始数据'!$E:$E,MATCH($A741,'[AQ_2024.xlsx]原始数据'!$A:$A,0)),""))</f>
        <v/>
      </c>
      <c r="V741">
        <f>IF($A741="","",IFERROR(INDEX('[AQ_2020.xlsx]原始数据'!$F:$F,MATCH($A741,'[AQ_2020.xlsx]原始数据'!$A:$A,0)),""))</f>
        <v/>
      </c>
      <c r="W741">
        <f>IF($A741="","",IFERROR(INDEX('[AQ_2021.xlsx]原始数据'!$F:$F,MATCH($A741,'[AQ_2021.xlsx]原始数据'!$A:$A,0)),""))</f>
        <v/>
      </c>
      <c r="X741">
        <f>IF($A741="","",IFERROR(INDEX('[AQ_2022.xlsx]原始数据'!$F:$F,MATCH($A741,'[AQ_2022.xlsx]原始数据'!$A:$A,0)),""))</f>
        <v/>
      </c>
      <c r="Y741">
        <f>IF($A741="","",IFERROR(INDEX('[AQ_2023.xlsx]原始数据'!$F:$F,MATCH($A741,'[AQ_2023.xlsx]原始数据'!$A:$A,0)),""))</f>
        <v/>
      </c>
      <c r="Z741">
        <f>IF($A741="","",IFERROR(INDEX('[AQ_2024.xlsx]原始数据'!$F:$F,MATCH($A741,'[AQ_2024.xlsx]原始数据'!$A:$A,0)),""))</f>
        <v/>
      </c>
      <c r="AA741" s="2">
        <f>IFERROR(G741/B741,"")</f>
        <v/>
      </c>
      <c r="AB741" s="2">
        <f>IFERROR(H741/C741,"")</f>
        <v/>
      </c>
      <c r="AC741" s="2">
        <f>IFERROR(I741/D741,"")</f>
        <v/>
      </c>
      <c r="AD741" s="2">
        <f>IFERROR(J741/E741,"")</f>
        <v/>
      </c>
      <c r="AE741" s="2">
        <f>IFERROR(K741/F741,"")</f>
        <v/>
      </c>
      <c r="AF741" s="2">
        <f>IFERROR(L741/B741,"")</f>
        <v/>
      </c>
      <c r="AG741" s="2">
        <f>IFERROR(M741/C741,"")</f>
        <v/>
      </c>
      <c r="AH741" s="2">
        <f>IFERROR(N741/D741,"")</f>
        <v/>
      </c>
      <c r="AI741" s="2">
        <f>IFERROR(O741/E741,"")</f>
        <v/>
      </c>
      <c r="AJ741" s="2">
        <f>IFERROR(P741/F741,"")</f>
        <v/>
      </c>
      <c r="AK741" s="2">
        <f>IFERROR(Q741/B741,"")</f>
        <v/>
      </c>
      <c r="AL741" s="2">
        <f>IFERROR(R741/C741,"")</f>
        <v/>
      </c>
      <c r="AM741" s="2">
        <f>IFERROR(S741/D741,"")</f>
        <v/>
      </c>
      <c r="AN741" s="2">
        <f>IFERROR(T741/E741,"")</f>
        <v/>
      </c>
      <c r="AO741" s="2">
        <f>IFERROR(U741/F741,"")</f>
        <v/>
      </c>
    </row>
    <row r="742">
      <c r="B742">
        <f>IF($A742="","",IFERROR(INDEX('[AQ_2020.xlsx]原始数据'!$B:$B,MATCH($A742,'[AQ_2020.xlsx]原始数据'!$A:$A,0)),""))</f>
        <v/>
      </c>
      <c r="C742">
        <f>IF($A742="","",IFERROR(INDEX('[AQ_2021.xlsx]原始数据'!$B:$B,MATCH($A742,'[AQ_2021.xlsx]原始数据'!$A:$A,0)),""))</f>
        <v/>
      </c>
      <c r="D742">
        <f>IF($A742="","",IFERROR(INDEX('[AQ_2022.xlsx]原始数据'!$B:$B,MATCH($A742,'[AQ_2022.xlsx]原始数据'!$A:$A,0)),""))</f>
        <v/>
      </c>
      <c r="E742">
        <f>IF($A742="","",IFERROR(INDEX('[AQ_2023.xlsx]原始数据'!$B:$B,MATCH($A742,'[AQ_2023.xlsx]原始数据'!$A:$A,0)),""))</f>
        <v/>
      </c>
      <c r="F742">
        <f>IF($A742="","",IFERROR(INDEX('[AQ_2024.xlsx]原始数据'!$B:$B,MATCH($A742,'[AQ_2024.xlsx]原始数据'!$A:$A,0)),""))</f>
        <v/>
      </c>
      <c r="G742">
        <f>IF($A742="","",IFERROR(INDEX('[AQ_2020.xlsx]原始数据'!$C:$C,MATCH($A742,'[AQ_2020.xlsx]原始数据'!$A:$A,0)),""))</f>
        <v/>
      </c>
      <c r="H742">
        <f>IF($A742="","",IFERROR(INDEX('[AQ_2021.xlsx]原始数据'!$C:$C,MATCH($A742,'[AQ_2021.xlsx]原始数据'!$A:$A,0)),""))</f>
        <v/>
      </c>
      <c r="I742">
        <f>IF($A742="","",IFERROR(INDEX('[AQ_2022.xlsx]原始数据'!$C:$C,MATCH($A742,'[AQ_2022.xlsx]原始数据'!$A:$A,0)),""))</f>
        <v/>
      </c>
      <c r="J742">
        <f>IF($A742="","",IFERROR(INDEX('[AQ_2023.xlsx]原始数据'!$C:$C,MATCH($A742,'[AQ_2023.xlsx]原始数据'!$A:$A,0)),""))</f>
        <v/>
      </c>
      <c r="K742">
        <f>IF($A742="","",IFERROR(INDEX('[AQ_2024.xlsx]原始数据'!$C:$C,MATCH($A742,'[AQ_2024.xlsx]原始数据'!$A:$A,0)),""))</f>
        <v/>
      </c>
      <c r="L742">
        <f>IF($A742="","",IFERROR(INDEX('[AQ_2020.xlsx]原始数据'!$D:$D,MATCH($A742,'[AQ_2020.xlsx]原始数据'!$A:$A,0)),""))</f>
        <v/>
      </c>
      <c r="M742">
        <f>IF($A742="","",IFERROR(INDEX('[AQ_2021.xlsx]原始数据'!$D:$D,MATCH($A742,'[AQ_2021.xlsx]原始数据'!$A:$A,0)),""))</f>
        <v/>
      </c>
      <c r="N742">
        <f>IF($A742="","",IFERROR(INDEX('[AQ_2022.xlsx]原始数据'!$D:$D,MATCH($A742,'[AQ_2022.xlsx]原始数据'!$A:$A,0)),""))</f>
        <v/>
      </c>
      <c r="O742">
        <f>IF($A742="","",IFERROR(INDEX('[AQ_2023.xlsx]原始数据'!$D:$D,MATCH($A742,'[AQ_2023.xlsx]原始数据'!$A:$A,0)),""))</f>
        <v/>
      </c>
      <c r="P742">
        <f>IF($A742="","",IFERROR(INDEX('[AQ_2024.xlsx]原始数据'!$D:$D,MATCH($A742,'[AQ_2024.xlsx]原始数据'!$A:$A,0)),""))</f>
        <v/>
      </c>
      <c r="Q742">
        <f>IF($A742="","",IFERROR(INDEX('[AQ_2020.xlsx]原始数据'!$E:$E,MATCH($A742,'[AQ_2020.xlsx]原始数据'!$A:$A,0)),""))</f>
        <v/>
      </c>
      <c r="R742">
        <f>IF($A742="","",IFERROR(INDEX('[AQ_2021.xlsx]原始数据'!$E:$E,MATCH($A742,'[AQ_2021.xlsx]原始数据'!$A:$A,0)),""))</f>
        <v/>
      </c>
      <c r="S742">
        <f>IF($A742="","",IFERROR(INDEX('[AQ_2022.xlsx]原始数据'!$E:$E,MATCH($A742,'[AQ_2022.xlsx]原始数据'!$A:$A,0)),""))</f>
        <v/>
      </c>
      <c r="T742">
        <f>IF($A742="","",IFERROR(INDEX('[AQ_2023.xlsx]原始数据'!$E:$E,MATCH($A742,'[AQ_2023.xlsx]原始数据'!$A:$A,0)),""))</f>
        <v/>
      </c>
      <c r="U742">
        <f>IF($A742="","",IFERROR(INDEX('[AQ_2024.xlsx]原始数据'!$E:$E,MATCH($A742,'[AQ_2024.xlsx]原始数据'!$A:$A,0)),""))</f>
        <v/>
      </c>
      <c r="V742">
        <f>IF($A742="","",IFERROR(INDEX('[AQ_2020.xlsx]原始数据'!$F:$F,MATCH($A742,'[AQ_2020.xlsx]原始数据'!$A:$A,0)),""))</f>
        <v/>
      </c>
      <c r="W742">
        <f>IF($A742="","",IFERROR(INDEX('[AQ_2021.xlsx]原始数据'!$F:$F,MATCH($A742,'[AQ_2021.xlsx]原始数据'!$A:$A,0)),""))</f>
        <v/>
      </c>
      <c r="X742">
        <f>IF($A742="","",IFERROR(INDEX('[AQ_2022.xlsx]原始数据'!$F:$F,MATCH($A742,'[AQ_2022.xlsx]原始数据'!$A:$A,0)),""))</f>
        <v/>
      </c>
      <c r="Y742">
        <f>IF($A742="","",IFERROR(INDEX('[AQ_2023.xlsx]原始数据'!$F:$F,MATCH($A742,'[AQ_2023.xlsx]原始数据'!$A:$A,0)),""))</f>
        <v/>
      </c>
      <c r="Z742">
        <f>IF($A742="","",IFERROR(INDEX('[AQ_2024.xlsx]原始数据'!$F:$F,MATCH($A742,'[AQ_2024.xlsx]原始数据'!$A:$A,0)),""))</f>
        <v/>
      </c>
      <c r="AA742" s="2">
        <f>IFERROR(G742/B742,"")</f>
        <v/>
      </c>
      <c r="AB742" s="2">
        <f>IFERROR(H742/C742,"")</f>
        <v/>
      </c>
      <c r="AC742" s="2">
        <f>IFERROR(I742/D742,"")</f>
        <v/>
      </c>
      <c r="AD742" s="2">
        <f>IFERROR(J742/E742,"")</f>
        <v/>
      </c>
      <c r="AE742" s="2">
        <f>IFERROR(K742/F742,"")</f>
        <v/>
      </c>
      <c r="AF742" s="2">
        <f>IFERROR(L742/B742,"")</f>
        <v/>
      </c>
      <c r="AG742" s="2">
        <f>IFERROR(M742/C742,"")</f>
        <v/>
      </c>
      <c r="AH742" s="2">
        <f>IFERROR(N742/D742,"")</f>
        <v/>
      </c>
      <c r="AI742" s="2">
        <f>IFERROR(O742/E742,"")</f>
        <v/>
      </c>
      <c r="AJ742" s="2">
        <f>IFERROR(P742/F742,"")</f>
        <v/>
      </c>
      <c r="AK742" s="2">
        <f>IFERROR(Q742/B742,"")</f>
        <v/>
      </c>
      <c r="AL742" s="2">
        <f>IFERROR(R742/C742,"")</f>
        <v/>
      </c>
      <c r="AM742" s="2">
        <f>IFERROR(S742/D742,"")</f>
        <v/>
      </c>
      <c r="AN742" s="2">
        <f>IFERROR(T742/E742,"")</f>
        <v/>
      </c>
      <c r="AO742" s="2">
        <f>IFERROR(U742/F742,"")</f>
        <v/>
      </c>
    </row>
    <row r="743">
      <c r="B743">
        <f>IF($A743="","",IFERROR(INDEX('[AQ_2020.xlsx]原始数据'!$B:$B,MATCH($A743,'[AQ_2020.xlsx]原始数据'!$A:$A,0)),""))</f>
        <v/>
      </c>
      <c r="C743">
        <f>IF($A743="","",IFERROR(INDEX('[AQ_2021.xlsx]原始数据'!$B:$B,MATCH($A743,'[AQ_2021.xlsx]原始数据'!$A:$A,0)),""))</f>
        <v/>
      </c>
      <c r="D743">
        <f>IF($A743="","",IFERROR(INDEX('[AQ_2022.xlsx]原始数据'!$B:$B,MATCH($A743,'[AQ_2022.xlsx]原始数据'!$A:$A,0)),""))</f>
        <v/>
      </c>
      <c r="E743">
        <f>IF($A743="","",IFERROR(INDEX('[AQ_2023.xlsx]原始数据'!$B:$B,MATCH($A743,'[AQ_2023.xlsx]原始数据'!$A:$A,0)),""))</f>
        <v/>
      </c>
      <c r="F743">
        <f>IF($A743="","",IFERROR(INDEX('[AQ_2024.xlsx]原始数据'!$B:$B,MATCH($A743,'[AQ_2024.xlsx]原始数据'!$A:$A,0)),""))</f>
        <v/>
      </c>
      <c r="G743">
        <f>IF($A743="","",IFERROR(INDEX('[AQ_2020.xlsx]原始数据'!$C:$C,MATCH($A743,'[AQ_2020.xlsx]原始数据'!$A:$A,0)),""))</f>
        <v/>
      </c>
      <c r="H743">
        <f>IF($A743="","",IFERROR(INDEX('[AQ_2021.xlsx]原始数据'!$C:$C,MATCH($A743,'[AQ_2021.xlsx]原始数据'!$A:$A,0)),""))</f>
        <v/>
      </c>
      <c r="I743">
        <f>IF($A743="","",IFERROR(INDEX('[AQ_2022.xlsx]原始数据'!$C:$C,MATCH($A743,'[AQ_2022.xlsx]原始数据'!$A:$A,0)),""))</f>
        <v/>
      </c>
      <c r="J743">
        <f>IF($A743="","",IFERROR(INDEX('[AQ_2023.xlsx]原始数据'!$C:$C,MATCH($A743,'[AQ_2023.xlsx]原始数据'!$A:$A,0)),""))</f>
        <v/>
      </c>
      <c r="K743">
        <f>IF($A743="","",IFERROR(INDEX('[AQ_2024.xlsx]原始数据'!$C:$C,MATCH($A743,'[AQ_2024.xlsx]原始数据'!$A:$A,0)),""))</f>
        <v/>
      </c>
      <c r="L743">
        <f>IF($A743="","",IFERROR(INDEX('[AQ_2020.xlsx]原始数据'!$D:$D,MATCH($A743,'[AQ_2020.xlsx]原始数据'!$A:$A,0)),""))</f>
        <v/>
      </c>
      <c r="M743">
        <f>IF($A743="","",IFERROR(INDEX('[AQ_2021.xlsx]原始数据'!$D:$D,MATCH($A743,'[AQ_2021.xlsx]原始数据'!$A:$A,0)),""))</f>
        <v/>
      </c>
      <c r="N743">
        <f>IF($A743="","",IFERROR(INDEX('[AQ_2022.xlsx]原始数据'!$D:$D,MATCH($A743,'[AQ_2022.xlsx]原始数据'!$A:$A,0)),""))</f>
        <v/>
      </c>
      <c r="O743">
        <f>IF($A743="","",IFERROR(INDEX('[AQ_2023.xlsx]原始数据'!$D:$D,MATCH($A743,'[AQ_2023.xlsx]原始数据'!$A:$A,0)),""))</f>
        <v/>
      </c>
      <c r="P743">
        <f>IF($A743="","",IFERROR(INDEX('[AQ_2024.xlsx]原始数据'!$D:$D,MATCH($A743,'[AQ_2024.xlsx]原始数据'!$A:$A,0)),""))</f>
        <v/>
      </c>
      <c r="Q743">
        <f>IF($A743="","",IFERROR(INDEX('[AQ_2020.xlsx]原始数据'!$E:$E,MATCH($A743,'[AQ_2020.xlsx]原始数据'!$A:$A,0)),""))</f>
        <v/>
      </c>
      <c r="R743">
        <f>IF($A743="","",IFERROR(INDEX('[AQ_2021.xlsx]原始数据'!$E:$E,MATCH($A743,'[AQ_2021.xlsx]原始数据'!$A:$A,0)),""))</f>
        <v/>
      </c>
      <c r="S743">
        <f>IF($A743="","",IFERROR(INDEX('[AQ_2022.xlsx]原始数据'!$E:$E,MATCH($A743,'[AQ_2022.xlsx]原始数据'!$A:$A,0)),""))</f>
        <v/>
      </c>
      <c r="T743">
        <f>IF($A743="","",IFERROR(INDEX('[AQ_2023.xlsx]原始数据'!$E:$E,MATCH($A743,'[AQ_2023.xlsx]原始数据'!$A:$A,0)),""))</f>
        <v/>
      </c>
      <c r="U743">
        <f>IF($A743="","",IFERROR(INDEX('[AQ_2024.xlsx]原始数据'!$E:$E,MATCH($A743,'[AQ_2024.xlsx]原始数据'!$A:$A,0)),""))</f>
        <v/>
      </c>
      <c r="V743">
        <f>IF($A743="","",IFERROR(INDEX('[AQ_2020.xlsx]原始数据'!$F:$F,MATCH($A743,'[AQ_2020.xlsx]原始数据'!$A:$A,0)),""))</f>
        <v/>
      </c>
      <c r="W743">
        <f>IF($A743="","",IFERROR(INDEX('[AQ_2021.xlsx]原始数据'!$F:$F,MATCH($A743,'[AQ_2021.xlsx]原始数据'!$A:$A,0)),""))</f>
        <v/>
      </c>
      <c r="X743">
        <f>IF($A743="","",IFERROR(INDEX('[AQ_2022.xlsx]原始数据'!$F:$F,MATCH($A743,'[AQ_2022.xlsx]原始数据'!$A:$A,0)),""))</f>
        <v/>
      </c>
      <c r="Y743">
        <f>IF($A743="","",IFERROR(INDEX('[AQ_2023.xlsx]原始数据'!$F:$F,MATCH($A743,'[AQ_2023.xlsx]原始数据'!$A:$A,0)),""))</f>
        <v/>
      </c>
      <c r="Z743">
        <f>IF($A743="","",IFERROR(INDEX('[AQ_2024.xlsx]原始数据'!$F:$F,MATCH($A743,'[AQ_2024.xlsx]原始数据'!$A:$A,0)),""))</f>
        <v/>
      </c>
      <c r="AA743" s="2">
        <f>IFERROR(G743/B743,"")</f>
        <v/>
      </c>
      <c r="AB743" s="2">
        <f>IFERROR(H743/C743,"")</f>
        <v/>
      </c>
      <c r="AC743" s="2">
        <f>IFERROR(I743/D743,"")</f>
        <v/>
      </c>
      <c r="AD743" s="2">
        <f>IFERROR(J743/E743,"")</f>
        <v/>
      </c>
      <c r="AE743" s="2">
        <f>IFERROR(K743/F743,"")</f>
        <v/>
      </c>
      <c r="AF743" s="2">
        <f>IFERROR(L743/B743,"")</f>
        <v/>
      </c>
      <c r="AG743" s="2">
        <f>IFERROR(M743/C743,"")</f>
        <v/>
      </c>
      <c r="AH743" s="2">
        <f>IFERROR(N743/D743,"")</f>
        <v/>
      </c>
      <c r="AI743" s="2">
        <f>IFERROR(O743/E743,"")</f>
        <v/>
      </c>
      <c r="AJ743" s="2">
        <f>IFERROR(P743/F743,"")</f>
        <v/>
      </c>
      <c r="AK743" s="2">
        <f>IFERROR(Q743/B743,"")</f>
        <v/>
      </c>
      <c r="AL743" s="2">
        <f>IFERROR(R743/C743,"")</f>
        <v/>
      </c>
      <c r="AM743" s="2">
        <f>IFERROR(S743/D743,"")</f>
        <v/>
      </c>
      <c r="AN743" s="2">
        <f>IFERROR(T743/E743,"")</f>
        <v/>
      </c>
      <c r="AO743" s="2">
        <f>IFERROR(U743/F743,"")</f>
        <v/>
      </c>
    </row>
    <row r="744">
      <c r="B744">
        <f>IF($A744="","",IFERROR(INDEX('[AQ_2020.xlsx]原始数据'!$B:$B,MATCH($A744,'[AQ_2020.xlsx]原始数据'!$A:$A,0)),""))</f>
        <v/>
      </c>
      <c r="C744">
        <f>IF($A744="","",IFERROR(INDEX('[AQ_2021.xlsx]原始数据'!$B:$B,MATCH($A744,'[AQ_2021.xlsx]原始数据'!$A:$A,0)),""))</f>
        <v/>
      </c>
      <c r="D744">
        <f>IF($A744="","",IFERROR(INDEX('[AQ_2022.xlsx]原始数据'!$B:$B,MATCH($A744,'[AQ_2022.xlsx]原始数据'!$A:$A,0)),""))</f>
        <v/>
      </c>
      <c r="E744">
        <f>IF($A744="","",IFERROR(INDEX('[AQ_2023.xlsx]原始数据'!$B:$B,MATCH($A744,'[AQ_2023.xlsx]原始数据'!$A:$A,0)),""))</f>
        <v/>
      </c>
      <c r="F744">
        <f>IF($A744="","",IFERROR(INDEX('[AQ_2024.xlsx]原始数据'!$B:$B,MATCH($A744,'[AQ_2024.xlsx]原始数据'!$A:$A,0)),""))</f>
        <v/>
      </c>
      <c r="G744">
        <f>IF($A744="","",IFERROR(INDEX('[AQ_2020.xlsx]原始数据'!$C:$C,MATCH($A744,'[AQ_2020.xlsx]原始数据'!$A:$A,0)),""))</f>
        <v/>
      </c>
      <c r="H744">
        <f>IF($A744="","",IFERROR(INDEX('[AQ_2021.xlsx]原始数据'!$C:$C,MATCH($A744,'[AQ_2021.xlsx]原始数据'!$A:$A,0)),""))</f>
        <v/>
      </c>
      <c r="I744">
        <f>IF($A744="","",IFERROR(INDEX('[AQ_2022.xlsx]原始数据'!$C:$C,MATCH($A744,'[AQ_2022.xlsx]原始数据'!$A:$A,0)),""))</f>
        <v/>
      </c>
      <c r="J744">
        <f>IF($A744="","",IFERROR(INDEX('[AQ_2023.xlsx]原始数据'!$C:$C,MATCH($A744,'[AQ_2023.xlsx]原始数据'!$A:$A,0)),""))</f>
        <v/>
      </c>
      <c r="K744">
        <f>IF($A744="","",IFERROR(INDEX('[AQ_2024.xlsx]原始数据'!$C:$C,MATCH($A744,'[AQ_2024.xlsx]原始数据'!$A:$A,0)),""))</f>
        <v/>
      </c>
      <c r="L744">
        <f>IF($A744="","",IFERROR(INDEX('[AQ_2020.xlsx]原始数据'!$D:$D,MATCH($A744,'[AQ_2020.xlsx]原始数据'!$A:$A,0)),""))</f>
        <v/>
      </c>
      <c r="M744">
        <f>IF($A744="","",IFERROR(INDEX('[AQ_2021.xlsx]原始数据'!$D:$D,MATCH($A744,'[AQ_2021.xlsx]原始数据'!$A:$A,0)),""))</f>
        <v/>
      </c>
      <c r="N744">
        <f>IF($A744="","",IFERROR(INDEX('[AQ_2022.xlsx]原始数据'!$D:$D,MATCH($A744,'[AQ_2022.xlsx]原始数据'!$A:$A,0)),""))</f>
        <v/>
      </c>
      <c r="O744">
        <f>IF($A744="","",IFERROR(INDEX('[AQ_2023.xlsx]原始数据'!$D:$D,MATCH($A744,'[AQ_2023.xlsx]原始数据'!$A:$A,0)),""))</f>
        <v/>
      </c>
      <c r="P744">
        <f>IF($A744="","",IFERROR(INDEX('[AQ_2024.xlsx]原始数据'!$D:$D,MATCH($A744,'[AQ_2024.xlsx]原始数据'!$A:$A,0)),""))</f>
        <v/>
      </c>
      <c r="Q744">
        <f>IF($A744="","",IFERROR(INDEX('[AQ_2020.xlsx]原始数据'!$E:$E,MATCH($A744,'[AQ_2020.xlsx]原始数据'!$A:$A,0)),""))</f>
        <v/>
      </c>
      <c r="R744">
        <f>IF($A744="","",IFERROR(INDEX('[AQ_2021.xlsx]原始数据'!$E:$E,MATCH($A744,'[AQ_2021.xlsx]原始数据'!$A:$A,0)),""))</f>
        <v/>
      </c>
      <c r="S744">
        <f>IF($A744="","",IFERROR(INDEX('[AQ_2022.xlsx]原始数据'!$E:$E,MATCH($A744,'[AQ_2022.xlsx]原始数据'!$A:$A,0)),""))</f>
        <v/>
      </c>
      <c r="T744">
        <f>IF($A744="","",IFERROR(INDEX('[AQ_2023.xlsx]原始数据'!$E:$E,MATCH($A744,'[AQ_2023.xlsx]原始数据'!$A:$A,0)),""))</f>
        <v/>
      </c>
      <c r="U744">
        <f>IF($A744="","",IFERROR(INDEX('[AQ_2024.xlsx]原始数据'!$E:$E,MATCH($A744,'[AQ_2024.xlsx]原始数据'!$A:$A,0)),""))</f>
        <v/>
      </c>
      <c r="V744">
        <f>IF($A744="","",IFERROR(INDEX('[AQ_2020.xlsx]原始数据'!$F:$F,MATCH($A744,'[AQ_2020.xlsx]原始数据'!$A:$A,0)),""))</f>
        <v/>
      </c>
      <c r="W744">
        <f>IF($A744="","",IFERROR(INDEX('[AQ_2021.xlsx]原始数据'!$F:$F,MATCH($A744,'[AQ_2021.xlsx]原始数据'!$A:$A,0)),""))</f>
        <v/>
      </c>
      <c r="X744">
        <f>IF($A744="","",IFERROR(INDEX('[AQ_2022.xlsx]原始数据'!$F:$F,MATCH($A744,'[AQ_2022.xlsx]原始数据'!$A:$A,0)),""))</f>
        <v/>
      </c>
      <c r="Y744">
        <f>IF($A744="","",IFERROR(INDEX('[AQ_2023.xlsx]原始数据'!$F:$F,MATCH($A744,'[AQ_2023.xlsx]原始数据'!$A:$A,0)),""))</f>
        <v/>
      </c>
      <c r="Z744">
        <f>IF($A744="","",IFERROR(INDEX('[AQ_2024.xlsx]原始数据'!$F:$F,MATCH($A744,'[AQ_2024.xlsx]原始数据'!$A:$A,0)),""))</f>
        <v/>
      </c>
      <c r="AA744" s="2">
        <f>IFERROR(G744/B744,"")</f>
        <v/>
      </c>
      <c r="AB744" s="2">
        <f>IFERROR(H744/C744,"")</f>
        <v/>
      </c>
      <c r="AC744" s="2">
        <f>IFERROR(I744/D744,"")</f>
        <v/>
      </c>
      <c r="AD744" s="2">
        <f>IFERROR(J744/E744,"")</f>
        <v/>
      </c>
      <c r="AE744" s="2">
        <f>IFERROR(K744/F744,"")</f>
        <v/>
      </c>
      <c r="AF744" s="2">
        <f>IFERROR(L744/B744,"")</f>
        <v/>
      </c>
      <c r="AG744" s="2">
        <f>IFERROR(M744/C744,"")</f>
        <v/>
      </c>
      <c r="AH744" s="2">
        <f>IFERROR(N744/D744,"")</f>
        <v/>
      </c>
      <c r="AI744" s="2">
        <f>IFERROR(O744/E744,"")</f>
        <v/>
      </c>
      <c r="AJ744" s="2">
        <f>IFERROR(P744/F744,"")</f>
        <v/>
      </c>
      <c r="AK744" s="2">
        <f>IFERROR(Q744/B744,"")</f>
        <v/>
      </c>
      <c r="AL744" s="2">
        <f>IFERROR(R744/C744,"")</f>
        <v/>
      </c>
      <c r="AM744" s="2">
        <f>IFERROR(S744/D744,"")</f>
        <v/>
      </c>
      <c r="AN744" s="2">
        <f>IFERROR(T744/E744,"")</f>
        <v/>
      </c>
      <c r="AO744" s="2">
        <f>IFERROR(U744/F744,"")</f>
        <v/>
      </c>
    </row>
    <row r="745">
      <c r="B745">
        <f>IF($A745="","",IFERROR(INDEX('[AQ_2020.xlsx]原始数据'!$B:$B,MATCH($A745,'[AQ_2020.xlsx]原始数据'!$A:$A,0)),""))</f>
        <v/>
      </c>
      <c r="C745">
        <f>IF($A745="","",IFERROR(INDEX('[AQ_2021.xlsx]原始数据'!$B:$B,MATCH($A745,'[AQ_2021.xlsx]原始数据'!$A:$A,0)),""))</f>
        <v/>
      </c>
      <c r="D745">
        <f>IF($A745="","",IFERROR(INDEX('[AQ_2022.xlsx]原始数据'!$B:$B,MATCH($A745,'[AQ_2022.xlsx]原始数据'!$A:$A,0)),""))</f>
        <v/>
      </c>
      <c r="E745">
        <f>IF($A745="","",IFERROR(INDEX('[AQ_2023.xlsx]原始数据'!$B:$B,MATCH($A745,'[AQ_2023.xlsx]原始数据'!$A:$A,0)),""))</f>
        <v/>
      </c>
      <c r="F745">
        <f>IF($A745="","",IFERROR(INDEX('[AQ_2024.xlsx]原始数据'!$B:$B,MATCH($A745,'[AQ_2024.xlsx]原始数据'!$A:$A,0)),""))</f>
        <v/>
      </c>
      <c r="G745">
        <f>IF($A745="","",IFERROR(INDEX('[AQ_2020.xlsx]原始数据'!$C:$C,MATCH($A745,'[AQ_2020.xlsx]原始数据'!$A:$A,0)),""))</f>
        <v/>
      </c>
      <c r="H745">
        <f>IF($A745="","",IFERROR(INDEX('[AQ_2021.xlsx]原始数据'!$C:$C,MATCH($A745,'[AQ_2021.xlsx]原始数据'!$A:$A,0)),""))</f>
        <v/>
      </c>
      <c r="I745">
        <f>IF($A745="","",IFERROR(INDEX('[AQ_2022.xlsx]原始数据'!$C:$C,MATCH($A745,'[AQ_2022.xlsx]原始数据'!$A:$A,0)),""))</f>
        <v/>
      </c>
      <c r="J745">
        <f>IF($A745="","",IFERROR(INDEX('[AQ_2023.xlsx]原始数据'!$C:$C,MATCH($A745,'[AQ_2023.xlsx]原始数据'!$A:$A,0)),""))</f>
        <v/>
      </c>
      <c r="K745">
        <f>IF($A745="","",IFERROR(INDEX('[AQ_2024.xlsx]原始数据'!$C:$C,MATCH($A745,'[AQ_2024.xlsx]原始数据'!$A:$A,0)),""))</f>
        <v/>
      </c>
      <c r="L745">
        <f>IF($A745="","",IFERROR(INDEX('[AQ_2020.xlsx]原始数据'!$D:$D,MATCH($A745,'[AQ_2020.xlsx]原始数据'!$A:$A,0)),""))</f>
        <v/>
      </c>
      <c r="M745">
        <f>IF($A745="","",IFERROR(INDEX('[AQ_2021.xlsx]原始数据'!$D:$D,MATCH($A745,'[AQ_2021.xlsx]原始数据'!$A:$A,0)),""))</f>
        <v/>
      </c>
      <c r="N745">
        <f>IF($A745="","",IFERROR(INDEX('[AQ_2022.xlsx]原始数据'!$D:$D,MATCH($A745,'[AQ_2022.xlsx]原始数据'!$A:$A,0)),""))</f>
        <v/>
      </c>
      <c r="O745">
        <f>IF($A745="","",IFERROR(INDEX('[AQ_2023.xlsx]原始数据'!$D:$D,MATCH($A745,'[AQ_2023.xlsx]原始数据'!$A:$A,0)),""))</f>
        <v/>
      </c>
      <c r="P745">
        <f>IF($A745="","",IFERROR(INDEX('[AQ_2024.xlsx]原始数据'!$D:$D,MATCH($A745,'[AQ_2024.xlsx]原始数据'!$A:$A,0)),""))</f>
        <v/>
      </c>
      <c r="Q745">
        <f>IF($A745="","",IFERROR(INDEX('[AQ_2020.xlsx]原始数据'!$E:$E,MATCH($A745,'[AQ_2020.xlsx]原始数据'!$A:$A,0)),""))</f>
        <v/>
      </c>
      <c r="R745">
        <f>IF($A745="","",IFERROR(INDEX('[AQ_2021.xlsx]原始数据'!$E:$E,MATCH($A745,'[AQ_2021.xlsx]原始数据'!$A:$A,0)),""))</f>
        <v/>
      </c>
      <c r="S745">
        <f>IF($A745="","",IFERROR(INDEX('[AQ_2022.xlsx]原始数据'!$E:$E,MATCH($A745,'[AQ_2022.xlsx]原始数据'!$A:$A,0)),""))</f>
        <v/>
      </c>
      <c r="T745">
        <f>IF($A745="","",IFERROR(INDEX('[AQ_2023.xlsx]原始数据'!$E:$E,MATCH($A745,'[AQ_2023.xlsx]原始数据'!$A:$A,0)),""))</f>
        <v/>
      </c>
      <c r="U745">
        <f>IF($A745="","",IFERROR(INDEX('[AQ_2024.xlsx]原始数据'!$E:$E,MATCH($A745,'[AQ_2024.xlsx]原始数据'!$A:$A,0)),""))</f>
        <v/>
      </c>
      <c r="V745">
        <f>IF($A745="","",IFERROR(INDEX('[AQ_2020.xlsx]原始数据'!$F:$F,MATCH($A745,'[AQ_2020.xlsx]原始数据'!$A:$A,0)),""))</f>
        <v/>
      </c>
      <c r="W745">
        <f>IF($A745="","",IFERROR(INDEX('[AQ_2021.xlsx]原始数据'!$F:$F,MATCH($A745,'[AQ_2021.xlsx]原始数据'!$A:$A,0)),""))</f>
        <v/>
      </c>
      <c r="X745">
        <f>IF($A745="","",IFERROR(INDEX('[AQ_2022.xlsx]原始数据'!$F:$F,MATCH($A745,'[AQ_2022.xlsx]原始数据'!$A:$A,0)),""))</f>
        <v/>
      </c>
      <c r="Y745">
        <f>IF($A745="","",IFERROR(INDEX('[AQ_2023.xlsx]原始数据'!$F:$F,MATCH($A745,'[AQ_2023.xlsx]原始数据'!$A:$A,0)),""))</f>
        <v/>
      </c>
      <c r="Z745">
        <f>IF($A745="","",IFERROR(INDEX('[AQ_2024.xlsx]原始数据'!$F:$F,MATCH($A745,'[AQ_2024.xlsx]原始数据'!$A:$A,0)),""))</f>
        <v/>
      </c>
      <c r="AA745" s="2">
        <f>IFERROR(G745/B745,"")</f>
        <v/>
      </c>
      <c r="AB745" s="2">
        <f>IFERROR(H745/C745,"")</f>
        <v/>
      </c>
      <c r="AC745" s="2">
        <f>IFERROR(I745/D745,"")</f>
        <v/>
      </c>
      <c r="AD745" s="2">
        <f>IFERROR(J745/E745,"")</f>
        <v/>
      </c>
      <c r="AE745" s="2">
        <f>IFERROR(K745/F745,"")</f>
        <v/>
      </c>
      <c r="AF745" s="2">
        <f>IFERROR(L745/B745,"")</f>
        <v/>
      </c>
      <c r="AG745" s="2">
        <f>IFERROR(M745/C745,"")</f>
        <v/>
      </c>
      <c r="AH745" s="2">
        <f>IFERROR(N745/D745,"")</f>
        <v/>
      </c>
      <c r="AI745" s="2">
        <f>IFERROR(O745/E745,"")</f>
        <v/>
      </c>
      <c r="AJ745" s="2">
        <f>IFERROR(P745/F745,"")</f>
        <v/>
      </c>
      <c r="AK745" s="2">
        <f>IFERROR(Q745/B745,"")</f>
        <v/>
      </c>
      <c r="AL745" s="2">
        <f>IFERROR(R745/C745,"")</f>
        <v/>
      </c>
      <c r="AM745" s="2">
        <f>IFERROR(S745/D745,"")</f>
        <v/>
      </c>
      <c r="AN745" s="2">
        <f>IFERROR(T745/E745,"")</f>
        <v/>
      </c>
      <c r="AO745" s="2">
        <f>IFERROR(U745/F745,"")</f>
        <v/>
      </c>
    </row>
    <row r="746">
      <c r="B746">
        <f>IF($A746="","",IFERROR(INDEX('[AQ_2020.xlsx]原始数据'!$B:$B,MATCH($A746,'[AQ_2020.xlsx]原始数据'!$A:$A,0)),""))</f>
        <v/>
      </c>
      <c r="C746">
        <f>IF($A746="","",IFERROR(INDEX('[AQ_2021.xlsx]原始数据'!$B:$B,MATCH($A746,'[AQ_2021.xlsx]原始数据'!$A:$A,0)),""))</f>
        <v/>
      </c>
      <c r="D746">
        <f>IF($A746="","",IFERROR(INDEX('[AQ_2022.xlsx]原始数据'!$B:$B,MATCH($A746,'[AQ_2022.xlsx]原始数据'!$A:$A,0)),""))</f>
        <v/>
      </c>
      <c r="E746">
        <f>IF($A746="","",IFERROR(INDEX('[AQ_2023.xlsx]原始数据'!$B:$B,MATCH($A746,'[AQ_2023.xlsx]原始数据'!$A:$A,0)),""))</f>
        <v/>
      </c>
      <c r="F746">
        <f>IF($A746="","",IFERROR(INDEX('[AQ_2024.xlsx]原始数据'!$B:$B,MATCH($A746,'[AQ_2024.xlsx]原始数据'!$A:$A,0)),""))</f>
        <v/>
      </c>
      <c r="G746">
        <f>IF($A746="","",IFERROR(INDEX('[AQ_2020.xlsx]原始数据'!$C:$C,MATCH($A746,'[AQ_2020.xlsx]原始数据'!$A:$A,0)),""))</f>
        <v/>
      </c>
      <c r="H746">
        <f>IF($A746="","",IFERROR(INDEX('[AQ_2021.xlsx]原始数据'!$C:$C,MATCH($A746,'[AQ_2021.xlsx]原始数据'!$A:$A,0)),""))</f>
        <v/>
      </c>
      <c r="I746">
        <f>IF($A746="","",IFERROR(INDEX('[AQ_2022.xlsx]原始数据'!$C:$C,MATCH($A746,'[AQ_2022.xlsx]原始数据'!$A:$A,0)),""))</f>
        <v/>
      </c>
      <c r="J746">
        <f>IF($A746="","",IFERROR(INDEX('[AQ_2023.xlsx]原始数据'!$C:$C,MATCH($A746,'[AQ_2023.xlsx]原始数据'!$A:$A,0)),""))</f>
        <v/>
      </c>
      <c r="K746">
        <f>IF($A746="","",IFERROR(INDEX('[AQ_2024.xlsx]原始数据'!$C:$C,MATCH($A746,'[AQ_2024.xlsx]原始数据'!$A:$A,0)),""))</f>
        <v/>
      </c>
      <c r="L746">
        <f>IF($A746="","",IFERROR(INDEX('[AQ_2020.xlsx]原始数据'!$D:$D,MATCH($A746,'[AQ_2020.xlsx]原始数据'!$A:$A,0)),""))</f>
        <v/>
      </c>
      <c r="M746">
        <f>IF($A746="","",IFERROR(INDEX('[AQ_2021.xlsx]原始数据'!$D:$D,MATCH($A746,'[AQ_2021.xlsx]原始数据'!$A:$A,0)),""))</f>
        <v/>
      </c>
      <c r="N746">
        <f>IF($A746="","",IFERROR(INDEX('[AQ_2022.xlsx]原始数据'!$D:$D,MATCH($A746,'[AQ_2022.xlsx]原始数据'!$A:$A,0)),""))</f>
        <v/>
      </c>
      <c r="O746">
        <f>IF($A746="","",IFERROR(INDEX('[AQ_2023.xlsx]原始数据'!$D:$D,MATCH($A746,'[AQ_2023.xlsx]原始数据'!$A:$A,0)),""))</f>
        <v/>
      </c>
      <c r="P746">
        <f>IF($A746="","",IFERROR(INDEX('[AQ_2024.xlsx]原始数据'!$D:$D,MATCH($A746,'[AQ_2024.xlsx]原始数据'!$A:$A,0)),""))</f>
        <v/>
      </c>
      <c r="Q746">
        <f>IF($A746="","",IFERROR(INDEX('[AQ_2020.xlsx]原始数据'!$E:$E,MATCH($A746,'[AQ_2020.xlsx]原始数据'!$A:$A,0)),""))</f>
        <v/>
      </c>
      <c r="R746">
        <f>IF($A746="","",IFERROR(INDEX('[AQ_2021.xlsx]原始数据'!$E:$E,MATCH($A746,'[AQ_2021.xlsx]原始数据'!$A:$A,0)),""))</f>
        <v/>
      </c>
      <c r="S746">
        <f>IF($A746="","",IFERROR(INDEX('[AQ_2022.xlsx]原始数据'!$E:$E,MATCH($A746,'[AQ_2022.xlsx]原始数据'!$A:$A,0)),""))</f>
        <v/>
      </c>
      <c r="T746">
        <f>IF($A746="","",IFERROR(INDEX('[AQ_2023.xlsx]原始数据'!$E:$E,MATCH($A746,'[AQ_2023.xlsx]原始数据'!$A:$A,0)),""))</f>
        <v/>
      </c>
      <c r="U746">
        <f>IF($A746="","",IFERROR(INDEX('[AQ_2024.xlsx]原始数据'!$E:$E,MATCH($A746,'[AQ_2024.xlsx]原始数据'!$A:$A,0)),""))</f>
        <v/>
      </c>
      <c r="V746">
        <f>IF($A746="","",IFERROR(INDEX('[AQ_2020.xlsx]原始数据'!$F:$F,MATCH($A746,'[AQ_2020.xlsx]原始数据'!$A:$A,0)),""))</f>
        <v/>
      </c>
      <c r="W746">
        <f>IF($A746="","",IFERROR(INDEX('[AQ_2021.xlsx]原始数据'!$F:$F,MATCH($A746,'[AQ_2021.xlsx]原始数据'!$A:$A,0)),""))</f>
        <v/>
      </c>
      <c r="X746">
        <f>IF($A746="","",IFERROR(INDEX('[AQ_2022.xlsx]原始数据'!$F:$F,MATCH($A746,'[AQ_2022.xlsx]原始数据'!$A:$A,0)),""))</f>
        <v/>
      </c>
      <c r="Y746">
        <f>IF($A746="","",IFERROR(INDEX('[AQ_2023.xlsx]原始数据'!$F:$F,MATCH($A746,'[AQ_2023.xlsx]原始数据'!$A:$A,0)),""))</f>
        <v/>
      </c>
      <c r="Z746">
        <f>IF($A746="","",IFERROR(INDEX('[AQ_2024.xlsx]原始数据'!$F:$F,MATCH($A746,'[AQ_2024.xlsx]原始数据'!$A:$A,0)),""))</f>
        <v/>
      </c>
      <c r="AA746" s="2">
        <f>IFERROR(G746/B746,"")</f>
        <v/>
      </c>
      <c r="AB746" s="2">
        <f>IFERROR(H746/C746,"")</f>
        <v/>
      </c>
      <c r="AC746" s="2">
        <f>IFERROR(I746/D746,"")</f>
        <v/>
      </c>
      <c r="AD746" s="2">
        <f>IFERROR(J746/E746,"")</f>
        <v/>
      </c>
      <c r="AE746" s="2">
        <f>IFERROR(K746/F746,"")</f>
        <v/>
      </c>
      <c r="AF746" s="2">
        <f>IFERROR(L746/B746,"")</f>
        <v/>
      </c>
      <c r="AG746" s="2">
        <f>IFERROR(M746/C746,"")</f>
        <v/>
      </c>
      <c r="AH746" s="2">
        <f>IFERROR(N746/D746,"")</f>
        <v/>
      </c>
      <c r="AI746" s="2">
        <f>IFERROR(O746/E746,"")</f>
        <v/>
      </c>
      <c r="AJ746" s="2">
        <f>IFERROR(P746/F746,"")</f>
        <v/>
      </c>
      <c r="AK746" s="2">
        <f>IFERROR(Q746/B746,"")</f>
        <v/>
      </c>
      <c r="AL746" s="2">
        <f>IFERROR(R746/C746,"")</f>
        <v/>
      </c>
      <c r="AM746" s="2">
        <f>IFERROR(S746/D746,"")</f>
        <v/>
      </c>
      <c r="AN746" s="2">
        <f>IFERROR(T746/E746,"")</f>
        <v/>
      </c>
      <c r="AO746" s="2">
        <f>IFERROR(U746/F746,"")</f>
        <v/>
      </c>
    </row>
    <row r="747">
      <c r="B747">
        <f>IF($A747="","",IFERROR(INDEX('[AQ_2020.xlsx]原始数据'!$B:$B,MATCH($A747,'[AQ_2020.xlsx]原始数据'!$A:$A,0)),""))</f>
        <v/>
      </c>
      <c r="C747">
        <f>IF($A747="","",IFERROR(INDEX('[AQ_2021.xlsx]原始数据'!$B:$B,MATCH($A747,'[AQ_2021.xlsx]原始数据'!$A:$A,0)),""))</f>
        <v/>
      </c>
      <c r="D747">
        <f>IF($A747="","",IFERROR(INDEX('[AQ_2022.xlsx]原始数据'!$B:$B,MATCH($A747,'[AQ_2022.xlsx]原始数据'!$A:$A,0)),""))</f>
        <v/>
      </c>
      <c r="E747">
        <f>IF($A747="","",IFERROR(INDEX('[AQ_2023.xlsx]原始数据'!$B:$B,MATCH($A747,'[AQ_2023.xlsx]原始数据'!$A:$A,0)),""))</f>
        <v/>
      </c>
      <c r="F747">
        <f>IF($A747="","",IFERROR(INDEX('[AQ_2024.xlsx]原始数据'!$B:$B,MATCH($A747,'[AQ_2024.xlsx]原始数据'!$A:$A,0)),""))</f>
        <v/>
      </c>
      <c r="G747">
        <f>IF($A747="","",IFERROR(INDEX('[AQ_2020.xlsx]原始数据'!$C:$C,MATCH($A747,'[AQ_2020.xlsx]原始数据'!$A:$A,0)),""))</f>
        <v/>
      </c>
      <c r="H747">
        <f>IF($A747="","",IFERROR(INDEX('[AQ_2021.xlsx]原始数据'!$C:$C,MATCH($A747,'[AQ_2021.xlsx]原始数据'!$A:$A,0)),""))</f>
        <v/>
      </c>
      <c r="I747">
        <f>IF($A747="","",IFERROR(INDEX('[AQ_2022.xlsx]原始数据'!$C:$C,MATCH($A747,'[AQ_2022.xlsx]原始数据'!$A:$A,0)),""))</f>
        <v/>
      </c>
      <c r="J747">
        <f>IF($A747="","",IFERROR(INDEX('[AQ_2023.xlsx]原始数据'!$C:$C,MATCH($A747,'[AQ_2023.xlsx]原始数据'!$A:$A,0)),""))</f>
        <v/>
      </c>
      <c r="K747">
        <f>IF($A747="","",IFERROR(INDEX('[AQ_2024.xlsx]原始数据'!$C:$C,MATCH($A747,'[AQ_2024.xlsx]原始数据'!$A:$A,0)),""))</f>
        <v/>
      </c>
      <c r="L747">
        <f>IF($A747="","",IFERROR(INDEX('[AQ_2020.xlsx]原始数据'!$D:$D,MATCH($A747,'[AQ_2020.xlsx]原始数据'!$A:$A,0)),""))</f>
        <v/>
      </c>
      <c r="M747">
        <f>IF($A747="","",IFERROR(INDEX('[AQ_2021.xlsx]原始数据'!$D:$D,MATCH($A747,'[AQ_2021.xlsx]原始数据'!$A:$A,0)),""))</f>
        <v/>
      </c>
      <c r="N747">
        <f>IF($A747="","",IFERROR(INDEX('[AQ_2022.xlsx]原始数据'!$D:$D,MATCH($A747,'[AQ_2022.xlsx]原始数据'!$A:$A,0)),""))</f>
        <v/>
      </c>
      <c r="O747">
        <f>IF($A747="","",IFERROR(INDEX('[AQ_2023.xlsx]原始数据'!$D:$D,MATCH($A747,'[AQ_2023.xlsx]原始数据'!$A:$A,0)),""))</f>
        <v/>
      </c>
      <c r="P747">
        <f>IF($A747="","",IFERROR(INDEX('[AQ_2024.xlsx]原始数据'!$D:$D,MATCH($A747,'[AQ_2024.xlsx]原始数据'!$A:$A,0)),""))</f>
        <v/>
      </c>
      <c r="Q747">
        <f>IF($A747="","",IFERROR(INDEX('[AQ_2020.xlsx]原始数据'!$E:$E,MATCH($A747,'[AQ_2020.xlsx]原始数据'!$A:$A,0)),""))</f>
        <v/>
      </c>
      <c r="R747">
        <f>IF($A747="","",IFERROR(INDEX('[AQ_2021.xlsx]原始数据'!$E:$E,MATCH($A747,'[AQ_2021.xlsx]原始数据'!$A:$A,0)),""))</f>
        <v/>
      </c>
      <c r="S747">
        <f>IF($A747="","",IFERROR(INDEX('[AQ_2022.xlsx]原始数据'!$E:$E,MATCH($A747,'[AQ_2022.xlsx]原始数据'!$A:$A,0)),""))</f>
        <v/>
      </c>
      <c r="T747">
        <f>IF($A747="","",IFERROR(INDEX('[AQ_2023.xlsx]原始数据'!$E:$E,MATCH($A747,'[AQ_2023.xlsx]原始数据'!$A:$A,0)),""))</f>
        <v/>
      </c>
      <c r="U747">
        <f>IF($A747="","",IFERROR(INDEX('[AQ_2024.xlsx]原始数据'!$E:$E,MATCH($A747,'[AQ_2024.xlsx]原始数据'!$A:$A,0)),""))</f>
        <v/>
      </c>
      <c r="V747">
        <f>IF($A747="","",IFERROR(INDEX('[AQ_2020.xlsx]原始数据'!$F:$F,MATCH($A747,'[AQ_2020.xlsx]原始数据'!$A:$A,0)),""))</f>
        <v/>
      </c>
      <c r="W747">
        <f>IF($A747="","",IFERROR(INDEX('[AQ_2021.xlsx]原始数据'!$F:$F,MATCH($A747,'[AQ_2021.xlsx]原始数据'!$A:$A,0)),""))</f>
        <v/>
      </c>
      <c r="X747">
        <f>IF($A747="","",IFERROR(INDEX('[AQ_2022.xlsx]原始数据'!$F:$F,MATCH($A747,'[AQ_2022.xlsx]原始数据'!$A:$A,0)),""))</f>
        <v/>
      </c>
      <c r="Y747">
        <f>IF($A747="","",IFERROR(INDEX('[AQ_2023.xlsx]原始数据'!$F:$F,MATCH($A747,'[AQ_2023.xlsx]原始数据'!$A:$A,0)),""))</f>
        <v/>
      </c>
      <c r="Z747">
        <f>IF($A747="","",IFERROR(INDEX('[AQ_2024.xlsx]原始数据'!$F:$F,MATCH($A747,'[AQ_2024.xlsx]原始数据'!$A:$A,0)),""))</f>
        <v/>
      </c>
      <c r="AA747" s="2">
        <f>IFERROR(G747/B747,"")</f>
        <v/>
      </c>
      <c r="AB747" s="2">
        <f>IFERROR(H747/C747,"")</f>
        <v/>
      </c>
      <c r="AC747" s="2">
        <f>IFERROR(I747/D747,"")</f>
        <v/>
      </c>
      <c r="AD747" s="2">
        <f>IFERROR(J747/E747,"")</f>
        <v/>
      </c>
      <c r="AE747" s="2">
        <f>IFERROR(K747/F747,"")</f>
        <v/>
      </c>
      <c r="AF747" s="2">
        <f>IFERROR(L747/B747,"")</f>
        <v/>
      </c>
      <c r="AG747" s="2">
        <f>IFERROR(M747/C747,"")</f>
        <v/>
      </c>
      <c r="AH747" s="2">
        <f>IFERROR(N747/D747,"")</f>
        <v/>
      </c>
      <c r="AI747" s="2">
        <f>IFERROR(O747/E747,"")</f>
        <v/>
      </c>
      <c r="AJ747" s="2">
        <f>IFERROR(P747/F747,"")</f>
        <v/>
      </c>
      <c r="AK747" s="2">
        <f>IFERROR(Q747/B747,"")</f>
        <v/>
      </c>
      <c r="AL747" s="2">
        <f>IFERROR(R747/C747,"")</f>
        <v/>
      </c>
      <c r="AM747" s="2">
        <f>IFERROR(S747/D747,"")</f>
        <v/>
      </c>
      <c r="AN747" s="2">
        <f>IFERROR(T747/E747,"")</f>
        <v/>
      </c>
      <c r="AO747" s="2">
        <f>IFERROR(U747/F747,"")</f>
        <v/>
      </c>
    </row>
    <row r="748">
      <c r="B748">
        <f>IF($A748="","",IFERROR(INDEX('[AQ_2020.xlsx]原始数据'!$B:$B,MATCH($A748,'[AQ_2020.xlsx]原始数据'!$A:$A,0)),""))</f>
        <v/>
      </c>
      <c r="C748">
        <f>IF($A748="","",IFERROR(INDEX('[AQ_2021.xlsx]原始数据'!$B:$B,MATCH($A748,'[AQ_2021.xlsx]原始数据'!$A:$A,0)),""))</f>
        <v/>
      </c>
      <c r="D748">
        <f>IF($A748="","",IFERROR(INDEX('[AQ_2022.xlsx]原始数据'!$B:$B,MATCH($A748,'[AQ_2022.xlsx]原始数据'!$A:$A,0)),""))</f>
        <v/>
      </c>
      <c r="E748">
        <f>IF($A748="","",IFERROR(INDEX('[AQ_2023.xlsx]原始数据'!$B:$B,MATCH($A748,'[AQ_2023.xlsx]原始数据'!$A:$A,0)),""))</f>
        <v/>
      </c>
      <c r="F748">
        <f>IF($A748="","",IFERROR(INDEX('[AQ_2024.xlsx]原始数据'!$B:$B,MATCH($A748,'[AQ_2024.xlsx]原始数据'!$A:$A,0)),""))</f>
        <v/>
      </c>
      <c r="G748">
        <f>IF($A748="","",IFERROR(INDEX('[AQ_2020.xlsx]原始数据'!$C:$C,MATCH($A748,'[AQ_2020.xlsx]原始数据'!$A:$A,0)),""))</f>
        <v/>
      </c>
      <c r="H748">
        <f>IF($A748="","",IFERROR(INDEX('[AQ_2021.xlsx]原始数据'!$C:$C,MATCH($A748,'[AQ_2021.xlsx]原始数据'!$A:$A,0)),""))</f>
        <v/>
      </c>
      <c r="I748">
        <f>IF($A748="","",IFERROR(INDEX('[AQ_2022.xlsx]原始数据'!$C:$C,MATCH($A748,'[AQ_2022.xlsx]原始数据'!$A:$A,0)),""))</f>
        <v/>
      </c>
      <c r="J748">
        <f>IF($A748="","",IFERROR(INDEX('[AQ_2023.xlsx]原始数据'!$C:$C,MATCH($A748,'[AQ_2023.xlsx]原始数据'!$A:$A,0)),""))</f>
        <v/>
      </c>
      <c r="K748">
        <f>IF($A748="","",IFERROR(INDEX('[AQ_2024.xlsx]原始数据'!$C:$C,MATCH($A748,'[AQ_2024.xlsx]原始数据'!$A:$A,0)),""))</f>
        <v/>
      </c>
      <c r="L748">
        <f>IF($A748="","",IFERROR(INDEX('[AQ_2020.xlsx]原始数据'!$D:$D,MATCH($A748,'[AQ_2020.xlsx]原始数据'!$A:$A,0)),""))</f>
        <v/>
      </c>
      <c r="M748">
        <f>IF($A748="","",IFERROR(INDEX('[AQ_2021.xlsx]原始数据'!$D:$D,MATCH($A748,'[AQ_2021.xlsx]原始数据'!$A:$A,0)),""))</f>
        <v/>
      </c>
      <c r="N748">
        <f>IF($A748="","",IFERROR(INDEX('[AQ_2022.xlsx]原始数据'!$D:$D,MATCH($A748,'[AQ_2022.xlsx]原始数据'!$A:$A,0)),""))</f>
        <v/>
      </c>
      <c r="O748">
        <f>IF($A748="","",IFERROR(INDEX('[AQ_2023.xlsx]原始数据'!$D:$D,MATCH($A748,'[AQ_2023.xlsx]原始数据'!$A:$A,0)),""))</f>
        <v/>
      </c>
      <c r="P748">
        <f>IF($A748="","",IFERROR(INDEX('[AQ_2024.xlsx]原始数据'!$D:$D,MATCH($A748,'[AQ_2024.xlsx]原始数据'!$A:$A,0)),""))</f>
        <v/>
      </c>
      <c r="Q748">
        <f>IF($A748="","",IFERROR(INDEX('[AQ_2020.xlsx]原始数据'!$E:$E,MATCH($A748,'[AQ_2020.xlsx]原始数据'!$A:$A,0)),""))</f>
        <v/>
      </c>
      <c r="R748">
        <f>IF($A748="","",IFERROR(INDEX('[AQ_2021.xlsx]原始数据'!$E:$E,MATCH($A748,'[AQ_2021.xlsx]原始数据'!$A:$A,0)),""))</f>
        <v/>
      </c>
      <c r="S748">
        <f>IF($A748="","",IFERROR(INDEX('[AQ_2022.xlsx]原始数据'!$E:$E,MATCH($A748,'[AQ_2022.xlsx]原始数据'!$A:$A,0)),""))</f>
        <v/>
      </c>
      <c r="T748">
        <f>IF($A748="","",IFERROR(INDEX('[AQ_2023.xlsx]原始数据'!$E:$E,MATCH($A748,'[AQ_2023.xlsx]原始数据'!$A:$A,0)),""))</f>
        <v/>
      </c>
      <c r="U748">
        <f>IF($A748="","",IFERROR(INDEX('[AQ_2024.xlsx]原始数据'!$E:$E,MATCH($A748,'[AQ_2024.xlsx]原始数据'!$A:$A,0)),""))</f>
        <v/>
      </c>
      <c r="V748">
        <f>IF($A748="","",IFERROR(INDEX('[AQ_2020.xlsx]原始数据'!$F:$F,MATCH($A748,'[AQ_2020.xlsx]原始数据'!$A:$A,0)),""))</f>
        <v/>
      </c>
      <c r="W748">
        <f>IF($A748="","",IFERROR(INDEX('[AQ_2021.xlsx]原始数据'!$F:$F,MATCH($A748,'[AQ_2021.xlsx]原始数据'!$A:$A,0)),""))</f>
        <v/>
      </c>
      <c r="X748">
        <f>IF($A748="","",IFERROR(INDEX('[AQ_2022.xlsx]原始数据'!$F:$F,MATCH($A748,'[AQ_2022.xlsx]原始数据'!$A:$A,0)),""))</f>
        <v/>
      </c>
      <c r="Y748">
        <f>IF($A748="","",IFERROR(INDEX('[AQ_2023.xlsx]原始数据'!$F:$F,MATCH($A748,'[AQ_2023.xlsx]原始数据'!$A:$A,0)),""))</f>
        <v/>
      </c>
      <c r="Z748">
        <f>IF($A748="","",IFERROR(INDEX('[AQ_2024.xlsx]原始数据'!$F:$F,MATCH($A748,'[AQ_2024.xlsx]原始数据'!$A:$A,0)),""))</f>
        <v/>
      </c>
      <c r="AA748" s="2">
        <f>IFERROR(G748/B748,"")</f>
        <v/>
      </c>
      <c r="AB748" s="2">
        <f>IFERROR(H748/C748,"")</f>
        <v/>
      </c>
      <c r="AC748" s="2">
        <f>IFERROR(I748/D748,"")</f>
        <v/>
      </c>
      <c r="AD748" s="2">
        <f>IFERROR(J748/E748,"")</f>
        <v/>
      </c>
      <c r="AE748" s="2">
        <f>IFERROR(K748/F748,"")</f>
        <v/>
      </c>
      <c r="AF748" s="2">
        <f>IFERROR(L748/B748,"")</f>
        <v/>
      </c>
      <c r="AG748" s="2">
        <f>IFERROR(M748/C748,"")</f>
        <v/>
      </c>
      <c r="AH748" s="2">
        <f>IFERROR(N748/D748,"")</f>
        <v/>
      </c>
      <c r="AI748" s="2">
        <f>IFERROR(O748/E748,"")</f>
        <v/>
      </c>
      <c r="AJ748" s="2">
        <f>IFERROR(P748/F748,"")</f>
        <v/>
      </c>
      <c r="AK748" s="2">
        <f>IFERROR(Q748/B748,"")</f>
        <v/>
      </c>
      <c r="AL748" s="2">
        <f>IFERROR(R748/C748,"")</f>
        <v/>
      </c>
      <c r="AM748" s="2">
        <f>IFERROR(S748/D748,"")</f>
        <v/>
      </c>
      <c r="AN748" s="2">
        <f>IFERROR(T748/E748,"")</f>
        <v/>
      </c>
      <c r="AO748" s="2">
        <f>IFERROR(U748/F748,"")</f>
        <v/>
      </c>
    </row>
    <row r="749">
      <c r="B749">
        <f>IF($A749="","",IFERROR(INDEX('[AQ_2020.xlsx]原始数据'!$B:$B,MATCH($A749,'[AQ_2020.xlsx]原始数据'!$A:$A,0)),""))</f>
        <v/>
      </c>
      <c r="C749">
        <f>IF($A749="","",IFERROR(INDEX('[AQ_2021.xlsx]原始数据'!$B:$B,MATCH($A749,'[AQ_2021.xlsx]原始数据'!$A:$A,0)),""))</f>
        <v/>
      </c>
      <c r="D749">
        <f>IF($A749="","",IFERROR(INDEX('[AQ_2022.xlsx]原始数据'!$B:$B,MATCH($A749,'[AQ_2022.xlsx]原始数据'!$A:$A,0)),""))</f>
        <v/>
      </c>
      <c r="E749">
        <f>IF($A749="","",IFERROR(INDEX('[AQ_2023.xlsx]原始数据'!$B:$B,MATCH($A749,'[AQ_2023.xlsx]原始数据'!$A:$A,0)),""))</f>
        <v/>
      </c>
      <c r="F749">
        <f>IF($A749="","",IFERROR(INDEX('[AQ_2024.xlsx]原始数据'!$B:$B,MATCH($A749,'[AQ_2024.xlsx]原始数据'!$A:$A,0)),""))</f>
        <v/>
      </c>
      <c r="G749">
        <f>IF($A749="","",IFERROR(INDEX('[AQ_2020.xlsx]原始数据'!$C:$C,MATCH($A749,'[AQ_2020.xlsx]原始数据'!$A:$A,0)),""))</f>
        <v/>
      </c>
      <c r="H749">
        <f>IF($A749="","",IFERROR(INDEX('[AQ_2021.xlsx]原始数据'!$C:$C,MATCH($A749,'[AQ_2021.xlsx]原始数据'!$A:$A,0)),""))</f>
        <v/>
      </c>
      <c r="I749">
        <f>IF($A749="","",IFERROR(INDEX('[AQ_2022.xlsx]原始数据'!$C:$C,MATCH($A749,'[AQ_2022.xlsx]原始数据'!$A:$A,0)),""))</f>
        <v/>
      </c>
      <c r="J749">
        <f>IF($A749="","",IFERROR(INDEX('[AQ_2023.xlsx]原始数据'!$C:$C,MATCH($A749,'[AQ_2023.xlsx]原始数据'!$A:$A,0)),""))</f>
        <v/>
      </c>
      <c r="K749">
        <f>IF($A749="","",IFERROR(INDEX('[AQ_2024.xlsx]原始数据'!$C:$C,MATCH($A749,'[AQ_2024.xlsx]原始数据'!$A:$A,0)),""))</f>
        <v/>
      </c>
      <c r="L749">
        <f>IF($A749="","",IFERROR(INDEX('[AQ_2020.xlsx]原始数据'!$D:$D,MATCH($A749,'[AQ_2020.xlsx]原始数据'!$A:$A,0)),""))</f>
        <v/>
      </c>
      <c r="M749">
        <f>IF($A749="","",IFERROR(INDEX('[AQ_2021.xlsx]原始数据'!$D:$D,MATCH($A749,'[AQ_2021.xlsx]原始数据'!$A:$A,0)),""))</f>
        <v/>
      </c>
      <c r="N749">
        <f>IF($A749="","",IFERROR(INDEX('[AQ_2022.xlsx]原始数据'!$D:$D,MATCH($A749,'[AQ_2022.xlsx]原始数据'!$A:$A,0)),""))</f>
        <v/>
      </c>
      <c r="O749">
        <f>IF($A749="","",IFERROR(INDEX('[AQ_2023.xlsx]原始数据'!$D:$D,MATCH($A749,'[AQ_2023.xlsx]原始数据'!$A:$A,0)),""))</f>
        <v/>
      </c>
      <c r="P749">
        <f>IF($A749="","",IFERROR(INDEX('[AQ_2024.xlsx]原始数据'!$D:$D,MATCH($A749,'[AQ_2024.xlsx]原始数据'!$A:$A,0)),""))</f>
        <v/>
      </c>
      <c r="Q749">
        <f>IF($A749="","",IFERROR(INDEX('[AQ_2020.xlsx]原始数据'!$E:$E,MATCH($A749,'[AQ_2020.xlsx]原始数据'!$A:$A,0)),""))</f>
        <v/>
      </c>
      <c r="R749">
        <f>IF($A749="","",IFERROR(INDEX('[AQ_2021.xlsx]原始数据'!$E:$E,MATCH($A749,'[AQ_2021.xlsx]原始数据'!$A:$A,0)),""))</f>
        <v/>
      </c>
      <c r="S749">
        <f>IF($A749="","",IFERROR(INDEX('[AQ_2022.xlsx]原始数据'!$E:$E,MATCH($A749,'[AQ_2022.xlsx]原始数据'!$A:$A,0)),""))</f>
        <v/>
      </c>
      <c r="T749">
        <f>IF($A749="","",IFERROR(INDEX('[AQ_2023.xlsx]原始数据'!$E:$E,MATCH($A749,'[AQ_2023.xlsx]原始数据'!$A:$A,0)),""))</f>
        <v/>
      </c>
      <c r="U749">
        <f>IF($A749="","",IFERROR(INDEX('[AQ_2024.xlsx]原始数据'!$E:$E,MATCH($A749,'[AQ_2024.xlsx]原始数据'!$A:$A,0)),""))</f>
        <v/>
      </c>
      <c r="V749">
        <f>IF($A749="","",IFERROR(INDEX('[AQ_2020.xlsx]原始数据'!$F:$F,MATCH($A749,'[AQ_2020.xlsx]原始数据'!$A:$A,0)),""))</f>
        <v/>
      </c>
      <c r="W749">
        <f>IF($A749="","",IFERROR(INDEX('[AQ_2021.xlsx]原始数据'!$F:$F,MATCH($A749,'[AQ_2021.xlsx]原始数据'!$A:$A,0)),""))</f>
        <v/>
      </c>
      <c r="X749">
        <f>IF($A749="","",IFERROR(INDEX('[AQ_2022.xlsx]原始数据'!$F:$F,MATCH($A749,'[AQ_2022.xlsx]原始数据'!$A:$A,0)),""))</f>
        <v/>
      </c>
      <c r="Y749">
        <f>IF($A749="","",IFERROR(INDEX('[AQ_2023.xlsx]原始数据'!$F:$F,MATCH($A749,'[AQ_2023.xlsx]原始数据'!$A:$A,0)),""))</f>
        <v/>
      </c>
      <c r="Z749">
        <f>IF($A749="","",IFERROR(INDEX('[AQ_2024.xlsx]原始数据'!$F:$F,MATCH($A749,'[AQ_2024.xlsx]原始数据'!$A:$A,0)),""))</f>
        <v/>
      </c>
      <c r="AA749" s="2">
        <f>IFERROR(G749/B749,"")</f>
        <v/>
      </c>
      <c r="AB749" s="2">
        <f>IFERROR(H749/C749,"")</f>
        <v/>
      </c>
      <c r="AC749" s="2">
        <f>IFERROR(I749/D749,"")</f>
        <v/>
      </c>
      <c r="AD749" s="2">
        <f>IFERROR(J749/E749,"")</f>
        <v/>
      </c>
      <c r="AE749" s="2">
        <f>IFERROR(K749/F749,"")</f>
        <v/>
      </c>
      <c r="AF749" s="2">
        <f>IFERROR(L749/B749,"")</f>
        <v/>
      </c>
      <c r="AG749" s="2">
        <f>IFERROR(M749/C749,"")</f>
        <v/>
      </c>
      <c r="AH749" s="2">
        <f>IFERROR(N749/D749,"")</f>
        <v/>
      </c>
      <c r="AI749" s="2">
        <f>IFERROR(O749/E749,"")</f>
        <v/>
      </c>
      <c r="AJ749" s="2">
        <f>IFERROR(P749/F749,"")</f>
        <v/>
      </c>
      <c r="AK749" s="2">
        <f>IFERROR(Q749/B749,"")</f>
        <v/>
      </c>
      <c r="AL749" s="2">
        <f>IFERROR(R749/C749,"")</f>
        <v/>
      </c>
      <c r="AM749" s="2">
        <f>IFERROR(S749/D749,"")</f>
        <v/>
      </c>
      <c r="AN749" s="2">
        <f>IFERROR(T749/E749,"")</f>
        <v/>
      </c>
      <c r="AO749" s="2">
        <f>IFERROR(U749/F749,"")</f>
        <v/>
      </c>
    </row>
    <row r="750">
      <c r="B750">
        <f>IF($A750="","",IFERROR(INDEX('[AQ_2020.xlsx]原始数据'!$B:$B,MATCH($A750,'[AQ_2020.xlsx]原始数据'!$A:$A,0)),""))</f>
        <v/>
      </c>
      <c r="C750">
        <f>IF($A750="","",IFERROR(INDEX('[AQ_2021.xlsx]原始数据'!$B:$B,MATCH($A750,'[AQ_2021.xlsx]原始数据'!$A:$A,0)),""))</f>
        <v/>
      </c>
      <c r="D750">
        <f>IF($A750="","",IFERROR(INDEX('[AQ_2022.xlsx]原始数据'!$B:$B,MATCH($A750,'[AQ_2022.xlsx]原始数据'!$A:$A,0)),""))</f>
        <v/>
      </c>
      <c r="E750">
        <f>IF($A750="","",IFERROR(INDEX('[AQ_2023.xlsx]原始数据'!$B:$B,MATCH($A750,'[AQ_2023.xlsx]原始数据'!$A:$A,0)),""))</f>
        <v/>
      </c>
      <c r="F750">
        <f>IF($A750="","",IFERROR(INDEX('[AQ_2024.xlsx]原始数据'!$B:$B,MATCH($A750,'[AQ_2024.xlsx]原始数据'!$A:$A,0)),""))</f>
        <v/>
      </c>
      <c r="G750">
        <f>IF($A750="","",IFERROR(INDEX('[AQ_2020.xlsx]原始数据'!$C:$C,MATCH($A750,'[AQ_2020.xlsx]原始数据'!$A:$A,0)),""))</f>
        <v/>
      </c>
      <c r="H750">
        <f>IF($A750="","",IFERROR(INDEX('[AQ_2021.xlsx]原始数据'!$C:$C,MATCH($A750,'[AQ_2021.xlsx]原始数据'!$A:$A,0)),""))</f>
        <v/>
      </c>
      <c r="I750">
        <f>IF($A750="","",IFERROR(INDEX('[AQ_2022.xlsx]原始数据'!$C:$C,MATCH($A750,'[AQ_2022.xlsx]原始数据'!$A:$A,0)),""))</f>
        <v/>
      </c>
      <c r="J750">
        <f>IF($A750="","",IFERROR(INDEX('[AQ_2023.xlsx]原始数据'!$C:$C,MATCH($A750,'[AQ_2023.xlsx]原始数据'!$A:$A,0)),""))</f>
        <v/>
      </c>
      <c r="K750">
        <f>IF($A750="","",IFERROR(INDEX('[AQ_2024.xlsx]原始数据'!$C:$C,MATCH($A750,'[AQ_2024.xlsx]原始数据'!$A:$A,0)),""))</f>
        <v/>
      </c>
      <c r="L750">
        <f>IF($A750="","",IFERROR(INDEX('[AQ_2020.xlsx]原始数据'!$D:$D,MATCH($A750,'[AQ_2020.xlsx]原始数据'!$A:$A,0)),""))</f>
        <v/>
      </c>
      <c r="M750">
        <f>IF($A750="","",IFERROR(INDEX('[AQ_2021.xlsx]原始数据'!$D:$D,MATCH($A750,'[AQ_2021.xlsx]原始数据'!$A:$A,0)),""))</f>
        <v/>
      </c>
      <c r="N750">
        <f>IF($A750="","",IFERROR(INDEX('[AQ_2022.xlsx]原始数据'!$D:$D,MATCH($A750,'[AQ_2022.xlsx]原始数据'!$A:$A,0)),""))</f>
        <v/>
      </c>
      <c r="O750">
        <f>IF($A750="","",IFERROR(INDEX('[AQ_2023.xlsx]原始数据'!$D:$D,MATCH($A750,'[AQ_2023.xlsx]原始数据'!$A:$A,0)),""))</f>
        <v/>
      </c>
      <c r="P750">
        <f>IF($A750="","",IFERROR(INDEX('[AQ_2024.xlsx]原始数据'!$D:$D,MATCH($A750,'[AQ_2024.xlsx]原始数据'!$A:$A,0)),""))</f>
        <v/>
      </c>
      <c r="Q750">
        <f>IF($A750="","",IFERROR(INDEX('[AQ_2020.xlsx]原始数据'!$E:$E,MATCH($A750,'[AQ_2020.xlsx]原始数据'!$A:$A,0)),""))</f>
        <v/>
      </c>
      <c r="R750">
        <f>IF($A750="","",IFERROR(INDEX('[AQ_2021.xlsx]原始数据'!$E:$E,MATCH($A750,'[AQ_2021.xlsx]原始数据'!$A:$A,0)),""))</f>
        <v/>
      </c>
      <c r="S750">
        <f>IF($A750="","",IFERROR(INDEX('[AQ_2022.xlsx]原始数据'!$E:$E,MATCH($A750,'[AQ_2022.xlsx]原始数据'!$A:$A,0)),""))</f>
        <v/>
      </c>
      <c r="T750">
        <f>IF($A750="","",IFERROR(INDEX('[AQ_2023.xlsx]原始数据'!$E:$E,MATCH($A750,'[AQ_2023.xlsx]原始数据'!$A:$A,0)),""))</f>
        <v/>
      </c>
      <c r="U750">
        <f>IF($A750="","",IFERROR(INDEX('[AQ_2024.xlsx]原始数据'!$E:$E,MATCH($A750,'[AQ_2024.xlsx]原始数据'!$A:$A,0)),""))</f>
        <v/>
      </c>
      <c r="V750">
        <f>IF($A750="","",IFERROR(INDEX('[AQ_2020.xlsx]原始数据'!$F:$F,MATCH($A750,'[AQ_2020.xlsx]原始数据'!$A:$A,0)),""))</f>
        <v/>
      </c>
      <c r="W750">
        <f>IF($A750="","",IFERROR(INDEX('[AQ_2021.xlsx]原始数据'!$F:$F,MATCH($A750,'[AQ_2021.xlsx]原始数据'!$A:$A,0)),""))</f>
        <v/>
      </c>
      <c r="X750">
        <f>IF($A750="","",IFERROR(INDEX('[AQ_2022.xlsx]原始数据'!$F:$F,MATCH($A750,'[AQ_2022.xlsx]原始数据'!$A:$A,0)),""))</f>
        <v/>
      </c>
      <c r="Y750">
        <f>IF($A750="","",IFERROR(INDEX('[AQ_2023.xlsx]原始数据'!$F:$F,MATCH($A750,'[AQ_2023.xlsx]原始数据'!$A:$A,0)),""))</f>
        <v/>
      </c>
      <c r="Z750">
        <f>IF($A750="","",IFERROR(INDEX('[AQ_2024.xlsx]原始数据'!$F:$F,MATCH($A750,'[AQ_2024.xlsx]原始数据'!$A:$A,0)),""))</f>
        <v/>
      </c>
      <c r="AA750" s="2">
        <f>IFERROR(G750/B750,"")</f>
        <v/>
      </c>
      <c r="AB750" s="2">
        <f>IFERROR(H750/C750,"")</f>
        <v/>
      </c>
      <c r="AC750" s="2">
        <f>IFERROR(I750/D750,"")</f>
        <v/>
      </c>
      <c r="AD750" s="2">
        <f>IFERROR(J750/E750,"")</f>
        <v/>
      </c>
      <c r="AE750" s="2">
        <f>IFERROR(K750/F750,"")</f>
        <v/>
      </c>
      <c r="AF750" s="2">
        <f>IFERROR(L750/B750,"")</f>
        <v/>
      </c>
      <c r="AG750" s="2">
        <f>IFERROR(M750/C750,"")</f>
        <v/>
      </c>
      <c r="AH750" s="2">
        <f>IFERROR(N750/D750,"")</f>
        <v/>
      </c>
      <c r="AI750" s="2">
        <f>IFERROR(O750/E750,"")</f>
        <v/>
      </c>
      <c r="AJ750" s="2">
        <f>IFERROR(P750/F750,"")</f>
        <v/>
      </c>
      <c r="AK750" s="2">
        <f>IFERROR(Q750/B750,"")</f>
        <v/>
      </c>
      <c r="AL750" s="2">
        <f>IFERROR(R750/C750,"")</f>
        <v/>
      </c>
      <c r="AM750" s="2">
        <f>IFERROR(S750/D750,"")</f>
        <v/>
      </c>
      <c r="AN750" s="2">
        <f>IFERROR(T750/E750,"")</f>
        <v/>
      </c>
      <c r="AO750" s="2">
        <f>IFERROR(U750/F750,"")</f>
        <v/>
      </c>
    </row>
    <row r="751">
      <c r="B751">
        <f>IF($A751="","",IFERROR(INDEX('[AQ_2020.xlsx]原始数据'!$B:$B,MATCH($A751,'[AQ_2020.xlsx]原始数据'!$A:$A,0)),""))</f>
        <v/>
      </c>
      <c r="C751">
        <f>IF($A751="","",IFERROR(INDEX('[AQ_2021.xlsx]原始数据'!$B:$B,MATCH($A751,'[AQ_2021.xlsx]原始数据'!$A:$A,0)),""))</f>
        <v/>
      </c>
      <c r="D751">
        <f>IF($A751="","",IFERROR(INDEX('[AQ_2022.xlsx]原始数据'!$B:$B,MATCH($A751,'[AQ_2022.xlsx]原始数据'!$A:$A,0)),""))</f>
        <v/>
      </c>
      <c r="E751">
        <f>IF($A751="","",IFERROR(INDEX('[AQ_2023.xlsx]原始数据'!$B:$B,MATCH($A751,'[AQ_2023.xlsx]原始数据'!$A:$A,0)),""))</f>
        <v/>
      </c>
      <c r="F751">
        <f>IF($A751="","",IFERROR(INDEX('[AQ_2024.xlsx]原始数据'!$B:$B,MATCH($A751,'[AQ_2024.xlsx]原始数据'!$A:$A,0)),""))</f>
        <v/>
      </c>
      <c r="G751">
        <f>IF($A751="","",IFERROR(INDEX('[AQ_2020.xlsx]原始数据'!$C:$C,MATCH($A751,'[AQ_2020.xlsx]原始数据'!$A:$A,0)),""))</f>
        <v/>
      </c>
      <c r="H751">
        <f>IF($A751="","",IFERROR(INDEX('[AQ_2021.xlsx]原始数据'!$C:$C,MATCH($A751,'[AQ_2021.xlsx]原始数据'!$A:$A,0)),""))</f>
        <v/>
      </c>
      <c r="I751">
        <f>IF($A751="","",IFERROR(INDEX('[AQ_2022.xlsx]原始数据'!$C:$C,MATCH($A751,'[AQ_2022.xlsx]原始数据'!$A:$A,0)),""))</f>
        <v/>
      </c>
      <c r="J751">
        <f>IF($A751="","",IFERROR(INDEX('[AQ_2023.xlsx]原始数据'!$C:$C,MATCH($A751,'[AQ_2023.xlsx]原始数据'!$A:$A,0)),""))</f>
        <v/>
      </c>
      <c r="K751">
        <f>IF($A751="","",IFERROR(INDEX('[AQ_2024.xlsx]原始数据'!$C:$C,MATCH($A751,'[AQ_2024.xlsx]原始数据'!$A:$A,0)),""))</f>
        <v/>
      </c>
      <c r="L751">
        <f>IF($A751="","",IFERROR(INDEX('[AQ_2020.xlsx]原始数据'!$D:$D,MATCH($A751,'[AQ_2020.xlsx]原始数据'!$A:$A,0)),""))</f>
        <v/>
      </c>
      <c r="M751">
        <f>IF($A751="","",IFERROR(INDEX('[AQ_2021.xlsx]原始数据'!$D:$D,MATCH($A751,'[AQ_2021.xlsx]原始数据'!$A:$A,0)),""))</f>
        <v/>
      </c>
      <c r="N751">
        <f>IF($A751="","",IFERROR(INDEX('[AQ_2022.xlsx]原始数据'!$D:$D,MATCH($A751,'[AQ_2022.xlsx]原始数据'!$A:$A,0)),""))</f>
        <v/>
      </c>
      <c r="O751">
        <f>IF($A751="","",IFERROR(INDEX('[AQ_2023.xlsx]原始数据'!$D:$D,MATCH($A751,'[AQ_2023.xlsx]原始数据'!$A:$A,0)),""))</f>
        <v/>
      </c>
      <c r="P751">
        <f>IF($A751="","",IFERROR(INDEX('[AQ_2024.xlsx]原始数据'!$D:$D,MATCH($A751,'[AQ_2024.xlsx]原始数据'!$A:$A,0)),""))</f>
        <v/>
      </c>
      <c r="Q751">
        <f>IF($A751="","",IFERROR(INDEX('[AQ_2020.xlsx]原始数据'!$E:$E,MATCH($A751,'[AQ_2020.xlsx]原始数据'!$A:$A,0)),""))</f>
        <v/>
      </c>
      <c r="R751">
        <f>IF($A751="","",IFERROR(INDEX('[AQ_2021.xlsx]原始数据'!$E:$E,MATCH($A751,'[AQ_2021.xlsx]原始数据'!$A:$A,0)),""))</f>
        <v/>
      </c>
      <c r="S751">
        <f>IF($A751="","",IFERROR(INDEX('[AQ_2022.xlsx]原始数据'!$E:$E,MATCH($A751,'[AQ_2022.xlsx]原始数据'!$A:$A,0)),""))</f>
        <v/>
      </c>
      <c r="T751">
        <f>IF($A751="","",IFERROR(INDEX('[AQ_2023.xlsx]原始数据'!$E:$E,MATCH($A751,'[AQ_2023.xlsx]原始数据'!$A:$A,0)),""))</f>
        <v/>
      </c>
      <c r="U751">
        <f>IF($A751="","",IFERROR(INDEX('[AQ_2024.xlsx]原始数据'!$E:$E,MATCH($A751,'[AQ_2024.xlsx]原始数据'!$A:$A,0)),""))</f>
        <v/>
      </c>
      <c r="V751">
        <f>IF($A751="","",IFERROR(INDEX('[AQ_2020.xlsx]原始数据'!$F:$F,MATCH($A751,'[AQ_2020.xlsx]原始数据'!$A:$A,0)),""))</f>
        <v/>
      </c>
      <c r="W751">
        <f>IF($A751="","",IFERROR(INDEX('[AQ_2021.xlsx]原始数据'!$F:$F,MATCH($A751,'[AQ_2021.xlsx]原始数据'!$A:$A,0)),""))</f>
        <v/>
      </c>
      <c r="X751">
        <f>IF($A751="","",IFERROR(INDEX('[AQ_2022.xlsx]原始数据'!$F:$F,MATCH($A751,'[AQ_2022.xlsx]原始数据'!$A:$A,0)),""))</f>
        <v/>
      </c>
      <c r="Y751">
        <f>IF($A751="","",IFERROR(INDEX('[AQ_2023.xlsx]原始数据'!$F:$F,MATCH($A751,'[AQ_2023.xlsx]原始数据'!$A:$A,0)),""))</f>
        <v/>
      </c>
      <c r="Z751">
        <f>IF($A751="","",IFERROR(INDEX('[AQ_2024.xlsx]原始数据'!$F:$F,MATCH($A751,'[AQ_2024.xlsx]原始数据'!$A:$A,0)),""))</f>
        <v/>
      </c>
      <c r="AA751" s="2">
        <f>IFERROR(G751/B751,"")</f>
        <v/>
      </c>
      <c r="AB751" s="2">
        <f>IFERROR(H751/C751,"")</f>
        <v/>
      </c>
      <c r="AC751" s="2">
        <f>IFERROR(I751/D751,"")</f>
        <v/>
      </c>
      <c r="AD751" s="2">
        <f>IFERROR(J751/E751,"")</f>
        <v/>
      </c>
      <c r="AE751" s="2">
        <f>IFERROR(K751/F751,"")</f>
        <v/>
      </c>
      <c r="AF751" s="2">
        <f>IFERROR(L751/B751,"")</f>
        <v/>
      </c>
      <c r="AG751" s="2">
        <f>IFERROR(M751/C751,"")</f>
        <v/>
      </c>
      <c r="AH751" s="2">
        <f>IFERROR(N751/D751,"")</f>
        <v/>
      </c>
      <c r="AI751" s="2">
        <f>IFERROR(O751/E751,"")</f>
        <v/>
      </c>
      <c r="AJ751" s="2">
        <f>IFERROR(P751/F751,"")</f>
        <v/>
      </c>
      <c r="AK751" s="2">
        <f>IFERROR(Q751/B751,"")</f>
        <v/>
      </c>
      <c r="AL751" s="2">
        <f>IFERROR(R751/C751,"")</f>
        <v/>
      </c>
      <c r="AM751" s="2">
        <f>IFERROR(S751/D751,"")</f>
        <v/>
      </c>
      <c r="AN751" s="2">
        <f>IFERROR(T751/E751,"")</f>
        <v/>
      </c>
      <c r="AO751" s="2">
        <f>IFERROR(U751/F751,"")</f>
        <v/>
      </c>
    </row>
    <row r="752">
      <c r="B752">
        <f>IF($A752="","",IFERROR(INDEX('[AQ_2020.xlsx]原始数据'!$B:$B,MATCH($A752,'[AQ_2020.xlsx]原始数据'!$A:$A,0)),""))</f>
        <v/>
      </c>
      <c r="C752">
        <f>IF($A752="","",IFERROR(INDEX('[AQ_2021.xlsx]原始数据'!$B:$B,MATCH($A752,'[AQ_2021.xlsx]原始数据'!$A:$A,0)),""))</f>
        <v/>
      </c>
      <c r="D752">
        <f>IF($A752="","",IFERROR(INDEX('[AQ_2022.xlsx]原始数据'!$B:$B,MATCH($A752,'[AQ_2022.xlsx]原始数据'!$A:$A,0)),""))</f>
        <v/>
      </c>
      <c r="E752">
        <f>IF($A752="","",IFERROR(INDEX('[AQ_2023.xlsx]原始数据'!$B:$B,MATCH($A752,'[AQ_2023.xlsx]原始数据'!$A:$A,0)),""))</f>
        <v/>
      </c>
      <c r="F752">
        <f>IF($A752="","",IFERROR(INDEX('[AQ_2024.xlsx]原始数据'!$B:$B,MATCH($A752,'[AQ_2024.xlsx]原始数据'!$A:$A,0)),""))</f>
        <v/>
      </c>
      <c r="G752">
        <f>IF($A752="","",IFERROR(INDEX('[AQ_2020.xlsx]原始数据'!$C:$C,MATCH($A752,'[AQ_2020.xlsx]原始数据'!$A:$A,0)),""))</f>
        <v/>
      </c>
      <c r="H752">
        <f>IF($A752="","",IFERROR(INDEX('[AQ_2021.xlsx]原始数据'!$C:$C,MATCH($A752,'[AQ_2021.xlsx]原始数据'!$A:$A,0)),""))</f>
        <v/>
      </c>
      <c r="I752">
        <f>IF($A752="","",IFERROR(INDEX('[AQ_2022.xlsx]原始数据'!$C:$C,MATCH($A752,'[AQ_2022.xlsx]原始数据'!$A:$A,0)),""))</f>
        <v/>
      </c>
      <c r="J752">
        <f>IF($A752="","",IFERROR(INDEX('[AQ_2023.xlsx]原始数据'!$C:$C,MATCH($A752,'[AQ_2023.xlsx]原始数据'!$A:$A,0)),""))</f>
        <v/>
      </c>
      <c r="K752">
        <f>IF($A752="","",IFERROR(INDEX('[AQ_2024.xlsx]原始数据'!$C:$C,MATCH($A752,'[AQ_2024.xlsx]原始数据'!$A:$A,0)),""))</f>
        <v/>
      </c>
      <c r="L752">
        <f>IF($A752="","",IFERROR(INDEX('[AQ_2020.xlsx]原始数据'!$D:$D,MATCH($A752,'[AQ_2020.xlsx]原始数据'!$A:$A,0)),""))</f>
        <v/>
      </c>
      <c r="M752">
        <f>IF($A752="","",IFERROR(INDEX('[AQ_2021.xlsx]原始数据'!$D:$D,MATCH($A752,'[AQ_2021.xlsx]原始数据'!$A:$A,0)),""))</f>
        <v/>
      </c>
      <c r="N752">
        <f>IF($A752="","",IFERROR(INDEX('[AQ_2022.xlsx]原始数据'!$D:$D,MATCH($A752,'[AQ_2022.xlsx]原始数据'!$A:$A,0)),""))</f>
        <v/>
      </c>
      <c r="O752">
        <f>IF($A752="","",IFERROR(INDEX('[AQ_2023.xlsx]原始数据'!$D:$D,MATCH($A752,'[AQ_2023.xlsx]原始数据'!$A:$A,0)),""))</f>
        <v/>
      </c>
      <c r="P752">
        <f>IF($A752="","",IFERROR(INDEX('[AQ_2024.xlsx]原始数据'!$D:$D,MATCH($A752,'[AQ_2024.xlsx]原始数据'!$A:$A,0)),""))</f>
        <v/>
      </c>
      <c r="Q752">
        <f>IF($A752="","",IFERROR(INDEX('[AQ_2020.xlsx]原始数据'!$E:$E,MATCH($A752,'[AQ_2020.xlsx]原始数据'!$A:$A,0)),""))</f>
        <v/>
      </c>
      <c r="R752">
        <f>IF($A752="","",IFERROR(INDEX('[AQ_2021.xlsx]原始数据'!$E:$E,MATCH($A752,'[AQ_2021.xlsx]原始数据'!$A:$A,0)),""))</f>
        <v/>
      </c>
      <c r="S752">
        <f>IF($A752="","",IFERROR(INDEX('[AQ_2022.xlsx]原始数据'!$E:$E,MATCH($A752,'[AQ_2022.xlsx]原始数据'!$A:$A,0)),""))</f>
        <v/>
      </c>
      <c r="T752">
        <f>IF($A752="","",IFERROR(INDEX('[AQ_2023.xlsx]原始数据'!$E:$E,MATCH($A752,'[AQ_2023.xlsx]原始数据'!$A:$A,0)),""))</f>
        <v/>
      </c>
      <c r="U752">
        <f>IF($A752="","",IFERROR(INDEX('[AQ_2024.xlsx]原始数据'!$E:$E,MATCH($A752,'[AQ_2024.xlsx]原始数据'!$A:$A,0)),""))</f>
        <v/>
      </c>
      <c r="V752">
        <f>IF($A752="","",IFERROR(INDEX('[AQ_2020.xlsx]原始数据'!$F:$F,MATCH($A752,'[AQ_2020.xlsx]原始数据'!$A:$A,0)),""))</f>
        <v/>
      </c>
      <c r="W752">
        <f>IF($A752="","",IFERROR(INDEX('[AQ_2021.xlsx]原始数据'!$F:$F,MATCH($A752,'[AQ_2021.xlsx]原始数据'!$A:$A,0)),""))</f>
        <v/>
      </c>
      <c r="X752">
        <f>IF($A752="","",IFERROR(INDEX('[AQ_2022.xlsx]原始数据'!$F:$F,MATCH($A752,'[AQ_2022.xlsx]原始数据'!$A:$A,0)),""))</f>
        <v/>
      </c>
      <c r="Y752">
        <f>IF($A752="","",IFERROR(INDEX('[AQ_2023.xlsx]原始数据'!$F:$F,MATCH($A752,'[AQ_2023.xlsx]原始数据'!$A:$A,0)),""))</f>
        <v/>
      </c>
      <c r="Z752">
        <f>IF($A752="","",IFERROR(INDEX('[AQ_2024.xlsx]原始数据'!$F:$F,MATCH($A752,'[AQ_2024.xlsx]原始数据'!$A:$A,0)),""))</f>
        <v/>
      </c>
      <c r="AA752" s="2">
        <f>IFERROR(G752/B752,"")</f>
        <v/>
      </c>
      <c r="AB752" s="2">
        <f>IFERROR(H752/C752,"")</f>
        <v/>
      </c>
      <c r="AC752" s="2">
        <f>IFERROR(I752/D752,"")</f>
        <v/>
      </c>
      <c r="AD752" s="2">
        <f>IFERROR(J752/E752,"")</f>
        <v/>
      </c>
      <c r="AE752" s="2">
        <f>IFERROR(K752/F752,"")</f>
        <v/>
      </c>
      <c r="AF752" s="2">
        <f>IFERROR(L752/B752,"")</f>
        <v/>
      </c>
      <c r="AG752" s="2">
        <f>IFERROR(M752/C752,"")</f>
        <v/>
      </c>
      <c r="AH752" s="2">
        <f>IFERROR(N752/D752,"")</f>
        <v/>
      </c>
      <c r="AI752" s="2">
        <f>IFERROR(O752/E752,"")</f>
        <v/>
      </c>
      <c r="AJ752" s="2">
        <f>IFERROR(P752/F752,"")</f>
        <v/>
      </c>
      <c r="AK752" s="2">
        <f>IFERROR(Q752/B752,"")</f>
        <v/>
      </c>
      <c r="AL752" s="2">
        <f>IFERROR(R752/C752,"")</f>
        <v/>
      </c>
      <c r="AM752" s="2">
        <f>IFERROR(S752/D752,"")</f>
        <v/>
      </c>
      <c r="AN752" s="2">
        <f>IFERROR(T752/E752,"")</f>
        <v/>
      </c>
      <c r="AO752" s="2">
        <f>IFERROR(U752/F752,"")</f>
        <v/>
      </c>
    </row>
    <row r="753">
      <c r="B753">
        <f>IF($A753="","",IFERROR(INDEX('[AQ_2020.xlsx]原始数据'!$B:$B,MATCH($A753,'[AQ_2020.xlsx]原始数据'!$A:$A,0)),""))</f>
        <v/>
      </c>
      <c r="C753">
        <f>IF($A753="","",IFERROR(INDEX('[AQ_2021.xlsx]原始数据'!$B:$B,MATCH($A753,'[AQ_2021.xlsx]原始数据'!$A:$A,0)),""))</f>
        <v/>
      </c>
      <c r="D753">
        <f>IF($A753="","",IFERROR(INDEX('[AQ_2022.xlsx]原始数据'!$B:$B,MATCH($A753,'[AQ_2022.xlsx]原始数据'!$A:$A,0)),""))</f>
        <v/>
      </c>
      <c r="E753">
        <f>IF($A753="","",IFERROR(INDEX('[AQ_2023.xlsx]原始数据'!$B:$B,MATCH($A753,'[AQ_2023.xlsx]原始数据'!$A:$A,0)),""))</f>
        <v/>
      </c>
      <c r="F753">
        <f>IF($A753="","",IFERROR(INDEX('[AQ_2024.xlsx]原始数据'!$B:$B,MATCH($A753,'[AQ_2024.xlsx]原始数据'!$A:$A,0)),""))</f>
        <v/>
      </c>
      <c r="G753">
        <f>IF($A753="","",IFERROR(INDEX('[AQ_2020.xlsx]原始数据'!$C:$C,MATCH($A753,'[AQ_2020.xlsx]原始数据'!$A:$A,0)),""))</f>
        <v/>
      </c>
      <c r="H753">
        <f>IF($A753="","",IFERROR(INDEX('[AQ_2021.xlsx]原始数据'!$C:$C,MATCH($A753,'[AQ_2021.xlsx]原始数据'!$A:$A,0)),""))</f>
        <v/>
      </c>
      <c r="I753">
        <f>IF($A753="","",IFERROR(INDEX('[AQ_2022.xlsx]原始数据'!$C:$C,MATCH($A753,'[AQ_2022.xlsx]原始数据'!$A:$A,0)),""))</f>
        <v/>
      </c>
      <c r="J753">
        <f>IF($A753="","",IFERROR(INDEX('[AQ_2023.xlsx]原始数据'!$C:$C,MATCH($A753,'[AQ_2023.xlsx]原始数据'!$A:$A,0)),""))</f>
        <v/>
      </c>
      <c r="K753">
        <f>IF($A753="","",IFERROR(INDEX('[AQ_2024.xlsx]原始数据'!$C:$C,MATCH($A753,'[AQ_2024.xlsx]原始数据'!$A:$A,0)),""))</f>
        <v/>
      </c>
      <c r="L753">
        <f>IF($A753="","",IFERROR(INDEX('[AQ_2020.xlsx]原始数据'!$D:$D,MATCH($A753,'[AQ_2020.xlsx]原始数据'!$A:$A,0)),""))</f>
        <v/>
      </c>
      <c r="M753">
        <f>IF($A753="","",IFERROR(INDEX('[AQ_2021.xlsx]原始数据'!$D:$D,MATCH($A753,'[AQ_2021.xlsx]原始数据'!$A:$A,0)),""))</f>
        <v/>
      </c>
      <c r="N753">
        <f>IF($A753="","",IFERROR(INDEX('[AQ_2022.xlsx]原始数据'!$D:$D,MATCH($A753,'[AQ_2022.xlsx]原始数据'!$A:$A,0)),""))</f>
        <v/>
      </c>
      <c r="O753">
        <f>IF($A753="","",IFERROR(INDEX('[AQ_2023.xlsx]原始数据'!$D:$D,MATCH($A753,'[AQ_2023.xlsx]原始数据'!$A:$A,0)),""))</f>
        <v/>
      </c>
      <c r="P753">
        <f>IF($A753="","",IFERROR(INDEX('[AQ_2024.xlsx]原始数据'!$D:$D,MATCH($A753,'[AQ_2024.xlsx]原始数据'!$A:$A,0)),""))</f>
        <v/>
      </c>
      <c r="Q753">
        <f>IF($A753="","",IFERROR(INDEX('[AQ_2020.xlsx]原始数据'!$E:$E,MATCH($A753,'[AQ_2020.xlsx]原始数据'!$A:$A,0)),""))</f>
        <v/>
      </c>
      <c r="R753">
        <f>IF($A753="","",IFERROR(INDEX('[AQ_2021.xlsx]原始数据'!$E:$E,MATCH($A753,'[AQ_2021.xlsx]原始数据'!$A:$A,0)),""))</f>
        <v/>
      </c>
      <c r="S753">
        <f>IF($A753="","",IFERROR(INDEX('[AQ_2022.xlsx]原始数据'!$E:$E,MATCH($A753,'[AQ_2022.xlsx]原始数据'!$A:$A,0)),""))</f>
        <v/>
      </c>
      <c r="T753">
        <f>IF($A753="","",IFERROR(INDEX('[AQ_2023.xlsx]原始数据'!$E:$E,MATCH($A753,'[AQ_2023.xlsx]原始数据'!$A:$A,0)),""))</f>
        <v/>
      </c>
      <c r="U753">
        <f>IF($A753="","",IFERROR(INDEX('[AQ_2024.xlsx]原始数据'!$E:$E,MATCH($A753,'[AQ_2024.xlsx]原始数据'!$A:$A,0)),""))</f>
        <v/>
      </c>
      <c r="V753">
        <f>IF($A753="","",IFERROR(INDEX('[AQ_2020.xlsx]原始数据'!$F:$F,MATCH($A753,'[AQ_2020.xlsx]原始数据'!$A:$A,0)),""))</f>
        <v/>
      </c>
      <c r="W753">
        <f>IF($A753="","",IFERROR(INDEX('[AQ_2021.xlsx]原始数据'!$F:$F,MATCH($A753,'[AQ_2021.xlsx]原始数据'!$A:$A,0)),""))</f>
        <v/>
      </c>
      <c r="X753">
        <f>IF($A753="","",IFERROR(INDEX('[AQ_2022.xlsx]原始数据'!$F:$F,MATCH($A753,'[AQ_2022.xlsx]原始数据'!$A:$A,0)),""))</f>
        <v/>
      </c>
      <c r="Y753">
        <f>IF($A753="","",IFERROR(INDEX('[AQ_2023.xlsx]原始数据'!$F:$F,MATCH($A753,'[AQ_2023.xlsx]原始数据'!$A:$A,0)),""))</f>
        <v/>
      </c>
      <c r="Z753">
        <f>IF($A753="","",IFERROR(INDEX('[AQ_2024.xlsx]原始数据'!$F:$F,MATCH($A753,'[AQ_2024.xlsx]原始数据'!$A:$A,0)),""))</f>
        <v/>
      </c>
      <c r="AA753" s="2">
        <f>IFERROR(G753/B753,"")</f>
        <v/>
      </c>
      <c r="AB753" s="2">
        <f>IFERROR(H753/C753,"")</f>
        <v/>
      </c>
      <c r="AC753" s="2">
        <f>IFERROR(I753/D753,"")</f>
        <v/>
      </c>
      <c r="AD753" s="2">
        <f>IFERROR(J753/E753,"")</f>
        <v/>
      </c>
      <c r="AE753" s="2">
        <f>IFERROR(K753/F753,"")</f>
        <v/>
      </c>
      <c r="AF753" s="2">
        <f>IFERROR(L753/B753,"")</f>
        <v/>
      </c>
      <c r="AG753" s="2">
        <f>IFERROR(M753/C753,"")</f>
        <v/>
      </c>
      <c r="AH753" s="2">
        <f>IFERROR(N753/D753,"")</f>
        <v/>
      </c>
      <c r="AI753" s="2">
        <f>IFERROR(O753/E753,"")</f>
        <v/>
      </c>
      <c r="AJ753" s="2">
        <f>IFERROR(P753/F753,"")</f>
        <v/>
      </c>
      <c r="AK753" s="2">
        <f>IFERROR(Q753/B753,"")</f>
        <v/>
      </c>
      <c r="AL753" s="2">
        <f>IFERROR(R753/C753,"")</f>
        <v/>
      </c>
      <c r="AM753" s="2">
        <f>IFERROR(S753/D753,"")</f>
        <v/>
      </c>
      <c r="AN753" s="2">
        <f>IFERROR(T753/E753,"")</f>
        <v/>
      </c>
      <c r="AO753" s="2">
        <f>IFERROR(U753/F753,"")</f>
        <v/>
      </c>
    </row>
    <row r="754">
      <c r="B754">
        <f>IF($A754="","",IFERROR(INDEX('[AQ_2020.xlsx]原始数据'!$B:$B,MATCH($A754,'[AQ_2020.xlsx]原始数据'!$A:$A,0)),""))</f>
        <v/>
      </c>
      <c r="C754">
        <f>IF($A754="","",IFERROR(INDEX('[AQ_2021.xlsx]原始数据'!$B:$B,MATCH($A754,'[AQ_2021.xlsx]原始数据'!$A:$A,0)),""))</f>
        <v/>
      </c>
      <c r="D754">
        <f>IF($A754="","",IFERROR(INDEX('[AQ_2022.xlsx]原始数据'!$B:$B,MATCH($A754,'[AQ_2022.xlsx]原始数据'!$A:$A,0)),""))</f>
        <v/>
      </c>
      <c r="E754">
        <f>IF($A754="","",IFERROR(INDEX('[AQ_2023.xlsx]原始数据'!$B:$B,MATCH($A754,'[AQ_2023.xlsx]原始数据'!$A:$A,0)),""))</f>
        <v/>
      </c>
      <c r="F754">
        <f>IF($A754="","",IFERROR(INDEX('[AQ_2024.xlsx]原始数据'!$B:$B,MATCH($A754,'[AQ_2024.xlsx]原始数据'!$A:$A,0)),""))</f>
        <v/>
      </c>
      <c r="G754">
        <f>IF($A754="","",IFERROR(INDEX('[AQ_2020.xlsx]原始数据'!$C:$C,MATCH($A754,'[AQ_2020.xlsx]原始数据'!$A:$A,0)),""))</f>
        <v/>
      </c>
      <c r="H754">
        <f>IF($A754="","",IFERROR(INDEX('[AQ_2021.xlsx]原始数据'!$C:$C,MATCH($A754,'[AQ_2021.xlsx]原始数据'!$A:$A,0)),""))</f>
        <v/>
      </c>
      <c r="I754">
        <f>IF($A754="","",IFERROR(INDEX('[AQ_2022.xlsx]原始数据'!$C:$C,MATCH($A754,'[AQ_2022.xlsx]原始数据'!$A:$A,0)),""))</f>
        <v/>
      </c>
      <c r="J754">
        <f>IF($A754="","",IFERROR(INDEX('[AQ_2023.xlsx]原始数据'!$C:$C,MATCH($A754,'[AQ_2023.xlsx]原始数据'!$A:$A,0)),""))</f>
        <v/>
      </c>
      <c r="K754">
        <f>IF($A754="","",IFERROR(INDEX('[AQ_2024.xlsx]原始数据'!$C:$C,MATCH($A754,'[AQ_2024.xlsx]原始数据'!$A:$A,0)),""))</f>
        <v/>
      </c>
      <c r="L754">
        <f>IF($A754="","",IFERROR(INDEX('[AQ_2020.xlsx]原始数据'!$D:$D,MATCH($A754,'[AQ_2020.xlsx]原始数据'!$A:$A,0)),""))</f>
        <v/>
      </c>
      <c r="M754">
        <f>IF($A754="","",IFERROR(INDEX('[AQ_2021.xlsx]原始数据'!$D:$D,MATCH($A754,'[AQ_2021.xlsx]原始数据'!$A:$A,0)),""))</f>
        <v/>
      </c>
      <c r="N754">
        <f>IF($A754="","",IFERROR(INDEX('[AQ_2022.xlsx]原始数据'!$D:$D,MATCH($A754,'[AQ_2022.xlsx]原始数据'!$A:$A,0)),""))</f>
        <v/>
      </c>
      <c r="O754">
        <f>IF($A754="","",IFERROR(INDEX('[AQ_2023.xlsx]原始数据'!$D:$D,MATCH($A754,'[AQ_2023.xlsx]原始数据'!$A:$A,0)),""))</f>
        <v/>
      </c>
      <c r="P754">
        <f>IF($A754="","",IFERROR(INDEX('[AQ_2024.xlsx]原始数据'!$D:$D,MATCH($A754,'[AQ_2024.xlsx]原始数据'!$A:$A,0)),""))</f>
        <v/>
      </c>
      <c r="Q754">
        <f>IF($A754="","",IFERROR(INDEX('[AQ_2020.xlsx]原始数据'!$E:$E,MATCH($A754,'[AQ_2020.xlsx]原始数据'!$A:$A,0)),""))</f>
        <v/>
      </c>
      <c r="R754">
        <f>IF($A754="","",IFERROR(INDEX('[AQ_2021.xlsx]原始数据'!$E:$E,MATCH($A754,'[AQ_2021.xlsx]原始数据'!$A:$A,0)),""))</f>
        <v/>
      </c>
      <c r="S754">
        <f>IF($A754="","",IFERROR(INDEX('[AQ_2022.xlsx]原始数据'!$E:$E,MATCH($A754,'[AQ_2022.xlsx]原始数据'!$A:$A,0)),""))</f>
        <v/>
      </c>
      <c r="T754">
        <f>IF($A754="","",IFERROR(INDEX('[AQ_2023.xlsx]原始数据'!$E:$E,MATCH($A754,'[AQ_2023.xlsx]原始数据'!$A:$A,0)),""))</f>
        <v/>
      </c>
      <c r="U754">
        <f>IF($A754="","",IFERROR(INDEX('[AQ_2024.xlsx]原始数据'!$E:$E,MATCH($A754,'[AQ_2024.xlsx]原始数据'!$A:$A,0)),""))</f>
        <v/>
      </c>
      <c r="V754">
        <f>IF($A754="","",IFERROR(INDEX('[AQ_2020.xlsx]原始数据'!$F:$F,MATCH($A754,'[AQ_2020.xlsx]原始数据'!$A:$A,0)),""))</f>
        <v/>
      </c>
      <c r="W754">
        <f>IF($A754="","",IFERROR(INDEX('[AQ_2021.xlsx]原始数据'!$F:$F,MATCH($A754,'[AQ_2021.xlsx]原始数据'!$A:$A,0)),""))</f>
        <v/>
      </c>
      <c r="X754">
        <f>IF($A754="","",IFERROR(INDEX('[AQ_2022.xlsx]原始数据'!$F:$F,MATCH($A754,'[AQ_2022.xlsx]原始数据'!$A:$A,0)),""))</f>
        <v/>
      </c>
      <c r="Y754">
        <f>IF($A754="","",IFERROR(INDEX('[AQ_2023.xlsx]原始数据'!$F:$F,MATCH($A754,'[AQ_2023.xlsx]原始数据'!$A:$A,0)),""))</f>
        <v/>
      </c>
      <c r="Z754">
        <f>IF($A754="","",IFERROR(INDEX('[AQ_2024.xlsx]原始数据'!$F:$F,MATCH($A754,'[AQ_2024.xlsx]原始数据'!$A:$A,0)),""))</f>
        <v/>
      </c>
      <c r="AA754" s="2">
        <f>IFERROR(G754/B754,"")</f>
        <v/>
      </c>
      <c r="AB754" s="2">
        <f>IFERROR(H754/C754,"")</f>
        <v/>
      </c>
      <c r="AC754" s="2">
        <f>IFERROR(I754/D754,"")</f>
        <v/>
      </c>
      <c r="AD754" s="2">
        <f>IFERROR(J754/E754,"")</f>
        <v/>
      </c>
      <c r="AE754" s="2">
        <f>IFERROR(K754/F754,"")</f>
        <v/>
      </c>
      <c r="AF754" s="2">
        <f>IFERROR(L754/B754,"")</f>
        <v/>
      </c>
      <c r="AG754" s="2">
        <f>IFERROR(M754/C754,"")</f>
        <v/>
      </c>
      <c r="AH754" s="2">
        <f>IFERROR(N754/D754,"")</f>
        <v/>
      </c>
      <c r="AI754" s="2">
        <f>IFERROR(O754/E754,"")</f>
        <v/>
      </c>
      <c r="AJ754" s="2">
        <f>IFERROR(P754/F754,"")</f>
        <v/>
      </c>
      <c r="AK754" s="2">
        <f>IFERROR(Q754/B754,"")</f>
        <v/>
      </c>
      <c r="AL754" s="2">
        <f>IFERROR(R754/C754,"")</f>
        <v/>
      </c>
      <c r="AM754" s="2">
        <f>IFERROR(S754/D754,"")</f>
        <v/>
      </c>
      <c r="AN754" s="2">
        <f>IFERROR(T754/E754,"")</f>
        <v/>
      </c>
      <c r="AO754" s="2">
        <f>IFERROR(U754/F754,"")</f>
        <v/>
      </c>
    </row>
    <row r="755">
      <c r="B755">
        <f>IF($A755="","",IFERROR(INDEX('[AQ_2020.xlsx]原始数据'!$B:$B,MATCH($A755,'[AQ_2020.xlsx]原始数据'!$A:$A,0)),""))</f>
        <v/>
      </c>
      <c r="C755">
        <f>IF($A755="","",IFERROR(INDEX('[AQ_2021.xlsx]原始数据'!$B:$B,MATCH($A755,'[AQ_2021.xlsx]原始数据'!$A:$A,0)),""))</f>
        <v/>
      </c>
      <c r="D755">
        <f>IF($A755="","",IFERROR(INDEX('[AQ_2022.xlsx]原始数据'!$B:$B,MATCH($A755,'[AQ_2022.xlsx]原始数据'!$A:$A,0)),""))</f>
        <v/>
      </c>
      <c r="E755">
        <f>IF($A755="","",IFERROR(INDEX('[AQ_2023.xlsx]原始数据'!$B:$B,MATCH($A755,'[AQ_2023.xlsx]原始数据'!$A:$A,0)),""))</f>
        <v/>
      </c>
      <c r="F755">
        <f>IF($A755="","",IFERROR(INDEX('[AQ_2024.xlsx]原始数据'!$B:$B,MATCH($A755,'[AQ_2024.xlsx]原始数据'!$A:$A,0)),""))</f>
        <v/>
      </c>
      <c r="G755">
        <f>IF($A755="","",IFERROR(INDEX('[AQ_2020.xlsx]原始数据'!$C:$C,MATCH($A755,'[AQ_2020.xlsx]原始数据'!$A:$A,0)),""))</f>
        <v/>
      </c>
      <c r="H755">
        <f>IF($A755="","",IFERROR(INDEX('[AQ_2021.xlsx]原始数据'!$C:$C,MATCH($A755,'[AQ_2021.xlsx]原始数据'!$A:$A,0)),""))</f>
        <v/>
      </c>
      <c r="I755">
        <f>IF($A755="","",IFERROR(INDEX('[AQ_2022.xlsx]原始数据'!$C:$C,MATCH($A755,'[AQ_2022.xlsx]原始数据'!$A:$A,0)),""))</f>
        <v/>
      </c>
      <c r="J755">
        <f>IF($A755="","",IFERROR(INDEX('[AQ_2023.xlsx]原始数据'!$C:$C,MATCH($A755,'[AQ_2023.xlsx]原始数据'!$A:$A,0)),""))</f>
        <v/>
      </c>
      <c r="K755">
        <f>IF($A755="","",IFERROR(INDEX('[AQ_2024.xlsx]原始数据'!$C:$C,MATCH($A755,'[AQ_2024.xlsx]原始数据'!$A:$A,0)),""))</f>
        <v/>
      </c>
      <c r="L755">
        <f>IF($A755="","",IFERROR(INDEX('[AQ_2020.xlsx]原始数据'!$D:$D,MATCH($A755,'[AQ_2020.xlsx]原始数据'!$A:$A,0)),""))</f>
        <v/>
      </c>
      <c r="M755">
        <f>IF($A755="","",IFERROR(INDEX('[AQ_2021.xlsx]原始数据'!$D:$D,MATCH($A755,'[AQ_2021.xlsx]原始数据'!$A:$A,0)),""))</f>
        <v/>
      </c>
      <c r="N755">
        <f>IF($A755="","",IFERROR(INDEX('[AQ_2022.xlsx]原始数据'!$D:$D,MATCH($A755,'[AQ_2022.xlsx]原始数据'!$A:$A,0)),""))</f>
        <v/>
      </c>
      <c r="O755">
        <f>IF($A755="","",IFERROR(INDEX('[AQ_2023.xlsx]原始数据'!$D:$D,MATCH($A755,'[AQ_2023.xlsx]原始数据'!$A:$A,0)),""))</f>
        <v/>
      </c>
      <c r="P755">
        <f>IF($A755="","",IFERROR(INDEX('[AQ_2024.xlsx]原始数据'!$D:$D,MATCH($A755,'[AQ_2024.xlsx]原始数据'!$A:$A,0)),""))</f>
        <v/>
      </c>
      <c r="Q755">
        <f>IF($A755="","",IFERROR(INDEX('[AQ_2020.xlsx]原始数据'!$E:$E,MATCH($A755,'[AQ_2020.xlsx]原始数据'!$A:$A,0)),""))</f>
        <v/>
      </c>
      <c r="R755">
        <f>IF($A755="","",IFERROR(INDEX('[AQ_2021.xlsx]原始数据'!$E:$E,MATCH($A755,'[AQ_2021.xlsx]原始数据'!$A:$A,0)),""))</f>
        <v/>
      </c>
      <c r="S755">
        <f>IF($A755="","",IFERROR(INDEX('[AQ_2022.xlsx]原始数据'!$E:$E,MATCH($A755,'[AQ_2022.xlsx]原始数据'!$A:$A,0)),""))</f>
        <v/>
      </c>
      <c r="T755">
        <f>IF($A755="","",IFERROR(INDEX('[AQ_2023.xlsx]原始数据'!$E:$E,MATCH($A755,'[AQ_2023.xlsx]原始数据'!$A:$A,0)),""))</f>
        <v/>
      </c>
      <c r="U755">
        <f>IF($A755="","",IFERROR(INDEX('[AQ_2024.xlsx]原始数据'!$E:$E,MATCH($A755,'[AQ_2024.xlsx]原始数据'!$A:$A,0)),""))</f>
        <v/>
      </c>
      <c r="V755">
        <f>IF($A755="","",IFERROR(INDEX('[AQ_2020.xlsx]原始数据'!$F:$F,MATCH($A755,'[AQ_2020.xlsx]原始数据'!$A:$A,0)),""))</f>
        <v/>
      </c>
      <c r="W755">
        <f>IF($A755="","",IFERROR(INDEX('[AQ_2021.xlsx]原始数据'!$F:$F,MATCH($A755,'[AQ_2021.xlsx]原始数据'!$A:$A,0)),""))</f>
        <v/>
      </c>
      <c r="X755">
        <f>IF($A755="","",IFERROR(INDEX('[AQ_2022.xlsx]原始数据'!$F:$F,MATCH($A755,'[AQ_2022.xlsx]原始数据'!$A:$A,0)),""))</f>
        <v/>
      </c>
      <c r="Y755">
        <f>IF($A755="","",IFERROR(INDEX('[AQ_2023.xlsx]原始数据'!$F:$F,MATCH($A755,'[AQ_2023.xlsx]原始数据'!$A:$A,0)),""))</f>
        <v/>
      </c>
      <c r="Z755">
        <f>IF($A755="","",IFERROR(INDEX('[AQ_2024.xlsx]原始数据'!$F:$F,MATCH($A755,'[AQ_2024.xlsx]原始数据'!$A:$A,0)),""))</f>
        <v/>
      </c>
      <c r="AA755" s="2">
        <f>IFERROR(G755/B755,"")</f>
        <v/>
      </c>
      <c r="AB755" s="2">
        <f>IFERROR(H755/C755,"")</f>
        <v/>
      </c>
      <c r="AC755" s="2">
        <f>IFERROR(I755/D755,"")</f>
        <v/>
      </c>
      <c r="AD755" s="2">
        <f>IFERROR(J755/E755,"")</f>
        <v/>
      </c>
      <c r="AE755" s="2">
        <f>IFERROR(K755/F755,"")</f>
        <v/>
      </c>
      <c r="AF755" s="2">
        <f>IFERROR(L755/B755,"")</f>
        <v/>
      </c>
      <c r="AG755" s="2">
        <f>IFERROR(M755/C755,"")</f>
        <v/>
      </c>
      <c r="AH755" s="2">
        <f>IFERROR(N755/D755,"")</f>
        <v/>
      </c>
      <c r="AI755" s="2">
        <f>IFERROR(O755/E755,"")</f>
        <v/>
      </c>
      <c r="AJ755" s="2">
        <f>IFERROR(P755/F755,"")</f>
        <v/>
      </c>
      <c r="AK755" s="2">
        <f>IFERROR(Q755/B755,"")</f>
        <v/>
      </c>
      <c r="AL755" s="2">
        <f>IFERROR(R755/C755,"")</f>
        <v/>
      </c>
      <c r="AM755" s="2">
        <f>IFERROR(S755/D755,"")</f>
        <v/>
      </c>
      <c r="AN755" s="2">
        <f>IFERROR(T755/E755,"")</f>
        <v/>
      </c>
      <c r="AO755" s="2">
        <f>IFERROR(U755/F755,"")</f>
        <v/>
      </c>
    </row>
    <row r="756">
      <c r="B756">
        <f>IF($A756="","",IFERROR(INDEX('[AQ_2020.xlsx]原始数据'!$B:$B,MATCH($A756,'[AQ_2020.xlsx]原始数据'!$A:$A,0)),""))</f>
        <v/>
      </c>
      <c r="C756">
        <f>IF($A756="","",IFERROR(INDEX('[AQ_2021.xlsx]原始数据'!$B:$B,MATCH($A756,'[AQ_2021.xlsx]原始数据'!$A:$A,0)),""))</f>
        <v/>
      </c>
      <c r="D756">
        <f>IF($A756="","",IFERROR(INDEX('[AQ_2022.xlsx]原始数据'!$B:$B,MATCH($A756,'[AQ_2022.xlsx]原始数据'!$A:$A,0)),""))</f>
        <v/>
      </c>
      <c r="E756">
        <f>IF($A756="","",IFERROR(INDEX('[AQ_2023.xlsx]原始数据'!$B:$B,MATCH($A756,'[AQ_2023.xlsx]原始数据'!$A:$A,0)),""))</f>
        <v/>
      </c>
      <c r="F756">
        <f>IF($A756="","",IFERROR(INDEX('[AQ_2024.xlsx]原始数据'!$B:$B,MATCH($A756,'[AQ_2024.xlsx]原始数据'!$A:$A,0)),""))</f>
        <v/>
      </c>
      <c r="G756">
        <f>IF($A756="","",IFERROR(INDEX('[AQ_2020.xlsx]原始数据'!$C:$C,MATCH($A756,'[AQ_2020.xlsx]原始数据'!$A:$A,0)),""))</f>
        <v/>
      </c>
      <c r="H756">
        <f>IF($A756="","",IFERROR(INDEX('[AQ_2021.xlsx]原始数据'!$C:$C,MATCH($A756,'[AQ_2021.xlsx]原始数据'!$A:$A,0)),""))</f>
        <v/>
      </c>
      <c r="I756">
        <f>IF($A756="","",IFERROR(INDEX('[AQ_2022.xlsx]原始数据'!$C:$C,MATCH($A756,'[AQ_2022.xlsx]原始数据'!$A:$A,0)),""))</f>
        <v/>
      </c>
      <c r="J756">
        <f>IF($A756="","",IFERROR(INDEX('[AQ_2023.xlsx]原始数据'!$C:$C,MATCH($A756,'[AQ_2023.xlsx]原始数据'!$A:$A,0)),""))</f>
        <v/>
      </c>
      <c r="K756">
        <f>IF($A756="","",IFERROR(INDEX('[AQ_2024.xlsx]原始数据'!$C:$C,MATCH($A756,'[AQ_2024.xlsx]原始数据'!$A:$A,0)),""))</f>
        <v/>
      </c>
      <c r="L756">
        <f>IF($A756="","",IFERROR(INDEX('[AQ_2020.xlsx]原始数据'!$D:$D,MATCH($A756,'[AQ_2020.xlsx]原始数据'!$A:$A,0)),""))</f>
        <v/>
      </c>
      <c r="M756">
        <f>IF($A756="","",IFERROR(INDEX('[AQ_2021.xlsx]原始数据'!$D:$D,MATCH($A756,'[AQ_2021.xlsx]原始数据'!$A:$A,0)),""))</f>
        <v/>
      </c>
      <c r="N756">
        <f>IF($A756="","",IFERROR(INDEX('[AQ_2022.xlsx]原始数据'!$D:$D,MATCH($A756,'[AQ_2022.xlsx]原始数据'!$A:$A,0)),""))</f>
        <v/>
      </c>
      <c r="O756">
        <f>IF($A756="","",IFERROR(INDEX('[AQ_2023.xlsx]原始数据'!$D:$D,MATCH($A756,'[AQ_2023.xlsx]原始数据'!$A:$A,0)),""))</f>
        <v/>
      </c>
      <c r="P756">
        <f>IF($A756="","",IFERROR(INDEX('[AQ_2024.xlsx]原始数据'!$D:$D,MATCH($A756,'[AQ_2024.xlsx]原始数据'!$A:$A,0)),""))</f>
        <v/>
      </c>
      <c r="Q756">
        <f>IF($A756="","",IFERROR(INDEX('[AQ_2020.xlsx]原始数据'!$E:$E,MATCH($A756,'[AQ_2020.xlsx]原始数据'!$A:$A,0)),""))</f>
        <v/>
      </c>
      <c r="R756">
        <f>IF($A756="","",IFERROR(INDEX('[AQ_2021.xlsx]原始数据'!$E:$E,MATCH($A756,'[AQ_2021.xlsx]原始数据'!$A:$A,0)),""))</f>
        <v/>
      </c>
      <c r="S756">
        <f>IF($A756="","",IFERROR(INDEX('[AQ_2022.xlsx]原始数据'!$E:$E,MATCH($A756,'[AQ_2022.xlsx]原始数据'!$A:$A,0)),""))</f>
        <v/>
      </c>
      <c r="T756">
        <f>IF($A756="","",IFERROR(INDEX('[AQ_2023.xlsx]原始数据'!$E:$E,MATCH($A756,'[AQ_2023.xlsx]原始数据'!$A:$A,0)),""))</f>
        <v/>
      </c>
      <c r="U756">
        <f>IF($A756="","",IFERROR(INDEX('[AQ_2024.xlsx]原始数据'!$E:$E,MATCH($A756,'[AQ_2024.xlsx]原始数据'!$A:$A,0)),""))</f>
        <v/>
      </c>
      <c r="V756">
        <f>IF($A756="","",IFERROR(INDEX('[AQ_2020.xlsx]原始数据'!$F:$F,MATCH($A756,'[AQ_2020.xlsx]原始数据'!$A:$A,0)),""))</f>
        <v/>
      </c>
      <c r="W756">
        <f>IF($A756="","",IFERROR(INDEX('[AQ_2021.xlsx]原始数据'!$F:$F,MATCH($A756,'[AQ_2021.xlsx]原始数据'!$A:$A,0)),""))</f>
        <v/>
      </c>
      <c r="X756">
        <f>IF($A756="","",IFERROR(INDEX('[AQ_2022.xlsx]原始数据'!$F:$F,MATCH($A756,'[AQ_2022.xlsx]原始数据'!$A:$A,0)),""))</f>
        <v/>
      </c>
      <c r="Y756">
        <f>IF($A756="","",IFERROR(INDEX('[AQ_2023.xlsx]原始数据'!$F:$F,MATCH($A756,'[AQ_2023.xlsx]原始数据'!$A:$A,0)),""))</f>
        <v/>
      </c>
      <c r="Z756">
        <f>IF($A756="","",IFERROR(INDEX('[AQ_2024.xlsx]原始数据'!$F:$F,MATCH($A756,'[AQ_2024.xlsx]原始数据'!$A:$A,0)),""))</f>
        <v/>
      </c>
      <c r="AA756" s="2">
        <f>IFERROR(G756/B756,"")</f>
        <v/>
      </c>
      <c r="AB756" s="2">
        <f>IFERROR(H756/C756,"")</f>
        <v/>
      </c>
      <c r="AC756" s="2">
        <f>IFERROR(I756/D756,"")</f>
        <v/>
      </c>
      <c r="AD756" s="2">
        <f>IFERROR(J756/E756,"")</f>
        <v/>
      </c>
      <c r="AE756" s="2">
        <f>IFERROR(K756/F756,"")</f>
        <v/>
      </c>
      <c r="AF756" s="2">
        <f>IFERROR(L756/B756,"")</f>
        <v/>
      </c>
      <c r="AG756" s="2">
        <f>IFERROR(M756/C756,"")</f>
        <v/>
      </c>
      <c r="AH756" s="2">
        <f>IFERROR(N756/D756,"")</f>
        <v/>
      </c>
      <c r="AI756" s="2">
        <f>IFERROR(O756/E756,"")</f>
        <v/>
      </c>
      <c r="AJ756" s="2">
        <f>IFERROR(P756/F756,"")</f>
        <v/>
      </c>
      <c r="AK756" s="2">
        <f>IFERROR(Q756/B756,"")</f>
        <v/>
      </c>
      <c r="AL756" s="2">
        <f>IFERROR(R756/C756,"")</f>
        <v/>
      </c>
      <c r="AM756" s="2">
        <f>IFERROR(S756/D756,"")</f>
        <v/>
      </c>
      <c r="AN756" s="2">
        <f>IFERROR(T756/E756,"")</f>
        <v/>
      </c>
      <c r="AO756" s="2">
        <f>IFERROR(U756/F756,"")</f>
        <v/>
      </c>
    </row>
    <row r="757">
      <c r="B757">
        <f>IF($A757="","",IFERROR(INDEX('[AQ_2020.xlsx]原始数据'!$B:$B,MATCH($A757,'[AQ_2020.xlsx]原始数据'!$A:$A,0)),""))</f>
        <v/>
      </c>
      <c r="C757">
        <f>IF($A757="","",IFERROR(INDEX('[AQ_2021.xlsx]原始数据'!$B:$B,MATCH($A757,'[AQ_2021.xlsx]原始数据'!$A:$A,0)),""))</f>
        <v/>
      </c>
      <c r="D757">
        <f>IF($A757="","",IFERROR(INDEX('[AQ_2022.xlsx]原始数据'!$B:$B,MATCH($A757,'[AQ_2022.xlsx]原始数据'!$A:$A,0)),""))</f>
        <v/>
      </c>
      <c r="E757">
        <f>IF($A757="","",IFERROR(INDEX('[AQ_2023.xlsx]原始数据'!$B:$B,MATCH($A757,'[AQ_2023.xlsx]原始数据'!$A:$A,0)),""))</f>
        <v/>
      </c>
      <c r="F757">
        <f>IF($A757="","",IFERROR(INDEX('[AQ_2024.xlsx]原始数据'!$B:$B,MATCH($A757,'[AQ_2024.xlsx]原始数据'!$A:$A,0)),""))</f>
        <v/>
      </c>
      <c r="G757">
        <f>IF($A757="","",IFERROR(INDEX('[AQ_2020.xlsx]原始数据'!$C:$C,MATCH($A757,'[AQ_2020.xlsx]原始数据'!$A:$A,0)),""))</f>
        <v/>
      </c>
      <c r="H757">
        <f>IF($A757="","",IFERROR(INDEX('[AQ_2021.xlsx]原始数据'!$C:$C,MATCH($A757,'[AQ_2021.xlsx]原始数据'!$A:$A,0)),""))</f>
        <v/>
      </c>
      <c r="I757">
        <f>IF($A757="","",IFERROR(INDEX('[AQ_2022.xlsx]原始数据'!$C:$C,MATCH($A757,'[AQ_2022.xlsx]原始数据'!$A:$A,0)),""))</f>
        <v/>
      </c>
      <c r="J757">
        <f>IF($A757="","",IFERROR(INDEX('[AQ_2023.xlsx]原始数据'!$C:$C,MATCH($A757,'[AQ_2023.xlsx]原始数据'!$A:$A,0)),""))</f>
        <v/>
      </c>
      <c r="K757">
        <f>IF($A757="","",IFERROR(INDEX('[AQ_2024.xlsx]原始数据'!$C:$C,MATCH($A757,'[AQ_2024.xlsx]原始数据'!$A:$A,0)),""))</f>
        <v/>
      </c>
      <c r="L757">
        <f>IF($A757="","",IFERROR(INDEX('[AQ_2020.xlsx]原始数据'!$D:$D,MATCH($A757,'[AQ_2020.xlsx]原始数据'!$A:$A,0)),""))</f>
        <v/>
      </c>
      <c r="M757">
        <f>IF($A757="","",IFERROR(INDEX('[AQ_2021.xlsx]原始数据'!$D:$D,MATCH($A757,'[AQ_2021.xlsx]原始数据'!$A:$A,0)),""))</f>
        <v/>
      </c>
      <c r="N757">
        <f>IF($A757="","",IFERROR(INDEX('[AQ_2022.xlsx]原始数据'!$D:$D,MATCH($A757,'[AQ_2022.xlsx]原始数据'!$A:$A,0)),""))</f>
        <v/>
      </c>
      <c r="O757">
        <f>IF($A757="","",IFERROR(INDEX('[AQ_2023.xlsx]原始数据'!$D:$D,MATCH($A757,'[AQ_2023.xlsx]原始数据'!$A:$A,0)),""))</f>
        <v/>
      </c>
      <c r="P757">
        <f>IF($A757="","",IFERROR(INDEX('[AQ_2024.xlsx]原始数据'!$D:$D,MATCH($A757,'[AQ_2024.xlsx]原始数据'!$A:$A,0)),""))</f>
        <v/>
      </c>
      <c r="Q757">
        <f>IF($A757="","",IFERROR(INDEX('[AQ_2020.xlsx]原始数据'!$E:$E,MATCH($A757,'[AQ_2020.xlsx]原始数据'!$A:$A,0)),""))</f>
        <v/>
      </c>
      <c r="R757">
        <f>IF($A757="","",IFERROR(INDEX('[AQ_2021.xlsx]原始数据'!$E:$E,MATCH($A757,'[AQ_2021.xlsx]原始数据'!$A:$A,0)),""))</f>
        <v/>
      </c>
      <c r="S757">
        <f>IF($A757="","",IFERROR(INDEX('[AQ_2022.xlsx]原始数据'!$E:$E,MATCH($A757,'[AQ_2022.xlsx]原始数据'!$A:$A,0)),""))</f>
        <v/>
      </c>
      <c r="T757">
        <f>IF($A757="","",IFERROR(INDEX('[AQ_2023.xlsx]原始数据'!$E:$E,MATCH($A757,'[AQ_2023.xlsx]原始数据'!$A:$A,0)),""))</f>
        <v/>
      </c>
      <c r="U757">
        <f>IF($A757="","",IFERROR(INDEX('[AQ_2024.xlsx]原始数据'!$E:$E,MATCH($A757,'[AQ_2024.xlsx]原始数据'!$A:$A,0)),""))</f>
        <v/>
      </c>
      <c r="V757">
        <f>IF($A757="","",IFERROR(INDEX('[AQ_2020.xlsx]原始数据'!$F:$F,MATCH($A757,'[AQ_2020.xlsx]原始数据'!$A:$A,0)),""))</f>
        <v/>
      </c>
      <c r="W757">
        <f>IF($A757="","",IFERROR(INDEX('[AQ_2021.xlsx]原始数据'!$F:$F,MATCH($A757,'[AQ_2021.xlsx]原始数据'!$A:$A,0)),""))</f>
        <v/>
      </c>
      <c r="X757">
        <f>IF($A757="","",IFERROR(INDEX('[AQ_2022.xlsx]原始数据'!$F:$F,MATCH($A757,'[AQ_2022.xlsx]原始数据'!$A:$A,0)),""))</f>
        <v/>
      </c>
      <c r="Y757">
        <f>IF($A757="","",IFERROR(INDEX('[AQ_2023.xlsx]原始数据'!$F:$F,MATCH($A757,'[AQ_2023.xlsx]原始数据'!$A:$A,0)),""))</f>
        <v/>
      </c>
      <c r="Z757">
        <f>IF($A757="","",IFERROR(INDEX('[AQ_2024.xlsx]原始数据'!$F:$F,MATCH($A757,'[AQ_2024.xlsx]原始数据'!$A:$A,0)),""))</f>
        <v/>
      </c>
      <c r="AA757" s="2">
        <f>IFERROR(G757/B757,"")</f>
        <v/>
      </c>
      <c r="AB757" s="2">
        <f>IFERROR(H757/C757,"")</f>
        <v/>
      </c>
      <c r="AC757" s="2">
        <f>IFERROR(I757/D757,"")</f>
        <v/>
      </c>
      <c r="AD757" s="2">
        <f>IFERROR(J757/E757,"")</f>
        <v/>
      </c>
      <c r="AE757" s="2">
        <f>IFERROR(K757/F757,"")</f>
        <v/>
      </c>
      <c r="AF757" s="2">
        <f>IFERROR(L757/B757,"")</f>
        <v/>
      </c>
      <c r="AG757" s="2">
        <f>IFERROR(M757/C757,"")</f>
        <v/>
      </c>
      <c r="AH757" s="2">
        <f>IFERROR(N757/D757,"")</f>
        <v/>
      </c>
      <c r="AI757" s="2">
        <f>IFERROR(O757/E757,"")</f>
        <v/>
      </c>
      <c r="AJ757" s="2">
        <f>IFERROR(P757/F757,"")</f>
        <v/>
      </c>
      <c r="AK757" s="2">
        <f>IFERROR(Q757/B757,"")</f>
        <v/>
      </c>
      <c r="AL757" s="2">
        <f>IFERROR(R757/C757,"")</f>
        <v/>
      </c>
      <c r="AM757" s="2">
        <f>IFERROR(S757/D757,"")</f>
        <v/>
      </c>
      <c r="AN757" s="2">
        <f>IFERROR(T757/E757,"")</f>
        <v/>
      </c>
      <c r="AO757" s="2">
        <f>IFERROR(U757/F757,"")</f>
        <v/>
      </c>
    </row>
    <row r="758">
      <c r="B758">
        <f>IF($A758="","",IFERROR(INDEX('[AQ_2020.xlsx]原始数据'!$B:$B,MATCH($A758,'[AQ_2020.xlsx]原始数据'!$A:$A,0)),""))</f>
        <v/>
      </c>
      <c r="C758">
        <f>IF($A758="","",IFERROR(INDEX('[AQ_2021.xlsx]原始数据'!$B:$B,MATCH($A758,'[AQ_2021.xlsx]原始数据'!$A:$A,0)),""))</f>
        <v/>
      </c>
      <c r="D758">
        <f>IF($A758="","",IFERROR(INDEX('[AQ_2022.xlsx]原始数据'!$B:$B,MATCH($A758,'[AQ_2022.xlsx]原始数据'!$A:$A,0)),""))</f>
        <v/>
      </c>
      <c r="E758">
        <f>IF($A758="","",IFERROR(INDEX('[AQ_2023.xlsx]原始数据'!$B:$B,MATCH($A758,'[AQ_2023.xlsx]原始数据'!$A:$A,0)),""))</f>
        <v/>
      </c>
      <c r="F758">
        <f>IF($A758="","",IFERROR(INDEX('[AQ_2024.xlsx]原始数据'!$B:$B,MATCH($A758,'[AQ_2024.xlsx]原始数据'!$A:$A,0)),""))</f>
        <v/>
      </c>
      <c r="G758">
        <f>IF($A758="","",IFERROR(INDEX('[AQ_2020.xlsx]原始数据'!$C:$C,MATCH($A758,'[AQ_2020.xlsx]原始数据'!$A:$A,0)),""))</f>
        <v/>
      </c>
      <c r="H758">
        <f>IF($A758="","",IFERROR(INDEX('[AQ_2021.xlsx]原始数据'!$C:$C,MATCH($A758,'[AQ_2021.xlsx]原始数据'!$A:$A,0)),""))</f>
        <v/>
      </c>
      <c r="I758">
        <f>IF($A758="","",IFERROR(INDEX('[AQ_2022.xlsx]原始数据'!$C:$C,MATCH($A758,'[AQ_2022.xlsx]原始数据'!$A:$A,0)),""))</f>
        <v/>
      </c>
      <c r="J758">
        <f>IF($A758="","",IFERROR(INDEX('[AQ_2023.xlsx]原始数据'!$C:$C,MATCH($A758,'[AQ_2023.xlsx]原始数据'!$A:$A,0)),""))</f>
        <v/>
      </c>
      <c r="K758">
        <f>IF($A758="","",IFERROR(INDEX('[AQ_2024.xlsx]原始数据'!$C:$C,MATCH($A758,'[AQ_2024.xlsx]原始数据'!$A:$A,0)),""))</f>
        <v/>
      </c>
      <c r="L758">
        <f>IF($A758="","",IFERROR(INDEX('[AQ_2020.xlsx]原始数据'!$D:$D,MATCH($A758,'[AQ_2020.xlsx]原始数据'!$A:$A,0)),""))</f>
        <v/>
      </c>
      <c r="M758">
        <f>IF($A758="","",IFERROR(INDEX('[AQ_2021.xlsx]原始数据'!$D:$D,MATCH($A758,'[AQ_2021.xlsx]原始数据'!$A:$A,0)),""))</f>
        <v/>
      </c>
      <c r="N758">
        <f>IF($A758="","",IFERROR(INDEX('[AQ_2022.xlsx]原始数据'!$D:$D,MATCH($A758,'[AQ_2022.xlsx]原始数据'!$A:$A,0)),""))</f>
        <v/>
      </c>
      <c r="O758">
        <f>IF($A758="","",IFERROR(INDEX('[AQ_2023.xlsx]原始数据'!$D:$D,MATCH($A758,'[AQ_2023.xlsx]原始数据'!$A:$A,0)),""))</f>
        <v/>
      </c>
      <c r="P758">
        <f>IF($A758="","",IFERROR(INDEX('[AQ_2024.xlsx]原始数据'!$D:$D,MATCH($A758,'[AQ_2024.xlsx]原始数据'!$A:$A,0)),""))</f>
        <v/>
      </c>
      <c r="Q758">
        <f>IF($A758="","",IFERROR(INDEX('[AQ_2020.xlsx]原始数据'!$E:$E,MATCH($A758,'[AQ_2020.xlsx]原始数据'!$A:$A,0)),""))</f>
        <v/>
      </c>
      <c r="R758">
        <f>IF($A758="","",IFERROR(INDEX('[AQ_2021.xlsx]原始数据'!$E:$E,MATCH($A758,'[AQ_2021.xlsx]原始数据'!$A:$A,0)),""))</f>
        <v/>
      </c>
      <c r="S758">
        <f>IF($A758="","",IFERROR(INDEX('[AQ_2022.xlsx]原始数据'!$E:$E,MATCH($A758,'[AQ_2022.xlsx]原始数据'!$A:$A,0)),""))</f>
        <v/>
      </c>
      <c r="T758">
        <f>IF($A758="","",IFERROR(INDEX('[AQ_2023.xlsx]原始数据'!$E:$E,MATCH($A758,'[AQ_2023.xlsx]原始数据'!$A:$A,0)),""))</f>
        <v/>
      </c>
      <c r="U758">
        <f>IF($A758="","",IFERROR(INDEX('[AQ_2024.xlsx]原始数据'!$E:$E,MATCH($A758,'[AQ_2024.xlsx]原始数据'!$A:$A,0)),""))</f>
        <v/>
      </c>
      <c r="V758">
        <f>IF($A758="","",IFERROR(INDEX('[AQ_2020.xlsx]原始数据'!$F:$F,MATCH($A758,'[AQ_2020.xlsx]原始数据'!$A:$A,0)),""))</f>
        <v/>
      </c>
      <c r="W758">
        <f>IF($A758="","",IFERROR(INDEX('[AQ_2021.xlsx]原始数据'!$F:$F,MATCH($A758,'[AQ_2021.xlsx]原始数据'!$A:$A,0)),""))</f>
        <v/>
      </c>
      <c r="X758">
        <f>IF($A758="","",IFERROR(INDEX('[AQ_2022.xlsx]原始数据'!$F:$F,MATCH($A758,'[AQ_2022.xlsx]原始数据'!$A:$A,0)),""))</f>
        <v/>
      </c>
      <c r="Y758">
        <f>IF($A758="","",IFERROR(INDEX('[AQ_2023.xlsx]原始数据'!$F:$F,MATCH($A758,'[AQ_2023.xlsx]原始数据'!$A:$A,0)),""))</f>
        <v/>
      </c>
      <c r="Z758">
        <f>IF($A758="","",IFERROR(INDEX('[AQ_2024.xlsx]原始数据'!$F:$F,MATCH($A758,'[AQ_2024.xlsx]原始数据'!$A:$A,0)),""))</f>
        <v/>
      </c>
      <c r="AA758" s="2">
        <f>IFERROR(G758/B758,"")</f>
        <v/>
      </c>
      <c r="AB758" s="2">
        <f>IFERROR(H758/C758,"")</f>
        <v/>
      </c>
      <c r="AC758" s="2">
        <f>IFERROR(I758/D758,"")</f>
        <v/>
      </c>
      <c r="AD758" s="2">
        <f>IFERROR(J758/E758,"")</f>
        <v/>
      </c>
      <c r="AE758" s="2">
        <f>IFERROR(K758/F758,"")</f>
        <v/>
      </c>
      <c r="AF758" s="2">
        <f>IFERROR(L758/B758,"")</f>
        <v/>
      </c>
      <c r="AG758" s="2">
        <f>IFERROR(M758/C758,"")</f>
        <v/>
      </c>
      <c r="AH758" s="2">
        <f>IFERROR(N758/D758,"")</f>
        <v/>
      </c>
      <c r="AI758" s="2">
        <f>IFERROR(O758/E758,"")</f>
        <v/>
      </c>
      <c r="AJ758" s="2">
        <f>IFERROR(P758/F758,"")</f>
        <v/>
      </c>
      <c r="AK758" s="2">
        <f>IFERROR(Q758/B758,"")</f>
        <v/>
      </c>
      <c r="AL758" s="2">
        <f>IFERROR(R758/C758,"")</f>
        <v/>
      </c>
      <c r="AM758" s="2">
        <f>IFERROR(S758/D758,"")</f>
        <v/>
      </c>
      <c r="AN758" s="2">
        <f>IFERROR(T758/E758,"")</f>
        <v/>
      </c>
      <c r="AO758" s="2">
        <f>IFERROR(U758/F758,"")</f>
        <v/>
      </c>
    </row>
    <row r="759">
      <c r="B759">
        <f>IF($A759="","",IFERROR(INDEX('[AQ_2020.xlsx]原始数据'!$B:$B,MATCH($A759,'[AQ_2020.xlsx]原始数据'!$A:$A,0)),""))</f>
        <v/>
      </c>
      <c r="C759">
        <f>IF($A759="","",IFERROR(INDEX('[AQ_2021.xlsx]原始数据'!$B:$B,MATCH($A759,'[AQ_2021.xlsx]原始数据'!$A:$A,0)),""))</f>
        <v/>
      </c>
      <c r="D759">
        <f>IF($A759="","",IFERROR(INDEX('[AQ_2022.xlsx]原始数据'!$B:$B,MATCH($A759,'[AQ_2022.xlsx]原始数据'!$A:$A,0)),""))</f>
        <v/>
      </c>
      <c r="E759">
        <f>IF($A759="","",IFERROR(INDEX('[AQ_2023.xlsx]原始数据'!$B:$B,MATCH($A759,'[AQ_2023.xlsx]原始数据'!$A:$A,0)),""))</f>
        <v/>
      </c>
      <c r="F759">
        <f>IF($A759="","",IFERROR(INDEX('[AQ_2024.xlsx]原始数据'!$B:$B,MATCH($A759,'[AQ_2024.xlsx]原始数据'!$A:$A,0)),""))</f>
        <v/>
      </c>
      <c r="G759">
        <f>IF($A759="","",IFERROR(INDEX('[AQ_2020.xlsx]原始数据'!$C:$C,MATCH($A759,'[AQ_2020.xlsx]原始数据'!$A:$A,0)),""))</f>
        <v/>
      </c>
      <c r="H759">
        <f>IF($A759="","",IFERROR(INDEX('[AQ_2021.xlsx]原始数据'!$C:$C,MATCH($A759,'[AQ_2021.xlsx]原始数据'!$A:$A,0)),""))</f>
        <v/>
      </c>
      <c r="I759">
        <f>IF($A759="","",IFERROR(INDEX('[AQ_2022.xlsx]原始数据'!$C:$C,MATCH($A759,'[AQ_2022.xlsx]原始数据'!$A:$A,0)),""))</f>
        <v/>
      </c>
      <c r="J759">
        <f>IF($A759="","",IFERROR(INDEX('[AQ_2023.xlsx]原始数据'!$C:$C,MATCH($A759,'[AQ_2023.xlsx]原始数据'!$A:$A,0)),""))</f>
        <v/>
      </c>
      <c r="K759">
        <f>IF($A759="","",IFERROR(INDEX('[AQ_2024.xlsx]原始数据'!$C:$C,MATCH($A759,'[AQ_2024.xlsx]原始数据'!$A:$A,0)),""))</f>
        <v/>
      </c>
      <c r="L759">
        <f>IF($A759="","",IFERROR(INDEX('[AQ_2020.xlsx]原始数据'!$D:$D,MATCH($A759,'[AQ_2020.xlsx]原始数据'!$A:$A,0)),""))</f>
        <v/>
      </c>
      <c r="M759">
        <f>IF($A759="","",IFERROR(INDEX('[AQ_2021.xlsx]原始数据'!$D:$D,MATCH($A759,'[AQ_2021.xlsx]原始数据'!$A:$A,0)),""))</f>
        <v/>
      </c>
      <c r="N759">
        <f>IF($A759="","",IFERROR(INDEX('[AQ_2022.xlsx]原始数据'!$D:$D,MATCH($A759,'[AQ_2022.xlsx]原始数据'!$A:$A,0)),""))</f>
        <v/>
      </c>
      <c r="O759">
        <f>IF($A759="","",IFERROR(INDEX('[AQ_2023.xlsx]原始数据'!$D:$D,MATCH($A759,'[AQ_2023.xlsx]原始数据'!$A:$A,0)),""))</f>
        <v/>
      </c>
      <c r="P759">
        <f>IF($A759="","",IFERROR(INDEX('[AQ_2024.xlsx]原始数据'!$D:$D,MATCH($A759,'[AQ_2024.xlsx]原始数据'!$A:$A,0)),""))</f>
        <v/>
      </c>
      <c r="Q759">
        <f>IF($A759="","",IFERROR(INDEX('[AQ_2020.xlsx]原始数据'!$E:$E,MATCH($A759,'[AQ_2020.xlsx]原始数据'!$A:$A,0)),""))</f>
        <v/>
      </c>
      <c r="R759">
        <f>IF($A759="","",IFERROR(INDEX('[AQ_2021.xlsx]原始数据'!$E:$E,MATCH($A759,'[AQ_2021.xlsx]原始数据'!$A:$A,0)),""))</f>
        <v/>
      </c>
      <c r="S759">
        <f>IF($A759="","",IFERROR(INDEX('[AQ_2022.xlsx]原始数据'!$E:$E,MATCH($A759,'[AQ_2022.xlsx]原始数据'!$A:$A,0)),""))</f>
        <v/>
      </c>
      <c r="T759">
        <f>IF($A759="","",IFERROR(INDEX('[AQ_2023.xlsx]原始数据'!$E:$E,MATCH($A759,'[AQ_2023.xlsx]原始数据'!$A:$A,0)),""))</f>
        <v/>
      </c>
      <c r="U759">
        <f>IF($A759="","",IFERROR(INDEX('[AQ_2024.xlsx]原始数据'!$E:$E,MATCH($A759,'[AQ_2024.xlsx]原始数据'!$A:$A,0)),""))</f>
        <v/>
      </c>
      <c r="V759">
        <f>IF($A759="","",IFERROR(INDEX('[AQ_2020.xlsx]原始数据'!$F:$F,MATCH($A759,'[AQ_2020.xlsx]原始数据'!$A:$A,0)),""))</f>
        <v/>
      </c>
      <c r="W759">
        <f>IF($A759="","",IFERROR(INDEX('[AQ_2021.xlsx]原始数据'!$F:$F,MATCH($A759,'[AQ_2021.xlsx]原始数据'!$A:$A,0)),""))</f>
        <v/>
      </c>
      <c r="X759">
        <f>IF($A759="","",IFERROR(INDEX('[AQ_2022.xlsx]原始数据'!$F:$F,MATCH($A759,'[AQ_2022.xlsx]原始数据'!$A:$A,0)),""))</f>
        <v/>
      </c>
      <c r="Y759">
        <f>IF($A759="","",IFERROR(INDEX('[AQ_2023.xlsx]原始数据'!$F:$F,MATCH($A759,'[AQ_2023.xlsx]原始数据'!$A:$A,0)),""))</f>
        <v/>
      </c>
      <c r="Z759">
        <f>IF($A759="","",IFERROR(INDEX('[AQ_2024.xlsx]原始数据'!$F:$F,MATCH($A759,'[AQ_2024.xlsx]原始数据'!$A:$A,0)),""))</f>
        <v/>
      </c>
      <c r="AA759" s="2">
        <f>IFERROR(G759/B759,"")</f>
        <v/>
      </c>
      <c r="AB759" s="2">
        <f>IFERROR(H759/C759,"")</f>
        <v/>
      </c>
      <c r="AC759" s="2">
        <f>IFERROR(I759/D759,"")</f>
        <v/>
      </c>
      <c r="AD759" s="2">
        <f>IFERROR(J759/E759,"")</f>
        <v/>
      </c>
      <c r="AE759" s="2">
        <f>IFERROR(K759/F759,"")</f>
        <v/>
      </c>
      <c r="AF759" s="2">
        <f>IFERROR(L759/B759,"")</f>
        <v/>
      </c>
      <c r="AG759" s="2">
        <f>IFERROR(M759/C759,"")</f>
        <v/>
      </c>
      <c r="AH759" s="2">
        <f>IFERROR(N759/D759,"")</f>
        <v/>
      </c>
      <c r="AI759" s="2">
        <f>IFERROR(O759/E759,"")</f>
        <v/>
      </c>
      <c r="AJ759" s="2">
        <f>IFERROR(P759/F759,"")</f>
        <v/>
      </c>
      <c r="AK759" s="2">
        <f>IFERROR(Q759/B759,"")</f>
        <v/>
      </c>
      <c r="AL759" s="2">
        <f>IFERROR(R759/C759,"")</f>
        <v/>
      </c>
      <c r="AM759" s="2">
        <f>IFERROR(S759/D759,"")</f>
        <v/>
      </c>
      <c r="AN759" s="2">
        <f>IFERROR(T759/E759,"")</f>
        <v/>
      </c>
      <c r="AO759" s="2">
        <f>IFERROR(U759/F759,"")</f>
        <v/>
      </c>
    </row>
    <row r="760">
      <c r="B760">
        <f>IF($A760="","",IFERROR(INDEX('[AQ_2020.xlsx]原始数据'!$B:$B,MATCH($A760,'[AQ_2020.xlsx]原始数据'!$A:$A,0)),""))</f>
        <v/>
      </c>
      <c r="C760">
        <f>IF($A760="","",IFERROR(INDEX('[AQ_2021.xlsx]原始数据'!$B:$B,MATCH($A760,'[AQ_2021.xlsx]原始数据'!$A:$A,0)),""))</f>
        <v/>
      </c>
      <c r="D760">
        <f>IF($A760="","",IFERROR(INDEX('[AQ_2022.xlsx]原始数据'!$B:$B,MATCH($A760,'[AQ_2022.xlsx]原始数据'!$A:$A,0)),""))</f>
        <v/>
      </c>
      <c r="E760">
        <f>IF($A760="","",IFERROR(INDEX('[AQ_2023.xlsx]原始数据'!$B:$B,MATCH($A760,'[AQ_2023.xlsx]原始数据'!$A:$A,0)),""))</f>
        <v/>
      </c>
      <c r="F760">
        <f>IF($A760="","",IFERROR(INDEX('[AQ_2024.xlsx]原始数据'!$B:$B,MATCH($A760,'[AQ_2024.xlsx]原始数据'!$A:$A,0)),""))</f>
        <v/>
      </c>
      <c r="G760">
        <f>IF($A760="","",IFERROR(INDEX('[AQ_2020.xlsx]原始数据'!$C:$C,MATCH($A760,'[AQ_2020.xlsx]原始数据'!$A:$A,0)),""))</f>
        <v/>
      </c>
      <c r="H760">
        <f>IF($A760="","",IFERROR(INDEX('[AQ_2021.xlsx]原始数据'!$C:$C,MATCH($A760,'[AQ_2021.xlsx]原始数据'!$A:$A,0)),""))</f>
        <v/>
      </c>
      <c r="I760">
        <f>IF($A760="","",IFERROR(INDEX('[AQ_2022.xlsx]原始数据'!$C:$C,MATCH($A760,'[AQ_2022.xlsx]原始数据'!$A:$A,0)),""))</f>
        <v/>
      </c>
      <c r="J760">
        <f>IF($A760="","",IFERROR(INDEX('[AQ_2023.xlsx]原始数据'!$C:$C,MATCH($A760,'[AQ_2023.xlsx]原始数据'!$A:$A,0)),""))</f>
        <v/>
      </c>
      <c r="K760">
        <f>IF($A760="","",IFERROR(INDEX('[AQ_2024.xlsx]原始数据'!$C:$C,MATCH($A760,'[AQ_2024.xlsx]原始数据'!$A:$A,0)),""))</f>
        <v/>
      </c>
      <c r="L760">
        <f>IF($A760="","",IFERROR(INDEX('[AQ_2020.xlsx]原始数据'!$D:$D,MATCH($A760,'[AQ_2020.xlsx]原始数据'!$A:$A,0)),""))</f>
        <v/>
      </c>
      <c r="M760">
        <f>IF($A760="","",IFERROR(INDEX('[AQ_2021.xlsx]原始数据'!$D:$D,MATCH($A760,'[AQ_2021.xlsx]原始数据'!$A:$A,0)),""))</f>
        <v/>
      </c>
      <c r="N760">
        <f>IF($A760="","",IFERROR(INDEX('[AQ_2022.xlsx]原始数据'!$D:$D,MATCH($A760,'[AQ_2022.xlsx]原始数据'!$A:$A,0)),""))</f>
        <v/>
      </c>
      <c r="O760">
        <f>IF($A760="","",IFERROR(INDEX('[AQ_2023.xlsx]原始数据'!$D:$D,MATCH($A760,'[AQ_2023.xlsx]原始数据'!$A:$A,0)),""))</f>
        <v/>
      </c>
      <c r="P760">
        <f>IF($A760="","",IFERROR(INDEX('[AQ_2024.xlsx]原始数据'!$D:$D,MATCH($A760,'[AQ_2024.xlsx]原始数据'!$A:$A,0)),""))</f>
        <v/>
      </c>
      <c r="Q760">
        <f>IF($A760="","",IFERROR(INDEX('[AQ_2020.xlsx]原始数据'!$E:$E,MATCH($A760,'[AQ_2020.xlsx]原始数据'!$A:$A,0)),""))</f>
        <v/>
      </c>
      <c r="R760">
        <f>IF($A760="","",IFERROR(INDEX('[AQ_2021.xlsx]原始数据'!$E:$E,MATCH($A760,'[AQ_2021.xlsx]原始数据'!$A:$A,0)),""))</f>
        <v/>
      </c>
      <c r="S760">
        <f>IF($A760="","",IFERROR(INDEX('[AQ_2022.xlsx]原始数据'!$E:$E,MATCH($A760,'[AQ_2022.xlsx]原始数据'!$A:$A,0)),""))</f>
        <v/>
      </c>
      <c r="T760">
        <f>IF($A760="","",IFERROR(INDEX('[AQ_2023.xlsx]原始数据'!$E:$E,MATCH($A760,'[AQ_2023.xlsx]原始数据'!$A:$A,0)),""))</f>
        <v/>
      </c>
      <c r="U760">
        <f>IF($A760="","",IFERROR(INDEX('[AQ_2024.xlsx]原始数据'!$E:$E,MATCH($A760,'[AQ_2024.xlsx]原始数据'!$A:$A,0)),""))</f>
        <v/>
      </c>
      <c r="V760">
        <f>IF($A760="","",IFERROR(INDEX('[AQ_2020.xlsx]原始数据'!$F:$F,MATCH($A760,'[AQ_2020.xlsx]原始数据'!$A:$A,0)),""))</f>
        <v/>
      </c>
      <c r="W760">
        <f>IF($A760="","",IFERROR(INDEX('[AQ_2021.xlsx]原始数据'!$F:$F,MATCH($A760,'[AQ_2021.xlsx]原始数据'!$A:$A,0)),""))</f>
        <v/>
      </c>
      <c r="X760">
        <f>IF($A760="","",IFERROR(INDEX('[AQ_2022.xlsx]原始数据'!$F:$F,MATCH($A760,'[AQ_2022.xlsx]原始数据'!$A:$A,0)),""))</f>
        <v/>
      </c>
      <c r="Y760">
        <f>IF($A760="","",IFERROR(INDEX('[AQ_2023.xlsx]原始数据'!$F:$F,MATCH($A760,'[AQ_2023.xlsx]原始数据'!$A:$A,0)),""))</f>
        <v/>
      </c>
      <c r="Z760">
        <f>IF($A760="","",IFERROR(INDEX('[AQ_2024.xlsx]原始数据'!$F:$F,MATCH($A760,'[AQ_2024.xlsx]原始数据'!$A:$A,0)),""))</f>
        <v/>
      </c>
      <c r="AA760" s="2">
        <f>IFERROR(G760/B760,"")</f>
        <v/>
      </c>
      <c r="AB760" s="2">
        <f>IFERROR(H760/C760,"")</f>
        <v/>
      </c>
      <c r="AC760" s="2">
        <f>IFERROR(I760/D760,"")</f>
        <v/>
      </c>
      <c r="AD760" s="2">
        <f>IFERROR(J760/E760,"")</f>
        <v/>
      </c>
      <c r="AE760" s="2">
        <f>IFERROR(K760/F760,"")</f>
        <v/>
      </c>
      <c r="AF760" s="2">
        <f>IFERROR(L760/B760,"")</f>
        <v/>
      </c>
      <c r="AG760" s="2">
        <f>IFERROR(M760/C760,"")</f>
        <v/>
      </c>
      <c r="AH760" s="2">
        <f>IFERROR(N760/D760,"")</f>
        <v/>
      </c>
      <c r="AI760" s="2">
        <f>IFERROR(O760/E760,"")</f>
        <v/>
      </c>
      <c r="AJ760" s="2">
        <f>IFERROR(P760/F760,"")</f>
        <v/>
      </c>
      <c r="AK760" s="2">
        <f>IFERROR(Q760/B760,"")</f>
        <v/>
      </c>
      <c r="AL760" s="2">
        <f>IFERROR(R760/C760,"")</f>
        <v/>
      </c>
      <c r="AM760" s="2">
        <f>IFERROR(S760/D760,"")</f>
        <v/>
      </c>
      <c r="AN760" s="2">
        <f>IFERROR(T760/E760,"")</f>
        <v/>
      </c>
      <c r="AO760" s="2">
        <f>IFERROR(U760/F760,"")</f>
        <v/>
      </c>
    </row>
    <row r="761">
      <c r="B761">
        <f>IF($A761="","",IFERROR(INDEX('[AQ_2020.xlsx]原始数据'!$B:$B,MATCH($A761,'[AQ_2020.xlsx]原始数据'!$A:$A,0)),""))</f>
        <v/>
      </c>
      <c r="C761">
        <f>IF($A761="","",IFERROR(INDEX('[AQ_2021.xlsx]原始数据'!$B:$B,MATCH($A761,'[AQ_2021.xlsx]原始数据'!$A:$A,0)),""))</f>
        <v/>
      </c>
      <c r="D761">
        <f>IF($A761="","",IFERROR(INDEX('[AQ_2022.xlsx]原始数据'!$B:$B,MATCH($A761,'[AQ_2022.xlsx]原始数据'!$A:$A,0)),""))</f>
        <v/>
      </c>
      <c r="E761">
        <f>IF($A761="","",IFERROR(INDEX('[AQ_2023.xlsx]原始数据'!$B:$B,MATCH($A761,'[AQ_2023.xlsx]原始数据'!$A:$A,0)),""))</f>
        <v/>
      </c>
      <c r="F761">
        <f>IF($A761="","",IFERROR(INDEX('[AQ_2024.xlsx]原始数据'!$B:$B,MATCH($A761,'[AQ_2024.xlsx]原始数据'!$A:$A,0)),""))</f>
        <v/>
      </c>
      <c r="G761">
        <f>IF($A761="","",IFERROR(INDEX('[AQ_2020.xlsx]原始数据'!$C:$C,MATCH($A761,'[AQ_2020.xlsx]原始数据'!$A:$A,0)),""))</f>
        <v/>
      </c>
      <c r="H761">
        <f>IF($A761="","",IFERROR(INDEX('[AQ_2021.xlsx]原始数据'!$C:$C,MATCH($A761,'[AQ_2021.xlsx]原始数据'!$A:$A,0)),""))</f>
        <v/>
      </c>
      <c r="I761">
        <f>IF($A761="","",IFERROR(INDEX('[AQ_2022.xlsx]原始数据'!$C:$C,MATCH($A761,'[AQ_2022.xlsx]原始数据'!$A:$A,0)),""))</f>
        <v/>
      </c>
      <c r="J761">
        <f>IF($A761="","",IFERROR(INDEX('[AQ_2023.xlsx]原始数据'!$C:$C,MATCH($A761,'[AQ_2023.xlsx]原始数据'!$A:$A,0)),""))</f>
        <v/>
      </c>
      <c r="K761">
        <f>IF($A761="","",IFERROR(INDEX('[AQ_2024.xlsx]原始数据'!$C:$C,MATCH($A761,'[AQ_2024.xlsx]原始数据'!$A:$A,0)),""))</f>
        <v/>
      </c>
      <c r="L761">
        <f>IF($A761="","",IFERROR(INDEX('[AQ_2020.xlsx]原始数据'!$D:$D,MATCH($A761,'[AQ_2020.xlsx]原始数据'!$A:$A,0)),""))</f>
        <v/>
      </c>
      <c r="M761">
        <f>IF($A761="","",IFERROR(INDEX('[AQ_2021.xlsx]原始数据'!$D:$D,MATCH($A761,'[AQ_2021.xlsx]原始数据'!$A:$A,0)),""))</f>
        <v/>
      </c>
      <c r="N761">
        <f>IF($A761="","",IFERROR(INDEX('[AQ_2022.xlsx]原始数据'!$D:$D,MATCH($A761,'[AQ_2022.xlsx]原始数据'!$A:$A,0)),""))</f>
        <v/>
      </c>
      <c r="O761">
        <f>IF($A761="","",IFERROR(INDEX('[AQ_2023.xlsx]原始数据'!$D:$D,MATCH($A761,'[AQ_2023.xlsx]原始数据'!$A:$A,0)),""))</f>
        <v/>
      </c>
      <c r="P761">
        <f>IF($A761="","",IFERROR(INDEX('[AQ_2024.xlsx]原始数据'!$D:$D,MATCH($A761,'[AQ_2024.xlsx]原始数据'!$A:$A,0)),""))</f>
        <v/>
      </c>
      <c r="Q761">
        <f>IF($A761="","",IFERROR(INDEX('[AQ_2020.xlsx]原始数据'!$E:$E,MATCH($A761,'[AQ_2020.xlsx]原始数据'!$A:$A,0)),""))</f>
        <v/>
      </c>
      <c r="R761">
        <f>IF($A761="","",IFERROR(INDEX('[AQ_2021.xlsx]原始数据'!$E:$E,MATCH($A761,'[AQ_2021.xlsx]原始数据'!$A:$A,0)),""))</f>
        <v/>
      </c>
      <c r="S761">
        <f>IF($A761="","",IFERROR(INDEX('[AQ_2022.xlsx]原始数据'!$E:$E,MATCH($A761,'[AQ_2022.xlsx]原始数据'!$A:$A,0)),""))</f>
        <v/>
      </c>
      <c r="T761">
        <f>IF($A761="","",IFERROR(INDEX('[AQ_2023.xlsx]原始数据'!$E:$E,MATCH($A761,'[AQ_2023.xlsx]原始数据'!$A:$A,0)),""))</f>
        <v/>
      </c>
      <c r="U761">
        <f>IF($A761="","",IFERROR(INDEX('[AQ_2024.xlsx]原始数据'!$E:$E,MATCH($A761,'[AQ_2024.xlsx]原始数据'!$A:$A,0)),""))</f>
        <v/>
      </c>
      <c r="V761">
        <f>IF($A761="","",IFERROR(INDEX('[AQ_2020.xlsx]原始数据'!$F:$F,MATCH($A761,'[AQ_2020.xlsx]原始数据'!$A:$A,0)),""))</f>
        <v/>
      </c>
      <c r="W761">
        <f>IF($A761="","",IFERROR(INDEX('[AQ_2021.xlsx]原始数据'!$F:$F,MATCH($A761,'[AQ_2021.xlsx]原始数据'!$A:$A,0)),""))</f>
        <v/>
      </c>
      <c r="X761">
        <f>IF($A761="","",IFERROR(INDEX('[AQ_2022.xlsx]原始数据'!$F:$F,MATCH($A761,'[AQ_2022.xlsx]原始数据'!$A:$A,0)),""))</f>
        <v/>
      </c>
      <c r="Y761">
        <f>IF($A761="","",IFERROR(INDEX('[AQ_2023.xlsx]原始数据'!$F:$F,MATCH($A761,'[AQ_2023.xlsx]原始数据'!$A:$A,0)),""))</f>
        <v/>
      </c>
      <c r="Z761">
        <f>IF($A761="","",IFERROR(INDEX('[AQ_2024.xlsx]原始数据'!$F:$F,MATCH($A761,'[AQ_2024.xlsx]原始数据'!$A:$A,0)),""))</f>
        <v/>
      </c>
      <c r="AA761" s="2">
        <f>IFERROR(G761/B761,"")</f>
        <v/>
      </c>
      <c r="AB761" s="2">
        <f>IFERROR(H761/C761,"")</f>
        <v/>
      </c>
      <c r="AC761" s="2">
        <f>IFERROR(I761/D761,"")</f>
        <v/>
      </c>
      <c r="AD761" s="2">
        <f>IFERROR(J761/E761,"")</f>
        <v/>
      </c>
      <c r="AE761" s="2">
        <f>IFERROR(K761/F761,"")</f>
        <v/>
      </c>
      <c r="AF761" s="2">
        <f>IFERROR(L761/B761,"")</f>
        <v/>
      </c>
      <c r="AG761" s="2">
        <f>IFERROR(M761/C761,"")</f>
        <v/>
      </c>
      <c r="AH761" s="2">
        <f>IFERROR(N761/D761,"")</f>
        <v/>
      </c>
      <c r="AI761" s="2">
        <f>IFERROR(O761/E761,"")</f>
        <v/>
      </c>
      <c r="AJ761" s="2">
        <f>IFERROR(P761/F761,"")</f>
        <v/>
      </c>
      <c r="AK761" s="2">
        <f>IFERROR(Q761/B761,"")</f>
        <v/>
      </c>
      <c r="AL761" s="2">
        <f>IFERROR(R761/C761,"")</f>
        <v/>
      </c>
      <c r="AM761" s="2">
        <f>IFERROR(S761/D761,"")</f>
        <v/>
      </c>
      <c r="AN761" s="2">
        <f>IFERROR(T761/E761,"")</f>
        <v/>
      </c>
      <c r="AO761" s="2">
        <f>IFERROR(U761/F761,"")</f>
        <v/>
      </c>
    </row>
    <row r="762">
      <c r="B762">
        <f>IF($A762="","",IFERROR(INDEX('[AQ_2020.xlsx]原始数据'!$B:$B,MATCH($A762,'[AQ_2020.xlsx]原始数据'!$A:$A,0)),""))</f>
        <v/>
      </c>
      <c r="C762">
        <f>IF($A762="","",IFERROR(INDEX('[AQ_2021.xlsx]原始数据'!$B:$B,MATCH($A762,'[AQ_2021.xlsx]原始数据'!$A:$A,0)),""))</f>
        <v/>
      </c>
      <c r="D762">
        <f>IF($A762="","",IFERROR(INDEX('[AQ_2022.xlsx]原始数据'!$B:$B,MATCH($A762,'[AQ_2022.xlsx]原始数据'!$A:$A,0)),""))</f>
        <v/>
      </c>
      <c r="E762">
        <f>IF($A762="","",IFERROR(INDEX('[AQ_2023.xlsx]原始数据'!$B:$B,MATCH($A762,'[AQ_2023.xlsx]原始数据'!$A:$A,0)),""))</f>
        <v/>
      </c>
      <c r="F762">
        <f>IF($A762="","",IFERROR(INDEX('[AQ_2024.xlsx]原始数据'!$B:$B,MATCH($A762,'[AQ_2024.xlsx]原始数据'!$A:$A,0)),""))</f>
        <v/>
      </c>
      <c r="G762">
        <f>IF($A762="","",IFERROR(INDEX('[AQ_2020.xlsx]原始数据'!$C:$C,MATCH($A762,'[AQ_2020.xlsx]原始数据'!$A:$A,0)),""))</f>
        <v/>
      </c>
      <c r="H762">
        <f>IF($A762="","",IFERROR(INDEX('[AQ_2021.xlsx]原始数据'!$C:$C,MATCH($A762,'[AQ_2021.xlsx]原始数据'!$A:$A,0)),""))</f>
        <v/>
      </c>
      <c r="I762">
        <f>IF($A762="","",IFERROR(INDEX('[AQ_2022.xlsx]原始数据'!$C:$C,MATCH($A762,'[AQ_2022.xlsx]原始数据'!$A:$A,0)),""))</f>
        <v/>
      </c>
      <c r="J762">
        <f>IF($A762="","",IFERROR(INDEX('[AQ_2023.xlsx]原始数据'!$C:$C,MATCH($A762,'[AQ_2023.xlsx]原始数据'!$A:$A,0)),""))</f>
        <v/>
      </c>
      <c r="K762">
        <f>IF($A762="","",IFERROR(INDEX('[AQ_2024.xlsx]原始数据'!$C:$C,MATCH($A762,'[AQ_2024.xlsx]原始数据'!$A:$A,0)),""))</f>
        <v/>
      </c>
      <c r="L762">
        <f>IF($A762="","",IFERROR(INDEX('[AQ_2020.xlsx]原始数据'!$D:$D,MATCH($A762,'[AQ_2020.xlsx]原始数据'!$A:$A,0)),""))</f>
        <v/>
      </c>
      <c r="M762">
        <f>IF($A762="","",IFERROR(INDEX('[AQ_2021.xlsx]原始数据'!$D:$D,MATCH($A762,'[AQ_2021.xlsx]原始数据'!$A:$A,0)),""))</f>
        <v/>
      </c>
      <c r="N762">
        <f>IF($A762="","",IFERROR(INDEX('[AQ_2022.xlsx]原始数据'!$D:$D,MATCH($A762,'[AQ_2022.xlsx]原始数据'!$A:$A,0)),""))</f>
        <v/>
      </c>
      <c r="O762">
        <f>IF($A762="","",IFERROR(INDEX('[AQ_2023.xlsx]原始数据'!$D:$D,MATCH($A762,'[AQ_2023.xlsx]原始数据'!$A:$A,0)),""))</f>
        <v/>
      </c>
      <c r="P762">
        <f>IF($A762="","",IFERROR(INDEX('[AQ_2024.xlsx]原始数据'!$D:$D,MATCH($A762,'[AQ_2024.xlsx]原始数据'!$A:$A,0)),""))</f>
        <v/>
      </c>
      <c r="Q762">
        <f>IF($A762="","",IFERROR(INDEX('[AQ_2020.xlsx]原始数据'!$E:$E,MATCH($A762,'[AQ_2020.xlsx]原始数据'!$A:$A,0)),""))</f>
        <v/>
      </c>
      <c r="R762">
        <f>IF($A762="","",IFERROR(INDEX('[AQ_2021.xlsx]原始数据'!$E:$E,MATCH($A762,'[AQ_2021.xlsx]原始数据'!$A:$A,0)),""))</f>
        <v/>
      </c>
      <c r="S762">
        <f>IF($A762="","",IFERROR(INDEX('[AQ_2022.xlsx]原始数据'!$E:$E,MATCH($A762,'[AQ_2022.xlsx]原始数据'!$A:$A,0)),""))</f>
        <v/>
      </c>
      <c r="T762">
        <f>IF($A762="","",IFERROR(INDEX('[AQ_2023.xlsx]原始数据'!$E:$E,MATCH($A762,'[AQ_2023.xlsx]原始数据'!$A:$A,0)),""))</f>
        <v/>
      </c>
      <c r="U762">
        <f>IF($A762="","",IFERROR(INDEX('[AQ_2024.xlsx]原始数据'!$E:$E,MATCH($A762,'[AQ_2024.xlsx]原始数据'!$A:$A,0)),""))</f>
        <v/>
      </c>
      <c r="V762">
        <f>IF($A762="","",IFERROR(INDEX('[AQ_2020.xlsx]原始数据'!$F:$F,MATCH($A762,'[AQ_2020.xlsx]原始数据'!$A:$A,0)),""))</f>
        <v/>
      </c>
      <c r="W762">
        <f>IF($A762="","",IFERROR(INDEX('[AQ_2021.xlsx]原始数据'!$F:$F,MATCH($A762,'[AQ_2021.xlsx]原始数据'!$A:$A,0)),""))</f>
        <v/>
      </c>
      <c r="X762">
        <f>IF($A762="","",IFERROR(INDEX('[AQ_2022.xlsx]原始数据'!$F:$F,MATCH($A762,'[AQ_2022.xlsx]原始数据'!$A:$A,0)),""))</f>
        <v/>
      </c>
      <c r="Y762">
        <f>IF($A762="","",IFERROR(INDEX('[AQ_2023.xlsx]原始数据'!$F:$F,MATCH($A762,'[AQ_2023.xlsx]原始数据'!$A:$A,0)),""))</f>
        <v/>
      </c>
      <c r="Z762">
        <f>IF($A762="","",IFERROR(INDEX('[AQ_2024.xlsx]原始数据'!$F:$F,MATCH($A762,'[AQ_2024.xlsx]原始数据'!$A:$A,0)),""))</f>
        <v/>
      </c>
      <c r="AA762" s="2">
        <f>IFERROR(G762/B762,"")</f>
        <v/>
      </c>
      <c r="AB762" s="2">
        <f>IFERROR(H762/C762,"")</f>
        <v/>
      </c>
      <c r="AC762" s="2">
        <f>IFERROR(I762/D762,"")</f>
        <v/>
      </c>
      <c r="AD762" s="2">
        <f>IFERROR(J762/E762,"")</f>
        <v/>
      </c>
      <c r="AE762" s="2">
        <f>IFERROR(K762/F762,"")</f>
        <v/>
      </c>
      <c r="AF762" s="2">
        <f>IFERROR(L762/B762,"")</f>
        <v/>
      </c>
      <c r="AG762" s="2">
        <f>IFERROR(M762/C762,"")</f>
        <v/>
      </c>
      <c r="AH762" s="2">
        <f>IFERROR(N762/D762,"")</f>
        <v/>
      </c>
      <c r="AI762" s="2">
        <f>IFERROR(O762/E762,"")</f>
        <v/>
      </c>
      <c r="AJ762" s="2">
        <f>IFERROR(P762/F762,"")</f>
        <v/>
      </c>
      <c r="AK762" s="2">
        <f>IFERROR(Q762/B762,"")</f>
        <v/>
      </c>
      <c r="AL762" s="2">
        <f>IFERROR(R762/C762,"")</f>
        <v/>
      </c>
      <c r="AM762" s="2">
        <f>IFERROR(S762/D762,"")</f>
        <v/>
      </c>
      <c r="AN762" s="2">
        <f>IFERROR(T762/E762,"")</f>
        <v/>
      </c>
      <c r="AO762" s="2">
        <f>IFERROR(U762/F762,"")</f>
        <v/>
      </c>
    </row>
    <row r="763">
      <c r="B763">
        <f>IF($A763="","",IFERROR(INDEX('[AQ_2020.xlsx]原始数据'!$B:$B,MATCH($A763,'[AQ_2020.xlsx]原始数据'!$A:$A,0)),""))</f>
        <v/>
      </c>
      <c r="C763">
        <f>IF($A763="","",IFERROR(INDEX('[AQ_2021.xlsx]原始数据'!$B:$B,MATCH($A763,'[AQ_2021.xlsx]原始数据'!$A:$A,0)),""))</f>
        <v/>
      </c>
      <c r="D763">
        <f>IF($A763="","",IFERROR(INDEX('[AQ_2022.xlsx]原始数据'!$B:$B,MATCH($A763,'[AQ_2022.xlsx]原始数据'!$A:$A,0)),""))</f>
        <v/>
      </c>
      <c r="E763">
        <f>IF($A763="","",IFERROR(INDEX('[AQ_2023.xlsx]原始数据'!$B:$B,MATCH($A763,'[AQ_2023.xlsx]原始数据'!$A:$A,0)),""))</f>
        <v/>
      </c>
      <c r="F763">
        <f>IF($A763="","",IFERROR(INDEX('[AQ_2024.xlsx]原始数据'!$B:$B,MATCH($A763,'[AQ_2024.xlsx]原始数据'!$A:$A,0)),""))</f>
        <v/>
      </c>
      <c r="G763">
        <f>IF($A763="","",IFERROR(INDEX('[AQ_2020.xlsx]原始数据'!$C:$C,MATCH($A763,'[AQ_2020.xlsx]原始数据'!$A:$A,0)),""))</f>
        <v/>
      </c>
      <c r="H763">
        <f>IF($A763="","",IFERROR(INDEX('[AQ_2021.xlsx]原始数据'!$C:$C,MATCH($A763,'[AQ_2021.xlsx]原始数据'!$A:$A,0)),""))</f>
        <v/>
      </c>
      <c r="I763">
        <f>IF($A763="","",IFERROR(INDEX('[AQ_2022.xlsx]原始数据'!$C:$C,MATCH($A763,'[AQ_2022.xlsx]原始数据'!$A:$A,0)),""))</f>
        <v/>
      </c>
      <c r="J763">
        <f>IF($A763="","",IFERROR(INDEX('[AQ_2023.xlsx]原始数据'!$C:$C,MATCH($A763,'[AQ_2023.xlsx]原始数据'!$A:$A,0)),""))</f>
        <v/>
      </c>
      <c r="K763">
        <f>IF($A763="","",IFERROR(INDEX('[AQ_2024.xlsx]原始数据'!$C:$C,MATCH($A763,'[AQ_2024.xlsx]原始数据'!$A:$A,0)),""))</f>
        <v/>
      </c>
      <c r="L763">
        <f>IF($A763="","",IFERROR(INDEX('[AQ_2020.xlsx]原始数据'!$D:$D,MATCH($A763,'[AQ_2020.xlsx]原始数据'!$A:$A,0)),""))</f>
        <v/>
      </c>
      <c r="M763">
        <f>IF($A763="","",IFERROR(INDEX('[AQ_2021.xlsx]原始数据'!$D:$D,MATCH($A763,'[AQ_2021.xlsx]原始数据'!$A:$A,0)),""))</f>
        <v/>
      </c>
      <c r="N763">
        <f>IF($A763="","",IFERROR(INDEX('[AQ_2022.xlsx]原始数据'!$D:$D,MATCH($A763,'[AQ_2022.xlsx]原始数据'!$A:$A,0)),""))</f>
        <v/>
      </c>
      <c r="O763">
        <f>IF($A763="","",IFERROR(INDEX('[AQ_2023.xlsx]原始数据'!$D:$D,MATCH($A763,'[AQ_2023.xlsx]原始数据'!$A:$A,0)),""))</f>
        <v/>
      </c>
      <c r="P763">
        <f>IF($A763="","",IFERROR(INDEX('[AQ_2024.xlsx]原始数据'!$D:$D,MATCH($A763,'[AQ_2024.xlsx]原始数据'!$A:$A,0)),""))</f>
        <v/>
      </c>
      <c r="Q763">
        <f>IF($A763="","",IFERROR(INDEX('[AQ_2020.xlsx]原始数据'!$E:$E,MATCH($A763,'[AQ_2020.xlsx]原始数据'!$A:$A,0)),""))</f>
        <v/>
      </c>
      <c r="R763">
        <f>IF($A763="","",IFERROR(INDEX('[AQ_2021.xlsx]原始数据'!$E:$E,MATCH($A763,'[AQ_2021.xlsx]原始数据'!$A:$A,0)),""))</f>
        <v/>
      </c>
      <c r="S763">
        <f>IF($A763="","",IFERROR(INDEX('[AQ_2022.xlsx]原始数据'!$E:$E,MATCH($A763,'[AQ_2022.xlsx]原始数据'!$A:$A,0)),""))</f>
        <v/>
      </c>
      <c r="T763">
        <f>IF($A763="","",IFERROR(INDEX('[AQ_2023.xlsx]原始数据'!$E:$E,MATCH($A763,'[AQ_2023.xlsx]原始数据'!$A:$A,0)),""))</f>
        <v/>
      </c>
      <c r="U763">
        <f>IF($A763="","",IFERROR(INDEX('[AQ_2024.xlsx]原始数据'!$E:$E,MATCH($A763,'[AQ_2024.xlsx]原始数据'!$A:$A,0)),""))</f>
        <v/>
      </c>
      <c r="V763">
        <f>IF($A763="","",IFERROR(INDEX('[AQ_2020.xlsx]原始数据'!$F:$F,MATCH($A763,'[AQ_2020.xlsx]原始数据'!$A:$A,0)),""))</f>
        <v/>
      </c>
      <c r="W763">
        <f>IF($A763="","",IFERROR(INDEX('[AQ_2021.xlsx]原始数据'!$F:$F,MATCH($A763,'[AQ_2021.xlsx]原始数据'!$A:$A,0)),""))</f>
        <v/>
      </c>
      <c r="X763">
        <f>IF($A763="","",IFERROR(INDEX('[AQ_2022.xlsx]原始数据'!$F:$F,MATCH($A763,'[AQ_2022.xlsx]原始数据'!$A:$A,0)),""))</f>
        <v/>
      </c>
      <c r="Y763">
        <f>IF($A763="","",IFERROR(INDEX('[AQ_2023.xlsx]原始数据'!$F:$F,MATCH($A763,'[AQ_2023.xlsx]原始数据'!$A:$A,0)),""))</f>
        <v/>
      </c>
      <c r="Z763">
        <f>IF($A763="","",IFERROR(INDEX('[AQ_2024.xlsx]原始数据'!$F:$F,MATCH($A763,'[AQ_2024.xlsx]原始数据'!$A:$A,0)),""))</f>
        <v/>
      </c>
      <c r="AA763" s="2">
        <f>IFERROR(G763/B763,"")</f>
        <v/>
      </c>
      <c r="AB763" s="2">
        <f>IFERROR(H763/C763,"")</f>
        <v/>
      </c>
      <c r="AC763" s="2">
        <f>IFERROR(I763/D763,"")</f>
        <v/>
      </c>
      <c r="AD763" s="2">
        <f>IFERROR(J763/E763,"")</f>
        <v/>
      </c>
      <c r="AE763" s="2">
        <f>IFERROR(K763/F763,"")</f>
        <v/>
      </c>
      <c r="AF763" s="2">
        <f>IFERROR(L763/B763,"")</f>
        <v/>
      </c>
      <c r="AG763" s="2">
        <f>IFERROR(M763/C763,"")</f>
        <v/>
      </c>
      <c r="AH763" s="2">
        <f>IFERROR(N763/D763,"")</f>
        <v/>
      </c>
      <c r="AI763" s="2">
        <f>IFERROR(O763/E763,"")</f>
        <v/>
      </c>
      <c r="AJ763" s="2">
        <f>IFERROR(P763/F763,"")</f>
        <v/>
      </c>
      <c r="AK763" s="2">
        <f>IFERROR(Q763/B763,"")</f>
        <v/>
      </c>
      <c r="AL763" s="2">
        <f>IFERROR(R763/C763,"")</f>
        <v/>
      </c>
      <c r="AM763" s="2">
        <f>IFERROR(S763/D763,"")</f>
        <v/>
      </c>
      <c r="AN763" s="2">
        <f>IFERROR(T763/E763,"")</f>
        <v/>
      </c>
      <c r="AO763" s="2">
        <f>IFERROR(U763/F763,"")</f>
        <v/>
      </c>
    </row>
    <row r="764">
      <c r="B764">
        <f>IF($A764="","",IFERROR(INDEX('[AQ_2020.xlsx]原始数据'!$B:$B,MATCH($A764,'[AQ_2020.xlsx]原始数据'!$A:$A,0)),""))</f>
        <v/>
      </c>
      <c r="C764">
        <f>IF($A764="","",IFERROR(INDEX('[AQ_2021.xlsx]原始数据'!$B:$B,MATCH($A764,'[AQ_2021.xlsx]原始数据'!$A:$A,0)),""))</f>
        <v/>
      </c>
      <c r="D764">
        <f>IF($A764="","",IFERROR(INDEX('[AQ_2022.xlsx]原始数据'!$B:$B,MATCH($A764,'[AQ_2022.xlsx]原始数据'!$A:$A,0)),""))</f>
        <v/>
      </c>
      <c r="E764">
        <f>IF($A764="","",IFERROR(INDEX('[AQ_2023.xlsx]原始数据'!$B:$B,MATCH($A764,'[AQ_2023.xlsx]原始数据'!$A:$A,0)),""))</f>
        <v/>
      </c>
      <c r="F764">
        <f>IF($A764="","",IFERROR(INDEX('[AQ_2024.xlsx]原始数据'!$B:$B,MATCH($A764,'[AQ_2024.xlsx]原始数据'!$A:$A,0)),""))</f>
        <v/>
      </c>
      <c r="G764">
        <f>IF($A764="","",IFERROR(INDEX('[AQ_2020.xlsx]原始数据'!$C:$C,MATCH($A764,'[AQ_2020.xlsx]原始数据'!$A:$A,0)),""))</f>
        <v/>
      </c>
      <c r="H764">
        <f>IF($A764="","",IFERROR(INDEX('[AQ_2021.xlsx]原始数据'!$C:$C,MATCH($A764,'[AQ_2021.xlsx]原始数据'!$A:$A,0)),""))</f>
        <v/>
      </c>
      <c r="I764">
        <f>IF($A764="","",IFERROR(INDEX('[AQ_2022.xlsx]原始数据'!$C:$C,MATCH($A764,'[AQ_2022.xlsx]原始数据'!$A:$A,0)),""))</f>
        <v/>
      </c>
      <c r="J764">
        <f>IF($A764="","",IFERROR(INDEX('[AQ_2023.xlsx]原始数据'!$C:$C,MATCH($A764,'[AQ_2023.xlsx]原始数据'!$A:$A,0)),""))</f>
        <v/>
      </c>
      <c r="K764">
        <f>IF($A764="","",IFERROR(INDEX('[AQ_2024.xlsx]原始数据'!$C:$C,MATCH($A764,'[AQ_2024.xlsx]原始数据'!$A:$A,0)),""))</f>
        <v/>
      </c>
      <c r="L764">
        <f>IF($A764="","",IFERROR(INDEX('[AQ_2020.xlsx]原始数据'!$D:$D,MATCH($A764,'[AQ_2020.xlsx]原始数据'!$A:$A,0)),""))</f>
        <v/>
      </c>
      <c r="M764">
        <f>IF($A764="","",IFERROR(INDEX('[AQ_2021.xlsx]原始数据'!$D:$D,MATCH($A764,'[AQ_2021.xlsx]原始数据'!$A:$A,0)),""))</f>
        <v/>
      </c>
      <c r="N764">
        <f>IF($A764="","",IFERROR(INDEX('[AQ_2022.xlsx]原始数据'!$D:$D,MATCH($A764,'[AQ_2022.xlsx]原始数据'!$A:$A,0)),""))</f>
        <v/>
      </c>
      <c r="O764">
        <f>IF($A764="","",IFERROR(INDEX('[AQ_2023.xlsx]原始数据'!$D:$D,MATCH($A764,'[AQ_2023.xlsx]原始数据'!$A:$A,0)),""))</f>
        <v/>
      </c>
      <c r="P764">
        <f>IF($A764="","",IFERROR(INDEX('[AQ_2024.xlsx]原始数据'!$D:$D,MATCH($A764,'[AQ_2024.xlsx]原始数据'!$A:$A,0)),""))</f>
        <v/>
      </c>
      <c r="Q764">
        <f>IF($A764="","",IFERROR(INDEX('[AQ_2020.xlsx]原始数据'!$E:$E,MATCH($A764,'[AQ_2020.xlsx]原始数据'!$A:$A,0)),""))</f>
        <v/>
      </c>
      <c r="R764">
        <f>IF($A764="","",IFERROR(INDEX('[AQ_2021.xlsx]原始数据'!$E:$E,MATCH($A764,'[AQ_2021.xlsx]原始数据'!$A:$A,0)),""))</f>
        <v/>
      </c>
      <c r="S764">
        <f>IF($A764="","",IFERROR(INDEX('[AQ_2022.xlsx]原始数据'!$E:$E,MATCH($A764,'[AQ_2022.xlsx]原始数据'!$A:$A,0)),""))</f>
        <v/>
      </c>
      <c r="T764">
        <f>IF($A764="","",IFERROR(INDEX('[AQ_2023.xlsx]原始数据'!$E:$E,MATCH($A764,'[AQ_2023.xlsx]原始数据'!$A:$A,0)),""))</f>
        <v/>
      </c>
      <c r="U764">
        <f>IF($A764="","",IFERROR(INDEX('[AQ_2024.xlsx]原始数据'!$E:$E,MATCH($A764,'[AQ_2024.xlsx]原始数据'!$A:$A,0)),""))</f>
        <v/>
      </c>
      <c r="V764">
        <f>IF($A764="","",IFERROR(INDEX('[AQ_2020.xlsx]原始数据'!$F:$F,MATCH($A764,'[AQ_2020.xlsx]原始数据'!$A:$A,0)),""))</f>
        <v/>
      </c>
      <c r="W764">
        <f>IF($A764="","",IFERROR(INDEX('[AQ_2021.xlsx]原始数据'!$F:$F,MATCH($A764,'[AQ_2021.xlsx]原始数据'!$A:$A,0)),""))</f>
        <v/>
      </c>
      <c r="X764">
        <f>IF($A764="","",IFERROR(INDEX('[AQ_2022.xlsx]原始数据'!$F:$F,MATCH($A764,'[AQ_2022.xlsx]原始数据'!$A:$A,0)),""))</f>
        <v/>
      </c>
      <c r="Y764">
        <f>IF($A764="","",IFERROR(INDEX('[AQ_2023.xlsx]原始数据'!$F:$F,MATCH($A764,'[AQ_2023.xlsx]原始数据'!$A:$A,0)),""))</f>
        <v/>
      </c>
      <c r="Z764">
        <f>IF($A764="","",IFERROR(INDEX('[AQ_2024.xlsx]原始数据'!$F:$F,MATCH($A764,'[AQ_2024.xlsx]原始数据'!$A:$A,0)),""))</f>
        <v/>
      </c>
      <c r="AA764" s="2">
        <f>IFERROR(G764/B764,"")</f>
        <v/>
      </c>
      <c r="AB764" s="2">
        <f>IFERROR(H764/C764,"")</f>
        <v/>
      </c>
      <c r="AC764" s="2">
        <f>IFERROR(I764/D764,"")</f>
        <v/>
      </c>
      <c r="AD764" s="2">
        <f>IFERROR(J764/E764,"")</f>
        <v/>
      </c>
      <c r="AE764" s="2">
        <f>IFERROR(K764/F764,"")</f>
        <v/>
      </c>
      <c r="AF764" s="2">
        <f>IFERROR(L764/B764,"")</f>
        <v/>
      </c>
      <c r="AG764" s="2">
        <f>IFERROR(M764/C764,"")</f>
        <v/>
      </c>
      <c r="AH764" s="2">
        <f>IFERROR(N764/D764,"")</f>
        <v/>
      </c>
      <c r="AI764" s="2">
        <f>IFERROR(O764/E764,"")</f>
        <v/>
      </c>
      <c r="AJ764" s="2">
        <f>IFERROR(P764/F764,"")</f>
        <v/>
      </c>
      <c r="AK764" s="2">
        <f>IFERROR(Q764/B764,"")</f>
        <v/>
      </c>
      <c r="AL764" s="2">
        <f>IFERROR(R764/C764,"")</f>
        <v/>
      </c>
      <c r="AM764" s="2">
        <f>IFERROR(S764/D764,"")</f>
        <v/>
      </c>
      <c r="AN764" s="2">
        <f>IFERROR(T764/E764,"")</f>
        <v/>
      </c>
      <c r="AO764" s="2">
        <f>IFERROR(U764/F764,"")</f>
        <v/>
      </c>
    </row>
    <row r="765">
      <c r="B765">
        <f>IF($A765="","",IFERROR(INDEX('[AQ_2020.xlsx]原始数据'!$B:$B,MATCH($A765,'[AQ_2020.xlsx]原始数据'!$A:$A,0)),""))</f>
        <v/>
      </c>
      <c r="C765">
        <f>IF($A765="","",IFERROR(INDEX('[AQ_2021.xlsx]原始数据'!$B:$B,MATCH($A765,'[AQ_2021.xlsx]原始数据'!$A:$A,0)),""))</f>
        <v/>
      </c>
      <c r="D765">
        <f>IF($A765="","",IFERROR(INDEX('[AQ_2022.xlsx]原始数据'!$B:$B,MATCH($A765,'[AQ_2022.xlsx]原始数据'!$A:$A,0)),""))</f>
        <v/>
      </c>
      <c r="E765">
        <f>IF($A765="","",IFERROR(INDEX('[AQ_2023.xlsx]原始数据'!$B:$B,MATCH($A765,'[AQ_2023.xlsx]原始数据'!$A:$A,0)),""))</f>
        <v/>
      </c>
      <c r="F765">
        <f>IF($A765="","",IFERROR(INDEX('[AQ_2024.xlsx]原始数据'!$B:$B,MATCH($A765,'[AQ_2024.xlsx]原始数据'!$A:$A,0)),""))</f>
        <v/>
      </c>
      <c r="G765">
        <f>IF($A765="","",IFERROR(INDEX('[AQ_2020.xlsx]原始数据'!$C:$C,MATCH($A765,'[AQ_2020.xlsx]原始数据'!$A:$A,0)),""))</f>
        <v/>
      </c>
      <c r="H765">
        <f>IF($A765="","",IFERROR(INDEX('[AQ_2021.xlsx]原始数据'!$C:$C,MATCH($A765,'[AQ_2021.xlsx]原始数据'!$A:$A,0)),""))</f>
        <v/>
      </c>
      <c r="I765">
        <f>IF($A765="","",IFERROR(INDEX('[AQ_2022.xlsx]原始数据'!$C:$C,MATCH($A765,'[AQ_2022.xlsx]原始数据'!$A:$A,0)),""))</f>
        <v/>
      </c>
      <c r="J765">
        <f>IF($A765="","",IFERROR(INDEX('[AQ_2023.xlsx]原始数据'!$C:$C,MATCH($A765,'[AQ_2023.xlsx]原始数据'!$A:$A,0)),""))</f>
        <v/>
      </c>
      <c r="K765">
        <f>IF($A765="","",IFERROR(INDEX('[AQ_2024.xlsx]原始数据'!$C:$C,MATCH($A765,'[AQ_2024.xlsx]原始数据'!$A:$A,0)),""))</f>
        <v/>
      </c>
      <c r="L765">
        <f>IF($A765="","",IFERROR(INDEX('[AQ_2020.xlsx]原始数据'!$D:$D,MATCH($A765,'[AQ_2020.xlsx]原始数据'!$A:$A,0)),""))</f>
        <v/>
      </c>
      <c r="M765">
        <f>IF($A765="","",IFERROR(INDEX('[AQ_2021.xlsx]原始数据'!$D:$D,MATCH($A765,'[AQ_2021.xlsx]原始数据'!$A:$A,0)),""))</f>
        <v/>
      </c>
      <c r="N765">
        <f>IF($A765="","",IFERROR(INDEX('[AQ_2022.xlsx]原始数据'!$D:$D,MATCH($A765,'[AQ_2022.xlsx]原始数据'!$A:$A,0)),""))</f>
        <v/>
      </c>
      <c r="O765">
        <f>IF($A765="","",IFERROR(INDEX('[AQ_2023.xlsx]原始数据'!$D:$D,MATCH($A765,'[AQ_2023.xlsx]原始数据'!$A:$A,0)),""))</f>
        <v/>
      </c>
      <c r="P765">
        <f>IF($A765="","",IFERROR(INDEX('[AQ_2024.xlsx]原始数据'!$D:$D,MATCH($A765,'[AQ_2024.xlsx]原始数据'!$A:$A,0)),""))</f>
        <v/>
      </c>
      <c r="Q765">
        <f>IF($A765="","",IFERROR(INDEX('[AQ_2020.xlsx]原始数据'!$E:$E,MATCH($A765,'[AQ_2020.xlsx]原始数据'!$A:$A,0)),""))</f>
        <v/>
      </c>
      <c r="R765">
        <f>IF($A765="","",IFERROR(INDEX('[AQ_2021.xlsx]原始数据'!$E:$E,MATCH($A765,'[AQ_2021.xlsx]原始数据'!$A:$A,0)),""))</f>
        <v/>
      </c>
      <c r="S765">
        <f>IF($A765="","",IFERROR(INDEX('[AQ_2022.xlsx]原始数据'!$E:$E,MATCH($A765,'[AQ_2022.xlsx]原始数据'!$A:$A,0)),""))</f>
        <v/>
      </c>
      <c r="T765">
        <f>IF($A765="","",IFERROR(INDEX('[AQ_2023.xlsx]原始数据'!$E:$E,MATCH($A765,'[AQ_2023.xlsx]原始数据'!$A:$A,0)),""))</f>
        <v/>
      </c>
      <c r="U765">
        <f>IF($A765="","",IFERROR(INDEX('[AQ_2024.xlsx]原始数据'!$E:$E,MATCH($A765,'[AQ_2024.xlsx]原始数据'!$A:$A,0)),""))</f>
        <v/>
      </c>
      <c r="V765">
        <f>IF($A765="","",IFERROR(INDEX('[AQ_2020.xlsx]原始数据'!$F:$F,MATCH($A765,'[AQ_2020.xlsx]原始数据'!$A:$A,0)),""))</f>
        <v/>
      </c>
      <c r="W765">
        <f>IF($A765="","",IFERROR(INDEX('[AQ_2021.xlsx]原始数据'!$F:$F,MATCH($A765,'[AQ_2021.xlsx]原始数据'!$A:$A,0)),""))</f>
        <v/>
      </c>
      <c r="X765">
        <f>IF($A765="","",IFERROR(INDEX('[AQ_2022.xlsx]原始数据'!$F:$F,MATCH($A765,'[AQ_2022.xlsx]原始数据'!$A:$A,0)),""))</f>
        <v/>
      </c>
      <c r="Y765">
        <f>IF($A765="","",IFERROR(INDEX('[AQ_2023.xlsx]原始数据'!$F:$F,MATCH($A765,'[AQ_2023.xlsx]原始数据'!$A:$A,0)),""))</f>
        <v/>
      </c>
      <c r="Z765">
        <f>IF($A765="","",IFERROR(INDEX('[AQ_2024.xlsx]原始数据'!$F:$F,MATCH($A765,'[AQ_2024.xlsx]原始数据'!$A:$A,0)),""))</f>
        <v/>
      </c>
      <c r="AA765" s="2">
        <f>IFERROR(G765/B765,"")</f>
        <v/>
      </c>
      <c r="AB765" s="2">
        <f>IFERROR(H765/C765,"")</f>
        <v/>
      </c>
      <c r="AC765" s="2">
        <f>IFERROR(I765/D765,"")</f>
        <v/>
      </c>
      <c r="AD765" s="2">
        <f>IFERROR(J765/E765,"")</f>
        <v/>
      </c>
      <c r="AE765" s="2">
        <f>IFERROR(K765/F765,"")</f>
        <v/>
      </c>
      <c r="AF765" s="2">
        <f>IFERROR(L765/B765,"")</f>
        <v/>
      </c>
      <c r="AG765" s="2">
        <f>IFERROR(M765/C765,"")</f>
        <v/>
      </c>
      <c r="AH765" s="2">
        <f>IFERROR(N765/D765,"")</f>
        <v/>
      </c>
      <c r="AI765" s="2">
        <f>IFERROR(O765/E765,"")</f>
        <v/>
      </c>
      <c r="AJ765" s="2">
        <f>IFERROR(P765/F765,"")</f>
        <v/>
      </c>
      <c r="AK765" s="2">
        <f>IFERROR(Q765/B765,"")</f>
        <v/>
      </c>
      <c r="AL765" s="2">
        <f>IFERROR(R765/C765,"")</f>
        <v/>
      </c>
      <c r="AM765" s="2">
        <f>IFERROR(S765/D765,"")</f>
        <v/>
      </c>
      <c r="AN765" s="2">
        <f>IFERROR(T765/E765,"")</f>
        <v/>
      </c>
      <c r="AO765" s="2">
        <f>IFERROR(U765/F765,"")</f>
        <v/>
      </c>
    </row>
    <row r="766">
      <c r="B766">
        <f>IF($A766="","",IFERROR(INDEX('[AQ_2020.xlsx]原始数据'!$B:$B,MATCH($A766,'[AQ_2020.xlsx]原始数据'!$A:$A,0)),""))</f>
        <v/>
      </c>
      <c r="C766">
        <f>IF($A766="","",IFERROR(INDEX('[AQ_2021.xlsx]原始数据'!$B:$B,MATCH($A766,'[AQ_2021.xlsx]原始数据'!$A:$A,0)),""))</f>
        <v/>
      </c>
      <c r="D766">
        <f>IF($A766="","",IFERROR(INDEX('[AQ_2022.xlsx]原始数据'!$B:$B,MATCH($A766,'[AQ_2022.xlsx]原始数据'!$A:$A,0)),""))</f>
        <v/>
      </c>
      <c r="E766">
        <f>IF($A766="","",IFERROR(INDEX('[AQ_2023.xlsx]原始数据'!$B:$B,MATCH($A766,'[AQ_2023.xlsx]原始数据'!$A:$A,0)),""))</f>
        <v/>
      </c>
      <c r="F766">
        <f>IF($A766="","",IFERROR(INDEX('[AQ_2024.xlsx]原始数据'!$B:$B,MATCH($A766,'[AQ_2024.xlsx]原始数据'!$A:$A,0)),""))</f>
        <v/>
      </c>
      <c r="G766">
        <f>IF($A766="","",IFERROR(INDEX('[AQ_2020.xlsx]原始数据'!$C:$C,MATCH($A766,'[AQ_2020.xlsx]原始数据'!$A:$A,0)),""))</f>
        <v/>
      </c>
      <c r="H766">
        <f>IF($A766="","",IFERROR(INDEX('[AQ_2021.xlsx]原始数据'!$C:$C,MATCH($A766,'[AQ_2021.xlsx]原始数据'!$A:$A,0)),""))</f>
        <v/>
      </c>
      <c r="I766">
        <f>IF($A766="","",IFERROR(INDEX('[AQ_2022.xlsx]原始数据'!$C:$C,MATCH($A766,'[AQ_2022.xlsx]原始数据'!$A:$A,0)),""))</f>
        <v/>
      </c>
      <c r="J766">
        <f>IF($A766="","",IFERROR(INDEX('[AQ_2023.xlsx]原始数据'!$C:$C,MATCH($A766,'[AQ_2023.xlsx]原始数据'!$A:$A,0)),""))</f>
        <v/>
      </c>
      <c r="K766">
        <f>IF($A766="","",IFERROR(INDEX('[AQ_2024.xlsx]原始数据'!$C:$C,MATCH($A766,'[AQ_2024.xlsx]原始数据'!$A:$A,0)),""))</f>
        <v/>
      </c>
      <c r="L766">
        <f>IF($A766="","",IFERROR(INDEX('[AQ_2020.xlsx]原始数据'!$D:$D,MATCH($A766,'[AQ_2020.xlsx]原始数据'!$A:$A,0)),""))</f>
        <v/>
      </c>
      <c r="M766">
        <f>IF($A766="","",IFERROR(INDEX('[AQ_2021.xlsx]原始数据'!$D:$D,MATCH($A766,'[AQ_2021.xlsx]原始数据'!$A:$A,0)),""))</f>
        <v/>
      </c>
      <c r="N766">
        <f>IF($A766="","",IFERROR(INDEX('[AQ_2022.xlsx]原始数据'!$D:$D,MATCH($A766,'[AQ_2022.xlsx]原始数据'!$A:$A,0)),""))</f>
        <v/>
      </c>
      <c r="O766">
        <f>IF($A766="","",IFERROR(INDEX('[AQ_2023.xlsx]原始数据'!$D:$D,MATCH($A766,'[AQ_2023.xlsx]原始数据'!$A:$A,0)),""))</f>
        <v/>
      </c>
      <c r="P766">
        <f>IF($A766="","",IFERROR(INDEX('[AQ_2024.xlsx]原始数据'!$D:$D,MATCH($A766,'[AQ_2024.xlsx]原始数据'!$A:$A,0)),""))</f>
        <v/>
      </c>
      <c r="Q766">
        <f>IF($A766="","",IFERROR(INDEX('[AQ_2020.xlsx]原始数据'!$E:$E,MATCH($A766,'[AQ_2020.xlsx]原始数据'!$A:$A,0)),""))</f>
        <v/>
      </c>
      <c r="R766">
        <f>IF($A766="","",IFERROR(INDEX('[AQ_2021.xlsx]原始数据'!$E:$E,MATCH($A766,'[AQ_2021.xlsx]原始数据'!$A:$A,0)),""))</f>
        <v/>
      </c>
      <c r="S766">
        <f>IF($A766="","",IFERROR(INDEX('[AQ_2022.xlsx]原始数据'!$E:$E,MATCH($A766,'[AQ_2022.xlsx]原始数据'!$A:$A,0)),""))</f>
        <v/>
      </c>
      <c r="T766">
        <f>IF($A766="","",IFERROR(INDEX('[AQ_2023.xlsx]原始数据'!$E:$E,MATCH($A766,'[AQ_2023.xlsx]原始数据'!$A:$A,0)),""))</f>
        <v/>
      </c>
      <c r="U766">
        <f>IF($A766="","",IFERROR(INDEX('[AQ_2024.xlsx]原始数据'!$E:$E,MATCH($A766,'[AQ_2024.xlsx]原始数据'!$A:$A,0)),""))</f>
        <v/>
      </c>
      <c r="V766">
        <f>IF($A766="","",IFERROR(INDEX('[AQ_2020.xlsx]原始数据'!$F:$F,MATCH($A766,'[AQ_2020.xlsx]原始数据'!$A:$A,0)),""))</f>
        <v/>
      </c>
      <c r="W766">
        <f>IF($A766="","",IFERROR(INDEX('[AQ_2021.xlsx]原始数据'!$F:$F,MATCH($A766,'[AQ_2021.xlsx]原始数据'!$A:$A,0)),""))</f>
        <v/>
      </c>
      <c r="X766">
        <f>IF($A766="","",IFERROR(INDEX('[AQ_2022.xlsx]原始数据'!$F:$F,MATCH($A766,'[AQ_2022.xlsx]原始数据'!$A:$A,0)),""))</f>
        <v/>
      </c>
      <c r="Y766">
        <f>IF($A766="","",IFERROR(INDEX('[AQ_2023.xlsx]原始数据'!$F:$F,MATCH($A766,'[AQ_2023.xlsx]原始数据'!$A:$A,0)),""))</f>
        <v/>
      </c>
      <c r="Z766">
        <f>IF($A766="","",IFERROR(INDEX('[AQ_2024.xlsx]原始数据'!$F:$F,MATCH($A766,'[AQ_2024.xlsx]原始数据'!$A:$A,0)),""))</f>
        <v/>
      </c>
      <c r="AA766" s="2">
        <f>IFERROR(G766/B766,"")</f>
        <v/>
      </c>
      <c r="AB766" s="2">
        <f>IFERROR(H766/C766,"")</f>
        <v/>
      </c>
      <c r="AC766" s="2">
        <f>IFERROR(I766/D766,"")</f>
        <v/>
      </c>
      <c r="AD766" s="2">
        <f>IFERROR(J766/E766,"")</f>
        <v/>
      </c>
      <c r="AE766" s="2">
        <f>IFERROR(K766/F766,"")</f>
        <v/>
      </c>
      <c r="AF766" s="2">
        <f>IFERROR(L766/B766,"")</f>
        <v/>
      </c>
      <c r="AG766" s="2">
        <f>IFERROR(M766/C766,"")</f>
        <v/>
      </c>
      <c r="AH766" s="2">
        <f>IFERROR(N766/D766,"")</f>
        <v/>
      </c>
      <c r="AI766" s="2">
        <f>IFERROR(O766/E766,"")</f>
        <v/>
      </c>
      <c r="AJ766" s="2">
        <f>IFERROR(P766/F766,"")</f>
        <v/>
      </c>
      <c r="AK766" s="2">
        <f>IFERROR(Q766/B766,"")</f>
        <v/>
      </c>
      <c r="AL766" s="2">
        <f>IFERROR(R766/C766,"")</f>
        <v/>
      </c>
      <c r="AM766" s="2">
        <f>IFERROR(S766/D766,"")</f>
        <v/>
      </c>
      <c r="AN766" s="2">
        <f>IFERROR(T766/E766,"")</f>
        <v/>
      </c>
      <c r="AO766" s="2">
        <f>IFERROR(U766/F766,"")</f>
        <v/>
      </c>
    </row>
    <row r="767">
      <c r="B767">
        <f>IF($A767="","",IFERROR(INDEX('[AQ_2020.xlsx]原始数据'!$B:$B,MATCH($A767,'[AQ_2020.xlsx]原始数据'!$A:$A,0)),""))</f>
        <v/>
      </c>
      <c r="C767">
        <f>IF($A767="","",IFERROR(INDEX('[AQ_2021.xlsx]原始数据'!$B:$B,MATCH($A767,'[AQ_2021.xlsx]原始数据'!$A:$A,0)),""))</f>
        <v/>
      </c>
      <c r="D767">
        <f>IF($A767="","",IFERROR(INDEX('[AQ_2022.xlsx]原始数据'!$B:$B,MATCH($A767,'[AQ_2022.xlsx]原始数据'!$A:$A,0)),""))</f>
        <v/>
      </c>
      <c r="E767">
        <f>IF($A767="","",IFERROR(INDEX('[AQ_2023.xlsx]原始数据'!$B:$B,MATCH($A767,'[AQ_2023.xlsx]原始数据'!$A:$A,0)),""))</f>
        <v/>
      </c>
      <c r="F767">
        <f>IF($A767="","",IFERROR(INDEX('[AQ_2024.xlsx]原始数据'!$B:$B,MATCH($A767,'[AQ_2024.xlsx]原始数据'!$A:$A,0)),""))</f>
        <v/>
      </c>
      <c r="G767">
        <f>IF($A767="","",IFERROR(INDEX('[AQ_2020.xlsx]原始数据'!$C:$C,MATCH($A767,'[AQ_2020.xlsx]原始数据'!$A:$A,0)),""))</f>
        <v/>
      </c>
      <c r="H767">
        <f>IF($A767="","",IFERROR(INDEX('[AQ_2021.xlsx]原始数据'!$C:$C,MATCH($A767,'[AQ_2021.xlsx]原始数据'!$A:$A,0)),""))</f>
        <v/>
      </c>
      <c r="I767">
        <f>IF($A767="","",IFERROR(INDEX('[AQ_2022.xlsx]原始数据'!$C:$C,MATCH($A767,'[AQ_2022.xlsx]原始数据'!$A:$A,0)),""))</f>
        <v/>
      </c>
      <c r="J767">
        <f>IF($A767="","",IFERROR(INDEX('[AQ_2023.xlsx]原始数据'!$C:$C,MATCH($A767,'[AQ_2023.xlsx]原始数据'!$A:$A,0)),""))</f>
        <v/>
      </c>
      <c r="K767">
        <f>IF($A767="","",IFERROR(INDEX('[AQ_2024.xlsx]原始数据'!$C:$C,MATCH($A767,'[AQ_2024.xlsx]原始数据'!$A:$A,0)),""))</f>
        <v/>
      </c>
      <c r="L767">
        <f>IF($A767="","",IFERROR(INDEX('[AQ_2020.xlsx]原始数据'!$D:$D,MATCH($A767,'[AQ_2020.xlsx]原始数据'!$A:$A,0)),""))</f>
        <v/>
      </c>
      <c r="M767">
        <f>IF($A767="","",IFERROR(INDEX('[AQ_2021.xlsx]原始数据'!$D:$D,MATCH($A767,'[AQ_2021.xlsx]原始数据'!$A:$A,0)),""))</f>
        <v/>
      </c>
      <c r="N767">
        <f>IF($A767="","",IFERROR(INDEX('[AQ_2022.xlsx]原始数据'!$D:$D,MATCH($A767,'[AQ_2022.xlsx]原始数据'!$A:$A,0)),""))</f>
        <v/>
      </c>
      <c r="O767">
        <f>IF($A767="","",IFERROR(INDEX('[AQ_2023.xlsx]原始数据'!$D:$D,MATCH($A767,'[AQ_2023.xlsx]原始数据'!$A:$A,0)),""))</f>
        <v/>
      </c>
      <c r="P767">
        <f>IF($A767="","",IFERROR(INDEX('[AQ_2024.xlsx]原始数据'!$D:$D,MATCH($A767,'[AQ_2024.xlsx]原始数据'!$A:$A,0)),""))</f>
        <v/>
      </c>
      <c r="Q767">
        <f>IF($A767="","",IFERROR(INDEX('[AQ_2020.xlsx]原始数据'!$E:$E,MATCH($A767,'[AQ_2020.xlsx]原始数据'!$A:$A,0)),""))</f>
        <v/>
      </c>
      <c r="R767">
        <f>IF($A767="","",IFERROR(INDEX('[AQ_2021.xlsx]原始数据'!$E:$E,MATCH($A767,'[AQ_2021.xlsx]原始数据'!$A:$A,0)),""))</f>
        <v/>
      </c>
      <c r="S767">
        <f>IF($A767="","",IFERROR(INDEX('[AQ_2022.xlsx]原始数据'!$E:$E,MATCH($A767,'[AQ_2022.xlsx]原始数据'!$A:$A,0)),""))</f>
        <v/>
      </c>
      <c r="T767">
        <f>IF($A767="","",IFERROR(INDEX('[AQ_2023.xlsx]原始数据'!$E:$E,MATCH($A767,'[AQ_2023.xlsx]原始数据'!$A:$A,0)),""))</f>
        <v/>
      </c>
      <c r="U767">
        <f>IF($A767="","",IFERROR(INDEX('[AQ_2024.xlsx]原始数据'!$E:$E,MATCH($A767,'[AQ_2024.xlsx]原始数据'!$A:$A,0)),""))</f>
        <v/>
      </c>
      <c r="V767">
        <f>IF($A767="","",IFERROR(INDEX('[AQ_2020.xlsx]原始数据'!$F:$F,MATCH($A767,'[AQ_2020.xlsx]原始数据'!$A:$A,0)),""))</f>
        <v/>
      </c>
      <c r="W767">
        <f>IF($A767="","",IFERROR(INDEX('[AQ_2021.xlsx]原始数据'!$F:$F,MATCH($A767,'[AQ_2021.xlsx]原始数据'!$A:$A,0)),""))</f>
        <v/>
      </c>
      <c r="X767">
        <f>IF($A767="","",IFERROR(INDEX('[AQ_2022.xlsx]原始数据'!$F:$F,MATCH($A767,'[AQ_2022.xlsx]原始数据'!$A:$A,0)),""))</f>
        <v/>
      </c>
      <c r="Y767">
        <f>IF($A767="","",IFERROR(INDEX('[AQ_2023.xlsx]原始数据'!$F:$F,MATCH($A767,'[AQ_2023.xlsx]原始数据'!$A:$A,0)),""))</f>
        <v/>
      </c>
      <c r="Z767">
        <f>IF($A767="","",IFERROR(INDEX('[AQ_2024.xlsx]原始数据'!$F:$F,MATCH($A767,'[AQ_2024.xlsx]原始数据'!$A:$A,0)),""))</f>
        <v/>
      </c>
      <c r="AA767" s="2">
        <f>IFERROR(G767/B767,"")</f>
        <v/>
      </c>
      <c r="AB767" s="2">
        <f>IFERROR(H767/C767,"")</f>
        <v/>
      </c>
      <c r="AC767" s="2">
        <f>IFERROR(I767/D767,"")</f>
        <v/>
      </c>
      <c r="AD767" s="2">
        <f>IFERROR(J767/E767,"")</f>
        <v/>
      </c>
      <c r="AE767" s="2">
        <f>IFERROR(K767/F767,"")</f>
        <v/>
      </c>
      <c r="AF767" s="2">
        <f>IFERROR(L767/B767,"")</f>
        <v/>
      </c>
      <c r="AG767" s="2">
        <f>IFERROR(M767/C767,"")</f>
        <v/>
      </c>
      <c r="AH767" s="2">
        <f>IFERROR(N767/D767,"")</f>
        <v/>
      </c>
      <c r="AI767" s="2">
        <f>IFERROR(O767/E767,"")</f>
        <v/>
      </c>
      <c r="AJ767" s="2">
        <f>IFERROR(P767/F767,"")</f>
        <v/>
      </c>
      <c r="AK767" s="2">
        <f>IFERROR(Q767/B767,"")</f>
        <v/>
      </c>
      <c r="AL767" s="2">
        <f>IFERROR(R767/C767,"")</f>
        <v/>
      </c>
      <c r="AM767" s="2">
        <f>IFERROR(S767/D767,"")</f>
        <v/>
      </c>
      <c r="AN767" s="2">
        <f>IFERROR(T767/E767,"")</f>
        <v/>
      </c>
      <c r="AO767" s="2">
        <f>IFERROR(U767/F767,"")</f>
        <v/>
      </c>
    </row>
    <row r="768">
      <c r="B768">
        <f>IF($A768="","",IFERROR(INDEX('[AQ_2020.xlsx]原始数据'!$B:$B,MATCH($A768,'[AQ_2020.xlsx]原始数据'!$A:$A,0)),""))</f>
        <v/>
      </c>
      <c r="C768">
        <f>IF($A768="","",IFERROR(INDEX('[AQ_2021.xlsx]原始数据'!$B:$B,MATCH($A768,'[AQ_2021.xlsx]原始数据'!$A:$A,0)),""))</f>
        <v/>
      </c>
      <c r="D768">
        <f>IF($A768="","",IFERROR(INDEX('[AQ_2022.xlsx]原始数据'!$B:$B,MATCH($A768,'[AQ_2022.xlsx]原始数据'!$A:$A,0)),""))</f>
        <v/>
      </c>
      <c r="E768">
        <f>IF($A768="","",IFERROR(INDEX('[AQ_2023.xlsx]原始数据'!$B:$B,MATCH($A768,'[AQ_2023.xlsx]原始数据'!$A:$A,0)),""))</f>
        <v/>
      </c>
      <c r="F768">
        <f>IF($A768="","",IFERROR(INDEX('[AQ_2024.xlsx]原始数据'!$B:$B,MATCH($A768,'[AQ_2024.xlsx]原始数据'!$A:$A,0)),""))</f>
        <v/>
      </c>
      <c r="G768">
        <f>IF($A768="","",IFERROR(INDEX('[AQ_2020.xlsx]原始数据'!$C:$C,MATCH($A768,'[AQ_2020.xlsx]原始数据'!$A:$A,0)),""))</f>
        <v/>
      </c>
      <c r="H768">
        <f>IF($A768="","",IFERROR(INDEX('[AQ_2021.xlsx]原始数据'!$C:$C,MATCH($A768,'[AQ_2021.xlsx]原始数据'!$A:$A,0)),""))</f>
        <v/>
      </c>
      <c r="I768">
        <f>IF($A768="","",IFERROR(INDEX('[AQ_2022.xlsx]原始数据'!$C:$C,MATCH($A768,'[AQ_2022.xlsx]原始数据'!$A:$A,0)),""))</f>
        <v/>
      </c>
      <c r="J768">
        <f>IF($A768="","",IFERROR(INDEX('[AQ_2023.xlsx]原始数据'!$C:$C,MATCH($A768,'[AQ_2023.xlsx]原始数据'!$A:$A,0)),""))</f>
        <v/>
      </c>
      <c r="K768">
        <f>IF($A768="","",IFERROR(INDEX('[AQ_2024.xlsx]原始数据'!$C:$C,MATCH($A768,'[AQ_2024.xlsx]原始数据'!$A:$A,0)),""))</f>
        <v/>
      </c>
      <c r="L768">
        <f>IF($A768="","",IFERROR(INDEX('[AQ_2020.xlsx]原始数据'!$D:$D,MATCH($A768,'[AQ_2020.xlsx]原始数据'!$A:$A,0)),""))</f>
        <v/>
      </c>
      <c r="M768">
        <f>IF($A768="","",IFERROR(INDEX('[AQ_2021.xlsx]原始数据'!$D:$D,MATCH($A768,'[AQ_2021.xlsx]原始数据'!$A:$A,0)),""))</f>
        <v/>
      </c>
      <c r="N768">
        <f>IF($A768="","",IFERROR(INDEX('[AQ_2022.xlsx]原始数据'!$D:$D,MATCH($A768,'[AQ_2022.xlsx]原始数据'!$A:$A,0)),""))</f>
        <v/>
      </c>
      <c r="O768">
        <f>IF($A768="","",IFERROR(INDEX('[AQ_2023.xlsx]原始数据'!$D:$D,MATCH($A768,'[AQ_2023.xlsx]原始数据'!$A:$A,0)),""))</f>
        <v/>
      </c>
      <c r="P768">
        <f>IF($A768="","",IFERROR(INDEX('[AQ_2024.xlsx]原始数据'!$D:$D,MATCH($A768,'[AQ_2024.xlsx]原始数据'!$A:$A,0)),""))</f>
        <v/>
      </c>
      <c r="Q768">
        <f>IF($A768="","",IFERROR(INDEX('[AQ_2020.xlsx]原始数据'!$E:$E,MATCH($A768,'[AQ_2020.xlsx]原始数据'!$A:$A,0)),""))</f>
        <v/>
      </c>
      <c r="R768">
        <f>IF($A768="","",IFERROR(INDEX('[AQ_2021.xlsx]原始数据'!$E:$E,MATCH($A768,'[AQ_2021.xlsx]原始数据'!$A:$A,0)),""))</f>
        <v/>
      </c>
      <c r="S768">
        <f>IF($A768="","",IFERROR(INDEX('[AQ_2022.xlsx]原始数据'!$E:$E,MATCH($A768,'[AQ_2022.xlsx]原始数据'!$A:$A,0)),""))</f>
        <v/>
      </c>
      <c r="T768">
        <f>IF($A768="","",IFERROR(INDEX('[AQ_2023.xlsx]原始数据'!$E:$E,MATCH($A768,'[AQ_2023.xlsx]原始数据'!$A:$A,0)),""))</f>
        <v/>
      </c>
      <c r="U768">
        <f>IF($A768="","",IFERROR(INDEX('[AQ_2024.xlsx]原始数据'!$E:$E,MATCH($A768,'[AQ_2024.xlsx]原始数据'!$A:$A,0)),""))</f>
        <v/>
      </c>
      <c r="V768">
        <f>IF($A768="","",IFERROR(INDEX('[AQ_2020.xlsx]原始数据'!$F:$F,MATCH($A768,'[AQ_2020.xlsx]原始数据'!$A:$A,0)),""))</f>
        <v/>
      </c>
      <c r="W768">
        <f>IF($A768="","",IFERROR(INDEX('[AQ_2021.xlsx]原始数据'!$F:$F,MATCH($A768,'[AQ_2021.xlsx]原始数据'!$A:$A,0)),""))</f>
        <v/>
      </c>
      <c r="X768">
        <f>IF($A768="","",IFERROR(INDEX('[AQ_2022.xlsx]原始数据'!$F:$F,MATCH($A768,'[AQ_2022.xlsx]原始数据'!$A:$A,0)),""))</f>
        <v/>
      </c>
      <c r="Y768">
        <f>IF($A768="","",IFERROR(INDEX('[AQ_2023.xlsx]原始数据'!$F:$F,MATCH($A768,'[AQ_2023.xlsx]原始数据'!$A:$A,0)),""))</f>
        <v/>
      </c>
      <c r="Z768">
        <f>IF($A768="","",IFERROR(INDEX('[AQ_2024.xlsx]原始数据'!$F:$F,MATCH($A768,'[AQ_2024.xlsx]原始数据'!$A:$A,0)),""))</f>
        <v/>
      </c>
      <c r="AA768" s="2">
        <f>IFERROR(G768/B768,"")</f>
        <v/>
      </c>
      <c r="AB768" s="2">
        <f>IFERROR(H768/C768,"")</f>
        <v/>
      </c>
      <c r="AC768" s="2">
        <f>IFERROR(I768/D768,"")</f>
        <v/>
      </c>
      <c r="AD768" s="2">
        <f>IFERROR(J768/E768,"")</f>
        <v/>
      </c>
      <c r="AE768" s="2">
        <f>IFERROR(K768/F768,"")</f>
        <v/>
      </c>
      <c r="AF768" s="2">
        <f>IFERROR(L768/B768,"")</f>
        <v/>
      </c>
      <c r="AG768" s="2">
        <f>IFERROR(M768/C768,"")</f>
        <v/>
      </c>
      <c r="AH768" s="2">
        <f>IFERROR(N768/D768,"")</f>
        <v/>
      </c>
      <c r="AI768" s="2">
        <f>IFERROR(O768/E768,"")</f>
        <v/>
      </c>
      <c r="AJ768" s="2">
        <f>IFERROR(P768/F768,"")</f>
        <v/>
      </c>
      <c r="AK768" s="2">
        <f>IFERROR(Q768/B768,"")</f>
        <v/>
      </c>
      <c r="AL768" s="2">
        <f>IFERROR(R768/C768,"")</f>
        <v/>
      </c>
      <c r="AM768" s="2">
        <f>IFERROR(S768/D768,"")</f>
        <v/>
      </c>
      <c r="AN768" s="2">
        <f>IFERROR(T768/E768,"")</f>
        <v/>
      </c>
      <c r="AO768" s="2">
        <f>IFERROR(U768/F768,"")</f>
        <v/>
      </c>
    </row>
    <row r="769">
      <c r="B769">
        <f>IF($A769="","",IFERROR(INDEX('[AQ_2020.xlsx]原始数据'!$B:$B,MATCH($A769,'[AQ_2020.xlsx]原始数据'!$A:$A,0)),""))</f>
        <v/>
      </c>
      <c r="C769">
        <f>IF($A769="","",IFERROR(INDEX('[AQ_2021.xlsx]原始数据'!$B:$B,MATCH($A769,'[AQ_2021.xlsx]原始数据'!$A:$A,0)),""))</f>
        <v/>
      </c>
      <c r="D769">
        <f>IF($A769="","",IFERROR(INDEX('[AQ_2022.xlsx]原始数据'!$B:$B,MATCH($A769,'[AQ_2022.xlsx]原始数据'!$A:$A,0)),""))</f>
        <v/>
      </c>
      <c r="E769">
        <f>IF($A769="","",IFERROR(INDEX('[AQ_2023.xlsx]原始数据'!$B:$B,MATCH($A769,'[AQ_2023.xlsx]原始数据'!$A:$A,0)),""))</f>
        <v/>
      </c>
      <c r="F769">
        <f>IF($A769="","",IFERROR(INDEX('[AQ_2024.xlsx]原始数据'!$B:$B,MATCH($A769,'[AQ_2024.xlsx]原始数据'!$A:$A,0)),""))</f>
        <v/>
      </c>
      <c r="G769">
        <f>IF($A769="","",IFERROR(INDEX('[AQ_2020.xlsx]原始数据'!$C:$C,MATCH($A769,'[AQ_2020.xlsx]原始数据'!$A:$A,0)),""))</f>
        <v/>
      </c>
      <c r="H769">
        <f>IF($A769="","",IFERROR(INDEX('[AQ_2021.xlsx]原始数据'!$C:$C,MATCH($A769,'[AQ_2021.xlsx]原始数据'!$A:$A,0)),""))</f>
        <v/>
      </c>
      <c r="I769">
        <f>IF($A769="","",IFERROR(INDEX('[AQ_2022.xlsx]原始数据'!$C:$C,MATCH($A769,'[AQ_2022.xlsx]原始数据'!$A:$A,0)),""))</f>
        <v/>
      </c>
      <c r="J769">
        <f>IF($A769="","",IFERROR(INDEX('[AQ_2023.xlsx]原始数据'!$C:$C,MATCH($A769,'[AQ_2023.xlsx]原始数据'!$A:$A,0)),""))</f>
        <v/>
      </c>
      <c r="K769">
        <f>IF($A769="","",IFERROR(INDEX('[AQ_2024.xlsx]原始数据'!$C:$C,MATCH($A769,'[AQ_2024.xlsx]原始数据'!$A:$A,0)),""))</f>
        <v/>
      </c>
      <c r="L769">
        <f>IF($A769="","",IFERROR(INDEX('[AQ_2020.xlsx]原始数据'!$D:$D,MATCH($A769,'[AQ_2020.xlsx]原始数据'!$A:$A,0)),""))</f>
        <v/>
      </c>
      <c r="M769">
        <f>IF($A769="","",IFERROR(INDEX('[AQ_2021.xlsx]原始数据'!$D:$D,MATCH($A769,'[AQ_2021.xlsx]原始数据'!$A:$A,0)),""))</f>
        <v/>
      </c>
      <c r="N769">
        <f>IF($A769="","",IFERROR(INDEX('[AQ_2022.xlsx]原始数据'!$D:$D,MATCH($A769,'[AQ_2022.xlsx]原始数据'!$A:$A,0)),""))</f>
        <v/>
      </c>
      <c r="O769">
        <f>IF($A769="","",IFERROR(INDEX('[AQ_2023.xlsx]原始数据'!$D:$D,MATCH($A769,'[AQ_2023.xlsx]原始数据'!$A:$A,0)),""))</f>
        <v/>
      </c>
      <c r="P769">
        <f>IF($A769="","",IFERROR(INDEX('[AQ_2024.xlsx]原始数据'!$D:$D,MATCH($A769,'[AQ_2024.xlsx]原始数据'!$A:$A,0)),""))</f>
        <v/>
      </c>
      <c r="Q769">
        <f>IF($A769="","",IFERROR(INDEX('[AQ_2020.xlsx]原始数据'!$E:$E,MATCH($A769,'[AQ_2020.xlsx]原始数据'!$A:$A,0)),""))</f>
        <v/>
      </c>
      <c r="R769">
        <f>IF($A769="","",IFERROR(INDEX('[AQ_2021.xlsx]原始数据'!$E:$E,MATCH($A769,'[AQ_2021.xlsx]原始数据'!$A:$A,0)),""))</f>
        <v/>
      </c>
      <c r="S769">
        <f>IF($A769="","",IFERROR(INDEX('[AQ_2022.xlsx]原始数据'!$E:$E,MATCH($A769,'[AQ_2022.xlsx]原始数据'!$A:$A,0)),""))</f>
        <v/>
      </c>
      <c r="T769">
        <f>IF($A769="","",IFERROR(INDEX('[AQ_2023.xlsx]原始数据'!$E:$E,MATCH($A769,'[AQ_2023.xlsx]原始数据'!$A:$A,0)),""))</f>
        <v/>
      </c>
      <c r="U769">
        <f>IF($A769="","",IFERROR(INDEX('[AQ_2024.xlsx]原始数据'!$E:$E,MATCH($A769,'[AQ_2024.xlsx]原始数据'!$A:$A,0)),""))</f>
        <v/>
      </c>
      <c r="V769">
        <f>IF($A769="","",IFERROR(INDEX('[AQ_2020.xlsx]原始数据'!$F:$F,MATCH($A769,'[AQ_2020.xlsx]原始数据'!$A:$A,0)),""))</f>
        <v/>
      </c>
      <c r="W769">
        <f>IF($A769="","",IFERROR(INDEX('[AQ_2021.xlsx]原始数据'!$F:$F,MATCH($A769,'[AQ_2021.xlsx]原始数据'!$A:$A,0)),""))</f>
        <v/>
      </c>
      <c r="X769">
        <f>IF($A769="","",IFERROR(INDEX('[AQ_2022.xlsx]原始数据'!$F:$F,MATCH($A769,'[AQ_2022.xlsx]原始数据'!$A:$A,0)),""))</f>
        <v/>
      </c>
      <c r="Y769">
        <f>IF($A769="","",IFERROR(INDEX('[AQ_2023.xlsx]原始数据'!$F:$F,MATCH($A769,'[AQ_2023.xlsx]原始数据'!$A:$A,0)),""))</f>
        <v/>
      </c>
      <c r="Z769">
        <f>IF($A769="","",IFERROR(INDEX('[AQ_2024.xlsx]原始数据'!$F:$F,MATCH($A769,'[AQ_2024.xlsx]原始数据'!$A:$A,0)),""))</f>
        <v/>
      </c>
      <c r="AA769" s="2">
        <f>IFERROR(G769/B769,"")</f>
        <v/>
      </c>
      <c r="AB769" s="2">
        <f>IFERROR(H769/C769,"")</f>
        <v/>
      </c>
      <c r="AC769" s="2">
        <f>IFERROR(I769/D769,"")</f>
        <v/>
      </c>
      <c r="AD769" s="2">
        <f>IFERROR(J769/E769,"")</f>
        <v/>
      </c>
      <c r="AE769" s="2">
        <f>IFERROR(K769/F769,"")</f>
        <v/>
      </c>
      <c r="AF769" s="2">
        <f>IFERROR(L769/B769,"")</f>
        <v/>
      </c>
      <c r="AG769" s="2">
        <f>IFERROR(M769/C769,"")</f>
        <v/>
      </c>
      <c r="AH769" s="2">
        <f>IFERROR(N769/D769,"")</f>
        <v/>
      </c>
      <c r="AI769" s="2">
        <f>IFERROR(O769/E769,"")</f>
        <v/>
      </c>
      <c r="AJ769" s="2">
        <f>IFERROR(P769/F769,"")</f>
        <v/>
      </c>
      <c r="AK769" s="2">
        <f>IFERROR(Q769/B769,"")</f>
        <v/>
      </c>
      <c r="AL769" s="2">
        <f>IFERROR(R769/C769,"")</f>
        <v/>
      </c>
      <c r="AM769" s="2">
        <f>IFERROR(S769/D769,"")</f>
        <v/>
      </c>
      <c r="AN769" s="2">
        <f>IFERROR(T769/E769,"")</f>
        <v/>
      </c>
      <c r="AO769" s="2">
        <f>IFERROR(U769/F769,"")</f>
        <v/>
      </c>
    </row>
    <row r="770">
      <c r="B770">
        <f>IF($A770="","",IFERROR(INDEX('[AQ_2020.xlsx]原始数据'!$B:$B,MATCH($A770,'[AQ_2020.xlsx]原始数据'!$A:$A,0)),""))</f>
        <v/>
      </c>
      <c r="C770">
        <f>IF($A770="","",IFERROR(INDEX('[AQ_2021.xlsx]原始数据'!$B:$B,MATCH($A770,'[AQ_2021.xlsx]原始数据'!$A:$A,0)),""))</f>
        <v/>
      </c>
      <c r="D770">
        <f>IF($A770="","",IFERROR(INDEX('[AQ_2022.xlsx]原始数据'!$B:$B,MATCH($A770,'[AQ_2022.xlsx]原始数据'!$A:$A,0)),""))</f>
        <v/>
      </c>
      <c r="E770">
        <f>IF($A770="","",IFERROR(INDEX('[AQ_2023.xlsx]原始数据'!$B:$B,MATCH($A770,'[AQ_2023.xlsx]原始数据'!$A:$A,0)),""))</f>
        <v/>
      </c>
      <c r="F770">
        <f>IF($A770="","",IFERROR(INDEX('[AQ_2024.xlsx]原始数据'!$B:$B,MATCH($A770,'[AQ_2024.xlsx]原始数据'!$A:$A,0)),""))</f>
        <v/>
      </c>
      <c r="G770">
        <f>IF($A770="","",IFERROR(INDEX('[AQ_2020.xlsx]原始数据'!$C:$C,MATCH($A770,'[AQ_2020.xlsx]原始数据'!$A:$A,0)),""))</f>
        <v/>
      </c>
      <c r="H770">
        <f>IF($A770="","",IFERROR(INDEX('[AQ_2021.xlsx]原始数据'!$C:$C,MATCH($A770,'[AQ_2021.xlsx]原始数据'!$A:$A,0)),""))</f>
        <v/>
      </c>
      <c r="I770">
        <f>IF($A770="","",IFERROR(INDEX('[AQ_2022.xlsx]原始数据'!$C:$C,MATCH($A770,'[AQ_2022.xlsx]原始数据'!$A:$A,0)),""))</f>
        <v/>
      </c>
      <c r="J770">
        <f>IF($A770="","",IFERROR(INDEX('[AQ_2023.xlsx]原始数据'!$C:$C,MATCH($A770,'[AQ_2023.xlsx]原始数据'!$A:$A,0)),""))</f>
        <v/>
      </c>
      <c r="K770">
        <f>IF($A770="","",IFERROR(INDEX('[AQ_2024.xlsx]原始数据'!$C:$C,MATCH($A770,'[AQ_2024.xlsx]原始数据'!$A:$A,0)),""))</f>
        <v/>
      </c>
      <c r="L770">
        <f>IF($A770="","",IFERROR(INDEX('[AQ_2020.xlsx]原始数据'!$D:$D,MATCH($A770,'[AQ_2020.xlsx]原始数据'!$A:$A,0)),""))</f>
        <v/>
      </c>
      <c r="M770">
        <f>IF($A770="","",IFERROR(INDEX('[AQ_2021.xlsx]原始数据'!$D:$D,MATCH($A770,'[AQ_2021.xlsx]原始数据'!$A:$A,0)),""))</f>
        <v/>
      </c>
      <c r="N770">
        <f>IF($A770="","",IFERROR(INDEX('[AQ_2022.xlsx]原始数据'!$D:$D,MATCH($A770,'[AQ_2022.xlsx]原始数据'!$A:$A,0)),""))</f>
        <v/>
      </c>
      <c r="O770">
        <f>IF($A770="","",IFERROR(INDEX('[AQ_2023.xlsx]原始数据'!$D:$D,MATCH($A770,'[AQ_2023.xlsx]原始数据'!$A:$A,0)),""))</f>
        <v/>
      </c>
      <c r="P770">
        <f>IF($A770="","",IFERROR(INDEX('[AQ_2024.xlsx]原始数据'!$D:$D,MATCH($A770,'[AQ_2024.xlsx]原始数据'!$A:$A,0)),""))</f>
        <v/>
      </c>
      <c r="Q770">
        <f>IF($A770="","",IFERROR(INDEX('[AQ_2020.xlsx]原始数据'!$E:$E,MATCH($A770,'[AQ_2020.xlsx]原始数据'!$A:$A,0)),""))</f>
        <v/>
      </c>
      <c r="R770">
        <f>IF($A770="","",IFERROR(INDEX('[AQ_2021.xlsx]原始数据'!$E:$E,MATCH($A770,'[AQ_2021.xlsx]原始数据'!$A:$A,0)),""))</f>
        <v/>
      </c>
      <c r="S770">
        <f>IF($A770="","",IFERROR(INDEX('[AQ_2022.xlsx]原始数据'!$E:$E,MATCH($A770,'[AQ_2022.xlsx]原始数据'!$A:$A,0)),""))</f>
        <v/>
      </c>
      <c r="T770">
        <f>IF($A770="","",IFERROR(INDEX('[AQ_2023.xlsx]原始数据'!$E:$E,MATCH($A770,'[AQ_2023.xlsx]原始数据'!$A:$A,0)),""))</f>
        <v/>
      </c>
      <c r="U770">
        <f>IF($A770="","",IFERROR(INDEX('[AQ_2024.xlsx]原始数据'!$E:$E,MATCH($A770,'[AQ_2024.xlsx]原始数据'!$A:$A,0)),""))</f>
        <v/>
      </c>
      <c r="V770">
        <f>IF($A770="","",IFERROR(INDEX('[AQ_2020.xlsx]原始数据'!$F:$F,MATCH($A770,'[AQ_2020.xlsx]原始数据'!$A:$A,0)),""))</f>
        <v/>
      </c>
      <c r="W770">
        <f>IF($A770="","",IFERROR(INDEX('[AQ_2021.xlsx]原始数据'!$F:$F,MATCH($A770,'[AQ_2021.xlsx]原始数据'!$A:$A,0)),""))</f>
        <v/>
      </c>
      <c r="X770">
        <f>IF($A770="","",IFERROR(INDEX('[AQ_2022.xlsx]原始数据'!$F:$F,MATCH($A770,'[AQ_2022.xlsx]原始数据'!$A:$A,0)),""))</f>
        <v/>
      </c>
      <c r="Y770">
        <f>IF($A770="","",IFERROR(INDEX('[AQ_2023.xlsx]原始数据'!$F:$F,MATCH($A770,'[AQ_2023.xlsx]原始数据'!$A:$A,0)),""))</f>
        <v/>
      </c>
      <c r="Z770">
        <f>IF($A770="","",IFERROR(INDEX('[AQ_2024.xlsx]原始数据'!$F:$F,MATCH($A770,'[AQ_2024.xlsx]原始数据'!$A:$A,0)),""))</f>
        <v/>
      </c>
      <c r="AA770" s="2">
        <f>IFERROR(G770/B770,"")</f>
        <v/>
      </c>
      <c r="AB770" s="2">
        <f>IFERROR(H770/C770,"")</f>
        <v/>
      </c>
      <c r="AC770" s="2">
        <f>IFERROR(I770/D770,"")</f>
        <v/>
      </c>
      <c r="AD770" s="2">
        <f>IFERROR(J770/E770,"")</f>
        <v/>
      </c>
      <c r="AE770" s="2">
        <f>IFERROR(K770/F770,"")</f>
        <v/>
      </c>
      <c r="AF770" s="2">
        <f>IFERROR(L770/B770,"")</f>
        <v/>
      </c>
      <c r="AG770" s="2">
        <f>IFERROR(M770/C770,"")</f>
        <v/>
      </c>
      <c r="AH770" s="2">
        <f>IFERROR(N770/D770,"")</f>
        <v/>
      </c>
      <c r="AI770" s="2">
        <f>IFERROR(O770/E770,"")</f>
        <v/>
      </c>
      <c r="AJ770" s="2">
        <f>IFERROR(P770/F770,"")</f>
        <v/>
      </c>
      <c r="AK770" s="2">
        <f>IFERROR(Q770/B770,"")</f>
        <v/>
      </c>
      <c r="AL770" s="2">
        <f>IFERROR(R770/C770,"")</f>
        <v/>
      </c>
      <c r="AM770" s="2">
        <f>IFERROR(S770/D770,"")</f>
        <v/>
      </c>
      <c r="AN770" s="2">
        <f>IFERROR(T770/E770,"")</f>
        <v/>
      </c>
      <c r="AO770" s="2">
        <f>IFERROR(U770/F770,"")</f>
        <v/>
      </c>
    </row>
    <row r="771">
      <c r="B771">
        <f>IF($A771="","",IFERROR(INDEX('[AQ_2020.xlsx]原始数据'!$B:$B,MATCH($A771,'[AQ_2020.xlsx]原始数据'!$A:$A,0)),""))</f>
        <v/>
      </c>
      <c r="C771">
        <f>IF($A771="","",IFERROR(INDEX('[AQ_2021.xlsx]原始数据'!$B:$B,MATCH($A771,'[AQ_2021.xlsx]原始数据'!$A:$A,0)),""))</f>
        <v/>
      </c>
      <c r="D771">
        <f>IF($A771="","",IFERROR(INDEX('[AQ_2022.xlsx]原始数据'!$B:$B,MATCH($A771,'[AQ_2022.xlsx]原始数据'!$A:$A,0)),""))</f>
        <v/>
      </c>
      <c r="E771">
        <f>IF($A771="","",IFERROR(INDEX('[AQ_2023.xlsx]原始数据'!$B:$B,MATCH($A771,'[AQ_2023.xlsx]原始数据'!$A:$A,0)),""))</f>
        <v/>
      </c>
      <c r="F771">
        <f>IF($A771="","",IFERROR(INDEX('[AQ_2024.xlsx]原始数据'!$B:$B,MATCH($A771,'[AQ_2024.xlsx]原始数据'!$A:$A,0)),""))</f>
        <v/>
      </c>
      <c r="G771">
        <f>IF($A771="","",IFERROR(INDEX('[AQ_2020.xlsx]原始数据'!$C:$C,MATCH($A771,'[AQ_2020.xlsx]原始数据'!$A:$A,0)),""))</f>
        <v/>
      </c>
      <c r="H771">
        <f>IF($A771="","",IFERROR(INDEX('[AQ_2021.xlsx]原始数据'!$C:$C,MATCH($A771,'[AQ_2021.xlsx]原始数据'!$A:$A,0)),""))</f>
        <v/>
      </c>
      <c r="I771">
        <f>IF($A771="","",IFERROR(INDEX('[AQ_2022.xlsx]原始数据'!$C:$C,MATCH($A771,'[AQ_2022.xlsx]原始数据'!$A:$A,0)),""))</f>
        <v/>
      </c>
      <c r="J771">
        <f>IF($A771="","",IFERROR(INDEX('[AQ_2023.xlsx]原始数据'!$C:$C,MATCH($A771,'[AQ_2023.xlsx]原始数据'!$A:$A,0)),""))</f>
        <v/>
      </c>
      <c r="K771">
        <f>IF($A771="","",IFERROR(INDEX('[AQ_2024.xlsx]原始数据'!$C:$C,MATCH($A771,'[AQ_2024.xlsx]原始数据'!$A:$A,0)),""))</f>
        <v/>
      </c>
      <c r="L771">
        <f>IF($A771="","",IFERROR(INDEX('[AQ_2020.xlsx]原始数据'!$D:$D,MATCH($A771,'[AQ_2020.xlsx]原始数据'!$A:$A,0)),""))</f>
        <v/>
      </c>
      <c r="M771">
        <f>IF($A771="","",IFERROR(INDEX('[AQ_2021.xlsx]原始数据'!$D:$D,MATCH($A771,'[AQ_2021.xlsx]原始数据'!$A:$A,0)),""))</f>
        <v/>
      </c>
      <c r="N771">
        <f>IF($A771="","",IFERROR(INDEX('[AQ_2022.xlsx]原始数据'!$D:$D,MATCH($A771,'[AQ_2022.xlsx]原始数据'!$A:$A,0)),""))</f>
        <v/>
      </c>
      <c r="O771">
        <f>IF($A771="","",IFERROR(INDEX('[AQ_2023.xlsx]原始数据'!$D:$D,MATCH($A771,'[AQ_2023.xlsx]原始数据'!$A:$A,0)),""))</f>
        <v/>
      </c>
      <c r="P771">
        <f>IF($A771="","",IFERROR(INDEX('[AQ_2024.xlsx]原始数据'!$D:$D,MATCH($A771,'[AQ_2024.xlsx]原始数据'!$A:$A,0)),""))</f>
        <v/>
      </c>
      <c r="Q771">
        <f>IF($A771="","",IFERROR(INDEX('[AQ_2020.xlsx]原始数据'!$E:$E,MATCH($A771,'[AQ_2020.xlsx]原始数据'!$A:$A,0)),""))</f>
        <v/>
      </c>
      <c r="R771">
        <f>IF($A771="","",IFERROR(INDEX('[AQ_2021.xlsx]原始数据'!$E:$E,MATCH($A771,'[AQ_2021.xlsx]原始数据'!$A:$A,0)),""))</f>
        <v/>
      </c>
      <c r="S771">
        <f>IF($A771="","",IFERROR(INDEX('[AQ_2022.xlsx]原始数据'!$E:$E,MATCH($A771,'[AQ_2022.xlsx]原始数据'!$A:$A,0)),""))</f>
        <v/>
      </c>
      <c r="T771">
        <f>IF($A771="","",IFERROR(INDEX('[AQ_2023.xlsx]原始数据'!$E:$E,MATCH($A771,'[AQ_2023.xlsx]原始数据'!$A:$A,0)),""))</f>
        <v/>
      </c>
      <c r="U771">
        <f>IF($A771="","",IFERROR(INDEX('[AQ_2024.xlsx]原始数据'!$E:$E,MATCH($A771,'[AQ_2024.xlsx]原始数据'!$A:$A,0)),""))</f>
        <v/>
      </c>
      <c r="V771">
        <f>IF($A771="","",IFERROR(INDEX('[AQ_2020.xlsx]原始数据'!$F:$F,MATCH($A771,'[AQ_2020.xlsx]原始数据'!$A:$A,0)),""))</f>
        <v/>
      </c>
      <c r="W771">
        <f>IF($A771="","",IFERROR(INDEX('[AQ_2021.xlsx]原始数据'!$F:$F,MATCH($A771,'[AQ_2021.xlsx]原始数据'!$A:$A,0)),""))</f>
        <v/>
      </c>
      <c r="X771">
        <f>IF($A771="","",IFERROR(INDEX('[AQ_2022.xlsx]原始数据'!$F:$F,MATCH($A771,'[AQ_2022.xlsx]原始数据'!$A:$A,0)),""))</f>
        <v/>
      </c>
      <c r="Y771">
        <f>IF($A771="","",IFERROR(INDEX('[AQ_2023.xlsx]原始数据'!$F:$F,MATCH($A771,'[AQ_2023.xlsx]原始数据'!$A:$A,0)),""))</f>
        <v/>
      </c>
      <c r="Z771">
        <f>IF($A771="","",IFERROR(INDEX('[AQ_2024.xlsx]原始数据'!$F:$F,MATCH($A771,'[AQ_2024.xlsx]原始数据'!$A:$A,0)),""))</f>
        <v/>
      </c>
      <c r="AA771" s="2">
        <f>IFERROR(G771/B771,"")</f>
        <v/>
      </c>
      <c r="AB771" s="2">
        <f>IFERROR(H771/C771,"")</f>
        <v/>
      </c>
      <c r="AC771" s="2">
        <f>IFERROR(I771/D771,"")</f>
        <v/>
      </c>
      <c r="AD771" s="2">
        <f>IFERROR(J771/E771,"")</f>
        <v/>
      </c>
      <c r="AE771" s="2">
        <f>IFERROR(K771/F771,"")</f>
        <v/>
      </c>
      <c r="AF771" s="2">
        <f>IFERROR(L771/B771,"")</f>
        <v/>
      </c>
      <c r="AG771" s="2">
        <f>IFERROR(M771/C771,"")</f>
        <v/>
      </c>
      <c r="AH771" s="2">
        <f>IFERROR(N771/D771,"")</f>
        <v/>
      </c>
      <c r="AI771" s="2">
        <f>IFERROR(O771/E771,"")</f>
        <v/>
      </c>
      <c r="AJ771" s="2">
        <f>IFERROR(P771/F771,"")</f>
        <v/>
      </c>
      <c r="AK771" s="2">
        <f>IFERROR(Q771/B771,"")</f>
        <v/>
      </c>
      <c r="AL771" s="2">
        <f>IFERROR(R771/C771,"")</f>
        <v/>
      </c>
      <c r="AM771" s="2">
        <f>IFERROR(S771/D771,"")</f>
        <v/>
      </c>
      <c r="AN771" s="2">
        <f>IFERROR(T771/E771,"")</f>
        <v/>
      </c>
      <c r="AO771" s="2">
        <f>IFERROR(U771/F771,"")</f>
        <v/>
      </c>
    </row>
    <row r="772">
      <c r="B772">
        <f>IF($A772="","",IFERROR(INDEX('[AQ_2020.xlsx]原始数据'!$B:$B,MATCH($A772,'[AQ_2020.xlsx]原始数据'!$A:$A,0)),""))</f>
        <v/>
      </c>
      <c r="C772">
        <f>IF($A772="","",IFERROR(INDEX('[AQ_2021.xlsx]原始数据'!$B:$B,MATCH($A772,'[AQ_2021.xlsx]原始数据'!$A:$A,0)),""))</f>
        <v/>
      </c>
      <c r="D772">
        <f>IF($A772="","",IFERROR(INDEX('[AQ_2022.xlsx]原始数据'!$B:$B,MATCH($A772,'[AQ_2022.xlsx]原始数据'!$A:$A,0)),""))</f>
        <v/>
      </c>
      <c r="E772">
        <f>IF($A772="","",IFERROR(INDEX('[AQ_2023.xlsx]原始数据'!$B:$B,MATCH($A772,'[AQ_2023.xlsx]原始数据'!$A:$A,0)),""))</f>
        <v/>
      </c>
      <c r="F772">
        <f>IF($A772="","",IFERROR(INDEX('[AQ_2024.xlsx]原始数据'!$B:$B,MATCH($A772,'[AQ_2024.xlsx]原始数据'!$A:$A,0)),""))</f>
        <v/>
      </c>
      <c r="G772">
        <f>IF($A772="","",IFERROR(INDEX('[AQ_2020.xlsx]原始数据'!$C:$C,MATCH($A772,'[AQ_2020.xlsx]原始数据'!$A:$A,0)),""))</f>
        <v/>
      </c>
      <c r="H772">
        <f>IF($A772="","",IFERROR(INDEX('[AQ_2021.xlsx]原始数据'!$C:$C,MATCH($A772,'[AQ_2021.xlsx]原始数据'!$A:$A,0)),""))</f>
        <v/>
      </c>
      <c r="I772">
        <f>IF($A772="","",IFERROR(INDEX('[AQ_2022.xlsx]原始数据'!$C:$C,MATCH($A772,'[AQ_2022.xlsx]原始数据'!$A:$A,0)),""))</f>
        <v/>
      </c>
      <c r="J772">
        <f>IF($A772="","",IFERROR(INDEX('[AQ_2023.xlsx]原始数据'!$C:$C,MATCH($A772,'[AQ_2023.xlsx]原始数据'!$A:$A,0)),""))</f>
        <v/>
      </c>
      <c r="K772">
        <f>IF($A772="","",IFERROR(INDEX('[AQ_2024.xlsx]原始数据'!$C:$C,MATCH($A772,'[AQ_2024.xlsx]原始数据'!$A:$A,0)),""))</f>
        <v/>
      </c>
      <c r="L772">
        <f>IF($A772="","",IFERROR(INDEX('[AQ_2020.xlsx]原始数据'!$D:$D,MATCH($A772,'[AQ_2020.xlsx]原始数据'!$A:$A,0)),""))</f>
        <v/>
      </c>
      <c r="M772">
        <f>IF($A772="","",IFERROR(INDEX('[AQ_2021.xlsx]原始数据'!$D:$D,MATCH($A772,'[AQ_2021.xlsx]原始数据'!$A:$A,0)),""))</f>
        <v/>
      </c>
      <c r="N772">
        <f>IF($A772="","",IFERROR(INDEX('[AQ_2022.xlsx]原始数据'!$D:$D,MATCH($A772,'[AQ_2022.xlsx]原始数据'!$A:$A,0)),""))</f>
        <v/>
      </c>
      <c r="O772">
        <f>IF($A772="","",IFERROR(INDEX('[AQ_2023.xlsx]原始数据'!$D:$D,MATCH($A772,'[AQ_2023.xlsx]原始数据'!$A:$A,0)),""))</f>
        <v/>
      </c>
      <c r="P772">
        <f>IF($A772="","",IFERROR(INDEX('[AQ_2024.xlsx]原始数据'!$D:$D,MATCH($A772,'[AQ_2024.xlsx]原始数据'!$A:$A,0)),""))</f>
        <v/>
      </c>
      <c r="Q772">
        <f>IF($A772="","",IFERROR(INDEX('[AQ_2020.xlsx]原始数据'!$E:$E,MATCH($A772,'[AQ_2020.xlsx]原始数据'!$A:$A,0)),""))</f>
        <v/>
      </c>
      <c r="R772">
        <f>IF($A772="","",IFERROR(INDEX('[AQ_2021.xlsx]原始数据'!$E:$E,MATCH($A772,'[AQ_2021.xlsx]原始数据'!$A:$A,0)),""))</f>
        <v/>
      </c>
      <c r="S772">
        <f>IF($A772="","",IFERROR(INDEX('[AQ_2022.xlsx]原始数据'!$E:$E,MATCH($A772,'[AQ_2022.xlsx]原始数据'!$A:$A,0)),""))</f>
        <v/>
      </c>
      <c r="T772">
        <f>IF($A772="","",IFERROR(INDEX('[AQ_2023.xlsx]原始数据'!$E:$E,MATCH($A772,'[AQ_2023.xlsx]原始数据'!$A:$A,0)),""))</f>
        <v/>
      </c>
      <c r="U772">
        <f>IF($A772="","",IFERROR(INDEX('[AQ_2024.xlsx]原始数据'!$E:$E,MATCH($A772,'[AQ_2024.xlsx]原始数据'!$A:$A,0)),""))</f>
        <v/>
      </c>
      <c r="V772">
        <f>IF($A772="","",IFERROR(INDEX('[AQ_2020.xlsx]原始数据'!$F:$F,MATCH($A772,'[AQ_2020.xlsx]原始数据'!$A:$A,0)),""))</f>
        <v/>
      </c>
      <c r="W772">
        <f>IF($A772="","",IFERROR(INDEX('[AQ_2021.xlsx]原始数据'!$F:$F,MATCH($A772,'[AQ_2021.xlsx]原始数据'!$A:$A,0)),""))</f>
        <v/>
      </c>
      <c r="X772">
        <f>IF($A772="","",IFERROR(INDEX('[AQ_2022.xlsx]原始数据'!$F:$F,MATCH($A772,'[AQ_2022.xlsx]原始数据'!$A:$A,0)),""))</f>
        <v/>
      </c>
      <c r="Y772">
        <f>IF($A772="","",IFERROR(INDEX('[AQ_2023.xlsx]原始数据'!$F:$F,MATCH($A772,'[AQ_2023.xlsx]原始数据'!$A:$A,0)),""))</f>
        <v/>
      </c>
      <c r="Z772">
        <f>IF($A772="","",IFERROR(INDEX('[AQ_2024.xlsx]原始数据'!$F:$F,MATCH($A772,'[AQ_2024.xlsx]原始数据'!$A:$A,0)),""))</f>
        <v/>
      </c>
      <c r="AA772" s="2">
        <f>IFERROR(G772/B772,"")</f>
        <v/>
      </c>
      <c r="AB772" s="2">
        <f>IFERROR(H772/C772,"")</f>
        <v/>
      </c>
      <c r="AC772" s="2">
        <f>IFERROR(I772/D772,"")</f>
        <v/>
      </c>
      <c r="AD772" s="2">
        <f>IFERROR(J772/E772,"")</f>
        <v/>
      </c>
      <c r="AE772" s="2">
        <f>IFERROR(K772/F772,"")</f>
        <v/>
      </c>
      <c r="AF772" s="2">
        <f>IFERROR(L772/B772,"")</f>
        <v/>
      </c>
      <c r="AG772" s="2">
        <f>IFERROR(M772/C772,"")</f>
        <v/>
      </c>
      <c r="AH772" s="2">
        <f>IFERROR(N772/D772,"")</f>
        <v/>
      </c>
      <c r="AI772" s="2">
        <f>IFERROR(O772/E772,"")</f>
        <v/>
      </c>
      <c r="AJ772" s="2">
        <f>IFERROR(P772/F772,"")</f>
        <v/>
      </c>
      <c r="AK772" s="2">
        <f>IFERROR(Q772/B772,"")</f>
        <v/>
      </c>
      <c r="AL772" s="2">
        <f>IFERROR(R772/C772,"")</f>
        <v/>
      </c>
      <c r="AM772" s="2">
        <f>IFERROR(S772/D772,"")</f>
        <v/>
      </c>
      <c r="AN772" s="2">
        <f>IFERROR(T772/E772,"")</f>
        <v/>
      </c>
      <c r="AO772" s="2">
        <f>IFERROR(U772/F772,"")</f>
        <v/>
      </c>
    </row>
    <row r="773">
      <c r="B773">
        <f>IF($A773="","",IFERROR(INDEX('[AQ_2020.xlsx]原始数据'!$B:$B,MATCH($A773,'[AQ_2020.xlsx]原始数据'!$A:$A,0)),""))</f>
        <v/>
      </c>
      <c r="C773">
        <f>IF($A773="","",IFERROR(INDEX('[AQ_2021.xlsx]原始数据'!$B:$B,MATCH($A773,'[AQ_2021.xlsx]原始数据'!$A:$A,0)),""))</f>
        <v/>
      </c>
      <c r="D773">
        <f>IF($A773="","",IFERROR(INDEX('[AQ_2022.xlsx]原始数据'!$B:$B,MATCH($A773,'[AQ_2022.xlsx]原始数据'!$A:$A,0)),""))</f>
        <v/>
      </c>
      <c r="E773">
        <f>IF($A773="","",IFERROR(INDEX('[AQ_2023.xlsx]原始数据'!$B:$B,MATCH($A773,'[AQ_2023.xlsx]原始数据'!$A:$A,0)),""))</f>
        <v/>
      </c>
      <c r="F773">
        <f>IF($A773="","",IFERROR(INDEX('[AQ_2024.xlsx]原始数据'!$B:$B,MATCH($A773,'[AQ_2024.xlsx]原始数据'!$A:$A,0)),""))</f>
        <v/>
      </c>
      <c r="G773">
        <f>IF($A773="","",IFERROR(INDEX('[AQ_2020.xlsx]原始数据'!$C:$C,MATCH($A773,'[AQ_2020.xlsx]原始数据'!$A:$A,0)),""))</f>
        <v/>
      </c>
      <c r="H773">
        <f>IF($A773="","",IFERROR(INDEX('[AQ_2021.xlsx]原始数据'!$C:$C,MATCH($A773,'[AQ_2021.xlsx]原始数据'!$A:$A,0)),""))</f>
        <v/>
      </c>
      <c r="I773">
        <f>IF($A773="","",IFERROR(INDEX('[AQ_2022.xlsx]原始数据'!$C:$C,MATCH($A773,'[AQ_2022.xlsx]原始数据'!$A:$A,0)),""))</f>
        <v/>
      </c>
      <c r="J773">
        <f>IF($A773="","",IFERROR(INDEX('[AQ_2023.xlsx]原始数据'!$C:$C,MATCH($A773,'[AQ_2023.xlsx]原始数据'!$A:$A,0)),""))</f>
        <v/>
      </c>
      <c r="K773">
        <f>IF($A773="","",IFERROR(INDEX('[AQ_2024.xlsx]原始数据'!$C:$C,MATCH($A773,'[AQ_2024.xlsx]原始数据'!$A:$A,0)),""))</f>
        <v/>
      </c>
      <c r="L773">
        <f>IF($A773="","",IFERROR(INDEX('[AQ_2020.xlsx]原始数据'!$D:$D,MATCH($A773,'[AQ_2020.xlsx]原始数据'!$A:$A,0)),""))</f>
        <v/>
      </c>
      <c r="M773">
        <f>IF($A773="","",IFERROR(INDEX('[AQ_2021.xlsx]原始数据'!$D:$D,MATCH($A773,'[AQ_2021.xlsx]原始数据'!$A:$A,0)),""))</f>
        <v/>
      </c>
      <c r="N773">
        <f>IF($A773="","",IFERROR(INDEX('[AQ_2022.xlsx]原始数据'!$D:$D,MATCH($A773,'[AQ_2022.xlsx]原始数据'!$A:$A,0)),""))</f>
        <v/>
      </c>
      <c r="O773">
        <f>IF($A773="","",IFERROR(INDEX('[AQ_2023.xlsx]原始数据'!$D:$D,MATCH($A773,'[AQ_2023.xlsx]原始数据'!$A:$A,0)),""))</f>
        <v/>
      </c>
      <c r="P773">
        <f>IF($A773="","",IFERROR(INDEX('[AQ_2024.xlsx]原始数据'!$D:$D,MATCH($A773,'[AQ_2024.xlsx]原始数据'!$A:$A,0)),""))</f>
        <v/>
      </c>
      <c r="Q773">
        <f>IF($A773="","",IFERROR(INDEX('[AQ_2020.xlsx]原始数据'!$E:$E,MATCH($A773,'[AQ_2020.xlsx]原始数据'!$A:$A,0)),""))</f>
        <v/>
      </c>
      <c r="R773">
        <f>IF($A773="","",IFERROR(INDEX('[AQ_2021.xlsx]原始数据'!$E:$E,MATCH($A773,'[AQ_2021.xlsx]原始数据'!$A:$A,0)),""))</f>
        <v/>
      </c>
      <c r="S773">
        <f>IF($A773="","",IFERROR(INDEX('[AQ_2022.xlsx]原始数据'!$E:$E,MATCH($A773,'[AQ_2022.xlsx]原始数据'!$A:$A,0)),""))</f>
        <v/>
      </c>
      <c r="T773">
        <f>IF($A773="","",IFERROR(INDEX('[AQ_2023.xlsx]原始数据'!$E:$E,MATCH($A773,'[AQ_2023.xlsx]原始数据'!$A:$A,0)),""))</f>
        <v/>
      </c>
      <c r="U773">
        <f>IF($A773="","",IFERROR(INDEX('[AQ_2024.xlsx]原始数据'!$E:$E,MATCH($A773,'[AQ_2024.xlsx]原始数据'!$A:$A,0)),""))</f>
        <v/>
      </c>
      <c r="V773">
        <f>IF($A773="","",IFERROR(INDEX('[AQ_2020.xlsx]原始数据'!$F:$F,MATCH($A773,'[AQ_2020.xlsx]原始数据'!$A:$A,0)),""))</f>
        <v/>
      </c>
      <c r="W773">
        <f>IF($A773="","",IFERROR(INDEX('[AQ_2021.xlsx]原始数据'!$F:$F,MATCH($A773,'[AQ_2021.xlsx]原始数据'!$A:$A,0)),""))</f>
        <v/>
      </c>
      <c r="X773">
        <f>IF($A773="","",IFERROR(INDEX('[AQ_2022.xlsx]原始数据'!$F:$F,MATCH($A773,'[AQ_2022.xlsx]原始数据'!$A:$A,0)),""))</f>
        <v/>
      </c>
      <c r="Y773">
        <f>IF($A773="","",IFERROR(INDEX('[AQ_2023.xlsx]原始数据'!$F:$F,MATCH($A773,'[AQ_2023.xlsx]原始数据'!$A:$A,0)),""))</f>
        <v/>
      </c>
      <c r="Z773">
        <f>IF($A773="","",IFERROR(INDEX('[AQ_2024.xlsx]原始数据'!$F:$F,MATCH($A773,'[AQ_2024.xlsx]原始数据'!$A:$A,0)),""))</f>
        <v/>
      </c>
      <c r="AA773" s="2">
        <f>IFERROR(G773/B773,"")</f>
        <v/>
      </c>
      <c r="AB773" s="2">
        <f>IFERROR(H773/C773,"")</f>
        <v/>
      </c>
      <c r="AC773" s="2">
        <f>IFERROR(I773/D773,"")</f>
        <v/>
      </c>
      <c r="AD773" s="2">
        <f>IFERROR(J773/E773,"")</f>
        <v/>
      </c>
      <c r="AE773" s="2">
        <f>IFERROR(K773/F773,"")</f>
        <v/>
      </c>
      <c r="AF773" s="2">
        <f>IFERROR(L773/B773,"")</f>
        <v/>
      </c>
      <c r="AG773" s="2">
        <f>IFERROR(M773/C773,"")</f>
        <v/>
      </c>
      <c r="AH773" s="2">
        <f>IFERROR(N773/D773,"")</f>
        <v/>
      </c>
      <c r="AI773" s="2">
        <f>IFERROR(O773/E773,"")</f>
        <v/>
      </c>
      <c r="AJ773" s="2">
        <f>IFERROR(P773/F773,"")</f>
        <v/>
      </c>
      <c r="AK773" s="2">
        <f>IFERROR(Q773/B773,"")</f>
        <v/>
      </c>
      <c r="AL773" s="2">
        <f>IFERROR(R773/C773,"")</f>
        <v/>
      </c>
      <c r="AM773" s="2">
        <f>IFERROR(S773/D773,"")</f>
        <v/>
      </c>
      <c r="AN773" s="2">
        <f>IFERROR(T773/E773,"")</f>
        <v/>
      </c>
      <c r="AO773" s="2">
        <f>IFERROR(U773/F773,"")</f>
        <v/>
      </c>
    </row>
    <row r="774">
      <c r="B774">
        <f>IF($A774="","",IFERROR(INDEX('[AQ_2020.xlsx]原始数据'!$B:$B,MATCH($A774,'[AQ_2020.xlsx]原始数据'!$A:$A,0)),""))</f>
        <v/>
      </c>
      <c r="C774">
        <f>IF($A774="","",IFERROR(INDEX('[AQ_2021.xlsx]原始数据'!$B:$B,MATCH($A774,'[AQ_2021.xlsx]原始数据'!$A:$A,0)),""))</f>
        <v/>
      </c>
      <c r="D774">
        <f>IF($A774="","",IFERROR(INDEX('[AQ_2022.xlsx]原始数据'!$B:$B,MATCH($A774,'[AQ_2022.xlsx]原始数据'!$A:$A,0)),""))</f>
        <v/>
      </c>
      <c r="E774">
        <f>IF($A774="","",IFERROR(INDEX('[AQ_2023.xlsx]原始数据'!$B:$B,MATCH($A774,'[AQ_2023.xlsx]原始数据'!$A:$A,0)),""))</f>
        <v/>
      </c>
      <c r="F774">
        <f>IF($A774="","",IFERROR(INDEX('[AQ_2024.xlsx]原始数据'!$B:$B,MATCH($A774,'[AQ_2024.xlsx]原始数据'!$A:$A,0)),""))</f>
        <v/>
      </c>
      <c r="G774">
        <f>IF($A774="","",IFERROR(INDEX('[AQ_2020.xlsx]原始数据'!$C:$C,MATCH($A774,'[AQ_2020.xlsx]原始数据'!$A:$A,0)),""))</f>
        <v/>
      </c>
      <c r="H774">
        <f>IF($A774="","",IFERROR(INDEX('[AQ_2021.xlsx]原始数据'!$C:$C,MATCH($A774,'[AQ_2021.xlsx]原始数据'!$A:$A,0)),""))</f>
        <v/>
      </c>
      <c r="I774">
        <f>IF($A774="","",IFERROR(INDEX('[AQ_2022.xlsx]原始数据'!$C:$C,MATCH($A774,'[AQ_2022.xlsx]原始数据'!$A:$A,0)),""))</f>
        <v/>
      </c>
      <c r="J774">
        <f>IF($A774="","",IFERROR(INDEX('[AQ_2023.xlsx]原始数据'!$C:$C,MATCH($A774,'[AQ_2023.xlsx]原始数据'!$A:$A,0)),""))</f>
        <v/>
      </c>
      <c r="K774">
        <f>IF($A774="","",IFERROR(INDEX('[AQ_2024.xlsx]原始数据'!$C:$C,MATCH($A774,'[AQ_2024.xlsx]原始数据'!$A:$A,0)),""))</f>
        <v/>
      </c>
      <c r="L774">
        <f>IF($A774="","",IFERROR(INDEX('[AQ_2020.xlsx]原始数据'!$D:$D,MATCH($A774,'[AQ_2020.xlsx]原始数据'!$A:$A,0)),""))</f>
        <v/>
      </c>
      <c r="M774">
        <f>IF($A774="","",IFERROR(INDEX('[AQ_2021.xlsx]原始数据'!$D:$D,MATCH($A774,'[AQ_2021.xlsx]原始数据'!$A:$A,0)),""))</f>
        <v/>
      </c>
      <c r="N774">
        <f>IF($A774="","",IFERROR(INDEX('[AQ_2022.xlsx]原始数据'!$D:$D,MATCH($A774,'[AQ_2022.xlsx]原始数据'!$A:$A,0)),""))</f>
        <v/>
      </c>
      <c r="O774">
        <f>IF($A774="","",IFERROR(INDEX('[AQ_2023.xlsx]原始数据'!$D:$D,MATCH($A774,'[AQ_2023.xlsx]原始数据'!$A:$A,0)),""))</f>
        <v/>
      </c>
      <c r="P774">
        <f>IF($A774="","",IFERROR(INDEX('[AQ_2024.xlsx]原始数据'!$D:$D,MATCH($A774,'[AQ_2024.xlsx]原始数据'!$A:$A,0)),""))</f>
        <v/>
      </c>
      <c r="Q774">
        <f>IF($A774="","",IFERROR(INDEX('[AQ_2020.xlsx]原始数据'!$E:$E,MATCH($A774,'[AQ_2020.xlsx]原始数据'!$A:$A,0)),""))</f>
        <v/>
      </c>
      <c r="R774">
        <f>IF($A774="","",IFERROR(INDEX('[AQ_2021.xlsx]原始数据'!$E:$E,MATCH($A774,'[AQ_2021.xlsx]原始数据'!$A:$A,0)),""))</f>
        <v/>
      </c>
      <c r="S774">
        <f>IF($A774="","",IFERROR(INDEX('[AQ_2022.xlsx]原始数据'!$E:$E,MATCH($A774,'[AQ_2022.xlsx]原始数据'!$A:$A,0)),""))</f>
        <v/>
      </c>
      <c r="T774">
        <f>IF($A774="","",IFERROR(INDEX('[AQ_2023.xlsx]原始数据'!$E:$E,MATCH($A774,'[AQ_2023.xlsx]原始数据'!$A:$A,0)),""))</f>
        <v/>
      </c>
      <c r="U774">
        <f>IF($A774="","",IFERROR(INDEX('[AQ_2024.xlsx]原始数据'!$E:$E,MATCH($A774,'[AQ_2024.xlsx]原始数据'!$A:$A,0)),""))</f>
        <v/>
      </c>
      <c r="V774">
        <f>IF($A774="","",IFERROR(INDEX('[AQ_2020.xlsx]原始数据'!$F:$F,MATCH($A774,'[AQ_2020.xlsx]原始数据'!$A:$A,0)),""))</f>
        <v/>
      </c>
      <c r="W774">
        <f>IF($A774="","",IFERROR(INDEX('[AQ_2021.xlsx]原始数据'!$F:$F,MATCH($A774,'[AQ_2021.xlsx]原始数据'!$A:$A,0)),""))</f>
        <v/>
      </c>
      <c r="X774">
        <f>IF($A774="","",IFERROR(INDEX('[AQ_2022.xlsx]原始数据'!$F:$F,MATCH($A774,'[AQ_2022.xlsx]原始数据'!$A:$A,0)),""))</f>
        <v/>
      </c>
      <c r="Y774">
        <f>IF($A774="","",IFERROR(INDEX('[AQ_2023.xlsx]原始数据'!$F:$F,MATCH($A774,'[AQ_2023.xlsx]原始数据'!$A:$A,0)),""))</f>
        <v/>
      </c>
      <c r="Z774">
        <f>IF($A774="","",IFERROR(INDEX('[AQ_2024.xlsx]原始数据'!$F:$F,MATCH($A774,'[AQ_2024.xlsx]原始数据'!$A:$A,0)),""))</f>
        <v/>
      </c>
      <c r="AA774" s="2">
        <f>IFERROR(G774/B774,"")</f>
        <v/>
      </c>
      <c r="AB774" s="2">
        <f>IFERROR(H774/C774,"")</f>
        <v/>
      </c>
      <c r="AC774" s="2">
        <f>IFERROR(I774/D774,"")</f>
        <v/>
      </c>
      <c r="AD774" s="2">
        <f>IFERROR(J774/E774,"")</f>
        <v/>
      </c>
      <c r="AE774" s="2">
        <f>IFERROR(K774/F774,"")</f>
        <v/>
      </c>
      <c r="AF774" s="2">
        <f>IFERROR(L774/B774,"")</f>
        <v/>
      </c>
      <c r="AG774" s="2">
        <f>IFERROR(M774/C774,"")</f>
        <v/>
      </c>
      <c r="AH774" s="2">
        <f>IFERROR(N774/D774,"")</f>
        <v/>
      </c>
      <c r="AI774" s="2">
        <f>IFERROR(O774/E774,"")</f>
        <v/>
      </c>
      <c r="AJ774" s="2">
        <f>IFERROR(P774/F774,"")</f>
        <v/>
      </c>
      <c r="AK774" s="2">
        <f>IFERROR(Q774/B774,"")</f>
        <v/>
      </c>
      <c r="AL774" s="2">
        <f>IFERROR(R774/C774,"")</f>
        <v/>
      </c>
      <c r="AM774" s="2">
        <f>IFERROR(S774/D774,"")</f>
        <v/>
      </c>
      <c r="AN774" s="2">
        <f>IFERROR(T774/E774,"")</f>
        <v/>
      </c>
      <c r="AO774" s="2">
        <f>IFERROR(U774/F774,"")</f>
        <v/>
      </c>
    </row>
    <row r="775">
      <c r="B775">
        <f>IF($A775="","",IFERROR(INDEX('[AQ_2020.xlsx]原始数据'!$B:$B,MATCH($A775,'[AQ_2020.xlsx]原始数据'!$A:$A,0)),""))</f>
        <v/>
      </c>
      <c r="C775">
        <f>IF($A775="","",IFERROR(INDEX('[AQ_2021.xlsx]原始数据'!$B:$B,MATCH($A775,'[AQ_2021.xlsx]原始数据'!$A:$A,0)),""))</f>
        <v/>
      </c>
      <c r="D775">
        <f>IF($A775="","",IFERROR(INDEX('[AQ_2022.xlsx]原始数据'!$B:$B,MATCH($A775,'[AQ_2022.xlsx]原始数据'!$A:$A,0)),""))</f>
        <v/>
      </c>
      <c r="E775">
        <f>IF($A775="","",IFERROR(INDEX('[AQ_2023.xlsx]原始数据'!$B:$B,MATCH($A775,'[AQ_2023.xlsx]原始数据'!$A:$A,0)),""))</f>
        <v/>
      </c>
      <c r="F775">
        <f>IF($A775="","",IFERROR(INDEX('[AQ_2024.xlsx]原始数据'!$B:$B,MATCH($A775,'[AQ_2024.xlsx]原始数据'!$A:$A,0)),""))</f>
        <v/>
      </c>
      <c r="G775">
        <f>IF($A775="","",IFERROR(INDEX('[AQ_2020.xlsx]原始数据'!$C:$C,MATCH($A775,'[AQ_2020.xlsx]原始数据'!$A:$A,0)),""))</f>
        <v/>
      </c>
      <c r="H775">
        <f>IF($A775="","",IFERROR(INDEX('[AQ_2021.xlsx]原始数据'!$C:$C,MATCH($A775,'[AQ_2021.xlsx]原始数据'!$A:$A,0)),""))</f>
        <v/>
      </c>
      <c r="I775">
        <f>IF($A775="","",IFERROR(INDEX('[AQ_2022.xlsx]原始数据'!$C:$C,MATCH($A775,'[AQ_2022.xlsx]原始数据'!$A:$A,0)),""))</f>
        <v/>
      </c>
      <c r="J775">
        <f>IF($A775="","",IFERROR(INDEX('[AQ_2023.xlsx]原始数据'!$C:$C,MATCH($A775,'[AQ_2023.xlsx]原始数据'!$A:$A,0)),""))</f>
        <v/>
      </c>
      <c r="K775">
        <f>IF($A775="","",IFERROR(INDEX('[AQ_2024.xlsx]原始数据'!$C:$C,MATCH($A775,'[AQ_2024.xlsx]原始数据'!$A:$A,0)),""))</f>
        <v/>
      </c>
      <c r="L775">
        <f>IF($A775="","",IFERROR(INDEX('[AQ_2020.xlsx]原始数据'!$D:$D,MATCH($A775,'[AQ_2020.xlsx]原始数据'!$A:$A,0)),""))</f>
        <v/>
      </c>
      <c r="M775">
        <f>IF($A775="","",IFERROR(INDEX('[AQ_2021.xlsx]原始数据'!$D:$D,MATCH($A775,'[AQ_2021.xlsx]原始数据'!$A:$A,0)),""))</f>
        <v/>
      </c>
      <c r="N775">
        <f>IF($A775="","",IFERROR(INDEX('[AQ_2022.xlsx]原始数据'!$D:$D,MATCH($A775,'[AQ_2022.xlsx]原始数据'!$A:$A,0)),""))</f>
        <v/>
      </c>
      <c r="O775">
        <f>IF($A775="","",IFERROR(INDEX('[AQ_2023.xlsx]原始数据'!$D:$D,MATCH($A775,'[AQ_2023.xlsx]原始数据'!$A:$A,0)),""))</f>
        <v/>
      </c>
      <c r="P775">
        <f>IF($A775="","",IFERROR(INDEX('[AQ_2024.xlsx]原始数据'!$D:$D,MATCH($A775,'[AQ_2024.xlsx]原始数据'!$A:$A,0)),""))</f>
        <v/>
      </c>
      <c r="Q775">
        <f>IF($A775="","",IFERROR(INDEX('[AQ_2020.xlsx]原始数据'!$E:$E,MATCH($A775,'[AQ_2020.xlsx]原始数据'!$A:$A,0)),""))</f>
        <v/>
      </c>
      <c r="R775">
        <f>IF($A775="","",IFERROR(INDEX('[AQ_2021.xlsx]原始数据'!$E:$E,MATCH($A775,'[AQ_2021.xlsx]原始数据'!$A:$A,0)),""))</f>
        <v/>
      </c>
      <c r="S775">
        <f>IF($A775="","",IFERROR(INDEX('[AQ_2022.xlsx]原始数据'!$E:$E,MATCH($A775,'[AQ_2022.xlsx]原始数据'!$A:$A,0)),""))</f>
        <v/>
      </c>
      <c r="T775">
        <f>IF($A775="","",IFERROR(INDEX('[AQ_2023.xlsx]原始数据'!$E:$E,MATCH($A775,'[AQ_2023.xlsx]原始数据'!$A:$A,0)),""))</f>
        <v/>
      </c>
      <c r="U775">
        <f>IF($A775="","",IFERROR(INDEX('[AQ_2024.xlsx]原始数据'!$E:$E,MATCH($A775,'[AQ_2024.xlsx]原始数据'!$A:$A,0)),""))</f>
        <v/>
      </c>
      <c r="V775">
        <f>IF($A775="","",IFERROR(INDEX('[AQ_2020.xlsx]原始数据'!$F:$F,MATCH($A775,'[AQ_2020.xlsx]原始数据'!$A:$A,0)),""))</f>
        <v/>
      </c>
      <c r="W775">
        <f>IF($A775="","",IFERROR(INDEX('[AQ_2021.xlsx]原始数据'!$F:$F,MATCH($A775,'[AQ_2021.xlsx]原始数据'!$A:$A,0)),""))</f>
        <v/>
      </c>
      <c r="X775">
        <f>IF($A775="","",IFERROR(INDEX('[AQ_2022.xlsx]原始数据'!$F:$F,MATCH($A775,'[AQ_2022.xlsx]原始数据'!$A:$A,0)),""))</f>
        <v/>
      </c>
      <c r="Y775">
        <f>IF($A775="","",IFERROR(INDEX('[AQ_2023.xlsx]原始数据'!$F:$F,MATCH($A775,'[AQ_2023.xlsx]原始数据'!$A:$A,0)),""))</f>
        <v/>
      </c>
      <c r="Z775">
        <f>IF($A775="","",IFERROR(INDEX('[AQ_2024.xlsx]原始数据'!$F:$F,MATCH($A775,'[AQ_2024.xlsx]原始数据'!$A:$A,0)),""))</f>
        <v/>
      </c>
      <c r="AA775" s="2">
        <f>IFERROR(G775/B775,"")</f>
        <v/>
      </c>
      <c r="AB775" s="2">
        <f>IFERROR(H775/C775,"")</f>
        <v/>
      </c>
      <c r="AC775" s="2">
        <f>IFERROR(I775/D775,"")</f>
        <v/>
      </c>
      <c r="AD775" s="2">
        <f>IFERROR(J775/E775,"")</f>
        <v/>
      </c>
      <c r="AE775" s="2">
        <f>IFERROR(K775/F775,"")</f>
        <v/>
      </c>
      <c r="AF775" s="2">
        <f>IFERROR(L775/B775,"")</f>
        <v/>
      </c>
      <c r="AG775" s="2">
        <f>IFERROR(M775/C775,"")</f>
        <v/>
      </c>
      <c r="AH775" s="2">
        <f>IFERROR(N775/D775,"")</f>
        <v/>
      </c>
      <c r="AI775" s="2">
        <f>IFERROR(O775/E775,"")</f>
        <v/>
      </c>
      <c r="AJ775" s="2">
        <f>IFERROR(P775/F775,"")</f>
        <v/>
      </c>
      <c r="AK775" s="2">
        <f>IFERROR(Q775/B775,"")</f>
        <v/>
      </c>
      <c r="AL775" s="2">
        <f>IFERROR(R775/C775,"")</f>
        <v/>
      </c>
      <c r="AM775" s="2">
        <f>IFERROR(S775/D775,"")</f>
        <v/>
      </c>
      <c r="AN775" s="2">
        <f>IFERROR(T775/E775,"")</f>
        <v/>
      </c>
      <c r="AO775" s="2">
        <f>IFERROR(U775/F775,"")</f>
        <v/>
      </c>
    </row>
    <row r="776">
      <c r="B776">
        <f>IF($A776="","",IFERROR(INDEX('[AQ_2020.xlsx]原始数据'!$B:$B,MATCH($A776,'[AQ_2020.xlsx]原始数据'!$A:$A,0)),""))</f>
        <v/>
      </c>
      <c r="C776">
        <f>IF($A776="","",IFERROR(INDEX('[AQ_2021.xlsx]原始数据'!$B:$B,MATCH($A776,'[AQ_2021.xlsx]原始数据'!$A:$A,0)),""))</f>
        <v/>
      </c>
      <c r="D776">
        <f>IF($A776="","",IFERROR(INDEX('[AQ_2022.xlsx]原始数据'!$B:$B,MATCH($A776,'[AQ_2022.xlsx]原始数据'!$A:$A,0)),""))</f>
        <v/>
      </c>
      <c r="E776">
        <f>IF($A776="","",IFERROR(INDEX('[AQ_2023.xlsx]原始数据'!$B:$B,MATCH($A776,'[AQ_2023.xlsx]原始数据'!$A:$A,0)),""))</f>
        <v/>
      </c>
      <c r="F776">
        <f>IF($A776="","",IFERROR(INDEX('[AQ_2024.xlsx]原始数据'!$B:$B,MATCH($A776,'[AQ_2024.xlsx]原始数据'!$A:$A,0)),""))</f>
        <v/>
      </c>
      <c r="G776">
        <f>IF($A776="","",IFERROR(INDEX('[AQ_2020.xlsx]原始数据'!$C:$C,MATCH($A776,'[AQ_2020.xlsx]原始数据'!$A:$A,0)),""))</f>
        <v/>
      </c>
      <c r="H776">
        <f>IF($A776="","",IFERROR(INDEX('[AQ_2021.xlsx]原始数据'!$C:$C,MATCH($A776,'[AQ_2021.xlsx]原始数据'!$A:$A,0)),""))</f>
        <v/>
      </c>
      <c r="I776">
        <f>IF($A776="","",IFERROR(INDEX('[AQ_2022.xlsx]原始数据'!$C:$C,MATCH($A776,'[AQ_2022.xlsx]原始数据'!$A:$A,0)),""))</f>
        <v/>
      </c>
      <c r="J776">
        <f>IF($A776="","",IFERROR(INDEX('[AQ_2023.xlsx]原始数据'!$C:$C,MATCH($A776,'[AQ_2023.xlsx]原始数据'!$A:$A,0)),""))</f>
        <v/>
      </c>
      <c r="K776">
        <f>IF($A776="","",IFERROR(INDEX('[AQ_2024.xlsx]原始数据'!$C:$C,MATCH($A776,'[AQ_2024.xlsx]原始数据'!$A:$A,0)),""))</f>
        <v/>
      </c>
      <c r="L776">
        <f>IF($A776="","",IFERROR(INDEX('[AQ_2020.xlsx]原始数据'!$D:$D,MATCH($A776,'[AQ_2020.xlsx]原始数据'!$A:$A,0)),""))</f>
        <v/>
      </c>
      <c r="M776">
        <f>IF($A776="","",IFERROR(INDEX('[AQ_2021.xlsx]原始数据'!$D:$D,MATCH($A776,'[AQ_2021.xlsx]原始数据'!$A:$A,0)),""))</f>
        <v/>
      </c>
      <c r="N776">
        <f>IF($A776="","",IFERROR(INDEX('[AQ_2022.xlsx]原始数据'!$D:$D,MATCH($A776,'[AQ_2022.xlsx]原始数据'!$A:$A,0)),""))</f>
        <v/>
      </c>
      <c r="O776">
        <f>IF($A776="","",IFERROR(INDEX('[AQ_2023.xlsx]原始数据'!$D:$D,MATCH($A776,'[AQ_2023.xlsx]原始数据'!$A:$A,0)),""))</f>
        <v/>
      </c>
      <c r="P776">
        <f>IF($A776="","",IFERROR(INDEX('[AQ_2024.xlsx]原始数据'!$D:$D,MATCH($A776,'[AQ_2024.xlsx]原始数据'!$A:$A,0)),""))</f>
        <v/>
      </c>
      <c r="Q776">
        <f>IF($A776="","",IFERROR(INDEX('[AQ_2020.xlsx]原始数据'!$E:$E,MATCH($A776,'[AQ_2020.xlsx]原始数据'!$A:$A,0)),""))</f>
        <v/>
      </c>
      <c r="R776">
        <f>IF($A776="","",IFERROR(INDEX('[AQ_2021.xlsx]原始数据'!$E:$E,MATCH($A776,'[AQ_2021.xlsx]原始数据'!$A:$A,0)),""))</f>
        <v/>
      </c>
      <c r="S776">
        <f>IF($A776="","",IFERROR(INDEX('[AQ_2022.xlsx]原始数据'!$E:$E,MATCH($A776,'[AQ_2022.xlsx]原始数据'!$A:$A,0)),""))</f>
        <v/>
      </c>
      <c r="T776">
        <f>IF($A776="","",IFERROR(INDEX('[AQ_2023.xlsx]原始数据'!$E:$E,MATCH($A776,'[AQ_2023.xlsx]原始数据'!$A:$A,0)),""))</f>
        <v/>
      </c>
      <c r="U776">
        <f>IF($A776="","",IFERROR(INDEX('[AQ_2024.xlsx]原始数据'!$E:$E,MATCH($A776,'[AQ_2024.xlsx]原始数据'!$A:$A,0)),""))</f>
        <v/>
      </c>
      <c r="V776">
        <f>IF($A776="","",IFERROR(INDEX('[AQ_2020.xlsx]原始数据'!$F:$F,MATCH($A776,'[AQ_2020.xlsx]原始数据'!$A:$A,0)),""))</f>
        <v/>
      </c>
      <c r="W776">
        <f>IF($A776="","",IFERROR(INDEX('[AQ_2021.xlsx]原始数据'!$F:$F,MATCH($A776,'[AQ_2021.xlsx]原始数据'!$A:$A,0)),""))</f>
        <v/>
      </c>
      <c r="X776">
        <f>IF($A776="","",IFERROR(INDEX('[AQ_2022.xlsx]原始数据'!$F:$F,MATCH($A776,'[AQ_2022.xlsx]原始数据'!$A:$A,0)),""))</f>
        <v/>
      </c>
      <c r="Y776">
        <f>IF($A776="","",IFERROR(INDEX('[AQ_2023.xlsx]原始数据'!$F:$F,MATCH($A776,'[AQ_2023.xlsx]原始数据'!$A:$A,0)),""))</f>
        <v/>
      </c>
      <c r="Z776">
        <f>IF($A776="","",IFERROR(INDEX('[AQ_2024.xlsx]原始数据'!$F:$F,MATCH($A776,'[AQ_2024.xlsx]原始数据'!$A:$A,0)),""))</f>
        <v/>
      </c>
      <c r="AA776" s="2">
        <f>IFERROR(G776/B776,"")</f>
        <v/>
      </c>
      <c r="AB776" s="2">
        <f>IFERROR(H776/C776,"")</f>
        <v/>
      </c>
      <c r="AC776" s="2">
        <f>IFERROR(I776/D776,"")</f>
        <v/>
      </c>
      <c r="AD776" s="2">
        <f>IFERROR(J776/E776,"")</f>
        <v/>
      </c>
      <c r="AE776" s="2">
        <f>IFERROR(K776/F776,"")</f>
        <v/>
      </c>
      <c r="AF776" s="2">
        <f>IFERROR(L776/B776,"")</f>
        <v/>
      </c>
      <c r="AG776" s="2">
        <f>IFERROR(M776/C776,"")</f>
        <v/>
      </c>
      <c r="AH776" s="2">
        <f>IFERROR(N776/D776,"")</f>
        <v/>
      </c>
      <c r="AI776" s="2">
        <f>IFERROR(O776/E776,"")</f>
        <v/>
      </c>
      <c r="AJ776" s="2">
        <f>IFERROR(P776/F776,"")</f>
        <v/>
      </c>
      <c r="AK776" s="2">
        <f>IFERROR(Q776/B776,"")</f>
        <v/>
      </c>
      <c r="AL776" s="2">
        <f>IFERROR(R776/C776,"")</f>
        <v/>
      </c>
      <c r="AM776" s="2">
        <f>IFERROR(S776/D776,"")</f>
        <v/>
      </c>
      <c r="AN776" s="2">
        <f>IFERROR(T776/E776,"")</f>
        <v/>
      </c>
      <c r="AO776" s="2">
        <f>IFERROR(U776/F776,"")</f>
        <v/>
      </c>
    </row>
    <row r="777">
      <c r="B777">
        <f>IF($A777="","",IFERROR(INDEX('[AQ_2020.xlsx]原始数据'!$B:$B,MATCH($A777,'[AQ_2020.xlsx]原始数据'!$A:$A,0)),""))</f>
        <v/>
      </c>
      <c r="C777">
        <f>IF($A777="","",IFERROR(INDEX('[AQ_2021.xlsx]原始数据'!$B:$B,MATCH($A777,'[AQ_2021.xlsx]原始数据'!$A:$A,0)),""))</f>
        <v/>
      </c>
      <c r="D777">
        <f>IF($A777="","",IFERROR(INDEX('[AQ_2022.xlsx]原始数据'!$B:$B,MATCH($A777,'[AQ_2022.xlsx]原始数据'!$A:$A,0)),""))</f>
        <v/>
      </c>
      <c r="E777">
        <f>IF($A777="","",IFERROR(INDEX('[AQ_2023.xlsx]原始数据'!$B:$B,MATCH($A777,'[AQ_2023.xlsx]原始数据'!$A:$A,0)),""))</f>
        <v/>
      </c>
      <c r="F777">
        <f>IF($A777="","",IFERROR(INDEX('[AQ_2024.xlsx]原始数据'!$B:$B,MATCH($A777,'[AQ_2024.xlsx]原始数据'!$A:$A,0)),""))</f>
        <v/>
      </c>
      <c r="G777">
        <f>IF($A777="","",IFERROR(INDEX('[AQ_2020.xlsx]原始数据'!$C:$C,MATCH($A777,'[AQ_2020.xlsx]原始数据'!$A:$A,0)),""))</f>
        <v/>
      </c>
      <c r="H777">
        <f>IF($A777="","",IFERROR(INDEX('[AQ_2021.xlsx]原始数据'!$C:$C,MATCH($A777,'[AQ_2021.xlsx]原始数据'!$A:$A,0)),""))</f>
        <v/>
      </c>
      <c r="I777">
        <f>IF($A777="","",IFERROR(INDEX('[AQ_2022.xlsx]原始数据'!$C:$C,MATCH($A777,'[AQ_2022.xlsx]原始数据'!$A:$A,0)),""))</f>
        <v/>
      </c>
      <c r="J777">
        <f>IF($A777="","",IFERROR(INDEX('[AQ_2023.xlsx]原始数据'!$C:$C,MATCH($A777,'[AQ_2023.xlsx]原始数据'!$A:$A,0)),""))</f>
        <v/>
      </c>
      <c r="K777">
        <f>IF($A777="","",IFERROR(INDEX('[AQ_2024.xlsx]原始数据'!$C:$C,MATCH($A777,'[AQ_2024.xlsx]原始数据'!$A:$A,0)),""))</f>
        <v/>
      </c>
      <c r="L777">
        <f>IF($A777="","",IFERROR(INDEX('[AQ_2020.xlsx]原始数据'!$D:$D,MATCH($A777,'[AQ_2020.xlsx]原始数据'!$A:$A,0)),""))</f>
        <v/>
      </c>
      <c r="M777">
        <f>IF($A777="","",IFERROR(INDEX('[AQ_2021.xlsx]原始数据'!$D:$D,MATCH($A777,'[AQ_2021.xlsx]原始数据'!$A:$A,0)),""))</f>
        <v/>
      </c>
      <c r="N777">
        <f>IF($A777="","",IFERROR(INDEX('[AQ_2022.xlsx]原始数据'!$D:$D,MATCH($A777,'[AQ_2022.xlsx]原始数据'!$A:$A,0)),""))</f>
        <v/>
      </c>
      <c r="O777">
        <f>IF($A777="","",IFERROR(INDEX('[AQ_2023.xlsx]原始数据'!$D:$D,MATCH($A777,'[AQ_2023.xlsx]原始数据'!$A:$A,0)),""))</f>
        <v/>
      </c>
      <c r="P777">
        <f>IF($A777="","",IFERROR(INDEX('[AQ_2024.xlsx]原始数据'!$D:$D,MATCH($A777,'[AQ_2024.xlsx]原始数据'!$A:$A,0)),""))</f>
        <v/>
      </c>
      <c r="Q777">
        <f>IF($A777="","",IFERROR(INDEX('[AQ_2020.xlsx]原始数据'!$E:$E,MATCH($A777,'[AQ_2020.xlsx]原始数据'!$A:$A,0)),""))</f>
        <v/>
      </c>
      <c r="R777">
        <f>IF($A777="","",IFERROR(INDEX('[AQ_2021.xlsx]原始数据'!$E:$E,MATCH($A777,'[AQ_2021.xlsx]原始数据'!$A:$A,0)),""))</f>
        <v/>
      </c>
      <c r="S777">
        <f>IF($A777="","",IFERROR(INDEX('[AQ_2022.xlsx]原始数据'!$E:$E,MATCH($A777,'[AQ_2022.xlsx]原始数据'!$A:$A,0)),""))</f>
        <v/>
      </c>
      <c r="T777">
        <f>IF($A777="","",IFERROR(INDEX('[AQ_2023.xlsx]原始数据'!$E:$E,MATCH($A777,'[AQ_2023.xlsx]原始数据'!$A:$A,0)),""))</f>
        <v/>
      </c>
      <c r="U777">
        <f>IF($A777="","",IFERROR(INDEX('[AQ_2024.xlsx]原始数据'!$E:$E,MATCH($A777,'[AQ_2024.xlsx]原始数据'!$A:$A,0)),""))</f>
        <v/>
      </c>
      <c r="V777">
        <f>IF($A777="","",IFERROR(INDEX('[AQ_2020.xlsx]原始数据'!$F:$F,MATCH($A777,'[AQ_2020.xlsx]原始数据'!$A:$A,0)),""))</f>
        <v/>
      </c>
      <c r="W777">
        <f>IF($A777="","",IFERROR(INDEX('[AQ_2021.xlsx]原始数据'!$F:$F,MATCH($A777,'[AQ_2021.xlsx]原始数据'!$A:$A,0)),""))</f>
        <v/>
      </c>
      <c r="X777">
        <f>IF($A777="","",IFERROR(INDEX('[AQ_2022.xlsx]原始数据'!$F:$F,MATCH($A777,'[AQ_2022.xlsx]原始数据'!$A:$A,0)),""))</f>
        <v/>
      </c>
      <c r="Y777">
        <f>IF($A777="","",IFERROR(INDEX('[AQ_2023.xlsx]原始数据'!$F:$F,MATCH($A777,'[AQ_2023.xlsx]原始数据'!$A:$A,0)),""))</f>
        <v/>
      </c>
      <c r="Z777">
        <f>IF($A777="","",IFERROR(INDEX('[AQ_2024.xlsx]原始数据'!$F:$F,MATCH($A777,'[AQ_2024.xlsx]原始数据'!$A:$A,0)),""))</f>
        <v/>
      </c>
      <c r="AA777" s="2">
        <f>IFERROR(G777/B777,"")</f>
        <v/>
      </c>
      <c r="AB777" s="2">
        <f>IFERROR(H777/C777,"")</f>
        <v/>
      </c>
      <c r="AC777" s="2">
        <f>IFERROR(I777/D777,"")</f>
        <v/>
      </c>
      <c r="AD777" s="2">
        <f>IFERROR(J777/E777,"")</f>
        <v/>
      </c>
      <c r="AE777" s="2">
        <f>IFERROR(K777/F777,"")</f>
        <v/>
      </c>
      <c r="AF777" s="2">
        <f>IFERROR(L777/B777,"")</f>
        <v/>
      </c>
      <c r="AG777" s="2">
        <f>IFERROR(M777/C777,"")</f>
        <v/>
      </c>
      <c r="AH777" s="2">
        <f>IFERROR(N777/D777,"")</f>
        <v/>
      </c>
      <c r="AI777" s="2">
        <f>IFERROR(O777/E777,"")</f>
        <v/>
      </c>
      <c r="AJ777" s="2">
        <f>IFERROR(P777/F777,"")</f>
        <v/>
      </c>
      <c r="AK777" s="2">
        <f>IFERROR(Q777/B777,"")</f>
        <v/>
      </c>
      <c r="AL777" s="2">
        <f>IFERROR(R777/C777,"")</f>
        <v/>
      </c>
      <c r="AM777" s="2">
        <f>IFERROR(S777/D777,"")</f>
        <v/>
      </c>
      <c r="AN777" s="2">
        <f>IFERROR(T777/E777,"")</f>
        <v/>
      </c>
      <c r="AO777" s="2">
        <f>IFERROR(U777/F777,"")</f>
        <v/>
      </c>
    </row>
    <row r="778">
      <c r="B778">
        <f>IF($A778="","",IFERROR(INDEX('[AQ_2020.xlsx]原始数据'!$B:$B,MATCH($A778,'[AQ_2020.xlsx]原始数据'!$A:$A,0)),""))</f>
        <v/>
      </c>
      <c r="C778">
        <f>IF($A778="","",IFERROR(INDEX('[AQ_2021.xlsx]原始数据'!$B:$B,MATCH($A778,'[AQ_2021.xlsx]原始数据'!$A:$A,0)),""))</f>
        <v/>
      </c>
      <c r="D778">
        <f>IF($A778="","",IFERROR(INDEX('[AQ_2022.xlsx]原始数据'!$B:$B,MATCH($A778,'[AQ_2022.xlsx]原始数据'!$A:$A,0)),""))</f>
        <v/>
      </c>
      <c r="E778">
        <f>IF($A778="","",IFERROR(INDEX('[AQ_2023.xlsx]原始数据'!$B:$B,MATCH($A778,'[AQ_2023.xlsx]原始数据'!$A:$A,0)),""))</f>
        <v/>
      </c>
      <c r="F778">
        <f>IF($A778="","",IFERROR(INDEX('[AQ_2024.xlsx]原始数据'!$B:$B,MATCH($A778,'[AQ_2024.xlsx]原始数据'!$A:$A,0)),""))</f>
        <v/>
      </c>
      <c r="G778">
        <f>IF($A778="","",IFERROR(INDEX('[AQ_2020.xlsx]原始数据'!$C:$C,MATCH($A778,'[AQ_2020.xlsx]原始数据'!$A:$A,0)),""))</f>
        <v/>
      </c>
      <c r="H778">
        <f>IF($A778="","",IFERROR(INDEX('[AQ_2021.xlsx]原始数据'!$C:$C,MATCH($A778,'[AQ_2021.xlsx]原始数据'!$A:$A,0)),""))</f>
        <v/>
      </c>
      <c r="I778">
        <f>IF($A778="","",IFERROR(INDEX('[AQ_2022.xlsx]原始数据'!$C:$C,MATCH($A778,'[AQ_2022.xlsx]原始数据'!$A:$A,0)),""))</f>
        <v/>
      </c>
      <c r="J778">
        <f>IF($A778="","",IFERROR(INDEX('[AQ_2023.xlsx]原始数据'!$C:$C,MATCH($A778,'[AQ_2023.xlsx]原始数据'!$A:$A,0)),""))</f>
        <v/>
      </c>
      <c r="K778">
        <f>IF($A778="","",IFERROR(INDEX('[AQ_2024.xlsx]原始数据'!$C:$C,MATCH($A778,'[AQ_2024.xlsx]原始数据'!$A:$A,0)),""))</f>
        <v/>
      </c>
      <c r="L778">
        <f>IF($A778="","",IFERROR(INDEX('[AQ_2020.xlsx]原始数据'!$D:$D,MATCH($A778,'[AQ_2020.xlsx]原始数据'!$A:$A,0)),""))</f>
        <v/>
      </c>
      <c r="M778">
        <f>IF($A778="","",IFERROR(INDEX('[AQ_2021.xlsx]原始数据'!$D:$D,MATCH($A778,'[AQ_2021.xlsx]原始数据'!$A:$A,0)),""))</f>
        <v/>
      </c>
      <c r="N778">
        <f>IF($A778="","",IFERROR(INDEX('[AQ_2022.xlsx]原始数据'!$D:$D,MATCH($A778,'[AQ_2022.xlsx]原始数据'!$A:$A,0)),""))</f>
        <v/>
      </c>
      <c r="O778">
        <f>IF($A778="","",IFERROR(INDEX('[AQ_2023.xlsx]原始数据'!$D:$D,MATCH($A778,'[AQ_2023.xlsx]原始数据'!$A:$A,0)),""))</f>
        <v/>
      </c>
      <c r="P778">
        <f>IF($A778="","",IFERROR(INDEX('[AQ_2024.xlsx]原始数据'!$D:$D,MATCH($A778,'[AQ_2024.xlsx]原始数据'!$A:$A,0)),""))</f>
        <v/>
      </c>
      <c r="Q778">
        <f>IF($A778="","",IFERROR(INDEX('[AQ_2020.xlsx]原始数据'!$E:$E,MATCH($A778,'[AQ_2020.xlsx]原始数据'!$A:$A,0)),""))</f>
        <v/>
      </c>
      <c r="R778">
        <f>IF($A778="","",IFERROR(INDEX('[AQ_2021.xlsx]原始数据'!$E:$E,MATCH($A778,'[AQ_2021.xlsx]原始数据'!$A:$A,0)),""))</f>
        <v/>
      </c>
      <c r="S778">
        <f>IF($A778="","",IFERROR(INDEX('[AQ_2022.xlsx]原始数据'!$E:$E,MATCH($A778,'[AQ_2022.xlsx]原始数据'!$A:$A,0)),""))</f>
        <v/>
      </c>
      <c r="T778">
        <f>IF($A778="","",IFERROR(INDEX('[AQ_2023.xlsx]原始数据'!$E:$E,MATCH($A778,'[AQ_2023.xlsx]原始数据'!$A:$A,0)),""))</f>
        <v/>
      </c>
      <c r="U778">
        <f>IF($A778="","",IFERROR(INDEX('[AQ_2024.xlsx]原始数据'!$E:$E,MATCH($A778,'[AQ_2024.xlsx]原始数据'!$A:$A,0)),""))</f>
        <v/>
      </c>
      <c r="V778">
        <f>IF($A778="","",IFERROR(INDEX('[AQ_2020.xlsx]原始数据'!$F:$F,MATCH($A778,'[AQ_2020.xlsx]原始数据'!$A:$A,0)),""))</f>
        <v/>
      </c>
      <c r="W778">
        <f>IF($A778="","",IFERROR(INDEX('[AQ_2021.xlsx]原始数据'!$F:$F,MATCH($A778,'[AQ_2021.xlsx]原始数据'!$A:$A,0)),""))</f>
        <v/>
      </c>
      <c r="X778">
        <f>IF($A778="","",IFERROR(INDEX('[AQ_2022.xlsx]原始数据'!$F:$F,MATCH($A778,'[AQ_2022.xlsx]原始数据'!$A:$A,0)),""))</f>
        <v/>
      </c>
      <c r="Y778">
        <f>IF($A778="","",IFERROR(INDEX('[AQ_2023.xlsx]原始数据'!$F:$F,MATCH($A778,'[AQ_2023.xlsx]原始数据'!$A:$A,0)),""))</f>
        <v/>
      </c>
      <c r="Z778">
        <f>IF($A778="","",IFERROR(INDEX('[AQ_2024.xlsx]原始数据'!$F:$F,MATCH($A778,'[AQ_2024.xlsx]原始数据'!$A:$A,0)),""))</f>
        <v/>
      </c>
      <c r="AA778" s="2">
        <f>IFERROR(G778/B778,"")</f>
        <v/>
      </c>
      <c r="AB778" s="2">
        <f>IFERROR(H778/C778,"")</f>
        <v/>
      </c>
      <c r="AC778" s="2">
        <f>IFERROR(I778/D778,"")</f>
        <v/>
      </c>
      <c r="AD778" s="2">
        <f>IFERROR(J778/E778,"")</f>
        <v/>
      </c>
      <c r="AE778" s="2">
        <f>IFERROR(K778/F778,"")</f>
        <v/>
      </c>
      <c r="AF778" s="2">
        <f>IFERROR(L778/B778,"")</f>
        <v/>
      </c>
      <c r="AG778" s="2">
        <f>IFERROR(M778/C778,"")</f>
        <v/>
      </c>
      <c r="AH778" s="2">
        <f>IFERROR(N778/D778,"")</f>
        <v/>
      </c>
      <c r="AI778" s="2">
        <f>IFERROR(O778/E778,"")</f>
        <v/>
      </c>
      <c r="AJ778" s="2">
        <f>IFERROR(P778/F778,"")</f>
        <v/>
      </c>
      <c r="AK778" s="2">
        <f>IFERROR(Q778/B778,"")</f>
        <v/>
      </c>
      <c r="AL778" s="2">
        <f>IFERROR(R778/C778,"")</f>
        <v/>
      </c>
      <c r="AM778" s="2">
        <f>IFERROR(S778/D778,"")</f>
        <v/>
      </c>
      <c r="AN778" s="2">
        <f>IFERROR(T778/E778,"")</f>
        <v/>
      </c>
      <c r="AO778" s="2">
        <f>IFERROR(U778/F778,"")</f>
        <v/>
      </c>
    </row>
    <row r="779">
      <c r="B779">
        <f>IF($A779="","",IFERROR(INDEX('[AQ_2020.xlsx]原始数据'!$B:$B,MATCH($A779,'[AQ_2020.xlsx]原始数据'!$A:$A,0)),""))</f>
        <v/>
      </c>
      <c r="C779">
        <f>IF($A779="","",IFERROR(INDEX('[AQ_2021.xlsx]原始数据'!$B:$B,MATCH($A779,'[AQ_2021.xlsx]原始数据'!$A:$A,0)),""))</f>
        <v/>
      </c>
      <c r="D779">
        <f>IF($A779="","",IFERROR(INDEX('[AQ_2022.xlsx]原始数据'!$B:$B,MATCH($A779,'[AQ_2022.xlsx]原始数据'!$A:$A,0)),""))</f>
        <v/>
      </c>
      <c r="E779">
        <f>IF($A779="","",IFERROR(INDEX('[AQ_2023.xlsx]原始数据'!$B:$B,MATCH($A779,'[AQ_2023.xlsx]原始数据'!$A:$A,0)),""))</f>
        <v/>
      </c>
      <c r="F779">
        <f>IF($A779="","",IFERROR(INDEX('[AQ_2024.xlsx]原始数据'!$B:$B,MATCH($A779,'[AQ_2024.xlsx]原始数据'!$A:$A,0)),""))</f>
        <v/>
      </c>
      <c r="G779">
        <f>IF($A779="","",IFERROR(INDEX('[AQ_2020.xlsx]原始数据'!$C:$C,MATCH($A779,'[AQ_2020.xlsx]原始数据'!$A:$A,0)),""))</f>
        <v/>
      </c>
      <c r="H779">
        <f>IF($A779="","",IFERROR(INDEX('[AQ_2021.xlsx]原始数据'!$C:$C,MATCH($A779,'[AQ_2021.xlsx]原始数据'!$A:$A,0)),""))</f>
        <v/>
      </c>
      <c r="I779">
        <f>IF($A779="","",IFERROR(INDEX('[AQ_2022.xlsx]原始数据'!$C:$C,MATCH($A779,'[AQ_2022.xlsx]原始数据'!$A:$A,0)),""))</f>
        <v/>
      </c>
      <c r="J779">
        <f>IF($A779="","",IFERROR(INDEX('[AQ_2023.xlsx]原始数据'!$C:$C,MATCH($A779,'[AQ_2023.xlsx]原始数据'!$A:$A,0)),""))</f>
        <v/>
      </c>
      <c r="K779">
        <f>IF($A779="","",IFERROR(INDEX('[AQ_2024.xlsx]原始数据'!$C:$C,MATCH($A779,'[AQ_2024.xlsx]原始数据'!$A:$A,0)),""))</f>
        <v/>
      </c>
      <c r="L779">
        <f>IF($A779="","",IFERROR(INDEX('[AQ_2020.xlsx]原始数据'!$D:$D,MATCH($A779,'[AQ_2020.xlsx]原始数据'!$A:$A,0)),""))</f>
        <v/>
      </c>
      <c r="M779">
        <f>IF($A779="","",IFERROR(INDEX('[AQ_2021.xlsx]原始数据'!$D:$D,MATCH($A779,'[AQ_2021.xlsx]原始数据'!$A:$A,0)),""))</f>
        <v/>
      </c>
      <c r="N779">
        <f>IF($A779="","",IFERROR(INDEX('[AQ_2022.xlsx]原始数据'!$D:$D,MATCH($A779,'[AQ_2022.xlsx]原始数据'!$A:$A,0)),""))</f>
        <v/>
      </c>
      <c r="O779">
        <f>IF($A779="","",IFERROR(INDEX('[AQ_2023.xlsx]原始数据'!$D:$D,MATCH($A779,'[AQ_2023.xlsx]原始数据'!$A:$A,0)),""))</f>
        <v/>
      </c>
      <c r="P779">
        <f>IF($A779="","",IFERROR(INDEX('[AQ_2024.xlsx]原始数据'!$D:$D,MATCH($A779,'[AQ_2024.xlsx]原始数据'!$A:$A,0)),""))</f>
        <v/>
      </c>
      <c r="Q779">
        <f>IF($A779="","",IFERROR(INDEX('[AQ_2020.xlsx]原始数据'!$E:$E,MATCH($A779,'[AQ_2020.xlsx]原始数据'!$A:$A,0)),""))</f>
        <v/>
      </c>
      <c r="R779">
        <f>IF($A779="","",IFERROR(INDEX('[AQ_2021.xlsx]原始数据'!$E:$E,MATCH($A779,'[AQ_2021.xlsx]原始数据'!$A:$A,0)),""))</f>
        <v/>
      </c>
      <c r="S779">
        <f>IF($A779="","",IFERROR(INDEX('[AQ_2022.xlsx]原始数据'!$E:$E,MATCH($A779,'[AQ_2022.xlsx]原始数据'!$A:$A,0)),""))</f>
        <v/>
      </c>
      <c r="T779">
        <f>IF($A779="","",IFERROR(INDEX('[AQ_2023.xlsx]原始数据'!$E:$E,MATCH($A779,'[AQ_2023.xlsx]原始数据'!$A:$A,0)),""))</f>
        <v/>
      </c>
      <c r="U779">
        <f>IF($A779="","",IFERROR(INDEX('[AQ_2024.xlsx]原始数据'!$E:$E,MATCH($A779,'[AQ_2024.xlsx]原始数据'!$A:$A,0)),""))</f>
        <v/>
      </c>
      <c r="V779">
        <f>IF($A779="","",IFERROR(INDEX('[AQ_2020.xlsx]原始数据'!$F:$F,MATCH($A779,'[AQ_2020.xlsx]原始数据'!$A:$A,0)),""))</f>
        <v/>
      </c>
      <c r="W779">
        <f>IF($A779="","",IFERROR(INDEX('[AQ_2021.xlsx]原始数据'!$F:$F,MATCH($A779,'[AQ_2021.xlsx]原始数据'!$A:$A,0)),""))</f>
        <v/>
      </c>
      <c r="X779">
        <f>IF($A779="","",IFERROR(INDEX('[AQ_2022.xlsx]原始数据'!$F:$F,MATCH($A779,'[AQ_2022.xlsx]原始数据'!$A:$A,0)),""))</f>
        <v/>
      </c>
      <c r="Y779">
        <f>IF($A779="","",IFERROR(INDEX('[AQ_2023.xlsx]原始数据'!$F:$F,MATCH($A779,'[AQ_2023.xlsx]原始数据'!$A:$A,0)),""))</f>
        <v/>
      </c>
      <c r="Z779">
        <f>IF($A779="","",IFERROR(INDEX('[AQ_2024.xlsx]原始数据'!$F:$F,MATCH($A779,'[AQ_2024.xlsx]原始数据'!$A:$A,0)),""))</f>
        <v/>
      </c>
      <c r="AA779" s="2">
        <f>IFERROR(G779/B779,"")</f>
        <v/>
      </c>
      <c r="AB779" s="2">
        <f>IFERROR(H779/C779,"")</f>
        <v/>
      </c>
      <c r="AC779" s="2">
        <f>IFERROR(I779/D779,"")</f>
        <v/>
      </c>
      <c r="AD779" s="2">
        <f>IFERROR(J779/E779,"")</f>
        <v/>
      </c>
      <c r="AE779" s="2">
        <f>IFERROR(K779/F779,"")</f>
        <v/>
      </c>
      <c r="AF779" s="2">
        <f>IFERROR(L779/B779,"")</f>
        <v/>
      </c>
      <c r="AG779" s="2">
        <f>IFERROR(M779/C779,"")</f>
        <v/>
      </c>
      <c r="AH779" s="2">
        <f>IFERROR(N779/D779,"")</f>
        <v/>
      </c>
      <c r="AI779" s="2">
        <f>IFERROR(O779/E779,"")</f>
        <v/>
      </c>
      <c r="AJ779" s="2">
        <f>IFERROR(P779/F779,"")</f>
        <v/>
      </c>
      <c r="AK779" s="2">
        <f>IFERROR(Q779/B779,"")</f>
        <v/>
      </c>
      <c r="AL779" s="2">
        <f>IFERROR(R779/C779,"")</f>
        <v/>
      </c>
      <c r="AM779" s="2">
        <f>IFERROR(S779/D779,"")</f>
        <v/>
      </c>
      <c r="AN779" s="2">
        <f>IFERROR(T779/E779,"")</f>
        <v/>
      </c>
      <c r="AO779" s="2">
        <f>IFERROR(U779/F779,"")</f>
        <v/>
      </c>
    </row>
    <row r="780">
      <c r="B780">
        <f>IF($A780="","",IFERROR(INDEX('[AQ_2020.xlsx]原始数据'!$B:$B,MATCH($A780,'[AQ_2020.xlsx]原始数据'!$A:$A,0)),""))</f>
        <v/>
      </c>
      <c r="C780">
        <f>IF($A780="","",IFERROR(INDEX('[AQ_2021.xlsx]原始数据'!$B:$B,MATCH($A780,'[AQ_2021.xlsx]原始数据'!$A:$A,0)),""))</f>
        <v/>
      </c>
      <c r="D780">
        <f>IF($A780="","",IFERROR(INDEX('[AQ_2022.xlsx]原始数据'!$B:$B,MATCH($A780,'[AQ_2022.xlsx]原始数据'!$A:$A,0)),""))</f>
        <v/>
      </c>
      <c r="E780">
        <f>IF($A780="","",IFERROR(INDEX('[AQ_2023.xlsx]原始数据'!$B:$B,MATCH($A780,'[AQ_2023.xlsx]原始数据'!$A:$A,0)),""))</f>
        <v/>
      </c>
      <c r="F780">
        <f>IF($A780="","",IFERROR(INDEX('[AQ_2024.xlsx]原始数据'!$B:$B,MATCH($A780,'[AQ_2024.xlsx]原始数据'!$A:$A,0)),""))</f>
        <v/>
      </c>
      <c r="G780">
        <f>IF($A780="","",IFERROR(INDEX('[AQ_2020.xlsx]原始数据'!$C:$C,MATCH($A780,'[AQ_2020.xlsx]原始数据'!$A:$A,0)),""))</f>
        <v/>
      </c>
      <c r="H780">
        <f>IF($A780="","",IFERROR(INDEX('[AQ_2021.xlsx]原始数据'!$C:$C,MATCH($A780,'[AQ_2021.xlsx]原始数据'!$A:$A,0)),""))</f>
        <v/>
      </c>
      <c r="I780">
        <f>IF($A780="","",IFERROR(INDEX('[AQ_2022.xlsx]原始数据'!$C:$C,MATCH($A780,'[AQ_2022.xlsx]原始数据'!$A:$A,0)),""))</f>
        <v/>
      </c>
      <c r="J780">
        <f>IF($A780="","",IFERROR(INDEX('[AQ_2023.xlsx]原始数据'!$C:$C,MATCH($A780,'[AQ_2023.xlsx]原始数据'!$A:$A,0)),""))</f>
        <v/>
      </c>
      <c r="K780">
        <f>IF($A780="","",IFERROR(INDEX('[AQ_2024.xlsx]原始数据'!$C:$C,MATCH($A780,'[AQ_2024.xlsx]原始数据'!$A:$A,0)),""))</f>
        <v/>
      </c>
      <c r="L780">
        <f>IF($A780="","",IFERROR(INDEX('[AQ_2020.xlsx]原始数据'!$D:$D,MATCH($A780,'[AQ_2020.xlsx]原始数据'!$A:$A,0)),""))</f>
        <v/>
      </c>
      <c r="M780">
        <f>IF($A780="","",IFERROR(INDEX('[AQ_2021.xlsx]原始数据'!$D:$D,MATCH($A780,'[AQ_2021.xlsx]原始数据'!$A:$A,0)),""))</f>
        <v/>
      </c>
      <c r="N780">
        <f>IF($A780="","",IFERROR(INDEX('[AQ_2022.xlsx]原始数据'!$D:$D,MATCH($A780,'[AQ_2022.xlsx]原始数据'!$A:$A,0)),""))</f>
        <v/>
      </c>
      <c r="O780">
        <f>IF($A780="","",IFERROR(INDEX('[AQ_2023.xlsx]原始数据'!$D:$D,MATCH($A780,'[AQ_2023.xlsx]原始数据'!$A:$A,0)),""))</f>
        <v/>
      </c>
      <c r="P780">
        <f>IF($A780="","",IFERROR(INDEX('[AQ_2024.xlsx]原始数据'!$D:$D,MATCH($A780,'[AQ_2024.xlsx]原始数据'!$A:$A,0)),""))</f>
        <v/>
      </c>
      <c r="Q780">
        <f>IF($A780="","",IFERROR(INDEX('[AQ_2020.xlsx]原始数据'!$E:$E,MATCH($A780,'[AQ_2020.xlsx]原始数据'!$A:$A,0)),""))</f>
        <v/>
      </c>
      <c r="R780">
        <f>IF($A780="","",IFERROR(INDEX('[AQ_2021.xlsx]原始数据'!$E:$E,MATCH($A780,'[AQ_2021.xlsx]原始数据'!$A:$A,0)),""))</f>
        <v/>
      </c>
      <c r="S780">
        <f>IF($A780="","",IFERROR(INDEX('[AQ_2022.xlsx]原始数据'!$E:$E,MATCH($A780,'[AQ_2022.xlsx]原始数据'!$A:$A,0)),""))</f>
        <v/>
      </c>
      <c r="T780">
        <f>IF($A780="","",IFERROR(INDEX('[AQ_2023.xlsx]原始数据'!$E:$E,MATCH($A780,'[AQ_2023.xlsx]原始数据'!$A:$A,0)),""))</f>
        <v/>
      </c>
      <c r="U780">
        <f>IF($A780="","",IFERROR(INDEX('[AQ_2024.xlsx]原始数据'!$E:$E,MATCH($A780,'[AQ_2024.xlsx]原始数据'!$A:$A,0)),""))</f>
        <v/>
      </c>
      <c r="V780">
        <f>IF($A780="","",IFERROR(INDEX('[AQ_2020.xlsx]原始数据'!$F:$F,MATCH($A780,'[AQ_2020.xlsx]原始数据'!$A:$A,0)),""))</f>
        <v/>
      </c>
      <c r="W780">
        <f>IF($A780="","",IFERROR(INDEX('[AQ_2021.xlsx]原始数据'!$F:$F,MATCH($A780,'[AQ_2021.xlsx]原始数据'!$A:$A,0)),""))</f>
        <v/>
      </c>
      <c r="X780">
        <f>IF($A780="","",IFERROR(INDEX('[AQ_2022.xlsx]原始数据'!$F:$F,MATCH($A780,'[AQ_2022.xlsx]原始数据'!$A:$A,0)),""))</f>
        <v/>
      </c>
      <c r="Y780">
        <f>IF($A780="","",IFERROR(INDEX('[AQ_2023.xlsx]原始数据'!$F:$F,MATCH($A780,'[AQ_2023.xlsx]原始数据'!$A:$A,0)),""))</f>
        <v/>
      </c>
      <c r="Z780">
        <f>IF($A780="","",IFERROR(INDEX('[AQ_2024.xlsx]原始数据'!$F:$F,MATCH($A780,'[AQ_2024.xlsx]原始数据'!$A:$A,0)),""))</f>
        <v/>
      </c>
      <c r="AA780" s="2">
        <f>IFERROR(G780/B780,"")</f>
        <v/>
      </c>
      <c r="AB780" s="2">
        <f>IFERROR(H780/C780,"")</f>
        <v/>
      </c>
      <c r="AC780" s="2">
        <f>IFERROR(I780/D780,"")</f>
        <v/>
      </c>
      <c r="AD780" s="2">
        <f>IFERROR(J780/E780,"")</f>
        <v/>
      </c>
      <c r="AE780" s="2">
        <f>IFERROR(K780/F780,"")</f>
        <v/>
      </c>
      <c r="AF780" s="2">
        <f>IFERROR(L780/B780,"")</f>
        <v/>
      </c>
      <c r="AG780" s="2">
        <f>IFERROR(M780/C780,"")</f>
        <v/>
      </c>
      <c r="AH780" s="2">
        <f>IFERROR(N780/D780,"")</f>
        <v/>
      </c>
      <c r="AI780" s="2">
        <f>IFERROR(O780/E780,"")</f>
        <v/>
      </c>
      <c r="AJ780" s="2">
        <f>IFERROR(P780/F780,"")</f>
        <v/>
      </c>
      <c r="AK780" s="2">
        <f>IFERROR(Q780/B780,"")</f>
        <v/>
      </c>
      <c r="AL780" s="2">
        <f>IFERROR(R780/C780,"")</f>
        <v/>
      </c>
      <c r="AM780" s="2">
        <f>IFERROR(S780/D780,"")</f>
        <v/>
      </c>
      <c r="AN780" s="2">
        <f>IFERROR(T780/E780,"")</f>
        <v/>
      </c>
      <c r="AO780" s="2">
        <f>IFERROR(U780/F780,"")</f>
        <v/>
      </c>
    </row>
    <row r="781">
      <c r="B781">
        <f>IF($A781="","",IFERROR(INDEX('[AQ_2020.xlsx]原始数据'!$B:$B,MATCH($A781,'[AQ_2020.xlsx]原始数据'!$A:$A,0)),""))</f>
        <v/>
      </c>
      <c r="C781">
        <f>IF($A781="","",IFERROR(INDEX('[AQ_2021.xlsx]原始数据'!$B:$B,MATCH($A781,'[AQ_2021.xlsx]原始数据'!$A:$A,0)),""))</f>
        <v/>
      </c>
      <c r="D781">
        <f>IF($A781="","",IFERROR(INDEX('[AQ_2022.xlsx]原始数据'!$B:$B,MATCH($A781,'[AQ_2022.xlsx]原始数据'!$A:$A,0)),""))</f>
        <v/>
      </c>
      <c r="E781">
        <f>IF($A781="","",IFERROR(INDEX('[AQ_2023.xlsx]原始数据'!$B:$B,MATCH($A781,'[AQ_2023.xlsx]原始数据'!$A:$A,0)),""))</f>
        <v/>
      </c>
      <c r="F781">
        <f>IF($A781="","",IFERROR(INDEX('[AQ_2024.xlsx]原始数据'!$B:$B,MATCH($A781,'[AQ_2024.xlsx]原始数据'!$A:$A,0)),""))</f>
        <v/>
      </c>
      <c r="G781">
        <f>IF($A781="","",IFERROR(INDEX('[AQ_2020.xlsx]原始数据'!$C:$C,MATCH($A781,'[AQ_2020.xlsx]原始数据'!$A:$A,0)),""))</f>
        <v/>
      </c>
      <c r="H781">
        <f>IF($A781="","",IFERROR(INDEX('[AQ_2021.xlsx]原始数据'!$C:$C,MATCH($A781,'[AQ_2021.xlsx]原始数据'!$A:$A,0)),""))</f>
        <v/>
      </c>
      <c r="I781">
        <f>IF($A781="","",IFERROR(INDEX('[AQ_2022.xlsx]原始数据'!$C:$C,MATCH($A781,'[AQ_2022.xlsx]原始数据'!$A:$A,0)),""))</f>
        <v/>
      </c>
      <c r="J781">
        <f>IF($A781="","",IFERROR(INDEX('[AQ_2023.xlsx]原始数据'!$C:$C,MATCH($A781,'[AQ_2023.xlsx]原始数据'!$A:$A,0)),""))</f>
        <v/>
      </c>
      <c r="K781">
        <f>IF($A781="","",IFERROR(INDEX('[AQ_2024.xlsx]原始数据'!$C:$C,MATCH($A781,'[AQ_2024.xlsx]原始数据'!$A:$A,0)),""))</f>
        <v/>
      </c>
      <c r="L781">
        <f>IF($A781="","",IFERROR(INDEX('[AQ_2020.xlsx]原始数据'!$D:$D,MATCH($A781,'[AQ_2020.xlsx]原始数据'!$A:$A,0)),""))</f>
        <v/>
      </c>
      <c r="M781">
        <f>IF($A781="","",IFERROR(INDEX('[AQ_2021.xlsx]原始数据'!$D:$D,MATCH($A781,'[AQ_2021.xlsx]原始数据'!$A:$A,0)),""))</f>
        <v/>
      </c>
      <c r="N781">
        <f>IF($A781="","",IFERROR(INDEX('[AQ_2022.xlsx]原始数据'!$D:$D,MATCH($A781,'[AQ_2022.xlsx]原始数据'!$A:$A,0)),""))</f>
        <v/>
      </c>
      <c r="O781">
        <f>IF($A781="","",IFERROR(INDEX('[AQ_2023.xlsx]原始数据'!$D:$D,MATCH($A781,'[AQ_2023.xlsx]原始数据'!$A:$A,0)),""))</f>
        <v/>
      </c>
      <c r="P781">
        <f>IF($A781="","",IFERROR(INDEX('[AQ_2024.xlsx]原始数据'!$D:$D,MATCH($A781,'[AQ_2024.xlsx]原始数据'!$A:$A,0)),""))</f>
        <v/>
      </c>
      <c r="Q781">
        <f>IF($A781="","",IFERROR(INDEX('[AQ_2020.xlsx]原始数据'!$E:$E,MATCH($A781,'[AQ_2020.xlsx]原始数据'!$A:$A,0)),""))</f>
        <v/>
      </c>
      <c r="R781">
        <f>IF($A781="","",IFERROR(INDEX('[AQ_2021.xlsx]原始数据'!$E:$E,MATCH($A781,'[AQ_2021.xlsx]原始数据'!$A:$A,0)),""))</f>
        <v/>
      </c>
      <c r="S781">
        <f>IF($A781="","",IFERROR(INDEX('[AQ_2022.xlsx]原始数据'!$E:$E,MATCH($A781,'[AQ_2022.xlsx]原始数据'!$A:$A,0)),""))</f>
        <v/>
      </c>
      <c r="T781">
        <f>IF($A781="","",IFERROR(INDEX('[AQ_2023.xlsx]原始数据'!$E:$E,MATCH($A781,'[AQ_2023.xlsx]原始数据'!$A:$A,0)),""))</f>
        <v/>
      </c>
      <c r="U781">
        <f>IF($A781="","",IFERROR(INDEX('[AQ_2024.xlsx]原始数据'!$E:$E,MATCH($A781,'[AQ_2024.xlsx]原始数据'!$A:$A,0)),""))</f>
        <v/>
      </c>
      <c r="V781">
        <f>IF($A781="","",IFERROR(INDEX('[AQ_2020.xlsx]原始数据'!$F:$F,MATCH($A781,'[AQ_2020.xlsx]原始数据'!$A:$A,0)),""))</f>
        <v/>
      </c>
      <c r="W781">
        <f>IF($A781="","",IFERROR(INDEX('[AQ_2021.xlsx]原始数据'!$F:$F,MATCH($A781,'[AQ_2021.xlsx]原始数据'!$A:$A,0)),""))</f>
        <v/>
      </c>
      <c r="X781">
        <f>IF($A781="","",IFERROR(INDEX('[AQ_2022.xlsx]原始数据'!$F:$F,MATCH($A781,'[AQ_2022.xlsx]原始数据'!$A:$A,0)),""))</f>
        <v/>
      </c>
      <c r="Y781">
        <f>IF($A781="","",IFERROR(INDEX('[AQ_2023.xlsx]原始数据'!$F:$F,MATCH($A781,'[AQ_2023.xlsx]原始数据'!$A:$A,0)),""))</f>
        <v/>
      </c>
      <c r="Z781">
        <f>IF($A781="","",IFERROR(INDEX('[AQ_2024.xlsx]原始数据'!$F:$F,MATCH($A781,'[AQ_2024.xlsx]原始数据'!$A:$A,0)),""))</f>
        <v/>
      </c>
      <c r="AA781" s="2">
        <f>IFERROR(G781/B781,"")</f>
        <v/>
      </c>
      <c r="AB781" s="2">
        <f>IFERROR(H781/C781,"")</f>
        <v/>
      </c>
      <c r="AC781" s="2">
        <f>IFERROR(I781/D781,"")</f>
        <v/>
      </c>
      <c r="AD781" s="2">
        <f>IFERROR(J781/E781,"")</f>
        <v/>
      </c>
      <c r="AE781" s="2">
        <f>IFERROR(K781/F781,"")</f>
        <v/>
      </c>
      <c r="AF781" s="2">
        <f>IFERROR(L781/B781,"")</f>
        <v/>
      </c>
      <c r="AG781" s="2">
        <f>IFERROR(M781/C781,"")</f>
        <v/>
      </c>
      <c r="AH781" s="2">
        <f>IFERROR(N781/D781,"")</f>
        <v/>
      </c>
      <c r="AI781" s="2">
        <f>IFERROR(O781/E781,"")</f>
        <v/>
      </c>
      <c r="AJ781" s="2">
        <f>IFERROR(P781/F781,"")</f>
        <v/>
      </c>
      <c r="AK781" s="2">
        <f>IFERROR(Q781/B781,"")</f>
        <v/>
      </c>
      <c r="AL781" s="2">
        <f>IFERROR(R781/C781,"")</f>
        <v/>
      </c>
      <c r="AM781" s="2">
        <f>IFERROR(S781/D781,"")</f>
        <v/>
      </c>
      <c r="AN781" s="2">
        <f>IFERROR(T781/E781,"")</f>
        <v/>
      </c>
      <c r="AO781" s="2">
        <f>IFERROR(U781/F781,"")</f>
        <v/>
      </c>
    </row>
    <row r="782">
      <c r="B782">
        <f>IF($A782="","",IFERROR(INDEX('[AQ_2020.xlsx]原始数据'!$B:$B,MATCH($A782,'[AQ_2020.xlsx]原始数据'!$A:$A,0)),""))</f>
        <v/>
      </c>
      <c r="C782">
        <f>IF($A782="","",IFERROR(INDEX('[AQ_2021.xlsx]原始数据'!$B:$B,MATCH($A782,'[AQ_2021.xlsx]原始数据'!$A:$A,0)),""))</f>
        <v/>
      </c>
      <c r="D782">
        <f>IF($A782="","",IFERROR(INDEX('[AQ_2022.xlsx]原始数据'!$B:$B,MATCH($A782,'[AQ_2022.xlsx]原始数据'!$A:$A,0)),""))</f>
        <v/>
      </c>
      <c r="E782">
        <f>IF($A782="","",IFERROR(INDEX('[AQ_2023.xlsx]原始数据'!$B:$B,MATCH($A782,'[AQ_2023.xlsx]原始数据'!$A:$A,0)),""))</f>
        <v/>
      </c>
      <c r="F782">
        <f>IF($A782="","",IFERROR(INDEX('[AQ_2024.xlsx]原始数据'!$B:$B,MATCH($A782,'[AQ_2024.xlsx]原始数据'!$A:$A,0)),""))</f>
        <v/>
      </c>
      <c r="G782">
        <f>IF($A782="","",IFERROR(INDEX('[AQ_2020.xlsx]原始数据'!$C:$C,MATCH($A782,'[AQ_2020.xlsx]原始数据'!$A:$A,0)),""))</f>
        <v/>
      </c>
      <c r="H782">
        <f>IF($A782="","",IFERROR(INDEX('[AQ_2021.xlsx]原始数据'!$C:$C,MATCH($A782,'[AQ_2021.xlsx]原始数据'!$A:$A,0)),""))</f>
        <v/>
      </c>
      <c r="I782">
        <f>IF($A782="","",IFERROR(INDEX('[AQ_2022.xlsx]原始数据'!$C:$C,MATCH($A782,'[AQ_2022.xlsx]原始数据'!$A:$A,0)),""))</f>
        <v/>
      </c>
      <c r="J782">
        <f>IF($A782="","",IFERROR(INDEX('[AQ_2023.xlsx]原始数据'!$C:$C,MATCH($A782,'[AQ_2023.xlsx]原始数据'!$A:$A,0)),""))</f>
        <v/>
      </c>
      <c r="K782">
        <f>IF($A782="","",IFERROR(INDEX('[AQ_2024.xlsx]原始数据'!$C:$C,MATCH($A782,'[AQ_2024.xlsx]原始数据'!$A:$A,0)),""))</f>
        <v/>
      </c>
      <c r="L782">
        <f>IF($A782="","",IFERROR(INDEX('[AQ_2020.xlsx]原始数据'!$D:$D,MATCH($A782,'[AQ_2020.xlsx]原始数据'!$A:$A,0)),""))</f>
        <v/>
      </c>
      <c r="M782">
        <f>IF($A782="","",IFERROR(INDEX('[AQ_2021.xlsx]原始数据'!$D:$D,MATCH($A782,'[AQ_2021.xlsx]原始数据'!$A:$A,0)),""))</f>
        <v/>
      </c>
      <c r="N782">
        <f>IF($A782="","",IFERROR(INDEX('[AQ_2022.xlsx]原始数据'!$D:$D,MATCH($A782,'[AQ_2022.xlsx]原始数据'!$A:$A,0)),""))</f>
        <v/>
      </c>
      <c r="O782">
        <f>IF($A782="","",IFERROR(INDEX('[AQ_2023.xlsx]原始数据'!$D:$D,MATCH($A782,'[AQ_2023.xlsx]原始数据'!$A:$A,0)),""))</f>
        <v/>
      </c>
      <c r="P782">
        <f>IF($A782="","",IFERROR(INDEX('[AQ_2024.xlsx]原始数据'!$D:$D,MATCH($A782,'[AQ_2024.xlsx]原始数据'!$A:$A,0)),""))</f>
        <v/>
      </c>
      <c r="Q782">
        <f>IF($A782="","",IFERROR(INDEX('[AQ_2020.xlsx]原始数据'!$E:$E,MATCH($A782,'[AQ_2020.xlsx]原始数据'!$A:$A,0)),""))</f>
        <v/>
      </c>
      <c r="R782">
        <f>IF($A782="","",IFERROR(INDEX('[AQ_2021.xlsx]原始数据'!$E:$E,MATCH($A782,'[AQ_2021.xlsx]原始数据'!$A:$A,0)),""))</f>
        <v/>
      </c>
      <c r="S782">
        <f>IF($A782="","",IFERROR(INDEX('[AQ_2022.xlsx]原始数据'!$E:$E,MATCH($A782,'[AQ_2022.xlsx]原始数据'!$A:$A,0)),""))</f>
        <v/>
      </c>
      <c r="T782">
        <f>IF($A782="","",IFERROR(INDEX('[AQ_2023.xlsx]原始数据'!$E:$E,MATCH($A782,'[AQ_2023.xlsx]原始数据'!$A:$A,0)),""))</f>
        <v/>
      </c>
      <c r="U782">
        <f>IF($A782="","",IFERROR(INDEX('[AQ_2024.xlsx]原始数据'!$E:$E,MATCH($A782,'[AQ_2024.xlsx]原始数据'!$A:$A,0)),""))</f>
        <v/>
      </c>
      <c r="V782">
        <f>IF($A782="","",IFERROR(INDEX('[AQ_2020.xlsx]原始数据'!$F:$F,MATCH($A782,'[AQ_2020.xlsx]原始数据'!$A:$A,0)),""))</f>
        <v/>
      </c>
      <c r="W782">
        <f>IF($A782="","",IFERROR(INDEX('[AQ_2021.xlsx]原始数据'!$F:$F,MATCH($A782,'[AQ_2021.xlsx]原始数据'!$A:$A,0)),""))</f>
        <v/>
      </c>
      <c r="X782">
        <f>IF($A782="","",IFERROR(INDEX('[AQ_2022.xlsx]原始数据'!$F:$F,MATCH($A782,'[AQ_2022.xlsx]原始数据'!$A:$A,0)),""))</f>
        <v/>
      </c>
      <c r="Y782">
        <f>IF($A782="","",IFERROR(INDEX('[AQ_2023.xlsx]原始数据'!$F:$F,MATCH($A782,'[AQ_2023.xlsx]原始数据'!$A:$A,0)),""))</f>
        <v/>
      </c>
      <c r="Z782">
        <f>IF($A782="","",IFERROR(INDEX('[AQ_2024.xlsx]原始数据'!$F:$F,MATCH($A782,'[AQ_2024.xlsx]原始数据'!$A:$A,0)),""))</f>
        <v/>
      </c>
      <c r="AA782" s="2">
        <f>IFERROR(G782/B782,"")</f>
        <v/>
      </c>
      <c r="AB782" s="2">
        <f>IFERROR(H782/C782,"")</f>
        <v/>
      </c>
      <c r="AC782" s="2">
        <f>IFERROR(I782/D782,"")</f>
        <v/>
      </c>
      <c r="AD782" s="2">
        <f>IFERROR(J782/E782,"")</f>
        <v/>
      </c>
      <c r="AE782" s="2">
        <f>IFERROR(K782/F782,"")</f>
        <v/>
      </c>
      <c r="AF782" s="2">
        <f>IFERROR(L782/B782,"")</f>
        <v/>
      </c>
      <c r="AG782" s="2">
        <f>IFERROR(M782/C782,"")</f>
        <v/>
      </c>
      <c r="AH782" s="2">
        <f>IFERROR(N782/D782,"")</f>
        <v/>
      </c>
      <c r="AI782" s="2">
        <f>IFERROR(O782/E782,"")</f>
        <v/>
      </c>
      <c r="AJ782" s="2">
        <f>IFERROR(P782/F782,"")</f>
        <v/>
      </c>
      <c r="AK782" s="2">
        <f>IFERROR(Q782/B782,"")</f>
        <v/>
      </c>
      <c r="AL782" s="2">
        <f>IFERROR(R782/C782,"")</f>
        <v/>
      </c>
      <c r="AM782" s="2">
        <f>IFERROR(S782/D782,"")</f>
        <v/>
      </c>
      <c r="AN782" s="2">
        <f>IFERROR(T782/E782,"")</f>
        <v/>
      </c>
      <c r="AO782" s="2">
        <f>IFERROR(U782/F782,"")</f>
        <v/>
      </c>
    </row>
    <row r="783">
      <c r="B783">
        <f>IF($A783="","",IFERROR(INDEX('[AQ_2020.xlsx]原始数据'!$B:$B,MATCH($A783,'[AQ_2020.xlsx]原始数据'!$A:$A,0)),""))</f>
        <v/>
      </c>
      <c r="C783">
        <f>IF($A783="","",IFERROR(INDEX('[AQ_2021.xlsx]原始数据'!$B:$B,MATCH($A783,'[AQ_2021.xlsx]原始数据'!$A:$A,0)),""))</f>
        <v/>
      </c>
      <c r="D783">
        <f>IF($A783="","",IFERROR(INDEX('[AQ_2022.xlsx]原始数据'!$B:$B,MATCH($A783,'[AQ_2022.xlsx]原始数据'!$A:$A,0)),""))</f>
        <v/>
      </c>
      <c r="E783">
        <f>IF($A783="","",IFERROR(INDEX('[AQ_2023.xlsx]原始数据'!$B:$B,MATCH($A783,'[AQ_2023.xlsx]原始数据'!$A:$A,0)),""))</f>
        <v/>
      </c>
      <c r="F783">
        <f>IF($A783="","",IFERROR(INDEX('[AQ_2024.xlsx]原始数据'!$B:$B,MATCH($A783,'[AQ_2024.xlsx]原始数据'!$A:$A,0)),""))</f>
        <v/>
      </c>
      <c r="G783">
        <f>IF($A783="","",IFERROR(INDEX('[AQ_2020.xlsx]原始数据'!$C:$C,MATCH($A783,'[AQ_2020.xlsx]原始数据'!$A:$A,0)),""))</f>
        <v/>
      </c>
      <c r="H783">
        <f>IF($A783="","",IFERROR(INDEX('[AQ_2021.xlsx]原始数据'!$C:$C,MATCH($A783,'[AQ_2021.xlsx]原始数据'!$A:$A,0)),""))</f>
        <v/>
      </c>
      <c r="I783">
        <f>IF($A783="","",IFERROR(INDEX('[AQ_2022.xlsx]原始数据'!$C:$C,MATCH($A783,'[AQ_2022.xlsx]原始数据'!$A:$A,0)),""))</f>
        <v/>
      </c>
      <c r="J783">
        <f>IF($A783="","",IFERROR(INDEX('[AQ_2023.xlsx]原始数据'!$C:$C,MATCH($A783,'[AQ_2023.xlsx]原始数据'!$A:$A,0)),""))</f>
        <v/>
      </c>
      <c r="K783">
        <f>IF($A783="","",IFERROR(INDEX('[AQ_2024.xlsx]原始数据'!$C:$C,MATCH($A783,'[AQ_2024.xlsx]原始数据'!$A:$A,0)),""))</f>
        <v/>
      </c>
      <c r="L783">
        <f>IF($A783="","",IFERROR(INDEX('[AQ_2020.xlsx]原始数据'!$D:$D,MATCH($A783,'[AQ_2020.xlsx]原始数据'!$A:$A,0)),""))</f>
        <v/>
      </c>
      <c r="M783">
        <f>IF($A783="","",IFERROR(INDEX('[AQ_2021.xlsx]原始数据'!$D:$D,MATCH($A783,'[AQ_2021.xlsx]原始数据'!$A:$A,0)),""))</f>
        <v/>
      </c>
      <c r="N783">
        <f>IF($A783="","",IFERROR(INDEX('[AQ_2022.xlsx]原始数据'!$D:$D,MATCH($A783,'[AQ_2022.xlsx]原始数据'!$A:$A,0)),""))</f>
        <v/>
      </c>
      <c r="O783">
        <f>IF($A783="","",IFERROR(INDEX('[AQ_2023.xlsx]原始数据'!$D:$D,MATCH($A783,'[AQ_2023.xlsx]原始数据'!$A:$A,0)),""))</f>
        <v/>
      </c>
      <c r="P783">
        <f>IF($A783="","",IFERROR(INDEX('[AQ_2024.xlsx]原始数据'!$D:$D,MATCH($A783,'[AQ_2024.xlsx]原始数据'!$A:$A,0)),""))</f>
        <v/>
      </c>
      <c r="Q783">
        <f>IF($A783="","",IFERROR(INDEX('[AQ_2020.xlsx]原始数据'!$E:$E,MATCH($A783,'[AQ_2020.xlsx]原始数据'!$A:$A,0)),""))</f>
        <v/>
      </c>
      <c r="R783">
        <f>IF($A783="","",IFERROR(INDEX('[AQ_2021.xlsx]原始数据'!$E:$E,MATCH($A783,'[AQ_2021.xlsx]原始数据'!$A:$A,0)),""))</f>
        <v/>
      </c>
      <c r="S783">
        <f>IF($A783="","",IFERROR(INDEX('[AQ_2022.xlsx]原始数据'!$E:$E,MATCH($A783,'[AQ_2022.xlsx]原始数据'!$A:$A,0)),""))</f>
        <v/>
      </c>
      <c r="T783">
        <f>IF($A783="","",IFERROR(INDEX('[AQ_2023.xlsx]原始数据'!$E:$E,MATCH($A783,'[AQ_2023.xlsx]原始数据'!$A:$A,0)),""))</f>
        <v/>
      </c>
      <c r="U783">
        <f>IF($A783="","",IFERROR(INDEX('[AQ_2024.xlsx]原始数据'!$E:$E,MATCH($A783,'[AQ_2024.xlsx]原始数据'!$A:$A,0)),""))</f>
        <v/>
      </c>
      <c r="V783">
        <f>IF($A783="","",IFERROR(INDEX('[AQ_2020.xlsx]原始数据'!$F:$F,MATCH($A783,'[AQ_2020.xlsx]原始数据'!$A:$A,0)),""))</f>
        <v/>
      </c>
      <c r="W783">
        <f>IF($A783="","",IFERROR(INDEX('[AQ_2021.xlsx]原始数据'!$F:$F,MATCH($A783,'[AQ_2021.xlsx]原始数据'!$A:$A,0)),""))</f>
        <v/>
      </c>
      <c r="X783">
        <f>IF($A783="","",IFERROR(INDEX('[AQ_2022.xlsx]原始数据'!$F:$F,MATCH($A783,'[AQ_2022.xlsx]原始数据'!$A:$A,0)),""))</f>
        <v/>
      </c>
      <c r="Y783">
        <f>IF($A783="","",IFERROR(INDEX('[AQ_2023.xlsx]原始数据'!$F:$F,MATCH($A783,'[AQ_2023.xlsx]原始数据'!$A:$A,0)),""))</f>
        <v/>
      </c>
      <c r="Z783">
        <f>IF($A783="","",IFERROR(INDEX('[AQ_2024.xlsx]原始数据'!$F:$F,MATCH($A783,'[AQ_2024.xlsx]原始数据'!$A:$A,0)),""))</f>
        <v/>
      </c>
      <c r="AA783" s="2">
        <f>IFERROR(G783/B783,"")</f>
        <v/>
      </c>
      <c r="AB783" s="2">
        <f>IFERROR(H783/C783,"")</f>
        <v/>
      </c>
      <c r="AC783" s="2">
        <f>IFERROR(I783/D783,"")</f>
        <v/>
      </c>
      <c r="AD783" s="2">
        <f>IFERROR(J783/E783,"")</f>
        <v/>
      </c>
      <c r="AE783" s="2">
        <f>IFERROR(K783/F783,"")</f>
        <v/>
      </c>
      <c r="AF783" s="2">
        <f>IFERROR(L783/B783,"")</f>
        <v/>
      </c>
      <c r="AG783" s="2">
        <f>IFERROR(M783/C783,"")</f>
        <v/>
      </c>
      <c r="AH783" s="2">
        <f>IFERROR(N783/D783,"")</f>
        <v/>
      </c>
      <c r="AI783" s="2">
        <f>IFERROR(O783/E783,"")</f>
        <v/>
      </c>
      <c r="AJ783" s="2">
        <f>IFERROR(P783/F783,"")</f>
        <v/>
      </c>
      <c r="AK783" s="2">
        <f>IFERROR(Q783/B783,"")</f>
        <v/>
      </c>
      <c r="AL783" s="2">
        <f>IFERROR(R783/C783,"")</f>
        <v/>
      </c>
      <c r="AM783" s="2">
        <f>IFERROR(S783/D783,"")</f>
        <v/>
      </c>
      <c r="AN783" s="2">
        <f>IFERROR(T783/E783,"")</f>
        <v/>
      </c>
      <c r="AO783" s="2">
        <f>IFERROR(U783/F783,"")</f>
        <v/>
      </c>
    </row>
    <row r="784">
      <c r="B784">
        <f>IF($A784="","",IFERROR(INDEX('[AQ_2020.xlsx]原始数据'!$B:$B,MATCH($A784,'[AQ_2020.xlsx]原始数据'!$A:$A,0)),""))</f>
        <v/>
      </c>
      <c r="C784">
        <f>IF($A784="","",IFERROR(INDEX('[AQ_2021.xlsx]原始数据'!$B:$B,MATCH($A784,'[AQ_2021.xlsx]原始数据'!$A:$A,0)),""))</f>
        <v/>
      </c>
      <c r="D784">
        <f>IF($A784="","",IFERROR(INDEX('[AQ_2022.xlsx]原始数据'!$B:$B,MATCH($A784,'[AQ_2022.xlsx]原始数据'!$A:$A,0)),""))</f>
        <v/>
      </c>
      <c r="E784">
        <f>IF($A784="","",IFERROR(INDEX('[AQ_2023.xlsx]原始数据'!$B:$B,MATCH($A784,'[AQ_2023.xlsx]原始数据'!$A:$A,0)),""))</f>
        <v/>
      </c>
      <c r="F784">
        <f>IF($A784="","",IFERROR(INDEX('[AQ_2024.xlsx]原始数据'!$B:$B,MATCH($A784,'[AQ_2024.xlsx]原始数据'!$A:$A,0)),""))</f>
        <v/>
      </c>
      <c r="G784">
        <f>IF($A784="","",IFERROR(INDEX('[AQ_2020.xlsx]原始数据'!$C:$C,MATCH($A784,'[AQ_2020.xlsx]原始数据'!$A:$A,0)),""))</f>
        <v/>
      </c>
      <c r="H784">
        <f>IF($A784="","",IFERROR(INDEX('[AQ_2021.xlsx]原始数据'!$C:$C,MATCH($A784,'[AQ_2021.xlsx]原始数据'!$A:$A,0)),""))</f>
        <v/>
      </c>
      <c r="I784">
        <f>IF($A784="","",IFERROR(INDEX('[AQ_2022.xlsx]原始数据'!$C:$C,MATCH($A784,'[AQ_2022.xlsx]原始数据'!$A:$A,0)),""))</f>
        <v/>
      </c>
      <c r="J784">
        <f>IF($A784="","",IFERROR(INDEX('[AQ_2023.xlsx]原始数据'!$C:$C,MATCH($A784,'[AQ_2023.xlsx]原始数据'!$A:$A,0)),""))</f>
        <v/>
      </c>
      <c r="K784">
        <f>IF($A784="","",IFERROR(INDEX('[AQ_2024.xlsx]原始数据'!$C:$C,MATCH($A784,'[AQ_2024.xlsx]原始数据'!$A:$A,0)),""))</f>
        <v/>
      </c>
      <c r="L784">
        <f>IF($A784="","",IFERROR(INDEX('[AQ_2020.xlsx]原始数据'!$D:$D,MATCH($A784,'[AQ_2020.xlsx]原始数据'!$A:$A,0)),""))</f>
        <v/>
      </c>
      <c r="M784">
        <f>IF($A784="","",IFERROR(INDEX('[AQ_2021.xlsx]原始数据'!$D:$D,MATCH($A784,'[AQ_2021.xlsx]原始数据'!$A:$A,0)),""))</f>
        <v/>
      </c>
      <c r="N784">
        <f>IF($A784="","",IFERROR(INDEX('[AQ_2022.xlsx]原始数据'!$D:$D,MATCH($A784,'[AQ_2022.xlsx]原始数据'!$A:$A,0)),""))</f>
        <v/>
      </c>
      <c r="O784">
        <f>IF($A784="","",IFERROR(INDEX('[AQ_2023.xlsx]原始数据'!$D:$D,MATCH($A784,'[AQ_2023.xlsx]原始数据'!$A:$A,0)),""))</f>
        <v/>
      </c>
      <c r="P784">
        <f>IF($A784="","",IFERROR(INDEX('[AQ_2024.xlsx]原始数据'!$D:$D,MATCH($A784,'[AQ_2024.xlsx]原始数据'!$A:$A,0)),""))</f>
        <v/>
      </c>
      <c r="Q784">
        <f>IF($A784="","",IFERROR(INDEX('[AQ_2020.xlsx]原始数据'!$E:$E,MATCH($A784,'[AQ_2020.xlsx]原始数据'!$A:$A,0)),""))</f>
        <v/>
      </c>
      <c r="R784">
        <f>IF($A784="","",IFERROR(INDEX('[AQ_2021.xlsx]原始数据'!$E:$E,MATCH($A784,'[AQ_2021.xlsx]原始数据'!$A:$A,0)),""))</f>
        <v/>
      </c>
      <c r="S784">
        <f>IF($A784="","",IFERROR(INDEX('[AQ_2022.xlsx]原始数据'!$E:$E,MATCH($A784,'[AQ_2022.xlsx]原始数据'!$A:$A,0)),""))</f>
        <v/>
      </c>
      <c r="T784">
        <f>IF($A784="","",IFERROR(INDEX('[AQ_2023.xlsx]原始数据'!$E:$E,MATCH($A784,'[AQ_2023.xlsx]原始数据'!$A:$A,0)),""))</f>
        <v/>
      </c>
      <c r="U784">
        <f>IF($A784="","",IFERROR(INDEX('[AQ_2024.xlsx]原始数据'!$E:$E,MATCH($A784,'[AQ_2024.xlsx]原始数据'!$A:$A,0)),""))</f>
        <v/>
      </c>
      <c r="V784">
        <f>IF($A784="","",IFERROR(INDEX('[AQ_2020.xlsx]原始数据'!$F:$F,MATCH($A784,'[AQ_2020.xlsx]原始数据'!$A:$A,0)),""))</f>
        <v/>
      </c>
      <c r="W784">
        <f>IF($A784="","",IFERROR(INDEX('[AQ_2021.xlsx]原始数据'!$F:$F,MATCH($A784,'[AQ_2021.xlsx]原始数据'!$A:$A,0)),""))</f>
        <v/>
      </c>
      <c r="X784">
        <f>IF($A784="","",IFERROR(INDEX('[AQ_2022.xlsx]原始数据'!$F:$F,MATCH($A784,'[AQ_2022.xlsx]原始数据'!$A:$A,0)),""))</f>
        <v/>
      </c>
      <c r="Y784">
        <f>IF($A784="","",IFERROR(INDEX('[AQ_2023.xlsx]原始数据'!$F:$F,MATCH($A784,'[AQ_2023.xlsx]原始数据'!$A:$A,0)),""))</f>
        <v/>
      </c>
      <c r="Z784">
        <f>IF($A784="","",IFERROR(INDEX('[AQ_2024.xlsx]原始数据'!$F:$F,MATCH($A784,'[AQ_2024.xlsx]原始数据'!$A:$A,0)),""))</f>
        <v/>
      </c>
      <c r="AA784" s="2">
        <f>IFERROR(G784/B784,"")</f>
        <v/>
      </c>
      <c r="AB784" s="2">
        <f>IFERROR(H784/C784,"")</f>
        <v/>
      </c>
      <c r="AC784" s="2">
        <f>IFERROR(I784/D784,"")</f>
        <v/>
      </c>
      <c r="AD784" s="2">
        <f>IFERROR(J784/E784,"")</f>
        <v/>
      </c>
      <c r="AE784" s="2">
        <f>IFERROR(K784/F784,"")</f>
        <v/>
      </c>
      <c r="AF784" s="2">
        <f>IFERROR(L784/B784,"")</f>
        <v/>
      </c>
      <c r="AG784" s="2">
        <f>IFERROR(M784/C784,"")</f>
        <v/>
      </c>
      <c r="AH784" s="2">
        <f>IFERROR(N784/D784,"")</f>
        <v/>
      </c>
      <c r="AI784" s="2">
        <f>IFERROR(O784/E784,"")</f>
        <v/>
      </c>
      <c r="AJ784" s="2">
        <f>IFERROR(P784/F784,"")</f>
        <v/>
      </c>
      <c r="AK784" s="2">
        <f>IFERROR(Q784/B784,"")</f>
        <v/>
      </c>
      <c r="AL784" s="2">
        <f>IFERROR(R784/C784,"")</f>
        <v/>
      </c>
      <c r="AM784" s="2">
        <f>IFERROR(S784/D784,"")</f>
        <v/>
      </c>
      <c r="AN784" s="2">
        <f>IFERROR(T784/E784,"")</f>
        <v/>
      </c>
      <c r="AO784" s="2">
        <f>IFERROR(U784/F784,"")</f>
        <v/>
      </c>
    </row>
    <row r="785">
      <c r="B785">
        <f>IF($A785="","",IFERROR(INDEX('[AQ_2020.xlsx]原始数据'!$B:$B,MATCH($A785,'[AQ_2020.xlsx]原始数据'!$A:$A,0)),""))</f>
        <v/>
      </c>
      <c r="C785">
        <f>IF($A785="","",IFERROR(INDEX('[AQ_2021.xlsx]原始数据'!$B:$B,MATCH($A785,'[AQ_2021.xlsx]原始数据'!$A:$A,0)),""))</f>
        <v/>
      </c>
      <c r="D785">
        <f>IF($A785="","",IFERROR(INDEX('[AQ_2022.xlsx]原始数据'!$B:$B,MATCH($A785,'[AQ_2022.xlsx]原始数据'!$A:$A,0)),""))</f>
        <v/>
      </c>
      <c r="E785">
        <f>IF($A785="","",IFERROR(INDEX('[AQ_2023.xlsx]原始数据'!$B:$B,MATCH($A785,'[AQ_2023.xlsx]原始数据'!$A:$A,0)),""))</f>
        <v/>
      </c>
      <c r="F785">
        <f>IF($A785="","",IFERROR(INDEX('[AQ_2024.xlsx]原始数据'!$B:$B,MATCH($A785,'[AQ_2024.xlsx]原始数据'!$A:$A,0)),""))</f>
        <v/>
      </c>
      <c r="G785">
        <f>IF($A785="","",IFERROR(INDEX('[AQ_2020.xlsx]原始数据'!$C:$C,MATCH($A785,'[AQ_2020.xlsx]原始数据'!$A:$A,0)),""))</f>
        <v/>
      </c>
      <c r="H785">
        <f>IF($A785="","",IFERROR(INDEX('[AQ_2021.xlsx]原始数据'!$C:$C,MATCH($A785,'[AQ_2021.xlsx]原始数据'!$A:$A,0)),""))</f>
        <v/>
      </c>
      <c r="I785">
        <f>IF($A785="","",IFERROR(INDEX('[AQ_2022.xlsx]原始数据'!$C:$C,MATCH($A785,'[AQ_2022.xlsx]原始数据'!$A:$A,0)),""))</f>
        <v/>
      </c>
      <c r="J785">
        <f>IF($A785="","",IFERROR(INDEX('[AQ_2023.xlsx]原始数据'!$C:$C,MATCH($A785,'[AQ_2023.xlsx]原始数据'!$A:$A,0)),""))</f>
        <v/>
      </c>
      <c r="K785">
        <f>IF($A785="","",IFERROR(INDEX('[AQ_2024.xlsx]原始数据'!$C:$C,MATCH($A785,'[AQ_2024.xlsx]原始数据'!$A:$A,0)),""))</f>
        <v/>
      </c>
      <c r="L785">
        <f>IF($A785="","",IFERROR(INDEX('[AQ_2020.xlsx]原始数据'!$D:$D,MATCH($A785,'[AQ_2020.xlsx]原始数据'!$A:$A,0)),""))</f>
        <v/>
      </c>
      <c r="M785">
        <f>IF($A785="","",IFERROR(INDEX('[AQ_2021.xlsx]原始数据'!$D:$D,MATCH($A785,'[AQ_2021.xlsx]原始数据'!$A:$A,0)),""))</f>
        <v/>
      </c>
      <c r="N785">
        <f>IF($A785="","",IFERROR(INDEX('[AQ_2022.xlsx]原始数据'!$D:$D,MATCH($A785,'[AQ_2022.xlsx]原始数据'!$A:$A,0)),""))</f>
        <v/>
      </c>
      <c r="O785">
        <f>IF($A785="","",IFERROR(INDEX('[AQ_2023.xlsx]原始数据'!$D:$D,MATCH($A785,'[AQ_2023.xlsx]原始数据'!$A:$A,0)),""))</f>
        <v/>
      </c>
      <c r="P785">
        <f>IF($A785="","",IFERROR(INDEX('[AQ_2024.xlsx]原始数据'!$D:$D,MATCH($A785,'[AQ_2024.xlsx]原始数据'!$A:$A,0)),""))</f>
        <v/>
      </c>
      <c r="Q785">
        <f>IF($A785="","",IFERROR(INDEX('[AQ_2020.xlsx]原始数据'!$E:$E,MATCH($A785,'[AQ_2020.xlsx]原始数据'!$A:$A,0)),""))</f>
        <v/>
      </c>
      <c r="R785">
        <f>IF($A785="","",IFERROR(INDEX('[AQ_2021.xlsx]原始数据'!$E:$E,MATCH($A785,'[AQ_2021.xlsx]原始数据'!$A:$A,0)),""))</f>
        <v/>
      </c>
      <c r="S785">
        <f>IF($A785="","",IFERROR(INDEX('[AQ_2022.xlsx]原始数据'!$E:$E,MATCH($A785,'[AQ_2022.xlsx]原始数据'!$A:$A,0)),""))</f>
        <v/>
      </c>
      <c r="T785">
        <f>IF($A785="","",IFERROR(INDEX('[AQ_2023.xlsx]原始数据'!$E:$E,MATCH($A785,'[AQ_2023.xlsx]原始数据'!$A:$A,0)),""))</f>
        <v/>
      </c>
      <c r="U785">
        <f>IF($A785="","",IFERROR(INDEX('[AQ_2024.xlsx]原始数据'!$E:$E,MATCH($A785,'[AQ_2024.xlsx]原始数据'!$A:$A,0)),""))</f>
        <v/>
      </c>
      <c r="V785">
        <f>IF($A785="","",IFERROR(INDEX('[AQ_2020.xlsx]原始数据'!$F:$F,MATCH($A785,'[AQ_2020.xlsx]原始数据'!$A:$A,0)),""))</f>
        <v/>
      </c>
      <c r="W785">
        <f>IF($A785="","",IFERROR(INDEX('[AQ_2021.xlsx]原始数据'!$F:$F,MATCH($A785,'[AQ_2021.xlsx]原始数据'!$A:$A,0)),""))</f>
        <v/>
      </c>
      <c r="X785">
        <f>IF($A785="","",IFERROR(INDEX('[AQ_2022.xlsx]原始数据'!$F:$F,MATCH($A785,'[AQ_2022.xlsx]原始数据'!$A:$A,0)),""))</f>
        <v/>
      </c>
      <c r="Y785">
        <f>IF($A785="","",IFERROR(INDEX('[AQ_2023.xlsx]原始数据'!$F:$F,MATCH($A785,'[AQ_2023.xlsx]原始数据'!$A:$A,0)),""))</f>
        <v/>
      </c>
      <c r="Z785">
        <f>IF($A785="","",IFERROR(INDEX('[AQ_2024.xlsx]原始数据'!$F:$F,MATCH($A785,'[AQ_2024.xlsx]原始数据'!$A:$A,0)),""))</f>
        <v/>
      </c>
      <c r="AA785" s="2">
        <f>IFERROR(G785/B785,"")</f>
        <v/>
      </c>
      <c r="AB785" s="2">
        <f>IFERROR(H785/C785,"")</f>
        <v/>
      </c>
      <c r="AC785" s="2">
        <f>IFERROR(I785/D785,"")</f>
        <v/>
      </c>
      <c r="AD785" s="2">
        <f>IFERROR(J785/E785,"")</f>
        <v/>
      </c>
      <c r="AE785" s="2">
        <f>IFERROR(K785/F785,"")</f>
        <v/>
      </c>
      <c r="AF785" s="2">
        <f>IFERROR(L785/B785,"")</f>
        <v/>
      </c>
      <c r="AG785" s="2">
        <f>IFERROR(M785/C785,"")</f>
        <v/>
      </c>
      <c r="AH785" s="2">
        <f>IFERROR(N785/D785,"")</f>
        <v/>
      </c>
      <c r="AI785" s="2">
        <f>IFERROR(O785/E785,"")</f>
        <v/>
      </c>
      <c r="AJ785" s="2">
        <f>IFERROR(P785/F785,"")</f>
        <v/>
      </c>
      <c r="AK785" s="2">
        <f>IFERROR(Q785/B785,"")</f>
        <v/>
      </c>
      <c r="AL785" s="2">
        <f>IFERROR(R785/C785,"")</f>
        <v/>
      </c>
      <c r="AM785" s="2">
        <f>IFERROR(S785/D785,"")</f>
        <v/>
      </c>
      <c r="AN785" s="2">
        <f>IFERROR(T785/E785,"")</f>
        <v/>
      </c>
      <c r="AO785" s="2">
        <f>IFERROR(U785/F785,"")</f>
        <v/>
      </c>
    </row>
    <row r="786">
      <c r="B786">
        <f>IF($A786="","",IFERROR(INDEX('[AQ_2020.xlsx]原始数据'!$B:$B,MATCH($A786,'[AQ_2020.xlsx]原始数据'!$A:$A,0)),""))</f>
        <v/>
      </c>
      <c r="C786">
        <f>IF($A786="","",IFERROR(INDEX('[AQ_2021.xlsx]原始数据'!$B:$B,MATCH($A786,'[AQ_2021.xlsx]原始数据'!$A:$A,0)),""))</f>
        <v/>
      </c>
      <c r="D786">
        <f>IF($A786="","",IFERROR(INDEX('[AQ_2022.xlsx]原始数据'!$B:$B,MATCH($A786,'[AQ_2022.xlsx]原始数据'!$A:$A,0)),""))</f>
        <v/>
      </c>
      <c r="E786">
        <f>IF($A786="","",IFERROR(INDEX('[AQ_2023.xlsx]原始数据'!$B:$B,MATCH($A786,'[AQ_2023.xlsx]原始数据'!$A:$A,0)),""))</f>
        <v/>
      </c>
      <c r="F786">
        <f>IF($A786="","",IFERROR(INDEX('[AQ_2024.xlsx]原始数据'!$B:$B,MATCH($A786,'[AQ_2024.xlsx]原始数据'!$A:$A,0)),""))</f>
        <v/>
      </c>
      <c r="G786">
        <f>IF($A786="","",IFERROR(INDEX('[AQ_2020.xlsx]原始数据'!$C:$C,MATCH($A786,'[AQ_2020.xlsx]原始数据'!$A:$A,0)),""))</f>
        <v/>
      </c>
      <c r="H786">
        <f>IF($A786="","",IFERROR(INDEX('[AQ_2021.xlsx]原始数据'!$C:$C,MATCH($A786,'[AQ_2021.xlsx]原始数据'!$A:$A,0)),""))</f>
        <v/>
      </c>
      <c r="I786">
        <f>IF($A786="","",IFERROR(INDEX('[AQ_2022.xlsx]原始数据'!$C:$C,MATCH($A786,'[AQ_2022.xlsx]原始数据'!$A:$A,0)),""))</f>
        <v/>
      </c>
      <c r="J786">
        <f>IF($A786="","",IFERROR(INDEX('[AQ_2023.xlsx]原始数据'!$C:$C,MATCH($A786,'[AQ_2023.xlsx]原始数据'!$A:$A,0)),""))</f>
        <v/>
      </c>
      <c r="K786">
        <f>IF($A786="","",IFERROR(INDEX('[AQ_2024.xlsx]原始数据'!$C:$C,MATCH($A786,'[AQ_2024.xlsx]原始数据'!$A:$A,0)),""))</f>
        <v/>
      </c>
      <c r="L786">
        <f>IF($A786="","",IFERROR(INDEX('[AQ_2020.xlsx]原始数据'!$D:$D,MATCH($A786,'[AQ_2020.xlsx]原始数据'!$A:$A,0)),""))</f>
        <v/>
      </c>
      <c r="M786">
        <f>IF($A786="","",IFERROR(INDEX('[AQ_2021.xlsx]原始数据'!$D:$D,MATCH($A786,'[AQ_2021.xlsx]原始数据'!$A:$A,0)),""))</f>
        <v/>
      </c>
      <c r="N786">
        <f>IF($A786="","",IFERROR(INDEX('[AQ_2022.xlsx]原始数据'!$D:$D,MATCH($A786,'[AQ_2022.xlsx]原始数据'!$A:$A,0)),""))</f>
        <v/>
      </c>
      <c r="O786">
        <f>IF($A786="","",IFERROR(INDEX('[AQ_2023.xlsx]原始数据'!$D:$D,MATCH($A786,'[AQ_2023.xlsx]原始数据'!$A:$A,0)),""))</f>
        <v/>
      </c>
      <c r="P786">
        <f>IF($A786="","",IFERROR(INDEX('[AQ_2024.xlsx]原始数据'!$D:$D,MATCH($A786,'[AQ_2024.xlsx]原始数据'!$A:$A,0)),""))</f>
        <v/>
      </c>
      <c r="Q786">
        <f>IF($A786="","",IFERROR(INDEX('[AQ_2020.xlsx]原始数据'!$E:$E,MATCH($A786,'[AQ_2020.xlsx]原始数据'!$A:$A,0)),""))</f>
        <v/>
      </c>
      <c r="R786">
        <f>IF($A786="","",IFERROR(INDEX('[AQ_2021.xlsx]原始数据'!$E:$E,MATCH($A786,'[AQ_2021.xlsx]原始数据'!$A:$A,0)),""))</f>
        <v/>
      </c>
      <c r="S786">
        <f>IF($A786="","",IFERROR(INDEX('[AQ_2022.xlsx]原始数据'!$E:$E,MATCH($A786,'[AQ_2022.xlsx]原始数据'!$A:$A,0)),""))</f>
        <v/>
      </c>
      <c r="T786">
        <f>IF($A786="","",IFERROR(INDEX('[AQ_2023.xlsx]原始数据'!$E:$E,MATCH($A786,'[AQ_2023.xlsx]原始数据'!$A:$A,0)),""))</f>
        <v/>
      </c>
      <c r="U786">
        <f>IF($A786="","",IFERROR(INDEX('[AQ_2024.xlsx]原始数据'!$E:$E,MATCH($A786,'[AQ_2024.xlsx]原始数据'!$A:$A,0)),""))</f>
        <v/>
      </c>
      <c r="V786">
        <f>IF($A786="","",IFERROR(INDEX('[AQ_2020.xlsx]原始数据'!$F:$F,MATCH($A786,'[AQ_2020.xlsx]原始数据'!$A:$A,0)),""))</f>
        <v/>
      </c>
      <c r="W786">
        <f>IF($A786="","",IFERROR(INDEX('[AQ_2021.xlsx]原始数据'!$F:$F,MATCH($A786,'[AQ_2021.xlsx]原始数据'!$A:$A,0)),""))</f>
        <v/>
      </c>
      <c r="X786">
        <f>IF($A786="","",IFERROR(INDEX('[AQ_2022.xlsx]原始数据'!$F:$F,MATCH($A786,'[AQ_2022.xlsx]原始数据'!$A:$A,0)),""))</f>
        <v/>
      </c>
      <c r="Y786">
        <f>IF($A786="","",IFERROR(INDEX('[AQ_2023.xlsx]原始数据'!$F:$F,MATCH($A786,'[AQ_2023.xlsx]原始数据'!$A:$A,0)),""))</f>
        <v/>
      </c>
      <c r="Z786">
        <f>IF($A786="","",IFERROR(INDEX('[AQ_2024.xlsx]原始数据'!$F:$F,MATCH($A786,'[AQ_2024.xlsx]原始数据'!$A:$A,0)),""))</f>
        <v/>
      </c>
      <c r="AA786" s="2">
        <f>IFERROR(G786/B786,"")</f>
        <v/>
      </c>
      <c r="AB786" s="2">
        <f>IFERROR(H786/C786,"")</f>
        <v/>
      </c>
      <c r="AC786" s="2">
        <f>IFERROR(I786/D786,"")</f>
        <v/>
      </c>
      <c r="AD786" s="2">
        <f>IFERROR(J786/E786,"")</f>
        <v/>
      </c>
      <c r="AE786" s="2">
        <f>IFERROR(K786/F786,"")</f>
        <v/>
      </c>
      <c r="AF786" s="2">
        <f>IFERROR(L786/B786,"")</f>
        <v/>
      </c>
      <c r="AG786" s="2">
        <f>IFERROR(M786/C786,"")</f>
        <v/>
      </c>
      <c r="AH786" s="2">
        <f>IFERROR(N786/D786,"")</f>
        <v/>
      </c>
      <c r="AI786" s="2">
        <f>IFERROR(O786/E786,"")</f>
        <v/>
      </c>
      <c r="AJ786" s="2">
        <f>IFERROR(P786/F786,"")</f>
        <v/>
      </c>
      <c r="AK786" s="2">
        <f>IFERROR(Q786/B786,"")</f>
        <v/>
      </c>
      <c r="AL786" s="2">
        <f>IFERROR(R786/C786,"")</f>
        <v/>
      </c>
      <c r="AM786" s="2">
        <f>IFERROR(S786/D786,"")</f>
        <v/>
      </c>
      <c r="AN786" s="2">
        <f>IFERROR(T786/E786,"")</f>
        <v/>
      </c>
      <c r="AO786" s="2">
        <f>IFERROR(U786/F786,"")</f>
        <v/>
      </c>
    </row>
    <row r="787">
      <c r="B787">
        <f>IF($A787="","",IFERROR(INDEX('[AQ_2020.xlsx]原始数据'!$B:$B,MATCH($A787,'[AQ_2020.xlsx]原始数据'!$A:$A,0)),""))</f>
        <v/>
      </c>
      <c r="C787">
        <f>IF($A787="","",IFERROR(INDEX('[AQ_2021.xlsx]原始数据'!$B:$B,MATCH($A787,'[AQ_2021.xlsx]原始数据'!$A:$A,0)),""))</f>
        <v/>
      </c>
      <c r="D787">
        <f>IF($A787="","",IFERROR(INDEX('[AQ_2022.xlsx]原始数据'!$B:$B,MATCH($A787,'[AQ_2022.xlsx]原始数据'!$A:$A,0)),""))</f>
        <v/>
      </c>
      <c r="E787">
        <f>IF($A787="","",IFERROR(INDEX('[AQ_2023.xlsx]原始数据'!$B:$B,MATCH($A787,'[AQ_2023.xlsx]原始数据'!$A:$A,0)),""))</f>
        <v/>
      </c>
      <c r="F787">
        <f>IF($A787="","",IFERROR(INDEX('[AQ_2024.xlsx]原始数据'!$B:$B,MATCH($A787,'[AQ_2024.xlsx]原始数据'!$A:$A,0)),""))</f>
        <v/>
      </c>
      <c r="G787">
        <f>IF($A787="","",IFERROR(INDEX('[AQ_2020.xlsx]原始数据'!$C:$C,MATCH($A787,'[AQ_2020.xlsx]原始数据'!$A:$A,0)),""))</f>
        <v/>
      </c>
      <c r="H787">
        <f>IF($A787="","",IFERROR(INDEX('[AQ_2021.xlsx]原始数据'!$C:$C,MATCH($A787,'[AQ_2021.xlsx]原始数据'!$A:$A,0)),""))</f>
        <v/>
      </c>
      <c r="I787">
        <f>IF($A787="","",IFERROR(INDEX('[AQ_2022.xlsx]原始数据'!$C:$C,MATCH($A787,'[AQ_2022.xlsx]原始数据'!$A:$A,0)),""))</f>
        <v/>
      </c>
      <c r="J787">
        <f>IF($A787="","",IFERROR(INDEX('[AQ_2023.xlsx]原始数据'!$C:$C,MATCH($A787,'[AQ_2023.xlsx]原始数据'!$A:$A,0)),""))</f>
        <v/>
      </c>
      <c r="K787">
        <f>IF($A787="","",IFERROR(INDEX('[AQ_2024.xlsx]原始数据'!$C:$C,MATCH($A787,'[AQ_2024.xlsx]原始数据'!$A:$A,0)),""))</f>
        <v/>
      </c>
      <c r="L787">
        <f>IF($A787="","",IFERROR(INDEX('[AQ_2020.xlsx]原始数据'!$D:$D,MATCH($A787,'[AQ_2020.xlsx]原始数据'!$A:$A,0)),""))</f>
        <v/>
      </c>
      <c r="M787">
        <f>IF($A787="","",IFERROR(INDEX('[AQ_2021.xlsx]原始数据'!$D:$D,MATCH($A787,'[AQ_2021.xlsx]原始数据'!$A:$A,0)),""))</f>
        <v/>
      </c>
      <c r="N787">
        <f>IF($A787="","",IFERROR(INDEX('[AQ_2022.xlsx]原始数据'!$D:$D,MATCH($A787,'[AQ_2022.xlsx]原始数据'!$A:$A,0)),""))</f>
        <v/>
      </c>
      <c r="O787">
        <f>IF($A787="","",IFERROR(INDEX('[AQ_2023.xlsx]原始数据'!$D:$D,MATCH($A787,'[AQ_2023.xlsx]原始数据'!$A:$A,0)),""))</f>
        <v/>
      </c>
      <c r="P787">
        <f>IF($A787="","",IFERROR(INDEX('[AQ_2024.xlsx]原始数据'!$D:$D,MATCH($A787,'[AQ_2024.xlsx]原始数据'!$A:$A,0)),""))</f>
        <v/>
      </c>
      <c r="Q787">
        <f>IF($A787="","",IFERROR(INDEX('[AQ_2020.xlsx]原始数据'!$E:$E,MATCH($A787,'[AQ_2020.xlsx]原始数据'!$A:$A,0)),""))</f>
        <v/>
      </c>
      <c r="R787">
        <f>IF($A787="","",IFERROR(INDEX('[AQ_2021.xlsx]原始数据'!$E:$E,MATCH($A787,'[AQ_2021.xlsx]原始数据'!$A:$A,0)),""))</f>
        <v/>
      </c>
      <c r="S787">
        <f>IF($A787="","",IFERROR(INDEX('[AQ_2022.xlsx]原始数据'!$E:$E,MATCH($A787,'[AQ_2022.xlsx]原始数据'!$A:$A,0)),""))</f>
        <v/>
      </c>
      <c r="T787">
        <f>IF($A787="","",IFERROR(INDEX('[AQ_2023.xlsx]原始数据'!$E:$E,MATCH($A787,'[AQ_2023.xlsx]原始数据'!$A:$A,0)),""))</f>
        <v/>
      </c>
      <c r="U787">
        <f>IF($A787="","",IFERROR(INDEX('[AQ_2024.xlsx]原始数据'!$E:$E,MATCH($A787,'[AQ_2024.xlsx]原始数据'!$A:$A,0)),""))</f>
        <v/>
      </c>
      <c r="V787">
        <f>IF($A787="","",IFERROR(INDEX('[AQ_2020.xlsx]原始数据'!$F:$F,MATCH($A787,'[AQ_2020.xlsx]原始数据'!$A:$A,0)),""))</f>
        <v/>
      </c>
      <c r="W787">
        <f>IF($A787="","",IFERROR(INDEX('[AQ_2021.xlsx]原始数据'!$F:$F,MATCH($A787,'[AQ_2021.xlsx]原始数据'!$A:$A,0)),""))</f>
        <v/>
      </c>
      <c r="X787">
        <f>IF($A787="","",IFERROR(INDEX('[AQ_2022.xlsx]原始数据'!$F:$F,MATCH($A787,'[AQ_2022.xlsx]原始数据'!$A:$A,0)),""))</f>
        <v/>
      </c>
      <c r="Y787">
        <f>IF($A787="","",IFERROR(INDEX('[AQ_2023.xlsx]原始数据'!$F:$F,MATCH($A787,'[AQ_2023.xlsx]原始数据'!$A:$A,0)),""))</f>
        <v/>
      </c>
      <c r="Z787">
        <f>IF($A787="","",IFERROR(INDEX('[AQ_2024.xlsx]原始数据'!$F:$F,MATCH($A787,'[AQ_2024.xlsx]原始数据'!$A:$A,0)),""))</f>
        <v/>
      </c>
      <c r="AA787" s="2">
        <f>IFERROR(G787/B787,"")</f>
        <v/>
      </c>
      <c r="AB787" s="2">
        <f>IFERROR(H787/C787,"")</f>
        <v/>
      </c>
      <c r="AC787" s="2">
        <f>IFERROR(I787/D787,"")</f>
        <v/>
      </c>
      <c r="AD787" s="2">
        <f>IFERROR(J787/E787,"")</f>
        <v/>
      </c>
      <c r="AE787" s="2">
        <f>IFERROR(K787/F787,"")</f>
        <v/>
      </c>
      <c r="AF787" s="2">
        <f>IFERROR(L787/B787,"")</f>
        <v/>
      </c>
      <c r="AG787" s="2">
        <f>IFERROR(M787/C787,"")</f>
        <v/>
      </c>
      <c r="AH787" s="2">
        <f>IFERROR(N787/D787,"")</f>
        <v/>
      </c>
      <c r="AI787" s="2">
        <f>IFERROR(O787/E787,"")</f>
        <v/>
      </c>
      <c r="AJ787" s="2">
        <f>IFERROR(P787/F787,"")</f>
        <v/>
      </c>
      <c r="AK787" s="2">
        <f>IFERROR(Q787/B787,"")</f>
        <v/>
      </c>
      <c r="AL787" s="2">
        <f>IFERROR(R787/C787,"")</f>
        <v/>
      </c>
      <c r="AM787" s="2">
        <f>IFERROR(S787/D787,"")</f>
        <v/>
      </c>
      <c r="AN787" s="2">
        <f>IFERROR(T787/E787,"")</f>
        <v/>
      </c>
      <c r="AO787" s="2">
        <f>IFERROR(U787/F787,"")</f>
        <v/>
      </c>
    </row>
    <row r="788">
      <c r="B788">
        <f>IF($A788="","",IFERROR(INDEX('[AQ_2020.xlsx]原始数据'!$B:$B,MATCH($A788,'[AQ_2020.xlsx]原始数据'!$A:$A,0)),""))</f>
        <v/>
      </c>
      <c r="C788">
        <f>IF($A788="","",IFERROR(INDEX('[AQ_2021.xlsx]原始数据'!$B:$B,MATCH($A788,'[AQ_2021.xlsx]原始数据'!$A:$A,0)),""))</f>
        <v/>
      </c>
      <c r="D788">
        <f>IF($A788="","",IFERROR(INDEX('[AQ_2022.xlsx]原始数据'!$B:$B,MATCH($A788,'[AQ_2022.xlsx]原始数据'!$A:$A,0)),""))</f>
        <v/>
      </c>
      <c r="E788">
        <f>IF($A788="","",IFERROR(INDEX('[AQ_2023.xlsx]原始数据'!$B:$B,MATCH($A788,'[AQ_2023.xlsx]原始数据'!$A:$A,0)),""))</f>
        <v/>
      </c>
      <c r="F788">
        <f>IF($A788="","",IFERROR(INDEX('[AQ_2024.xlsx]原始数据'!$B:$B,MATCH($A788,'[AQ_2024.xlsx]原始数据'!$A:$A,0)),""))</f>
        <v/>
      </c>
      <c r="G788">
        <f>IF($A788="","",IFERROR(INDEX('[AQ_2020.xlsx]原始数据'!$C:$C,MATCH($A788,'[AQ_2020.xlsx]原始数据'!$A:$A,0)),""))</f>
        <v/>
      </c>
      <c r="H788">
        <f>IF($A788="","",IFERROR(INDEX('[AQ_2021.xlsx]原始数据'!$C:$C,MATCH($A788,'[AQ_2021.xlsx]原始数据'!$A:$A,0)),""))</f>
        <v/>
      </c>
      <c r="I788">
        <f>IF($A788="","",IFERROR(INDEX('[AQ_2022.xlsx]原始数据'!$C:$C,MATCH($A788,'[AQ_2022.xlsx]原始数据'!$A:$A,0)),""))</f>
        <v/>
      </c>
      <c r="J788">
        <f>IF($A788="","",IFERROR(INDEX('[AQ_2023.xlsx]原始数据'!$C:$C,MATCH($A788,'[AQ_2023.xlsx]原始数据'!$A:$A,0)),""))</f>
        <v/>
      </c>
      <c r="K788">
        <f>IF($A788="","",IFERROR(INDEX('[AQ_2024.xlsx]原始数据'!$C:$C,MATCH($A788,'[AQ_2024.xlsx]原始数据'!$A:$A,0)),""))</f>
        <v/>
      </c>
      <c r="L788">
        <f>IF($A788="","",IFERROR(INDEX('[AQ_2020.xlsx]原始数据'!$D:$D,MATCH($A788,'[AQ_2020.xlsx]原始数据'!$A:$A,0)),""))</f>
        <v/>
      </c>
      <c r="M788">
        <f>IF($A788="","",IFERROR(INDEX('[AQ_2021.xlsx]原始数据'!$D:$D,MATCH($A788,'[AQ_2021.xlsx]原始数据'!$A:$A,0)),""))</f>
        <v/>
      </c>
      <c r="N788">
        <f>IF($A788="","",IFERROR(INDEX('[AQ_2022.xlsx]原始数据'!$D:$D,MATCH($A788,'[AQ_2022.xlsx]原始数据'!$A:$A,0)),""))</f>
        <v/>
      </c>
      <c r="O788">
        <f>IF($A788="","",IFERROR(INDEX('[AQ_2023.xlsx]原始数据'!$D:$D,MATCH($A788,'[AQ_2023.xlsx]原始数据'!$A:$A,0)),""))</f>
        <v/>
      </c>
      <c r="P788">
        <f>IF($A788="","",IFERROR(INDEX('[AQ_2024.xlsx]原始数据'!$D:$D,MATCH($A788,'[AQ_2024.xlsx]原始数据'!$A:$A,0)),""))</f>
        <v/>
      </c>
      <c r="Q788">
        <f>IF($A788="","",IFERROR(INDEX('[AQ_2020.xlsx]原始数据'!$E:$E,MATCH($A788,'[AQ_2020.xlsx]原始数据'!$A:$A,0)),""))</f>
        <v/>
      </c>
      <c r="R788">
        <f>IF($A788="","",IFERROR(INDEX('[AQ_2021.xlsx]原始数据'!$E:$E,MATCH($A788,'[AQ_2021.xlsx]原始数据'!$A:$A,0)),""))</f>
        <v/>
      </c>
      <c r="S788">
        <f>IF($A788="","",IFERROR(INDEX('[AQ_2022.xlsx]原始数据'!$E:$E,MATCH($A788,'[AQ_2022.xlsx]原始数据'!$A:$A,0)),""))</f>
        <v/>
      </c>
      <c r="T788">
        <f>IF($A788="","",IFERROR(INDEX('[AQ_2023.xlsx]原始数据'!$E:$E,MATCH($A788,'[AQ_2023.xlsx]原始数据'!$A:$A,0)),""))</f>
        <v/>
      </c>
      <c r="U788">
        <f>IF($A788="","",IFERROR(INDEX('[AQ_2024.xlsx]原始数据'!$E:$E,MATCH($A788,'[AQ_2024.xlsx]原始数据'!$A:$A,0)),""))</f>
        <v/>
      </c>
      <c r="V788">
        <f>IF($A788="","",IFERROR(INDEX('[AQ_2020.xlsx]原始数据'!$F:$F,MATCH($A788,'[AQ_2020.xlsx]原始数据'!$A:$A,0)),""))</f>
        <v/>
      </c>
      <c r="W788">
        <f>IF($A788="","",IFERROR(INDEX('[AQ_2021.xlsx]原始数据'!$F:$F,MATCH($A788,'[AQ_2021.xlsx]原始数据'!$A:$A,0)),""))</f>
        <v/>
      </c>
      <c r="X788">
        <f>IF($A788="","",IFERROR(INDEX('[AQ_2022.xlsx]原始数据'!$F:$F,MATCH($A788,'[AQ_2022.xlsx]原始数据'!$A:$A,0)),""))</f>
        <v/>
      </c>
      <c r="Y788">
        <f>IF($A788="","",IFERROR(INDEX('[AQ_2023.xlsx]原始数据'!$F:$F,MATCH($A788,'[AQ_2023.xlsx]原始数据'!$A:$A,0)),""))</f>
        <v/>
      </c>
      <c r="Z788">
        <f>IF($A788="","",IFERROR(INDEX('[AQ_2024.xlsx]原始数据'!$F:$F,MATCH($A788,'[AQ_2024.xlsx]原始数据'!$A:$A,0)),""))</f>
        <v/>
      </c>
      <c r="AA788" s="2">
        <f>IFERROR(G788/B788,"")</f>
        <v/>
      </c>
      <c r="AB788" s="2">
        <f>IFERROR(H788/C788,"")</f>
        <v/>
      </c>
      <c r="AC788" s="2">
        <f>IFERROR(I788/D788,"")</f>
        <v/>
      </c>
      <c r="AD788" s="2">
        <f>IFERROR(J788/E788,"")</f>
        <v/>
      </c>
      <c r="AE788" s="2">
        <f>IFERROR(K788/F788,"")</f>
        <v/>
      </c>
      <c r="AF788" s="2">
        <f>IFERROR(L788/B788,"")</f>
        <v/>
      </c>
      <c r="AG788" s="2">
        <f>IFERROR(M788/C788,"")</f>
        <v/>
      </c>
      <c r="AH788" s="2">
        <f>IFERROR(N788/D788,"")</f>
        <v/>
      </c>
      <c r="AI788" s="2">
        <f>IFERROR(O788/E788,"")</f>
        <v/>
      </c>
      <c r="AJ788" s="2">
        <f>IFERROR(P788/F788,"")</f>
        <v/>
      </c>
      <c r="AK788" s="2">
        <f>IFERROR(Q788/B788,"")</f>
        <v/>
      </c>
      <c r="AL788" s="2">
        <f>IFERROR(R788/C788,"")</f>
        <v/>
      </c>
      <c r="AM788" s="2">
        <f>IFERROR(S788/D788,"")</f>
        <v/>
      </c>
      <c r="AN788" s="2">
        <f>IFERROR(T788/E788,"")</f>
        <v/>
      </c>
      <c r="AO788" s="2">
        <f>IFERROR(U788/F788,"")</f>
        <v/>
      </c>
    </row>
    <row r="789">
      <c r="B789">
        <f>IF($A789="","",IFERROR(INDEX('[AQ_2020.xlsx]原始数据'!$B:$B,MATCH($A789,'[AQ_2020.xlsx]原始数据'!$A:$A,0)),""))</f>
        <v/>
      </c>
      <c r="C789">
        <f>IF($A789="","",IFERROR(INDEX('[AQ_2021.xlsx]原始数据'!$B:$B,MATCH($A789,'[AQ_2021.xlsx]原始数据'!$A:$A,0)),""))</f>
        <v/>
      </c>
      <c r="D789">
        <f>IF($A789="","",IFERROR(INDEX('[AQ_2022.xlsx]原始数据'!$B:$B,MATCH($A789,'[AQ_2022.xlsx]原始数据'!$A:$A,0)),""))</f>
        <v/>
      </c>
      <c r="E789">
        <f>IF($A789="","",IFERROR(INDEX('[AQ_2023.xlsx]原始数据'!$B:$B,MATCH($A789,'[AQ_2023.xlsx]原始数据'!$A:$A,0)),""))</f>
        <v/>
      </c>
      <c r="F789">
        <f>IF($A789="","",IFERROR(INDEX('[AQ_2024.xlsx]原始数据'!$B:$B,MATCH($A789,'[AQ_2024.xlsx]原始数据'!$A:$A,0)),""))</f>
        <v/>
      </c>
      <c r="G789">
        <f>IF($A789="","",IFERROR(INDEX('[AQ_2020.xlsx]原始数据'!$C:$C,MATCH($A789,'[AQ_2020.xlsx]原始数据'!$A:$A,0)),""))</f>
        <v/>
      </c>
      <c r="H789">
        <f>IF($A789="","",IFERROR(INDEX('[AQ_2021.xlsx]原始数据'!$C:$C,MATCH($A789,'[AQ_2021.xlsx]原始数据'!$A:$A,0)),""))</f>
        <v/>
      </c>
      <c r="I789">
        <f>IF($A789="","",IFERROR(INDEX('[AQ_2022.xlsx]原始数据'!$C:$C,MATCH($A789,'[AQ_2022.xlsx]原始数据'!$A:$A,0)),""))</f>
        <v/>
      </c>
      <c r="J789">
        <f>IF($A789="","",IFERROR(INDEX('[AQ_2023.xlsx]原始数据'!$C:$C,MATCH($A789,'[AQ_2023.xlsx]原始数据'!$A:$A,0)),""))</f>
        <v/>
      </c>
      <c r="K789">
        <f>IF($A789="","",IFERROR(INDEX('[AQ_2024.xlsx]原始数据'!$C:$C,MATCH($A789,'[AQ_2024.xlsx]原始数据'!$A:$A,0)),""))</f>
        <v/>
      </c>
      <c r="L789">
        <f>IF($A789="","",IFERROR(INDEX('[AQ_2020.xlsx]原始数据'!$D:$D,MATCH($A789,'[AQ_2020.xlsx]原始数据'!$A:$A,0)),""))</f>
        <v/>
      </c>
      <c r="M789">
        <f>IF($A789="","",IFERROR(INDEX('[AQ_2021.xlsx]原始数据'!$D:$D,MATCH($A789,'[AQ_2021.xlsx]原始数据'!$A:$A,0)),""))</f>
        <v/>
      </c>
      <c r="N789">
        <f>IF($A789="","",IFERROR(INDEX('[AQ_2022.xlsx]原始数据'!$D:$D,MATCH($A789,'[AQ_2022.xlsx]原始数据'!$A:$A,0)),""))</f>
        <v/>
      </c>
      <c r="O789">
        <f>IF($A789="","",IFERROR(INDEX('[AQ_2023.xlsx]原始数据'!$D:$D,MATCH($A789,'[AQ_2023.xlsx]原始数据'!$A:$A,0)),""))</f>
        <v/>
      </c>
      <c r="P789">
        <f>IF($A789="","",IFERROR(INDEX('[AQ_2024.xlsx]原始数据'!$D:$D,MATCH($A789,'[AQ_2024.xlsx]原始数据'!$A:$A,0)),""))</f>
        <v/>
      </c>
      <c r="Q789">
        <f>IF($A789="","",IFERROR(INDEX('[AQ_2020.xlsx]原始数据'!$E:$E,MATCH($A789,'[AQ_2020.xlsx]原始数据'!$A:$A,0)),""))</f>
        <v/>
      </c>
      <c r="R789">
        <f>IF($A789="","",IFERROR(INDEX('[AQ_2021.xlsx]原始数据'!$E:$E,MATCH($A789,'[AQ_2021.xlsx]原始数据'!$A:$A,0)),""))</f>
        <v/>
      </c>
      <c r="S789">
        <f>IF($A789="","",IFERROR(INDEX('[AQ_2022.xlsx]原始数据'!$E:$E,MATCH($A789,'[AQ_2022.xlsx]原始数据'!$A:$A,0)),""))</f>
        <v/>
      </c>
      <c r="T789">
        <f>IF($A789="","",IFERROR(INDEX('[AQ_2023.xlsx]原始数据'!$E:$E,MATCH($A789,'[AQ_2023.xlsx]原始数据'!$A:$A,0)),""))</f>
        <v/>
      </c>
      <c r="U789">
        <f>IF($A789="","",IFERROR(INDEX('[AQ_2024.xlsx]原始数据'!$E:$E,MATCH($A789,'[AQ_2024.xlsx]原始数据'!$A:$A,0)),""))</f>
        <v/>
      </c>
      <c r="V789">
        <f>IF($A789="","",IFERROR(INDEX('[AQ_2020.xlsx]原始数据'!$F:$F,MATCH($A789,'[AQ_2020.xlsx]原始数据'!$A:$A,0)),""))</f>
        <v/>
      </c>
      <c r="W789">
        <f>IF($A789="","",IFERROR(INDEX('[AQ_2021.xlsx]原始数据'!$F:$F,MATCH($A789,'[AQ_2021.xlsx]原始数据'!$A:$A,0)),""))</f>
        <v/>
      </c>
      <c r="X789">
        <f>IF($A789="","",IFERROR(INDEX('[AQ_2022.xlsx]原始数据'!$F:$F,MATCH($A789,'[AQ_2022.xlsx]原始数据'!$A:$A,0)),""))</f>
        <v/>
      </c>
      <c r="Y789">
        <f>IF($A789="","",IFERROR(INDEX('[AQ_2023.xlsx]原始数据'!$F:$F,MATCH($A789,'[AQ_2023.xlsx]原始数据'!$A:$A,0)),""))</f>
        <v/>
      </c>
      <c r="Z789">
        <f>IF($A789="","",IFERROR(INDEX('[AQ_2024.xlsx]原始数据'!$F:$F,MATCH($A789,'[AQ_2024.xlsx]原始数据'!$A:$A,0)),""))</f>
        <v/>
      </c>
      <c r="AA789" s="2">
        <f>IFERROR(G789/B789,"")</f>
        <v/>
      </c>
      <c r="AB789" s="2">
        <f>IFERROR(H789/C789,"")</f>
        <v/>
      </c>
      <c r="AC789" s="2">
        <f>IFERROR(I789/D789,"")</f>
        <v/>
      </c>
      <c r="AD789" s="2">
        <f>IFERROR(J789/E789,"")</f>
        <v/>
      </c>
      <c r="AE789" s="2">
        <f>IFERROR(K789/F789,"")</f>
        <v/>
      </c>
      <c r="AF789" s="2">
        <f>IFERROR(L789/B789,"")</f>
        <v/>
      </c>
      <c r="AG789" s="2">
        <f>IFERROR(M789/C789,"")</f>
        <v/>
      </c>
      <c r="AH789" s="2">
        <f>IFERROR(N789/D789,"")</f>
        <v/>
      </c>
      <c r="AI789" s="2">
        <f>IFERROR(O789/E789,"")</f>
        <v/>
      </c>
      <c r="AJ789" s="2">
        <f>IFERROR(P789/F789,"")</f>
        <v/>
      </c>
      <c r="AK789" s="2">
        <f>IFERROR(Q789/B789,"")</f>
        <v/>
      </c>
      <c r="AL789" s="2">
        <f>IFERROR(R789/C789,"")</f>
        <v/>
      </c>
      <c r="AM789" s="2">
        <f>IFERROR(S789/D789,"")</f>
        <v/>
      </c>
      <c r="AN789" s="2">
        <f>IFERROR(T789/E789,"")</f>
        <v/>
      </c>
      <c r="AO789" s="2">
        <f>IFERROR(U789/F789,"")</f>
        <v/>
      </c>
    </row>
    <row r="790">
      <c r="B790">
        <f>IF($A790="","",IFERROR(INDEX('[AQ_2020.xlsx]原始数据'!$B:$B,MATCH($A790,'[AQ_2020.xlsx]原始数据'!$A:$A,0)),""))</f>
        <v/>
      </c>
      <c r="C790">
        <f>IF($A790="","",IFERROR(INDEX('[AQ_2021.xlsx]原始数据'!$B:$B,MATCH($A790,'[AQ_2021.xlsx]原始数据'!$A:$A,0)),""))</f>
        <v/>
      </c>
      <c r="D790">
        <f>IF($A790="","",IFERROR(INDEX('[AQ_2022.xlsx]原始数据'!$B:$B,MATCH($A790,'[AQ_2022.xlsx]原始数据'!$A:$A,0)),""))</f>
        <v/>
      </c>
      <c r="E790">
        <f>IF($A790="","",IFERROR(INDEX('[AQ_2023.xlsx]原始数据'!$B:$B,MATCH($A790,'[AQ_2023.xlsx]原始数据'!$A:$A,0)),""))</f>
        <v/>
      </c>
      <c r="F790">
        <f>IF($A790="","",IFERROR(INDEX('[AQ_2024.xlsx]原始数据'!$B:$B,MATCH($A790,'[AQ_2024.xlsx]原始数据'!$A:$A,0)),""))</f>
        <v/>
      </c>
      <c r="G790">
        <f>IF($A790="","",IFERROR(INDEX('[AQ_2020.xlsx]原始数据'!$C:$C,MATCH($A790,'[AQ_2020.xlsx]原始数据'!$A:$A,0)),""))</f>
        <v/>
      </c>
      <c r="H790">
        <f>IF($A790="","",IFERROR(INDEX('[AQ_2021.xlsx]原始数据'!$C:$C,MATCH($A790,'[AQ_2021.xlsx]原始数据'!$A:$A,0)),""))</f>
        <v/>
      </c>
      <c r="I790">
        <f>IF($A790="","",IFERROR(INDEX('[AQ_2022.xlsx]原始数据'!$C:$C,MATCH($A790,'[AQ_2022.xlsx]原始数据'!$A:$A,0)),""))</f>
        <v/>
      </c>
      <c r="J790">
        <f>IF($A790="","",IFERROR(INDEX('[AQ_2023.xlsx]原始数据'!$C:$C,MATCH($A790,'[AQ_2023.xlsx]原始数据'!$A:$A,0)),""))</f>
        <v/>
      </c>
      <c r="K790">
        <f>IF($A790="","",IFERROR(INDEX('[AQ_2024.xlsx]原始数据'!$C:$C,MATCH($A790,'[AQ_2024.xlsx]原始数据'!$A:$A,0)),""))</f>
        <v/>
      </c>
      <c r="L790">
        <f>IF($A790="","",IFERROR(INDEX('[AQ_2020.xlsx]原始数据'!$D:$D,MATCH($A790,'[AQ_2020.xlsx]原始数据'!$A:$A,0)),""))</f>
        <v/>
      </c>
      <c r="M790">
        <f>IF($A790="","",IFERROR(INDEX('[AQ_2021.xlsx]原始数据'!$D:$D,MATCH($A790,'[AQ_2021.xlsx]原始数据'!$A:$A,0)),""))</f>
        <v/>
      </c>
      <c r="N790">
        <f>IF($A790="","",IFERROR(INDEX('[AQ_2022.xlsx]原始数据'!$D:$D,MATCH($A790,'[AQ_2022.xlsx]原始数据'!$A:$A,0)),""))</f>
        <v/>
      </c>
      <c r="O790">
        <f>IF($A790="","",IFERROR(INDEX('[AQ_2023.xlsx]原始数据'!$D:$D,MATCH($A790,'[AQ_2023.xlsx]原始数据'!$A:$A,0)),""))</f>
        <v/>
      </c>
      <c r="P790">
        <f>IF($A790="","",IFERROR(INDEX('[AQ_2024.xlsx]原始数据'!$D:$D,MATCH($A790,'[AQ_2024.xlsx]原始数据'!$A:$A,0)),""))</f>
        <v/>
      </c>
      <c r="Q790">
        <f>IF($A790="","",IFERROR(INDEX('[AQ_2020.xlsx]原始数据'!$E:$E,MATCH($A790,'[AQ_2020.xlsx]原始数据'!$A:$A,0)),""))</f>
        <v/>
      </c>
      <c r="R790">
        <f>IF($A790="","",IFERROR(INDEX('[AQ_2021.xlsx]原始数据'!$E:$E,MATCH($A790,'[AQ_2021.xlsx]原始数据'!$A:$A,0)),""))</f>
        <v/>
      </c>
      <c r="S790">
        <f>IF($A790="","",IFERROR(INDEX('[AQ_2022.xlsx]原始数据'!$E:$E,MATCH($A790,'[AQ_2022.xlsx]原始数据'!$A:$A,0)),""))</f>
        <v/>
      </c>
      <c r="T790">
        <f>IF($A790="","",IFERROR(INDEX('[AQ_2023.xlsx]原始数据'!$E:$E,MATCH($A790,'[AQ_2023.xlsx]原始数据'!$A:$A,0)),""))</f>
        <v/>
      </c>
      <c r="U790">
        <f>IF($A790="","",IFERROR(INDEX('[AQ_2024.xlsx]原始数据'!$E:$E,MATCH($A790,'[AQ_2024.xlsx]原始数据'!$A:$A,0)),""))</f>
        <v/>
      </c>
      <c r="V790">
        <f>IF($A790="","",IFERROR(INDEX('[AQ_2020.xlsx]原始数据'!$F:$F,MATCH($A790,'[AQ_2020.xlsx]原始数据'!$A:$A,0)),""))</f>
        <v/>
      </c>
      <c r="W790">
        <f>IF($A790="","",IFERROR(INDEX('[AQ_2021.xlsx]原始数据'!$F:$F,MATCH($A790,'[AQ_2021.xlsx]原始数据'!$A:$A,0)),""))</f>
        <v/>
      </c>
      <c r="X790">
        <f>IF($A790="","",IFERROR(INDEX('[AQ_2022.xlsx]原始数据'!$F:$F,MATCH($A790,'[AQ_2022.xlsx]原始数据'!$A:$A,0)),""))</f>
        <v/>
      </c>
      <c r="Y790">
        <f>IF($A790="","",IFERROR(INDEX('[AQ_2023.xlsx]原始数据'!$F:$F,MATCH($A790,'[AQ_2023.xlsx]原始数据'!$A:$A,0)),""))</f>
        <v/>
      </c>
      <c r="Z790">
        <f>IF($A790="","",IFERROR(INDEX('[AQ_2024.xlsx]原始数据'!$F:$F,MATCH($A790,'[AQ_2024.xlsx]原始数据'!$A:$A,0)),""))</f>
        <v/>
      </c>
      <c r="AA790" s="2">
        <f>IFERROR(G790/B790,"")</f>
        <v/>
      </c>
      <c r="AB790" s="2">
        <f>IFERROR(H790/C790,"")</f>
        <v/>
      </c>
      <c r="AC790" s="2">
        <f>IFERROR(I790/D790,"")</f>
        <v/>
      </c>
      <c r="AD790" s="2">
        <f>IFERROR(J790/E790,"")</f>
        <v/>
      </c>
      <c r="AE790" s="2">
        <f>IFERROR(K790/F790,"")</f>
        <v/>
      </c>
      <c r="AF790" s="2">
        <f>IFERROR(L790/B790,"")</f>
        <v/>
      </c>
      <c r="AG790" s="2">
        <f>IFERROR(M790/C790,"")</f>
        <v/>
      </c>
      <c r="AH790" s="2">
        <f>IFERROR(N790/D790,"")</f>
        <v/>
      </c>
      <c r="AI790" s="2">
        <f>IFERROR(O790/E790,"")</f>
        <v/>
      </c>
      <c r="AJ790" s="2">
        <f>IFERROR(P790/F790,"")</f>
        <v/>
      </c>
      <c r="AK790" s="2">
        <f>IFERROR(Q790/B790,"")</f>
        <v/>
      </c>
      <c r="AL790" s="2">
        <f>IFERROR(R790/C790,"")</f>
        <v/>
      </c>
      <c r="AM790" s="2">
        <f>IFERROR(S790/D790,"")</f>
        <v/>
      </c>
      <c r="AN790" s="2">
        <f>IFERROR(T790/E790,"")</f>
        <v/>
      </c>
      <c r="AO790" s="2">
        <f>IFERROR(U790/F790,"")</f>
        <v/>
      </c>
    </row>
    <row r="791">
      <c r="B791">
        <f>IF($A791="","",IFERROR(INDEX('[AQ_2020.xlsx]原始数据'!$B:$B,MATCH($A791,'[AQ_2020.xlsx]原始数据'!$A:$A,0)),""))</f>
        <v/>
      </c>
      <c r="C791">
        <f>IF($A791="","",IFERROR(INDEX('[AQ_2021.xlsx]原始数据'!$B:$B,MATCH($A791,'[AQ_2021.xlsx]原始数据'!$A:$A,0)),""))</f>
        <v/>
      </c>
      <c r="D791">
        <f>IF($A791="","",IFERROR(INDEX('[AQ_2022.xlsx]原始数据'!$B:$B,MATCH($A791,'[AQ_2022.xlsx]原始数据'!$A:$A,0)),""))</f>
        <v/>
      </c>
      <c r="E791">
        <f>IF($A791="","",IFERROR(INDEX('[AQ_2023.xlsx]原始数据'!$B:$B,MATCH($A791,'[AQ_2023.xlsx]原始数据'!$A:$A,0)),""))</f>
        <v/>
      </c>
      <c r="F791">
        <f>IF($A791="","",IFERROR(INDEX('[AQ_2024.xlsx]原始数据'!$B:$B,MATCH($A791,'[AQ_2024.xlsx]原始数据'!$A:$A,0)),""))</f>
        <v/>
      </c>
      <c r="G791">
        <f>IF($A791="","",IFERROR(INDEX('[AQ_2020.xlsx]原始数据'!$C:$C,MATCH($A791,'[AQ_2020.xlsx]原始数据'!$A:$A,0)),""))</f>
        <v/>
      </c>
      <c r="H791">
        <f>IF($A791="","",IFERROR(INDEX('[AQ_2021.xlsx]原始数据'!$C:$C,MATCH($A791,'[AQ_2021.xlsx]原始数据'!$A:$A,0)),""))</f>
        <v/>
      </c>
      <c r="I791">
        <f>IF($A791="","",IFERROR(INDEX('[AQ_2022.xlsx]原始数据'!$C:$C,MATCH($A791,'[AQ_2022.xlsx]原始数据'!$A:$A,0)),""))</f>
        <v/>
      </c>
      <c r="J791">
        <f>IF($A791="","",IFERROR(INDEX('[AQ_2023.xlsx]原始数据'!$C:$C,MATCH($A791,'[AQ_2023.xlsx]原始数据'!$A:$A,0)),""))</f>
        <v/>
      </c>
      <c r="K791">
        <f>IF($A791="","",IFERROR(INDEX('[AQ_2024.xlsx]原始数据'!$C:$C,MATCH($A791,'[AQ_2024.xlsx]原始数据'!$A:$A,0)),""))</f>
        <v/>
      </c>
      <c r="L791">
        <f>IF($A791="","",IFERROR(INDEX('[AQ_2020.xlsx]原始数据'!$D:$D,MATCH($A791,'[AQ_2020.xlsx]原始数据'!$A:$A,0)),""))</f>
        <v/>
      </c>
      <c r="M791">
        <f>IF($A791="","",IFERROR(INDEX('[AQ_2021.xlsx]原始数据'!$D:$D,MATCH($A791,'[AQ_2021.xlsx]原始数据'!$A:$A,0)),""))</f>
        <v/>
      </c>
      <c r="N791">
        <f>IF($A791="","",IFERROR(INDEX('[AQ_2022.xlsx]原始数据'!$D:$D,MATCH($A791,'[AQ_2022.xlsx]原始数据'!$A:$A,0)),""))</f>
        <v/>
      </c>
      <c r="O791">
        <f>IF($A791="","",IFERROR(INDEX('[AQ_2023.xlsx]原始数据'!$D:$D,MATCH($A791,'[AQ_2023.xlsx]原始数据'!$A:$A,0)),""))</f>
        <v/>
      </c>
      <c r="P791">
        <f>IF($A791="","",IFERROR(INDEX('[AQ_2024.xlsx]原始数据'!$D:$D,MATCH($A791,'[AQ_2024.xlsx]原始数据'!$A:$A,0)),""))</f>
        <v/>
      </c>
      <c r="Q791">
        <f>IF($A791="","",IFERROR(INDEX('[AQ_2020.xlsx]原始数据'!$E:$E,MATCH($A791,'[AQ_2020.xlsx]原始数据'!$A:$A,0)),""))</f>
        <v/>
      </c>
      <c r="R791">
        <f>IF($A791="","",IFERROR(INDEX('[AQ_2021.xlsx]原始数据'!$E:$E,MATCH($A791,'[AQ_2021.xlsx]原始数据'!$A:$A,0)),""))</f>
        <v/>
      </c>
      <c r="S791">
        <f>IF($A791="","",IFERROR(INDEX('[AQ_2022.xlsx]原始数据'!$E:$E,MATCH($A791,'[AQ_2022.xlsx]原始数据'!$A:$A,0)),""))</f>
        <v/>
      </c>
      <c r="T791">
        <f>IF($A791="","",IFERROR(INDEX('[AQ_2023.xlsx]原始数据'!$E:$E,MATCH($A791,'[AQ_2023.xlsx]原始数据'!$A:$A,0)),""))</f>
        <v/>
      </c>
      <c r="U791">
        <f>IF($A791="","",IFERROR(INDEX('[AQ_2024.xlsx]原始数据'!$E:$E,MATCH($A791,'[AQ_2024.xlsx]原始数据'!$A:$A,0)),""))</f>
        <v/>
      </c>
      <c r="V791">
        <f>IF($A791="","",IFERROR(INDEX('[AQ_2020.xlsx]原始数据'!$F:$F,MATCH($A791,'[AQ_2020.xlsx]原始数据'!$A:$A,0)),""))</f>
        <v/>
      </c>
      <c r="W791">
        <f>IF($A791="","",IFERROR(INDEX('[AQ_2021.xlsx]原始数据'!$F:$F,MATCH($A791,'[AQ_2021.xlsx]原始数据'!$A:$A,0)),""))</f>
        <v/>
      </c>
      <c r="X791">
        <f>IF($A791="","",IFERROR(INDEX('[AQ_2022.xlsx]原始数据'!$F:$F,MATCH($A791,'[AQ_2022.xlsx]原始数据'!$A:$A,0)),""))</f>
        <v/>
      </c>
      <c r="Y791">
        <f>IF($A791="","",IFERROR(INDEX('[AQ_2023.xlsx]原始数据'!$F:$F,MATCH($A791,'[AQ_2023.xlsx]原始数据'!$A:$A,0)),""))</f>
        <v/>
      </c>
      <c r="Z791">
        <f>IF($A791="","",IFERROR(INDEX('[AQ_2024.xlsx]原始数据'!$F:$F,MATCH($A791,'[AQ_2024.xlsx]原始数据'!$A:$A,0)),""))</f>
        <v/>
      </c>
      <c r="AA791" s="2">
        <f>IFERROR(G791/B791,"")</f>
        <v/>
      </c>
      <c r="AB791" s="2">
        <f>IFERROR(H791/C791,"")</f>
        <v/>
      </c>
      <c r="AC791" s="2">
        <f>IFERROR(I791/D791,"")</f>
        <v/>
      </c>
      <c r="AD791" s="2">
        <f>IFERROR(J791/E791,"")</f>
        <v/>
      </c>
      <c r="AE791" s="2">
        <f>IFERROR(K791/F791,"")</f>
        <v/>
      </c>
      <c r="AF791" s="2">
        <f>IFERROR(L791/B791,"")</f>
        <v/>
      </c>
      <c r="AG791" s="2">
        <f>IFERROR(M791/C791,"")</f>
        <v/>
      </c>
      <c r="AH791" s="2">
        <f>IFERROR(N791/D791,"")</f>
        <v/>
      </c>
      <c r="AI791" s="2">
        <f>IFERROR(O791/E791,"")</f>
        <v/>
      </c>
      <c r="AJ791" s="2">
        <f>IFERROR(P791/F791,"")</f>
        <v/>
      </c>
      <c r="AK791" s="2">
        <f>IFERROR(Q791/B791,"")</f>
        <v/>
      </c>
      <c r="AL791" s="2">
        <f>IFERROR(R791/C791,"")</f>
        <v/>
      </c>
      <c r="AM791" s="2">
        <f>IFERROR(S791/D791,"")</f>
        <v/>
      </c>
      <c r="AN791" s="2">
        <f>IFERROR(T791/E791,"")</f>
        <v/>
      </c>
      <c r="AO791" s="2">
        <f>IFERROR(U791/F791,"")</f>
        <v/>
      </c>
    </row>
    <row r="792">
      <c r="B792">
        <f>IF($A792="","",IFERROR(INDEX('[AQ_2020.xlsx]原始数据'!$B:$B,MATCH($A792,'[AQ_2020.xlsx]原始数据'!$A:$A,0)),""))</f>
        <v/>
      </c>
      <c r="C792">
        <f>IF($A792="","",IFERROR(INDEX('[AQ_2021.xlsx]原始数据'!$B:$B,MATCH($A792,'[AQ_2021.xlsx]原始数据'!$A:$A,0)),""))</f>
        <v/>
      </c>
      <c r="D792">
        <f>IF($A792="","",IFERROR(INDEX('[AQ_2022.xlsx]原始数据'!$B:$B,MATCH($A792,'[AQ_2022.xlsx]原始数据'!$A:$A,0)),""))</f>
        <v/>
      </c>
      <c r="E792">
        <f>IF($A792="","",IFERROR(INDEX('[AQ_2023.xlsx]原始数据'!$B:$B,MATCH($A792,'[AQ_2023.xlsx]原始数据'!$A:$A,0)),""))</f>
        <v/>
      </c>
      <c r="F792">
        <f>IF($A792="","",IFERROR(INDEX('[AQ_2024.xlsx]原始数据'!$B:$B,MATCH($A792,'[AQ_2024.xlsx]原始数据'!$A:$A,0)),""))</f>
        <v/>
      </c>
      <c r="G792">
        <f>IF($A792="","",IFERROR(INDEX('[AQ_2020.xlsx]原始数据'!$C:$C,MATCH($A792,'[AQ_2020.xlsx]原始数据'!$A:$A,0)),""))</f>
        <v/>
      </c>
      <c r="H792">
        <f>IF($A792="","",IFERROR(INDEX('[AQ_2021.xlsx]原始数据'!$C:$C,MATCH($A792,'[AQ_2021.xlsx]原始数据'!$A:$A,0)),""))</f>
        <v/>
      </c>
      <c r="I792">
        <f>IF($A792="","",IFERROR(INDEX('[AQ_2022.xlsx]原始数据'!$C:$C,MATCH($A792,'[AQ_2022.xlsx]原始数据'!$A:$A,0)),""))</f>
        <v/>
      </c>
      <c r="J792">
        <f>IF($A792="","",IFERROR(INDEX('[AQ_2023.xlsx]原始数据'!$C:$C,MATCH($A792,'[AQ_2023.xlsx]原始数据'!$A:$A,0)),""))</f>
        <v/>
      </c>
      <c r="K792">
        <f>IF($A792="","",IFERROR(INDEX('[AQ_2024.xlsx]原始数据'!$C:$C,MATCH($A792,'[AQ_2024.xlsx]原始数据'!$A:$A,0)),""))</f>
        <v/>
      </c>
      <c r="L792">
        <f>IF($A792="","",IFERROR(INDEX('[AQ_2020.xlsx]原始数据'!$D:$D,MATCH($A792,'[AQ_2020.xlsx]原始数据'!$A:$A,0)),""))</f>
        <v/>
      </c>
      <c r="M792">
        <f>IF($A792="","",IFERROR(INDEX('[AQ_2021.xlsx]原始数据'!$D:$D,MATCH($A792,'[AQ_2021.xlsx]原始数据'!$A:$A,0)),""))</f>
        <v/>
      </c>
      <c r="N792">
        <f>IF($A792="","",IFERROR(INDEX('[AQ_2022.xlsx]原始数据'!$D:$D,MATCH($A792,'[AQ_2022.xlsx]原始数据'!$A:$A,0)),""))</f>
        <v/>
      </c>
      <c r="O792">
        <f>IF($A792="","",IFERROR(INDEX('[AQ_2023.xlsx]原始数据'!$D:$D,MATCH($A792,'[AQ_2023.xlsx]原始数据'!$A:$A,0)),""))</f>
        <v/>
      </c>
      <c r="P792">
        <f>IF($A792="","",IFERROR(INDEX('[AQ_2024.xlsx]原始数据'!$D:$D,MATCH($A792,'[AQ_2024.xlsx]原始数据'!$A:$A,0)),""))</f>
        <v/>
      </c>
      <c r="Q792">
        <f>IF($A792="","",IFERROR(INDEX('[AQ_2020.xlsx]原始数据'!$E:$E,MATCH($A792,'[AQ_2020.xlsx]原始数据'!$A:$A,0)),""))</f>
        <v/>
      </c>
      <c r="R792">
        <f>IF($A792="","",IFERROR(INDEX('[AQ_2021.xlsx]原始数据'!$E:$E,MATCH($A792,'[AQ_2021.xlsx]原始数据'!$A:$A,0)),""))</f>
        <v/>
      </c>
      <c r="S792">
        <f>IF($A792="","",IFERROR(INDEX('[AQ_2022.xlsx]原始数据'!$E:$E,MATCH($A792,'[AQ_2022.xlsx]原始数据'!$A:$A,0)),""))</f>
        <v/>
      </c>
      <c r="T792">
        <f>IF($A792="","",IFERROR(INDEX('[AQ_2023.xlsx]原始数据'!$E:$E,MATCH($A792,'[AQ_2023.xlsx]原始数据'!$A:$A,0)),""))</f>
        <v/>
      </c>
      <c r="U792">
        <f>IF($A792="","",IFERROR(INDEX('[AQ_2024.xlsx]原始数据'!$E:$E,MATCH($A792,'[AQ_2024.xlsx]原始数据'!$A:$A,0)),""))</f>
        <v/>
      </c>
      <c r="V792">
        <f>IF($A792="","",IFERROR(INDEX('[AQ_2020.xlsx]原始数据'!$F:$F,MATCH($A792,'[AQ_2020.xlsx]原始数据'!$A:$A,0)),""))</f>
        <v/>
      </c>
      <c r="W792">
        <f>IF($A792="","",IFERROR(INDEX('[AQ_2021.xlsx]原始数据'!$F:$F,MATCH($A792,'[AQ_2021.xlsx]原始数据'!$A:$A,0)),""))</f>
        <v/>
      </c>
      <c r="X792">
        <f>IF($A792="","",IFERROR(INDEX('[AQ_2022.xlsx]原始数据'!$F:$F,MATCH($A792,'[AQ_2022.xlsx]原始数据'!$A:$A,0)),""))</f>
        <v/>
      </c>
      <c r="Y792">
        <f>IF($A792="","",IFERROR(INDEX('[AQ_2023.xlsx]原始数据'!$F:$F,MATCH($A792,'[AQ_2023.xlsx]原始数据'!$A:$A,0)),""))</f>
        <v/>
      </c>
      <c r="Z792">
        <f>IF($A792="","",IFERROR(INDEX('[AQ_2024.xlsx]原始数据'!$F:$F,MATCH($A792,'[AQ_2024.xlsx]原始数据'!$A:$A,0)),""))</f>
        <v/>
      </c>
      <c r="AA792" s="2">
        <f>IFERROR(G792/B792,"")</f>
        <v/>
      </c>
      <c r="AB792" s="2">
        <f>IFERROR(H792/C792,"")</f>
        <v/>
      </c>
      <c r="AC792" s="2">
        <f>IFERROR(I792/D792,"")</f>
        <v/>
      </c>
      <c r="AD792" s="2">
        <f>IFERROR(J792/E792,"")</f>
        <v/>
      </c>
      <c r="AE792" s="2">
        <f>IFERROR(K792/F792,"")</f>
        <v/>
      </c>
      <c r="AF792" s="2">
        <f>IFERROR(L792/B792,"")</f>
        <v/>
      </c>
      <c r="AG792" s="2">
        <f>IFERROR(M792/C792,"")</f>
        <v/>
      </c>
      <c r="AH792" s="2">
        <f>IFERROR(N792/D792,"")</f>
        <v/>
      </c>
      <c r="AI792" s="2">
        <f>IFERROR(O792/E792,"")</f>
        <v/>
      </c>
      <c r="AJ792" s="2">
        <f>IFERROR(P792/F792,"")</f>
        <v/>
      </c>
      <c r="AK792" s="2">
        <f>IFERROR(Q792/B792,"")</f>
        <v/>
      </c>
      <c r="AL792" s="2">
        <f>IFERROR(R792/C792,"")</f>
        <v/>
      </c>
      <c r="AM792" s="2">
        <f>IFERROR(S792/D792,"")</f>
        <v/>
      </c>
      <c r="AN792" s="2">
        <f>IFERROR(T792/E792,"")</f>
        <v/>
      </c>
      <c r="AO792" s="2">
        <f>IFERROR(U792/F792,"")</f>
        <v/>
      </c>
    </row>
    <row r="793">
      <c r="B793">
        <f>IF($A793="","",IFERROR(INDEX('[AQ_2020.xlsx]原始数据'!$B:$B,MATCH($A793,'[AQ_2020.xlsx]原始数据'!$A:$A,0)),""))</f>
        <v/>
      </c>
      <c r="C793">
        <f>IF($A793="","",IFERROR(INDEX('[AQ_2021.xlsx]原始数据'!$B:$B,MATCH($A793,'[AQ_2021.xlsx]原始数据'!$A:$A,0)),""))</f>
        <v/>
      </c>
      <c r="D793">
        <f>IF($A793="","",IFERROR(INDEX('[AQ_2022.xlsx]原始数据'!$B:$B,MATCH($A793,'[AQ_2022.xlsx]原始数据'!$A:$A,0)),""))</f>
        <v/>
      </c>
      <c r="E793">
        <f>IF($A793="","",IFERROR(INDEX('[AQ_2023.xlsx]原始数据'!$B:$B,MATCH($A793,'[AQ_2023.xlsx]原始数据'!$A:$A,0)),""))</f>
        <v/>
      </c>
      <c r="F793">
        <f>IF($A793="","",IFERROR(INDEX('[AQ_2024.xlsx]原始数据'!$B:$B,MATCH($A793,'[AQ_2024.xlsx]原始数据'!$A:$A,0)),""))</f>
        <v/>
      </c>
      <c r="G793">
        <f>IF($A793="","",IFERROR(INDEX('[AQ_2020.xlsx]原始数据'!$C:$C,MATCH($A793,'[AQ_2020.xlsx]原始数据'!$A:$A,0)),""))</f>
        <v/>
      </c>
      <c r="H793">
        <f>IF($A793="","",IFERROR(INDEX('[AQ_2021.xlsx]原始数据'!$C:$C,MATCH($A793,'[AQ_2021.xlsx]原始数据'!$A:$A,0)),""))</f>
        <v/>
      </c>
      <c r="I793">
        <f>IF($A793="","",IFERROR(INDEX('[AQ_2022.xlsx]原始数据'!$C:$C,MATCH($A793,'[AQ_2022.xlsx]原始数据'!$A:$A,0)),""))</f>
        <v/>
      </c>
      <c r="J793">
        <f>IF($A793="","",IFERROR(INDEX('[AQ_2023.xlsx]原始数据'!$C:$C,MATCH($A793,'[AQ_2023.xlsx]原始数据'!$A:$A,0)),""))</f>
        <v/>
      </c>
      <c r="K793">
        <f>IF($A793="","",IFERROR(INDEX('[AQ_2024.xlsx]原始数据'!$C:$C,MATCH($A793,'[AQ_2024.xlsx]原始数据'!$A:$A,0)),""))</f>
        <v/>
      </c>
      <c r="L793">
        <f>IF($A793="","",IFERROR(INDEX('[AQ_2020.xlsx]原始数据'!$D:$D,MATCH($A793,'[AQ_2020.xlsx]原始数据'!$A:$A,0)),""))</f>
        <v/>
      </c>
      <c r="M793">
        <f>IF($A793="","",IFERROR(INDEX('[AQ_2021.xlsx]原始数据'!$D:$D,MATCH($A793,'[AQ_2021.xlsx]原始数据'!$A:$A,0)),""))</f>
        <v/>
      </c>
      <c r="N793">
        <f>IF($A793="","",IFERROR(INDEX('[AQ_2022.xlsx]原始数据'!$D:$D,MATCH($A793,'[AQ_2022.xlsx]原始数据'!$A:$A,0)),""))</f>
        <v/>
      </c>
      <c r="O793">
        <f>IF($A793="","",IFERROR(INDEX('[AQ_2023.xlsx]原始数据'!$D:$D,MATCH($A793,'[AQ_2023.xlsx]原始数据'!$A:$A,0)),""))</f>
        <v/>
      </c>
      <c r="P793">
        <f>IF($A793="","",IFERROR(INDEX('[AQ_2024.xlsx]原始数据'!$D:$D,MATCH($A793,'[AQ_2024.xlsx]原始数据'!$A:$A,0)),""))</f>
        <v/>
      </c>
      <c r="Q793">
        <f>IF($A793="","",IFERROR(INDEX('[AQ_2020.xlsx]原始数据'!$E:$E,MATCH($A793,'[AQ_2020.xlsx]原始数据'!$A:$A,0)),""))</f>
        <v/>
      </c>
      <c r="R793">
        <f>IF($A793="","",IFERROR(INDEX('[AQ_2021.xlsx]原始数据'!$E:$E,MATCH($A793,'[AQ_2021.xlsx]原始数据'!$A:$A,0)),""))</f>
        <v/>
      </c>
      <c r="S793">
        <f>IF($A793="","",IFERROR(INDEX('[AQ_2022.xlsx]原始数据'!$E:$E,MATCH($A793,'[AQ_2022.xlsx]原始数据'!$A:$A,0)),""))</f>
        <v/>
      </c>
      <c r="T793">
        <f>IF($A793="","",IFERROR(INDEX('[AQ_2023.xlsx]原始数据'!$E:$E,MATCH($A793,'[AQ_2023.xlsx]原始数据'!$A:$A,0)),""))</f>
        <v/>
      </c>
      <c r="U793">
        <f>IF($A793="","",IFERROR(INDEX('[AQ_2024.xlsx]原始数据'!$E:$E,MATCH($A793,'[AQ_2024.xlsx]原始数据'!$A:$A,0)),""))</f>
        <v/>
      </c>
      <c r="V793">
        <f>IF($A793="","",IFERROR(INDEX('[AQ_2020.xlsx]原始数据'!$F:$F,MATCH($A793,'[AQ_2020.xlsx]原始数据'!$A:$A,0)),""))</f>
        <v/>
      </c>
      <c r="W793">
        <f>IF($A793="","",IFERROR(INDEX('[AQ_2021.xlsx]原始数据'!$F:$F,MATCH($A793,'[AQ_2021.xlsx]原始数据'!$A:$A,0)),""))</f>
        <v/>
      </c>
      <c r="X793">
        <f>IF($A793="","",IFERROR(INDEX('[AQ_2022.xlsx]原始数据'!$F:$F,MATCH($A793,'[AQ_2022.xlsx]原始数据'!$A:$A,0)),""))</f>
        <v/>
      </c>
      <c r="Y793">
        <f>IF($A793="","",IFERROR(INDEX('[AQ_2023.xlsx]原始数据'!$F:$F,MATCH($A793,'[AQ_2023.xlsx]原始数据'!$A:$A,0)),""))</f>
        <v/>
      </c>
      <c r="Z793">
        <f>IF($A793="","",IFERROR(INDEX('[AQ_2024.xlsx]原始数据'!$F:$F,MATCH($A793,'[AQ_2024.xlsx]原始数据'!$A:$A,0)),""))</f>
        <v/>
      </c>
      <c r="AA793" s="2">
        <f>IFERROR(G793/B793,"")</f>
        <v/>
      </c>
      <c r="AB793" s="2">
        <f>IFERROR(H793/C793,"")</f>
        <v/>
      </c>
      <c r="AC793" s="2">
        <f>IFERROR(I793/D793,"")</f>
        <v/>
      </c>
      <c r="AD793" s="2">
        <f>IFERROR(J793/E793,"")</f>
        <v/>
      </c>
      <c r="AE793" s="2">
        <f>IFERROR(K793/F793,"")</f>
        <v/>
      </c>
      <c r="AF793" s="2">
        <f>IFERROR(L793/B793,"")</f>
        <v/>
      </c>
      <c r="AG793" s="2">
        <f>IFERROR(M793/C793,"")</f>
        <v/>
      </c>
      <c r="AH793" s="2">
        <f>IFERROR(N793/D793,"")</f>
        <v/>
      </c>
      <c r="AI793" s="2">
        <f>IFERROR(O793/E793,"")</f>
        <v/>
      </c>
      <c r="AJ793" s="2">
        <f>IFERROR(P793/F793,"")</f>
        <v/>
      </c>
      <c r="AK793" s="2">
        <f>IFERROR(Q793/B793,"")</f>
        <v/>
      </c>
      <c r="AL793" s="2">
        <f>IFERROR(R793/C793,"")</f>
        <v/>
      </c>
      <c r="AM793" s="2">
        <f>IFERROR(S793/D793,"")</f>
        <v/>
      </c>
      <c r="AN793" s="2">
        <f>IFERROR(T793/E793,"")</f>
        <v/>
      </c>
      <c r="AO793" s="2">
        <f>IFERROR(U793/F793,"")</f>
        <v/>
      </c>
    </row>
    <row r="794">
      <c r="B794">
        <f>IF($A794="","",IFERROR(INDEX('[AQ_2020.xlsx]原始数据'!$B:$B,MATCH($A794,'[AQ_2020.xlsx]原始数据'!$A:$A,0)),""))</f>
        <v/>
      </c>
      <c r="C794">
        <f>IF($A794="","",IFERROR(INDEX('[AQ_2021.xlsx]原始数据'!$B:$B,MATCH($A794,'[AQ_2021.xlsx]原始数据'!$A:$A,0)),""))</f>
        <v/>
      </c>
      <c r="D794">
        <f>IF($A794="","",IFERROR(INDEX('[AQ_2022.xlsx]原始数据'!$B:$B,MATCH($A794,'[AQ_2022.xlsx]原始数据'!$A:$A,0)),""))</f>
        <v/>
      </c>
      <c r="E794">
        <f>IF($A794="","",IFERROR(INDEX('[AQ_2023.xlsx]原始数据'!$B:$B,MATCH($A794,'[AQ_2023.xlsx]原始数据'!$A:$A,0)),""))</f>
        <v/>
      </c>
      <c r="F794">
        <f>IF($A794="","",IFERROR(INDEX('[AQ_2024.xlsx]原始数据'!$B:$B,MATCH($A794,'[AQ_2024.xlsx]原始数据'!$A:$A,0)),""))</f>
        <v/>
      </c>
      <c r="G794">
        <f>IF($A794="","",IFERROR(INDEX('[AQ_2020.xlsx]原始数据'!$C:$C,MATCH($A794,'[AQ_2020.xlsx]原始数据'!$A:$A,0)),""))</f>
        <v/>
      </c>
      <c r="H794">
        <f>IF($A794="","",IFERROR(INDEX('[AQ_2021.xlsx]原始数据'!$C:$C,MATCH($A794,'[AQ_2021.xlsx]原始数据'!$A:$A,0)),""))</f>
        <v/>
      </c>
      <c r="I794">
        <f>IF($A794="","",IFERROR(INDEX('[AQ_2022.xlsx]原始数据'!$C:$C,MATCH($A794,'[AQ_2022.xlsx]原始数据'!$A:$A,0)),""))</f>
        <v/>
      </c>
      <c r="J794">
        <f>IF($A794="","",IFERROR(INDEX('[AQ_2023.xlsx]原始数据'!$C:$C,MATCH($A794,'[AQ_2023.xlsx]原始数据'!$A:$A,0)),""))</f>
        <v/>
      </c>
      <c r="K794">
        <f>IF($A794="","",IFERROR(INDEX('[AQ_2024.xlsx]原始数据'!$C:$C,MATCH($A794,'[AQ_2024.xlsx]原始数据'!$A:$A,0)),""))</f>
        <v/>
      </c>
      <c r="L794">
        <f>IF($A794="","",IFERROR(INDEX('[AQ_2020.xlsx]原始数据'!$D:$D,MATCH($A794,'[AQ_2020.xlsx]原始数据'!$A:$A,0)),""))</f>
        <v/>
      </c>
      <c r="M794">
        <f>IF($A794="","",IFERROR(INDEX('[AQ_2021.xlsx]原始数据'!$D:$D,MATCH($A794,'[AQ_2021.xlsx]原始数据'!$A:$A,0)),""))</f>
        <v/>
      </c>
      <c r="N794">
        <f>IF($A794="","",IFERROR(INDEX('[AQ_2022.xlsx]原始数据'!$D:$D,MATCH($A794,'[AQ_2022.xlsx]原始数据'!$A:$A,0)),""))</f>
        <v/>
      </c>
      <c r="O794">
        <f>IF($A794="","",IFERROR(INDEX('[AQ_2023.xlsx]原始数据'!$D:$D,MATCH($A794,'[AQ_2023.xlsx]原始数据'!$A:$A,0)),""))</f>
        <v/>
      </c>
      <c r="P794">
        <f>IF($A794="","",IFERROR(INDEX('[AQ_2024.xlsx]原始数据'!$D:$D,MATCH($A794,'[AQ_2024.xlsx]原始数据'!$A:$A,0)),""))</f>
        <v/>
      </c>
      <c r="Q794">
        <f>IF($A794="","",IFERROR(INDEX('[AQ_2020.xlsx]原始数据'!$E:$E,MATCH($A794,'[AQ_2020.xlsx]原始数据'!$A:$A,0)),""))</f>
        <v/>
      </c>
      <c r="R794">
        <f>IF($A794="","",IFERROR(INDEX('[AQ_2021.xlsx]原始数据'!$E:$E,MATCH($A794,'[AQ_2021.xlsx]原始数据'!$A:$A,0)),""))</f>
        <v/>
      </c>
      <c r="S794">
        <f>IF($A794="","",IFERROR(INDEX('[AQ_2022.xlsx]原始数据'!$E:$E,MATCH($A794,'[AQ_2022.xlsx]原始数据'!$A:$A,0)),""))</f>
        <v/>
      </c>
      <c r="T794">
        <f>IF($A794="","",IFERROR(INDEX('[AQ_2023.xlsx]原始数据'!$E:$E,MATCH($A794,'[AQ_2023.xlsx]原始数据'!$A:$A,0)),""))</f>
        <v/>
      </c>
      <c r="U794">
        <f>IF($A794="","",IFERROR(INDEX('[AQ_2024.xlsx]原始数据'!$E:$E,MATCH($A794,'[AQ_2024.xlsx]原始数据'!$A:$A,0)),""))</f>
        <v/>
      </c>
      <c r="V794">
        <f>IF($A794="","",IFERROR(INDEX('[AQ_2020.xlsx]原始数据'!$F:$F,MATCH($A794,'[AQ_2020.xlsx]原始数据'!$A:$A,0)),""))</f>
        <v/>
      </c>
      <c r="W794">
        <f>IF($A794="","",IFERROR(INDEX('[AQ_2021.xlsx]原始数据'!$F:$F,MATCH($A794,'[AQ_2021.xlsx]原始数据'!$A:$A,0)),""))</f>
        <v/>
      </c>
      <c r="X794">
        <f>IF($A794="","",IFERROR(INDEX('[AQ_2022.xlsx]原始数据'!$F:$F,MATCH($A794,'[AQ_2022.xlsx]原始数据'!$A:$A,0)),""))</f>
        <v/>
      </c>
      <c r="Y794">
        <f>IF($A794="","",IFERROR(INDEX('[AQ_2023.xlsx]原始数据'!$F:$F,MATCH($A794,'[AQ_2023.xlsx]原始数据'!$A:$A,0)),""))</f>
        <v/>
      </c>
      <c r="Z794">
        <f>IF($A794="","",IFERROR(INDEX('[AQ_2024.xlsx]原始数据'!$F:$F,MATCH($A794,'[AQ_2024.xlsx]原始数据'!$A:$A,0)),""))</f>
        <v/>
      </c>
      <c r="AA794" s="2">
        <f>IFERROR(G794/B794,"")</f>
        <v/>
      </c>
      <c r="AB794" s="2">
        <f>IFERROR(H794/C794,"")</f>
        <v/>
      </c>
      <c r="AC794" s="2">
        <f>IFERROR(I794/D794,"")</f>
        <v/>
      </c>
      <c r="AD794" s="2">
        <f>IFERROR(J794/E794,"")</f>
        <v/>
      </c>
      <c r="AE794" s="2">
        <f>IFERROR(K794/F794,"")</f>
        <v/>
      </c>
      <c r="AF794" s="2">
        <f>IFERROR(L794/B794,"")</f>
        <v/>
      </c>
      <c r="AG794" s="2">
        <f>IFERROR(M794/C794,"")</f>
        <v/>
      </c>
      <c r="AH794" s="2">
        <f>IFERROR(N794/D794,"")</f>
        <v/>
      </c>
      <c r="AI794" s="2">
        <f>IFERROR(O794/E794,"")</f>
        <v/>
      </c>
      <c r="AJ794" s="2">
        <f>IFERROR(P794/F794,"")</f>
        <v/>
      </c>
      <c r="AK794" s="2">
        <f>IFERROR(Q794/B794,"")</f>
        <v/>
      </c>
      <c r="AL794" s="2">
        <f>IFERROR(R794/C794,"")</f>
        <v/>
      </c>
      <c r="AM794" s="2">
        <f>IFERROR(S794/D794,"")</f>
        <v/>
      </c>
      <c r="AN794" s="2">
        <f>IFERROR(T794/E794,"")</f>
        <v/>
      </c>
      <c r="AO794" s="2">
        <f>IFERROR(U794/F794,"")</f>
        <v/>
      </c>
    </row>
    <row r="795">
      <c r="B795">
        <f>IF($A795="","",IFERROR(INDEX('[AQ_2020.xlsx]原始数据'!$B:$B,MATCH($A795,'[AQ_2020.xlsx]原始数据'!$A:$A,0)),""))</f>
        <v/>
      </c>
      <c r="C795">
        <f>IF($A795="","",IFERROR(INDEX('[AQ_2021.xlsx]原始数据'!$B:$B,MATCH($A795,'[AQ_2021.xlsx]原始数据'!$A:$A,0)),""))</f>
        <v/>
      </c>
      <c r="D795">
        <f>IF($A795="","",IFERROR(INDEX('[AQ_2022.xlsx]原始数据'!$B:$B,MATCH($A795,'[AQ_2022.xlsx]原始数据'!$A:$A,0)),""))</f>
        <v/>
      </c>
      <c r="E795">
        <f>IF($A795="","",IFERROR(INDEX('[AQ_2023.xlsx]原始数据'!$B:$B,MATCH($A795,'[AQ_2023.xlsx]原始数据'!$A:$A,0)),""))</f>
        <v/>
      </c>
      <c r="F795">
        <f>IF($A795="","",IFERROR(INDEX('[AQ_2024.xlsx]原始数据'!$B:$B,MATCH($A795,'[AQ_2024.xlsx]原始数据'!$A:$A,0)),""))</f>
        <v/>
      </c>
      <c r="G795">
        <f>IF($A795="","",IFERROR(INDEX('[AQ_2020.xlsx]原始数据'!$C:$C,MATCH($A795,'[AQ_2020.xlsx]原始数据'!$A:$A,0)),""))</f>
        <v/>
      </c>
      <c r="H795">
        <f>IF($A795="","",IFERROR(INDEX('[AQ_2021.xlsx]原始数据'!$C:$C,MATCH($A795,'[AQ_2021.xlsx]原始数据'!$A:$A,0)),""))</f>
        <v/>
      </c>
      <c r="I795">
        <f>IF($A795="","",IFERROR(INDEX('[AQ_2022.xlsx]原始数据'!$C:$C,MATCH($A795,'[AQ_2022.xlsx]原始数据'!$A:$A,0)),""))</f>
        <v/>
      </c>
      <c r="J795">
        <f>IF($A795="","",IFERROR(INDEX('[AQ_2023.xlsx]原始数据'!$C:$C,MATCH($A795,'[AQ_2023.xlsx]原始数据'!$A:$A,0)),""))</f>
        <v/>
      </c>
      <c r="K795">
        <f>IF($A795="","",IFERROR(INDEX('[AQ_2024.xlsx]原始数据'!$C:$C,MATCH($A795,'[AQ_2024.xlsx]原始数据'!$A:$A,0)),""))</f>
        <v/>
      </c>
      <c r="L795">
        <f>IF($A795="","",IFERROR(INDEX('[AQ_2020.xlsx]原始数据'!$D:$D,MATCH($A795,'[AQ_2020.xlsx]原始数据'!$A:$A,0)),""))</f>
        <v/>
      </c>
      <c r="M795">
        <f>IF($A795="","",IFERROR(INDEX('[AQ_2021.xlsx]原始数据'!$D:$D,MATCH($A795,'[AQ_2021.xlsx]原始数据'!$A:$A,0)),""))</f>
        <v/>
      </c>
      <c r="N795">
        <f>IF($A795="","",IFERROR(INDEX('[AQ_2022.xlsx]原始数据'!$D:$D,MATCH($A795,'[AQ_2022.xlsx]原始数据'!$A:$A,0)),""))</f>
        <v/>
      </c>
      <c r="O795">
        <f>IF($A795="","",IFERROR(INDEX('[AQ_2023.xlsx]原始数据'!$D:$D,MATCH($A795,'[AQ_2023.xlsx]原始数据'!$A:$A,0)),""))</f>
        <v/>
      </c>
      <c r="P795">
        <f>IF($A795="","",IFERROR(INDEX('[AQ_2024.xlsx]原始数据'!$D:$D,MATCH($A795,'[AQ_2024.xlsx]原始数据'!$A:$A,0)),""))</f>
        <v/>
      </c>
      <c r="Q795">
        <f>IF($A795="","",IFERROR(INDEX('[AQ_2020.xlsx]原始数据'!$E:$E,MATCH($A795,'[AQ_2020.xlsx]原始数据'!$A:$A,0)),""))</f>
        <v/>
      </c>
      <c r="R795">
        <f>IF($A795="","",IFERROR(INDEX('[AQ_2021.xlsx]原始数据'!$E:$E,MATCH($A795,'[AQ_2021.xlsx]原始数据'!$A:$A,0)),""))</f>
        <v/>
      </c>
      <c r="S795">
        <f>IF($A795="","",IFERROR(INDEX('[AQ_2022.xlsx]原始数据'!$E:$E,MATCH($A795,'[AQ_2022.xlsx]原始数据'!$A:$A,0)),""))</f>
        <v/>
      </c>
      <c r="T795">
        <f>IF($A795="","",IFERROR(INDEX('[AQ_2023.xlsx]原始数据'!$E:$E,MATCH($A795,'[AQ_2023.xlsx]原始数据'!$A:$A,0)),""))</f>
        <v/>
      </c>
      <c r="U795">
        <f>IF($A795="","",IFERROR(INDEX('[AQ_2024.xlsx]原始数据'!$E:$E,MATCH($A795,'[AQ_2024.xlsx]原始数据'!$A:$A,0)),""))</f>
        <v/>
      </c>
      <c r="V795">
        <f>IF($A795="","",IFERROR(INDEX('[AQ_2020.xlsx]原始数据'!$F:$F,MATCH($A795,'[AQ_2020.xlsx]原始数据'!$A:$A,0)),""))</f>
        <v/>
      </c>
      <c r="W795">
        <f>IF($A795="","",IFERROR(INDEX('[AQ_2021.xlsx]原始数据'!$F:$F,MATCH($A795,'[AQ_2021.xlsx]原始数据'!$A:$A,0)),""))</f>
        <v/>
      </c>
      <c r="X795">
        <f>IF($A795="","",IFERROR(INDEX('[AQ_2022.xlsx]原始数据'!$F:$F,MATCH($A795,'[AQ_2022.xlsx]原始数据'!$A:$A,0)),""))</f>
        <v/>
      </c>
      <c r="Y795">
        <f>IF($A795="","",IFERROR(INDEX('[AQ_2023.xlsx]原始数据'!$F:$F,MATCH($A795,'[AQ_2023.xlsx]原始数据'!$A:$A,0)),""))</f>
        <v/>
      </c>
      <c r="Z795">
        <f>IF($A795="","",IFERROR(INDEX('[AQ_2024.xlsx]原始数据'!$F:$F,MATCH($A795,'[AQ_2024.xlsx]原始数据'!$A:$A,0)),""))</f>
        <v/>
      </c>
      <c r="AA795" s="2">
        <f>IFERROR(G795/B795,"")</f>
        <v/>
      </c>
      <c r="AB795" s="2">
        <f>IFERROR(H795/C795,"")</f>
        <v/>
      </c>
      <c r="AC795" s="2">
        <f>IFERROR(I795/D795,"")</f>
        <v/>
      </c>
      <c r="AD795" s="2">
        <f>IFERROR(J795/E795,"")</f>
        <v/>
      </c>
      <c r="AE795" s="2">
        <f>IFERROR(K795/F795,"")</f>
        <v/>
      </c>
      <c r="AF795" s="2">
        <f>IFERROR(L795/B795,"")</f>
        <v/>
      </c>
      <c r="AG795" s="2">
        <f>IFERROR(M795/C795,"")</f>
        <v/>
      </c>
      <c r="AH795" s="2">
        <f>IFERROR(N795/D795,"")</f>
        <v/>
      </c>
      <c r="AI795" s="2">
        <f>IFERROR(O795/E795,"")</f>
        <v/>
      </c>
      <c r="AJ795" s="2">
        <f>IFERROR(P795/F795,"")</f>
        <v/>
      </c>
      <c r="AK795" s="2">
        <f>IFERROR(Q795/B795,"")</f>
        <v/>
      </c>
      <c r="AL795" s="2">
        <f>IFERROR(R795/C795,"")</f>
        <v/>
      </c>
      <c r="AM795" s="2">
        <f>IFERROR(S795/D795,"")</f>
        <v/>
      </c>
      <c r="AN795" s="2">
        <f>IFERROR(T795/E795,"")</f>
        <v/>
      </c>
      <c r="AO795" s="2">
        <f>IFERROR(U795/F795,"")</f>
        <v/>
      </c>
    </row>
    <row r="796">
      <c r="B796">
        <f>IF($A796="","",IFERROR(INDEX('[AQ_2020.xlsx]原始数据'!$B:$B,MATCH($A796,'[AQ_2020.xlsx]原始数据'!$A:$A,0)),""))</f>
        <v/>
      </c>
      <c r="C796">
        <f>IF($A796="","",IFERROR(INDEX('[AQ_2021.xlsx]原始数据'!$B:$B,MATCH($A796,'[AQ_2021.xlsx]原始数据'!$A:$A,0)),""))</f>
        <v/>
      </c>
      <c r="D796">
        <f>IF($A796="","",IFERROR(INDEX('[AQ_2022.xlsx]原始数据'!$B:$B,MATCH($A796,'[AQ_2022.xlsx]原始数据'!$A:$A,0)),""))</f>
        <v/>
      </c>
      <c r="E796">
        <f>IF($A796="","",IFERROR(INDEX('[AQ_2023.xlsx]原始数据'!$B:$B,MATCH($A796,'[AQ_2023.xlsx]原始数据'!$A:$A,0)),""))</f>
        <v/>
      </c>
      <c r="F796">
        <f>IF($A796="","",IFERROR(INDEX('[AQ_2024.xlsx]原始数据'!$B:$B,MATCH($A796,'[AQ_2024.xlsx]原始数据'!$A:$A,0)),""))</f>
        <v/>
      </c>
      <c r="G796">
        <f>IF($A796="","",IFERROR(INDEX('[AQ_2020.xlsx]原始数据'!$C:$C,MATCH($A796,'[AQ_2020.xlsx]原始数据'!$A:$A,0)),""))</f>
        <v/>
      </c>
      <c r="H796">
        <f>IF($A796="","",IFERROR(INDEX('[AQ_2021.xlsx]原始数据'!$C:$C,MATCH($A796,'[AQ_2021.xlsx]原始数据'!$A:$A,0)),""))</f>
        <v/>
      </c>
      <c r="I796">
        <f>IF($A796="","",IFERROR(INDEX('[AQ_2022.xlsx]原始数据'!$C:$C,MATCH($A796,'[AQ_2022.xlsx]原始数据'!$A:$A,0)),""))</f>
        <v/>
      </c>
      <c r="J796">
        <f>IF($A796="","",IFERROR(INDEX('[AQ_2023.xlsx]原始数据'!$C:$C,MATCH($A796,'[AQ_2023.xlsx]原始数据'!$A:$A,0)),""))</f>
        <v/>
      </c>
      <c r="K796">
        <f>IF($A796="","",IFERROR(INDEX('[AQ_2024.xlsx]原始数据'!$C:$C,MATCH($A796,'[AQ_2024.xlsx]原始数据'!$A:$A,0)),""))</f>
        <v/>
      </c>
      <c r="L796">
        <f>IF($A796="","",IFERROR(INDEX('[AQ_2020.xlsx]原始数据'!$D:$D,MATCH($A796,'[AQ_2020.xlsx]原始数据'!$A:$A,0)),""))</f>
        <v/>
      </c>
      <c r="M796">
        <f>IF($A796="","",IFERROR(INDEX('[AQ_2021.xlsx]原始数据'!$D:$D,MATCH($A796,'[AQ_2021.xlsx]原始数据'!$A:$A,0)),""))</f>
        <v/>
      </c>
      <c r="N796">
        <f>IF($A796="","",IFERROR(INDEX('[AQ_2022.xlsx]原始数据'!$D:$D,MATCH($A796,'[AQ_2022.xlsx]原始数据'!$A:$A,0)),""))</f>
        <v/>
      </c>
      <c r="O796">
        <f>IF($A796="","",IFERROR(INDEX('[AQ_2023.xlsx]原始数据'!$D:$D,MATCH($A796,'[AQ_2023.xlsx]原始数据'!$A:$A,0)),""))</f>
        <v/>
      </c>
      <c r="P796">
        <f>IF($A796="","",IFERROR(INDEX('[AQ_2024.xlsx]原始数据'!$D:$D,MATCH($A796,'[AQ_2024.xlsx]原始数据'!$A:$A,0)),""))</f>
        <v/>
      </c>
      <c r="Q796">
        <f>IF($A796="","",IFERROR(INDEX('[AQ_2020.xlsx]原始数据'!$E:$E,MATCH($A796,'[AQ_2020.xlsx]原始数据'!$A:$A,0)),""))</f>
        <v/>
      </c>
      <c r="R796">
        <f>IF($A796="","",IFERROR(INDEX('[AQ_2021.xlsx]原始数据'!$E:$E,MATCH($A796,'[AQ_2021.xlsx]原始数据'!$A:$A,0)),""))</f>
        <v/>
      </c>
      <c r="S796">
        <f>IF($A796="","",IFERROR(INDEX('[AQ_2022.xlsx]原始数据'!$E:$E,MATCH($A796,'[AQ_2022.xlsx]原始数据'!$A:$A,0)),""))</f>
        <v/>
      </c>
      <c r="T796">
        <f>IF($A796="","",IFERROR(INDEX('[AQ_2023.xlsx]原始数据'!$E:$E,MATCH($A796,'[AQ_2023.xlsx]原始数据'!$A:$A,0)),""))</f>
        <v/>
      </c>
      <c r="U796">
        <f>IF($A796="","",IFERROR(INDEX('[AQ_2024.xlsx]原始数据'!$E:$E,MATCH($A796,'[AQ_2024.xlsx]原始数据'!$A:$A,0)),""))</f>
        <v/>
      </c>
      <c r="V796">
        <f>IF($A796="","",IFERROR(INDEX('[AQ_2020.xlsx]原始数据'!$F:$F,MATCH($A796,'[AQ_2020.xlsx]原始数据'!$A:$A,0)),""))</f>
        <v/>
      </c>
      <c r="W796">
        <f>IF($A796="","",IFERROR(INDEX('[AQ_2021.xlsx]原始数据'!$F:$F,MATCH($A796,'[AQ_2021.xlsx]原始数据'!$A:$A,0)),""))</f>
        <v/>
      </c>
      <c r="X796">
        <f>IF($A796="","",IFERROR(INDEX('[AQ_2022.xlsx]原始数据'!$F:$F,MATCH($A796,'[AQ_2022.xlsx]原始数据'!$A:$A,0)),""))</f>
        <v/>
      </c>
      <c r="Y796">
        <f>IF($A796="","",IFERROR(INDEX('[AQ_2023.xlsx]原始数据'!$F:$F,MATCH($A796,'[AQ_2023.xlsx]原始数据'!$A:$A,0)),""))</f>
        <v/>
      </c>
      <c r="Z796">
        <f>IF($A796="","",IFERROR(INDEX('[AQ_2024.xlsx]原始数据'!$F:$F,MATCH($A796,'[AQ_2024.xlsx]原始数据'!$A:$A,0)),""))</f>
        <v/>
      </c>
      <c r="AA796" s="2">
        <f>IFERROR(G796/B796,"")</f>
        <v/>
      </c>
      <c r="AB796" s="2">
        <f>IFERROR(H796/C796,"")</f>
        <v/>
      </c>
      <c r="AC796" s="2">
        <f>IFERROR(I796/D796,"")</f>
        <v/>
      </c>
      <c r="AD796" s="2">
        <f>IFERROR(J796/E796,"")</f>
        <v/>
      </c>
      <c r="AE796" s="2">
        <f>IFERROR(K796/F796,"")</f>
        <v/>
      </c>
      <c r="AF796" s="2">
        <f>IFERROR(L796/B796,"")</f>
        <v/>
      </c>
      <c r="AG796" s="2">
        <f>IFERROR(M796/C796,"")</f>
        <v/>
      </c>
      <c r="AH796" s="2">
        <f>IFERROR(N796/D796,"")</f>
        <v/>
      </c>
      <c r="AI796" s="2">
        <f>IFERROR(O796/E796,"")</f>
        <v/>
      </c>
      <c r="AJ796" s="2">
        <f>IFERROR(P796/F796,"")</f>
        <v/>
      </c>
      <c r="AK796" s="2">
        <f>IFERROR(Q796/B796,"")</f>
        <v/>
      </c>
      <c r="AL796" s="2">
        <f>IFERROR(R796/C796,"")</f>
        <v/>
      </c>
      <c r="AM796" s="2">
        <f>IFERROR(S796/D796,"")</f>
        <v/>
      </c>
      <c r="AN796" s="2">
        <f>IFERROR(T796/E796,"")</f>
        <v/>
      </c>
      <c r="AO796" s="2">
        <f>IFERROR(U796/F796,"")</f>
        <v/>
      </c>
    </row>
    <row r="797">
      <c r="B797">
        <f>IF($A797="","",IFERROR(INDEX('[AQ_2020.xlsx]原始数据'!$B:$B,MATCH($A797,'[AQ_2020.xlsx]原始数据'!$A:$A,0)),""))</f>
        <v/>
      </c>
      <c r="C797">
        <f>IF($A797="","",IFERROR(INDEX('[AQ_2021.xlsx]原始数据'!$B:$B,MATCH($A797,'[AQ_2021.xlsx]原始数据'!$A:$A,0)),""))</f>
        <v/>
      </c>
      <c r="D797">
        <f>IF($A797="","",IFERROR(INDEX('[AQ_2022.xlsx]原始数据'!$B:$B,MATCH($A797,'[AQ_2022.xlsx]原始数据'!$A:$A,0)),""))</f>
        <v/>
      </c>
      <c r="E797">
        <f>IF($A797="","",IFERROR(INDEX('[AQ_2023.xlsx]原始数据'!$B:$B,MATCH($A797,'[AQ_2023.xlsx]原始数据'!$A:$A,0)),""))</f>
        <v/>
      </c>
      <c r="F797">
        <f>IF($A797="","",IFERROR(INDEX('[AQ_2024.xlsx]原始数据'!$B:$B,MATCH($A797,'[AQ_2024.xlsx]原始数据'!$A:$A,0)),""))</f>
        <v/>
      </c>
      <c r="G797">
        <f>IF($A797="","",IFERROR(INDEX('[AQ_2020.xlsx]原始数据'!$C:$C,MATCH($A797,'[AQ_2020.xlsx]原始数据'!$A:$A,0)),""))</f>
        <v/>
      </c>
      <c r="H797">
        <f>IF($A797="","",IFERROR(INDEX('[AQ_2021.xlsx]原始数据'!$C:$C,MATCH($A797,'[AQ_2021.xlsx]原始数据'!$A:$A,0)),""))</f>
        <v/>
      </c>
      <c r="I797">
        <f>IF($A797="","",IFERROR(INDEX('[AQ_2022.xlsx]原始数据'!$C:$C,MATCH($A797,'[AQ_2022.xlsx]原始数据'!$A:$A,0)),""))</f>
        <v/>
      </c>
      <c r="J797">
        <f>IF($A797="","",IFERROR(INDEX('[AQ_2023.xlsx]原始数据'!$C:$C,MATCH($A797,'[AQ_2023.xlsx]原始数据'!$A:$A,0)),""))</f>
        <v/>
      </c>
      <c r="K797">
        <f>IF($A797="","",IFERROR(INDEX('[AQ_2024.xlsx]原始数据'!$C:$C,MATCH($A797,'[AQ_2024.xlsx]原始数据'!$A:$A,0)),""))</f>
        <v/>
      </c>
      <c r="L797">
        <f>IF($A797="","",IFERROR(INDEX('[AQ_2020.xlsx]原始数据'!$D:$D,MATCH($A797,'[AQ_2020.xlsx]原始数据'!$A:$A,0)),""))</f>
        <v/>
      </c>
      <c r="M797">
        <f>IF($A797="","",IFERROR(INDEX('[AQ_2021.xlsx]原始数据'!$D:$D,MATCH($A797,'[AQ_2021.xlsx]原始数据'!$A:$A,0)),""))</f>
        <v/>
      </c>
      <c r="N797">
        <f>IF($A797="","",IFERROR(INDEX('[AQ_2022.xlsx]原始数据'!$D:$D,MATCH($A797,'[AQ_2022.xlsx]原始数据'!$A:$A,0)),""))</f>
        <v/>
      </c>
      <c r="O797">
        <f>IF($A797="","",IFERROR(INDEX('[AQ_2023.xlsx]原始数据'!$D:$D,MATCH($A797,'[AQ_2023.xlsx]原始数据'!$A:$A,0)),""))</f>
        <v/>
      </c>
      <c r="P797">
        <f>IF($A797="","",IFERROR(INDEX('[AQ_2024.xlsx]原始数据'!$D:$D,MATCH($A797,'[AQ_2024.xlsx]原始数据'!$A:$A,0)),""))</f>
        <v/>
      </c>
      <c r="Q797">
        <f>IF($A797="","",IFERROR(INDEX('[AQ_2020.xlsx]原始数据'!$E:$E,MATCH($A797,'[AQ_2020.xlsx]原始数据'!$A:$A,0)),""))</f>
        <v/>
      </c>
      <c r="R797">
        <f>IF($A797="","",IFERROR(INDEX('[AQ_2021.xlsx]原始数据'!$E:$E,MATCH($A797,'[AQ_2021.xlsx]原始数据'!$A:$A,0)),""))</f>
        <v/>
      </c>
      <c r="S797">
        <f>IF($A797="","",IFERROR(INDEX('[AQ_2022.xlsx]原始数据'!$E:$E,MATCH($A797,'[AQ_2022.xlsx]原始数据'!$A:$A,0)),""))</f>
        <v/>
      </c>
      <c r="T797">
        <f>IF($A797="","",IFERROR(INDEX('[AQ_2023.xlsx]原始数据'!$E:$E,MATCH($A797,'[AQ_2023.xlsx]原始数据'!$A:$A,0)),""))</f>
        <v/>
      </c>
      <c r="U797">
        <f>IF($A797="","",IFERROR(INDEX('[AQ_2024.xlsx]原始数据'!$E:$E,MATCH($A797,'[AQ_2024.xlsx]原始数据'!$A:$A,0)),""))</f>
        <v/>
      </c>
      <c r="V797">
        <f>IF($A797="","",IFERROR(INDEX('[AQ_2020.xlsx]原始数据'!$F:$F,MATCH($A797,'[AQ_2020.xlsx]原始数据'!$A:$A,0)),""))</f>
        <v/>
      </c>
      <c r="W797">
        <f>IF($A797="","",IFERROR(INDEX('[AQ_2021.xlsx]原始数据'!$F:$F,MATCH($A797,'[AQ_2021.xlsx]原始数据'!$A:$A,0)),""))</f>
        <v/>
      </c>
      <c r="X797">
        <f>IF($A797="","",IFERROR(INDEX('[AQ_2022.xlsx]原始数据'!$F:$F,MATCH($A797,'[AQ_2022.xlsx]原始数据'!$A:$A,0)),""))</f>
        <v/>
      </c>
      <c r="Y797">
        <f>IF($A797="","",IFERROR(INDEX('[AQ_2023.xlsx]原始数据'!$F:$F,MATCH($A797,'[AQ_2023.xlsx]原始数据'!$A:$A,0)),""))</f>
        <v/>
      </c>
      <c r="Z797">
        <f>IF($A797="","",IFERROR(INDEX('[AQ_2024.xlsx]原始数据'!$F:$F,MATCH($A797,'[AQ_2024.xlsx]原始数据'!$A:$A,0)),""))</f>
        <v/>
      </c>
      <c r="AA797" s="2">
        <f>IFERROR(G797/B797,"")</f>
        <v/>
      </c>
      <c r="AB797" s="2">
        <f>IFERROR(H797/C797,"")</f>
        <v/>
      </c>
      <c r="AC797" s="2">
        <f>IFERROR(I797/D797,"")</f>
        <v/>
      </c>
      <c r="AD797" s="2">
        <f>IFERROR(J797/E797,"")</f>
        <v/>
      </c>
      <c r="AE797" s="2">
        <f>IFERROR(K797/F797,"")</f>
        <v/>
      </c>
      <c r="AF797" s="2">
        <f>IFERROR(L797/B797,"")</f>
        <v/>
      </c>
      <c r="AG797" s="2">
        <f>IFERROR(M797/C797,"")</f>
        <v/>
      </c>
      <c r="AH797" s="2">
        <f>IFERROR(N797/D797,"")</f>
        <v/>
      </c>
      <c r="AI797" s="2">
        <f>IFERROR(O797/E797,"")</f>
        <v/>
      </c>
      <c r="AJ797" s="2">
        <f>IFERROR(P797/F797,"")</f>
        <v/>
      </c>
      <c r="AK797" s="2">
        <f>IFERROR(Q797/B797,"")</f>
        <v/>
      </c>
      <c r="AL797" s="2">
        <f>IFERROR(R797/C797,"")</f>
        <v/>
      </c>
      <c r="AM797" s="2">
        <f>IFERROR(S797/D797,"")</f>
        <v/>
      </c>
      <c r="AN797" s="2">
        <f>IFERROR(T797/E797,"")</f>
        <v/>
      </c>
      <c r="AO797" s="2">
        <f>IFERROR(U797/F797,"")</f>
        <v/>
      </c>
    </row>
    <row r="798">
      <c r="B798">
        <f>IF($A798="","",IFERROR(INDEX('[AQ_2020.xlsx]原始数据'!$B:$B,MATCH($A798,'[AQ_2020.xlsx]原始数据'!$A:$A,0)),""))</f>
        <v/>
      </c>
      <c r="C798">
        <f>IF($A798="","",IFERROR(INDEX('[AQ_2021.xlsx]原始数据'!$B:$B,MATCH($A798,'[AQ_2021.xlsx]原始数据'!$A:$A,0)),""))</f>
        <v/>
      </c>
      <c r="D798">
        <f>IF($A798="","",IFERROR(INDEX('[AQ_2022.xlsx]原始数据'!$B:$B,MATCH($A798,'[AQ_2022.xlsx]原始数据'!$A:$A,0)),""))</f>
        <v/>
      </c>
      <c r="E798">
        <f>IF($A798="","",IFERROR(INDEX('[AQ_2023.xlsx]原始数据'!$B:$B,MATCH($A798,'[AQ_2023.xlsx]原始数据'!$A:$A,0)),""))</f>
        <v/>
      </c>
      <c r="F798">
        <f>IF($A798="","",IFERROR(INDEX('[AQ_2024.xlsx]原始数据'!$B:$B,MATCH($A798,'[AQ_2024.xlsx]原始数据'!$A:$A,0)),""))</f>
        <v/>
      </c>
      <c r="G798">
        <f>IF($A798="","",IFERROR(INDEX('[AQ_2020.xlsx]原始数据'!$C:$C,MATCH($A798,'[AQ_2020.xlsx]原始数据'!$A:$A,0)),""))</f>
        <v/>
      </c>
      <c r="H798">
        <f>IF($A798="","",IFERROR(INDEX('[AQ_2021.xlsx]原始数据'!$C:$C,MATCH($A798,'[AQ_2021.xlsx]原始数据'!$A:$A,0)),""))</f>
        <v/>
      </c>
      <c r="I798">
        <f>IF($A798="","",IFERROR(INDEX('[AQ_2022.xlsx]原始数据'!$C:$C,MATCH($A798,'[AQ_2022.xlsx]原始数据'!$A:$A,0)),""))</f>
        <v/>
      </c>
      <c r="J798">
        <f>IF($A798="","",IFERROR(INDEX('[AQ_2023.xlsx]原始数据'!$C:$C,MATCH($A798,'[AQ_2023.xlsx]原始数据'!$A:$A,0)),""))</f>
        <v/>
      </c>
      <c r="K798">
        <f>IF($A798="","",IFERROR(INDEX('[AQ_2024.xlsx]原始数据'!$C:$C,MATCH($A798,'[AQ_2024.xlsx]原始数据'!$A:$A,0)),""))</f>
        <v/>
      </c>
      <c r="L798">
        <f>IF($A798="","",IFERROR(INDEX('[AQ_2020.xlsx]原始数据'!$D:$D,MATCH($A798,'[AQ_2020.xlsx]原始数据'!$A:$A,0)),""))</f>
        <v/>
      </c>
      <c r="M798">
        <f>IF($A798="","",IFERROR(INDEX('[AQ_2021.xlsx]原始数据'!$D:$D,MATCH($A798,'[AQ_2021.xlsx]原始数据'!$A:$A,0)),""))</f>
        <v/>
      </c>
      <c r="N798">
        <f>IF($A798="","",IFERROR(INDEX('[AQ_2022.xlsx]原始数据'!$D:$D,MATCH($A798,'[AQ_2022.xlsx]原始数据'!$A:$A,0)),""))</f>
        <v/>
      </c>
      <c r="O798">
        <f>IF($A798="","",IFERROR(INDEX('[AQ_2023.xlsx]原始数据'!$D:$D,MATCH($A798,'[AQ_2023.xlsx]原始数据'!$A:$A,0)),""))</f>
        <v/>
      </c>
      <c r="P798">
        <f>IF($A798="","",IFERROR(INDEX('[AQ_2024.xlsx]原始数据'!$D:$D,MATCH($A798,'[AQ_2024.xlsx]原始数据'!$A:$A,0)),""))</f>
        <v/>
      </c>
      <c r="Q798">
        <f>IF($A798="","",IFERROR(INDEX('[AQ_2020.xlsx]原始数据'!$E:$E,MATCH($A798,'[AQ_2020.xlsx]原始数据'!$A:$A,0)),""))</f>
        <v/>
      </c>
      <c r="R798">
        <f>IF($A798="","",IFERROR(INDEX('[AQ_2021.xlsx]原始数据'!$E:$E,MATCH($A798,'[AQ_2021.xlsx]原始数据'!$A:$A,0)),""))</f>
        <v/>
      </c>
      <c r="S798">
        <f>IF($A798="","",IFERROR(INDEX('[AQ_2022.xlsx]原始数据'!$E:$E,MATCH($A798,'[AQ_2022.xlsx]原始数据'!$A:$A,0)),""))</f>
        <v/>
      </c>
      <c r="T798">
        <f>IF($A798="","",IFERROR(INDEX('[AQ_2023.xlsx]原始数据'!$E:$E,MATCH($A798,'[AQ_2023.xlsx]原始数据'!$A:$A,0)),""))</f>
        <v/>
      </c>
      <c r="U798">
        <f>IF($A798="","",IFERROR(INDEX('[AQ_2024.xlsx]原始数据'!$E:$E,MATCH($A798,'[AQ_2024.xlsx]原始数据'!$A:$A,0)),""))</f>
        <v/>
      </c>
      <c r="V798">
        <f>IF($A798="","",IFERROR(INDEX('[AQ_2020.xlsx]原始数据'!$F:$F,MATCH($A798,'[AQ_2020.xlsx]原始数据'!$A:$A,0)),""))</f>
        <v/>
      </c>
      <c r="W798">
        <f>IF($A798="","",IFERROR(INDEX('[AQ_2021.xlsx]原始数据'!$F:$F,MATCH($A798,'[AQ_2021.xlsx]原始数据'!$A:$A,0)),""))</f>
        <v/>
      </c>
      <c r="X798">
        <f>IF($A798="","",IFERROR(INDEX('[AQ_2022.xlsx]原始数据'!$F:$F,MATCH($A798,'[AQ_2022.xlsx]原始数据'!$A:$A,0)),""))</f>
        <v/>
      </c>
      <c r="Y798">
        <f>IF($A798="","",IFERROR(INDEX('[AQ_2023.xlsx]原始数据'!$F:$F,MATCH($A798,'[AQ_2023.xlsx]原始数据'!$A:$A,0)),""))</f>
        <v/>
      </c>
      <c r="Z798">
        <f>IF($A798="","",IFERROR(INDEX('[AQ_2024.xlsx]原始数据'!$F:$F,MATCH($A798,'[AQ_2024.xlsx]原始数据'!$A:$A,0)),""))</f>
        <v/>
      </c>
      <c r="AA798" s="2">
        <f>IFERROR(G798/B798,"")</f>
        <v/>
      </c>
      <c r="AB798" s="2">
        <f>IFERROR(H798/C798,"")</f>
        <v/>
      </c>
      <c r="AC798" s="2">
        <f>IFERROR(I798/D798,"")</f>
        <v/>
      </c>
      <c r="AD798" s="2">
        <f>IFERROR(J798/E798,"")</f>
        <v/>
      </c>
      <c r="AE798" s="2">
        <f>IFERROR(K798/F798,"")</f>
        <v/>
      </c>
      <c r="AF798" s="2">
        <f>IFERROR(L798/B798,"")</f>
        <v/>
      </c>
      <c r="AG798" s="2">
        <f>IFERROR(M798/C798,"")</f>
        <v/>
      </c>
      <c r="AH798" s="2">
        <f>IFERROR(N798/D798,"")</f>
        <v/>
      </c>
      <c r="AI798" s="2">
        <f>IFERROR(O798/E798,"")</f>
        <v/>
      </c>
      <c r="AJ798" s="2">
        <f>IFERROR(P798/F798,"")</f>
        <v/>
      </c>
      <c r="AK798" s="2">
        <f>IFERROR(Q798/B798,"")</f>
        <v/>
      </c>
      <c r="AL798" s="2">
        <f>IFERROR(R798/C798,"")</f>
        <v/>
      </c>
      <c r="AM798" s="2">
        <f>IFERROR(S798/D798,"")</f>
        <v/>
      </c>
      <c r="AN798" s="2">
        <f>IFERROR(T798/E798,"")</f>
        <v/>
      </c>
      <c r="AO798" s="2">
        <f>IFERROR(U798/F798,"")</f>
        <v/>
      </c>
    </row>
    <row r="799">
      <c r="B799">
        <f>IF($A799="","",IFERROR(INDEX('[AQ_2020.xlsx]原始数据'!$B:$B,MATCH($A799,'[AQ_2020.xlsx]原始数据'!$A:$A,0)),""))</f>
        <v/>
      </c>
      <c r="C799">
        <f>IF($A799="","",IFERROR(INDEX('[AQ_2021.xlsx]原始数据'!$B:$B,MATCH($A799,'[AQ_2021.xlsx]原始数据'!$A:$A,0)),""))</f>
        <v/>
      </c>
      <c r="D799">
        <f>IF($A799="","",IFERROR(INDEX('[AQ_2022.xlsx]原始数据'!$B:$B,MATCH($A799,'[AQ_2022.xlsx]原始数据'!$A:$A,0)),""))</f>
        <v/>
      </c>
      <c r="E799">
        <f>IF($A799="","",IFERROR(INDEX('[AQ_2023.xlsx]原始数据'!$B:$B,MATCH($A799,'[AQ_2023.xlsx]原始数据'!$A:$A,0)),""))</f>
        <v/>
      </c>
      <c r="F799">
        <f>IF($A799="","",IFERROR(INDEX('[AQ_2024.xlsx]原始数据'!$B:$B,MATCH($A799,'[AQ_2024.xlsx]原始数据'!$A:$A,0)),""))</f>
        <v/>
      </c>
      <c r="G799">
        <f>IF($A799="","",IFERROR(INDEX('[AQ_2020.xlsx]原始数据'!$C:$C,MATCH($A799,'[AQ_2020.xlsx]原始数据'!$A:$A,0)),""))</f>
        <v/>
      </c>
      <c r="H799">
        <f>IF($A799="","",IFERROR(INDEX('[AQ_2021.xlsx]原始数据'!$C:$C,MATCH($A799,'[AQ_2021.xlsx]原始数据'!$A:$A,0)),""))</f>
        <v/>
      </c>
      <c r="I799">
        <f>IF($A799="","",IFERROR(INDEX('[AQ_2022.xlsx]原始数据'!$C:$C,MATCH($A799,'[AQ_2022.xlsx]原始数据'!$A:$A,0)),""))</f>
        <v/>
      </c>
      <c r="J799">
        <f>IF($A799="","",IFERROR(INDEX('[AQ_2023.xlsx]原始数据'!$C:$C,MATCH($A799,'[AQ_2023.xlsx]原始数据'!$A:$A,0)),""))</f>
        <v/>
      </c>
      <c r="K799">
        <f>IF($A799="","",IFERROR(INDEX('[AQ_2024.xlsx]原始数据'!$C:$C,MATCH($A799,'[AQ_2024.xlsx]原始数据'!$A:$A,0)),""))</f>
        <v/>
      </c>
      <c r="L799">
        <f>IF($A799="","",IFERROR(INDEX('[AQ_2020.xlsx]原始数据'!$D:$D,MATCH($A799,'[AQ_2020.xlsx]原始数据'!$A:$A,0)),""))</f>
        <v/>
      </c>
      <c r="M799">
        <f>IF($A799="","",IFERROR(INDEX('[AQ_2021.xlsx]原始数据'!$D:$D,MATCH($A799,'[AQ_2021.xlsx]原始数据'!$A:$A,0)),""))</f>
        <v/>
      </c>
      <c r="N799">
        <f>IF($A799="","",IFERROR(INDEX('[AQ_2022.xlsx]原始数据'!$D:$D,MATCH($A799,'[AQ_2022.xlsx]原始数据'!$A:$A,0)),""))</f>
        <v/>
      </c>
      <c r="O799">
        <f>IF($A799="","",IFERROR(INDEX('[AQ_2023.xlsx]原始数据'!$D:$D,MATCH($A799,'[AQ_2023.xlsx]原始数据'!$A:$A,0)),""))</f>
        <v/>
      </c>
      <c r="P799">
        <f>IF($A799="","",IFERROR(INDEX('[AQ_2024.xlsx]原始数据'!$D:$D,MATCH($A799,'[AQ_2024.xlsx]原始数据'!$A:$A,0)),""))</f>
        <v/>
      </c>
      <c r="Q799">
        <f>IF($A799="","",IFERROR(INDEX('[AQ_2020.xlsx]原始数据'!$E:$E,MATCH($A799,'[AQ_2020.xlsx]原始数据'!$A:$A,0)),""))</f>
        <v/>
      </c>
      <c r="R799">
        <f>IF($A799="","",IFERROR(INDEX('[AQ_2021.xlsx]原始数据'!$E:$E,MATCH($A799,'[AQ_2021.xlsx]原始数据'!$A:$A,0)),""))</f>
        <v/>
      </c>
      <c r="S799">
        <f>IF($A799="","",IFERROR(INDEX('[AQ_2022.xlsx]原始数据'!$E:$E,MATCH($A799,'[AQ_2022.xlsx]原始数据'!$A:$A,0)),""))</f>
        <v/>
      </c>
      <c r="T799">
        <f>IF($A799="","",IFERROR(INDEX('[AQ_2023.xlsx]原始数据'!$E:$E,MATCH($A799,'[AQ_2023.xlsx]原始数据'!$A:$A,0)),""))</f>
        <v/>
      </c>
      <c r="U799">
        <f>IF($A799="","",IFERROR(INDEX('[AQ_2024.xlsx]原始数据'!$E:$E,MATCH($A799,'[AQ_2024.xlsx]原始数据'!$A:$A,0)),""))</f>
        <v/>
      </c>
      <c r="V799">
        <f>IF($A799="","",IFERROR(INDEX('[AQ_2020.xlsx]原始数据'!$F:$F,MATCH($A799,'[AQ_2020.xlsx]原始数据'!$A:$A,0)),""))</f>
        <v/>
      </c>
      <c r="W799">
        <f>IF($A799="","",IFERROR(INDEX('[AQ_2021.xlsx]原始数据'!$F:$F,MATCH($A799,'[AQ_2021.xlsx]原始数据'!$A:$A,0)),""))</f>
        <v/>
      </c>
      <c r="X799">
        <f>IF($A799="","",IFERROR(INDEX('[AQ_2022.xlsx]原始数据'!$F:$F,MATCH($A799,'[AQ_2022.xlsx]原始数据'!$A:$A,0)),""))</f>
        <v/>
      </c>
      <c r="Y799">
        <f>IF($A799="","",IFERROR(INDEX('[AQ_2023.xlsx]原始数据'!$F:$F,MATCH($A799,'[AQ_2023.xlsx]原始数据'!$A:$A,0)),""))</f>
        <v/>
      </c>
      <c r="Z799">
        <f>IF($A799="","",IFERROR(INDEX('[AQ_2024.xlsx]原始数据'!$F:$F,MATCH($A799,'[AQ_2024.xlsx]原始数据'!$A:$A,0)),""))</f>
        <v/>
      </c>
      <c r="AA799" s="2">
        <f>IFERROR(G799/B799,"")</f>
        <v/>
      </c>
      <c r="AB799" s="2">
        <f>IFERROR(H799/C799,"")</f>
        <v/>
      </c>
      <c r="AC799" s="2">
        <f>IFERROR(I799/D799,"")</f>
        <v/>
      </c>
      <c r="AD799" s="2">
        <f>IFERROR(J799/E799,"")</f>
        <v/>
      </c>
      <c r="AE799" s="2">
        <f>IFERROR(K799/F799,"")</f>
        <v/>
      </c>
      <c r="AF799" s="2">
        <f>IFERROR(L799/B799,"")</f>
        <v/>
      </c>
      <c r="AG799" s="2">
        <f>IFERROR(M799/C799,"")</f>
        <v/>
      </c>
      <c r="AH799" s="2">
        <f>IFERROR(N799/D799,"")</f>
        <v/>
      </c>
      <c r="AI799" s="2">
        <f>IFERROR(O799/E799,"")</f>
        <v/>
      </c>
      <c r="AJ799" s="2">
        <f>IFERROR(P799/F799,"")</f>
        <v/>
      </c>
      <c r="AK799" s="2">
        <f>IFERROR(Q799/B799,"")</f>
        <v/>
      </c>
      <c r="AL799" s="2">
        <f>IFERROR(R799/C799,"")</f>
        <v/>
      </c>
      <c r="AM799" s="2">
        <f>IFERROR(S799/D799,"")</f>
        <v/>
      </c>
      <c r="AN799" s="2">
        <f>IFERROR(T799/E799,"")</f>
        <v/>
      </c>
      <c r="AO799" s="2">
        <f>IFERROR(U799/F799,"")</f>
        <v/>
      </c>
    </row>
    <row r="800">
      <c r="B800">
        <f>IF($A800="","",IFERROR(INDEX('[AQ_2020.xlsx]原始数据'!$B:$B,MATCH($A800,'[AQ_2020.xlsx]原始数据'!$A:$A,0)),""))</f>
        <v/>
      </c>
      <c r="C800">
        <f>IF($A800="","",IFERROR(INDEX('[AQ_2021.xlsx]原始数据'!$B:$B,MATCH($A800,'[AQ_2021.xlsx]原始数据'!$A:$A,0)),""))</f>
        <v/>
      </c>
      <c r="D800">
        <f>IF($A800="","",IFERROR(INDEX('[AQ_2022.xlsx]原始数据'!$B:$B,MATCH($A800,'[AQ_2022.xlsx]原始数据'!$A:$A,0)),""))</f>
        <v/>
      </c>
      <c r="E800">
        <f>IF($A800="","",IFERROR(INDEX('[AQ_2023.xlsx]原始数据'!$B:$B,MATCH($A800,'[AQ_2023.xlsx]原始数据'!$A:$A,0)),""))</f>
        <v/>
      </c>
      <c r="F800">
        <f>IF($A800="","",IFERROR(INDEX('[AQ_2024.xlsx]原始数据'!$B:$B,MATCH($A800,'[AQ_2024.xlsx]原始数据'!$A:$A,0)),""))</f>
        <v/>
      </c>
      <c r="G800">
        <f>IF($A800="","",IFERROR(INDEX('[AQ_2020.xlsx]原始数据'!$C:$C,MATCH($A800,'[AQ_2020.xlsx]原始数据'!$A:$A,0)),""))</f>
        <v/>
      </c>
      <c r="H800">
        <f>IF($A800="","",IFERROR(INDEX('[AQ_2021.xlsx]原始数据'!$C:$C,MATCH($A800,'[AQ_2021.xlsx]原始数据'!$A:$A,0)),""))</f>
        <v/>
      </c>
      <c r="I800">
        <f>IF($A800="","",IFERROR(INDEX('[AQ_2022.xlsx]原始数据'!$C:$C,MATCH($A800,'[AQ_2022.xlsx]原始数据'!$A:$A,0)),""))</f>
        <v/>
      </c>
      <c r="J800">
        <f>IF($A800="","",IFERROR(INDEX('[AQ_2023.xlsx]原始数据'!$C:$C,MATCH($A800,'[AQ_2023.xlsx]原始数据'!$A:$A,0)),""))</f>
        <v/>
      </c>
      <c r="K800">
        <f>IF($A800="","",IFERROR(INDEX('[AQ_2024.xlsx]原始数据'!$C:$C,MATCH($A800,'[AQ_2024.xlsx]原始数据'!$A:$A,0)),""))</f>
        <v/>
      </c>
      <c r="L800">
        <f>IF($A800="","",IFERROR(INDEX('[AQ_2020.xlsx]原始数据'!$D:$D,MATCH($A800,'[AQ_2020.xlsx]原始数据'!$A:$A,0)),""))</f>
        <v/>
      </c>
      <c r="M800">
        <f>IF($A800="","",IFERROR(INDEX('[AQ_2021.xlsx]原始数据'!$D:$D,MATCH($A800,'[AQ_2021.xlsx]原始数据'!$A:$A,0)),""))</f>
        <v/>
      </c>
      <c r="N800">
        <f>IF($A800="","",IFERROR(INDEX('[AQ_2022.xlsx]原始数据'!$D:$D,MATCH($A800,'[AQ_2022.xlsx]原始数据'!$A:$A,0)),""))</f>
        <v/>
      </c>
      <c r="O800">
        <f>IF($A800="","",IFERROR(INDEX('[AQ_2023.xlsx]原始数据'!$D:$D,MATCH($A800,'[AQ_2023.xlsx]原始数据'!$A:$A,0)),""))</f>
        <v/>
      </c>
      <c r="P800">
        <f>IF($A800="","",IFERROR(INDEX('[AQ_2024.xlsx]原始数据'!$D:$D,MATCH($A800,'[AQ_2024.xlsx]原始数据'!$A:$A,0)),""))</f>
        <v/>
      </c>
      <c r="Q800">
        <f>IF($A800="","",IFERROR(INDEX('[AQ_2020.xlsx]原始数据'!$E:$E,MATCH($A800,'[AQ_2020.xlsx]原始数据'!$A:$A,0)),""))</f>
        <v/>
      </c>
      <c r="R800">
        <f>IF($A800="","",IFERROR(INDEX('[AQ_2021.xlsx]原始数据'!$E:$E,MATCH($A800,'[AQ_2021.xlsx]原始数据'!$A:$A,0)),""))</f>
        <v/>
      </c>
      <c r="S800">
        <f>IF($A800="","",IFERROR(INDEX('[AQ_2022.xlsx]原始数据'!$E:$E,MATCH($A800,'[AQ_2022.xlsx]原始数据'!$A:$A,0)),""))</f>
        <v/>
      </c>
      <c r="T800">
        <f>IF($A800="","",IFERROR(INDEX('[AQ_2023.xlsx]原始数据'!$E:$E,MATCH($A800,'[AQ_2023.xlsx]原始数据'!$A:$A,0)),""))</f>
        <v/>
      </c>
      <c r="U800">
        <f>IF($A800="","",IFERROR(INDEX('[AQ_2024.xlsx]原始数据'!$E:$E,MATCH($A800,'[AQ_2024.xlsx]原始数据'!$A:$A,0)),""))</f>
        <v/>
      </c>
      <c r="V800">
        <f>IF($A800="","",IFERROR(INDEX('[AQ_2020.xlsx]原始数据'!$F:$F,MATCH($A800,'[AQ_2020.xlsx]原始数据'!$A:$A,0)),""))</f>
        <v/>
      </c>
      <c r="W800">
        <f>IF($A800="","",IFERROR(INDEX('[AQ_2021.xlsx]原始数据'!$F:$F,MATCH($A800,'[AQ_2021.xlsx]原始数据'!$A:$A,0)),""))</f>
        <v/>
      </c>
      <c r="X800">
        <f>IF($A800="","",IFERROR(INDEX('[AQ_2022.xlsx]原始数据'!$F:$F,MATCH($A800,'[AQ_2022.xlsx]原始数据'!$A:$A,0)),""))</f>
        <v/>
      </c>
      <c r="Y800">
        <f>IF($A800="","",IFERROR(INDEX('[AQ_2023.xlsx]原始数据'!$F:$F,MATCH($A800,'[AQ_2023.xlsx]原始数据'!$A:$A,0)),""))</f>
        <v/>
      </c>
      <c r="Z800">
        <f>IF($A800="","",IFERROR(INDEX('[AQ_2024.xlsx]原始数据'!$F:$F,MATCH($A800,'[AQ_2024.xlsx]原始数据'!$A:$A,0)),""))</f>
        <v/>
      </c>
      <c r="AA800" s="2">
        <f>IFERROR(G800/B800,"")</f>
        <v/>
      </c>
      <c r="AB800" s="2">
        <f>IFERROR(H800/C800,"")</f>
        <v/>
      </c>
      <c r="AC800" s="2">
        <f>IFERROR(I800/D800,"")</f>
        <v/>
      </c>
      <c r="AD800" s="2">
        <f>IFERROR(J800/E800,"")</f>
        <v/>
      </c>
      <c r="AE800" s="2">
        <f>IFERROR(K800/F800,"")</f>
        <v/>
      </c>
      <c r="AF800" s="2">
        <f>IFERROR(L800/B800,"")</f>
        <v/>
      </c>
      <c r="AG800" s="2">
        <f>IFERROR(M800/C800,"")</f>
        <v/>
      </c>
      <c r="AH800" s="2">
        <f>IFERROR(N800/D800,"")</f>
        <v/>
      </c>
      <c r="AI800" s="2">
        <f>IFERROR(O800/E800,"")</f>
        <v/>
      </c>
      <c r="AJ800" s="2">
        <f>IFERROR(P800/F800,"")</f>
        <v/>
      </c>
      <c r="AK800" s="2">
        <f>IFERROR(Q800/B800,"")</f>
        <v/>
      </c>
      <c r="AL800" s="2">
        <f>IFERROR(R800/C800,"")</f>
        <v/>
      </c>
      <c r="AM800" s="2">
        <f>IFERROR(S800/D800,"")</f>
        <v/>
      </c>
      <c r="AN800" s="2">
        <f>IFERROR(T800/E800,"")</f>
        <v/>
      </c>
      <c r="AO800" s="2">
        <f>IFERROR(U800/F800,"")</f>
        <v/>
      </c>
    </row>
    <row r="801">
      <c r="B801">
        <f>IF($A801="","",IFERROR(INDEX('[AQ_2020.xlsx]原始数据'!$B:$B,MATCH($A801,'[AQ_2020.xlsx]原始数据'!$A:$A,0)),""))</f>
        <v/>
      </c>
      <c r="C801">
        <f>IF($A801="","",IFERROR(INDEX('[AQ_2021.xlsx]原始数据'!$B:$B,MATCH($A801,'[AQ_2021.xlsx]原始数据'!$A:$A,0)),""))</f>
        <v/>
      </c>
      <c r="D801">
        <f>IF($A801="","",IFERROR(INDEX('[AQ_2022.xlsx]原始数据'!$B:$B,MATCH($A801,'[AQ_2022.xlsx]原始数据'!$A:$A,0)),""))</f>
        <v/>
      </c>
      <c r="E801">
        <f>IF($A801="","",IFERROR(INDEX('[AQ_2023.xlsx]原始数据'!$B:$B,MATCH($A801,'[AQ_2023.xlsx]原始数据'!$A:$A,0)),""))</f>
        <v/>
      </c>
      <c r="F801">
        <f>IF($A801="","",IFERROR(INDEX('[AQ_2024.xlsx]原始数据'!$B:$B,MATCH($A801,'[AQ_2024.xlsx]原始数据'!$A:$A,0)),""))</f>
        <v/>
      </c>
      <c r="G801">
        <f>IF($A801="","",IFERROR(INDEX('[AQ_2020.xlsx]原始数据'!$C:$C,MATCH($A801,'[AQ_2020.xlsx]原始数据'!$A:$A,0)),""))</f>
        <v/>
      </c>
      <c r="H801">
        <f>IF($A801="","",IFERROR(INDEX('[AQ_2021.xlsx]原始数据'!$C:$C,MATCH($A801,'[AQ_2021.xlsx]原始数据'!$A:$A,0)),""))</f>
        <v/>
      </c>
      <c r="I801">
        <f>IF($A801="","",IFERROR(INDEX('[AQ_2022.xlsx]原始数据'!$C:$C,MATCH($A801,'[AQ_2022.xlsx]原始数据'!$A:$A,0)),""))</f>
        <v/>
      </c>
      <c r="J801">
        <f>IF($A801="","",IFERROR(INDEX('[AQ_2023.xlsx]原始数据'!$C:$C,MATCH($A801,'[AQ_2023.xlsx]原始数据'!$A:$A,0)),""))</f>
        <v/>
      </c>
      <c r="K801">
        <f>IF($A801="","",IFERROR(INDEX('[AQ_2024.xlsx]原始数据'!$C:$C,MATCH($A801,'[AQ_2024.xlsx]原始数据'!$A:$A,0)),""))</f>
        <v/>
      </c>
      <c r="L801">
        <f>IF($A801="","",IFERROR(INDEX('[AQ_2020.xlsx]原始数据'!$D:$D,MATCH($A801,'[AQ_2020.xlsx]原始数据'!$A:$A,0)),""))</f>
        <v/>
      </c>
      <c r="M801">
        <f>IF($A801="","",IFERROR(INDEX('[AQ_2021.xlsx]原始数据'!$D:$D,MATCH($A801,'[AQ_2021.xlsx]原始数据'!$A:$A,0)),""))</f>
        <v/>
      </c>
      <c r="N801">
        <f>IF($A801="","",IFERROR(INDEX('[AQ_2022.xlsx]原始数据'!$D:$D,MATCH($A801,'[AQ_2022.xlsx]原始数据'!$A:$A,0)),""))</f>
        <v/>
      </c>
      <c r="O801">
        <f>IF($A801="","",IFERROR(INDEX('[AQ_2023.xlsx]原始数据'!$D:$D,MATCH($A801,'[AQ_2023.xlsx]原始数据'!$A:$A,0)),""))</f>
        <v/>
      </c>
      <c r="P801">
        <f>IF($A801="","",IFERROR(INDEX('[AQ_2024.xlsx]原始数据'!$D:$D,MATCH($A801,'[AQ_2024.xlsx]原始数据'!$A:$A,0)),""))</f>
        <v/>
      </c>
      <c r="Q801">
        <f>IF($A801="","",IFERROR(INDEX('[AQ_2020.xlsx]原始数据'!$E:$E,MATCH($A801,'[AQ_2020.xlsx]原始数据'!$A:$A,0)),""))</f>
        <v/>
      </c>
      <c r="R801">
        <f>IF($A801="","",IFERROR(INDEX('[AQ_2021.xlsx]原始数据'!$E:$E,MATCH($A801,'[AQ_2021.xlsx]原始数据'!$A:$A,0)),""))</f>
        <v/>
      </c>
      <c r="S801">
        <f>IF($A801="","",IFERROR(INDEX('[AQ_2022.xlsx]原始数据'!$E:$E,MATCH($A801,'[AQ_2022.xlsx]原始数据'!$A:$A,0)),""))</f>
        <v/>
      </c>
      <c r="T801">
        <f>IF($A801="","",IFERROR(INDEX('[AQ_2023.xlsx]原始数据'!$E:$E,MATCH($A801,'[AQ_2023.xlsx]原始数据'!$A:$A,0)),""))</f>
        <v/>
      </c>
      <c r="U801">
        <f>IF($A801="","",IFERROR(INDEX('[AQ_2024.xlsx]原始数据'!$E:$E,MATCH($A801,'[AQ_2024.xlsx]原始数据'!$A:$A,0)),""))</f>
        <v/>
      </c>
      <c r="V801">
        <f>IF($A801="","",IFERROR(INDEX('[AQ_2020.xlsx]原始数据'!$F:$F,MATCH($A801,'[AQ_2020.xlsx]原始数据'!$A:$A,0)),""))</f>
        <v/>
      </c>
      <c r="W801">
        <f>IF($A801="","",IFERROR(INDEX('[AQ_2021.xlsx]原始数据'!$F:$F,MATCH($A801,'[AQ_2021.xlsx]原始数据'!$A:$A,0)),""))</f>
        <v/>
      </c>
      <c r="X801">
        <f>IF($A801="","",IFERROR(INDEX('[AQ_2022.xlsx]原始数据'!$F:$F,MATCH($A801,'[AQ_2022.xlsx]原始数据'!$A:$A,0)),""))</f>
        <v/>
      </c>
      <c r="Y801">
        <f>IF($A801="","",IFERROR(INDEX('[AQ_2023.xlsx]原始数据'!$F:$F,MATCH($A801,'[AQ_2023.xlsx]原始数据'!$A:$A,0)),""))</f>
        <v/>
      </c>
      <c r="Z801">
        <f>IF($A801="","",IFERROR(INDEX('[AQ_2024.xlsx]原始数据'!$F:$F,MATCH($A801,'[AQ_2024.xlsx]原始数据'!$A:$A,0)),""))</f>
        <v/>
      </c>
      <c r="AA801" s="2">
        <f>IFERROR(G801/B801,"")</f>
        <v/>
      </c>
      <c r="AB801" s="2">
        <f>IFERROR(H801/C801,"")</f>
        <v/>
      </c>
      <c r="AC801" s="2">
        <f>IFERROR(I801/D801,"")</f>
        <v/>
      </c>
      <c r="AD801" s="2">
        <f>IFERROR(J801/E801,"")</f>
        <v/>
      </c>
      <c r="AE801" s="2">
        <f>IFERROR(K801/F801,"")</f>
        <v/>
      </c>
      <c r="AF801" s="2">
        <f>IFERROR(L801/B801,"")</f>
        <v/>
      </c>
      <c r="AG801" s="2">
        <f>IFERROR(M801/C801,"")</f>
        <v/>
      </c>
      <c r="AH801" s="2">
        <f>IFERROR(N801/D801,"")</f>
        <v/>
      </c>
      <c r="AI801" s="2">
        <f>IFERROR(O801/E801,"")</f>
        <v/>
      </c>
      <c r="AJ801" s="2">
        <f>IFERROR(P801/F801,"")</f>
        <v/>
      </c>
      <c r="AK801" s="2">
        <f>IFERROR(Q801/B801,"")</f>
        <v/>
      </c>
      <c r="AL801" s="2">
        <f>IFERROR(R801/C801,"")</f>
        <v/>
      </c>
      <c r="AM801" s="2">
        <f>IFERROR(S801/D801,"")</f>
        <v/>
      </c>
      <c r="AN801" s="2">
        <f>IFERROR(T801/E801,"")</f>
        <v/>
      </c>
      <c r="AO801" s="2">
        <f>IFERROR(U801/F801,"")</f>
        <v/>
      </c>
    </row>
    <row r="802">
      <c r="B802">
        <f>IF($A802="","",IFERROR(INDEX('[AQ_2020.xlsx]原始数据'!$B:$B,MATCH($A802,'[AQ_2020.xlsx]原始数据'!$A:$A,0)),""))</f>
        <v/>
      </c>
      <c r="C802">
        <f>IF($A802="","",IFERROR(INDEX('[AQ_2021.xlsx]原始数据'!$B:$B,MATCH($A802,'[AQ_2021.xlsx]原始数据'!$A:$A,0)),""))</f>
        <v/>
      </c>
      <c r="D802">
        <f>IF($A802="","",IFERROR(INDEX('[AQ_2022.xlsx]原始数据'!$B:$B,MATCH($A802,'[AQ_2022.xlsx]原始数据'!$A:$A,0)),""))</f>
        <v/>
      </c>
      <c r="E802">
        <f>IF($A802="","",IFERROR(INDEX('[AQ_2023.xlsx]原始数据'!$B:$B,MATCH($A802,'[AQ_2023.xlsx]原始数据'!$A:$A,0)),""))</f>
        <v/>
      </c>
      <c r="F802">
        <f>IF($A802="","",IFERROR(INDEX('[AQ_2024.xlsx]原始数据'!$B:$B,MATCH($A802,'[AQ_2024.xlsx]原始数据'!$A:$A,0)),""))</f>
        <v/>
      </c>
      <c r="G802">
        <f>IF($A802="","",IFERROR(INDEX('[AQ_2020.xlsx]原始数据'!$C:$C,MATCH($A802,'[AQ_2020.xlsx]原始数据'!$A:$A,0)),""))</f>
        <v/>
      </c>
      <c r="H802">
        <f>IF($A802="","",IFERROR(INDEX('[AQ_2021.xlsx]原始数据'!$C:$C,MATCH($A802,'[AQ_2021.xlsx]原始数据'!$A:$A,0)),""))</f>
        <v/>
      </c>
      <c r="I802">
        <f>IF($A802="","",IFERROR(INDEX('[AQ_2022.xlsx]原始数据'!$C:$C,MATCH($A802,'[AQ_2022.xlsx]原始数据'!$A:$A,0)),""))</f>
        <v/>
      </c>
      <c r="J802">
        <f>IF($A802="","",IFERROR(INDEX('[AQ_2023.xlsx]原始数据'!$C:$C,MATCH($A802,'[AQ_2023.xlsx]原始数据'!$A:$A,0)),""))</f>
        <v/>
      </c>
      <c r="K802">
        <f>IF($A802="","",IFERROR(INDEX('[AQ_2024.xlsx]原始数据'!$C:$C,MATCH($A802,'[AQ_2024.xlsx]原始数据'!$A:$A,0)),""))</f>
        <v/>
      </c>
      <c r="L802">
        <f>IF($A802="","",IFERROR(INDEX('[AQ_2020.xlsx]原始数据'!$D:$D,MATCH($A802,'[AQ_2020.xlsx]原始数据'!$A:$A,0)),""))</f>
        <v/>
      </c>
      <c r="M802">
        <f>IF($A802="","",IFERROR(INDEX('[AQ_2021.xlsx]原始数据'!$D:$D,MATCH($A802,'[AQ_2021.xlsx]原始数据'!$A:$A,0)),""))</f>
        <v/>
      </c>
      <c r="N802">
        <f>IF($A802="","",IFERROR(INDEX('[AQ_2022.xlsx]原始数据'!$D:$D,MATCH($A802,'[AQ_2022.xlsx]原始数据'!$A:$A,0)),""))</f>
        <v/>
      </c>
      <c r="O802">
        <f>IF($A802="","",IFERROR(INDEX('[AQ_2023.xlsx]原始数据'!$D:$D,MATCH($A802,'[AQ_2023.xlsx]原始数据'!$A:$A,0)),""))</f>
        <v/>
      </c>
      <c r="P802">
        <f>IF($A802="","",IFERROR(INDEX('[AQ_2024.xlsx]原始数据'!$D:$D,MATCH($A802,'[AQ_2024.xlsx]原始数据'!$A:$A,0)),""))</f>
        <v/>
      </c>
      <c r="Q802">
        <f>IF($A802="","",IFERROR(INDEX('[AQ_2020.xlsx]原始数据'!$E:$E,MATCH($A802,'[AQ_2020.xlsx]原始数据'!$A:$A,0)),""))</f>
        <v/>
      </c>
      <c r="R802">
        <f>IF($A802="","",IFERROR(INDEX('[AQ_2021.xlsx]原始数据'!$E:$E,MATCH($A802,'[AQ_2021.xlsx]原始数据'!$A:$A,0)),""))</f>
        <v/>
      </c>
      <c r="S802">
        <f>IF($A802="","",IFERROR(INDEX('[AQ_2022.xlsx]原始数据'!$E:$E,MATCH($A802,'[AQ_2022.xlsx]原始数据'!$A:$A,0)),""))</f>
        <v/>
      </c>
      <c r="T802">
        <f>IF($A802="","",IFERROR(INDEX('[AQ_2023.xlsx]原始数据'!$E:$E,MATCH($A802,'[AQ_2023.xlsx]原始数据'!$A:$A,0)),""))</f>
        <v/>
      </c>
      <c r="U802">
        <f>IF($A802="","",IFERROR(INDEX('[AQ_2024.xlsx]原始数据'!$E:$E,MATCH($A802,'[AQ_2024.xlsx]原始数据'!$A:$A,0)),""))</f>
        <v/>
      </c>
      <c r="V802">
        <f>IF($A802="","",IFERROR(INDEX('[AQ_2020.xlsx]原始数据'!$F:$F,MATCH($A802,'[AQ_2020.xlsx]原始数据'!$A:$A,0)),""))</f>
        <v/>
      </c>
      <c r="W802">
        <f>IF($A802="","",IFERROR(INDEX('[AQ_2021.xlsx]原始数据'!$F:$F,MATCH($A802,'[AQ_2021.xlsx]原始数据'!$A:$A,0)),""))</f>
        <v/>
      </c>
      <c r="X802">
        <f>IF($A802="","",IFERROR(INDEX('[AQ_2022.xlsx]原始数据'!$F:$F,MATCH($A802,'[AQ_2022.xlsx]原始数据'!$A:$A,0)),""))</f>
        <v/>
      </c>
      <c r="Y802">
        <f>IF($A802="","",IFERROR(INDEX('[AQ_2023.xlsx]原始数据'!$F:$F,MATCH($A802,'[AQ_2023.xlsx]原始数据'!$A:$A,0)),""))</f>
        <v/>
      </c>
      <c r="Z802">
        <f>IF($A802="","",IFERROR(INDEX('[AQ_2024.xlsx]原始数据'!$F:$F,MATCH($A802,'[AQ_2024.xlsx]原始数据'!$A:$A,0)),""))</f>
        <v/>
      </c>
      <c r="AA802" s="2">
        <f>IFERROR(G802/B802,"")</f>
        <v/>
      </c>
      <c r="AB802" s="2">
        <f>IFERROR(H802/C802,"")</f>
        <v/>
      </c>
      <c r="AC802" s="2">
        <f>IFERROR(I802/D802,"")</f>
        <v/>
      </c>
      <c r="AD802" s="2">
        <f>IFERROR(J802/E802,"")</f>
        <v/>
      </c>
      <c r="AE802" s="2">
        <f>IFERROR(K802/F802,"")</f>
        <v/>
      </c>
      <c r="AF802" s="2">
        <f>IFERROR(L802/B802,"")</f>
        <v/>
      </c>
      <c r="AG802" s="2">
        <f>IFERROR(M802/C802,"")</f>
        <v/>
      </c>
      <c r="AH802" s="2">
        <f>IFERROR(N802/D802,"")</f>
        <v/>
      </c>
      <c r="AI802" s="2">
        <f>IFERROR(O802/E802,"")</f>
        <v/>
      </c>
      <c r="AJ802" s="2">
        <f>IFERROR(P802/F802,"")</f>
        <v/>
      </c>
      <c r="AK802" s="2">
        <f>IFERROR(Q802/B802,"")</f>
        <v/>
      </c>
      <c r="AL802" s="2">
        <f>IFERROR(R802/C802,"")</f>
        <v/>
      </c>
      <c r="AM802" s="2">
        <f>IFERROR(S802/D802,"")</f>
        <v/>
      </c>
      <c r="AN802" s="2">
        <f>IFERROR(T802/E802,"")</f>
        <v/>
      </c>
      <c r="AO802" s="2">
        <f>IFERROR(U802/F802,"")</f>
        <v/>
      </c>
    </row>
    <row r="803">
      <c r="B803">
        <f>IF($A803="","",IFERROR(INDEX('[AQ_2020.xlsx]原始数据'!$B:$B,MATCH($A803,'[AQ_2020.xlsx]原始数据'!$A:$A,0)),""))</f>
        <v/>
      </c>
      <c r="C803">
        <f>IF($A803="","",IFERROR(INDEX('[AQ_2021.xlsx]原始数据'!$B:$B,MATCH($A803,'[AQ_2021.xlsx]原始数据'!$A:$A,0)),""))</f>
        <v/>
      </c>
      <c r="D803">
        <f>IF($A803="","",IFERROR(INDEX('[AQ_2022.xlsx]原始数据'!$B:$B,MATCH($A803,'[AQ_2022.xlsx]原始数据'!$A:$A,0)),""))</f>
        <v/>
      </c>
      <c r="E803">
        <f>IF($A803="","",IFERROR(INDEX('[AQ_2023.xlsx]原始数据'!$B:$B,MATCH($A803,'[AQ_2023.xlsx]原始数据'!$A:$A,0)),""))</f>
        <v/>
      </c>
      <c r="F803">
        <f>IF($A803="","",IFERROR(INDEX('[AQ_2024.xlsx]原始数据'!$B:$B,MATCH($A803,'[AQ_2024.xlsx]原始数据'!$A:$A,0)),""))</f>
        <v/>
      </c>
      <c r="G803">
        <f>IF($A803="","",IFERROR(INDEX('[AQ_2020.xlsx]原始数据'!$C:$C,MATCH($A803,'[AQ_2020.xlsx]原始数据'!$A:$A,0)),""))</f>
        <v/>
      </c>
      <c r="H803">
        <f>IF($A803="","",IFERROR(INDEX('[AQ_2021.xlsx]原始数据'!$C:$C,MATCH($A803,'[AQ_2021.xlsx]原始数据'!$A:$A,0)),""))</f>
        <v/>
      </c>
      <c r="I803">
        <f>IF($A803="","",IFERROR(INDEX('[AQ_2022.xlsx]原始数据'!$C:$C,MATCH($A803,'[AQ_2022.xlsx]原始数据'!$A:$A,0)),""))</f>
        <v/>
      </c>
      <c r="J803">
        <f>IF($A803="","",IFERROR(INDEX('[AQ_2023.xlsx]原始数据'!$C:$C,MATCH($A803,'[AQ_2023.xlsx]原始数据'!$A:$A,0)),""))</f>
        <v/>
      </c>
      <c r="K803">
        <f>IF($A803="","",IFERROR(INDEX('[AQ_2024.xlsx]原始数据'!$C:$C,MATCH($A803,'[AQ_2024.xlsx]原始数据'!$A:$A,0)),""))</f>
        <v/>
      </c>
      <c r="L803">
        <f>IF($A803="","",IFERROR(INDEX('[AQ_2020.xlsx]原始数据'!$D:$D,MATCH($A803,'[AQ_2020.xlsx]原始数据'!$A:$A,0)),""))</f>
        <v/>
      </c>
      <c r="M803">
        <f>IF($A803="","",IFERROR(INDEX('[AQ_2021.xlsx]原始数据'!$D:$D,MATCH($A803,'[AQ_2021.xlsx]原始数据'!$A:$A,0)),""))</f>
        <v/>
      </c>
      <c r="N803">
        <f>IF($A803="","",IFERROR(INDEX('[AQ_2022.xlsx]原始数据'!$D:$D,MATCH($A803,'[AQ_2022.xlsx]原始数据'!$A:$A,0)),""))</f>
        <v/>
      </c>
      <c r="O803">
        <f>IF($A803="","",IFERROR(INDEX('[AQ_2023.xlsx]原始数据'!$D:$D,MATCH($A803,'[AQ_2023.xlsx]原始数据'!$A:$A,0)),""))</f>
        <v/>
      </c>
      <c r="P803">
        <f>IF($A803="","",IFERROR(INDEX('[AQ_2024.xlsx]原始数据'!$D:$D,MATCH($A803,'[AQ_2024.xlsx]原始数据'!$A:$A,0)),""))</f>
        <v/>
      </c>
      <c r="Q803">
        <f>IF($A803="","",IFERROR(INDEX('[AQ_2020.xlsx]原始数据'!$E:$E,MATCH($A803,'[AQ_2020.xlsx]原始数据'!$A:$A,0)),""))</f>
        <v/>
      </c>
      <c r="R803">
        <f>IF($A803="","",IFERROR(INDEX('[AQ_2021.xlsx]原始数据'!$E:$E,MATCH($A803,'[AQ_2021.xlsx]原始数据'!$A:$A,0)),""))</f>
        <v/>
      </c>
      <c r="S803">
        <f>IF($A803="","",IFERROR(INDEX('[AQ_2022.xlsx]原始数据'!$E:$E,MATCH($A803,'[AQ_2022.xlsx]原始数据'!$A:$A,0)),""))</f>
        <v/>
      </c>
      <c r="T803">
        <f>IF($A803="","",IFERROR(INDEX('[AQ_2023.xlsx]原始数据'!$E:$E,MATCH($A803,'[AQ_2023.xlsx]原始数据'!$A:$A,0)),""))</f>
        <v/>
      </c>
      <c r="U803">
        <f>IF($A803="","",IFERROR(INDEX('[AQ_2024.xlsx]原始数据'!$E:$E,MATCH($A803,'[AQ_2024.xlsx]原始数据'!$A:$A,0)),""))</f>
        <v/>
      </c>
      <c r="V803">
        <f>IF($A803="","",IFERROR(INDEX('[AQ_2020.xlsx]原始数据'!$F:$F,MATCH($A803,'[AQ_2020.xlsx]原始数据'!$A:$A,0)),""))</f>
        <v/>
      </c>
      <c r="W803">
        <f>IF($A803="","",IFERROR(INDEX('[AQ_2021.xlsx]原始数据'!$F:$F,MATCH($A803,'[AQ_2021.xlsx]原始数据'!$A:$A,0)),""))</f>
        <v/>
      </c>
      <c r="X803">
        <f>IF($A803="","",IFERROR(INDEX('[AQ_2022.xlsx]原始数据'!$F:$F,MATCH($A803,'[AQ_2022.xlsx]原始数据'!$A:$A,0)),""))</f>
        <v/>
      </c>
      <c r="Y803">
        <f>IF($A803="","",IFERROR(INDEX('[AQ_2023.xlsx]原始数据'!$F:$F,MATCH($A803,'[AQ_2023.xlsx]原始数据'!$A:$A,0)),""))</f>
        <v/>
      </c>
      <c r="Z803">
        <f>IF($A803="","",IFERROR(INDEX('[AQ_2024.xlsx]原始数据'!$F:$F,MATCH($A803,'[AQ_2024.xlsx]原始数据'!$A:$A,0)),""))</f>
        <v/>
      </c>
      <c r="AA803" s="2">
        <f>IFERROR(G803/B803,"")</f>
        <v/>
      </c>
      <c r="AB803" s="2">
        <f>IFERROR(H803/C803,"")</f>
        <v/>
      </c>
      <c r="AC803" s="2">
        <f>IFERROR(I803/D803,"")</f>
        <v/>
      </c>
      <c r="AD803" s="2">
        <f>IFERROR(J803/E803,"")</f>
        <v/>
      </c>
      <c r="AE803" s="2">
        <f>IFERROR(K803/F803,"")</f>
        <v/>
      </c>
      <c r="AF803" s="2">
        <f>IFERROR(L803/B803,"")</f>
        <v/>
      </c>
      <c r="AG803" s="2">
        <f>IFERROR(M803/C803,"")</f>
        <v/>
      </c>
      <c r="AH803" s="2">
        <f>IFERROR(N803/D803,"")</f>
        <v/>
      </c>
      <c r="AI803" s="2">
        <f>IFERROR(O803/E803,"")</f>
        <v/>
      </c>
      <c r="AJ803" s="2">
        <f>IFERROR(P803/F803,"")</f>
        <v/>
      </c>
      <c r="AK803" s="2">
        <f>IFERROR(Q803/B803,"")</f>
        <v/>
      </c>
      <c r="AL803" s="2">
        <f>IFERROR(R803/C803,"")</f>
        <v/>
      </c>
      <c r="AM803" s="2">
        <f>IFERROR(S803/D803,"")</f>
        <v/>
      </c>
      <c r="AN803" s="2">
        <f>IFERROR(T803/E803,"")</f>
        <v/>
      </c>
      <c r="AO803" s="2">
        <f>IFERROR(U803/F803,"")</f>
        <v/>
      </c>
    </row>
    <row r="804">
      <c r="B804">
        <f>IF($A804="","",IFERROR(INDEX('[AQ_2020.xlsx]原始数据'!$B:$B,MATCH($A804,'[AQ_2020.xlsx]原始数据'!$A:$A,0)),""))</f>
        <v/>
      </c>
      <c r="C804">
        <f>IF($A804="","",IFERROR(INDEX('[AQ_2021.xlsx]原始数据'!$B:$B,MATCH($A804,'[AQ_2021.xlsx]原始数据'!$A:$A,0)),""))</f>
        <v/>
      </c>
      <c r="D804">
        <f>IF($A804="","",IFERROR(INDEX('[AQ_2022.xlsx]原始数据'!$B:$B,MATCH($A804,'[AQ_2022.xlsx]原始数据'!$A:$A,0)),""))</f>
        <v/>
      </c>
      <c r="E804">
        <f>IF($A804="","",IFERROR(INDEX('[AQ_2023.xlsx]原始数据'!$B:$B,MATCH($A804,'[AQ_2023.xlsx]原始数据'!$A:$A,0)),""))</f>
        <v/>
      </c>
      <c r="F804">
        <f>IF($A804="","",IFERROR(INDEX('[AQ_2024.xlsx]原始数据'!$B:$B,MATCH($A804,'[AQ_2024.xlsx]原始数据'!$A:$A,0)),""))</f>
        <v/>
      </c>
      <c r="G804">
        <f>IF($A804="","",IFERROR(INDEX('[AQ_2020.xlsx]原始数据'!$C:$C,MATCH($A804,'[AQ_2020.xlsx]原始数据'!$A:$A,0)),""))</f>
        <v/>
      </c>
      <c r="H804">
        <f>IF($A804="","",IFERROR(INDEX('[AQ_2021.xlsx]原始数据'!$C:$C,MATCH($A804,'[AQ_2021.xlsx]原始数据'!$A:$A,0)),""))</f>
        <v/>
      </c>
      <c r="I804">
        <f>IF($A804="","",IFERROR(INDEX('[AQ_2022.xlsx]原始数据'!$C:$C,MATCH($A804,'[AQ_2022.xlsx]原始数据'!$A:$A,0)),""))</f>
        <v/>
      </c>
      <c r="J804">
        <f>IF($A804="","",IFERROR(INDEX('[AQ_2023.xlsx]原始数据'!$C:$C,MATCH($A804,'[AQ_2023.xlsx]原始数据'!$A:$A,0)),""))</f>
        <v/>
      </c>
      <c r="K804">
        <f>IF($A804="","",IFERROR(INDEX('[AQ_2024.xlsx]原始数据'!$C:$C,MATCH($A804,'[AQ_2024.xlsx]原始数据'!$A:$A,0)),""))</f>
        <v/>
      </c>
      <c r="L804">
        <f>IF($A804="","",IFERROR(INDEX('[AQ_2020.xlsx]原始数据'!$D:$D,MATCH($A804,'[AQ_2020.xlsx]原始数据'!$A:$A,0)),""))</f>
        <v/>
      </c>
      <c r="M804">
        <f>IF($A804="","",IFERROR(INDEX('[AQ_2021.xlsx]原始数据'!$D:$D,MATCH($A804,'[AQ_2021.xlsx]原始数据'!$A:$A,0)),""))</f>
        <v/>
      </c>
      <c r="N804">
        <f>IF($A804="","",IFERROR(INDEX('[AQ_2022.xlsx]原始数据'!$D:$D,MATCH($A804,'[AQ_2022.xlsx]原始数据'!$A:$A,0)),""))</f>
        <v/>
      </c>
      <c r="O804">
        <f>IF($A804="","",IFERROR(INDEX('[AQ_2023.xlsx]原始数据'!$D:$D,MATCH($A804,'[AQ_2023.xlsx]原始数据'!$A:$A,0)),""))</f>
        <v/>
      </c>
      <c r="P804">
        <f>IF($A804="","",IFERROR(INDEX('[AQ_2024.xlsx]原始数据'!$D:$D,MATCH($A804,'[AQ_2024.xlsx]原始数据'!$A:$A,0)),""))</f>
        <v/>
      </c>
      <c r="Q804">
        <f>IF($A804="","",IFERROR(INDEX('[AQ_2020.xlsx]原始数据'!$E:$E,MATCH($A804,'[AQ_2020.xlsx]原始数据'!$A:$A,0)),""))</f>
        <v/>
      </c>
      <c r="R804">
        <f>IF($A804="","",IFERROR(INDEX('[AQ_2021.xlsx]原始数据'!$E:$E,MATCH($A804,'[AQ_2021.xlsx]原始数据'!$A:$A,0)),""))</f>
        <v/>
      </c>
      <c r="S804">
        <f>IF($A804="","",IFERROR(INDEX('[AQ_2022.xlsx]原始数据'!$E:$E,MATCH($A804,'[AQ_2022.xlsx]原始数据'!$A:$A,0)),""))</f>
        <v/>
      </c>
      <c r="T804">
        <f>IF($A804="","",IFERROR(INDEX('[AQ_2023.xlsx]原始数据'!$E:$E,MATCH($A804,'[AQ_2023.xlsx]原始数据'!$A:$A,0)),""))</f>
        <v/>
      </c>
      <c r="U804">
        <f>IF($A804="","",IFERROR(INDEX('[AQ_2024.xlsx]原始数据'!$E:$E,MATCH($A804,'[AQ_2024.xlsx]原始数据'!$A:$A,0)),""))</f>
        <v/>
      </c>
      <c r="V804">
        <f>IF($A804="","",IFERROR(INDEX('[AQ_2020.xlsx]原始数据'!$F:$F,MATCH($A804,'[AQ_2020.xlsx]原始数据'!$A:$A,0)),""))</f>
        <v/>
      </c>
      <c r="W804">
        <f>IF($A804="","",IFERROR(INDEX('[AQ_2021.xlsx]原始数据'!$F:$F,MATCH($A804,'[AQ_2021.xlsx]原始数据'!$A:$A,0)),""))</f>
        <v/>
      </c>
      <c r="X804">
        <f>IF($A804="","",IFERROR(INDEX('[AQ_2022.xlsx]原始数据'!$F:$F,MATCH($A804,'[AQ_2022.xlsx]原始数据'!$A:$A,0)),""))</f>
        <v/>
      </c>
      <c r="Y804">
        <f>IF($A804="","",IFERROR(INDEX('[AQ_2023.xlsx]原始数据'!$F:$F,MATCH($A804,'[AQ_2023.xlsx]原始数据'!$A:$A,0)),""))</f>
        <v/>
      </c>
      <c r="Z804">
        <f>IF($A804="","",IFERROR(INDEX('[AQ_2024.xlsx]原始数据'!$F:$F,MATCH($A804,'[AQ_2024.xlsx]原始数据'!$A:$A,0)),""))</f>
        <v/>
      </c>
      <c r="AA804" s="2">
        <f>IFERROR(G804/B804,"")</f>
        <v/>
      </c>
      <c r="AB804" s="2">
        <f>IFERROR(H804/C804,"")</f>
        <v/>
      </c>
      <c r="AC804" s="2">
        <f>IFERROR(I804/D804,"")</f>
        <v/>
      </c>
      <c r="AD804" s="2">
        <f>IFERROR(J804/E804,"")</f>
        <v/>
      </c>
      <c r="AE804" s="2">
        <f>IFERROR(K804/F804,"")</f>
        <v/>
      </c>
      <c r="AF804" s="2">
        <f>IFERROR(L804/B804,"")</f>
        <v/>
      </c>
      <c r="AG804" s="2">
        <f>IFERROR(M804/C804,"")</f>
        <v/>
      </c>
      <c r="AH804" s="2">
        <f>IFERROR(N804/D804,"")</f>
        <v/>
      </c>
      <c r="AI804" s="2">
        <f>IFERROR(O804/E804,"")</f>
        <v/>
      </c>
      <c r="AJ804" s="2">
        <f>IFERROR(P804/F804,"")</f>
        <v/>
      </c>
      <c r="AK804" s="2">
        <f>IFERROR(Q804/B804,"")</f>
        <v/>
      </c>
      <c r="AL804" s="2">
        <f>IFERROR(R804/C804,"")</f>
        <v/>
      </c>
      <c r="AM804" s="2">
        <f>IFERROR(S804/D804,"")</f>
        <v/>
      </c>
      <c r="AN804" s="2">
        <f>IFERROR(T804/E804,"")</f>
        <v/>
      </c>
      <c r="AO804" s="2">
        <f>IFERROR(U804/F804,"")</f>
        <v/>
      </c>
    </row>
    <row r="805">
      <c r="B805">
        <f>IF($A805="","",IFERROR(INDEX('[AQ_2020.xlsx]原始数据'!$B:$B,MATCH($A805,'[AQ_2020.xlsx]原始数据'!$A:$A,0)),""))</f>
        <v/>
      </c>
      <c r="C805">
        <f>IF($A805="","",IFERROR(INDEX('[AQ_2021.xlsx]原始数据'!$B:$B,MATCH($A805,'[AQ_2021.xlsx]原始数据'!$A:$A,0)),""))</f>
        <v/>
      </c>
      <c r="D805">
        <f>IF($A805="","",IFERROR(INDEX('[AQ_2022.xlsx]原始数据'!$B:$B,MATCH($A805,'[AQ_2022.xlsx]原始数据'!$A:$A,0)),""))</f>
        <v/>
      </c>
      <c r="E805">
        <f>IF($A805="","",IFERROR(INDEX('[AQ_2023.xlsx]原始数据'!$B:$B,MATCH($A805,'[AQ_2023.xlsx]原始数据'!$A:$A,0)),""))</f>
        <v/>
      </c>
      <c r="F805">
        <f>IF($A805="","",IFERROR(INDEX('[AQ_2024.xlsx]原始数据'!$B:$B,MATCH($A805,'[AQ_2024.xlsx]原始数据'!$A:$A,0)),""))</f>
        <v/>
      </c>
      <c r="G805">
        <f>IF($A805="","",IFERROR(INDEX('[AQ_2020.xlsx]原始数据'!$C:$C,MATCH($A805,'[AQ_2020.xlsx]原始数据'!$A:$A,0)),""))</f>
        <v/>
      </c>
      <c r="H805">
        <f>IF($A805="","",IFERROR(INDEX('[AQ_2021.xlsx]原始数据'!$C:$C,MATCH($A805,'[AQ_2021.xlsx]原始数据'!$A:$A,0)),""))</f>
        <v/>
      </c>
      <c r="I805">
        <f>IF($A805="","",IFERROR(INDEX('[AQ_2022.xlsx]原始数据'!$C:$C,MATCH($A805,'[AQ_2022.xlsx]原始数据'!$A:$A,0)),""))</f>
        <v/>
      </c>
      <c r="J805">
        <f>IF($A805="","",IFERROR(INDEX('[AQ_2023.xlsx]原始数据'!$C:$C,MATCH($A805,'[AQ_2023.xlsx]原始数据'!$A:$A,0)),""))</f>
        <v/>
      </c>
      <c r="K805">
        <f>IF($A805="","",IFERROR(INDEX('[AQ_2024.xlsx]原始数据'!$C:$C,MATCH($A805,'[AQ_2024.xlsx]原始数据'!$A:$A,0)),""))</f>
        <v/>
      </c>
      <c r="L805">
        <f>IF($A805="","",IFERROR(INDEX('[AQ_2020.xlsx]原始数据'!$D:$D,MATCH($A805,'[AQ_2020.xlsx]原始数据'!$A:$A,0)),""))</f>
        <v/>
      </c>
      <c r="M805">
        <f>IF($A805="","",IFERROR(INDEX('[AQ_2021.xlsx]原始数据'!$D:$D,MATCH($A805,'[AQ_2021.xlsx]原始数据'!$A:$A,0)),""))</f>
        <v/>
      </c>
      <c r="N805">
        <f>IF($A805="","",IFERROR(INDEX('[AQ_2022.xlsx]原始数据'!$D:$D,MATCH($A805,'[AQ_2022.xlsx]原始数据'!$A:$A,0)),""))</f>
        <v/>
      </c>
      <c r="O805">
        <f>IF($A805="","",IFERROR(INDEX('[AQ_2023.xlsx]原始数据'!$D:$D,MATCH($A805,'[AQ_2023.xlsx]原始数据'!$A:$A,0)),""))</f>
        <v/>
      </c>
      <c r="P805">
        <f>IF($A805="","",IFERROR(INDEX('[AQ_2024.xlsx]原始数据'!$D:$D,MATCH($A805,'[AQ_2024.xlsx]原始数据'!$A:$A,0)),""))</f>
        <v/>
      </c>
      <c r="Q805">
        <f>IF($A805="","",IFERROR(INDEX('[AQ_2020.xlsx]原始数据'!$E:$E,MATCH($A805,'[AQ_2020.xlsx]原始数据'!$A:$A,0)),""))</f>
        <v/>
      </c>
      <c r="R805">
        <f>IF($A805="","",IFERROR(INDEX('[AQ_2021.xlsx]原始数据'!$E:$E,MATCH($A805,'[AQ_2021.xlsx]原始数据'!$A:$A,0)),""))</f>
        <v/>
      </c>
      <c r="S805">
        <f>IF($A805="","",IFERROR(INDEX('[AQ_2022.xlsx]原始数据'!$E:$E,MATCH($A805,'[AQ_2022.xlsx]原始数据'!$A:$A,0)),""))</f>
        <v/>
      </c>
      <c r="T805">
        <f>IF($A805="","",IFERROR(INDEX('[AQ_2023.xlsx]原始数据'!$E:$E,MATCH($A805,'[AQ_2023.xlsx]原始数据'!$A:$A,0)),""))</f>
        <v/>
      </c>
      <c r="U805">
        <f>IF($A805="","",IFERROR(INDEX('[AQ_2024.xlsx]原始数据'!$E:$E,MATCH($A805,'[AQ_2024.xlsx]原始数据'!$A:$A,0)),""))</f>
        <v/>
      </c>
      <c r="V805">
        <f>IF($A805="","",IFERROR(INDEX('[AQ_2020.xlsx]原始数据'!$F:$F,MATCH($A805,'[AQ_2020.xlsx]原始数据'!$A:$A,0)),""))</f>
        <v/>
      </c>
      <c r="W805">
        <f>IF($A805="","",IFERROR(INDEX('[AQ_2021.xlsx]原始数据'!$F:$F,MATCH($A805,'[AQ_2021.xlsx]原始数据'!$A:$A,0)),""))</f>
        <v/>
      </c>
      <c r="X805">
        <f>IF($A805="","",IFERROR(INDEX('[AQ_2022.xlsx]原始数据'!$F:$F,MATCH($A805,'[AQ_2022.xlsx]原始数据'!$A:$A,0)),""))</f>
        <v/>
      </c>
      <c r="Y805">
        <f>IF($A805="","",IFERROR(INDEX('[AQ_2023.xlsx]原始数据'!$F:$F,MATCH($A805,'[AQ_2023.xlsx]原始数据'!$A:$A,0)),""))</f>
        <v/>
      </c>
      <c r="Z805">
        <f>IF($A805="","",IFERROR(INDEX('[AQ_2024.xlsx]原始数据'!$F:$F,MATCH($A805,'[AQ_2024.xlsx]原始数据'!$A:$A,0)),""))</f>
        <v/>
      </c>
      <c r="AA805" s="2">
        <f>IFERROR(G805/B805,"")</f>
        <v/>
      </c>
      <c r="AB805" s="2">
        <f>IFERROR(H805/C805,"")</f>
        <v/>
      </c>
      <c r="AC805" s="2">
        <f>IFERROR(I805/D805,"")</f>
        <v/>
      </c>
      <c r="AD805" s="2">
        <f>IFERROR(J805/E805,"")</f>
        <v/>
      </c>
      <c r="AE805" s="2">
        <f>IFERROR(K805/F805,"")</f>
        <v/>
      </c>
      <c r="AF805" s="2">
        <f>IFERROR(L805/B805,"")</f>
        <v/>
      </c>
      <c r="AG805" s="2">
        <f>IFERROR(M805/C805,"")</f>
        <v/>
      </c>
      <c r="AH805" s="2">
        <f>IFERROR(N805/D805,"")</f>
        <v/>
      </c>
      <c r="AI805" s="2">
        <f>IFERROR(O805/E805,"")</f>
        <v/>
      </c>
      <c r="AJ805" s="2">
        <f>IFERROR(P805/F805,"")</f>
        <v/>
      </c>
      <c r="AK805" s="2">
        <f>IFERROR(Q805/B805,"")</f>
        <v/>
      </c>
      <c r="AL805" s="2">
        <f>IFERROR(R805/C805,"")</f>
        <v/>
      </c>
      <c r="AM805" s="2">
        <f>IFERROR(S805/D805,"")</f>
        <v/>
      </c>
      <c r="AN805" s="2">
        <f>IFERROR(T805/E805,"")</f>
        <v/>
      </c>
      <c r="AO805" s="2">
        <f>IFERROR(U805/F805,"")</f>
        <v/>
      </c>
    </row>
    <row r="806">
      <c r="B806">
        <f>IF($A806="","",IFERROR(INDEX('[AQ_2020.xlsx]原始数据'!$B:$B,MATCH($A806,'[AQ_2020.xlsx]原始数据'!$A:$A,0)),""))</f>
        <v/>
      </c>
      <c r="C806">
        <f>IF($A806="","",IFERROR(INDEX('[AQ_2021.xlsx]原始数据'!$B:$B,MATCH($A806,'[AQ_2021.xlsx]原始数据'!$A:$A,0)),""))</f>
        <v/>
      </c>
      <c r="D806">
        <f>IF($A806="","",IFERROR(INDEX('[AQ_2022.xlsx]原始数据'!$B:$B,MATCH($A806,'[AQ_2022.xlsx]原始数据'!$A:$A,0)),""))</f>
        <v/>
      </c>
      <c r="E806">
        <f>IF($A806="","",IFERROR(INDEX('[AQ_2023.xlsx]原始数据'!$B:$B,MATCH($A806,'[AQ_2023.xlsx]原始数据'!$A:$A,0)),""))</f>
        <v/>
      </c>
      <c r="F806">
        <f>IF($A806="","",IFERROR(INDEX('[AQ_2024.xlsx]原始数据'!$B:$B,MATCH($A806,'[AQ_2024.xlsx]原始数据'!$A:$A,0)),""))</f>
        <v/>
      </c>
      <c r="G806">
        <f>IF($A806="","",IFERROR(INDEX('[AQ_2020.xlsx]原始数据'!$C:$C,MATCH($A806,'[AQ_2020.xlsx]原始数据'!$A:$A,0)),""))</f>
        <v/>
      </c>
      <c r="H806">
        <f>IF($A806="","",IFERROR(INDEX('[AQ_2021.xlsx]原始数据'!$C:$C,MATCH($A806,'[AQ_2021.xlsx]原始数据'!$A:$A,0)),""))</f>
        <v/>
      </c>
      <c r="I806">
        <f>IF($A806="","",IFERROR(INDEX('[AQ_2022.xlsx]原始数据'!$C:$C,MATCH($A806,'[AQ_2022.xlsx]原始数据'!$A:$A,0)),""))</f>
        <v/>
      </c>
      <c r="J806">
        <f>IF($A806="","",IFERROR(INDEX('[AQ_2023.xlsx]原始数据'!$C:$C,MATCH($A806,'[AQ_2023.xlsx]原始数据'!$A:$A,0)),""))</f>
        <v/>
      </c>
      <c r="K806">
        <f>IF($A806="","",IFERROR(INDEX('[AQ_2024.xlsx]原始数据'!$C:$C,MATCH($A806,'[AQ_2024.xlsx]原始数据'!$A:$A,0)),""))</f>
        <v/>
      </c>
      <c r="L806">
        <f>IF($A806="","",IFERROR(INDEX('[AQ_2020.xlsx]原始数据'!$D:$D,MATCH($A806,'[AQ_2020.xlsx]原始数据'!$A:$A,0)),""))</f>
        <v/>
      </c>
      <c r="M806">
        <f>IF($A806="","",IFERROR(INDEX('[AQ_2021.xlsx]原始数据'!$D:$D,MATCH($A806,'[AQ_2021.xlsx]原始数据'!$A:$A,0)),""))</f>
        <v/>
      </c>
      <c r="N806">
        <f>IF($A806="","",IFERROR(INDEX('[AQ_2022.xlsx]原始数据'!$D:$D,MATCH($A806,'[AQ_2022.xlsx]原始数据'!$A:$A,0)),""))</f>
        <v/>
      </c>
      <c r="O806">
        <f>IF($A806="","",IFERROR(INDEX('[AQ_2023.xlsx]原始数据'!$D:$D,MATCH($A806,'[AQ_2023.xlsx]原始数据'!$A:$A,0)),""))</f>
        <v/>
      </c>
      <c r="P806">
        <f>IF($A806="","",IFERROR(INDEX('[AQ_2024.xlsx]原始数据'!$D:$D,MATCH($A806,'[AQ_2024.xlsx]原始数据'!$A:$A,0)),""))</f>
        <v/>
      </c>
      <c r="Q806">
        <f>IF($A806="","",IFERROR(INDEX('[AQ_2020.xlsx]原始数据'!$E:$E,MATCH($A806,'[AQ_2020.xlsx]原始数据'!$A:$A,0)),""))</f>
        <v/>
      </c>
      <c r="R806">
        <f>IF($A806="","",IFERROR(INDEX('[AQ_2021.xlsx]原始数据'!$E:$E,MATCH($A806,'[AQ_2021.xlsx]原始数据'!$A:$A,0)),""))</f>
        <v/>
      </c>
      <c r="S806">
        <f>IF($A806="","",IFERROR(INDEX('[AQ_2022.xlsx]原始数据'!$E:$E,MATCH($A806,'[AQ_2022.xlsx]原始数据'!$A:$A,0)),""))</f>
        <v/>
      </c>
      <c r="T806">
        <f>IF($A806="","",IFERROR(INDEX('[AQ_2023.xlsx]原始数据'!$E:$E,MATCH($A806,'[AQ_2023.xlsx]原始数据'!$A:$A,0)),""))</f>
        <v/>
      </c>
      <c r="U806">
        <f>IF($A806="","",IFERROR(INDEX('[AQ_2024.xlsx]原始数据'!$E:$E,MATCH($A806,'[AQ_2024.xlsx]原始数据'!$A:$A,0)),""))</f>
        <v/>
      </c>
      <c r="V806">
        <f>IF($A806="","",IFERROR(INDEX('[AQ_2020.xlsx]原始数据'!$F:$F,MATCH($A806,'[AQ_2020.xlsx]原始数据'!$A:$A,0)),""))</f>
        <v/>
      </c>
      <c r="W806">
        <f>IF($A806="","",IFERROR(INDEX('[AQ_2021.xlsx]原始数据'!$F:$F,MATCH($A806,'[AQ_2021.xlsx]原始数据'!$A:$A,0)),""))</f>
        <v/>
      </c>
      <c r="X806">
        <f>IF($A806="","",IFERROR(INDEX('[AQ_2022.xlsx]原始数据'!$F:$F,MATCH($A806,'[AQ_2022.xlsx]原始数据'!$A:$A,0)),""))</f>
        <v/>
      </c>
      <c r="Y806">
        <f>IF($A806="","",IFERROR(INDEX('[AQ_2023.xlsx]原始数据'!$F:$F,MATCH($A806,'[AQ_2023.xlsx]原始数据'!$A:$A,0)),""))</f>
        <v/>
      </c>
      <c r="Z806">
        <f>IF($A806="","",IFERROR(INDEX('[AQ_2024.xlsx]原始数据'!$F:$F,MATCH($A806,'[AQ_2024.xlsx]原始数据'!$A:$A,0)),""))</f>
        <v/>
      </c>
      <c r="AA806" s="2">
        <f>IFERROR(G806/B806,"")</f>
        <v/>
      </c>
      <c r="AB806" s="2">
        <f>IFERROR(H806/C806,"")</f>
        <v/>
      </c>
      <c r="AC806" s="2">
        <f>IFERROR(I806/D806,"")</f>
        <v/>
      </c>
      <c r="AD806" s="2">
        <f>IFERROR(J806/E806,"")</f>
        <v/>
      </c>
      <c r="AE806" s="2">
        <f>IFERROR(K806/F806,"")</f>
        <v/>
      </c>
      <c r="AF806" s="2">
        <f>IFERROR(L806/B806,"")</f>
        <v/>
      </c>
      <c r="AG806" s="2">
        <f>IFERROR(M806/C806,"")</f>
        <v/>
      </c>
      <c r="AH806" s="2">
        <f>IFERROR(N806/D806,"")</f>
        <v/>
      </c>
      <c r="AI806" s="2">
        <f>IFERROR(O806/E806,"")</f>
        <v/>
      </c>
      <c r="AJ806" s="2">
        <f>IFERROR(P806/F806,"")</f>
        <v/>
      </c>
      <c r="AK806" s="2">
        <f>IFERROR(Q806/B806,"")</f>
        <v/>
      </c>
      <c r="AL806" s="2">
        <f>IFERROR(R806/C806,"")</f>
        <v/>
      </c>
      <c r="AM806" s="2">
        <f>IFERROR(S806/D806,"")</f>
        <v/>
      </c>
      <c r="AN806" s="2">
        <f>IFERROR(T806/E806,"")</f>
        <v/>
      </c>
      <c r="AO806" s="2">
        <f>IFERROR(U806/F806,"")</f>
        <v/>
      </c>
    </row>
    <row r="807">
      <c r="B807">
        <f>IF($A807="","",IFERROR(INDEX('[AQ_2020.xlsx]原始数据'!$B:$B,MATCH($A807,'[AQ_2020.xlsx]原始数据'!$A:$A,0)),""))</f>
        <v/>
      </c>
      <c r="C807">
        <f>IF($A807="","",IFERROR(INDEX('[AQ_2021.xlsx]原始数据'!$B:$B,MATCH($A807,'[AQ_2021.xlsx]原始数据'!$A:$A,0)),""))</f>
        <v/>
      </c>
      <c r="D807">
        <f>IF($A807="","",IFERROR(INDEX('[AQ_2022.xlsx]原始数据'!$B:$B,MATCH($A807,'[AQ_2022.xlsx]原始数据'!$A:$A,0)),""))</f>
        <v/>
      </c>
      <c r="E807">
        <f>IF($A807="","",IFERROR(INDEX('[AQ_2023.xlsx]原始数据'!$B:$B,MATCH($A807,'[AQ_2023.xlsx]原始数据'!$A:$A,0)),""))</f>
        <v/>
      </c>
      <c r="F807">
        <f>IF($A807="","",IFERROR(INDEX('[AQ_2024.xlsx]原始数据'!$B:$B,MATCH($A807,'[AQ_2024.xlsx]原始数据'!$A:$A,0)),""))</f>
        <v/>
      </c>
      <c r="G807">
        <f>IF($A807="","",IFERROR(INDEX('[AQ_2020.xlsx]原始数据'!$C:$C,MATCH($A807,'[AQ_2020.xlsx]原始数据'!$A:$A,0)),""))</f>
        <v/>
      </c>
      <c r="H807">
        <f>IF($A807="","",IFERROR(INDEX('[AQ_2021.xlsx]原始数据'!$C:$C,MATCH($A807,'[AQ_2021.xlsx]原始数据'!$A:$A,0)),""))</f>
        <v/>
      </c>
      <c r="I807">
        <f>IF($A807="","",IFERROR(INDEX('[AQ_2022.xlsx]原始数据'!$C:$C,MATCH($A807,'[AQ_2022.xlsx]原始数据'!$A:$A,0)),""))</f>
        <v/>
      </c>
      <c r="J807">
        <f>IF($A807="","",IFERROR(INDEX('[AQ_2023.xlsx]原始数据'!$C:$C,MATCH($A807,'[AQ_2023.xlsx]原始数据'!$A:$A,0)),""))</f>
        <v/>
      </c>
      <c r="K807">
        <f>IF($A807="","",IFERROR(INDEX('[AQ_2024.xlsx]原始数据'!$C:$C,MATCH($A807,'[AQ_2024.xlsx]原始数据'!$A:$A,0)),""))</f>
        <v/>
      </c>
      <c r="L807">
        <f>IF($A807="","",IFERROR(INDEX('[AQ_2020.xlsx]原始数据'!$D:$D,MATCH($A807,'[AQ_2020.xlsx]原始数据'!$A:$A,0)),""))</f>
        <v/>
      </c>
      <c r="M807">
        <f>IF($A807="","",IFERROR(INDEX('[AQ_2021.xlsx]原始数据'!$D:$D,MATCH($A807,'[AQ_2021.xlsx]原始数据'!$A:$A,0)),""))</f>
        <v/>
      </c>
      <c r="N807">
        <f>IF($A807="","",IFERROR(INDEX('[AQ_2022.xlsx]原始数据'!$D:$D,MATCH($A807,'[AQ_2022.xlsx]原始数据'!$A:$A,0)),""))</f>
        <v/>
      </c>
      <c r="O807">
        <f>IF($A807="","",IFERROR(INDEX('[AQ_2023.xlsx]原始数据'!$D:$D,MATCH($A807,'[AQ_2023.xlsx]原始数据'!$A:$A,0)),""))</f>
        <v/>
      </c>
      <c r="P807">
        <f>IF($A807="","",IFERROR(INDEX('[AQ_2024.xlsx]原始数据'!$D:$D,MATCH($A807,'[AQ_2024.xlsx]原始数据'!$A:$A,0)),""))</f>
        <v/>
      </c>
      <c r="Q807">
        <f>IF($A807="","",IFERROR(INDEX('[AQ_2020.xlsx]原始数据'!$E:$E,MATCH($A807,'[AQ_2020.xlsx]原始数据'!$A:$A,0)),""))</f>
        <v/>
      </c>
      <c r="R807">
        <f>IF($A807="","",IFERROR(INDEX('[AQ_2021.xlsx]原始数据'!$E:$E,MATCH($A807,'[AQ_2021.xlsx]原始数据'!$A:$A,0)),""))</f>
        <v/>
      </c>
      <c r="S807">
        <f>IF($A807="","",IFERROR(INDEX('[AQ_2022.xlsx]原始数据'!$E:$E,MATCH($A807,'[AQ_2022.xlsx]原始数据'!$A:$A,0)),""))</f>
        <v/>
      </c>
      <c r="T807">
        <f>IF($A807="","",IFERROR(INDEX('[AQ_2023.xlsx]原始数据'!$E:$E,MATCH($A807,'[AQ_2023.xlsx]原始数据'!$A:$A,0)),""))</f>
        <v/>
      </c>
      <c r="U807">
        <f>IF($A807="","",IFERROR(INDEX('[AQ_2024.xlsx]原始数据'!$E:$E,MATCH($A807,'[AQ_2024.xlsx]原始数据'!$A:$A,0)),""))</f>
        <v/>
      </c>
      <c r="V807">
        <f>IF($A807="","",IFERROR(INDEX('[AQ_2020.xlsx]原始数据'!$F:$F,MATCH($A807,'[AQ_2020.xlsx]原始数据'!$A:$A,0)),""))</f>
        <v/>
      </c>
      <c r="W807">
        <f>IF($A807="","",IFERROR(INDEX('[AQ_2021.xlsx]原始数据'!$F:$F,MATCH($A807,'[AQ_2021.xlsx]原始数据'!$A:$A,0)),""))</f>
        <v/>
      </c>
      <c r="X807">
        <f>IF($A807="","",IFERROR(INDEX('[AQ_2022.xlsx]原始数据'!$F:$F,MATCH($A807,'[AQ_2022.xlsx]原始数据'!$A:$A,0)),""))</f>
        <v/>
      </c>
      <c r="Y807">
        <f>IF($A807="","",IFERROR(INDEX('[AQ_2023.xlsx]原始数据'!$F:$F,MATCH($A807,'[AQ_2023.xlsx]原始数据'!$A:$A,0)),""))</f>
        <v/>
      </c>
      <c r="Z807">
        <f>IF($A807="","",IFERROR(INDEX('[AQ_2024.xlsx]原始数据'!$F:$F,MATCH($A807,'[AQ_2024.xlsx]原始数据'!$A:$A,0)),""))</f>
        <v/>
      </c>
      <c r="AA807" s="2">
        <f>IFERROR(G807/B807,"")</f>
        <v/>
      </c>
      <c r="AB807" s="2">
        <f>IFERROR(H807/C807,"")</f>
        <v/>
      </c>
      <c r="AC807" s="2">
        <f>IFERROR(I807/D807,"")</f>
        <v/>
      </c>
      <c r="AD807" s="2">
        <f>IFERROR(J807/E807,"")</f>
        <v/>
      </c>
      <c r="AE807" s="2">
        <f>IFERROR(K807/F807,"")</f>
        <v/>
      </c>
      <c r="AF807" s="2">
        <f>IFERROR(L807/B807,"")</f>
        <v/>
      </c>
      <c r="AG807" s="2">
        <f>IFERROR(M807/C807,"")</f>
        <v/>
      </c>
      <c r="AH807" s="2">
        <f>IFERROR(N807/D807,"")</f>
        <v/>
      </c>
      <c r="AI807" s="2">
        <f>IFERROR(O807/E807,"")</f>
        <v/>
      </c>
      <c r="AJ807" s="2">
        <f>IFERROR(P807/F807,"")</f>
        <v/>
      </c>
      <c r="AK807" s="2">
        <f>IFERROR(Q807/B807,"")</f>
        <v/>
      </c>
      <c r="AL807" s="2">
        <f>IFERROR(R807/C807,"")</f>
        <v/>
      </c>
      <c r="AM807" s="2">
        <f>IFERROR(S807/D807,"")</f>
        <v/>
      </c>
      <c r="AN807" s="2">
        <f>IFERROR(T807/E807,"")</f>
        <v/>
      </c>
      <c r="AO807" s="2">
        <f>IFERROR(U807/F807,"")</f>
        <v/>
      </c>
    </row>
    <row r="808">
      <c r="B808">
        <f>IF($A808="","",IFERROR(INDEX('[AQ_2020.xlsx]原始数据'!$B:$B,MATCH($A808,'[AQ_2020.xlsx]原始数据'!$A:$A,0)),""))</f>
        <v/>
      </c>
      <c r="C808">
        <f>IF($A808="","",IFERROR(INDEX('[AQ_2021.xlsx]原始数据'!$B:$B,MATCH($A808,'[AQ_2021.xlsx]原始数据'!$A:$A,0)),""))</f>
        <v/>
      </c>
      <c r="D808">
        <f>IF($A808="","",IFERROR(INDEX('[AQ_2022.xlsx]原始数据'!$B:$B,MATCH($A808,'[AQ_2022.xlsx]原始数据'!$A:$A,0)),""))</f>
        <v/>
      </c>
      <c r="E808">
        <f>IF($A808="","",IFERROR(INDEX('[AQ_2023.xlsx]原始数据'!$B:$B,MATCH($A808,'[AQ_2023.xlsx]原始数据'!$A:$A,0)),""))</f>
        <v/>
      </c>
      <c r="F808">
        <f>IF($A808="","",IFERROR(INDEX('[AQ_2024.xlsx]原始数据'!$B:$B,MATCH($A808,'[AQ_2024.xlsx]原始数据'!$A:$A,0)),""))</f>
        <v/>
      </c>
      <c r="G808">
        <f>IF($A808="","",IFERROR(INDEX('[AQ_2020.xlsx]原始数据'!$C:$C,MATCH($A808,'[AQ_2020.xlsx]原始数据'!$A:$A,0)),""))</f>
        <v/>
      </c>
      <c r="H808">
        <f>IF($A808="","",IFERROR(INDEX('[AQ_2021.xlsx]原始数据'!$C:$C,MATCH($A808,'[AQ_2021.xlsx]原始数据'!$A:$A,0)),""))</f>
        <v/>
      </c>
      <c r="I808">
        <f>IF($A808="","",IFERROR(INDEX('[AQ_2022.xlsx]原始数据'!$C:$C,MATCH($A808,'[AQ_2022.xlsx]原始数据'!$A:$A,0)),""))</f>
        <v/>
      </c>
      <c r="J808">
        <f>IF($A808="","",IFERROR(INDEX('[AQ_2023.xlsx]原始数据'!$C:$C,MATCH($A808,'[AQ_2023.xlsx]原始数据'!$A:$A,0)),""))</f>
        <v/>
      </c>
      <c r="K808">
        <f>IF($A808="","",IFERROR(INDEX('[AQ_2024.xlsx]原始数据'!$C:$C,MATCH($A808,'[AQ_2024.xlsx]原始数据'!$A:$A,0)),""))</f>
        <v/>
      </c>
      <c r="L808">
        <f>IF($A808="","",IFERROR(INDEX('[AQ_2020.xlsx]原始数据'!$D:$D,MATCH($A808,'[AQ_2020.xlsx]原始数据'!$A:$A,0)),""))</f>
        <v/>
      </c>
      <c r="M808">
        <f>IF($A808="","",IFERROR(INDEX('[AQ_2021.xlsx]原始数据'!$D:$D,MATCH($A808,'[AQ_2021.xlsx]原始数据'!$A:$A,0)),""))</f>
        <v/>
      </c>
      <c r="N808">
        <f>IF($A808="","",IFERROR(INDEX('[AQ_2022.xlsx]原始数据'!$D:$D,MATCH($A808,'[AQ_2022.xlsx]原始数据'!$A:$A,0)),""))</f>
        <v/>
      </c>
      <c r="O808">
        <f>IF($A808="","",IFERROR(INDEX('[AQ_2023.xlsx]原始数据'!$D:$D,MATCH($A808,'[AQ_2023.xlsx]原始数据'!$A:$A,0)),""))</f>
        <v/>
      </c>
      <c r="P808">
        <f>IF($A808="","",IFERROR(INDEX('[AQ_2024.xlsx]原始数据'!$D:$D,MATCH($A808,'[AQ_2024.xlsx]原始数据'!$A:$A,0)),""))</f>
        <v/>
      </c>
      <c r="Q808">
        <f>IF($A808="","",IFERROR(INDEX('[AQ_2020.xlsx]原始数据'!$E:$E,MATCH($A808,'[AQ_2020.xlsx]原始数据'!$A:$A,0)),""))</f>
        <v/>
      </c>
      <c r="R808">
        <f>IF($A808="","",IFERROR(INDEX('[AQ_2021.xlsx]原始数据'!$E:$E,MATCH($A808,'[AQ_2021.xlsx]原始数据'!$A:$A,0)),""))</f>
        <v/>
      </c>
      <c r="S808">
        <f>IF($A808="","",IFERROR(INDEX('[AQ_2022.xlsx]原始数据'!$E:$E,MATCH($A808,'[AQ_2022.xlsx]原始数据'!$A:$A,0)),""))</f>
        <v/>
      </c>
      <c r="T808">
        <f>IF($A808="","",IFERROR(INDEX('[AQ_2023.xlsx]原始数据'!$E:$E,MATCH($A808,'[AQ_2023.xlsx]原始数据'!$A:$A,0)),""))</f>
        <v/>
      </c>
      <c r="U808">
        <f>IF($A808="","",IFERROR(INDEX('[AQ_2024.xlsx]原始数据'!$E:$E,MATCH($A808,'[AQ_2024.xlsx]原始数据'!$A:$A,0)),""))</f>
        <v/>
      </c>
      <c r="V808">
        <f>IF($A808="","",IFERROR(INDEX('[AQ_2020.xlsx]原始数据'!$F:$F,MATCH($A808,'[AQ_2020.xlsx]原始数据'!$A:$A,0)),""))</f>
        <v/>
      </c>
      <c r="W808">
        <f>IF($A808="","",IFERROR(INDEX('[AQ_2021.xlsx]原始数据'!$F:$F,MATCH($A808,'[AQ_2021.xlsx]原始数据'!$A:$A,0)),""))</f>
        <v/>
      </c>
      <c r="X808">
        <f>IF($A808="","",IFERROR(INDEX('[AQ_2022.xlsx]原始数据'!$F:$F,MATCH($A808,'[AQ_2022.xlsx]原始数据'!$A:$A,0)),""))</f>
        <v/>
      </c>
      <c r="Y808">
        <f>IF($A808="","",IFERROR(INDEX('[AQ_2023.xlsx]原始数据'!$F:$F,MATCH($A808,'[AQ_2023.xlsx]原始数据'!$A:$A,0)),""))</f>
        <v/>
      </c>
      <c r="Z808">
        <f>IF($A808="","",IFERROR(INDEX('[AQ_2024.xlsx]原始数据'!$F:$F,MATCH($A808,'[AQ_2024.xlsx]原始数据'!$A:$A,0)),""))</f>
        <v/>
      </c>
      <c r="AA808" s="2">
        <f>IFERROR(G808/B808,"")</f>
        <v/>
      </c>
      <c r="AB808" s="2">
        <f>IFERROR(H808/C808,"")</f>
        <v/>
      </c>
      <c r="AC808" s="2">
        <f>IFERROR(I808/D808,"")</f>
        <v/>
      </c>
      <c r="AD808" s="2">
        <f>IFERROR(J808/E808,"")</f>
        <v/>
      </c>
      <c r="AE808" s="2">
        <f>IFERROR(K808/F808,"")</f>
        <v/>
      </c>
      <c r="AF808" s="2">
        <f>IFERROR(L808/B808,"")</f>
        <v/>
      </c>
      <c r="AG808" s="2">
        <f>IFERROR(M808/C808,"")</f>
        <v/>
      </c>
      <c r="AH808" s="2">
        <f>IFERROR(N808/D808,"")</f>
        <v/>
      </c>
      <c r="AI808" s="2">
        <f>IFERROR(O808/E808,"")</f>
        <v/>
      </c>
      <c r="AJ808" s="2">
        <f>IFERROR(P808/F808,"")</f>
        <v/>
      </c>
      <c r="AK808" s="2">
        <f>IFERROR(Q808/B808,"")</f>
        <v/>
      </c>
      <c r="AL808" s="2">
        <f>IFERROR(R808/C808,"")</f>
        <v/>
      </c>
      <c r="AM808" s="2">
        <f>IFERROR(S808/D808,"")</f>
        <v/>
      </c>
      <c r="AN808" s="2">
        <f>IFERROR(T808/E808,"")</f>
        <v/>
      </c>
      <c r="AO808" s="2">
        <f>IFERROR(U808/F808,"")</f>
        <v/>
      </c>
    </row>
    <row r="809">
      <c r="B809">
        <f>IF($A809="","",IFERROR(INDEX('[AQ_2020.xlsx]原始数据'!$B:$B,MATCH($A809,'[AQ_2020.xlsx]原始数据'!$A:$A,0)),""))</f>
        <v/>
      </c>
      <c r="C809">
        <f>IF($A809="","",IFERROR(INDEX('[AQ_2021.xlsx]原始数据'!$B:$B,MATCH($A809,'[AQ_2021.xlsx]原始数据'!$A:$A,0)),""))</f>
        <v/>
      </c>
      <c r="D809">
        <f>IF($A809="","",IFERROR(INDEX('[AQ_2022.xlsx]原始数据'!$B:$B,MATCH($A809,'[AQ_2022.xlsx]原始数据'!$A:$A,0)),""))</f>
        <v/>
      </c>
      <c r="E809">
        <f>IF($A809="","",IFERROR(INDEX('[AQ_2023.xlsx]原始数据'!$B:$B,MATCH($A809,'[AQ_2023.xlsx]原始数据'!$A:$A,0)),""))</f>
        <v/>
      </c>
      <c r="F809">
        <f>IF($A809="","",IFERROR(INDEX('[AQ_2024.xlsx]原始数据'!$B:$B,MATCH($A809,'[AQ_2024.xlsx]原始数据'!$A:$A,0)),""))</f>
        <v/>
      </c>
      <c r="G809">
        <f>IF($A809="","",IFERROR(INDEX('[AQ_2020.xlsx]原始数据'!$C:$C,MATCH($A809,'[AQ_2020.xlsx]原始数据'!$A:$A,0)),""))</f>
        <v/>
      </c>
      <c r="H809">
        <f>IF($A809="","",IFERROR(INDEX('[AQ_2021.xlsx]原始数据'!$C:$C,MATCH($A809,'[AQ_2021.xlsx]原始数据'!$A:$A,0)),""))</f>
        <v/>
      </c>
      <c r="I809">
        <f>IF($A809="","",IFERROR(INDEX('[AQ_2022.xlsx]原始数据'!$C:$C,MATCH($A809,'[AQ_2022.xlsx]原始数据'!$A:$A,0)),""))</f>
        <v/>
      </c>
      <c r="J809">
        <f>IF($A809="","",IFERROR(INDEX('[AQ_2023.xlsx]原始数据'!$C:$C,MATCH($A809,'[AQ_2023.xlsx]原始数据'!$A:$A,0)),""))</f>
        <v/>
      </c>
      <c r="K809">
        <f>IF($A809="","",IFERROR(INDEX('[AQ_2024.xlsx]原始数据'!$C:$C,MATCH($A809,'[AQ_2024.xlsx]原始数据'!$A:$A,0)),""))</f>
        <v/>
      </c>
      <c r="L809">
        <f>IF($A809="","",IFERROR(INDEX('[AQ_2020.xlsx]原始数据'!$D:$D,MATCH($A809,'[AQ_2020.xlsx]原始数据'!$A:$A,0)),""))</f>
        <v/>
      </c>
      <c r="M809">
        <f>IF($A809="","",IFERROR(INDEX('[AQ_2021.xlsx]原始数据'!$D:$D,MATCH($A809,'[AQ_2021.xlsx]原始数据'!$A:$A,0)),""))</f>
        <v/>
      </c>
      <c r="N809">
        <f>IF($A809="","",IFERROR(INDEX('[AQ_2022.xlsx]原始数据'!$D:$D,MATCH($A809,'[AQ_2022.xlsx]原始数据'!$A:$A,0)),""))</f>
        <v/>
      </c>
      <c r="O809">
        <f>IF($A809="","",IFERROR(INDEX('[AQ_2023.xlsx]原始数据'!$D:$D,MATCH($A809,'[AQ_2023.xlsx]原始数据'!$A:$A,0)),""))</f>
        <v/>
      </c>
      <c r="P809">
        <f>IF($A809="","",IFERROR(INDEX('[AQ_2024.xlsx]原始数据'!$D:$D,MATCH($A809,'[AQ_2024.xlsx]原始数据'!$A:$A,0)),""))</f>
        <v/>
      </c>
      <c r="Q809">
        <f>IF($A809="","",IFERROR(INDEX('[AQ_2020.xlsx]原始数据'!$E:$E,MATCH($A809,'[AQ_2020.xlsx]原始数据'!$A:$A,0)),""))</f>
        <v/>
      </c>
      <c r="R809">
        <f>IF($A809="","",IFERROR(INDEX('[AQ_2021.xlsx]原始数据'!$E:$E,MATCH($A809,'[AQ_2021.xlsx]原始数据'!$A:$A,0)),""))</f>
        <v/>
      </c>
      <c r="S809">
        <f>IF($A809="","",IFERROR(INDEX('[AQ_2022.xlsx]原始数据'!$E:$E,MATCH($A809,'[AQ_2022.xlsx]原始数据'!$A:$A,0)),""))</f>
        <v/>
      </c>
      <c r="T809">
        <f>IF($A809="","",IFERROR(INDEX('[AQ_2023.xlsx]原始数据'!$E:$E,MATCH($A809,'[AQ_2023.xlsx]原始数据'!$A:$A,0)),""))</f>
        <v/>
      </c>
      <c r="U809">
        <f>IF($A809="","",IFERROR(INDEX('[AQ_2024.xlsx]原始数据'!$E:$E,MATCH($A809,'[AQ_2024.xlsx]原始数据'!$A:$A,0)),""))</f>
        <v/>
      </c>
      <c r="V809">
        <f>IF($A809="","",IFERROR(INDEX('[AQ_2020.xlsx]原始数据'!$F:$F,MATCH($A809,'[AQ_2020.xlsx]原始数据'!$A:$A,0)),""))</f>
        <v/>
      </c>
      <c r="W809">
        <f>IF($A809="","",IFERROR(INDEX('[AQ_2021.xlsx]原始数据'!$F:$F,MATCH($A809,'[AQ_2021.xlsx]原始数据'!$A:$A,0)),""))</f>
        <v/>
      </c>
      <c r="X809">
        <f>IF($A809="","",IFERROR(INDEX('[AQ_2022.xlsx]原始数据'!$F:$F,MATCH($A809,'[AQ_2022.xlsx]原始数据'!$A:$A,0)),""))</f>
        <v/>
      </c>
      <c r="Y809">
        <f>IF($A809="","",IFERROR(INDEX('[AQ_2023.xlsx]原始数据'!$F:$F,MATCH($A809,'[AQ_2023.xlsx]原始数据'!$A:$A,0)),""))</f>
        <v/>
      </c>
      <c r="Z809">
        <f>IF($A809="","",IFERROR(INDEX('[AQ_2024.xlsx]原始数据'!$F:$F,MATCH($A809,'[AQ_2024.xlsx]原始数据'!$A:$A,0)),""))</f>
        <v/>
      </c>
      <c r="AA809" s="2">
        <f>IFERROR(G809/B809,"")</f>
        <v/>
      </c>
      <c r="AB809" s="2">
        <f>IFERROR(H809/C809,"")</f>
        <v/>
      </c>
      <c r="AC809" s="2">
        <f>IFERROR(I809/D809,"")</f>
        <v/>
      </c>
      <c r="AD809" s="2">
        <f>IFERROR(J809/E809,"")</f>
        <v/>
      </c>
      <c r="AE809" s="2">
        <f>IFERROR(K809/F809,"")</f>
        <v/>
      </c>
      <c r="AF809" s="2">
        <f>IFERROR(L809/B809,"")</f>
        <v/>
      </c>
      <c r="AG809" s="2">
        <f>IFERROR(M809/C809,"")</f>
        <v/>
      </c>
      <c r="AH809" s="2">
        <f>IFERROR(N809/D809,"")</f>
        <v/>
      </c>
      <c r="AI809" s="2">
        <f>IFERROR(O809/E809,"")</f>
        <v/>
      </c>
      <c r="AJ809" s="2">
        <f>IFERROR(P809/F809,"")</f>
        <v/>
      </c>
      <c r="AK809" s="2">
        <f>IFERROR(Q809/B809,"")</f>
        <v/>
      </c>
      <c r="AL809" s="2">
        <f>IFERROR(R809/C809,"")</f>
        <v/>
      </c>
      <c r="AM809" s="2">
        <f>IFERROR(S809/D809,"")</f>
        <v/>
      </c>
      <c r="AN809" s="2">
        <f>IFERROR(T809/E809,"")</f>
        <v/>
      </c>
      <c r="AO809" s="2">
        <f>IFERROR(U809/F809,"")</f>
        <v/>
      </c>
    </row>
    <row r="810">
      <c r="B810">
        <f>IF($A810="","",IFERROR(INDEX('[AQ_2020.xlsx]原始数据'!$B:$B,MATCH($A810,'[AQ_2020.xlsx]原始数据'!$A:$A,0)),""))</f>
        <v/>
      </c>
      <c r="C810">
        <f>IF($A810="","",IFERROR(INDEX('[AQ_2021.xlsx]原始数据'!$B:$B,MATCH($A810,'[AQ_2021.xlsx]原始数据'!$A:$A,0)),""))</f>
        <v/>
      </c>
      <c r="D810">
        <f>IF($A810="","",IFERROR(INDEX('[AQ_2022.xlsx]原始数据'!$B:$B,MATCH($A810,'[AQ_2022.xlsx]原始数据'!$A:$A,0)),""))</f>
        <v/>
      </c>
      <c r="E810">
        <f>IF($A810="","",IFERROR(INDEX('[AQ_2023.xlsx]原始数据'!$B:$B,MATCH($A810,'[AQ_2023.xlsx]原始数据'!$A:$A,0)),""))</f>
        <v/>
      </c>
      <c r="F810">
        <f>IF($A810="","",IFERROR(INDEX('[AQ_2024.xlsx]原始数据'!$B:$B,MATCH($A810,'[AQ_2024.xlsx]原始数据'!$A:$A,0)),""))</f>
        <v/>
      </c>
      <c r="G810">
        <f>IF($A810="","",IFERROR(INDEX('[AQ_2020.xlsx]原始数据'!$C:$C,MATCH($A810,'[AQ_2020.xlsx]原始数据'!$A:$A,0)),""))</f>
        <v/>
      </c>
      <c r="H810">
        <f>IF($A810="","",IFERROR(INDEX('[AQ_2021.xlsx]原始数据'!$C:$C,MATCH($A810,'[AQ_2021.xlsx]原始数据'!$A:$A,0)),""))</f>
        <v/>
      </c>
      <c r="I810">
        <f>IF($A810="","",IFERROR(INDEX('[AQ_2022.xlsx]原始数据'!$C:$C,MATCH($A810,'[AQ_2022.xlsx]原始数据'!$A:$A,0)),""))</f>
        <v/>
      </c>
      <c r="J810">
        <f>IF($A810="","",IFERROR(INDEX('[AQ_2023.xlsx]原始数据'!$C:$C,MATCH($A810,'[AQ_2023.xlsx]原始数据'!$A:$A,0)),""))</f>
        <v/>
      </c>
      <c r="K810">
        <f>IF($A810="","",IFERROR(INDEX('[AQ_2024.xlsx]原始数据'!$C:$C,MATCH($A810,'[AQ_2024.xlsx]原始数据'!$A:$A,0)),""))</f>
        <v/>
      </c>
      <c r="L810">
        <f>IF($A810="","",IFERROR(INDEX('[AQ_2020.xlsx]原始数据'!$D:$D,MATCH($A810,'[AQ_2020.xlsx]原始数据'!$A:$A,0)),""))</f>
        <v/>
      </c>
      <c r="M810">
        <f>IF($A810="","",IFERROR(INDEX('[AQ_2021.xlsx]原始数据'!$D:$D,MATCH($A810,'[AQ_2021.xlsx]原始数据'!$A:$A,0)),""))</f>
        <v/>
      </c>
      <c r="N810">
        <f>IF($A810="","",IFERROR(INDEX('[AQ_2022.xlsx]原始数据'!$D:$D,MATCH($A810,'[AQ_2022.xlsx]原始数据'!$A:$A,0)),""))</f>
        <v/>
      </c>
      <c r="O810">
        <f>IF($A810="","",IFERROR(INDEX('[AQ_2023.xlsx]原始数据'!$D:$D,MATCH($A810,'[AQ_2023.xlsx]原始数据'!$A:$A,0)),""))</f>
        <v/>
      </c>
      <c r="P810">
        <f>IF($A810="","",IFERROR(INDEX('[AQ_2024.xlsx]原始数据'!$D:$D,MATCH($A810,'[AQ_2024.xlsx]原始数据'!$A:$A,0)),""))</f>
        <v/>
      </c>
      <c r="Q810">
        <f>IF($A810="","",IFERROR(INDEX('[AQ_2020.xlsx]原始数据'!$E:$E,MATCH($A810,'[AQ_2020.xlsx]原始数据'!$A:$A,0)),""))</f>
        <v/>
      </c>
      <c r="R810">
        <f>IF($A810="","",IFERROR(INDEX('[AQ_2021.xlsx]原始数据'!$E:$E,MATCH($A810,'[AQ_2021.xlsx]原始数据'!$A:$A,0)),""))</f>
        <v/>
      </c>
      <c r="S810">
        <f>IF($A810="","",IFERROR(INDEX('[AQ_2022.xlsx]原始数据'!$E:$E,MATCH($A810,'[AQ_2022.xlsx]原始数据'!$A:$A,0)),""))</f>
        <v/>
      </c>
      <c r="T810">
        <f>IF($A810="","",IFERROR(INDEX('[AQ_2023.xlsx]原始数据'!$E:$E,MATCH($A810,'[AQ_2023.xlsx]原始数据'!$A:$A,0)),""))</f>
        <v/>
      </c>
      <c r="U810">
        <f>IF($A810="","",IFERROR(INDEX('[AQ_2024.xlsx]原始数据'!$E:$E,MATCH($A810,'[AQ_2024.xlsx]原始数据'!$A:$A,0)),""))</f>
        <v/>
      </c>
      <c r="V810">
        <f>IF($A810="","",IFERROR(INDEX('[AQ_2020.xlsx]原始数据'!$F:$F,MATCH($A810,'[AQ_2020.xlsx]原始数据'!$A:$A,0)),""))</f>
        <v/>
      </c>
      <c r="W810">
        <f>IF($A810="","",IFERROR(INDEX('[AQ_2021.xlsx]原始数据'!$F:$F,MATCH($A810,'[AQ_2021.xlsx]原始数据'!$A:$A,0)),""))</f>
        <v/>
      </c>
      <c r="X810">
        <f>IF($A810="","",IFERROR(INDEX('[AQ_2022.xlsx]原始数据'!$F:$F,MATCH($A810,'[AQ_2022.xlsx]原始数据'!$A:$A,0)),""))</f>
        <v/>
      </c>
      <c r="Y810">
        <f>IF($A810="","",IFERROR(INDEX('[AQ_2023.xlsx]原始数据'!$F:$F,MATCH($A810,'[AQ_2023.xlsx]原始数据'!$A:$A,0)),""))</f>
        <v/>
      </c>
      <c r="Z810">
        <f>IF($A810="","",IFERROR(INDEX('[AQ_2024.xlsx]原始数据'!$F:$F,MATCH($A810,'[AQ_2024.xlsx]原始数据'!$A:$A,0)),""))</f>
        <v/>
      </c>
      <c r="AA810" s="2">
        <f>IFERROR(G810/B810,"")</f>
        <v/>
      </c>
      <c r="AB810" s="2">
        <f>IFERROR(H810/C810,"")</f>
        <v/>
      </c>
      <c r="AC810" s="2">
        <f>IFERROR(I810/D810,"")</f>
        <v/>
      </c>
      <c r="AD810" s="2">
        <f>IFERROR(J810/E810,"")</f>
        <v/>
      </c>
      <c r="AE810" s="2">
        <f>IFERROR(K810/F810,"")</f>
        <v/>
      </c>
      <c r="AF810" s="2">
        <f>IFERROR(L810/B810,"")</f>
        <v/>
      </c>
      <c r="AG810" s="2">
        <f>IFERROR(M810/C810,"")</f>
        <v/>
      </c>
      <c r="AH810" s="2">
        <f>IFERROR(N810/D810,"")</f>
        <v/>
      </c>
      <c r="AI810" s="2">
        <f>IFERROR(O810/E810,"")</f>
        <v/>
      </c>
      <c r="AJ810" s="2">
        <f>IFERROR(P810/F810,"")</f>
        <v/>
      </c>
      <c r="AK810" s="2">
        <f>IFERROR(Q810/B810,"")</f>
        <v/>
      </c>
      <c r="AL810" s="2">
        <f>IFERROR(R810/C810,"")</f>
        <v/>
      </c>
      <c r="AM810" s="2">
        <f>IFERROR(S810/D810,"")</f>
        <v/>
      </c>
      <c r="AN810" s="2">
        <f>IFERROR(T810/E810,"")</f>
        <v/>
      </c>
      <c r="AO810" s="2">
        <f>IFERROR(U810/F810,"")</f>
        <v/>
      </c>
    </row>
    <row r="811">
      <c r="B811">
        <f>IF($A811="","",IFERROR(INDEX('[AQ_2020.xlsx]原始数据'!$B:$B,MATCH($A811,'[AQ_2020.xlsx]原始数据'!$A:$A,0)),""))</f>
        <v/>
      </c>
      <c r="C811">
        <f>IF($A811="","",IFERROR(INDEX('[AQ_2021.xlsx]原始数据'!$B:$B,MATCH($A811,'[AQ_2021.xlsx]原始数据'!$A:$A,0)),""))</f>
        <v/>
      </c>
      <c r="D811">
        <f>IF($A811="","",IFERROR(INDEX('[AQ_2022.xlsx]原始数据'!$B:$B,MATCH($A811,'[AQ_2022.xlsx]原始数据'!$A:$A,0)),""))</f>
        <v/>
      </c>
      <c r="E811">
        <f>IF($A811="","",IFERROR(INDEX('[AQ_2023.xlsx]原始数据'!$B:$B,MATCH($A811,'[AQ_2023.xlsx]原始数据'!$A:$A,0)),""))</f>
        <v/>
      </c>
      <c r="F811">
        <f>IF($A811="","",IFERROR(INDEX('[AQ_2024.xlsx]原始数据'!$B:$B,MATCH($A811,'[AQ_2024.xlsx]原始数据'!$A:$A,0)),""))</f>
        <v/>
      </c>
      <c r="G811">
        <f>IF($A811="","",IFERROR(INDEX('[AQ_2020.xlsx]原始数据'!$C:$C,MATCH($A811,'[AQ_2020.xlsx]原始数据'!$A:$A,0)),""))</f>
        <v/>
      </c>
      <c r="H811">
        <f>IF($A811="","",IFERROR(INDEX('[AQ_2021.xlsx]原始数据'!$C:$C,MATCH($A811,'[AQ_2021.xlsx]原始数据'!$A:$A,0)),""))</f>
        <v/>
      </c>
      <c r="I811">
        <f>IF($A811="","",IFERROR(INDEX('[AQ_2022.xlsx]原始数据'!$C:$C,MATCH($A811,'[AQ_2022.xlsx]原始数据'!$A:$A,0)),""))</f>
        <v/>
      </c>
      <c r="J811">
        <f>IF($A811="","",IFERROR(INDEX('[AQ_2023.xlsx]原始数据'!$C:$C,MATCH($A811,'[AQ_2023.xlsx]原始数据'!$A:$A,0)),""))</f>
        <v/>
      </c>
      <c r="K811">
        <f>IF($A811="","",IFERROR(INDEX('[AQ_2024.xlsx]原始数据'!$C:$C,MATCH($A811,'[AQ_2024.xlsx]原始数据'!$A:$A,0)),""))</f>
        <v/>
      </c>
      <c r="L811">
        <f>IF($A811="","",IFERROR(INDEX('[AQ_2020.xlsx]原始数据'!$D:$D,MATCH($A811,'[AQ_2020.xlsx]原始数据'!$A:$A,0)),""))</f>
        <v/>
      </c>
      <c r="M811">
        <f>IF($A811="","",IFERROR(INDEX('[AQ_2021.xlsx]原始数据'!$D:$D,MATCH($A811,'[AQ_2021.xlsx]原始数据'!$A:$A,0)),""))</f>
        <v/>
      </c>
      <c r="N811">
        <f>IF($A811="","",IFERROR(INDEX('[AQ_2022.xlsx]原始数据'!$D:$D,MATCH($A811,'[AQ_2022.xlsx]原始数据'!$A:$A,0)),""))</f>
        <v/>
      </c>
      <c r="O811">
        <f>IF($A811="","",IFERROR(INDEX('[AQ_2023.xlsx]原始数据'!$D:$D,MATCH($A811,'[AQ_2023.xlsx]原始数据'!$A:$A,0)),""))</f>
        <v/>
      </c>
      <c r="P811">
        <f>IF($A811="","",IFERROR(INDEX('[AQ_2024.xlsx]原始数据'!$D:$D,MATCH($A811,'[AQ_2024.xlsx]原始数据'!$A:$A,0)),""))</f>
        <v/>
      </c>
      <c r="Q811">
        <f>IF($A811="","",IFERROR(INDEX('[AQ_2020.xlsx]原始数据'!$E:$E,MATCH($A811,'[AQ_2020.xlsx]原始数据'!$A:$A,0)),""))</f>
        <v/>
      </c>
      <c r="R811">
        <f>IF($A811="","",IFERROR(INDEX('[AQ_2021.xlsx]原始数据'!$E:$E,MATCH($A811,'[AQ_2021.xlsx]原始数据'!$A:$A,0)),""))</f>
        <v/>
      </c>
      <c r="S811">
        <f>IF($A811="","",IFERROR(INDEX('[AQ_2022.xlsx]原始数据'!$E:$E,MATCH($A811,'[AQ_2022.xlsx]原始数据'!$A:$A,0)),""))</f>
        <v/>
      </c>
      <c r="T811">
        <f>IF($A811="","",IFERROR(INDEX('[AQ_2023.xlsx]原始数据'!$E:$E,MATCH($A811,'[AQ_2023.xlsx]原始数据'!$A:$A,0)),""))</f>
        <v/>
      </c>
      <c r="U811">
        <f>IF($A811="","",IFERROR(INDEX('[AQ_2024.xlsx]原始数据'!$E:$E,MATCH($A811,'[AQ_2024.xlsx]原始数据'!$A:$A,0)),""))</f>
        <v/>
      </c>
      <c r="V811">
        <f>IF($A811="","",IFERROR(INDEX('[AQ_2020.xlsx]原始数据'!$F:$F,MATCH($A811,'[AQ_2020.xlsx]原始数据'!$A:$A,0)),""))</f>
        <v/>
      </c>
      <c r="W811">
        <f>IF($A811="","",IFERROR(INDEX('[AQ_2021.xlsx]原始数据'!$F:$F,MATCH($A811,'[AQ_2021.xlsx]原始数据'!$A:$A,0)),""))</f>
        <v/>
      </c>
      <c r="X811">
        <f>IF($A811="","",IFERROR(INDEX('[AQ_2022.xlsx]原始数据'!$F:$F,MATCH($A811,'[AQ_2022.xlsx]原始数据'!$A:$A,0)),""))</f>
        <v/>
      </c>
      <c r="Y811">
        <f>IF($A811="","",IFERROR(INDEX('[AQ_2023.xlsx]原始数据'!$F:$F,MATCH($A811,'[AQ_2023.xlsx]原始数据'!$A:$A,0)),""))</f>
        <v/>
      </c>
      <c r="Z811">
        <f>IF($A811="","",IFERROR(INDEX('[AQ_2024.xlsx]原始数据'!$F:$F,MATCH($A811,'[AQ_2024.xlsx]原始数据'!$A:$A,0)),""))</f>
        <v/>
      </c>
      <c r="AA811" s="2">
        <f>IFERROR(G811/B811,"")</f>
        <v/>
      </c>
      <c r="AB811" s="2">
        <f>IFERROR(H811/C811,"")</f>
        <v/>
      </c>
      <c r="AC811" s="2">
        <f>IFERROR(I811/D811,"")</f>
        <v/>
      </c>
      <c r="AD811" s="2">
        <f>IFERROR(J811/E811,"")</f>
        <v/>
      </c>
      <c r="AE811" s="2">
        <f>IFERROR(K811/F811,"")</f>
        <v/>
      </c>
      <c r="AF811" s="2">
        <f>IFERROR(L811/B811,"")</f>
        <v/>
      </c>
      <c r="AG811" s="2">
        <f>IFERROR(M811/C811,"")</f>
        <v/>
      </c>
      <c r="AH811" s="2">
        <f>IFERROR(N811/D811,"")</f>
        <v/>
      </c>
      <c r="AI811" s="2">
        <f>IFERROR(O811/E811,"")</f>
        <v/>
      </c>
      <c r="AJ811" s="2">
        <f>IFERROR(P811/F811,"")</f>
        <v/>
      </c>
      <c r="AK811" s="2">
        <f>IFERROR(Q811/B811,"")</f>
        <v/>
      </c>
      <c r="AL811" s="2">
        <f>IFERROR(R811/C811,"")</f>
        <v/>
      </c>
      <c r="AM811" s="2">
        <f>IFERROR(S811/D811,"")</f>
        <v/>
      </c>
      <c r="AN811" s="2">
        <f>IFERROR(T811/E811,"")</f>
        <v/>
      </c>
      <c r="AO811" s="2">
        <f>IFERROR(U811/F811,"")</f>
        <v/>
      </c>
    </row>
    <row r="812">
      <c r="B812">
        <f>IF($A812="","",IFERROR(INDEX('[AQ_2020.xlsx]原始数据'!$B:$B,MATCH($A812,'[AQ_2020.xlsx]原始数据'!$A:$A,0)),""))</f>
        <v/>
      </c>
      <c r="C812">
        <f>IF($A812="","",IFERROR(INDEX('[AQ_2021.xlsx]原始数据'!$B:$B,MATCH($A812,'[AQ_2021.xlsx]原始数据'!$A:$A,0)),""))</f>
        <v/>
      </c>
      <c r="D812">
        <f>IF($A812="","",IFERROR(INDEX('[AQ_2022.xlsx]原始数据'!$B:$B,MATCH($A812,'[AQ_2022.xlsx]原始数据'!$A:$A,0)),""))</f>
        <v/>
      </c>
      <c r="E812">
        <f>IF($A812="","",IFERROR(INDEX('[AQ_2023.xlsx]原始数据'!$B:$B,MATCH($A812,'[AQ_2023.xlsx]原始数据'!$A:$A,0)),""))</f>
        <v/>
      </c>
      <c r="F812">
        <f>IF($A812="","",IFERROR(INDEX('[AQ_2024.xlsx]原始数据'!$B:$B,MATCH($A812,'[AQ_2024.xlsx]原始数据'!$A:$A,0)),""))</f>
        <v/>
      </c>
      <c r="G812">
        <f>IF($A812="","",IFERROR(INDEX('[AQ_2020.xlsx]原始数据'!$C:$C,MATCH($A812,'[AQ_2020.xlsx]原始数据'!$A:$A,0)),""))</f>
        <v/>
      </c>
      <c r="H812">
        <f>IF($A812="","",IFERROR(INDEX('[AQ_2021.xlsx]原始数据'!$C:$C,MATCH($A812,'[AQ_2021.xlsx]原始数据'!$A:$A,0)),""))</f>
        <v/>
      </c>
      <c r="I812">
        <f>IF($A812="","",IFERROR(INDEX('[AQ_2022.xlsx]原始数据'!$C:$C,MATCH($A812,'[AQ_2022.xlsx]原始数据'!$A:$A,0)),""))</f>
        <v/>
      </c>
      <c r="J812">
        <f>IF($A812="","",IFERROR(INDEX('[AQ_2023.xlsx]原始数据'!$C:$C,MATCH($A812,'[AQ_2023.xlsx]原始数据'!$A:$A,0)),""))</f>
        <v/>
      </c>
      <c r="K812">
        <f>IF($A812="","",IFERROR(INDEX('[AQ_2024.xlsx]原始数据'!$C:$C,MATCH($A812,'[AQ_2024.xlsx]原始数据'!$A:$A,0)),""))</f>
        <v/>
      </c>
      <c r="L812">
        <f>IF($A812="","",IFERROR(INDEX('[AQ_2020.xlsx]原始数据'!$D:$D,MATCH($A812,'[AQ_2020.xlsx]原始数据'!$A:$A,0)),""))</f>
        <v/>
      </c>
      <c r="M812">
        <f>IF($A812="","",IFERROR(INDEX('[AQ_2021.xlsx]原始数据'!$D:$D,MATCH($A812,'[AQ_2021.xlsx]原始数据'!$A:$A,0)),""))</f>
        <v/>
      </c>
      <c r="N812">
        <f>IF($A812="","",IFERROR(INDEX('[AQ_2022.xlsx]原始数据'!$D:$D,MATCH($A812,'[AQ_2022.xlsx]原始数据'!$A:$A,0)),""))</f>
        <v/>
      </c>
      <c r="O812">
        <f>IF($A812="","",IFERROR(INDEX('[AQ_2023.xlsx]原始数据'!$D:$D,MATCH($A812,'[AQ_2023.xlsx]原始数据'!$A:$A,0)),""))</f>
        <v/>
      </c>
      <c r="P812">
        <f>IF($A812="","",IFERROR(INDEX('[AQ_2024.xlsx]原始数据'!$D:$D,MATCH($A812,'[AQ_2024.xlsx]原始数据'!$A:$A,0)),""))</f>
        <v/>
      </c>
      <c r="Q812">
        <f>IF($A812="","",IFERROR(INDEX('[AQ_2020.xlsx]原始数据'!$E:$E,MATCH($A812,'[AQ_2020.xlsx]原始数据'!$A:$A,0)),""))</f>
        <v/>
      </c>
      <c r="R812">
        <f>IF($A812="","",IFERROR(INDEX('[AQ_2021.xlsx]原始数据'!$E:$E,MATCH($A812,'[AQ_2021.xlsx]原始数据'!$A:$A,0)),""))</f>
        <v/>
      </c>
      <c r="S812">
        <f>IF($A812="","",IFERROR(INDEX('[AQ_2022.xlsx]原始数据'!$E:$E,MATCH($A812,'[AQ_2022.xlsx]原始数据'!$A:$A,0)),""))</f>
        <v/>
      </c>
      <c r="T812">
        <f>IF($A812="","",IFERROR(INDEX('[AQ_2023.xlsx]原始数据'!$E:$E,MATCH($A812,'[AQ_2023.xlsx]原始数据'!$A:$A,0)),""))</f>
        <v/>
      </c>
      <c r="U812">
        <f>IF($A812="","",IFERROR(INDEX('[AQ_2024.xlsx]原始数据'!$E:$E,MATCH($A812,'[AQ_2024.xlsx]原始数据'!$A:$A,0)),""))</f>
        <v/>
      </c>
      <c r="V812">
        <f>IF($A812="","",IFERROR(INDEX('[AQ_2020.xlsx]原始数据'!$F:$F,MATCH($A812,'[AQ_2020.xlsx]原始数据'!$A:$A,0)),""))</f>
        <v/>
      </c>
      <c r="W812">
        <f>IF($A812="","",IFERROR(INDEX('[AQ_2021.xlsx]原始数据'!$F:$F,MATCH($A812,'[AQ_2021.xlsx]原始数据'!$A:$A,0)),""))</f>
        <v/>
      </c>
      <c r="X812">
        <f>IF($A812="","",IFERROR(INDEX('[AQ_2022.xlsx]原始数据'!$F:$F,MATCH($A812,'[AQ_2022.xlsx]原始数据'!$A:$A,0)),""))</f>
        <v/>
      </c>
      <c r="Y812">
        <f>IF($A812="","",IFERROR(INDEX('[AQ_2023.xlsx]原始数据'!$F:$F,MATCH($A812,'[AQ_2023.xlsx]原始数据'!$A:$A,0)),""))</f>
        <v/>
      </c>
      <c r="Z812">
        <f>IF($A812="","",IFERROR(INDEX('[AQ_2024.xlsx]原始数据'!$F:$F,MATCH($A812,'[AQ_2024.xlsx]原始数据'!$A:$A,0)),""))</f>
        <v/>
      </c>
      <c r="AA812" s="2">
        <f>IFERROR(G812/B812,"")</f>
        <v/>
      </c>
      <c r="AB812" s="2">
        <f>IFERROR(H812/C812,"")</f>
        <v/>
      </c>
      <c r="AC812" s="2">
        <f>IFERROR(I812/D812,"")</f>
        <v/>
      </c>
      <c r="AD812" s="2">
        <f>IFERROR(J812/E812,"")</f>
        <v/>
      </c>
      <c r="AE812" s="2">
        <f>IFERROR(K812/F812,"")</f>
        <v/>
      </c>
      <c r="AF812" s="2">
        <f>IFERROR(L812/B812,"")</f>
        <v/>
      </c>
      <c r="AG812" s="2">
        <f>IFERROR(M812/C812,"")</f>
        <v/>
      </c>
      <c r="AH812" s="2">
        <f>IFERROR(N812/D812,"")</f>
        <v/>
      </c>
      <c r="AI812" s="2">
        <f>IFERROR(O812/E812,"")</f>
        <v/>
      </c>
      <c r="AJ812" s="2">
        <f>IFERROR(P812/F812,"")</f>
        <v/>
      </c>
      <c r="AK812" s="2">
        <f>IFERROR(Q812/B812,"")</f>
        <v/>
      </c>
      <c r="AL812" s="2">
        <f>IFERROR(R812/C812,"")</f>
        <v/>
      </c>
      <c r="AM812" s="2">
        <f>IFERROR(S812/D812,"")</f>
        <v/>
      </c>
      <c r="AN812" s="2">
        <f>IFERROR(T812/E812,"")</f>
        <v/>
      </c>
      <c r="AO812" s="2">
        <f>IFERROR(U812/F812,"")</f>
        <v/>
      </c>
    </row>
    <row r="813">
      <c r="B813">
        <f>IF($A813="","",IFERROR(INDEX('[AQ_2020.xlsx]原始数据'!$B:$B,MATCH($A813,'[AQ_2020.xlsx]原始数据'!$A:$A,0)),""))</f>
        <v/>
      </c>
      <c r="C813">
        <f>IF($A813="","",IFERROR(INDEX('[AQ_2021.xlsx]原始数据'!$B:$B,MATCH($A813,'[AQ_2021.xlsx]原始数据'!$A:$A,0)),""))</f>
        <v/>
      </c>
      <c r="D813">
        <f>IF($A813="","",IFERROR(INDEX('[AQ_2022.xlsx]原始数据'!$B:$B,MATCH($A813,'[AQ_2022.xlsx]原始数据'!$A:$A,0)),""))</f>
        <v/>
      </c>
      <c r="E813">
        <f>IF($A813="","",IFERROR(INDEX('[AQ_2023.xlsx]原始数据'!$B:$B,MATCH($A813,'[AQ_2023.xlsx]原始数据'!$A:$A,0)),""))</f>
        <v/>
      </c>
      <c r="F813">
        <f>IF($A813="","",IFERROR(INDEX('[AQ_2024.xlsx]原始数据'!$B:$B,MATCH($A813,'[AQ_2024.xlsx]原始数据'!$A:$A,0)),""))</f>
        <v/>
      </c>
      <c r="G813">
        <f>IF($A813="","",IFERROR(INDEX('[AQ_2020.xlsx]原始数据'!$C:$C,MATCH($A813,'[AQ_2020.xlsx]原始数据'!$A:$A,0)),""))</f>
        <v/>
      </c>
      <c r="H813">
        <f>IF($A813="","",IFERROR(INDEX('[AQ_2021.xlsx]原始数据'!$C:$C,MATCH($A813,'[AQ_2021.xlsx]原始数据'!$A:$A,0)),""))</f>
        <v/>
      </c>
      <c r="I813">
        <f>IF($A813="","",IFERROR(INDEX('[AQ_2022.xlsx]原始数据'!$C:$C,MATCH($A813,'[AQ_2022.xlsx]原始数据'!$A:$A,0)),""))</f>
        <v/>
      </c>
      <c r="J813">
        <f>IF($A813="","",IFERROR(INDEX('[AQ_2023.xlsx]原始数据'!$C:$C,MATCH($A813,'[AQ_2023.xlsx]原始数据'!$A:$A,0)),""))</f>
        <v/>
      </c>
      <c r="K813">
        <f>IF($A813="","",IFERROR(INDEX('[AQ_2024.xlsx]原始数据'!$C:$C,MATCH($A813,'[AQ_2024.xlsx]原始数据'!$A:$A,0)),""))</f>
        <v/>
      </c>
      <c r="L813">
        <f>IF($A813="","",IFERROR(INDEX('[AQ_2020.xlsx]原始数据'!$D:$D,MATCH($A813,'[AQ_2020.xlsx]原始数据'!$A:$A,0)),""))</f>
        <v/>
      </c>
      <c r="M813">
        <f>IF($A813="","",IFERROR(INDEX('[AQ_2021.xlsx]原始数据'!$D:$D,MATCH($A813,'[AQ_2021.xlsx]原始数据'!$A:$A,0)),""))</f>
        <v/>
      </c>
      <c r="N813">
        <f>IF($A813="","",IFERROR(INDEX('[AQ_2022.xlsx]原始数据'!$D:$D,MATCH($A813,'[AQ_2022.xlsx]原始数据'!$A:$A,0)),""))</f>
        <v/>
      </c>
      <c r="O813">
        <f>IF($A813="","",IFERROR(INDEX('[AQ_2023.xlsx]原始数据'!$D:$D,MATCH($A813,'[AQ_2023.xlsx]原始数据'!$A:$A,0)),""))</f>
        <v/>
      </c>
      <c r="P813">
        <f>IF($A813="","",IFERROR(INDEX('[AQ_2024.xlsx]原始数据'!$D:$D,MATCH($A813,'[AQ_2024.xlsx]原始数据'!$A:$A,0)),""))</f>
        <v/>
      </c>
      <c r="Q813">
        <f>IF($A813="","",IFERROR(INDEX('[AQ_2020.xlsx]原始数据'!$E:$E,MATCH($A813,'[AQ_2020.xlsx]原始数据'!$A:$A,0)),""))</f>
        <v/>
      </c>
      <c r="R813">
        <f>IF($A813="","",IFERROR(INDEX('[AQ_2021.xlsx]原始数据'!$E:$E,MATCH($A813,'[AQ_2021.xlsx]原始数据'!$A:$A,0)),""))</f>
        <v/>
      </c>
      <c r="S813">
        <f>IF($A813="","",IFERROR(INDEX('[AQ_2022.xlsx]原始数据'!$E:$E,MATCH($A813,'[AQ_2022.xlsx]原始数据'!$A:$A,0)),""))</f>
        <v/>
      </c>
      <c r="T813">
        <f>IF($A813="","",IFERROR(INDEX('[AQ_2023.xlsx]原始数据'!$E:$E,MATCH($A813,'[AQ_2023.xlsx]原始数据'!$A:$A,0)),""))</f>
        <v/>
      </c>
      <c r="U813">
        <f>IF($A813="","",IFERROR(INDEX('[AQ_2024.xlsx]原始数据'!$E:$E,MATCH($A813,'[AQ_2024.xlsx]原始数据'!$A:$A,0)),""))</f>
        <v/>
      </c>
      <c r="V813">
        <f>IF($A813="","",IFERROR(INDEX('[AQ_2020.xlsx]原始数据'!$F:$F,MATCH($A813,'[AQ_2020.xlsx]原始数据'!$A:$A,0)),""))</f>
        <v/>
      </c>
      <c r="W813">
        <f>IF($A813="","",IFERROR(INDEX('[AQ_2021.xlsx]原始数据'!$F:$F,MATCH($A813,'[AQ_2021.xlsx]原始数据'!$A:$A,0)),""))</f>
        <v/>
      </c>
      <c r="X813">
        <f>IF($A813="","",IFERROR(INDEX('[AQ_2022.xlsx]原始数据'!$F:$F,MATCH($A813,'[AQ_2022.xlsx]原始数据'!$A:$A,0)),""))</f>
        <v/>
      </c>
      <c r="Y813">
        <f>IF($A813="","",IFERROR(INDEX('[AQ_2023.xlsx]原始数据'!$F:$F,MATCH($A813,'[AQ_2023.xlsx]原始数据'!$A:$A,0)),""))</f>
        <v/>
      </c>
      <c r="Z813">
        <f>IF($A813="","",IFERROR(INDEX('[AQ_2024.xlsx]原始数据'!$F:$F,MATCH($A813,'[AQ_2024.xlsx]原始数据'!$A:$A,0)),""))</f>
        <v/>
      </c>
      <c r="AA813" s="2">
        <f>IFERROR(G813/B813,"")</f>
        <v/>
      </c>
      <c r="AB813" s="2">
        <f>IFERROR(H813/C813,"")</f>
        <v/>
      </c>
      <c r="AC813" s="2">
        <f>IFERROR(I813/D813,"")</f>
        <v/>
      </c>
      <c r="AD813" s="2">
        <f>IFERROR(J813/E813,"")</f>
        <v/>
      </c>
      <c r="AE813" s="2">
        <f>IFERROR(K813/F813,"")</f>
        <v/>
      </c>
      <c r="AF813" s="2">
        <f>IFERROR(L813/B813,"")</f>
        <v/>
      </c>
      <c r="AG813" s="2">
        <f>IFERROR(M813/C813,"")</f>
        <v/>
      </c>
      <c r="AH813" s="2">
        <f>IFERROR(N813/D813,"")</f>
        <v/>
      </c>
      <c r="AI813" s="2">
        <f>IFERROR(O813/E813,"")</f>
        <v/>
      </c>
      <c r="AJ813" s="2">
        <f>IFERROR(P813/F813,"")</f>
        <v/>
      </c>
      <c r="AK813" s="2">
        <f>IFERROR(Q813/B813,"")</f>
        <v/>
      </c>
      <c r="AL813" s="2">
        <f>IFERROR(R813/C813,"")</f>
        <v/>
      </c>
      <c r="AM813" s="2">
        <f>IFERROR(S813/D813,"")</f>
        <v/>
      </c>
      <c r="AN813" s="2">
        <f>IFERROR(T813/E813,"")</f>
        <v/>
      </c>
      <c r="AO813" s="2">
        <f>IFERROR(U813/F813,"")</f>
        <v/>
      </c>
    </row>
    <row r="814">
      <c r="B814">
        <f>IF($A814="","",IFERROR(INDEX('[AQ_2020.xlsx]原始数据'!$B:$B,MATCH($A814,'[AQ_2020.xlsx]原始数据'!$A:$A,0)),""))</f>
        <v/>
      </c>
      <c r="C814">
        <f>IF($A814="","",IFERROR(INDEX('[AQ_2021.xlsx]原始数据'!$B:$B,MATCH($A814,'[AQ_2021.xlsx]原始数据'!$A:$A,0)),""))</f>
        <v/>
      </c>
      <c r="D814">
        <f>IF($A814="","",IFERROR(INDEX('[AQ_2022.xlsx]原始数据'!$B:$B,MATCH($A814,'[AQ_2022.xlsx]原始数据'!$A:$A,0)),""))</f>
        <v/>
      </c>
      <c r="E814">
        <f>IF($A814="","",IFERROR(INDEX('[AQ_2023.xlsx]原始数据'!$B:$B,MATCH($A814,'[AQ_2023.xlsx]原始数据'!$A:$A,0)),""))</f>
        <v/>
      </c>
      <c r="F814">
        <f>IF($A814="","",IFERROR(INDEX('[AQ_2024.xlsx]原始数据'!$B:$B,MATCH($A814,'[AQ_2024.xlsx]原始数据'!$A:$A,0)),""))</f>
        <v/>
      </c>
      <c r="G814">
        <f>IF($A814="","",IFERROR(INDEX('[AQ_2020.xlsx]原始数据'!$C:$C,MATCH($A814,'[AQ_2020.xlsx]原始数据'!$A:$A,0)),""))</f>
        <v/>
      </c>
      <c r="H814">
        <f>IF($A814="","",IFERROR(INDEX('[AQ_2021.xlsx]原始数据'!$C:$C,MATCH($A814,'[AQ_2021.xlsx]原始数据'!$A:$A,0)),""))</f>
        <v/>
      </c>
      <c r="I814">
        <f>IF($A814="","",IFERROR(INDEX('[AQ_2022.xlsx]原始数据'!$C:$C,MATCH($A814,'[AQ_2022.xlsx]原始数据'!$A:$A,0)),""))</f>
        <v/>
      </c>
      <c r="J814">
        <f>IF($A814="","",IFERROR(INDEX('[AQ_2023.xlsx]原始数据'!$C:$C,MATCH($A814,'[AQ_2023.xlsx]原始数据'!$A:$A,0)),""))</f>
        <v/>
      </c>
      <c r="K814">
        <f>IF($A814="","",IFERROR(INDEX('[AQ_2024.xlsx]原始数据'!$C:$C,MATCH($A814,'[AQ_2024.xlsx]原始数据'!$A:$A,0)),""))</f>
        <v/>
      </c>
      <c r="L814">
        <f>IF($A814="","",IFERROR(INDEX('[AQ_2020.xlsx]原始数据'!$D:$D,MATCH($A814,'[AQ_2020.xlsx]原始数据'!$A:$A,0)),""))</f>
        <v/>
      </c>
      <c r="M814">
        <f>IF($A814="","",IFERROR(INDEX('[AQ_2021.xlsx]原始数据'!$D:$D,MATCH($A814,'[AQ_2021.xlsx]原始数据'!$A:$A,0)),""))</f>
        <v/>
      </c>
      <c r="N814">
        <f>IF($A814="","",IFERROR(INDEX('[AQ_2022.xlsx]原始数据'!$D:$D,MATCH($A814,'[AQ_2022.xlsx]原始数据'!$A:$A,0)),""))</f>
        <v/>
      </c>
      <c r="O814">
        <f>IF($A814="","",IFERROR(INDEX('[AQ_2023.xlsx]原始数据'!$D:$D,MATCH($A814,'[AQ_2023.xlsx]原始数据'!$A:$A,0)),""))</f>
        <v/>
      </c>
      <c r="P814">
        <f>IF($A814="","",IFERROR(INDEX('[AQ_2024.xlsx]原始数据'!$D:$D,MATCH($A814,'[AQ_2024.xlsx]原始数据'!$A:$A,0)),""))</f>
        <v/>
      </c>
      <c r="Q814">
        <f>IF($A814="","",IFERROR(INDEX('[AQ_2020.xlsx]原始数据'!$E:$E,MATCH($A814,'[AQ_2020.xlsx]原始数据'!$A:$A,0)),""))</f>
        <v/>
      </c>
      <c r="R814">
        <f>IF($A814="","",IFERROR(INDEX('[AQ_2021.xlsx]原始数据'!$E:$E,MATCH($A814,'[AQ_2021.xlsx]原始数据'!$A:$A,0)),""))</f>
        <v/>
      </c>
      <c r="S814">
        <f>IF($A814="","",IFERROR(INDEX('[AQ_2022.xlsx]原始数据'!$E:$E,MATCH($A814,'[AQ_2022.xlsx]原始数据'!$A:$A,0)),""))</f>
        <v/>
      </c>
      <c r="T814">
        <f>IF($A814="","",IFERROR(INDEX('[AQ_2023.xlsx]原始数据'!$E:$E,MATCH($A814,'[AQ_2023.xlsx]原始数据'!$A:$A,0)),""))</f>
        <v/>
      </c>
      <c r="U814">
        <f>IF($A814="","",IFERROR(INDEX('[AQ_2024.xlsx]原始数据'!$E:$E,MATCH($A814,'[AQ_2024.xlsx]原始数据'!$A:$A,0)),""))</f>
        <v/>
      </c>
      <c r="V814">
        <f>IF($A814="","",IFERROR(INDEX('[AQ_2020.xlsx]原始数据'!$F:$F,MATCH($A814,'[AQ_2020.xlsx]原始数据'!$A:$A,0)),""))</f>
        <v/>
      </c>
      <c r="W814">
        <f>IF($A814="","",IFERROR(INDEX('[AQ_2021.xlsx]原始数据'!$F:$F,MATCH($A814,'[AQ_2021.xlsx]原始数据'!$A:$A,0)),""))</f>
        <v/>
      </c>
      <c r="X814">
        <f>IF($A814="","",IFERROR(INDEX('[AQ_2022.xlsx]原始数据'!$F:$F,MATCH($A814,'[AQ_2022.xlsx]原始数据'!$A:$A,0)),""))</f>
        <v/>
      </c>
      <c r="Y814">
        <f>IF($A814="","",IFERROR(INDEX('[AQ_2023.xlsx]原始数据'!$F:$F,MATCH($A814,'[AQ_2023.xlsx]原始数据'!$A:$A,0)),""))</f>
        <v/>
      </c>
      <c r="Z814">
        <f>IF($A814="","",IFERROR(INDEX('[AQ_2024.xlsx]原始数据'!$F:$F,MATCH($A814,'[AQ_2024.xlsx]原始数据'!$A:$A,0)),""))</f>
        <v/>
      </c>
      <c r="AA814" s="2">
        <f>IFERROR(G814/B814,"")</f>
        <v/>
      </c>
      <c r="AB814" s="2">
        <f>IFERROR(H814/C814,"")</f>
        <v/>
      </c>
      <c r="AC814" s="2">
        <f>IFERROR(I814/D814,"")</f>
        <v/>
      </c>
      <c r="AD814" s="2">
        <f>IFERROR(J814/E814,"")</f>
        <v/>
      </c>
      <c r="AE814" s="2">
        <f>IFERROR(K814/F814,"")</f>
        <v/>
      </c>
      <c r="AF814" s="2">
        <f>IFERROR(L814/B814,"")</f>
        <v/>
      </c>
      <c r="AG814" s="2">
        <f>IFERROR(M814/C814,"")</f>
        <v/>
      </c>
      <c r="AH814" s="2">
        <f>IFERROR(N814/D814,"")</f>
        <v/>
      </c>
      <c r="AI814" s="2">
        <f>IFERROR(O814/E814,"")</f>
        <v/>
      </c>
      <c r="AJ814" s="2">
        <f>IFERROR(P814/F814,"")</f>
        <v/>
      </c>
      <c r="AK814" s="2">
        <f>IFERROR(Q814/B814,"")</f>
        <v/>
      </c>
      <c r="AL814" s="2">
        <f>IFERROR(R814/C814,"")</f>
        <v/>
      </c>
      <c r="AM814" s="2">
        <f>IFERROR(S814/D814,"")</f>
        <v/>
      </c>
      <c r="AN814" s="2">
        <f>IFERROR(T814/E814,"")</f>
        <v/>
      </c>
      <c r="AO814" s="2">
        <f>IFERROR(U814/F814,"")</f>
        <v/>
      </c>
    </row>
    <row r="815">
      <c r="B815">
        <f>IF($A815="","",IFERROR(INDEX('[AQ_2020.xlsx]原始数据'!$B:$B,MATCH($A815,'[AQ_2020.xlsx]原始数据'!$A:$A,0)),""))</f>
        <v/>
      </c>
      <c r="C815">
        <f>IF($A815="","",IFERROR(INDEX('[AQ_2021.xlsx]原始数据'!$B:$B,MATCH($A815,'[AQ_2021.xlsx]原始数据'!$A:$A,0)),""))</f>
        <v/>
      </c>
      <c r="D815">
        <f>IF($A815="","",IFERROR(INDEX('[AQ_2022.xlsx]原始数据'!$B:$B,MATCH($A815,'[AQ_2022.xlsx]原始数据'!$A:$A,0)),""))</f>
        <v/>
      </c>
      <c r="E815">
        <f>IF($A815="","",IFERROR(INDEX('[AQ_2023.xlsx]原始数据'!$B:$B,MATCH($A815,'[AQ_2023.xlsx]原始数据'!$A:$A,0)),""))</f>
        <v/>
      </c>
      <c r="F815">
        <f>IF($A815="","",IFERROR(INDEX('[AQ_2024.xlsx]原始数据'!$B:$B,MATCH($A815,'[AQ_2024.xlsx]原始数据'!$A:$A,0)),""))</f>
        <v/>
      </c>
      <c r="G815">
        <f>IF($A815="","",IFERROR(INDEX('[AQ_2020.xlsx]原始数据'!$C:$C,MATCH($A815,'[AQ_2020.xlsx]原始数据'!$A:$A,0)),""))</f>
        <v/>
      </c>
      <c r="H815">
        <f>IF($A815="","",IFERROR(INDEX('[AQ_2021.xlsx]原始数据'!$C:$C,MATCH($A815,'[AQ_2021.xlsx]原始数据'!$A:$A,0)),""))</f>
        <v/>
      </c>
      <c r="I815">
        <f>IF($A815="","",IFERROR(INDEX('[AQ_2022.xlsx]原始数据'!$C:$C,MATCH($A815,'[AQ_2022.xlsx]原始数据'!$A:$A,0)),""))</f>
        <v/>
      </c>
      <c r="J815">
        <f>IF($A815="","",IFERROR(INDEX('[AQ_2023.xlsx]原始数据'!$C:$C,MATCH($A815,'[AQ_2023.xlsx]原始数据'!$A:$A,0)),""))</f>
        <v/>
      </c>
      <c r="K815">
        <f>IF($A815="","",IFERROR(INDEX('[AQ_2024.xlsx]原始数据'!$C:$C,MATCH($A815,'[AQ_2024.xlsx]原始数据'!$A:$A,0)),""))</f>
        <v/>
      </c>
      <c r="L815">
        <f>IF($A815="","",IFERROR(INDEX('[AQ_2020.xlsx]原始数据'!$D:$D,MATCH($A815,'[AQ_2020.xlsx]原始数据'!$A:$A,0)),""))</f>
        <v/>
      </c>
      <c r="M815">
        <f>IF($A815="","",IFERROR(INDEX('[AQ_2021.xlsx]原始数据'!$D:$D,MATCH($A815,'[AQ_2021.xlsx]原始数据'!$A:$A,0)),""))</f>
        <v/>
      </c>
      <c r="N815">
        <f>IF($A815="","",IFERROR(INDEX('[AQ_2022.xlsx]原始数据'!$D:$D,MATCH($A815,'[AQ_2022.xlsx]原始数据'!$A:$A,0)),""))</f>
        <v/>
      </c>
      <c r="O815">
        <f>IF($A815="","",IFERROR(INDEX('[AQ_2023.xlsx]原始数据'!$D:$D,MATCH($A815,'[AQ_2023.xlsx]原始数据'!$A:$A,0)),""))</f>
        <v/>
      </c>
      <c r="P815">
        <f>IF($A815="","",IFERROR(INDEX('[AQ_2024.xlsx]原始数据'!$D:$D,MATCH($A815,'[AQ_2024.xlsx]原始数据'!$A:$A,0)),""))</f>
        <v/>
      </c>
      <c r="Q815">
        <f>IF($A815="","",IFERROR(INDEX('[AQ_2020.xlsx]原始数据'!$E:$E,MATCH($A815,'[AQ_2020.xlsx]原始数据'!$A:$A,0)),""))</f>
        <v/>
      </c>
      <c r="R815">
        <f>IF($A815="","",IFERROR(INDEX('[AQ_2021.xlsx]原始数据'!$E:$E,MATCH($A815,'[AQ_2021.xlsx]原始数据'!$A:$A,0)),""))</f>
        <v/>
      </c>
      <c r="S815">
        <f>IF($A815="","",IFERROR(INDEX('[AQ_2022.xlsx]原始数据'!$E:$E,MATCH($A815,'[AQ_2022.xlsx]原始数据'!$A:$A,0)),""))</f>
        <v/>
      </c>
      <c r="T815">
        <f>IF($A815="","",IFERROR(INDEX('[AQ_2023.xlsx]原始数据'!$E:$E,MATCH($A815,'[AQ_2023.xlsx]原始数据'!$A:$A,0)),""))</f>
        <v/>
      </c>
      <c r="U815">
        <f>IF($A815="","",IFERROR(INDEX('[AQ_2024.xlsx]原始数据'!$E:$E,MATCH($A815,'[AQ_2024.xlsx]原始数据'!$A:$A,0)),""))</f>
        <v/>
      </c>
      <c r="V815">
        <f>IF($A815="","",IFERROR(INDEX('[AQ_2020.xlsx]原始数据'!$F:$F,MATCH($A815,'[AQ_2020.xlsx]原始数据'!$A:$A,0)),""))</f>
        <v/>
      </c>
      <c r="W815">
        <f>IF($A815="","",IFERROR(INDEX('[AQ_2021.xlsx]原始数据'!$F:$F,MATCH($A815,'[AQ_2021.xlsx]原始数据'!$A:$A,0)),""))</f>
        <v/>
      </c>
      <c r="X815">
        <f>IF($A815="","",IFERROR(INDEX('[AQ_2022.xlsx]原始数据'!$F:$F,MATCH($A815,'[AQ_2022.xlsx]原始数据'!$A:$A,0)),""))</f>
        <v/>
      </c>
      <c r="Y815">
        <f>IF($A815="","",IFERROR(INDEX('[AQ_2023.xlsx]原始数据'!$F:$F,MATCH($A815,'[AQ_2023.xlsx]原始数据'!$A:$A,0)),""))</f>
        <v/>
      </c>
      <c r="Z815">
        <f>IF($A815="","",IFERROR(INDEX('[AQ_2024.xlsx]原始数据'!$F:$F,MATCH($A815,'[AQ_2024.xlsx]原始数据'!$A:$A,0)),""))</f>
        <v/>
      </c>
      <c r="AA815" s="2">
        <f>IFERROR(G815/B815,"")</f>
        <v/>
      </c>
      <c r="AB815" s="2">
        <f>IFERROR(H815/C815,"")</f>
        <v/>
      </c>
      <c r="AC815" s="2">
        <f>IFERROR(I815/D815,"")</f>
        <v/>
      </c>
      <c r="AD815" s="2">
        <f>IFERROR(J815/E815,"")</f>
        <v/>
      </c>
      <c r="AE815" s="2">
        <f>IFERROR(K815/F815,"")</f>
        <v/>
      </c>
      <c r="AF815" s="2">
        <f>IFERROR(L815/B815,"")</f>
        <v/>
      </c>
      <c r="AG815" s="2">
        <f>IFERROR(M815/C815,"")</f>
        <v/>
      </c>
      <c r="AH815" s="2">
        <f>IFERROR(N815/D815,"")</f>
        <v/>
      </c>
      <c r="AI815" s="2">
        <f>IFERROR(O815/E815,"")</f>
        <v/>
      </c>
      <c r="AJ815" s="2">
        <f>IFERROR(P815/F815,"")</f>
        <v/>
      </c>
      <c r="AK815" s="2">
        <f>IFERROR(Q815/B815,"")</f>
        <v/>
      </c>
      <c r="AL815" s="2">
        <f>IFERROR(R815/C815,"")</f>
        <v/>
      </c>
      <c r="AM815" s="2">
        <f>IFERROR(S815/D815,"")</f>
        <v/>
      </c>
      <c r="AN815" s="2">
        <f>IFERROR(T815/E815,"")</f>
        <v/>
      </c>
      <c r="AO815" s="2">
        <f>IFERROR(U815/F815,"")</f>
        <v/>
      </c>
    </row>
    <row r="816">
      <c r="B816">
        <f>IF($A816="","",IFERROR(INDEX('[AQ_2020.xlsx]原始数据'!$B:$B,MATCH($A816,'[AQ_2020.xlsx]原始数据'!$A:$A,0)),""))</f>
        <v/>
      </c>
      <c r="C816">
        <f>IF($A816="","",IFERROR(INDEX('[AQ_2021.xlsx]原始数据'!$B:$B,MATCH($A816,'[AQ_2021.xlsx]原始数据'!$A:$A,0)),""))</f>
        <v/>
      </c>
      <c r="D816">
        <f>IF($A816="","",IFERROR(INDEX('[AQ_2022.xlsx]原始数据'!$B:$B,MATCH($A816,'[AQ_2022.xlsx]原始数据'!$A:$A,0)),""))</f>
        <v/>
      </c>
      <c r="E816">
        <f>IF($A816="","",IFERROR(INDEX('[AQ_2023.xlsx]原始数据'!$B:$B,MATCH($A816,'[AQ_2023.xlsx]原始数据'!$A:$A,0)),""))</f>
        <v/>
      </c>
      <c r="F816">
        <f>IF($A816="","",IFERROR(INDEX('[AQ_2024.xlsx]原始数据'!$B:$B,MATCH($A816,'[AQ_2024.xlsx]原始数据'!$A:$A,0)),""))</f>
        <v/>
      </c>
      <c r="G816">
        <f>IF($A816="","",IFERROR(INDEX('[AQ_2020.xlsx]原始数据'!$C:$C,MATCH($A816,'[AQ_2020.xlsx]原始数据'!$A:$A,0)),""))</f>
        <v/>
      </c>
      <c r="H816">
        <f>IF($A816="","",IFERROR(INDEX('[AQ_2021.xlsx]原始数据'!$C:$C,MATCH($A816,'[AQ_2021.xlsx]原始数据'!$A:$A,0)),""))</f>
        <v/>
      </c>
      <c r="I816">
        <f>IF($A816="","",IFERROR(INDEX('[AQ_2022.xlsx]原始数据'!$C:$C,MATCH($A816,'[AQ_2022.xlsx]原始数据'!$A:$A,0)),""))</f>
        <v/>
      </c>
      <c r="J816">
        <f>IF($A816="","",IFERROR(INDEX('[AQ_2023.xlsx]原始数据'!$C:$C,MATCH($A816,'[AQ_2023.xlsx]原始数据'!$A:$A,0)),""))</f>
        <v/>
      </c>
      <c r="K816">
        <f>IF($A816="","",IFERROR(INDEX('[AQ_2024.xlsx]原始数据'!$C:$C,MATCH($A816,'[AQ_2024.xlsx]原始数据'!$A:$A,0)),""))</f>
        <v/>
      </c>
      <c r="L816">
        <f>IF($A816="","",IFERROR(INDEX('[AQ_2020.xlsx]原始数据'!$D:$D,MATCH($A816,'[AQ_2020.xlsx]原始数据'!$A:$A,0)),""))</f>
        <v/>
      </c>
      <c r="M816">
        <f>IF($A816="","",IFERROR(INDEX('[AQ_2021.xlsx]原始数据'!$D:$D,MATCH($A816,'[AQ_2021.xlsx]原始数据'!$A:$A,0)),""))</f>
        <v/>
      </c>
      <c r="N816">
        <f>IF($A816="","",IFERROR(INDEX('[AQ_2022.xlsx]原始数据'!$D:$D,MATCH($A816,'[AQ_2022.xlsx]原始数据'!$A:$A,0)),""))</f>
        <v/>
      </c>
      <c r="O816">
        <f>IF($A816="","",IFERROR(INDEX('[AQ_2023.xlsx]原始数据'!$D:$D,MATCH($A816,'[AQ_2023.xlsx]原始数据'!$A:$A,0)),""))</f>
        <v/>
      </c>
      <c r="P816">
        <f>IF($A816="","",IFERROR(INDEX('[AQ_2024.xlsx]原始数据'!$D:$D,MATCH($A816,'[AQ_2024.xlsx]原始数据'!$A:$A,0)),""))</f>
        <v/>
      </c>
      <c r="Q816">
        <f>IF($A816="","",IFERROR(INDEX('[AQ_2020.xlsx]原始数据'!$E:$E,MATCH($A816,'[AQ_2020.xlsx]原始数据'!$A:$A,0)),""))</f>
        <v/>
      </c>
      <c r="R816">
        <f>IF($A816="","",IFERROR(INDEX('[AQ_2021.xlsx]原始数据'!$E:$E,MATCH($A816,'[AQ_2021.xlsx]原始数据'!$A:$A,0)),""))</f>
        <v/>
      </c>
      <c r="S816">
        <f>IF($A816="","",IFERROR(INDEX('[AQ_2022.xlsx]原始数据'!$E:$E,MATCH($A816,'[AQ_2022.xlsx]原始数据'!$A:$A,0)),""))</f>
        <v/>
      </c>
      <c r="T816">
        <f>IF($A816="","",IFERROR(INDEX('[AQ_2023.xlsx]原始数据'!$E:$E,MATCH($A816,'[AQ_2023.xlsx]原始数据'!$A:$A,0)),""))</f>
        <v/>
      </c>
      <c r="U816">
        <f>IF($A816="","",IFERROR(INDEX('[AQ_2024.xlsx]原始数据'!$E:$E,MATCH($A816,'[AQ_2024.xlsx]原始数据'!$A:$A,0)),""))</f>
        <v/>
      </c>
      <c r="V816">
        <f>IF($A816="","",IFERROR(INDEX('[AQ_2020.xlsx]原始数据'!$F:$F,MATCH($A816,'[AQ_2020.xlsx]原始数据'!$A:$A,0)),""))</f>
        <v/>
      </c>
      <c r="W816">
        <f>IF($A816="","",IFERROR(INDEX('[AQ_2021.xlsx]原始数据'!$F:$F,MATCH($A816,'[AQ_2021.xlsx]原始数据'!$A:$A,0)),""))</f>
        <v/>
      </c>
      <c r="X816">
        <f>IF($A816="","",IFERROR(INDEX('[AQ_2022.xlsx]原始数据'!$F:$F,MATCH($A816,'[AQ_2022.xlsx]原始数据'!$A:$A,0)),""))</f>
        <v/>
      </c>
      <c r="Y816">
        <f>IF($A816="","",IFERROR(INDEX('[AQ_2023.xlsx]原始数据'!$F:$F,MATCH($A816,'[AQ_2023.xlsx]原始数据'!$A:$A,0)),""))</f>
        <v/>
      </c>
      <c r="Z816">
        <f>IF($A816="","",IFERROR(INDEX('[AQ_2024.xlsx]原始数据'!$F:$F,MATCH($A816,'[AQ_2024.xlsx]原始数据'!$A:$A,0)),""))</f>
        <v/>
      </c>
      <c r="AA816" s="2">
        <f>IFERROR(G816/B816,"")</f>
        <v/>
      </c>
      <c r="AB816" s="2">
        <f>IFERROR(H816/C816,"")</f>
        <v/>
      </c>
      <c r="AC816" s="2">
        <f>IFERROR(I816/D816,"")</f>
        <v/>
      </c>
      <c r="AD816" s="2">
        <f>IFERROR(J816/E816,"")</f>
        <v/>
      </c>
      <c r="AE816" s="2">
        <f>IFERROR(K816/F816,"")</f>
        <v/>
      </c>
      <c r="AF816" s="2">
        <f>IFERROR(L816/B816,"")</f>
        <v/>
      </c>
      <c r="AG816" s="2">
        <f>IFERROR(M816/C816,"")</f>
        <v/>
      </c>
      <c r="AH816" s="2">
        <f>IFERROR(N816/D816,"")</f>
        <v/>
      </c>
      <c r="AI816" s="2">
        <f>IFERROR(O816/E816,"")</f>
        <v/>
      </c>
      <c r="AJ816" s="2">
        <f>IFERROR(P816/F816,"")</f>
        <v/>
      </c>
      <c r="AK816" s="2">
        <f>IFERROR(Q816/B816,"")</f>
        <v/>
      </c>
      <c r="AL816" s="2">
        <f>IFERROR(R816/C816,"")</f>
        <v/>
      </c>
      <c r="AM816" s="2">
        <f>IFERROR(S816/D816,"")</f>
        <v/>
      </c>
      <c r="AN816" s="2">
        <f>IFERROR(T816/E816,"")</f>
        <v/>
      </c>
      <c r="AO816" s="2">
        <f>IFERROR(U816/F816,"")</f>
        <v/>
      </c>
    </row>
    <row r="817">
      <c r="B817">
        <f>IF($A817="","",IFERROR(INDEX('[AQ_2020.xlsx]原始数据'!$B:$B,MATCH($A817,'[AQ_2020.xlsx]原始数据'!$A:$A,0)),""))</f>
        <v/>
      </c>
      <c r="C817">
        <f>IF($A817="","",IFERROR(INDEX('[AQ_2021.xlsx]原始数据'!$B:$B,MATCH($A817,'[AQ_2021.xlsx]原始数据'!$A:$A,0)),""))</f>
        <v/>
      </c>
      <c r="D817">
        <f>IF($A817="","",IFERROR(INDEX('[AQ_2022.xlsx]原始数据'!$B:$B,MATCH($A817,'[AQ_2022.xlsx]原始数据'!$A:$A,0)),""))</f>
        <v/>
      </c>
      <c r="E817">
        <f>IF($A817="","",IFERROR(INDEX('[AQ_2023.xlsx]原始数据'!$B:$B,MATCH($A817,'[AQ_2023.xlsx]原始数据'!$A:$A,0)),""))</f>
        <v/>
      </c>
      <c r="F817">
        <f>IF($A817="","",IFERROR(INDEX('[AQ_2024.xlsx]原始数据'!$B:$B,MATCH($A817,'[AQ_2024.xlsx]原始数据'!$A:$A,0)),""))</f>
        <v/>
      </c>
      <c r="G817">
        <f>IF($A817="","",IFERROR(INDEX('[AQ_2020.xlsx]原始数据'!$C:$C,MATCH($A817,'[AQ_2020.xlsx]原始数据'!$A:$A,0)),""))</f>
        <v/>
      </c>
      <c r="H817">
        <f>IF($A817="","",IFERROR(INDEX('[AQ_2021.xlsx]原始数据'!$C:$C,MATCH($A817,'[AQ_2021.xlsx]原始数据'!$A:$A,0)),""))</f>
        <v/>
      </c>
      <c r="I817">
        <f>IF($A817="","",IFERROR(INDEX('[AQ_2022.xlsx]原始数据'!$C:$C,MATCH($A817,'[AQ_2022.xlsx]原始数据'!$A:$A,0)),""))</f>
        <v/>
      </c>
      <c r="J817">
        <f>IF($A817="","",IFERROR(INDEX('[AQ_2023.xlsx]原始数据'!$C:$C,MATCH($A817,'[AQ_2023.xlsx]原始数据'!$A:$A,0)),""))</f>
        <v/>
      </c>
      <c r="K817">
        <f>IF($A817="","",IFERROR(INDEX('[AQ_2024.xlsx]原始数据'!$C:$C,MATCH($A817,'[AQ_2024.xlsx]原始数据'!$A:$A,0)),""))</f>
        <v/>
      </c>
      <c r="L817">
        <f>IF($A817="","",IFERROR(INDEX('[AQ_2020.xlsx]原始数据'!$D:$D,MATCH($A817,'[AQ_2020.xlsx]原始数据'!$A:$A,0)),""))</f>
        <v/>
      </c>
      <c r="M817">
        <f>IF($A817="","",IFERROR(INDEX('[AQ_2021.xlsx]原始数据'!$D:$D,MATCH($A817,'[AQ_2021.xlsx]原始数据'!$A:$A,0)),""))</f>
        <v/>
      </c>
      <c r="N817">
        <f>IF($A817="","",IFERROR(INDEX('[AQ_2022.xlsx]原始数据'!$D:$D,MATCH($A817,'[AQ_2022.xlsx]原始数据'!$A:$A,0)),""))</f>
        <v/>
      </c>
      <c r="O817">
        <f>IF($A817="","",IFERROR(INDEX('[AQ_2023.xlsx]原始数据'!$D:$D,MATCH($A817,'[AQ_2023.xlsx]原始数据'!$A:$A,0)),""))</f>
        <v/>
      </c>
      <c r="P817">
        <f>IF($A817="","",IFERROR(INDEX('[AQ_2024.xlsx]原始数据'!$D:$D,MATCH($A817,'[AQ_2024.xlsx]原始数据'!$A:$A,0)),""))</f>
        <v/>
      </c>
      <c r="Q817">
        <f>IF($A817="","",IFERROR(INDEX('[AQ_2020.xlsx]原始数据'!$E:$E,MATCH($A817,'[AQ_2020.xlsx]原始数据'!$A:$A,0)),""))</f>
        <v/>
      </c>
      <c r="R817">
        <f>IF($A817="","",IFERROR(INDEX('[AQ_2021.xlsx]原始数据'!$E:$E,MATCH($A817,'[AQ_2021.xlsx]原始数据'!$A:$A,0)),""))</f>
        <v/>
      </c>
      <c r="S817">
        <f>IF($A817="","",IFERROR(INDEX('[AQ_2022.xlsx]原始数据'!$E:$E,MATCH($A817,'[AQ_2022.xlsx]原始数据'!$A:$A,0)),""))</f>
        <v/>
      </c>
      <c r="T817">
        <f>IF($A817="","",IFERROR(INDEX('[AQ_2023.xlsx]原始数据'!$E:$E,MATCH($A817,'[AQ_2023.xlsx]原始数据'!$A:$A,0)),""))</f>
        <v/>
      </c>
      <c r="U817">
        <f>IF($A817="","",IFERROR(INDEX('[AQ_2024.xlsx]原始数据'!$E:$E,MATCH($A817,'[AQ_2024.xlsx]原始数据'!$A:$A,0)),""))</f>
        <v/>
      </c>
      <c r="V817">
        <f>IF($A817="","",IFERROR(INDEX('[AQ_2020.xlsx]原始数据'!$F:$F,MATCH($A817,'[AQ_2020.xlsx]原始数据'!$A:$A,0)),""))</f>
        <v/>
      </c>
      <c r="W817">
        <f>IF($A817="","",IFERROR(INDEX('[AQ_2021.xlsx]原始数据'!$F:$F,MATCH($A817,'[AQ_2021.xlsx]原始数据'!$A:$A,0)),""))</f>
        <v/>
      </c>
      <c r="X817">
        <f>IF($A817="","",IFERROR(INDEX('[AQ_2022.xlsx]原始数据'!$F:$F,MATCH($A817,'[AQ_2022.xlsx]原始数据'!$A:$A,0)),""))</f>
        <v/>
      </c>
      <c r="Y817">
        <f>IF($A817="","",IFERROR(INDEX('[AQ_2023.xlsx]原始数据'!$F:$F,MATCH($A817,'[AQ_2023.xlsx]原始数据'!$A:$A,0)),""))</f>
        <v/>
      </c>
      <c r="Z817">
        <f>IF($A817="","",IFERROR(INDEX('[AQ_2024.xlsx]原始数据'!$F:$F,MATCH($A817,'[AQ_2024.xlsx]原始数据'!$A:$A,0)),""))</f>
        <v/>
      </c>
      <c r="AA817" s="2">
        <f>IFERROR(G817/B817,"")</f>
        <v/>
      </c>
      <c r="AB817" s="2">
        <f>IFERROR(H817/C817,"")</f>
        <v/>
      </c>
      <c r="AC817" s="2">
        <f>IFERROR(I817/D817,"")</f>
        <v/>
      </c>
      <c r="AD817" s="2">
        <f>IFERROR(J817/E817,"")</f>
        <v/>
      </c>
      <c r="AE817" s="2">
        <f>IFERROR(K817/F817,"")</f>
        <v/>
      </c>
      <c r="AF817" s="2">
        <f>IFERROR(L817/B817,"")</f>
        <v/>
      </c>
      <c r="AG817" s="2">
        <f>IFERROR(M817/C817,"")</f>
        <v/>
      </c>
      <c r="AH817" s="2">
        <f>IFERROR(N817/D817,"")</f>
        <v/>
      </c>
      <c r="AI817" s="2">
        <f>IFERROR(O817/E817,"")</f>
        <v/>
      </c>
      <c r="AJ817" s="2">
        <f>IFERROR(P817/F817,"")</f>
        <v/>
      </c>
      <c r="AK817" s="2">
        <f>IFERROR(Q817/B817,"")</f>
        <v/>
      </c>
      <c r="AL817" s="2">
        <f>IFERROR(R817/C817,"")</f>
        <v/>
      </c>
      <c r="AM817" s="2">
        <f>IFERROR(S817/D817,"")</f>
        <v/>
      </c>
      <c r="AN817" s="2">
        <f>IFERROR(T817/E817,"")</f>
        <v/>
      </c>
      <c r="AO817" s="2">
        <f>IFERROR(U817/F817,"")</f>
        <v/>
      </c>
    </row>
    <row r="818">
      <c r="B818">
        <f>IF($A818="","",IFERROR(INDEX('[AQ_2020.xlsx]原始数据'!$B:$B,MATCH($A818,'[AQ_2020.xlsx]原始数据'!$A:$A,0)),""))</f>
        <v/>
      </c>
      <c r="C818">
        <f>IF($A818="","",IFERROR(INDEX('[AQ_2021.xlsx]原始数据'!$B:$B,MATCH($A818,'[AQ_2021.xlsx]原始数据'!$A:$A,0)),""))</f>
        <v/>
      </c>
      <c r="D818">
        <f>IF($A818="","",IFERROR(INDEX('[AQ_2022.xlsx]原始数据'!$B:$B,MATCH($A818,'[AQ_2022.xlsx]原始数据'!$A:$A,0)),""))</f>
        <v/>
      </c>
      <c r="E818">
        <f>IF($A818="","",IFERROR(INDEX('[AQ_2023.xlsx]原始数据'!$B:$B,MATCH($A818,'[AQ_2023.xlsx]原始数据'!$A:$A,0)),""))</f>
        <v/>
      </c>
      <c r="F818">
        <f>IF($A818="","",IFERROR(INDEX('[AQ_2024.xlsx]原始数据'!$B:$B,MATCH($A818,'[AQ_2024.xlsx]原始数据'!$A:$A,0)),""))</f>
        <v/>
      </c>
      <c r="G818">
        <f>IF($A818="","",IFERROR(INDEX('[AQ_2020.xlsx]原始数据'!$C:$C,MATCH($A818,'[AQ_2020.xlsx]原始数据'!$A:$A,0)),""))</f>
        <v/>
      </c>
      <c r="H818">
        <f>IF($A818="","",IFERROR(INDEX('[AQ_2021.xlsx]原始数据'!$C:$C,MATCH($A818,'[AQ_2021.xlsx]原始数据'!$A:$A,0)),""))</f>
        <v/>
      </c>
      <c r="I818">
        <f>IF($A818="","",IFERROR(INDEX('[AQ_2022.xlsx]原始数据'!$C:$C,MATCH($A818,'[AQ_2022.xlsx]原始数据'!$A:$A,0)),""))</f>
        <v/>
      </c>
      <c r="J818">
        <f>IF($A818="","",IFERROR(INDEX('[AQ_2023.xlsx]原始数据'!$C:$C,MATCH($A818,'[AQ_2023.xlsx]原始数据'!$A:$A,0)),""))</f>
        <v/>
      </c>
      <c r="K818">
        <f>IF($A818="","",IFERROR(INDEX('[AQ_2024.xlsx]原始数据'!$C:$C,MATCH($A818,'[AQ_2024.xlsx]原始数据'!$A:$A,0)),""))</f>
        <v/>
      </c>
      <c r="L818">
        <f>IF($A818="","",IFERROR(INDEX('[AQ_2020.xlsx]原始数据'!$D:$D,MATCH($A818,'[AQ_2020.xlsx]原始数据'!$A:$A,0)),""))</f>
        <v/>
      </c>
      <c r="M818">
        <f>IF($A818="","",IFERROR(INDEX('[AQ_2021.xlsx]原始数据'!$D:$D,MATCH($A818,'[AQ_2021.xlsx]原始数据'!$A:$A,0)),""))</f>
        <v/>
      </c>
      <c r="N818">
        <f>IF($A818="","",IFERROR(INDEX('[AQ_2022.xlsx]原始数据'!$D:$D,MATCH($A818,'[AQ_2022.xlsx]原始数据'!$A:$A,0)),""))</f>
        <v/>
      </c>
      <c r="O818">
        <f>IF($A818="","",IFERROR(INDEX('[AQ_2023.xlsx]原始数据'!$D:$D,MATCH($A818,'[AQ_2023.xlsx]原始数据'!$A:$A,0)),""))</f>
        <v/>
      </c>
      <c r="P818">
        <f>IF($A818="","",IFERROR(INDEX('[AQ_2024.xlsx]原始数据'!$D:$D,MATCH($A818,'[AQ_2024.xlsx]原始数据'!$A:$A,0)),""))</f>
        <v/>
      </c>
      <c r="Q818">
        <f>IF($A818="","",IFERROR(INDEX('[AQ_2020.xlsx]原始数据'!$E:$E,MATCH($A818,'[AQ_2020.xlsx]原始数据'!$A:$A,0)),""))</f>
        <v/>
      </c>
      <c r="R818">
        <f>IF($A818="","",IFERROR(INDEX('[AQ_2021.xlsx]原始数据'!$E:$E,MATCH($A818,'[AQ_2021.xlsx]原始数据'!$A:$A,0)),""))</f>
        <v/>
      </c>
      <c r="S818">
        <f>IF($A818="","",IFERROR(INDEX('[AQ_2022.xlsx]原始数据'!$E:$E,MATCH($A818,'[AQ_2022.xlsx]原始数据'!$A:$A,0)),""))</f>
        <v/>
      </c>
      <c r="T818">
        <f>IF($A818="","",IFERROR(INDEX('[AQ_2023.xlsx]原始数据'!$E:$E,MATCH($A818,'[AQ_2023.xlsx]原始数据'!$A:$A,0)),""))</f>
        <v/>
      </c>
      <c r="U818">
        <f>IF($A818="","",IFERROR(INDEX('[AQ_2024.xlsx]原始数据'!$E:$E,MATCH($A818,'[AQ_2024.xlsx]原始数据'!$A:$A,0)),""))</f>
        <v/>
      </c>
      <c r="V818">
        <f>IF($A818="","",IFERROR(INDEX('[AQ_2020.xlsx]原始数据'!$F:$F,MATCH($A818,'[AQ_2020.xlsx]原始数据'!$A:$A,0)),""))</f>
        <v/>
      </c>
      <c r="W818">
        <f>IF($A818="","",IFERROR(INDEX('[AQ_2021.xlsx]原始数据'!$F:$F,MATCH($A818,'[AQ_2021.xlsx]原始数据'!$A:$A,0)),""))</f>
        <v/>
      </c>
      <c r="X818">
        <f>IF($A818="","",IFERROR(INDEX('[AQ_2022.xlsx]原始数据'!$F:$F,MATCH($A818,'[AQ_2022.xlsx]原始数据'!$A:$A,0)),""))</f>
        <v/>
      </c>
      <c r="Y818">
        <f>IF($A818="","",IFERROR(INDEX('[AQ_2023.xlsx]原始数据'!$F:$F,MATCH($A818,'[AQ_2023.xlsx]原始数据'!$A:$A,0)),""))</f>
        <v/>
      </c>
      <c r="Z818">
        <f>IF($A818="","",IFERROR(INDEX('[AQ_2024.xlsx]原始数据'!$F:$F,MATCH($A818,'[AQ_2024.xlsx]原始数据'!$A:$A,0)),""))</f>
        <v/>
      </c>
      <c r="AA818" s="2">
        <f>IFERROR(G818/B818,"")</f>
        <v/>
      </c>
      <c r="AB818" s="2">
        <f>IFERROR(H818/C818,"")</f>
        <v/>
      </c>
      <c r="AC818" s="2">
        <f>IFERROR(I818/D818,"")</f>
        <v/>
      </c>
      <c r="AD818" s="2">
        <f>IFERROR(J818/E818,"")</f>
        <v/>
      </c>
      <c r="AE818" s="2">
        <f>IFERROR(K818/F818,"")</f>
        <v/>
      </c>
      <c r="AF818" s="2">
        <f>IFERROR(L818/B818,"")</f>
        <v/>
      </c>
      <c r="AG818" s="2">
        <f>IFERROR(M818/C818,"")</f>
        <v/>
      </c>
      <c r="AH818" s="2">
        <f>IFERROR(N818/D818,"")</f>
        <v/>
      </c>
      <c r="AI818" s="2">
        <f>IFERROR(O818/E818,"")</f>
        <v/>
      </c>
      <c r="AJ818" s="2">
        <f>IFERROR(P818/F818,"")</f>
        <v/>
      </c>
      <c r="AK818" s="2">
        <f>IFERROR(Q818/B818,"")</f>
        <v/>
      </c>
      <c r="AL818" s="2">
        <f>IFERROR(R818/C818,"")</f>
        <v/>
      </c>
      <c r="AM818" s="2">
        <f>IFERROR(S818/D818,"")</f>
        <v/>
      </c>
      <c r="AN818" s="2">
        <f>IFERROR(T818/E818,"")</f>
        <v/>
      </c>
      <c r="AO818" s="2">
        <f>IFERROR(U818/F818,"")</f>
        <v/>
      </c>
    </row>
    <row r="819">
      <c r="B819">
        <f>IF($A819="","",IFERROR(INDEX('[AQ_2020.xlsx]原始数据'!$B:$B,MATCH($A819,'[AQ_2020.xlsx]原始数据'!$A:$A,0)),""))</f>
        <v/>
      </c>
      <c r="C819">
        <f>IF($A819="","",IFERROR(INDEX('[AQ_2021.xlsx]原始数据'!$B:$B,MATCH($A819,'[AQ_2021.xlsx]原始数据'!$A:$A,0)),""))</f>
        <v/>
      </c>
      <c r="D819">
        <f>IF($A819="","",IFERROR(INDEX('[AQ_2022.xlsx]原始数据'!$B:$B,MATCH($A819,'[AQ_2022.xlsx]原始数据'!$A:$A,0)),""))</f>
        <v/>
      </c>
      <c r="E819">
        <f>IF($A819="","",IFERROR(INDEX('[AQ_2023.xlsx]原始数据'!$B:$B,MATCH($A819,'[AQ_2023.xlsx]原始数据'!$A:$A,0)),""))</f>
        <v/>
      </c>
      <c r="F819">
        <f>IF($A819="","",IFERROR(INDEX('[AQ_2024.xlsx]原始数据'!$B:$B,MATCH($A819,'[AQ_2024.xlsx]原始数据'!$A:$A,0)),""))</f>
        <v/>
      </c>
      <c r="G819">
        <f>IF($A819="","",IFERROR(INDEX('[AQ_2020.xlsx]原始数据'!$C:$C,MATCH($A819,'[AQ_2020.xlsx]原始数据'!$A:$A,0)),""))</f>
        <v/>
      </c>
      <c r="H819">
        <f>IF($A819="","",IFERROR(INDEX('[AQ_2021.xlsx]原始数据'!$C:$C,MATCH($A819,'[AQ_2021.xlsx]原始数据'!$A:$A,0)),""))</f>
        <v/>
      </c>
      <c r="I819">
        <f>IF($A819="","",IFERROR(INDEX('[AQ_2022.xlsx]原始数据'!$C:$C,MATCH($A819,'[AQ_2022.xlsx]原始数据'!$A:$A,0)),""))</f>
        <v/>
      </c>
      <c r="J819">
        <f>IF($A819="","",IFERROR(INDEX('[AQ_2023.xlsx]原始数据'!$C:$C,MATCH($A819,'[AQ_2023.xlsx]原始数据'!$A:$A,0)),""))</f>
        <v/>
      </c>
      <c r="K819">
        <f>IF($A819="","",IFERROR(INDEX('[AQ_2024.xlsx]原始数据'!$C:$C,MATCH($A819,'[AQ_2024.xlsx]原始数据'!$A:$A,0)),""))</f>
        <v/>
      </c>
      <c r="L819">
        <f>IF($A819="","",IFERROR(INDEX('[AQ_2020.xlsx]原始数据'!$D:$D,MATCH($A819,'[AQ_2020.xlsx]原始数据'!$A:$A,0)),""))</f>
        <v/>
      </c>
      <c r="M819">
        <f>IF($A819="","",IFERROR(INDEX('[AQ_2021.xlsx]原始数据'!$D:$D,MATCH($A819,'[AQ_2021.xlsx]原始数据'!$A:$A,0)),""))</f>
        <v/>
      </c>
      <c r="N819">
        <f>IF($A819="","",IFERROR(INDEX('[AQ_2022.xlsx]原始数据'!$D:$D,MATCH($A819,'[AQ_2022.xlsx]原始数据'!$A:$A,0)),""))</f>
        <v/>
      </c>
      <c r="O819">
        <f>IF($A819="","",IFERROR(INDEX('[AQ_2023.xlsx]原始数据'!$D:$D,MATCH($A819,'[AQ_2023.xlsx]原始数据'!$A:$A,0)),""))</f>
        <v/>
      </c>
      <c r="P819">
        <f>IF($A819="","",IFERROR(INDEX('[AQ_2024.xlsx]原始数据'!$D:$D,MATCH($A819,'[AQ_2024.xlsx]原始数据'!$A:$A,0)),""))</f>
        <v/>
      </c>
      <c r="Q819">
        <f>IF($A819="","",IFERROR(INDEX('[AQ_2020.xlsx]原始数据'!$E:$E,MATCH($A819,'[AQ_2020.xlsx]原始数据'!$A:$A,0)),""))</f>
        <v/>
      </c>
      <c r="R819">
        <f>IF($A819="","",IFERROR(INDEX('[AQ_2021.xlsx]原始数据'!$E:$E,MATCH($A819,'[AQ_2021.xlsx]原始数据'!$A:$A,0)),""))</f>
        <v/>
      </c>
      <c r="S819">
        <f>IF($A819="","",IFERROR(INDEX('[AQ_2022.xlsx]原始数据'!$E:$E,MATCH($A819,'[AQ_2022.xlsx]原始数据'!$A:$A,0)),""))</f>
        <v/>
      </c>
      <c r="T819">
        <f>IF($A819="","",IFERROR(INDEX('[AQ_2023.xlsx]原始数据'!$E:$E,MATCH($A819,'[AQ_2023.xlsx]原始数据'!$A:$A,0)),""))</f>
        <v/>
      </c>
      <c r="U819">
        <f>IF($A819="","",IFERROR(INDEX('[AQ_2024.xlsx]原始数据'!$E:$E,MATCH($A819,'[AQ_2024.xlsx]原始数据'!$A:$A,0)),""))</f>
        <v/>
      </c>
      <c r="V819">
        <f>IF($A819="","",IFERROR(INDEX('[AQ_2020.xlsx]原始数据'!$F:$F,MATCH($A819,'[AQ_2020.xlsx]原始数据'!$A:$A,0)),""))</f>
        <v/>
      </c>
      <c r="W819">
        <f>IF($A819="","",IFERROR(INDEX('[AQ_2021.xlsx]原始数据'!$F:$F,MATCH($A819,'[AQ_2021.xlsx]原始数据'!$A:$A,0)),""))</f>
        <v/>
      </c>
      <c r="X819">
        <f>IF($A819="","",IFERROR(INDEX('[AQ_2022.xlsx]原始数据'!$F:$F,MATCH($A819,'[AQ_2022.xlsx]原始数据'!$A:$A,0)),""))</f>
        <v/>
      </c>
      <c r="Y819">
        <f>IF($A819="","",IFERROR(INDEX('[AQ_2023.xlsx]原始数据'!$F:$F,MATCH($A819,'[AQ_2023.xlsx]原始数据'!$A:$A,0)),""))</f>
        <v/>
      </c>
      <c r="Z819">
        <f>IF($A819="","",IFERROR(INDEX('[AQ_2024.xlsx]原始数据'!$F:$F,MATCH($A819,'[AQ_2024.xlsx]原始数据'!$A:$A,0)),""))</f>
        <v/>
      </c>
      <c r="AA819" s="2">
        <f>IFERROR(G819/B819,"")</f>
        <v/>
      </c>
      <c r="AB819" s="2">
        <f>IFERROR(H819/C819,"")</f>
        <v/>
      </c>
      <c r="AC819" s="2">
        <f>IFERROR(I819/D819,"")</f>
        <v/>
      </c>
      <c r="AD819" s="2">
        <f>IFERROR(J819/E819,"")</f>
        <v/>
      </c>
      <c r="AE819" s="2">
        <f>IFERROR(K819/F819,"")</f>
        <v/>
      </c>
      <c r="AF819" s="2">
        <f>IFERROR(L819/B819,"")</f>
        <v/>
      </c>
      <c r="AG819" s="2">
        <f>IFERROR(M819/C819,"")</f>
        <v/>
      </c>
      <c r="AH819" s="2">
        <f>IFERROR(N819/D819,"")</f>
        <v/>
      </c>
      <c r="AI819" s="2">
        <f>IFERROR(O819/E819,"")</f>
        <v/>
      </c>
      <c r="AJ819" s="2">
        <f>IFERROR(P819/F819,"")</f>
        <v/>
      </c>
      <c r="AK819" s="2">
        <f>IFERROR(Q819/B819,"")</f>
        <v/>
      </c>
      <c r="AL819" s="2">
        <f>IFERROR(R819/C819,"")</f>
        <v/>
      </c>
      <c r="AM819" s="2">
        <f>IFERROR(S819/D819,"")</f>
        <v/>
      </c>
      <c r="AN819" s="2">
        <f>IFERROR(T819/E819,"")</f>
        <v/>
      </c>
      <c r="AO819" s="2">
        <f>IFERROR(U819/F819,"")</f>
        <v/>
      </c>
    </row>
    <row r="820">
      <c r="B820">
        <f>IF($A820="","",IFERROR(INDEX('[AQ_2020.xlsx]原始数据'!$B:$B,MATCH($A820,'[AQ_2020.xlsx]原始数据'!$A:$A,0)),""))</f>
        <v/>
      </c>
      <c r="C820">
        <f>IF($A820="","",IFERROR(INDEX('[AQ_2021.xlsx]原始数据'!$B:$B,MATCH($A820,'[AQ_2021.xlsx]原始数据'!$A:$A,0)),""))</f>
        <v/>
      </c>
      <c r="D820">
        <f>IF($A820="","",IFERROR(INDEX('[AQ_2022.xlsx]原始数据'!$B:$B,MATCH($A820,'[AQ_2022.xlsx]原始数据'!$A:$A,0)),""))</f>
        <v/>
      </c>
      <c r="E820">
        <f>IF($A820="","",IFERROR(INDEX('[AQ_2023.xlsx]原始数据'!$B:$B,MATCH($A820,'[AQ_2023.xlsx]原始数据'!$A:$A,0)),""))</f>
        <v/>
      </c>
      <c r="F820">
        <f>IF($A820="","",IFERROR(INDEX('[AQ_2024.xlsx]原始数据'!$B:$B,MATCH($A820,'[AQ_2024.xlsx]原始数据'!$A:$A,0)),""))</f>
        <v/>
      </c>
      <c r="G820">
        <f>IF($A820="","",IFERROR(INDEX('[AQ_2020.xlsx]原始数据'!$C:$C,MATCH($A820,'[AQ_2020.xlsx]原始数据'!$A:$A,0)),""))</f>
        <v/>
      </c>
      <c r="H820">
        <f>IF($A820="","",IFERROR(INDEX('[AQ_2021.xlsx]原始数据'!$C:$C,MATCH($A820,'[AQ_2021.xlsx]原始数据'!$A:$A,0)),""))</f>
        <v/>
      </c>
      <c r="I820">
        <f>IF($A820="","",IFERROR(INDEX('[AQ_2022.xlsx]原始数据'!$C:$C,MATCH($A820,'[AQ_2022.xlsx]原始数据'!$A:$A,0)),""))</f>
        <v/>
      </c>
      <c r="J820">
        <f>IF($A820="","",IFERROR(INDEX('[AQ_2023.xlsx]原始数据'!$C:$C,MATCH($A820,'[AQ_2023.xlsx]原始数据'!$A:$A,0)),""))</f>
        <v/>
      </c>
      <c r="K820">
        <f>IF($A820="","",IFERROR(INDEX('[AQ_2024.xlsx]原始数据'!$C:$C,MATCH($A820,'[AQ_2024.xlsx]原始数据'!$A:$A,0)),""))</f>
        <v/>
      </c>
      <c r="L820">
        <f>IF($A820="","",IFERROR(INDEX('[AQ_2020.xlsx]原始数据'!$D:$D,MATCH($A820,'[AQ_2020.xlsx]原始数据'!$A:$A,0)),""))</f>
        <v/>
      </c>
      <c r="M820">
        <f>IF($A820="","",IFERROR(INDEX('[AQ_2021.xlsx]原始数据'!$D:$D,MATCH($A820,'[AQ_2021.xlsx]原始数据'!$A:$A,0)),""))</f>
        <v/>
      </c>
      <c r="N820">
        <f>IF($A820="","",IFERROR(INDEX('[AQ_2022.xlsx]原始数据'!$D:$D,MATCH($A820,'[AQ_2022.xlsx]原始数据'!$A:$A,0)),""))</f>
        <v/>
      </c>
      <c r="O820">
        <f>IF($A820="","",IFERROR(INDEX('[AQ_2023.xlsx]原始数据'!$D:$D,MATCH($A820,'[AQ_2023.xlsx]原始数据'!$A:$A,0)),""))</f>
        <v/>
      </c>
      <c r="P820">
        <f>IF($A820="","",IFERROR(INDEX('[AQ_2024.xlsx]原始数据'!$D:$D,MATCH($A820,'[AQ_2024.xlsx]原始数据'!$A:$A,0)),""))</f>
        <v/>
      </c>
      <c r="Q820">
        <f>IF($A820="","",IFERROR(INDEX('[AQ_2020.xlsx]原始数据'!$E:$E,MATCH($A820,'[AQ_2020.xlsx]原始数据'!$A:$A,0)),""))</f>
        <v/>
      </c>
      <c r="R820">
        <f>IF($A820="","",IFERROR(INDEX('[AQ_2021.xlsx]原始数据'!$E:$E,MATCH($A820,'[AQ_2021.xlsx]原始数据'!$A:$A,0)),""))</f>
        <v/>
      </c>
      <c r="S820">
        <f>IF($A820="","",IFERROR(INDEX('[AQ_2022.xlsx]原始数据'!$E:$E,MATCH($A820,'[AQ_2022.xlsx]原始数据'!$A:$A,0)),""))</f>
        <v/>
      </c>
      <c r="T820">
        <f>IF($A820="","",IFERROR(INDEX('[AQ_2023.xlsx]原始数据'!$E:$E,MATCH($A820,'[AQ_2023.xlsx]原始数据'!$A:$A,0)),""))</f>
        <v/>
      </c>
      <c r="U820">
        <f>IF($A820="","",IFERROR(INDEX('[AQ_2024.xlsx]原始数据'!$E:$E,MATCH($A820,'[AQ_2024.xlsx]原始数据'!$A:$A,0)),""))</f>
        <v/>
      </c>
      <c r="V820">
        <f>IF($A820="","",IFERROR(INDEX('[AQ_2020.xlsx]原始数据'!$F:$F,MATCH($A820,'[AQ_2020.xlsx]原始数据'!$A:$A,0)),""))</f>
        <v/>
      </c>
      <c r="W820">
        <f>IF($A820="","",IFERROR(INDEX('[AQ_2021.xlsx]原始数据'!$F:$F,MATCH($A820,'[AQ_2021.xlsx]原始数据'!$A:$A,0)),""))</f>
        <v/>
      </c>
      <c r="X820">
        <f>IF($A820="","",IFERROR(INDEX('[AQ_2022.xlsx]原始数据'!$F:$F,MATCH($A820,'[AQ_2022.xlsx]原始数据'!$A:$A,0)),""))</f>
        <v/>
      </c>
      <c r="Y820">
        <f>IF($A820="","",IFERROR(INDEX('[AQ_2023.xlsx]原始数据'!$F:$F,MATCH($A820,'[AQ_2023.xlsx]原始数据'!$A:$A,0)),""))</f>
        <v/>
      </c>
      <c r="Z820">
        <f>IF($A820="","",IFERROR(INDEX('[AQ_2024.xlsx]原始数据'!$F:$F,MATCH($A820,'[AQ_2024.xlsx]原始数据'!$A:$A,0)),""))</f>
        <v/>
      </c>
      <c r="AA820" s="2">
        <f>IFERROR(G820/B820,"")</f>
        <v/>
      </c>
      <c r="AB820" s="2">
        <f>IFERROR(H820/C820,"")</f>
        <v/>
      </c>
      <c r="AC820" s="2">
        <f>IFERROR(I820/D820,"")</f>
        <v/>
      </c>
      <c r="AD820" s="2">
        <f>IFERROR(J820/E820,"")</f>
        <v/>
      </c>
      <c r="AE820" s="2">
        <f>IFERROR(K820/F820,"")</f>
        <v/>
      </c>
      <c r="AF820" s="2">
        <f>IFERROR(L820/B820,"")</f>
        <v/>
      </c>
      <c r="AG820" s="2">
        <f>IFERROR(M820/C820,"")</f>
        <v/>
      </c>
      <c r="AH820" s="2">
        <f>IFERROR(N820/D820,"")</f>
        <v/>
      </c>
      <c r="AI820" s="2">
        <f>IFERROR(O820/E820,"")</f>
        <v/>
      </c>
      <c r="AJ820" s="2">
        <f>IFERROR(P820/F820,"")</f>
        <v/>
      </c>
      <c r="AK820" s="2">
        <f>IFERROR(Q820/B820,"")</f>
        <v/>
      </c>
      <c r="AL820" s="2">
        <f>IFERROR(R820/C820,"")</f>
        <v/>
      </c>
      <c r="AM820" s="2">
        <f>IFERROR(S820/D820,"")</f>
        <v/>
      </c>
      <c r="AN820" s="2">
        <f>IFERROR(T820/E820,"")</f>
        <v/>
      </c>
      <c r="AO820" s="2">
        <f>IFERROR(U820/F820,"")</f>
        <v/>
      </c>
    </row>
    <row r="821">
      <c r="B821">
        <f>IF($A821="","",IFERROR(INDEX('[AQ_2020.xlsx]原始数据'!$B:$B,MATCH($A821,'[AQ_2020.xlsx]原始数据'!$A:$A,0)),""))</f>
        <v/>
      </c>
      <c r="C821">
        <f>IF($A821="","",IFERROR(INDEX('[AQ_2021.xlsx]原始数据'!$B:$B,MATCH($A821,'[AQ_2021.xlsx]原始数据'!$A:$A,0)),""))</f>
        <v/>
      </c>
      <c r="D821">
        <f>IF($A821="","",IFERROR(INDEX('[AQ_2022.xlsx]原始数据'!$B:$B,MATCH($A821,'[AQ_2022.xlsx]原始数据'!$A:$A,0)),""))</f>
        <v/>
      </c>
      <c r="E821">
        <f>IF($A821="","",IFERROR(INDEX('[AQ_2023.xlsx]原始数据'!$B:$B,MATCH($A821,'[AQ_2023.xlsx]原始数据'!$A:$A,0)),""))</f>
        <v/>
      </c>
      <c r="F821">
        <f>IF($A821="","",IFERROR(INDEX('[AQ_2024.xlsx]原始数据'!$B:$B,MATCH($A821,'[AQ_2024.xlsx]原始数据'!$A:$A,0)),""))</f>
        <v/>
      </c>
      <c r="G821">
        <f>IF($A821="","",IFERROR(INDEX('[AQ_2020.xlsx]原始数据'!$C:$C,MATCH($A821,'[AQ_2020.xlsx]原始数据'!$A:$A,0)),""))</f>
        <v/>
      </c>
      <c r="H821">
        <f>IF($A821="","",IFERROR(INDEX('[AQ_2021.xlsx]原始数据'!$C:$C,MATCH($A821,'[AQ_2021.xlsx]原始数据'!$A:$A,0)),""))</f>
        <v/>
      </c>
      <c r="I821">
        <f>IF($A821="","",IFERROR(INDEX('[AQ_2022.xlsx]原始数据'!$C:$C,MATCH($A821,'[AQ_2022.xlsx]原始数据'!$A:$A,0)),""))</f>
        <v/>
      </c>
      <c r="J821">
        <f>IF($A821="","",IFERROR(INDEX('[AQ_2023.xlsx]原始数据'!$C:$C,MATCH($A821,'[AQ_2023.xlsx]原始数据'!$A:$A,0)),""))</f>
        <v/>
      </c>
      <c r="K821">
        <f>IF($A821="","",IFERROR(INDEX('[AQ_2024.xlsx]原始数据'!$C:$C,MATCH($A821,'[AQ_2024.xlsx]原始数据'!$A:$A,0)),""))</f>
        <v/>
      </c>
      <c r="L821">
        <f>IF($A821="","",IFERROR(INDEX('[AQ_2020.xlsx]原始数据'!$D:$D,MATCH($A821,'[AQ_2020.xlsx]原始数据'!$A:$A,0)),""))</f>
        <v/>
      </c>
      <c r="M821">
        <f>IF($A821="","",IFERROR(INDEX('[AQ_2021.xlsx]原始数据'!$D:$D,MATCH($A821,'[AQ_2021.xlsx]原始数据'!$A:$A,0)),""))</f>
        <v/>
      </c>
      <c r="N821">
        <f>IF($A821="","",IFERROR(INDEX('[AQ_2022.xlsx]原始数据'!$D:$D,MATCH($A821,'[AQ_2022.xlsx]原始数据'!$A:$A,0)),""))</f>
        <v/>
      </c>
      <c r="O821">
        <f>IF($A821="","",IFERROR(INDEX('[AQ_2023.xlsx]原始数据'!$D:$D,MATCH($A821,'[AQ_2023.xlsx]原始数据'!$A:$A,0)),""))</f>
        <v/>
      </c>
      <c r="P821">
        <f>IF($A821="","",IFERROR(INDEX('[AQ_2024.xlsx]原始数据'!$D:$D,MATCH($A821,'[AQ_2024.xlsx]原始数据'!$A:$A,0)),""))</f>
        <v/>
      </c>
      <c r="Q821">
        <f>IF($A821="","",IFERROR(INDEX('[AQ_2020.xlsx]原始数据'!$E:$E,MATCH($A821,'[AQ_2020.xlsx]原始数据'!$A:$A,0)),""))</f>
        <v/>
      </c>
      <c r="R821">
        <f>IF($A821="","",IFERROR(INDEX('[AQ_2021.xlsx]原始数据'!$E:$E,MATCH($A821,'[AQ_2021.xlsx]原始数据'!$A:$A,0)),""))</f>
        <v/>
      </c>
      <c r="S821">
        <f>IF($A821="","",IFERROR(INDEX('[AQ_2022.xlsx]原始数据'!$E:$E,MATCH($A821,'[AQ_2022.xlsx]原始数据'!$A:$A,0)),""))</f>
        <v/>
      </c>
      <c r="T821">
        <f>IF($A821="","",IFERROR(INDEX('[AQ_2023.xlsx]原始数据'!$E:$E,MATCH($A821,'[AQ_2023.xlsx]原始数据'!$A:$A,0)),""))</f>
        <v/>
      </c>
      <c r="U821">
        <f>IF($A821="","",IFERROR(INDEX('[AQ_2024.xlsx]原始数据'!$E:$E,MATCH($A821,'[AQ_2024.xlsx]原始数据'!$A:$A,0)),""))</f>
        <v/>
      </c>
      <c r="V821">
        <f>IF($A821="","",IFERROR(INDEX('[AQ_2020.xlsx]原始数据'!$F:$F,MATCH($A821,'[AQ_2020.xlsx]原始数据'!$A:$A,0)),""))</f>
        <v/>
      </c>
      <c r="W821">
        <f>IF($A821="","",IFERROR(INDEX('[AQ_2021.xlsx]原始数据'!$F:$F,MATCH($A821,'[AQ_2021.xlsx]原始数据'!$A:$A,0)),""))</f>
        <v/>
      </c>
      <c r="X821">
        <f>IF($A821="","",IFERROR(INDEX('[AQ_2022.xlsx]原始数据'!$F:$F,MATCH($A821,'[AQ_2022.xlsx]原始数据'!$A:$A,0)),""))</f>
        <v/>
      </c>
      <c r="Y821">
        <f>IF($A821="","",IFERROR(INDEX('[AQ_2023.xlsx]原始数据'!$F:$F,MATCH($A821,'[AQ_2023.xlsx]原始数据'!$A:$A,0)),""))</f>
        <v/>
      </c>
      <c r="Z821">
        <f>IF($A821="","",IFERROR(INDEX('[AQ_2024.xlsx]原始数据'!$F:$F,MATCH($A821,'[AQ_2024.xlsx]原始数据'!$A:$A,0)),""))</f>
        <v/>
      </c>
      <c r="AA821" s="2">
        <f>IFERROR(G821/B821,"")</f>
        <v/>
      </c>
      <c r="AB821" s="2">
        <f>IFERROR(H821/C821,"")</f>
        <v/>
      </c>
      <c r="AC821" s="2">
        <f>IFERROR(I821/D821,"")</f>
        <v/>
      </c>
      <c r="AD821" s="2">
        <f>IFERROR(J821/E821,"")</f>
        <v/>
      </c>
      <c r="AE821" s="2">
        <f>IFERROR(K821/F821,"")</f>
        <v/>
      </c>
      <c r="AF821" s="2">
        <f>IFERROR(L821/B821,"")</f>
        <v/>
      </c>
      <c r="AG821" s="2">
        <f>IFERROR(M821/C821,"")</f>
        <v/>
      </c>
      <c r="AH821" s="2">
        <f>IFERROR(N821/D821,"")</f>
        <v/>
      </c>
      <c r="AI821" s="2">
        <f>IFERROR(O821/E821,"")</f>
        <v/>
      </c>
      <c r="AJ821" s="2">
        <f>IFERROR(P821/F821,"")</f>
        <v/>
      </c>
      <c r="AK821" s="2">
        <f>IFERROR(Q821/B821,"")</f>
        <v/>
      </c>
      <c r="AL821" s="2">
        <f>IFERROR(R821/C821,"")</f>
        <v/>
      </c>
      <c r="AM821" s="2">
        <f>IFERROR(S821/D821,"")</f>
        <v/>
      </c>
      <c r="AN821" s="2">
        <f>IFERROR(T821/E821,"")</f>
        <v/>
      </c>
      <c r="AO821" s="2">
        <f>IFERROR(U821/F821,"")</f>
        <v/>
      </c>
    </row>
    <row r="822">
      <c r="B822">
        <f>IF($A822="","",IFERROR(INDEX('[AQ_2020.xlsx]原始数据'!$B:$B,MATCH($A822,'[AQ_2020.xlsx]原始数据'!$A:$A,0)),""))</f>
        <v/>
      </c>
      <c r="C822">
        <f>IF($A822="","",IFERROR(INDEX('[AQ_2021.xlsx]原始数据'!$B:$B,MATCH($A822,'[AQ_2021.xlsx]原始数据'!$A:$A,0)),""))</f>
        <v/>
      </c>
      <c r="D822">
        <f>IF($A822="","",IFERROR(INDEX('[AQ_2022.xlsx]原始数据'!$B:$B,MATCH($A822,'[AQ_2022.xlsx]原始数据'!$A:$A,0)),""))</f>
        <v/>
      </c>
      <c r="E822">
        <f>IF($A822="","",IFERROR(INDEX('[AQ_2023.xlsx]原始数据'!$B:$B,MATCH($A822,'[AQ_2023.xlsx]原始数据'!$A:$A,0)),""))</f>
        <v/>
      </c>
      <c r="F822">
        <f>IF($A822="","",IFERROR(INDEX('[AQ_2024.xlsx]原始数据'!$B:$B,MATCH($A822,'[AQ_2024.xlsx]原始数据'!$A:$A,0)),""))</f>
        <v/>
      </c>
      <c r="G822">
        <f>IF($A822="","",IFERROR(INDEX('[AQ_2020.xlsx]原始数据'!$C:$C,MATCH($A822,'[AQ_2020.xlsx]原始数据'!$A:$A,0)),""))</f>
        <v/>
      </c>
      <c r="H822">
        <f>IF($A822="","",IFERROR(INDEX('[AQ_2021.xlsx]原始数据'!$C:$C,MATCH($A822,'[AQ_2021.xlsx]原始数据'!$A:$A,0)),""))</f>
        <v/>
      </c>
      <c r="I822">
        <f>IF($A822="","",IFERROR(INDEX('[AQ_2022.xlsx]原始数据'!$C:$C,MATCH($A822,'[AQ_2022.xlsx]原始数据'!$A:$A,0)),""))</f>
        <v/>
      </c>
      <c r="J822">
        <f>IF($A822="","",IFERROR(INDEX('[AQ_2023.xlsx]原始数据'!$C:$C,MATCH($A822,'[AQ_2023.xlsx]原始数据'!$A:$A,0)),""))</f>
        <v/>
      </c>
      <c r="K822">
        <f>IF($A822="","",IFERROR(INDEX('[AQ_2024.xlsx]原始数据'!$C:$C,MATCH($A822,'[AQ_2024.xlsx]原始数据'!$A:$A,0)),""))</f>
        <v/>
      </c>
      <c r="L822">
        <f>IF($A822="","",IFERROR(INDEX('[AQ_2020.xlsx]原始数据'!$D:$D,MATCH($A822,'[AQ_2020.xlsx]原始数据'!$A:$A,0)),""))</f>
        <v/>
      </c>
      <c r="M822">
        <f>IF($A822="","",IFERROR(INDEX('[AQ_2021.xlsx]原始数据'!$D:$D,MATCH($A822,'[AQ_2021.xlsx]原始数据'!$A:$A,0)),""))</f>
        <v/>
      </c>
      <c r="N822">
        <f>IF($A822="","",IFERROR(INDEX('[AQ_2022.xlsx]原始数据'!$D:$D,MATCH($A822,'[AQ_2022.xlsx]原始数据'!$A:$A,0)),""))</f>
        <v/>
      </c>
      <c r="O822">
        <f>IF($A822="","",IFERROR(INDEX('[AQ_2023.xlsx]原始数据'!$D:$D,MATCH($A822,'[AQ_2023.xlsx]原始数据'!$A:$A,0)),""))</f>
        <v/>
      </c>
      <c r="P822">
        <f>IF($A822="","",IFERROR(INDEX('[AQ_2024.xlsx]原始数据'!$D:$D,MATCH($A822,'[AQ_2024.xlsx]原始数据'!$A:$A,0)),""))</f>
        <v/>
      </c>
      <c r="Q822">
        <f>IF($A822="","",IFERROR(INDEX('[AQ_2020.xlsx]原始数据'!$E:$E,MATCH($A822,'[AQ_2020.xlsx]原始数据'!$A:$A,0)),""))</f>
        <v/>
      </c>
      <c r="R822">
        <f>IF($A822="","",IFERROR(INDEX('[AQ_2021.xlsx]原始数据'!$E:$E,MATCH($A822,'[AQ_2021.xlsx]原始数据'!$A:$A,0)),""))</f>
        <v/>
      </c>
      <c r="S822">
        <f>IF($A822="","",IFERROR(INDEX('[AQ_2022.xlsx]原始数据'!$E:$E,MATCH($A822,'[AQ_2022.xlsx]原始数据'!$A:$A,0)),""))</f>
        <v/>
      </c>
      <c r="T822">
        <f>IF($A822="","",IFERROR(INDEX('[AQ_2023.xlsx]原始数据'!$E:$E,MATCH($A822,'[AQ_2023.xlsx]原始数据'!$A:$A,0)),""))</f>
        <v/>
      </c>
      <c r="U822">
        <f>IF($A822="","",IFERROR(INDEX('[AQ_2024.xlsx]原始数据'!$E:$E,MATCH($A822,'[AQ_2024.xlsx]原始数据'!$A:$A,0)),""))</f>
        <v/>
      </c>
      <c r="V822">
        <f>IF($A822="","",IFERROR(INDEX('[AQ_2020.xlsx]原始数据'!$F:$F,MATCH($A822,'[AQ_2020.xlsx]原始数据'!$A:$A,0)),""))</f>
        <v/>
      </c>
      <c r="W822">
        <f>IF($A822="","",IFERROR(INDEX('[AQ_2021.xlsx]原始数据'!$F:$F,MATCH($A822,'[AQ_2021.xlsx]原始数据'!$A:$A,0)),""))</f>
        <v/>
      </c>
      <c r="X822">
        <f>IF($A822="","",IFERROR(INDEX('[AQ_2022.xlsx]原始数据'!$F:$F,MATCH($A822,'[AQ_2022.xlsx]原始数据'!$A:$A,0)),""))</f>
        <v/>
      </c>
      <c r="Y822">
        <f>IF($A822="","",IFERROR(INDEX('[AQ_2023.xlsx]原始数据'!$F:$F,MATCH($A822,'[AQ_2023.xlsx]原始数据'!$A:$A,0)),""))</f>
        <v/>
      </c>
      <c r="Z822">
        <f>IF($A822="","",IFERROR(INDEX('[AQ_2024.xlsx]原始数据'!$F:$F,MATCH($A822,'[AQ_2024.xlsx]原始数据'!$A:$A,0)),""))</f>
        <v/>
      </c>
      <c r="AA822" s="2">
        <f>IFERROR(G822/B822,"")</f>
        <v/>
      </c>
      <c r="AB822" s="2">
        <f>IFERROR(H822/C822,"")</f>
        <v/>
      </c>
      <c r="AC822" s="2">
        <f>IFERROR(I822/D822,"")</f>
        <v/>
      </c>
      <c r="AD822" s="2">
        <f>IFERROR(J822/E822,"")</f>
        <v/>
      </c>
      <c r="AE822" s="2">
        <f>IFERROR(K822/F822,"")</f>
        <v/>
      </c>
      <c r="AF822" s="2">
        <f>IFERROR(L822/B822,"")</f>
        <v/>
      </c>
      <c r="AG822" s="2">
        <f>IFERROR(M822/C822,"")</f>
        <v/>
      </c>
      <c r="AH822" s="2">
        <f>IFERROR(N822/D822,"")</f>
        <v/>
      </c>
      <c r="AI822" s="2">
        <f>IFERROR(O822/E822,"")</f>
        <v/>
      </c>
      <c r="AJ822" s="2">
        <f>IFERROR(P822/F822,"")</f>
        <v/>
      </c>
      <c r="AK822" s="2">
        <f>IFERROR(Q822/B822,"")</f>
        <v/>
      </c>
      <c r="AL822" s="2">
        <f>IFERROR(R822/C822,"")</f>
        <v/>
      </c>
      <c r="AM822" s="2">
        <f>IFERROR(S822/D822,"")</f>
        <v/>
      </c>
      <c r="AN822" s="2">
        <f>IFERROR(T822/E822,"")</f>
        <v/>
      </c>
      <c r="AO822" s="2">
        <f>IFERROR(U822/F822,"")</f>
        <v/>
      </c>
    </row>
    <row r="823">
      <c r="B823">
        <f>IF($A823="","",IFERROR(INDEX('[AQ_2020.xlsx]原始数据'!$B:$B,MATCH($A823,'[AQ_2020.xlsx]原始数据'!$A:$A,0)),""))</f>
        <v/>
      </c>
      <c r="C823">
        <f>IF($A823="","",IFERROR(INDEX('[AQ_2021.xlsx]原始数据'!$B:$B,MATCH($A823,'[AQ_2021.xlsx]原始数据'!$A:$A,0)),""))</f>
        <v/>
      </c>
      <c r="D823">
        <f>IF($A823="","",IFERROR(INDEX('[AQ_2022.xlsx]原始数据'!$B:$B,MATCH($A823,'[AQ_2022.xlsx]原始数据'!$A:$A,0)),""))</f>
        <v/>
      </c>
      <c r="E823">
        <f>IF($A823="","",IFERROR(INDEX('[AQ_2023.xlsx]原始数据'!$B:$B,MATCH($A823,'[AQ_2023.xlsx]原始数据'!$A:$A,0)),""))</f>
        <v/>
      </c>
      <c r="F823">
        <f>IF($A823="","",IFERROR(INDEX('[AQ_2024.xlsx]原始数据'!$B:$B,MATCH($A823,'[AQ_2024.xlsx]原始数据'!$A:$A,0)),""))</f>
        <v/>
      </c>
      <c r="G823">
        <f>IF($A823="","",IFERROR(INDEX('[AQ_2020.xlsx]原始数据'!$C:$C,MATCH($A823,'[AQ_2020.xlsx]原始数据'!$A:$A,0)),""))</f>
        <v/>
      </c>
      <c r="H823">
        <f>IF($A823="","",IFERROR(INDEX('[AQ_2021.xlsx]原始数据'!$C:$C,MATCH($A823,'[AQ_2021.xlsx]原始数据'!$A:$A,0)),""))</f>
        <v/>
      </c>
      <c r="I823">
        <f>IF($A823="","",IFERROR(INDEX('[AQ_2022.xlsx]原始数据'!$C:$C,MATCH($A823,'[AQ_2022.xlsx]原始数据'!$A:$A,0)),""))</f>
        <v/>
      </c>
      <c r="J823">
        <f>IF($A823="","",IFERROR(INDEX('[AQ_2023.xlsx]原始数据'!$C:$C,MATCH($A823,'[AQ_2023.xlsx]原始数据'!$A:$A,0)),""))</f>
        <v/>
      </c>
      <c r="K823">
        <f>IF($A823="","",IFERROR(INDEX('[AQ_2024.xlsx]原始数据'!$C:$C,MATCH($A823,'[AQ_2024.xlsx]原始数据'!$A:$A,0)),""))</f>
        <v/>
      </c>
      <c r="L823">
        <f>IF($A823="","",IFERROR(INDEX('[AQ_2020.xlsx]原始数据'!$D:$D,MATCH($A823,'[AQ_2020.xlsx]原始数据'!$A:$A,0)),""))</f>
        <v/>
      </c>
      <c r="M823">
        <f>IF($A823="","",IFERROR(INDEX('[AQ_2021.xlsx]原始数据'!$D:$D,MATCH($A823,'[AQ_2021.xlsx]原始数据'!$A:$A,0)),""))</f>
        <v/>
      </c>
      <c r="N823">
        <f>IF($A823="","",IFERROR(INDEX('[AQ_2022.xlsx]原始数据'!$D:$D,MATCH($A823,'[AQ_2022.xlsx]原始数据'!$A:$A,0)),""))</f>
        <v/>
      </c>
      <c r="O823">
        <f>IF($A823="","",IFERROR(INDEX('[AQ_2023.xlsx]原始数据'!$D:$D,MATCH($A823,'[AQ_2023.xlsx]原始数据'!$A:$A,0)),""))</f>
        <v/>
      </c>
      <c r="P823">
        <f>IF($A823="","",IFERROR(INDEX('[AQ_2024.xlsx]原始数据'!$D:$D,MATCH($A823,'[AQ_2024.xlsx]原始数据'!$A:$A,0)),""))</f>
        <v/>
      </c>
      <c r="Q823">
        <f>IF($A823="","",IFERROR(INDEX('[AQ_2020.xlsx]原始数据'!$E:$E,MATCH($A823,'[AQ_2020.xlsx]原始数据'!$A:$A,0)),""))</f>
        <v/>
      </c>
      <c r="R823">
        <f>IF($A823="","",IFERROR(INDEX('[AQ_2021.xlsx]原始数据'!$E:$E,MATCH($A823,'[AQ_2021.xlsx]原始数据'!$A:$A,0)),""))</f>
        <v/>
      </c>
      <c r="S823">
        <f>IF($A823="","",IFERROR(INDEX('[AQ_2022.xlsx]原始数据'!$E:$E,MATCH($A823,'[AQ_2022.xlsx]原始数据'!$A:$A,0)),""))</f>
        <v/>
      </c>
      <c r="T823">
        <f>IF($A823="","",IFERROR(INDEX('[AQ_2023.xlsx]原始数据'!$E:$E,MATCH($A823,'[AQ_2023.xlsx]原始数据'!$A:$A,0)),""))</f>
        <v/>
      </c>
      <c r="U823">
        <f>IF($A823="","",IFERROR(INDEX('[AQ_2024.xlsx]原始数据'!$E:$E,MATCH($A823,'[AQ_2024.xlsx]原始数据'!$A:$A,0)),""))</f>
        <v/>
      </c>
      <c r="V823">
        <f>IF($A823="","",IFERROR(INDEX('[AQ_2020.xlsx]原始数据'!$F:$F,MATCH($A823,'[AQ_2020.xlsx]原始数据'!$A:$A,0)),""))</f>
        <v/>
      </c>
      <c r="W823">
        <f>IF($A823="","",IFERROR(INDEX('[AQ_2021.xlsx]原始数据'!$F:$F,MATCH($A823,'[AQ_2021.xlsx]原始数据'!$A:$A,0)),""))</f>
        <v/>
      </c>
      <c r="X823">
        <f>IF($A823="","",IFERROR(INDEX('[AQ_2022.xlsx]原始数据'!$F:$F,MATCH($A823,'[AQ_2022.xlsx]原始数据'!$A:$A,0)),""))</f>
        <v/>
      </c>
      <c r="Y823">
        <f>IF($A823="","",IFERROR(INDEX('[AQ_2023.xlsx]原始数据'!$F:$F,MATCH($A823,'[AQ_2023.xlsx]原始数据'!$A:$A,0)),""))</f>
        <v/>
      </c>
      <c r="Z823">
        <f>IF($A823="","",IFERROR(INDEX('[AQ_2024.xlsx]原始数据'!$F:$F,MATCH($A823,'[AQ_2024.xlsx]原始数据'!$A:$A,0)),""))</f>
        <v/>
      </c>
      <c r="AA823" s="2">
        <f>IFERROR(G823/B823,"")</f>
        <v/>
      </c>
      <c r="AB823" s="2">
        <f>IFERROR(H823/C823,"")</f>
        <v/>
      </c>
      <c r="AC823" s="2">
        <f>IFERROR(I823/D823,"")</f>
        <v/>
      </c>
      <c r="AD823" s="2">
        <f>IFERROR(J823/E823,"")</f>
        <v/>
      </c>
      <c r="AE823" s="2">
        <f>IFERROR(K823/F823,"")</f>
        <v/>
      </c>
      <c r="AF823" s="2">
        <f>IFERROR(L823/B823,"")</f>
        <v/>
      </c>
      <c r="AG823" s="2">
        <f>IFERROR(M823/C823,"")</f>
        <v/>
      </c>
      <c r="AH823" s="2">
        <f>IFERROR(N823/D823,"")</f>
        <v/>
      </c>
      <c r="AI823" s="2">
        <f>IFERROR(O823/E823,"")</f>
        <v/>
      </c>
      <c r="AJ823" s="2">
        <f>IFERROR(P823/F823,"")</f>
        <v/>
      </c>
      <c r="AK823" s="2">
        <f>IFERROR(Q823/B823,"")</f>
        <v/>
      </c>
      <c r="AL823" s="2">
        <f>IFERROR(R823/C823,"")</f>
        <v/>
      </c>
      <c r="AM823" s="2">
        <f>IFERROR(S823/D823,"")</f>
        <v/>
      </c>
      <c r="AN823" s="2">
        <f>IFERROR(T823/E823,"")</f>
        <v/>
      </c>
      <c r="AO823" s="2">
        <f>IFERROR(U823/F823,"")</f>
        <v/>
      </c>
    </row>
    <row r="824">
      <c r="B824">
        <f>IF($A824="","",IFERROR(INDEX('[AQ_2020.xlsx]原始数据'!$B:$B,MATCH($A824,'[AQ_2020.xlsx]原始数据'!$A:$A,0)),""))</f>
        <v/>
      </c>
      <c r="C824">
        <f>IF($A824="","",IFERROR(INDEX('[AQ_2021.xlsx]原始数据'!$B:$B,MATCH($A824,'[AQ_2021.xlsx]原始数据'!$A:$A,0)),""))</f>
        <v/>
      </c>
      <c r="D824">
        <f>IF($A824="","",IFERROR(INDEX('[AQ_2022.xlsx]原始数据'!$B:$B,MATCH($A824,'[AQ_2022.xlsx]原始数据'!$A:$A,0)),""))</f>
        <v/>
      </c>
      <c r="E824">
        <f>IF($A824="","",IFERROR(INDEX('[AQ_2023.xlsx]原始数据'!$B:$B,MATCH($A824,'[AQ_2023.xlsx]原始数据'!$A:$A,0)),""))</f>
        <v/>
      </c>
      <c r="F824">
        <f>IF($A824="","",IFERROR(INDEX('[AQ_2024.xlsx]原始数据'!$B:$B,MATCH($A824,'[AQ_2024.xlsx]原始数据'!$A:$A,0)),""))</f>
        <v/>
      </c>
      <c r="G824">
        <f>IF($A824="","",IFERROR(INDEX('[AQ_2020.xlsx]原始数据'!$C:$C,MATCH($A824,'[AQ_2020.xlsx]原始数据'!$A:$A,0)),""))</f>
        <v/>
      </c>
      <c r="H824">
        <f>IF($A824="","",IFERROR(INDEX('[AQ_2021.xlsx]原始数据'!$C:$C,MATCH($A824,'[AQ_2021.xlsx]原始数据'!$A:$A,0)),""))</f>
        <v/>
      </c>
      <c r="I824">
        <f>IF($A824="","",IFERROR(INDEX('[AQ_2022.xlsx]原始数据'!$C:$C,MATCH($A824,'[AQ_2022.xlsx]原始数据'!$A:$A,0)),""))</f>
        <v/>
      </c>
      <c r="J824">
        <f>IF($A824="","",IFERROR(INDEX('[AQ_2023.xlsx]原始数据'!$C:$C,MATCH($A824,'[AQ_2023.xlsx]原始数据'!$A:$A,0)),""))</f>
        <v/>
      </c>
      <c r="K824">
        <f>IF($A824="","",IFERROR(INDEX('[AQ_2024.xlsx]原始数据'!$C:$C,MATCH($A824,'[AQ_2024.xlsx]原始数据'!$A:$A,0)),""))</f>
        <v/>
      </c>
      <c r="L824">
        <f>IF($A824="","",IFERROR(INDEX('[AQ_2020.xlsx]原始数据'!$D:$D,MATCH($A824,'[AQ_2020.xlsx]原始数据'!$A:$A,0)),""))</f>
        <v/>
      </c>
      <c r="M824">
        <f>IF($A824="","",IFERROR(INDEX('[AQ_2021.xlsx]原始数据'!$D:$D,MATCH($A824,'[AQ_2021.xlsx]原始数据'!$A:$A,0)),""))</f>
        <v/>
      </c>
      <c r="N824">
        <f>IF($A824="","",IFERROR(INDEX('[AQ_2022.xlsx]原始数据'!$D:$D,MATCH($A824,'[AQ_2022.xlsx]原始数据'!$A:$A,0)),""))</f>
        <v/>
      </c>
      <c r="O824">
        <f>IF($A824="","",IFERROR(INDEX('[AQ_2023.xlsx]原始数据'!$D:$D,MATCH($A824,'[AQ_2023.xlsx]原始数据'!$A:$A,0)),""))</f>
        <v/>
      </c>
      <c r="P824">
        <f>IF($A824="","",IFERROR(INDEX('[AQ_2024.xlsx]原始数据'!$D:$D,MATCH($A824,'[AQ_2024.xlsx]原始数据'!$A:$A,0)),""))</f>
        <v/>
      </c>
      <c r="Q824">
        <f>IF($A824="","",IFERROR(INDEX('[AQ_2020.xlsx]原始数据'!$E:$E,MATCH($A824,'[AQ_2020.xlsx]原始数据'!$A:$A,0)),""))</f>
        <v/>
      </c>
      <c r="R824">
        <f>IF($A824="","",IFERROR(INDEX('[AQ_2021.xlsx]原始数据'!$E:$E,MATCH($A824,'[AQ_2021.xlsx]原始数据'!$A:$A,0)),""))</f>
        <v/>
      </c>
      <c r="S824">
        <f>IF($A824="","",IFERROR(INDEX('[AQ_2022.xlsx]原始数据'!$E:$E,MATCH($A824,'[AQ_2022.xlsx]原始数据'!$A:$A,0)),""))</f>
        <v/>
      </c>
      <c r="T824">
        <f>IF($A824="","",IFERROR(INDEX('[AQ_2023.xlsx]原始数据'!$E:$E,MATCH($A824,'[AQ_2023.xlsx]原始数据'!$A:$A,0)),""))</f>
        <v/>
      </c>
      <c r="U824">
        <f>IF($A824="","",IFERROR(INDEX('[AQ_2024.xlsx]原始数据'!$E:$E,MATCH($A824,'[AQ_2024.xlsx]原始数据'!$A:$A,0)),""))</f>
        <v/>
      </c>
      <c r="V824">
        <f>IF($A824="","",IFERROR(INDEX('[AQ_2020.xlsx]原始数据'!$F:$F,MATCH($A824,'[AQ_2020.xlsx]原始数据'!$A:$A,0)),""))</f>
        <v/>
      </c>
      <c r="W824">
        <f>IF($A824="","",IFERROR(INDEX('[AQ_2021.xlsx]原始数据'!$F:$F,MATCH($A824,'[AQ_2021.xlsx]原始数据'!$A:$A,0)),""))</f>
        <v/>
      </c>
      <c r="X824">
        <f>IF($A824="","",IFERROR(INDEX('[AQ_2022.xlsx]原始数据'!$F:$F,MATCH($A824,'[AQ_2022.xlsx]原始数据'!$A:$A,0)),""))</f>
        <v/>
      </c>
      <c r="Y824">
        <f>IF($A824="","",IFERROR(INDEX('[AQ_2023.xlsx]原始数据'!$F:$F,MATCH($A824,'[AQ_2023.xlsx]原始数据'!$A:$A,0)),""))</f>
        <v/>
      </c>
      <c r="Z824">
        <f>IF($A824="","",IFERROR(INDEX('[AQ_2024.xlsx]原始数据'!$F:$F,MATCH($A824,'[AQ_2024.xlsx]原始数据'!$A:$A,0)),""))</f>
        <v/>
      </c>
      <c r="AA824" s="2">
        <f>IFERROR(G824/B824,"")</f>
        <v/>
      </c>
      <c r="AB824" s="2">
        <f>IFERROR(H824/C824,"")</f>
        <v/>
      </c>
      <c r="AC824" s="2">
        <f>IFERROR(I824/D824,"")</f>
        <v/>
      </c>
      <c r="AD824" s="2">
        <f>IFERROR(J824/E824,"")</f>
        <v/>
      </c>
      <c r="AE824" s="2">
        <f>IFERROR(K824/F824,"")</f>
        <v/>
      </c>
      <c r="AF824" s="2">
        <f>IFERROR(L824/B824,"")</f>
        <v/>
      </c>
      <c r="AG824" s="2">
        <f>IFERROR(M824/C824,"")</f>
        <v/>
      </c>
      <c r="AH824" s="2">
        <f>IFERROR(N824/D824,"")</f>
        <v/>
      </c>
      <c r="AI824" s="2">
        <f>IFERROR(O824/E824,"")</f>
        <v/>
      </c>
      <c r="AJ824" s="2">
        <f>IFERROR(P824/F824,"")</f>
        <v/>
      </c>
      <c r="AK824" s="2">
        <f>IFERROR(Q824/B824,"")</f>
        <v/>
      </c>
      <c r="AL824" s="2">
        <f>IFERROR(R824/C824,"")</f>
        <v/>
      </c>
      <c r="AM824" s="2">
        <f>IFERROR(S824/D824,"")</f>
        <v/>
      </c>
      <c r="AN824" s="2">
        <f>IFERROR(T824/E824,"")</f>
        <v/>
      </c>
      <c r="AO824" s="2">
        <f>IFERROR(U824/F824,"")</f>
        <v/>
      </c>
    </row>
    <row r="825">
      <c r="B825">
        <f>IF($A825="","",IFERROR(INDEX('[AQ_2020.xlsx]原始数据'!$B:$B,MATCH($A825,'[AQ_2020.xlsx]原始数据'!$A:$A,0)),""))</f>
        <v/>
      </c>
      <c r="C825">
        <f>IF($A825="","",IFERROR(INDEX('[AQ_2021.xlsx]原始数据'!$B:$B,MATCH($A825,'[AQ_2021.xlsx]原始数据'!$A:$A,0)),""))</f>
        <v/>
      </c>
      <c r="D825">
        <f>IF($A825="","",IFERROR(INDEX('[AQ_2022.xlsx]原始数据'!$B:$B,MATCH($A825,'[AQ_2022.xlsx]原始数据'!$A:$A,0)),""))</f>
        <v/>
      </c>
      <c r="E825">
        <f>IF($A825="","",IFERROR(INDEX('[AQ_2023.xlsx]原始数据'!$B:$B,MATCH($A825,'[AQ_2023.xlsx]原始数据'!$A:$A,0)),""))</f>
        <v/>
      </c>
      <c r="F825">
        <f>IF($A825="","",IFERROR(INDEX('[AQ_2024.xlsx]原始数据'!$B:$B,MATCH($A825,'[AQ_2024.xlsx]原始数据'!$A:$A,0)),""))</f>
        <v/>
      </c>
      <c r="G825">
        <f>IF($A825="","",IFERROR(INDEX('[AQ_2020.xlsx]原始数据'!$C:$C,MATCH($A825,'[AQ_2020.xlsx]原始数据'!$A:$A,0)),""))</f>
        <v/>
      </c>
      <c r="H825">
        <f>IF($A825="","",IFERROR(INDEX('[AQ_2021.xlsx]原始数据'!$C:$C,MATCH($A825,'[AQ_2021.xlsx]原始数据'!$A:$A,0)),""))</f>
        <v/>
      </c>
      <c r="I825">
        <f>IF($A825="","",IFERROR(INDEX('[AQ_2022.xlsx]原始数据'!$C:$C,MATCH($A825,'[AQ_2022.xlsx]原始数据'!$A:$A,0)),""))</f>
        <v/>
      </c>
      <c r="J825">
        <f>IF($A825="","",IFERROR(INDEX('[AQ_2023.xlsx]原始数据'!$C:$C,MATCH($A825,'[AQ_2023.xlsx]原始数据'!$A:$A,0)),""))</f>
        <v/>
      </c>
      <c r="K825">
        <f>IF($A825="","",IFERROR(INDEX('[AQ_2024.xlsx]原始数据'!$C:$C,MATCH($A825,'[AQ_2024.xlsx]原始数据'!$A:$A,0)),""))</f>
        <v/>
      </c>
      <c r="L825">
        <f>IF($A825="","",IFERROR(INDEX('[AQ_2020.xlsx]原始数据'!$D:$D,MATCH($A825,'[AQ_2020.xlsx]原始数据'!$A:$A,0)),""))</f>
        <v/>
      </c>
      <c r="M825">
        <f>IF($A825="","",IFERROR(INDEX('[AQ_2021.xlsx]原始数据'!$D:$D,MATCH($A825,'[AQ_2021.xlsx]原始数据'!$A:$A,0)),""))</f>
        <v/>
      </c>
      <c r="N825">
        <f>IF($A825="","",IFERROR(INDEX('[AQ_2022.xlsx]原始数据'!$D:$D,MATCH($A825,'[AQ_2022.xlsx]原始数据'!$A:$A,0)),""))</f>
        <v/>
      </c>
      <c r="O825">
        <f>IF($A825="","",IFERROR(INDEX('[AQ_2023.xlsx]原始数据'!$D:$D,MATCH($A825,'[AQ_2023.xlsx]原始数据'!$A:$A,0)),""))</f>
        <v/>
      </c>
      <c r="P825">
        <f>IF($A825="","",IFERROR(INDEX('[AQ_2024.xlsx]原始数据'!$D:$D,MATCH($A825,'[AQ_2024.xlsx]原始数据'!$A:$A,0)),""))</f>
        <v/>
      </c>
      <c r="Q825">
        <f>IF($A825="","",IFERROR(INDEX('[AQ_2020.xlsx]原始数据'!$E:$E,MATCH($A825,'[AQ_2020.xlsx]原始数据'!$A:$A,0)),""))</f>
        <v/>
      </c>
      <c r="R825">
        <f>IF($A825="","",IFERROR(INDEX('[AQ_2021.xlsx]原始数据'!$E:$E,MATCH($A825,'[AQ_2021.xlsx]原始数据'!$A:$A,0)),""))</f>
        <v/>
      </c>
      <c r="S825">
        <f>IF($A825="","",IFERROR(INDEX('[AQ_2022.xlsx]原始数据'!$E:$E,MATCH($A825,'[AQ_2022.xlsx]原始数据'!$A:$A,0)),""))</f>
        <v/>
      </c>
      <c r="T825">
        <f>IF($A825="","",IFERROR(INDEX('[AQ_2023.xlsx]原始数据'!$E:$E,MATCH($A825,'[AQ_2023.xlsx]原始数据'!$A:$A,0)),""))</f>
        <v/>
      </c>
      <c r="U825">
        <f>IF($A825="","",IFERROR(INDEX('[AQ_2024.xlsx]原始数据'!$E:$E,MATCH($A825,'[AQ_2024.xlsx]原始数据'!$A:$A,0)),""))</f>
        <v/>
      </c>
      <c r="V825">
        <f>IF($A825="","",IFERROR(INDEX('[AQ_2020.xlsx]原始数据'!$F:$F,MATCH($A825,'[AQ_2020.xlsx]原始数据'!$A:$A,0)),""))</f>
        <v/>
      </c>
      <c r="W825">
        <f>IF($A825="","",IFERROR(INDEX('[AQ_2021.xlsx]原始数据'!$F:$F,MATCH($A825,'[AQ_2021.xlsx]原始数据'!$A:$A,0)),""))</f>
        <v/>
      </c>
      <c r="X825">
        <f>IF($A825="","",IFERROR(INDEX('[AQ_2022.xlsx]原始数据'!$F:$F,MATCH($A825,'[AQ_2022.xlsx]原始数据'!$A:$A,0)),""))</f>
        <v/>
      </c>
      <c r="Y825">
        <f>IF($A825="","",IFERROR(INDEX('[AQ_2023.xlsx]原始数据'!$F:$F,MATCH($A825,'[AQ_2023.xlsx]原始数据'!$A:$A,0)),""))</f>
        <v/>
      </c>
      <c r="Z825">
        <f>IF($A825="","",IFERROR(INDEX('[AQ_2024.xlsx]原始数据'!$F:$F,MATCH($A825,'[AQ_2024.xlsx]原始数据'!$A:$A,0)),""))</f>
        <v/>
      </c>
      <c r="AA825" s="2">
        <f>IFERROR(G825/B825,"")</f>
        <v/>
      </c>
      <c r="AB825" s="2">
        <f>IFERROR(H825/C825,"")</f>
        <v/>
      </c>
      <c r="AC825" s="2">
        <f>IFERROR(I825/D825,"")</f>
        <v/>
      </c>
      <c r="AD825" s="2">
        <f>IFERROR(J825/E825,"")</f>
        <v/>
      </c>
      <c r="AE825" s="2">
        <f>IFERROR(K825/F825,"")</f>
        <v/>
      </c>
      <c r="AF825" s="2">
        <f>IFERROR(L825/B825,"")</f>
        <v/>
      </c>
      <c r="AG825" s="2">
        <f>IFERROR(M825/C825,"")</f>
        <v/>
      </c>
      <c r="AH825" s="2">
        <f>IFERROR(N825/D825,"")</f>
        <v/>
      </c>
      <c r="AI825" s="2">
        <f>IFERROR(O825/E825,"")</f>
        <v/>
      </c>
      <c r="AJ825" s="2">
        <f>IFERROR(P825/F825,"")</f>
        <v/>
      </c>
      <c r="AK825" s="2">
        <f>IFERROR(Q825/B825,"")</f>
        <v/>
      </c>
      <c r="AL825" s="2">
        <f>IFERROR(R825/C825,"")</f>
        <v/>
      </c>
      <c r="AM825" s="2">
        <f>IFERROR(S825/D825,"")</f>
        <v/>
      </c>
      <c r="AN825" s="2">
        <f>IFERROR(T825/E825,"")</f>
        <v/>
      </c>
      <c r="AO825" s="2">
        <f>IFERROR(U825/F825,"")</f>
        <v/>
      </c>
    </row>
    <row r="826">
      <c r="B826">
        <f>IF($A826="","",IFERROR(INDEX('[AQ_2020.xlsx]原始数据'!$B:$B,MATCH($A826,'[AQ_2020.xlsx]原始数据'!$A:$A,0)),""))</f>
        <v/>
      </c>
      <c r="C826">
        <f>IF($A826="","",IFERROR(INDEX('[AQ_2021.xlsx]原始数据'!$B:$B,MATCH($A826,'[AQ_2021.xlsx]原始数据'!$A:$A,0)),""))</f>
        <v/>
      </c>
      <c r="D826">
        <f>IF($A826="","",IFERROR(INDEX('[AQ_2022.xlsx]原始数据'!$B:$B,MATCH($A826,'[AQ_2022.xlsx]原始数据'!$A:$A,0)),""))</f>
        <v/>
      </c>
      <c r="E826">
        <f>IF($A826="","",IFERROR(INDEX('[AQ_2023.xlsx]原始数据'!$B:$B,MATCH($A826,'[AQ_2023.xlsx]原始数据'!$A:$A,0)),""))</f>
        <v/>
      </c>
      <c r="F826">
        <f>IF($A826="","",IFERROR(INDEX('[AQ_2024.xlsx]原始数据'!$B:$B,MATCH($A826,'[AQ_2024.xlsx]原始数据'!$A:$A,0)),""))</f>
        <v/>
      </c>
      <c r="G826">
        <f>IF($A826="","",IFERROR(INDEX('[AQ_2020.xlsx]原始数据'!$C:$C,MATCH($A826,'[AQ_2020.xlsx]原始数据'!$A:$A,0)),""))</f>
        <v/>
      </c>
      <c r="H826">
        <f>IF($A826="","",IFERROR(INDEX('[AQ_2021.xlsx]原始数据'!$C:$C,MATCH($A826,'[AQ_2021.xlsx]原始数据'!$A:$A,0)),""))</f>
        <v/>
      </c>
      <c r="I826">
        <f>IF($A826="","",IFERROR(INDEX('[AQ_2022.xlsx]原始数据'!$C:$C,MATCH($A826,'[AQ_2022.xlsx]原始数据'!$A:$A,0)),""))</f>
        <v/>
      </c>
      <c r="J826">
        <f>IF($A826="","",IFERROR(INDEX('[AQ_2023.xlsx]原始数据'!$C:$C,MATCH($A826,'[AQ_2023.xlsx]原始数据'!$A:$A,0)),""))</f>
        <v/>
      </c>
      <c r="K826">
        <f>IF($A826="","",IFERROR(INDEX('[AQ_2024.xlsx]原始数据'!$C:$C,MATCH($A826,'[AQ_2024.xlsx]原始数据'!$A:$A,0)),""))</f>
        <v/>
      </c>
      <c r="L826">
        <f>IF($A826="","",IFERROR(INDEX('[AQ_2020.xlsx]原始数据'!$D:$D,MATCH($A826,'[AQ_2020.xlsx]原始数据'!$A:$A,0)),""))</f>
        <v/>
      </c>
      <c r="M826">
        <f>IF($A826="","",IFERROR(INDEX('[AQ_2021.xlsx]原始数据'!$D:$D,MATCH($A826,'[AQ_2021.xlsx]原始数据'!$A:$A,0)),""))</f>
        <v/>
      </c>
      <c r="N826">
        <f>IF($A826="","",IFERROR(INDEX('[AQ_2022.xlsx]原始数据'!$D:$D,MATCH($A826,'[AQ_2022.xlsx]原始数据'!$A:$A,0)),""))</f>
        <v/>
      </c>
      <c r="O826">
        <f>IF($A826="","",IFERROR(INDEX('[AQ_2023.xlsx]原始数据'!$D:$D,MATCH($A826,'[AQ_2023.xlsx]原始数据'!$A:$A,0)),""))</f>
        <v/>
      </c>
      <c r="P826">
        <f>IF($A826="","",IFERROR(INDEX('[AQ_2024.xlsx]原始数据'!$D:$D,MATCH($A826,'[AQ_2024.xlsx]原始数据'!$A:$A,0)),""))</f>
        <v/>
      </c>
      <c r="Q826">
        <f>IF($A826="","",IFERROR(INDEX('[AQ_2020.xlsx]原始数据'!$E:$E,MATCH($A826,'[AQ_2020.xlsx]原始数据'!$A:$A,0)),""))</f>
        <v/>
      </c>
      <c r="R826">
        <f>IF($A826="","",IFERROR(INDEX('[AQ_2021.xlsx]原始数据'!$E:$E,MATCH($A826,'[AQ_2021.xlsx]原始数据'!$A:$A,0)),""))</f>
        <v/>
      </c>
      <c r="S826">
        <f>IF($A826="","",IFERROR(INDEX('[AQ_2022.xlsx]原始数据'!$E:$E,MATCH($A826,'[AQ_2022.xlsx]原始数据'!$A:$A,0)),""))</f>
        <v/>
      </c>
      <c r="T826">
        <f>IF($A826="","",IFERROR(INDEX('[AQ_2023.xlsx]原始数据'!$E:$E,MATCH($A826,'[AQ_2023.xlsx]原始数据'!$A:$A,0)),""))</f>
        <v/>
      </c>
      <c r="U826">
        <f>IF($A826="","",IFERROR(INDEX('[AQ_2024.xlsx]原始数据'!$E:$E,MATCH($A826,'[AQ_2024.xlsx]原始数据'!$A:$A,0)),""))</f>
        <v/>
      </c>
      <c r="V826">
        <f>IF($A826="","",IFERROR(INDEX('[AQ_2020.xlsx]原始数据'!$F:$F,MATCH($A826,'[AQ_2020.xlsx]原始数据'!$A:$A,0)),""))</f>
        <v/>
      </c>
      <c r="W826">
        <f>IF($A826="","",IFERROR(INDEX('[AQ_2021.xlsx]原始数据'!$F:$F,MATCH($A826,'[AQ_2021.xlsx]原始数据'!$A:$A,0)),""))</f>
        <v/>
      </c>
      <c r="X826">
        <f>IF($A826="","",IFERROR(INDEX('[AQ_2022.xlsx]原始数据'!$F:$F,MATCH($A826,'[AQ_2022.xlsx]原始数据'!$A:$A,0)),""))</f>
        <v/>
      </c>
      <c r="Y826">
        <f>IF($A826="","",IFERROR(INDEX('[AQ_2023.xlsx]原始数据'!$F:$F,MATCH($A826,'[AQ_2023.xlsx]原始数据'!$A:$A,0)),""))</f>
        <v/>
      </c>
      <c r="Z826">
        <f>IF($A826="","",IFERROR(INDEX('[AQ_2024.xlsx]原始数据'!$F:$F,MATCH($A826,'[AQ_2024.xlsx]原始数据'!$A:$A,0)),""))</f>
        <v/>
      </c>
      <c r="AA826" s="2">
        <f>IFERROR(G826/B826,"")</f>
        <v/>
      </c>
      <c r="AB826" s="2">
        <f>IFERROR(H826/C826,"")</f>
        <v/>
      </c>
      <c r="AC826" s="2">
        <f>IFERROR(I826/D826,"")</f>
        <v/>
      </c>
      <c r="AD826" s="2">
        <f>IFERROR(J826/E826,"")</f>
        <v/>
      </c>
      <c r="AE826" s="2">
        <f>IFERROR(K826/F826,"")</f>
        <v/>
      </c>
      <c r="AF826" s="2">
        <f>IFERROR(L826/B826,"")</f>
        <v/>
      </c>
      <c r="AG826" s="2">
        <f>IFERROR(M826/C826,"")</f>
        <v/>
      </c>
      <c r="AH826" s="2">
        <f>IFERROR(N826/D826,"")</f>
        <v/>
      </c>
      <c r="AI826" s="2">
        <f>IFERROR(O826/E826,"")</f>
        <v/>
      </c>
      <c r="AJ826" s="2">
        <f>IFERROR(P826/F826,"")</f>
        <v/>
      </c>
      <c r="AK826" s="2">
        <f>IFERROR(Q826/B826,"")</f>
        <v/>
      </c>
      <c r="AL826" s="2">
        <f>IFERROR(R826/C826,"")</f>
        <v/>
      </c>
      <c r="AM826" s="2">
        <f>IFERROR(S826/D826,"")</f>
        <v/>
      </c>
      <c r="AN826" s="2">
        <f>IFERROR(T826/E826,"")</f>
        <v/>
      </c>
      <c r="AO826" s="2">
        <f>IFERROR(U826/F826,"")</f>
        <v/>
      </c>
    </row>
    <row r="827">
      <c r="B827">
        <f>IF($A827="","",IFERROR(INDEX('[AQ_2020.xlsx]原始数据'!$B:$B,MATCH($A827,'[AQ_2020.xlsx]原始数据'!$A:$A,0)),""))</f>
        <v/>
      </c>
      <c r="C827">
        <f>IF($A827="","",IFERROR(INDEX('[AQ_2021.xlsx]原始数据'!$B:$B,MATCH($A827,'[AQ_2021.xlsx]原始数据'!$A:$A,0)),""))</f>
        <v/>
      </c>
      <c r="D827">
        <f>IF($A827="","",IFERROR(INDEX('[AQ_2022.xlsx]原始数据'!$B:$B,MATCH($A827,'[AQ_2022.xlsx]原始数据'!$A:$A,0)),""))</f>
        <v/>
      </c>
      <c r="E827">
        <f>IF($A827="","",IFERROR(INDEX('[AQ_2023.xlsx]原始数据'!$B:$B,MATCH($A827,'[AQ_2023.xlsx]原始数据'!$A:$A,0)),""))</f>
        <v/>
      </c>
      <c r="F827">
        <f>IF($A827="","",IFERROR(INDEX('[AQ_2024.xlsx]原始数据'!$B:$B,MATCH($A827,'[AQ_2024.xlsx]原始数据'!$A:$A,0)),""))</f>
        <v/>
      </c>
      <c r="G827">
        <f>IF($A827="","",IFERROR(INDEX('[AQ_2020.xlsx]原始数据'!$C:$C,MATCH($A827,'[AQ_2020.xlsx]原始数据'!$A:$A,0)),""))</f>
        <v/>
      </c>
      <c r="H827">
        <f>IF($A827="","",IFERROR(INDEX('[AQ_2021.xlsx]原始数据'!$C:$C,MATCH($A827,'[AQ_2021.xlsx]原始数据'!$A:$A,0)),""))</f>
        <v/>
      </c>
      <c r="I827">
        <f>IF($A827="","",IFERROR(INDEX('[AQ_2022.xlsx]原始数据'!$C:$C,MATCH($A827,'[AQ_2022.xlsx]原始数据'!$A:$A,0)),""))</f>
        <v/>
      </c>
      <c r="J827">
        <f>IF($A827="","",IFERROR(INDEX('[AQ_2023.xlsx]原始数据'!$C:$C,MATCH($A827,'[AQ_2023.xlsx]原始数据'!$A:$A,0)),""))</f>
        <v/>
      </c>
      <c r="K827">
        <f>IF($A827="","",IFERROR(INDEX('[AQ_2024.xlsx]原始数据'!$C:$C,MATCH($A827,'[AQ_2024.xlsx]原始数据'!$A:$A,0)),""))</f>
        <v/>
      </c>
      <c r="L827">
        <f>IF($A827="","",IFERROR(INDEX('[AQ_2020.xlsx]原始数据'!$D:$D,MATCH($A827,'[AQ_2020.xlsx]原始数据'!$A:$A,0)),""))</f>
        <v/>
      </c>
      <c r="M827">
        <f>IF($A827="","",IFERROR(INDEX('[AQ_2021.xlsx]原始数据'!$D:$D,MATCH($A827,'[AQ_2021.xlsx]原始数据'!$A:$A,0)),""))</f>
        <v/>
      </c>
      <c r="N827">
        <f>IF($A827="","",IFERROR(INDEX('[AQ_2022.xlsx]原始数据'!$D:$D,MATCH($A827,'[AQ_2022.xlsx]原始数据'!$A:$A,0)),""))</f>
        <v/>
      </c>
      <c r="O827">
        <f>IF($A827="","",IFERROR(INDEX('[AQ_2023.xlsx]原始数据'!$D:$D,MATCH($A827,'[AQ_2023.xlsx]原始数据'!$A:$A,0)),""))</f>
        <v/>
      </c>
      <c r="P827">
        <f>IF($A827="","",IFERROR(INDEX('[AQ_2024.xlsx]原始数据'!$D:$D,MATCH($A827,'[AQ_2024.xlsx]原始数据'!$A:$A,0)),""))</f>
        <v/>
      </c>
      <c r="Q827">
        <f>IF($A827="","",IFERROR(INDEX('[AQ_2020.xlsx]原始数据'!$E:$E,MATCH($A827,'[AQ_2020.xlsx]原始数据'!$A:$A,0)),""))</f>
        <v/>
      </c>
      <c r="R827">
        <f>IF($A827="","",IFERROR(INDEX('[AQ_2021.xlsx]原始数据'!$E:$E,MATCH($A827,'[AQ_2021.xlsx]原始数据'!$A:$A,0)),""))</f>
        <v/>
      </c>
      <c r="S827">
        <f>IF($A827="","",IFERROR(INDEX('[AQ_2022.xlsx]原始数据'!$E:$E,MATCH($A827,'[AQ_2022.xlsx]原始数据'!$A:$A,0)),""))</f>
        <v/>
      </c>
      <c r="T827">
        <f>IF($A827="","",IFERROR(INDEX('[AQ_2023.xlsx]原始数据'!$E:$E,MATCH($A827,'[AQ_2023.xlsx]原始数据'!$A:$A,0)),""))</f>
        <v/>
      </c>
      <c r="U827">
        <f>IF($A827="","",IFERROR(INDEX('[AQ_2024.xlsx]原始数据'!$E:$E,MATCH($A827,'[AQ_2024.xlsx]原始数据'!$A:$A,0)),""))</f>
        <v/>
      </c>
      <c r="V827">
        <f>IF($A827="","",IFERROR(INDEX('[AQ_2020.xlsx]原始数据'!$F:$F,MATCH($A827,'[AQ_2020.xlsx]原始数据'!$A:$A,0)),""))</f>
        <v/>
      </c>
      <c r="W827">
        <f>IF($A827="","",IFERROR(INDEX('[AQ_2021.xlsx]原始数据'!$F:$F,MATCH($A827,'[AQ_2021.xlsx]原始数据'!$A:$A,0)),""))</f>
        <v/>
      </c>
      <c r="X827">
        <f>IF($A827="","",IFERROR(INDEX('[AQ_2022.xlsx]原始数据'!$F:$F,MATCH($A827,'[AQ_2022.xlsx]原始数据'!$A:$A,0)),""))</f>
        <v/>
      </c>
      <c r="Y827">
        <f>IF($A827="","",IFERROR(INDEX('[AQ_2023.xlsx]原始数据'!$F:$F,MATCH($A827,'[AQ_2023.xlsx]原始数据'!$A:$A,0)),""))</f>
        <v/>
      </c>
      <c r="Z827">
        <f>IF($A827="","",IFERROR(INDEX('[AQ_2024.xlsx]原始数据'!$F:$F,MATCH($A827,'[AQ_2024.xlsx]原始数据'!$A:$A,0)),""))</f>
        <v/>
      </c>
      <c r="AA827" s="2">
        <f>IFERROR(G827/B827,"")</f>
        <v/>
      </c>
      <c r="AB827" s="2">
        <f>IFERROR(H827/C827,"")</f>
        <v/>
      </c>
      <c r="AC827" s="2">
        <f>IFERROR(I827/D827,"")</f>
        <v/>
      </c>
      <c r="AD827" s="2">
        <f>IFERROR(J827/E827,"")</f>
        <v/>
      </c>
      <c r="AE827" s="2">
        <f>IFERROR(K827/F827,"")</f>
        <v/>
      </c>
      <c r="AF827" s="2">
        <f>IFERROR(L827/B827,"")</f>
        <v/>
      </c>
      <c r="AG827" s="2">
        <f>IFERROR(M827/C827,"")</f>
        <v/>
      </c>
      <c r="AH827" s="2">
        <f>IFERROR(N827/D827,"")</f>
        <v/>
      </c>
      <c r="AI827" s="2">
        <f>IFERROR(O827/E827,"")</f>
        <v/>
      </c>
      <c r="AJ827" s="2">
        <f>IFERROR(P827/F827,"")</f>
        <v/>
      </c>
      <c r="AK827" s="2">
        <f>IFERROR(Q827/B827,"")</f>
        <v/>
      </c>
      <c r="AL827" s="2">
        <f>IFERROR(R827/C827,"")</f>
        <v/>
      </c>
      <c r="AM827" s="2">
        <f>IFERROR(S827/D827,"")</f>
        <v/>
      </c>
      <c r="AN827" s="2">
        <f>IFERROR(T827/E827,"")</f>
        <v/>
      </c>
      <c r="AO827" s="2">
        <f>IFERROR(U827/F827,"")</f>
        <v/>
      </c>
    </row>
    <row r="828">
      <c r="B828">
        <f>IF($A828="","",IFERROR(INDEX('[AQ_2020.xlsx]原始数据'!$B:$B,MATCH($A828,'[AQ_2020.xlsx]原始数据'!$A:$A,0)),""))</f>
        <v/>
      </c>
      <c r="C828">
        <f>IF($A828="","",IFERROR(INDEX('[AQ_2021.xlsx]原始数据'!$B:$B,MATCH($A828,'[AQ_2021.xlsx]原始数据'!$A:$A,0)),""))</f>
        <v/>
      </c>
      <c r="D828">
        <f>IF($A828="","",IFERROR(INDEX('[AQ_2022.xlsx]原始数据'!$B:$B,MATCH($A828,'[AQ_2022.xlsx]原始数据'!$A:$A,0)),""))</f>
        <v/>
      </c>
      <c r="E828">
        <f>IF($A828="","",IFERROR(INDEX('[AQ_2023.xlsx]原始数据'!$B:$B,MATCH($A828,'[AQ_2023.xlsx]原始数据'!$A:$A,0)),""))</f>
        <v/>
      </c>
      <c r="F828">
        <f>IF($A828="","",IFERROR(INDEX('[AQ_2024.xlsx]原始数据'!$B:$B,MATCH($A828,'[AQ_2024.xlsx]原始数据'!$A:$A,0)),""))</f>
        <v/>
      </c>
      <c r="G828">
        <f>IF($A828="","",IFERROR(INDEX('[AQ_2020.xlsx]原始数据'!$C:$C,MATCH($A828,'[AQ_2020.xlsx]原始数据'!$A:$A,0)),""))</f>
        <v/>
      </c>
      <c r="H828">
        <f>IF($A828="","",IFERROR(INDEX('[AQ_2021.xlsx]原始数据'!$C:$C,MATCH($A828,'[AQ_2021.xlsx]原始数据'!$A:$A,0)),""))</f>
        <v/>
      </c>
      <c r="I828">
        <f>IF($A828="","",IFERROR(INDEX('[AQ_2022.xlsx]原始数据'!$C:$C,MATCH($A828,'[AQ_2022.xlsx]原始数据'!$A:$A,0)),""))</f>
        <v/>
      </c>
      <c r="J828">
        <f>IF($A828="","",IFERROR(INDEX('[AQ_2023.xlsx]原始数据'!$C:$C,MATCH($A828,'[AQ_2023.xlsx]原始数据'!$A:$A,0)),""))</f>
        <v/>
      </c>
      <c r="K828">
        <f>IF($A828="","",IFERROR(INDEX('[AQ_2024.xlsx]原始数据'!$C:$C,MATCH($A828,'[AQ_2024.xlsx]原始数据'!$A:$A,0)),""))</f>
        <v/>
      </c>
      <c r="L828">
        <f>IF($A828="","",IFERROR(INDEX('[AQ_2020.xlsx]原始数据'!$D:$D,MATCH($A828,'[AQ_2020.xlsx]原始数据'!$A:$A,0)),""))</f>
        <v/>
      </c>
      <c r="M828">
        <f>IF($A828="","",IFERROR(INDEX('[AQ_2021.xlsx]原始数据'!$D:$D,MATCH($A828,'[AQ_2021.xlsx]原始数据'!$A:$A,0)),""))</f>
        <v/>
      </c>
      <c r="N828">
        <f>IF($A828="","",IFERROR(INDEX('[AQ_2022.xlsx]原始数据'!$D:$D,MATCH($A828,'[AQ_2022.xlsx]原始数据'!$A:$A,0)),""))</f>
        <v/>
      </c>
      <c r="O828">
        <f>IF($A828="","",IFERROR(INDEX('[AQ_2023.xlsx]原始数据'!$D:$D,MATCH($A828,'[AQ_2023.xlsx]原始数据'!$A:$A,0)),""))</f>
        <v/>
      </c>
      <c r="P828">
        <f>IF($A828="","",IFERROR(INDEX('[AQ_2024.xlsx]原始数据'!$D:$D,MATCH($A828,'[AQ_2024.xlsx]原始数据'!$A:$A,0)),""))</f>
        <v/>
      </c>
      <c r="Q828">
        <f>IF($A828="","",IFERROR(INDEX('[AQ_2020.xlsx]原始数据'!$E:$E,MATCH($A828,'[AQ_2020.xlsx]原始数据'!$A:$A,0)),""))</f>
        <v/>
      </c>
      <c r="R828">
        <f>IF($A828="","",IFERROR(INDEX('[AQ_2021.xlsx]原始数据'!$E:$E,MATCH($A828,'[AQ_2021.xlsx]原始数据'!$A:$A,0)),""))</f>
        <v/>
      </c>
      <c r="S828">
        <f>IF($A828="","",IFERROR(INDEX('[AQ_2022.xlsx]原始数据'!$E:$E,MATCH($A828,'[AQ_2022.xlsx]原始数据'!$A:$A,0)),""))</f>
        <v/>
      </c>
      <c r="T828">
        <f>IF($A828="","",IFERROR(INDEX('[AQ_2023.xlsx]原始数据'!$E:$E,MATCH($A828,'[AQ_2023.xlsx]原始数据'!$A:$A,0)),""))</f>
        <v/>
      </c>
      <c r="U828">
        <f>IF($A828="","",IFERROR(INDEX('[AQ_2024.xlsx]原始数据'!$E:$E,MATCH($A828,'[AQ_2024.xlsx]原始数据'!$A:$A,0)),""))</f>
        <v/>
      </c>
      <c r="V828">
        <f>IF($A828="","",IFERROR(INDEX('[AQ_2020.xlsx]原始数据'!$F:$F,MATCH($A828,'[AQ_2020.xlsx]原始数据'!$A:$A,0)),""))</f>
        <v/>
      </c>
      <c r="W828">
        <f>IF($A828="","",IFERROR(INDEX('[AQ_2021.xlsx]原始数据'!$F:$F,MATCH($A828,'[AQ_2021.xlsx]原始数据'!$A:$A,0)),""))</f>
        <v/>
      </c>
      <c r="X828">
        <f>IF($A828="","",IFERROR(INDEX('[AQ_2022.xlsx]原始数据'!$F:$F,MATCH($A828,'[AQ_2022.xlsx]原始数据'!$A:$A,0)),""))</f>
        <v/>
      </c>
      <c r="Y828">
        <f>IF($A828="","",IFERROR(INDEX('[AQ_2023.xlsx]原始数据'!$F:$F,MATCH($A828,'[AQ_2023.xlsx]原始数据'!$A:$A,0)),""))</f>
        <v/>
      </c>
      <c r="Z828">
        <f>IF($A828="","",IFERROR(INDEX('[AQ_2024.xlsx]原始数据'!$F:$F,MATCH($A828,'[AQ_2024.xlsx]原始数据'!$A:$A,0)),""))</f>
        <v/>
      </c>
      <c r="AA828" s="2">
        <f>IFERROR(G828/B828,"")</f>
        <v/>
      </c>
      <c r="AB828" s="2">
        <f>IFERROR(H828/C828,"")</f>
        <v/>
      </c>
      <c r="AC828" s="2">
        <f>IFERROR(I828/D828,"")</f>
        <v/>
      </c>
      <c r="AD828" s="2">
        <f>IFERROR(J828/E828,"")</f>
        <v/>
      </c>
      <c r="AE828" s="2">
        <f>IFERROR(K828/F828,"")</f>
        <v/>
      </c>
      <c r="AF828" s="2">
        <f>IFERROR(L828/B828,"")</f>
        <v/>
      </c>
      <c r="AG828" s="2">
        <f>IFERROR(M828/C828,"")</f>
        <v/>
      </c>
      <c r="AH828" s="2">
        <f>IFERROR(N828/D828,"")</f>
        <v/>
      </c>
      <c r="AI828" s="2">
        <f>IFERROR(O828/E828,"")</f>
        <v/>
      </c>
      <c r="AJ828" s="2">
        <f>IFERROR(P828/F828,"")</f>
        <v/>
      </c>
      <c r="AK828" s="2">
        <f>IFERROR(Q828/B828,"")</f>
        <v/>
      </c>
      <c r="AL828" s="2">
        <f>IFERROR(R828/C828,"")</f>
        <v/>
      </c>
      <c r="AM828" s="2">
        <f>IFERROR(S828/D828,"")</f>
        <v/>
      </c>
      <c r="AN828" s="2">
        <f>IFERROR(T828/E828,"")</f>
        <v/>
      </c>
      <c r="AO828" s="2">
        <f>IFERROR(U828/F828,"")</f>
        <v/>
      </c>
    </row>
    <row r="829">
      <c r="B829">
        <f>IF($A829="","",IFERROR(INDEX('[AQ_2020.xlsx]原始数据'!$B:$B,MATCH($A829,'[AQ_2020.xlsx]原始数据'!$A:$A,0)),""))</f>
        <v/>
      </c>
      <c r="C829">
        <f>IF($A829="","",IFERROR(INDEX('[AQ_2021.xlsx]原始数据'!$B:$B,MATCH($A829,'[AQ_2021.xlsx]原始数据'!$A:$A,0)),""))</f>
        <v/>
      </c>
      <c r="D829">
        <f>IF($A829="","",IFERROR(INDEX('[AQ_2022.xlsx]原始数据'!$B:$B,MATCH($A829,'[AQ_2022.xlsx]原始数据'!$A:$A,0)),""))</f>
        <v/>
      </c>
      <c r="E829">
        <f>IF($A829="","",IFERROR(INDEX('[AQ_2023.xlsx]原始数据'!$B:$B,MATCH($A829,'[AQ_2023.xlsx]原始数据'!$A:$A,0)),""))</f>
        <v/>
      </c>
      <c r="F829">
        <f>IF($A829="","",IFERROR(INDEX('[AQ_2024.xlsx]原始数据'!$B:$B,MATCH($A829,'[AQ_2024.xlsx]原始数据'!$A:$A,0)),""))</f>
        <v/>
      </c>
      <c r="G829">
        <f>IF($A829="","",IFERROR(INDEX('[AQ_2020.xlsx]原始数据'!$C:$C,MATCH($A829,'[AQ_2020.xlsx]原始数据'!$A:$A,0)),""))</f>
        <v/>
      </c>
      <c r="H829">
        <f>IF($A829="","",IFERROR(INDEX('[AQ_2021.xlsx]原始数据'!$C:$C,MATCH($A829,'[AQ_2021.xlsx]原始数据'!$A:$A,0)),""))</f>
        <v/>
      </c>
      <c r="I829">
        <f>IF($A829="","",IFERROR(INDEX('[AQ_2022.xlsx]原始数据'!$C:$C,MATCH($A829,'[AQ_2022.xlsx]原始数据'!$A:$A,0)),""))</f>
        <v/>
      </c>
      <c r="J829">
        <f>IF($A829="","",IFERROR(INDEX('[AQ_2023.xlsx]原始数据'!$C:$C,MATCH($A829,'[AQ_2023.xlsx]原始数据'!$A:$A,0)),""))</f>
        <v/>
      </c>
      <c r="K829">
        <f>IF($A829="","",IFERROR(INDEX('[AQ_2024.xlsx]原始数据'!$C:$C,MATCH($A829,'[AQ_2024.xlsx]原始数据'!$A:$A,0)),""))</f>
        <v/>
      </c>
      <c r="L829">
        <f>IF($A829="","",IFERROR(INDEX('[AQ_2020.xlsx]原始数据'!$D:$D,MATCH($A829,'[AQ_2020.xlsx]原始数据'!$A:$A,0)),""))</f>
        <v/>
      </c>
      <c r="M829">
        <f>IF($A829="","",IFERROR(INDEX('[AQ_2021.xlsx]原始数据'!$D:$D,MATCH($A829,'[AQ_2021.xlsx]原始数据'!$A:$A,0)),""))</f>
        <v/>
      </c>
      <c r="N829">
        <f>IF($A829="","",IFERROR(INDEX('[AQ_2022.xlsx]原始数据'!$D:$D,MATCH($A829,'[AQ_2022.xlsx]原始数据'!$A:$A,0)),""))</f>
        <v/>
      </c>
      <c r="O829">
        <f>IF($A829="","",IFERROR(INDEX('[AQ_2023.xlsx]原始数据'!$D:$D,MATCH($A829,'[AQ_2023.xlsx]原始数据'!$A:$A,0)),""))</f>
        <v/>
      </c>
      <c r="P829">
        <f>IF($A829="","",IFERROR(INDEX('[AQ_2024.xlsx]原始数据'!$D:$D,MATCH($A829,'[AQ_2024.xlsx]原始数据'!$A:$A,0)),""))</f>
        <v/>
      </c>
      <c r="Q829">
        <f>IF($A829="","",IFERROR(INDEX('[AQ_2020.xlsx]原始数据'!$E:$E,MATCH($A829,'[AQ_2020.xlsx]原始数据'!$A:$A,0)),""))</f>
        <v/>
      </c>
      <c r="R829">
        <f>IF($A829="","",IFERROR(INDEX('[AQ_2021.xlsx]原始数据'!$E:$E,MATCH($A829,'[AQ_2021.xlsx]原始数据'!$A:$A,0)),""))</f>
        <v/>
      </c>
      <c r="S829">
        <f>IF($A829="","",IFERROR(INDEX('[AQ_2022.xlsx]原始数据'!$E:$E,MATCH($A829,'[AQ_2022.xlsx]原始数据'!$A:$A,0)),""))</f>
        <v/>
      </c>
      <c r="T829">
        <f>IF($A829="","",IFERROR(INDEX('[AQ_2023.xlsx]原始数据'!$E:$E,MATCH($A829,'[AQ_2023.xlsx]原始数据'!$A:$A,0)),""))</f>
        <v/>
      </c>
      <c r="U829">
        <f>IF($A829="","",IFERROR(INDEX('[AQ_2024.xlsx]原始数据'!$E:$E,MATCH($A829,'[AQ_2024.xlsx]原始数据'!$A:$A,0)),""))</f>
        <v/>
      </c>
      <c r="V829">
        <f>IF($A829="","",IFERROR(INDEX('[AQ_2020.xlsx]原始数据'!$F:$F,MATCH($A829,'[AQ_2020.xlsx]原始数据'!$A:$A,0)),""))</f>
        <v/>
      </c>
      <c r="W829">
        <f>IF($A829="","",IFERROR(INDEX('[AQ_2021.xlsx]原始数据'!$F:$F,MATCH($A829,'[AQ_2021.xlsx]原始数据'!$A:$A,0)),""))</f>
        <v/>
      </c>
      <c r="X829">
        <f>IF($A829="","",IFERROR(INDEX('[AQ_2022.xlsx]原始数据'!$F:$F,MATCH($A829,'[AQ_2022.xlsx]原始数据'!$A:$A,0)),""))</f>
        <v/>
      </c>
      <c r="Y829">
        <f>IF($A829="","",IFERROR(INDEX('[AQ_2023.xlsx]原始数据'!$F:$F,MATCH($A829,'[AQ_2023.xlsx]原始数据'!$A:$A,0)),""))</f>
        <v/>
      </c>
      <c r="Z829">
        <f>IF($A829="","",IFERROR(INDEX('[AQ_2024.xlsx]原始数据'!$F:$F,MATCH($A829,'[AQ_2024.xlsx]原始数据'!$A:$A,0)),""))</f>
        <v/>
      </c>
      <c r="AA829" s="2">
        <f>IFERROR(G829/B829,"")</f>
        <v/>
      </c>
      <c r="AB829" s="2">
        <f>IFERROR(H829/C829,"")</f>
        <v/>
      </c>
      <c r="AC829" s="2">
        <f>IFERROR(I829/D829,"")</f>
        <v/>
      </c>
      <c r="AD829" s="2">
        <f>IFERROR(J829/E829,"")</f>
        <v/>
      </c>
      <c r="AE829" s="2">
        <f>IFERROR(K829/F829,"")</f>
        <v/>
      </c>
      <c r="AF829" s="2">
        <f>IFERROR(L829/B829,"")</f>
        <v/>
      </c>
      <c r="AG829" s="2">
        <f>IFERROR(M829/C829,"")</f>
        <v/>
      </c>
      <c r="AH829" s="2">
        <f>IFERROR(N829/D829,"")</f>
        <v/>
      </c>
      <c r="AI829" s="2">
        <f>IFERROR(O829/E829,"")</f>
        <v/>
      </c>
      <c r="AJ829" s="2">
        <f>IFERROR(P829/F829,"")</f>
        <v/>
      </c>
      <c r="AK829" s="2">
        <f>IFERROR(Q829/B829,"")</f>
        <v/>
      </c>
      <c r="AL829" s="2">
        <f>IFERROR(R829/C829,"")</f>
        <v/>
      </c>
      <c r="AM829" s="2">
        <f>IFERROR(S829/D829,"")</f>
        <v/>
      </c>
      <c r="AN829" s="2">
        <f>IFERROR(T829/E829,"")</f>
        <v/>
      </c>
      <c r="AO829" s="2">
        <f>IFERROR(U829/F829,"")</f>
        <v/>
      </c>
    </row>
    <row r="830">
      <c r="B830">
        <f>IF($A830="","",IFERROR(INDEX('[AQ_2020.xlsx]原始数据'!$B:$B,MATCH($A830,'[AQ_2020.xlsx]原始数据'!$A:$A,0)),""))</f>
        <v/>
      </c>
      <c r="C830">
        <f>IF($A830="","",IFERROR(INDEX('[AQ_2021.xlsx]原始数据'!$B:$B,MATCH($A830,'[AQ_2021.xlsx]原始数据'!$A:$A,0)),""))</f>
        <v/>
      </c>
      <c r="D830">
        <f>IF($A830="","",IFERROR(INDEX('[AQ_2022.xlsx]原始数据'!$B:$B,MATCH($A830,'[AQ_2022.xlsx]原始数据'!$A:$A,0)),""))</f>
        <v/>
      </c>
      <c r="E830">
        <f>IF($A830="","",IFERROR(INDEX('[AQ_2023.xlsx]原始数据'!$B:$B,MATCH($A830,'[AQ_2023.xlsx]原始数据'!$A:$A,0)),""))</f>
        <v/>
      </c>
      <c r="F830">
        <f>IF($A830="","",IFERROR(INDEX('[AQ_2024.xlsx]原始数据'!$B:$B,MATCH($A830,'[AQ_2024.xlsx]原始数据'!$A:$A,0)),""))</f>
        <v/>
      </c>
      <c r="G830">
        <f>IF($A830="","",IFERROR(INDEX('[AQ_2020.xlsx]原始数据'!$C:$C,MATCH($A830,'[AQ_2020.xlsx]原始数据'!$A:$A,0)),""))</f>
        <v/>
      </c>
      <c r="H830">
        <f>IF($A830="","",IFERROR(INDEX('[AQ_2021.xlsx]原始数据'!$C:$C,MATCH($A830,'[AQ_2021.xlsx]原始数据'!$A:$A,0)),""))</f>
        <v/>
      </c>
      <c r="I830">
        <f>IF($A830="","",IFERROR(INDEX('[AQ_2022.xlsx]原始数据'!$C:$C,MATCH($A830,'[AQ_2022.xlsx]原始数据'!$A:$A,0)),""))</f>
        <v/>
      </c>
      <c r="J830">
        <f>IF($A830="","",IFERROR(INDEX('[AQ_2023.xlsx]原始数据'!$C:$C,MATCH($A830,'[AQ_2023.xlsx]原始数据'!$A:$A,0)),""))</f>
        <v/>
      </c>
      <c r="K830">
        <f>IF($A830="","",IFERROR(INDEX('[AQ_2024.xlsx]原始数据'!$C:$C,MATCH($A830,'[AQ_2024.xlsx]原始数据'!$A:$A,0)),""))</f>
        <v/>
      </c>
      <c r="L830">
        <f>IF($A830="","",IFERROR(INDEX('[AQ_2020.xlsx]原始数据'!$D:$D,MATCH($A830,'[AQ_2020.xlsx]原始数据'!$A:$A,0)),""))</f>
        <v/>
      </c>
      <c r="M830">
        <f>IF($A830="","",IFERROR(INDEX('[AQ_2021.xlsx]原始数据'!$D:$D,MATCH($A830,'[AQ_2021.xlsx]原始数据'!$A:$A,0)),""))</f>
        <v/>
      </c>
      <c r="N830">
        <f>IF($A830="","",IFERROR(INDEX('[AQ_2022.xlsx]原始数据'!$D:$D,MATCH($A830,'[AQ_2022.xlsx]原始数据'!$A:$A,0)),""))</f>
        <v/>
      </c>
      <c r="O830">
        <f>IF($A830="","",IFERROR(INDEX('[AQ_2023.xlsx]原始数据'!$D:$D,MATCH($A830,'[AQ_2023.xlsx]原始数据'!$A:$A,0)),""))</f>
        <v/>
      </c>
      <c r="P830">
        <f>IF($A830="","",IFERROR(INDEX('[AQ_2024.xlsx]原始数据'!$D:$D,MATCH($A830,'[AQ_2024.xlsx]原始数据'!$A:$A,0)),""))</f>
        <v/>
      </c>
      <c r="Q830">
        <f>IF($A830="","",IFERROR(INDEX('[AQ_2020.xlsx]原始数据'!$E:$E,MATCH($A830,'[AQ_2020.xlsx]原始数据'!$A:$A,0)),""))</f>
        <v/>
      </c>
      <c r="R830">
        <f>IF($A830="","",IFERROR(INDEX('[AQ_2021.xlsx]原始数据'!$E:$E,MATCH($A830,'[AQ_2021.xlsx]原始数据'!$A:$A,0)),""))</f>
        <v/>
      </c>
      <c r="S830">
        <f>IF($A830="","",IFERROR(INDEX('[AQ_2022.xlsx]原始数据'!$E:$E,MATCH($A830,'[AQ_2022.xlsx]原始数据'!$A:$A,0)),""))</f>
        <v/>
      </c>
      <c r="T830">
        <f>IF($A830="","",IFERROR(INDEX('[AQ_2023.xlsx]原始数据'!$E:$E,MATCH($A830,'[AQ_2023.xlsx]原始数据'!$A:$A,0)),""))</f>
        <v/>
      </c>
      <c r="U830">
        <f>IF($A830="","",IFERROR(INDEX('[AQ_2024.xlsx]原始数据'!$E:$E,MATCH($A830,'[AQ_2024.xlsx]原始数据'!$A:$A,0)),""))</f>
        <v/>
      </c>
      <c r="V830">
        <f>IF($A830="","",IFERROR(INDEX('[AQ_2020.xlsx]原始数据'!$F:$F,MATCH($A830,'[AQ_2020.xlsx]原始数据'!$A:$A,0)),""))</f>
        <v/>
      </c>
      <c r="W830">
        <f>IF($A830="","",IFERROR(INDEX('[AQ_2021.xlsx]原始数据'!$F:$F,MATCH($A830,'[AQ_2021.xlsx]原始数据'!$A:$A,0)),""))</f>
        <v/>
      </c>
      <c r="X830">
        <f>IF($A830="","",IFERROR(INDEX('[AQ_2022.xlsx]原始数据'!$F:$F,MATCH($A830,'[AQ_2022.xlsx]原始数据'!$A:$A,0)),""))</f>
        <v/>
      </c>
      <c r="Y830">
        <f>IF($A830="","",IFERROR(INDEX('[AQ_2023.xlsx]原始数据'!$F:$F,MATCH($A830,'[AQ_2023.xlsx]原始数据'!$A:$A,0)),""))</f>
        <v/>
      </c>
      <c r="Z830">
        <f>IF($A830="","",IFERROR(INDEX('[AQ_2024.xlsx]原始数据'!$F:$F,MATCH($A830,'[AQ_2024.xlsx]原始数据'!$A:$A,0)),""))</f>
        <v/>
      </c>
      <c r="AA830" s="2">
        <f>IFERROR(G830/B830,"")</f>
        <v/>
      </c>
      <c r="AB830" s="2">
        <f>IFERROR(H830/C830,"")</f>
        <v/>
      </c>
      <c r="AC830" s="2">
        <f>IFERROR(I830/D830,"")</f>
        <v/>
      </c>
      <c r="AD830" s="2">
        <f>IFERROR(J830/E830,"")</f>
        <v/>
      </c>
      <c r="AE830" s="2">
        <f>IFERROR(K830/F830,"")</f>
        <v/>
      </c>
      <c r="AF830" s="2">
        <f>IFERROR(L830/B830,"")</f>
        <v/>
      </c>
      <c r="AG830" s="2">
        <f>IFERROR(M830/C830,"")</f>
        <v/>
      </c>
      <c r="AH830" s="2">
        <f>IFERROR(N830/D830,"")</f>
        <v/>
      </c>
      <c r="AI830" s="2">
        <f>IFERROR(O830/E830,"")</f>
        <v/>
      </c>
      <c r="AJ830" s="2">
        <f>IFERROR(P830/F830,"")</f>
        <v/>
      </c>
      <c r="AK830" s="2">
        <f>IFERROR(Q830/B830,"")</f>
        <v/>
      </c>
      <c r="AL830" s="2">
        <f>IFERROR(R830/C830,"")</f>
        <v/>
      </c>
      <c r="AM830" s="2">
        <f>IFERROR(S830/D830,"")</f>
        <v/>
      </c>
      <c r="AN830" s="2">
        <f>IFERROR(T830/E830,"")</f>
        <v/>
      </c>
      <c r="AO830" s="2">
        <f>IFERROR(U830/F830,"")</f>
        <v/>
      </c>
    </row>
    <row r="831">
      <c r="B831">
        <f>IF($A831="","",IFERROR(INDEX('[AQ_2020.xlsx]原始数据'!$B:$B,MATCH($A831,'[AQ_2020.xlsx]原始数据'!$A:$A,0)),""))</f>
        <v/>
      </c>
      <c r="C831">
        <f>IF($A831="","",IFERROR(INDEX('[AQ_2021.xlsx]原始数据'!$B:$B,MATCH($A831,'[AQ_2021.xlsx]原始数据'!$A:$A,0)),""))</f>
        <v/>
      </c>
      <c r="D831">
        <f>IF($A831="","",IFERROR(INDEX('[AQ_2022.xlsx]原始数据'!$B:$B,MATCH($A831,'[AQ_2022.xlsx]原始数据'!$A:$A,0)),""))</f>
        <v/>
      </c>
      <c r="E831">
        <f>IF($A831="","",IFERROR(INDEX('[AQ_2023.xlsx]原始数据'!$B:$B,MATCH($A831,'[AQ_2023.xlsx]原始数据'!$A:$A,0)),""))</f>
        <v/>
      </c>
      <c r="F831">
        <f>IF($A831="","",IFERROR(INDEX('[AQ_2024.xlsx]原始数据'!$B:$B,MATCH($A831,'[AQ_2024.xlsx]原始数据'!$A:$A,0)),""))</f>
        <v/>
      </c>
      <c r="G831">
        <f>IF($A831="","",IFERROR(INDEX('[AQ_2020.xlsx]原始数据'!$C:$C,MATCH($A831,'[AQ_2020.xlsx]原始数据'!$A:$A,0)),""))</f>
        <v/>
      </c>
      <c r="H831">
        <f>IF($A831="","",IFERROR(INDEX('[AQ_2021.xlsx]原始数据'!$C:$C,MATCH($A831,'[AQ_2021.xlsx]原始数据'!$A:$A,0)),""))</f>
        <v/>
      </c>
      <c r="I831">
        <f>IF($A831="","",IFERROR(INDEX('[AQ_2022.xlsx]原始数据'!$C:$C,MATCH($A831,'[AQ_2022.xlsx]原始数据'!$A:$A,0)),""))</f>
        <v/>
      </c>
      <c r="J831">
        <f>IF($A831="","",IFERROR(INDEX('[AQ_2023.xlsx]原始数据'!$C:$C,MATCH($A831,'[AQ_2023.xlsx]原始数据'!$A:$A,0)),""))</f>
        <v/>
      </c>
      <c r="K831">
        <f>IF($A831="","",IFERROR(INDEX('[AQ_2024.xlsx]原始数据'!$C:$C,MATCH($A831,'[AQ_2024.xlsx]原始数据'!$A:$A,0)),""))</f>
        <v/>
      </c>
      <c r="L831">
        <f>IF($A831="","",IFERROR(INDEX('[AQ_2020.xlsx]原始数据'!$D:$D,MATCH($A831,'[AQ_2020.xlsx]原始数据'!$A:$A,0)),""))</f>
        <v/>
      </c>
      <c r="M831">
        <f>IF($A831="","",IFERROR(INDEX('[AQ_2021.xlsx]原始数据'!$D:$D,MATCH($A831,'[AQ_2021.xlsx]原始数据'!$A:$A,0)),""))</f>
        <v/>
      </c>
      <c r="N831">
        <f>IF($A831="","",IFERROR(INDEX('[AQ_2022.xlsx]原始数据'!$D:$D,MATCH($A831,'[AQ_2022.xlsx]原始数据'!$A:$A,0)),""))</f>
        <v/>
      </c>
      <c r="O831">
        <f>IF($A831="","",IFERROR(INDEX('[AQ_2023.xlsx]原始数据'!$D:$D,MATCH($A831,'[AQ_2023.xlsx]原始数据'!$A:$A,0)),""))</f>
        <v/>
      </c>
      <c r="P831">
        <f>IF($A831="","",IFERROR(INDEX('[AQ_2024.xlsx]原始数据'!$D:$D,MATCH($A831,'[AQ_2024.xlsx]原始数据'!$A:$A,0)),""))</f>
        <v/>
      </c>
      <c r="Q831">
        <f>IF($A831="","",IFERROR(INDEX('[AQ_2020.xlsx]原始数据'!$E:$E,MATCH($A831,'[AQ_2020.xlsx]原始数据'!$A:$A,0)),""))</f>
        <v/>
      </c>
      <c r="R831">
        <f>IF($A831="","",IFERROR(INDEX('[AQ_2021.xlsx]原始数据'!$E:$E,MATCH($A831,'[AQ_2021.xlsx]原始数据'!$A:$A,0)),""))</f>
        <v/>
      </c>
      <c r="S831">
        <f>IF($A831="","",IFERROR(INDEX('[AQ_2022.xlsx]原始数据'!$E:$E,MATCH($A831,'[AQ_2022.xlsx]原始数据'!$A:$A,0)),""))</f>
        <v/>
      </c>
      <c r="T831">
        <f>IF($A831="","",IFERROR(INDEX('[AQ_2023.xlsx]原始数据'!$E:$E,MATCH($A831,'[AQ_2023.xlsx]原始数据'!$A:$A,0)),""))</f>
        <v/>
      </c>
      <c r="U831">
        <f>IF($A831="","",IFERROR(INDEX('[AQ_2024.xlsx]原始数据'!$E:$E,MATCH($A831,'[AQ_2024.xlsx]原始数据'!$A:$A,0)),""))</f>
        <v/>
      </c>
      <c r="V831">
        <f>IF($A831="","",IFERROR(INDEX('[AQ_2020.xlsx]原始数据'!$F:$F,MATCH($A831,'[AQ_2020.xlsx]原始数据'!$A:$A,0)),""))</f>
        <v/>
      </c>
      <c r="W831">
        <f>IF($A831="","",IFERROR(INDEX('[AQ_2021.xlsx]原始数据'!$F:$F,MATCH($A831,'[AQ_2021.xlsx]原始数据'!$A:$A,0)),""))</f>
        <v/>
      </c>
      <c r="X831">
        <f>IF($A831="","",IFERROR(INDEX('[AQ_2022.xlsx]原始数据'!$F:$F,MATCH($A831,'[AQ_2022.xlsx]原始数据'!$A:$A,0)),""))</f>
        <v/>
      </c>
      <c r="Y831">
        <f>IF($A831="","",IFERROR(INDEX('[AQ_2023.xlsx]原始数据'!$F:$F,MATCH($A831,'[AQ_2023.xlsx]原始数据'!$A:$A,0)),""))</f>
        <v/>
      </c>
      <c r="Z831">
        <f>IF($A831="","",IFERROR(INDEX('[AQ_2024.xlsx]原始数据'!$F:$F,MATCH($A831,'[AQ_2024.xlsx]原始数据'!$A:$A,0)),""))</f>
        <v/>
      </c>
      <c r="AA831" s="2">
        <f>IFERROR(G831/B831,"")</f>
        <v/>
      </c>
      <c r="AB831" s="2">
        <f>IFERROR(H831/C831,"")</f>
        <v/>
      </c>
      <c r="AC831" s="2">
        <f>IFERROR(I831/D831,"")</f>
        <v/>
      </c>
      <c r="AD831" s="2">
        <f>IFERROR(J831/E831,"")</f>
        <v/>
      </c>
      <c r="AE831" s="2">
        <f>IFERROR(K831/F831,"")</f>
        <v/>
      </c>
      <c r="AF831" s="2">
        <f>IFERROR(L831/B831,"")</f>
        <v/>
      </c>
      <c r="AG831" s="2">
        <f>IFERROR(M831/C831,"")</f>
        <v/>
      </c>
      <c r="AH831" s="2">
        <f>IFERROR(N831/D831,"")</f>
        <v/>
      </c>
      <c r="AI831" s="2">
        <f>IFERROR(O831/E831,"")</f>
        <v/>
      </c>
      <c r="AJ831" s="2">
        <f>IFERROR(P831/F831,"")</f>
        <v/>
      </c>
      <c r="AK831" s="2">
        <f>IFERROR(Q831/B831,"")</f>
        <v/>
      </c>
      <c r="AL831" s="2">
        <f>IFERROR(R831/C831,"")</f>
        <v/>
      </c>
      <c r="AM831" s="2">
        <f>IFERROR(S831/D831,"")</f>
        <v/>
      </c>
      <c r="AN831" s="2">
        <f>IFERROR(T831/E831,"")</f>
        <v/>
      </c>
      <c r="AO831" s="2">
        <f>IFERROR(U831/F831,"")</f>
        <v/>
      </c>
    </row>
    <row r="832">
      <c r="B832">
        <f>IF($A832="","",IFERROR(INDEX('[AQ_2020.xlsx]原始数据'!$B:$B,MATCH($A832,'[AQ_2020.xlsx]原始数据'!$A:$A,0)),""))</f>
        <v/>
      </c>
      <c r="C832">
        <f>IF($A832="","",IFERROR(INDEX('[AQ_2021.xlsx]原始数据'!$B:$B,MATCH($A832,'[AQ_2021.xlsx]原始数据'!$A:$A,0)),""))</f>
        <v/>
      </c>
      <c r="D832">
        <f>IF($A832="","",IFERROR(INDEX('[AQ_2022.xlsx]原始数据'!$B:$B,MATCH($A832,'[AQ_2022.xlsx]原始数据'!$A:$A,0)),""))</f>
        <v/>
      </c>
      <c r="E832">
        <f>IF($A832="","",IFERROR(INDEX('[AQ_2023.xlsx]原始数据'!$B:$B,MATCH($A832,'[AQ_2023.xlsx]原始数据'!$A:$A,0)),""))</f>
        <v/>
      </c>
      <c r="F832">
        <f>IF($A832="","",IFERROR(INDEX('[AQ_2024.xlsx]原始数据'!$B:$B,MATCH($A832,'[AQ_2024.xlsx]原始数据'!$A:$A,0)),""))</f>
        <v/>
      </c>
      <c r="G832">
        <f>IF($A832="","",IFERROR(INDEX('[AQ_2020.xlsx]原始数据'!$C:$C,MATCH($A832,'[AQ_2020.xlsx]原始数据'!$A:$A,0)),""))</f>
        <v/>
      </c>
      <c r="H832">
        <f>IF($A832="","",IFERROR(INDEX('[AQ_2021.xlsx]原始数据'!$C:$C,MATCH($A832,'[AQ_2021.xlsx]原始数据'!$A:$A,0)),""))</f>
        <v/>
      </c>
      <c r="I832">
        <f>IF($A832="","",IFERROR(INDEX('[AQ_2022.xlsx]原始数据'!$C:$C,MATCH($A832,'[AQ_2022.xlsx]原始数据'!$A:$A,0)),""))</f>
        <v/>
      </c>
      <c r="J832">
        <f>IF($A832="","",IFERROR(INDEX('[AQ_2023.xlsx]原始数据'!$C:$C,MATCH($A832,'[AQ_2023.xlsx]原始数据'!$A:$A,0)),""))</f>
        <v/>
      </c>
      <c r="K832">
        <f>IF($A832="","",IFERROR(INDEX('[AQ_2024.xlsx]原始数据'!$C:$C,MATCH($A832,'[AQ_2024.xlsx]原始数据'!$A:$A,0)),""))</f>
        <v/>
      </c>
      <c r="L832">
        <f>IF($A832="","",IFERROR(INDEX('[AQ_2020.xlsx]原始数据'!$D:$D,MATCH($A832,'[AQ_2020.xlsx]原始数据'!$A:$A,0)),""))</f>
        <v/>
      </c>
      <c r="M832">
        <f>IF($A832="","",IFERROR(INDEX('[AQ_2021.xlsx]原始数据'!$D:$D,MATCH($A832,'[AQ_2021.xlsx]原始数据'!$A:$A,0)),""))</f>
        <v/>
      </c>
      <c r="N832">
        <f>IF($A832="","",IFERROR(INDEX('[AQ_2022.xlsx]原始数据'!$D:$D,MATCH($A832,'[AQ_2022.xlsx]原始数据'!$A:$A,0)),""))</f>
        <v/>
      </c>
      <c r="O832">
        <f>IF($A832="","",IFERROR(INDEX('[AQ_2023.xlsx]原始数据'!$D:$D,MATCH($A832,'[AQ_2023.xlsx]原始数据'!$A:$A,0)),""))</f>
        <v/>
      </c>
      <c r="P832">
        <f>IF($A832="","",IFERROR(INDEX('[AQ_2024.xlsx]原始数据'!$D:$D,MATCH($A832,'[AQ_2024.xlsx]原始数据'!$A:$A,0)),""))</f>
        <v/>
      </c>
      <c r="Q832">
        <f>IF($A832="","",IFERROR(INDEX('[AQ_2020.xlsx]原始数据'!$E:$E,MATCH($A832,'[AQ_2020.xlsx]原始数据'!$A:$A,0)),""))</f>
        <v/>
      </c>
      <c r="R832">
        <f>IF($A832="","",IFERROR(INDEX('[AQ_2021.xlsx]原始数据'!$E:$E,MATCH($A832,'[AQ_2021.xlsx]原始数据'!$A:$A,0)),""))</f>
        <v/>
      </c>
      <c r="S832">
        <f>IF($A832="","",IFERROR(INDEX('[AQ_2022.xlsx]原始数据'!$E:$E,MATCH($A832,'[AQ_2022.xlsx]原始数据'!$A:$A,0)),""))</f>
        <v/>
      </c>
      <c r="T832">
        <f>IF($A832="","",IFERROR(INDEX('[AQ_2023.xlsx]原始数据'!$E:$E,MATCH($A832,'[AQ_2023.xlsx]原始数据'!$A:$A,0)),""))</f>
        <v/>
      </c>
      <c r="U832">
        <f>IF($A832="","",IFERROR(INDEX('[AQ_2024.xlsx]原始数据'!$E:$E,MATCH($A832,'[AQ_2024.xlsx]原始数据'!$A:$A,0)),""))</f>
        <v/>
      </c>
      <c r="V832">
        <f>IF($A832="","",IFERROR(INDEX('[AQ_2020.xlsx]原始数据'!$F:$F,MATCH($A832,'[AQ_2020.xlsx]原始数据'!$A:$A,0)),""))</f>
        <v/>
      </c>
      <c r="W832">
        <f>IF($A832="","",IFERROR(INDEX('[AQ_2021.xlsx]原始数据'!$F:$F,MATCH($A832,'[AQ_2021.xlsx]原始数据'!$A:$A,0)),""))</f>
        <v/>
      </c>
      <c r="X832">
        <f>IF($A832="","",IFERROR(INDEX('[AQ_2022.xlsx]原始数据'!$F:$F,MATCH($A832,'[AQ_2022.xlsx]原始数据'!$A:$A,0)),""))</f>
        <v/>
      </c>
      <c r="Y832">
        <f>IF($A832="","",IFERROR(INDEX('[AQ_2023.xlsx]原始数据'!$F:$F,MATCH($A832,'[AQ_2023.xlsx]原始数据'!$A:$A,0)),""))</f>
        <v/>
      </c>
      <c r="Z832">
        <f>IF($A832="","",IFERROR(INDEX('[AQ_2024.xlsx]原始数据'!$F:$F,MATCH($A832,'[AQ_2024.xlsx]原始数据'!$A:$A,0)),""))</f>
        <v/>
      </c>
      <c r="AA832" s="2">
        <f>IFERROR(G832/B832,"")</f>
        <v/>
      </c>
      <c r="AB832" s="2">
        <f>IFERROR(H832/C832,"")</f>
        <v/>
      </c>
      <c r="AC832" s="2">
        <f>IFERROR(I832/D832,"")</f>
        <v/>
      </c>
      <c r="AD832" s="2">
        <f>IFERROR(J832/E832,"")</f>
        <v/>
      </c>
      <c r="AE832" s="2">
        <f>IFERROR(K832/F832,"")</f>
        <v/>
      </c>
      <c r="AF832" s="2">
        <f>IFERROR(L832/B832,"")</f>
        <v/>
      </c>
      <c r="AG832" s="2">
        <f>IFERROR(M832/C832,"")</f>
        <v/>
      </c>
      <c r="AH832" s="2">
        <f>IFERROR(N832/D832,"")</f>
        <v/>
      </c>
      <c r="AI832" s="2">
        <f>IFERROR(O832/E832,"")</f>
        <v/>
      </c>
      <c r="AJ832" s="2">
        <f>IFERROR(P832/F832,"")</f>
        <v/>
      </c>
      <c r="AK832" s="2">
        <f>IFERROR(Q832/B832,"")</f>
        <v/>
      </c>
      <c r="AL832" s="2">
        <f>IFERROR(R832/C832,"")</f>
        <v/>
      </c>
      <c r="AM832" s="2">
        <f>IFERROR(S832/D832,"")</f>
        <v/>
      </c>
      <c r="AN832" s="2">
        <f>IFERROR(T832/E832,"")</f>
        <v/>
      </c>
      <c r="AO832" s="2">
        <f>IFERROR(U832/F832,"")</f>
        <v/>
      </c>
    </row>
    <row r="833">
      <c r="B833">
        <f>IF($A833="","",IFERROR(INDEX('[AQ_2020.xlsx]原始数据'!$B:$B,MATCH($A833,'[AQ_2020.xlsx]原始数据'!$A:$A,0)),""))</f>
        <v/>
      </c>
      <c r="C833">
        <f>IF($A833="","",IFERROR(INDEX('[AQ_2021.xlsx]原始数据'!$B:$B,MATCH($A833,'[AQ_2021.xlsx]原始数据'!$A:$A,0)),""))</f>
        <v/>
      </c>
      <c r="D833">
        <f>IF($A833="","",IFERROR(INDEX('[AQ_2022.xlsx]原始数据'!$B:$B,MATCH($A833,'[AQ_2022.xlsx]原始数据'!$A:$A,0)),""))</f>
        <v/>
      </c>
      <c r="E833">
        <f>IF($A833="","",IFERROR(INDEX('[AQ_2023.xlsx]原始数据'!$B:$B,MATCH($A833,'[AQ_2023.xlsx]原始数据'!$A:$A,0)),""))</f>
        <v/>
      </c>
      <c r="F833">
        <f>IF($A833="","",IFERROR(INDEX('[AQ_2024.xlsx]原始数据'!$B:$B,MATCH($A833,'[AQ_2024.xlsx]原始数据'!$A:$A,0)),""))</f>
        <v/>
      </c>
      <c r="G833">
        <f>IF($A833="","",IFERROR(INDEX('[AQ_2020.xlsx]原始数据'!$C:$C,MATCH($A833,'[AQ_2020.xlsx]原始数据'!$A:$A,0)),""))</f>
        <v/>
      </c>
      <c r="H833">
        <f>IF($A833="","",IFERROR(INDEX('[AQ_2021.xlsx]原始数据'!$C:$C,MATCH($A833,'[AQ_2021.xlsx]原始数据'!$A:$A,0)),""))</f>
        <v/>
      </c>
      <c r="I833">
        <f>IF($A833="","",IFERROR(INDEX('[AQ_2022.xlsx]原始数据'!$C:$C,MATCH($A833,'[AQ_2022.xlsx]原始数据'!$A:$A,0)),""))</f>
        <v/>
      </c>
      <c r="J833">
        <f>IF($A833="","",IFERROR(INDEX('[AQ_2023.xlsx]原始数据'!$C:$C,MATCH($A833,'[AQ_2023.xlsx]原始数据'!$A:$A,0)),""))</f>
        <v/>
      </c>
      <c r="K833">
        <f>IF($A833="","",IFERROR(INDEX('[AQ_2024.xlsx]原始数据'!$C:$C,MATCH($A833,'[AQ_2024.xlsx]原始数据'!$A:$A,0)),""))</f>
        <v/>
      </c>
      <c r="L833">
        <f>IF($A833="","",IFERROR(INDEX('[AQ_2020.xlsx]原始数据'!$D:$D,MATCH($A833,'[AQ_2020.xlsx]原始数据'!$A:$A,0)),""))</f>
        <v/>
      </c>
      <c r="M833">
        <f>IF($A833="","",IFERROR(INDEX('[AQ_2021.xlsx]原始数据'!$D:$D,MATCH($A833,'[AQ_2021.xlsx]原始数据'!$A:$A,0)),""))</f>
        <v/>
      </c>
      <c r="N833">
        <f>IF($A833="","",IFERROR(INDEX('[AQ_2022.xlsx]原始数据'!$D:$D,MATCH($A833,'[AQ_2022.xlsx]原始数据'!$A:$A,0)),""))</f>
        <v/>
      </c>
      <c r="O833">
        <f>IF($A833="","",IFERROR(INDEX('[AQ_2023.xlsx]原始数据'!$D:$D,MATCH($A833,'[AQ_2023.xlsx]原始数据'!$A:$A,0)),""))</f>
        <v/>
      </c>
      <c r="P833">
        <f>IF($A833="","",IFERROR(INDEX('[AQ_2024.xlsx]原始数据'!$D:$D,MATCH($A833,'[AQ_2024.xlsx]原始数据'!$A:$A,0)),""))</f>
        <v/>
      </c>
      <c r="Q833">
        <f>IF($A833="","",IFERROR(INDEX('[AQ_2020.xlsx]原始数据'!$E:$E,MATCH($A833,'[AQ_2020.xlsx]原始数据'!$A:$A,0)),""))</f>
        <v/>
      </c>
      <c r="R833">
        <f>IF($A833="","",IFERROR(INDEX('[AQ_2021.xlsx]原始数据'!$E:$E,MATCH($A833,'[AQ_2021.xlsx]原始数据'!$A:$A,0)),""))</f>
        <v/>
      </c>
      <c r="S833">
        <f>IF($A833="","",IFERROR(INDEX('[AQ_2022.xlsx]原始数据'!$E:$E,MATCH($A833,'[AQ_2022.xlsx]原始数据'!$A:$A,0)),""))</f>
        <v/>
      </c>
      <c r="T833">
        <f>IF($A833="","",IFERROR(INDEX('[AQ_2023.xlsx]原始数据'!$E:$E,MATCH($A833,'[AQ_2023.xlsx]原始数据'!$A:$A,0)),""))</f>
        <v/>
      </c>
      <c r="U833">
        <f>IF($A833="","",IFERROR(INDEX('[AQ_2024.xlsx]原始数据'!$E:$E,MATCH($A833,'[AQ_2024.xlsx]原始数据'!$A:$A,0)),""))</f>
        <v/>
      </c>
      <c r="V833">
        <f>IF($A833="","",IFERROR(INDEX('[AQ_2020.xlsx]原始数据'!$F:$F,MATCH($A833,'[AQ_2020.xlsx]原始数据'!$A:$A,0)),""))</f>
        <v/>
      </c>
      <c r="W833">
        <f>IF($A833="","",IFERROR(INDEX('[AQ_2021.xlsx]原始数据'!$F:$F,MATCH($A833,'[AQ_2021.xlsx]原始数据'!$A:$A,0)),""))</f>
        <v/>
      </c>
      <c r="X833">
        <f>IF($A833="","",IFERROR(INDEX('[AQ_2022.xlsx]原始数据'!$F:$F,MATCH($A833,'[AQ_2022.xlsx]原始数据'!$A:$A,0)),""))</f>
        <v/>
      </c>
      <c r="Y833">
        <f>IF($A833="","",IFERROR(INDEX('[AQ_2023.xlsx]原始数据'!$F:$F,MATCH($A833,'[AQ_2023.xlsx]原始数据'!$A:$A,0)),""))</f>
        <v/>
      </c>
      <c r="Z833">
        <f>IF($A833="","",IFERROR(INDEX('[AQ_2024.xlsx]原始数据'!$F:$F,MATCH($A833,'[AQ_2024.xlsx]原始数据'!$A:$A,0)),""))</f>
        <v/>
      </c>
      <c r="AA833" s="2">
        <f>IFERROR(G833/B833,"")</f>
        <v/>
      </c>
      <c r="AB833" s="2">
        <f>IFERROR(H833/C833,"")</f>
        <v/>
      </c>
      <c r="AC833" s="2">
        <f>IFERROR(I833/D833,"")</f>
        <v/>
      </c>
      <c r="AD833" s="2">
        <f>IFERROR(J833/E833,"")</f>
        <v/>
      </c>
      <c r="AE833" s="2">
        <f>IFERROR(K833/F833,"")</f>
        <v/>
      </c>
      <c r="AF833" s="2">
        <f>IFERROR(L833/B833,"")</f>
        <v/>
      </c>
      <c r="AG833" s="2">
        <f>IFERROR(M833/C833,"")</f>
        <v/>
      </c>
      <c r="AH833" s="2">
        <f>IFERROR(N833/D833,"")</f>
        <v/>
      </c>
      <c r="AI833" s="2">
        <f>IFERROR(O833/E833,"")</f>
        <v/>
      </c>
      <c r="AJ833" s="2">
        <f>IFERROR(P833/F833,"")</f>
        <v/>
      </c>
      <c r="AK833" s="2">
        <f>IFERROR(Q833/B833,"")</f>
        <v/>
      </c>
      <c r="AL833" s="2">
        <f>IFERROR(R833/C833,"")</f>
        <v/>
      </c>
      <c r="AM833" s="2">
        <f>IFERROR(S833/D833,"")</f>
        <v/>
      </c>
      <c r="AN833" s="2">
        <f>IFERROR(T833/E833,"")</f>
        <v/>
      </c>
      <c r="AO833" s="2">
        <f>IFERROR(U833/F833,"")</f>
        <v/>
      </c>
    </row>
    <row r="834">
      <c r="B834">
        <f>IF($A834="","",IFERROR(INDEX('[AQ_2020.xlsx]原始数据'!$B:$B,MATCH($A834,'[AQ_2020.xlsx]原始数据'!$A:$A,0)),""))</f>
        <v/>
      </c>
      <c r="C834">
        <f>IF($A834="","",IFERROR(INDEX('[AQ_2021.xlsx]原始数据'!$B:$B,MATCH($A834,'[AQ_2021.xlsx]原始数据'!$A:$A,0)),""))</f>
        <v/>
      </c>
      <c r="D834">
        <f>IF($A834="","",IFERROR(INDEX('[AQ_2022.xlsx]原始数据'!$B:$B,MATCH($A834,'[AQ_2022.xlsx]原始数据'!$A:$A,0)),""))</f>
        <v/>
      </c>
      <c r="E834">
        <f>IF($A834="","",IFERROR(INDEX('[AQ_2023.xlsx]原始数据'!$B:$B,MATCH($A834,'[AQ_2023.xlsx]原始数据'!$A:$A,0)),""))</f>
        <v/>
      </c>
      <c r="F834">
        <f>IF($A834="","",IFERROR(INDEX('[AQ_2024.xlsx]原始数据'!$B:$B,MATCH($A834,'[AQ_2024.xlsx]原始数据'!$A:$A,0)),""))</f>
        <v/>
      </c>
      <c r="G834">
        <f>IF($A834="","",IFERROR(INDEX('[AQ_2020.xlsx]原始数据'!$C:$C,MATCH($A834,'[AQ_2020.xlsx]原始数据'!$A:$A,0)),""))</f>
        <v/>
      </c>
      <c r="H834">
        <f>IF($A834="","",IFERROR(INDEX('[AQ_2021.xlsx]原始数据'!$C:$C,MATCH($A834,'[AQ_2021.xlsx]原始数据'!$A:$A,0)),""))</f>
        <v/>
      </c>
      <c r="I834">
        <f>IF($A834="","",IFERROR(INDEX('[AQ_2022.xlsx]原始数据'!$C:$C,MATCH($A834,'[AQ_2022.xlsx]原始数据'!$A:$A,0)),""))</f>
        <v/>
      </c>
      <c r="J834">
        <f>IF($A834="","",IFERROR(INDEX('[AQ_2023.xlsx]原始数据'!$C:$C,MATCH($A834,'[AQ_2023.xlsx]原始数据'!$A:$A,0)),""))</f>
        <v/>
      </c>
      <c r="K834">
        <f>IF($A834="","",IFERROR(INDEX('[AQ_2024.xlsx]原始数据'!$C:$C,MATCH($A834,'[AQ_2024.xlsx]原始数据'!$A:$A,0)),""))</f>
        <v/>
      </c>
      <c r="L834">
        <f>IF($A834="","",IFERROR(INDEX('[AQ_2020.xlsx]原始数据'!$D:$D,MATCH($A834,'[AQ_2020.xlsx]原始数据'!$A:$A,0)),""))</f>
        <v/>
      </c>
      <c r="M834">
        <f>IF($A834="","",IFERROR(INDEX('[AQ_2021.xlsx]原始数据'!$D:$D,MATCH($A834,'[AQ_2021.xlsx]原始数据'!$A:$A,0)),""))</f>
        <v/>
      </c>
      <c r="N834">
        <f>IF($A834="","",IFERROR(INDEX('[AQ_2022.xlsx]原始数据'!$D:$D,MATCH($A834,'[AQ_2022.xlsx]原始数据'!$A:$A,0)),""))</f>
        <v/>
      </c>
      <c r="O834">
        <f>IF($A834="","",IFERROR(INDEX('[AQ_2023.xlsx]原始数据'!$D:$D,MATCH($A834,'[AQ_2023.xlsx]原始数据'!$A:$A,0)),""))</f>
        <v/>
      </c>
      <c r="P834">
        <f>IF($A834="","",IFERROR(INDEX('[AQ_2024.xlsx]原始数据'!$D:$D,MATCH($A834,'[AQ_2024.xlsx]原始数据'!$A:$A,0)),""))</f>
        <v/>
      </c>
      <c r="Q834">
        <f>IF($A834="","",IFERROR(INDEX('[AQ_2020.xlsx]原始数据'!$E:$E,MATCH($A834,'[AQ_2020.xlsx]原始数据'!$A:$A,0)),""))</f>
        <v/>
      </c>
      <c r="R834">
        <f>IF($A834="","",IFERROR(INDEX('[AQ_2021.xlsx]原始数据'!$E:$E,MATCH($A834,'[AQ_2021.xlsx]原始数据'!$A:$A,0)),""))</f>
        <v/>
      </c>
      <c r="S834">
        <f>IF($A834="","",IFERROR(INDEX('[AQ_2022.xlsx]原始数据'!$E:$E,MATCH($A834,'[AQ_2022.xlsx]原始数据'!$A:$A,0)),""))</f>
        <v/>
      </c>
      <c r="T834">
        <f>IF($A834="","",IFERROR(INDEX('[AQ_2023.xlsx]原始数据'!$E:$E,MATCH($A834,'[AQ_2023.xlsx]原始数据'!$A:$A,0)),""))</f>
        <v/>
      </c>
      <c r="U834">
        <f>IF($A834="","",IFERROR(INDEX('[AQ_2024.xlsx]原始数据'!$E:$E,MATCH($A834,'[AQ_2024.xlsx]原始数据'!$A:$A,0)),""))</f>
        <v/>
      </c>
      <c r="V834">
        <f>IF($A834="","",IFERROR(INDEX('[AQ_2020.xlsx]原始数据'!$F:$F,MATCH($A834,'[AQ_2020.xlsx]原始数据'!$A:$A,0)),""))</f>
        <v/>
      </c>
      <c r="W834">
        <f>IF($A834="","",IFERROR(INDEX('[AQ_2021.xlsx]原始数据'!$F:$F,MATCH($A834,'[AQ_2021.xlsx]原始数据'!$A:$A,0)),""))</f>
        <v/>
      </c>
      <c r="X834">
        <f>IF($A834="","",IFERROR(INDEX('[AQ_2022.xlsx]原始数据'!$F:$F,MATCH($A834,'[AQ_2022.xlsx]原始数据'!$A:$A,0)),""))</f>
        <v/>
      </c>
      <c r="Y834">
        <f>IF($A834="","",IFERROR(INDEX('[AQ_2023.xlsx]原始数据'!$F:$F,MATCH($A834,'[AQ_2023.xlsx]原始数据'!$A:$A,0)),""))</f>
        <v/>
      </c>
      <c r="Z834">
        <f>IF($A834="","",IFERROR(INDEX('[AQ_2024.xlsx]原始数据'!$F:$F,MATCH($A834,'[AQ_2024.xlsx]原始数据'!$A:$A,0)),""))</f>
        <v/>
      </c>
      <c r="AA834" s="2">
        <f>IFERROR(G834/B834,"")</f>
        <v/>
      </c>
      <c r="AB834" s="2">
        <f>IFERROR(H834/C834,"")</f>
        <v/>
      </c>
      <c r="AC834" s="2">
        <f>IFERROR(I834/D834,"")</f>
        <v/>
      </c>
      <c r="AD834" s="2">
        <f>IFERROR(J834/E834,"")</f>
        <v/>
      </c>
      <c r="AE834" s="2">
        <f>IFERROR(K834/F834,"")</f>
        <v/>
      </c>
      <c r="AF834" s="2">
        <f>IFERROR(L834/B834,"")</f>
        <v/>
      </c>
      <c r="AG834" s="2">
        <f>IFERROR(M834/C834,"")</f>
        <v/>
      </c>
      <c r="AH834" s="2">
        <f>IFERROR(N834/D834,"")</f>
        <v/>
      </c>
      <c r="AI834" s="2">
        <f>IFERROR(O834/E834,"")</f>
        <v/>
      </c>
      <c r="AJ834" s="2">
        <f>IFERROR(P834/F834,"")</f>
        <v/>
      </c>
      <c r="AK834" s="2">
        <f>IFERROR(Q834/B834,"")</f>
        <v/>
      </c>
      <c r="AL834" s="2">
        <f>IFERROR(R834/C834,"")</f>
        <v/>
      </c>
      <c r="AM834" s="2">
        <f>IFERROR(S834/D834,"")</f>
        <v/>
      </c>
      <c r="AN834" s="2">
        <f>IFERROR(T834/E834,"")</f>
        <v/>
      </c>
      <c r="AO834" s="2">
        <f>IFERROR(U834/F834,"")</f>
        <v/>
      </c>
    </row>
    <row r="835">
      <c r="B835">
        <f>IF($A835="","",IFERROR(INDEX('[AQ_2020.xlsx]原始数据'!$B:$B,MATCH($A835,'[AQ_2020.xlsx]原始数据'!$A:$A,0)),""))</f>
        <v/>
      </c>
      <c r="C835">
        <f>IF($A835="","",IFERROR(INDEX('[AQ_2021.xlsx]原始数据'!$B:$B,MATCH($A835,'[AQ_2021.xlsx]原始数据'!$A:$A,0)),""))</f>
        <v/>
      </c>
      <c r="D835">
        <f>IF($A835="","",IFERROR(INDEX('[AQ_2022.xlsx]原始数据'!$B:$B,MATCH($A835,'[AQ_2022.xlsx]原始数据'!$A:$A,0)),""))</f>
        <v/>
      </c>
      <c r="E835">
        <f>IF($A835="","",IFERROR(INDEX('[AQ_2023.xlsx]原始数据'!$B:$B,MATCH($A835,'[AQ_2023.xlsx]原始数据'!$A:$A,0)),""))</f>
        <v/>
      </c>
      <c r="F835">
        <f>IF($A835="","",IFERROR(INDEX('[AQ_2024.xlsx]原始数据'!$B:$B,MATCH($A835,'[AQ_2024.xlsx]原始数据'!$A:$A,0)),""))</f>
        <v/>
      </c>
      <c r="G835">
        <f>IF($A835="","",IFERROR(INDEX('[AQ_2020.xlsx]原始数据'!$C:$C,MATCH($A835,'[AQ_2020.xlsx]原始数据'!$A:$A,0)),""))</f>
        <v/>
      </c>
      <c r="H835">
        <f>IF($A835="","",IFERROR(INDEX('[AQ_2021.xlsx]原始数据'!$C:$C,MATCH($A835,'[AQ_2021.xlsx]原始数据'!$A:$A,0)),""))</f>
        <v/>
      </c>
      <c r="I835">
        <f>IF($A835="","",IFERROR(INDEX('[AQ_2022.xlsx]原始数据'!$C:$C,MATCH($A835,'[AQ_2022.xlsx]原始数据'!$A:$A,0)),""))</f>
        <v/>
      </c>
      <c r="J835">
        <f>IF($A835="","",IFERROR(INDEX('[AQ_2023.xlsx]原始数据'!$C:$C,MATCH($A835,'[AQ_2023.xlsx]原始数据'!$A:$A,0)),""))</f>
        <v/>
      </c>
      <c r="K835">
        <f>IF($A835="","",IFERROR(INDEX('[AQ_2024.xlsx]原始数据'!$C:$C,MATCH($A835,'[AQ_2024.xlsx]原始数据'!$A:$A,0)),""))</f>
        <v/>
      </c>
      <c r="L835">
        <f>IF($A835="","",IFERROR(INDEX('[AQ_2020.xlsx]原始数据'!$D:$D,MATCH($A835,'[AQ_2020.xlsx]原始数据'!$A:$A,0)),""))</f>
        <v/>
      </c>
      <c r="M835">
        <f>IF($A835="","",IFERROR(INDEX('[AQ_2021.xlsx]原始数据'!$D:$D,MATCH($A835,'[AQ_2021.xlsx]原始数据'!$A:$A,0)),""))</f>
        <v/>
      </c>
      <c r="N835">
        <f>IF($A835="","",IFERROR(INDEX('[AQ_2022.xlsx]原始数据'!$D:$D,MATCH($A835,'[AQ_2022.xlsx]原始数据'!$A:$A,0)),""))</f>
        <v/>
      </c>
      <c r="O835">
        <f>IF($A835="","",IFERROR(INDEX('[AQ_2023.xlsx]原始数据'!$D:$D,MATCH($A835,'[AQ_2023.xlsx]原始数据'!$A:$A,0)),""))</f>
        <v/>
      </c>
      <c r="P835">
        <f>IF($A835="","",IFERROR(INDEX('[AQ_2024.xlsx]原始数据'!$D:$D,MATCH($A835,'[AQ_2024.xlsx]原始数据'!$A:$A,0)),""))</f>
        <v/>
      </c>
      <c r="Q835">
        <f>IF($A835="","",IFERROR(INDEX('[AQ_2020.xlsx]原始数据'!$E:$E,MATCH($A835,'[AQ_2020.xlsx]原始数据'!$A:$A,0)),""))</f>
        <v/>
      </c>
      <c r="R835">
        <f>IF($A835="","",IFERROR(INDEX('[AQ_2021.xlsx]原始数据'!$E:$E,MATCH($A835,'[AQ_2021.xlsx]原始数据'!$A:$A,0)),""))</f>
        <v/>
      </c>
      <c r="S835">
        <f>IF($A835="","",IFERROR(INDEX('[AQ_2022.xlsx]原始数据'!$E:$E,MATCH($A835,'[AQ_2022.xlsx]原始数据'!$A:$A,0)),""))</f>
        <v/>
      </c>
      <c r="T835">
        <f>IF($A835="","",IFERROR(INDEX('[AQ_2023.xlsx]原始数据'!$E:$E,MATCH($A835,'[AQ_2023.xlsx]原始数据'!$A:$A,0)),""))</f>
        <v/>
      </c>
      <c r="U835">
        <f>IF($A835="","",IFERROR(INDEX('[AQ_2024.xlsx]原始数据'!$E:$E,MATCH($A835,'[AQ_2024.xlsx]原始数据'!$A:$A,0)),""))</f>
        <v/>
      </c>
      <c r="V835">
        <f>IF($A835="","",IFERROR(INDEX('[AQ_2020.xlsx]原始数据'!$F:$F,MATCH($A835,'[AQ_2020.xlsx]原始数据'!$A:$A,0)),""))</f>
        <v/>
      </c>
      <c r="W835">
        <f>IF($A835="","",IFERROR(INDEX('[AQ_2021.xlsx]原始数据'!$F:$F,MATCH($A835,'[AQ_2021.xlsx]原始数据'!$A:$A,0)),""))</f>
        <v/>
      </c>
      <c r="X835">
        <f>IF($A835="","",IFERROR(INDEX('[AQ_2022.xlsx]原始数据'!$F:$F,MATCH($A835,'[AQ_2022.xlsx]原始数据'!$A:$A,0)),""))</f>
        <v/>
      </c>
      <c r="Y835">
        <f>IF($A835="","",IFERROR(INDEX('[AQ_2023.xlsx]原始数据'!$F:$F,MATCH($A835,'[AQ_2023.xlsx]原始数据'!$A:$A,0)),""))</f>
        <v/>
      </c>
      <c r="Z835">
        <f>IF($A835="","",IFERROR(INDEX('[AQ_2024.xlsx]原始数据'!$F:$F,MATCH($A835,'[AQ_2024.xlsx]原始数据'!$A:$A,0)),""))</f>
        <v/>
      </c>
      <c r="AA835" s="2">
        <f>IFERROR(G835/B835,"")</f>
        <v/>
      </c>
      <c r="AB835" s="2">
        <f>IFERROR(H835/C835,"")</f>
        <v/>
      </c>
      <c r="AC835" s="2">
        <f>IFERROR(I835/D835,"")</f>
        <v/>
      </c>
      <c r="AD835" s="2">
        <f>IFERROR(J835/E835,"")</f>
        <v/>
      </c>
      <c r="AE835" s="2">
        <f>IFERROR(K835/F835,"")</f>
        <v/>
      </c>
      <c r="AF835" s="2">
        <f>IFERROR(L835/B835,"")</f>
        <v/>
      </c>
      <c r="AG835" s="2">
        <f>IFERROR(M835/C835,"")</f>
        <v/>
      </c>
      <c r="AH835" s="2">
        <f>IFERROR(N835/D835,"")</f>
        <v/>
      </c>
      <c r="AI835" s="2">
        <f>IFERROR(O835/E835,"")</f>
        <v/>
      </c>
      <c r="AJ835" s="2">
        <f>IFERROR(P835/F835,"")</f>
        <v/>
      </c>
      <c r="AK835" s="2">
        <f>IFERROR(Q835/B835,"")</f>
        <v/>
      </c>
      <c r="AL835" s="2">
        <f>IFERROR(R835/C835,"")</f>
        <v/>
      </c>
      <c r="AM835" s="2">
        <f>IFERROR(S835/D835,"")</f>
        <v/>
      </c>
      <c r="AN835" s="2">
        <f>IFERROR(T835/E835,"")</f>
        <v/>
      </c>
      <c r="AO835" s="2">
        <f>IFERROR(U835/F835,"")</f>
        <v/>
      </c>
    </row>
    <row r="836">
      <c r="B836">
        <f>IF($A836="","",IFERROR(INDEX('[AQ_2020.xlsx]原始数据'!$B:$B,MATCH($A836,'[AQ_2020.xlsx]原始数据'!$A:$A,0)),""))</f>
        <v/>
      </c>
      <c r="C836">
        <f>IF($A836="","",IFERROR(INDEX('[AQ_2021.xlsx]原始数据'!$B:$B,MATCH($A836,'[AQ_2021.xlsx]原始数据'!$A:$A,0)),""))</f>
        <v/>
      </c>
      <c r="D836">
        <f>IF($A836="","",IFERROR(INDEX('[AQ_2022.xlsx]原始数据'!$B:$B,MATCH($A836,'[AQ_2022.xlsx]原始数据'!$A:$A,0)),""))</f>
        <v/>
      </c>
      <c r="E836">
        <f>IF($A836="","",IFERROR(INDEX('[AQ_2023.xlsx]原始数据'!$B:$B,MATCH($A836,'[AQ_2023.xlsx]原始数据'!$A:$A,0)),""))</f>
        <v/>
      </c>
      <c r="F836">
        <f>IF($A836="","",IFERROR(INDEX('[AQ_2024.xlsx]原始数据'!$B:$B,MATCH($A836,'[AQ_2024.xlsx]原始数据'!$A:$A,0)),""))</f>
        <v/>
      </c>
      <c r="G836">
        <f>IF($A836="","",IFERROR(INDEX('[AQ_2020.xlsx]原始数据'!$C:$C,MATCH($A836,'[AQ_2020.xlsx]原始数据'!$A:$A,0)),""))</f>
        <v/>
      </c>
      <c r="H836">
        <f>IF($A836="","",IFERROR(INDEX('[AQ_2021.xlsx]原始数据'!$C:$C,MATCH($A836,'[AQ_2021.xlsx]原始数据'!$A:$A,0)),""))</f>
        <v/>
      </c>
      <c r="I836">
        <f>IF($A836="","",IFERROR(INDEX('[AQ_2022.xlsx]原始数据'!$C:$C,MATCH($A836,'[AQ_2022.xlsx]原始数据'!$A:$A,0)),""))</f>
        <v/>
      </c>
      <c r="J836">
        <f>IF($A836="","",IFERROR(INDEX('[AQ_2023.xlsx]原始数据'!$C:$C,MATCH($A836,'[AQ_2023.xlsx]原始数据'!$A:$A,0)),""))</f>
        <v/>
      </c>
      <c r="K836">
        <f>IF($A836="","",IFERROR(INDEX('[AQ_2024.xlsx]原始数据'!$C:$C,MATCH($A836,'[AQ_2024.xlsx]原始数据'!$A:$A,0)),""))</f>
        <v/>
      </c>
      <c r="L836">
        <f>IF($A836="","",IFERROR(INDEX('[AQ_2020.xlsx]原始数据'!$D:$D,MATCH($A836,'[AQ_2020.xlsx]原始数据'!$A:$A,0)),""))</f>
        <v/>
      </c>
      <c r="M836">
        <f>IF($A836="","",IFERROR(INDEX('[AQ_2021.xlsx]原始数据'!$D:$D,MATCH($A836,'[AQ_2021.xlsx]原始数据'!$A:$A,0)),""))</f>
        <v/>
      </c>
      <c r="N836">
        <f>IF($A836="","",IFERROR(INDEX('[AQ_2022.xlsx]原始数据'!$D:$D,MATCH($A836,'[AQ_2022.xlsx]原始数据'!$A:$A,0)),""))</f>
        <v/>
      </c>
      <c r="O836">
        <f>IF($A836="","",IFERROR(INDEX('[AQ_2023.xlsx]原始数据'!$D:$D,MATCH($A836,'[AQ_2023.xlsx]原始数据'!$A:$A,0)),""))</f>
        <v/>
      </c>
      <c r="P836">
        <f>IF($A836="","",IFERROR(INDEX('[AQ_2024.xlsx]原始数据'!$D:$D,MATCH($A836,'[AQ_2024.xlsx]原始数据'!$A:$A,0)),""))</f>
        <v/>
      </c>
      <c r="Q836">
        <f>IF($A836="","",IFERROR(INDEX('[AQ_2020.xlsx]原始数据'!$E:$E,MATCH($A836,'[AQ_2020.xlsx]原始数据'!$A:$A,0)),""))</f>
        <v/>
      </c>
      <c r="R836">
        <f>IF($A836="","",IFERROR(INDEX('[AQ_2021.xlsx]原始数据'!$E:$E,MATCH($A836,'[AQ_2021.xlsx]原始数据'!$A:$A,0)),""))</f>
        <v/>
      </c>
      <c r="S836">
        <f>IF($A836="","",IFERROR(INDEX('[AQ_2022.xlsx]原始数据'!$E:$E,MATCH($A836,'[AQ_2022.xlsx]原始数据'!$A:$A,0)),""))</f>
        <v/>
      </c>
      <c r="T836">
        <f>IF($A836="","",IFERROR(INDEX('[AQ_2023.xlsx]原始数据'!$E:$E,MATCH($A836,'[AQ_2023.xlsx]原始数据'!$A:$A,0)),""))</f>
        <v/>
      </c>
      <c r="U836">
        <f>IF($A836="","",IFERROR(INDEX('[AQ_2024.xlsx]原始数据'!$E:$E,MATCH($A836,'[AQ_2024.xlsx]原始数据'!$A:$A,0)),""))</f>
        <v/>
      </c>
      <c r="V836">
        <f>IF($A836="","",IFERROR(INDEX('[AQ_2020.xlsx]原始数据'!$F:$F,MATCH($A836,'[AQ_2020.xlsx]原始数据'!$A:$A,0)),""))</f>
        <v/>
      </c>
      <c r="W836">
        <f>IF($A836="","",IFERROR(INDEX('[AQ_2021.xlsx]原始数据'!$F:$F,MATCH($A836,'[AQ_2021.xlsx]原始数据'!$A:$A,0)),""))</f>
        <v/>
      </c>
      <c r="X836">
        <f>IF($A836="","",IFERROR(INDEX('[AQ_2022.xlsx]原始数据'!$F:$F,MATCH($A836,'[AQ_2022.xlsx]原始数据'!$A:$A,0)),""))</f>
        <v/>
      </c>
      <c r="Y836">
        <f>IF($A836="","",IFERROR(INDEX('[AQ_2023.xlsx]原始数据'!$F:$F,MATCH($A836,'[AQ_2023.xlsx]原始数据'!$A:$A,0)),""))</f>
        <v/>
      </c>
      <c r="Z836">
        <f>IF($A836="","",IFERROR(INDEX('[AQ_2024.xlsx]原始数据'!$F:$F,MATCH($A836,'[AQ_2024.xlsx]原始数据'!$A:$A,0)),""))</f>
        <v/>
      </c>
      <c r="AA836" s="2">
        <f>IFERROR(G836/B836,"")</f>
        <v/>
      </c>
      <c r="AB836" s="2">
        <f>IFERROR(H836/C836,"")</f>
        <v/>
      </c>
      <c r="AC836" s="2">
        <f>IFERROR(I836/D836,"")</f>
        <v/>
      </c>
      <c r="AD836" s="2">
        <f>IFERROR(J836/E836,"")</f>
        <v/>
      </c>
      <c r="AE836" s="2">
        <f>IFERROR(K836/F836,"")</f>
        <v/>
      </c>
      <c r="AF836" s="2">
        <f>IFERROR(L836/B836,"")</f>
        <v/>
      </c>
      <c r="AG836" s="2">
        <f>IFERROR(M836/C836,"")</f>
        <v/>
      </c>
      <c r="AH836" s="2">
        <f>IFERROR(N836/D836,"")</f>
        <v/>
      </c>
      <c r="AI836" s="2">
        <f>IFERROR(O836/E836,"")</f>
        <v/>
      </c>
      <c r="AJ836" s="2">
        <f>IFERROR(P836/F836,"")</f>
        <v/>
      </c>
      <c r="AK836" s="2">
        <f>IFERROR(Q836/B836,"")</f>
        <v/>
      </c>
      <c r="AL836" s="2">
        <f>IFERROR(R836/C836,"")</f>
        <v/>
      </c>
      <c r="AM836" s="2">
        <f>IFERROR(S836/D836,"")</f>
        <v/>
      </c>
      <c r="AN836" s="2">
        <f>IFERROR(T836/E836,"")</f>
        <v/>
      </c>
      <c r="AO836" s="2">
        <f>IFERROR(U836/F836,"")</f>
        <v/>
      </c>
    </row>
    <row r="837">
      <c r="B837">
        <f>IF($A837="","",IFERROR(INDEX('[AQ_2020.xlsx]原始数据'!$B:$B,MATCH($A837,'[AQ_2020.xlsx]原始数据'!$A:$A,0)),""))</f>
        <v/>
      </c>
      <c r="C837">
        <f>IF($A837="","",IFERROR(INDEX('[AQ_2021.xlsx]原始数据'!$B:$B,MATCH($A837,'[AQ_2021.xlsx]原始数据'!$A:$A,0)),""))</f>
        <v/>
      </c>
      <c r="D837">
        <f>IF($A837="","",IFERROR(INDEX('[AQ_2022.xlsx]原始数据'!$B:$B,MATCH($A837,'[AQ_2022.xlsx]原始数据'!$A:$A,0)),""))</f>
        <v/>
      </c>
      <c r="E837">
        <f>IF($A837="","",IFERROR(INDEX('[AQ_2023.xlsx]原始数据'!$B:$B,MATCH($A837,'[AQ_2023.xlsx]原始数据'!$A:$A,0)),""))</f>
        <v/>
      </c>
      <c r="F837">
        <f>IF($A837="","",IFERROR(INDEX('[AQ_2024.xlsx]原始数据'!$B:$B,MATCH($A837,'[AQ_2024.xlsx]原始数据'!$A:$A,0)),""))</f>
        <v/>
      </c>
      <c r="G837">
        <f>IF($A837="","",IFERROR(INDEX('[AQ_2020.xlsx]原始数据'!$C:$C,MATCH($A837,'[AQ_2020.xlsx]原始数据'!$A:$A,0)),""))</f>
        <v/>
      </c>
      <c r="H837">
        <f>IF($A837="","",IFERROR(INDEX('[AQ_2021.xlsx]原始数据'!$C:$C,MATCH($A837,'[AQ_2021.xlsx]原始数据'!$A:$A,0)),""))</f>
        <v/>
      </c>
      <c r="I837">
        <f>IF($A837="","",IFERROR(INDEX('[AQ_2022.xlsx]原始数据'!$C:$C,MATCH($A837,'[AQ_2022.xlsx]原始数据'!$A:$A,0)),""))</f>
        <v/>
      </c>
      <c r="J837">
        <f>IF($A837="","",IFERROR(INDEX('[AQ_2023.xlsx]原始数据'!$C:$C,MATCH($A837,'[AQ_2023.xlsx]原始数据'!$A:$A,0)),""))</f>
        <v/>
      </c>
      <c r="K837">
        <f>IF($A837="","",IFERROR(INDEX('[AQ_2024.xlsx]原始数据'!$C:$C,MATCH($A837,'[AQ_2024.xlsx]原始数据'!$A:$A,0)),""))</f>
        <v/>
      </c>
      <c r="L837">
        <f>IF($A837="","",IFERROR(INDEX('[AQ_2020.xlsx]原始数据'!$D:$D,MATCH($A837,'[AQ_2020.xlsx]原始数据'!$A:$A,0)),""))</f>
        <v/>
      </c>
      <c r="M837">
        <f>IF($A837="","",IFERROR(INDEX('[AQ_2021.xlsx]原始数据'!$D:$D,MATCH($A837,'[AQ_2021.xlsx]原始数据'!$A:$A,0)),""))</f>
        <v/>
      </c>
      <c r="N837">
        <f>IF($A837="","",IFERROR(INDEX('[AQ_2022.xlsx]原始数据'!$D:$D,MATCH($A837,'[AQ_2022.xlsx]原始数据'!$A:$A,0)),""))</f>
        <v/>
      </c>
      <c r="O837">
        <f>IF($A837="","",IFERROR(INDEX('[AQ_2023.xlsx]原始数据'!$D:$D,MATCH($A837,'[AQ_2023.xlsx]原始数据'!$A:$A,0)),""))</f>
        <v/>
      </c>
      <c r="P837">
        <f>IF($A837="","",IFERROR(INDEX('[AQ_2024.xlsx]原始数据'!$D:$D,MATCH($A837,'[AQ_2024.xlsx]原始数据'!$A:$A,0)),""))</f>
        <v/>
      </c>
      <c r="Q837">
        <f>IF($A837="","",IFERROR(INDEX('[AQ_2020.xlsx]原始数据'!$E:$E,MATCH($A837,'[AQ_2020.xlsx]原始数据'!$A:$A,0)),""))</f>
        <v/>
      </c>
      <c r="R837">
        <f>IF($A837="","",IFERROR(INDEX('[AQ_2021.xlsx]原始数据'!$E:$E,MATCH($A837,'[AQ_2021.xlsx]原始数据'!$A:$A,0)),""))</f>
        <v/>
      </c>
      <c r="S837">
        <f>IF($A837="","",IFERROR(INDEX('[AQ_2022.xlsx]原始数据'!$E:$E,MATCH($A837,'[AQ_2022.xlsx]原始数据'!$A:$A,0)),""))</f>
        <v/>
      </c>
      <c r="T837">
        <f>IF($A837="","",IFERROR(INDEX('[AQ_2023.xlsx]原始数据'!$E:$E,MATCH($A837,'[AQ_2023.xlsx]原始数据'!$A:$A,0)),""))</f>
        <v/>
      </c>
      <c r="U837">
        <f>IF($A837="","",IFERROR(INDEX('[AQ_2024.xlsx]原始数据'!$E:$E,MATCH($A837,'[AQ_2024.xlsx]原始数据'!$A:$A,0)),""))</f>
        <v/>
      </c>
      <c r="V837">
        <f>IF($A837="","",IFERROR(INDEX('[AQ_2020.xlsx]原始数据'!$F:$F,MATCH($A837,'[AQ_2020.xlsx]原始数据'!$A:$A,0)),""))</f>
        <v/>
      </c>
      <c r="W837">
        <f>IF($A837="","",IFERROR(INDEX('[AQ_2021.xlsx]原始数据'!$F:$F,MATCH($A837,'[AQ_2021.xlsx]原始数据'!$A:$A,0)),""))</f>
        <v/>
      </c>
      <c r="X837">
        <f>IF($A837="","",IFERROR(INDEX('[AQ_2022.xlsx]原始数据'!$F:$F,MATCH($A837,'[AQ_2022.xlsx]原始数据'!$A:$A,0)),""))</f>
        <v/>
      </c>
      <c r="Y837">
        <f>IF($A837="","",IFERROR(INDEX('[AQ_2023.xlsx]原始数据'!$F:$F,MATCH($A837,'[AQ_2023.xlsx]原始数据'!$A:$A,0)),""))</f>
        <v/>
      </c>
      <c r="Z837">
        <f>IF($A837="","",IFERROR(INDEX('[AQ_2024.xlsx]原始数据'!$F:$F,MATCH($A837,'[AQ_2024.xlsx]原始数据'!$A:$A,0)),""))</f>
        <v/>
      </c>
      <c r="AA837" s="2">
        <f>IFERROR(G837/B837,"")</f>
        <v/>
      </c>
      <c r="AB837" s="2">
        <f>IFERROR(H837/C837,"")</f>
        <v/>
      </c>
      <c r="AC837" s="2">
        <f>IFERROR(I837/D837,"")</f>
        <v/>
      </c>
      <c r="AD837" s="2">
        <f>IFERROR(J837/E837,"")</f>
        <v/>
      </c>
      <c r="AE837" s="2">
        <f>IFERROR(K837/F837,"")</f>
        <v/>
      </c>
      <c r="AF837" s="2">
        <f>IFERROR(L837/B837,"")</f>
        <v/>
      </c>
      <c r="AG837" s="2">
        <f>IFERROR(M837/C837,"")</f>
        <v/>
      </c>
      <c r="AH837" s="2">
        <f>IFERROR(N837/D837,"")</f>
        <v/>
      </c>
      <c r="AI837" s="2">
        <f>IFERROR(O837/E837,"")</f>
        <v/>
      </c>
      <c r="AJ837" s="2">
        <f>IFERROR(P837/F837,"")</f>
        <v/>
      </c>
      <c r="AK837" s="2">
        <f>IFERROR(Q837/B837,"")</f>
        <v/>
      </c>
      <c r="AL837" s="2">
        <f>IFERROR(R837/C837,"")</f>
        <v/>
      </c>
      <c r="AM837" s="2">
        <f>IFERROR(S837/D837,"")</f>
        <v/>
      </c>
      <c r="AN837" s="2">
        <f>IFERROR(T837/E837,"")</f>
        <v/>
      </c>
      <c r="AO837" s="2">
        <f>IFERROR(U837/F837,"")</f>
        <v/>
      </c>
    </row>
    <row r="838">
      <c r="B838">
        <f>IF($A838="","",IFERROR(INDEX('[AQ_2020.xlsx]原始数据'!$B:$B,MATCH($A838,'[AQ_2020.xlsx]原始数据'!$A:$A,0)),""))</f>
        <v/>
      </c>
      <c r="C838">
        <f>IF($A838="","",IFERROR(INDEX('[AQ_2021.xlsx]原始数据'!$B:$B,MATCH($A838,'[AQ_2021.xlsx]原始数据'!$A:$A,0)),""))</f>
        <v/>
      </c>
      <c r="D838">
        <f>IF($A838="","",IFERROR(INDEX('[AQ_2022.xlsx]原始数据'!$B:$B,MATCH($A838,'[AQ_2022.xlsx]原始数据'!$A:$A,0)),""))</f>
        <v/>
      </c>
      <c r="E838">
        <f>IF($A838="","",IFERROR(INDEX('[AQ_2023.xlsx]原始数据'!$B:$B,MATCH($A838,'[AQ_2023.xlsx]原始数据'!$A:$A,0)),""))</f>
        <v/>
      </c>
      <c r="F838">
        <f>IF($A838="","",IFERROR(INDEX('[AQ_2024.xlsx]原始数据'!$B:$B,MATCH($A838,'[AQ_2024.xlsx]原始数据'!$A:$A,0)),""))</f>
        <v/>
      </c>
      <c r="G838">
        <f>IF($A838="","",IFERROR(INDEX('[AQ_2020.xlsx]原始数据'!$C:$C,MATCH($A838,'[AQ_2020.xlsx]原始数据'!$A:$A,0)),""))</f>
        <v/>
      </c>
      <c r="H838">
        <f>IF($A838="","",IFERROR(INDEX('[AQ_2021.xlsx]原始数据'!$C:$C,MATCH($A838,'[AQ_2021.xlsx]原始数据'!$A:$A,0)),""))</f>
        <v/>
      </c>
      <c r="I838">
        <f>IF($A838="","",IFERROR(INDEX('[AQ_2022.xlsx]原始数据'!$C:$C,MATCH($A838,'[AQ_2022.xlsx]原始数据'!$A:$A,0)),""))</f>
        <v/>
      </c>
      <c r="J838">
        <f>IF($A838="","",IFERROR(INDEX('[AQ_2023.xlsx]原始数据'!$C:$C,MATCH($A838,'[AQ_2023.xlsx]原始数据'!$A:$A,0)),""))</f>
        <v/>
      </c>
      <c r="K838">
        <f>IF($A838="","",IFERROR(INDEX('[AQ_2024.xlsx]原始数据'!$C:$C,MATCH($A838,'[AQ_2024.xlsx]原始数据'!$A:$A,0)),""))</f>
        <v/>
      </c>
      <c r="L838">
        <f>IF($A838="","",IFERROR(INDEX('[AQ_2020.xlsx]原始数据'!$D:$D,MATCH($A838,'[AQ_2020.xlsx]原始数据'!$A:$A,0)),""))</f>
        <v/>
      </c>
      <c r="M838">
        <f>IF($A838="","",IFERROR(INDEX('[AQ_2021.xlsx]原始数据'!$D:$D,MATCH($A838,'[AQ_2021.xlsx]原始数据'!$A:$A,0)),""))</f>
        <v/>
      </c>
      <c r="N838">
        <f>IF($A838="","",IFERROR(INDEX('[AQ_2022.xlsx]原始数据'!$D:$D,MATCH($A838,'[AQ_2022.xlsx]原始数据'!$A:$A,0)),""))</f>
        <v/>
      </c>
      <c r="O838">
        <f>IF($A838="","",IFERROR(INDEX('[AQ_2023.xlsx]原始数据'!$D:$D,MATCH($A838,'[AQ_2023.xlsx]原始数据'!$A:$A,0)),""))</f>
        <v/>
      </c>
      <c r="P838">
        <f>IF($A838="","",IFERROR(INDEX('[AQ_2024.xlsx]原始数据'!$D:$D,MATCH($A838,'[AQ_2024.xlsx]原始数据'!$A:$A,0)),""))</f>
        <v/>
      </c>
      <c r="Q838">
        <f>IF($A838="","",IFERROR(INDEX('[AQ_2020.xlsx]原始数据'!$E:$E,MATCH($A838,'[AQ_2020.xlsx]原始数据'!$A:$A,0)),""))</f>
        <v/>
      </c>
      <c r="R838">
        <f>IF($A838="","",IFERROR(INDEX('[AQ_2021.xlsx]原始数据'!$E:$E,MATCH($A838,'[AQ_2021.xlsx]原始数据'!$A:$A,0)),""))</f>
        <v/>
      </c>
      <c r="S838">
        <f>IF($A838="","",IFERROR(INDEX('[AQ_2022.xlsx]原始数据'!$E:$E,MATCH($A838,'[AQ_2022.xlsx]原始数据'!$A:$A,0)),""))</f>
        <v/>
      </c>
      <c r="T838">
        <f>IF($A838="","",IFERROR(INDEX('[AQ_2023.xlsx]原始数据'!$E:$E,MATCH($A838,'[AQ_2023.xlsx]原始数据'!$A:$A,0)),""))</f>
        <v/>
      </c>
      <c r="U838">
        <f>IF($A838="","",IFERROR(INDEX('[AQ_2024.xlsx]原始数据'!$E:$E,MATCH($A838,'[AQ_2024.xlsx]原始数据'!$A:$A,0)),""))</f>
        <v/>
      </c>
      <c r="V838">
        <f>IF($A838="","",IFERROR(INDEX('[AQ_2020.xlsx]原始数据'!$F:$F,MATCH($A838,'[AQ_2020.xlsx]原始数据'!$A:$A,0)),""))</f>
        <v/>
      </c>
      <c r="W838">
        <f>IF($A838="","",IFERROR(INDEX('[AQ_2021.xlsx]原始数据'!$F:$F,MATCH($A838,'[AQ_2021.xlsx]原始数据'!$A:$A,0)),""))</f>
        <v/>
      </c>
      <c r="X838">
        <f>IF($A838="","",IFERROR(INDEX('[AQ_2022.xlsx]原始数据'!$F:$F,MATCH($A838,'[AQ_2022.xlsx]原始数据'!$A:$A,0)),""))</f>
        <v/>
      </c>
      <c r="Y838">
        <f>IF($A838="","",IFERROR(INDEX('[AQ_2023.xlsx]原始数据'!$F:$F,MATCH($A838,'[AQ_2023.xlsx]原始数据'!$A:$A,0)),""))</f>
        <v/>
      </c>
      <c r="Z838">
        <f>IF($A838="","",IFERROR(INDEX('[AQ_2024.xlsx]原始数据'!$F:$F,MATCH($A838,'[AQ_2024.xlsx]原始数据'!$A:$A,0)),""))</f>
        <v/>
      </c>
      <c r="AA838" s="2">
        <f>IFERROR(G838/B838,"")</f>
        <v/>
      </c>
      <c r="AB838" s="2">
        <f>IFERROR(H838/C838,"")</f>
        <v/>
      </c>
      <c r="AC838" s="2">
        <f>IFERROR(I838/D838,"")</f>
        <v/>
      </c>
      <c r="AD838" s="2">
        <f>IFERROR(J838/E838,"")</f>
        <v/>
      </c>
      <c r="AE838" s="2">
        <f>IFERROR(K838/F838,"")</f>
        <v/>
      </c>
      <c r="AF838" s="2">
        <f>IFERROR(L838/B838,"")</f>
        <v/>
      </c>
      <c r="AG838" s="2">
        <f>IFERROR(M838/C838,"")</f>
        <v/>
      </c>
      <c r="AH838" s="2">
        <f>IFERROR(N838/D838,"")</f>
        <v/>
      </c>
      <c r="AI838" s="2">
        <f>IFERROR(O838/E838,"")</f>
        <v/>
      </c>
      <c r="AJ838" s="2">
        <f>IFERROR(P838/F838,"")</f>
        <v/>
      </c>
      <c r="AK838" s="2">
        <f>IFERROR(Q838/B838,"")</f>
        <v/>
      </c>
      <c r="AL838" s="2">
        <f>IFERROR(R838/C838,"")</f>
        <v/>
      </c>
      <c r="AM838" s="2">
        <f>IFERROR(S838/D838,"")</f>
        <v/>
      </c>
      <c r="AN838" s="2">
        <f>IFERROR(T838/E838,"")</f>
        <v/>
      </c>
      <c r="AO838" s="2">
        <f>IFERROR(U838/F838,"")</f>
        <v/>
      </c>
    </row>
    <row r="839">
      <c r="B839">
        <f>IF($A839="","",IFERROR(INDEX('[AQ_2020.xlsx]原始数据'!$B:$B,MATCH($A839,'[AQ_2020.xlsx]原始数据'!$A:$A,0)),""))</f>
        <v/>
      </c>
      <c r="C839">
        <f>IF($A839="","",IFERROR(INDEX('[AQ_2021.xlsx]原始数据'!$B:$B,MATCH($A839,'[AQ_2021.xlsx]原始数据'!$A:$A,0)),""))</f>
        <v/>
      </c>
      <c r="D839">
        <f>IF($A839="","",IFERROR(INDEX('[AQ_2022.xlsx]原始数据'!$B:$B,MATCH($A839,'[AQ_2022.xlsx]原始数据'!$A:$A,0)),""))</f>
        <v/>
      </c>
      <c r="E839">
        <f>IF($A839="","",IFERROR(INDEX('[AQ_2023.xlsx]原始数据'!$B:$B,MATCH($A839,'[AQ_2023.xlsx]原始数据'!$A:$A,0)),""))</f>
        <v/>
      </c>
      <c r="F839">
        <f>IF($A839="","",IFERROR(INDEX('[AQ_2024.xlsx]原始数据'!$B:$B,MATCH($A839,'[AQ_2024.xlsx]原始数据'!$A:$A,0)),""))</f>
        <v/>
      </c>
      <c r="G839">
        <f>IF($A839="","",IFERROR(INDEX('[AQ_2020.xlsx]原始数据'!$C:$C,MATCH($A839,'[AQ_2020.xlsx]原始数据'!$A:$A,0)),""))</f>
        <v/>
      </c>
      <c r="H839">
        <f>IF($A839="","",IFERROR(INDEX('[AQ_2021.xlsx]原始数据'!$C:$C,MATCH($A839,'[AQ_2021.xlsx]原始数据'!$A:$A,0)),""))</f>
        <v/>
      </c>
      <c r="I839">
        <f>IF($A839="","",IFERROR(INDEX('[AQ_2022.xlsx]原始数据'!$C:$C,MATCH($A839,'[AQ_2022.xlsx]原始数据'!$A:$A,0)),""))</f>
        <v/>
      </c>
      <c r="J839">
        <f>IF($A839="","",IFERROR(INDEX('[AQ_2023.xlsx]原始数据'!$C:$C,MATCH($A839,'[AQ_2023.xlsx]原始数据'!$A:$A,0)),""))</f>
        <v/>
      </c>
      <c r="K839">
        <f>IF($A839="","",IFERROR(INDEX('[AQ_2024.xlsx]原始数据'!$C:$C,MATCH($A839,'[AQ_2024.xlsx]原始数据'!$A:$A,0)),""))</f>
        <v/>
      </c>
      <c r="L839">
        <f>IF($A839="","",IFERROR(INDEX('[AQ_2020.xlsx]原始数据'!$D:$D,MATCH($A839,'[AQ_2020.xlsx]原始数据'!$A:$A,0)),""))</f>
        <v/>
      </c>
      <c r="M839">
        <f>IF($A839="","",IFERROR(INDEX('[AQ_2021.xlsx]原始数据'!$D:$D,MATCH($A839,'[AQ_2021.xlsx]原始数据'!$A:$A,0)),""))</f>
        <v/>
      </c>
      <c r="N839">
        <f>IF($A839="","",IFERROR(INDEX('[AQ_2022.xlsx]原始数据'!$D:$D,MATCH($A839,'[AQ_2022.xlsx]原始数据'!$A:$A,0)),""))</f>
        <v/>
      </c>
      <c r="O839">
        <f>IF($A839="","",IFERROR(INDEX('[AQ_2023.xlsx]原始数据'!$D:$D,MATCH($A839,'[AQ_2023.xlsx]原始数据'!$A:$A,0)),""))</f>
        <v/>
      </c>
      <c r="P839">
        <f>IF($A839="","",IFERROR(INDEX('[AQ_2024.xlsx]原始数据'!$D:$D,MATCH($A839,'[AQ_2024.xlsx]原始数据'!$A:$A,0)),""))</f>
        <v/>
      </c>
      <c r="Q839">
        <f>IF($A839="","",IFERROR(INDEX('[AQ_2020.xlsx]原始数据'!$E:$E,MATCH($A839,'[AQ_2020.xlsx]原始数据'!$A:$A,0)),""))</f>
        <v/>
      </c>
      <c r="R839">
        <f>IF($A839="","",IFERROR(INDEX('[AQ_2021.xlsx]原始数据'!$E:$E,MATCH($A839,'[AQ_2021.xlsx]原始数据'!$A:$A,0)),""))</f>
        <v/>
      </c>
      <c r="S839">
        <f>IF($A839="","",IFERROR(INDEX('[AQ_2022.xlsx]原始数据'!$E:$E,MATCH($A839,'[AQ_2022.xlsx]原始数据'!$A:$A,0)),""))</f>
        <v/>
      </c>
      <c r="T839">
        <f>IF($A839="","",IFERROR(INDEX('[AQ_2023.xlsx]原始数据'!$E:$E,MATCH($A839,'[AQ_2023.xlsx]原始数据'!$A:$A,0)),""))</f>
        <v/>
      </c>
      <c r="U839">
        <f>IF($A839="","",IFERROR(INDEX('[AQ_2024.xlsx]原始数据'!$E:$E,MATCH($A839,'[AQ_2024.xlsx]原始数据'!$A:$A,0)),""))</f>
        <v/>
      </c>
      <c r="V839">
        <f>IF($A839="","",IFERROR(INDEX('[AQ_2020.xlsx]原始数据'!$F:$F,MATCH($A839,'[AQ_2020.xlsx]原始数据'!$A:$A,0)),""))</f>
        <v/>
      </c>
      <c r="W839">
        <f>IF($A839="","",IFERROR(INDEX('[AQ_2021.xlsx]原始数据'!$F:$F,MATCH($A839,'[AQ_2021.xlsx]原始数据'!$A:$A,0)),""))</f>
        <v/>
      </c>
      <c r="X839">
        <f>IF($A839="","",IFERROR(INDEX('[AQ_2022.xlsx]原始数据'!$F:$F,MATCH($A839,'[AQ_2022.xlsx]原始数据'!$A:$A,0)),""))</f>
        <v/>
      </c>
      <c r="Y839">
        <f>IF($A839="","",IFERROR(INDEX('[AQ_2023.xlsx]原始数据'!$F:$F,MATCH($A839,'[AQ_2023.xlsx]原始数据'!$A:$A,0)),""))</f>
        <v/>
      </c>
      <c r="Z839">
        <f>IF($A839="","",IFERROR(INDEX('[AQ_2024.xlsx]原始数据'!$F:$F,MATCH($A839,'[AQ_2024.xlsx]原始数据'!$A:$A,0)),""))</f>
        <v/>
      </c>
      <c r="AA839" s="2">
        <f>IFERROR(G839/B839,"")</f>
        <v/>
      </c>
      <c r="AB839" s="2">
        <f>IFERROR(H839/C839,"")</f>
        <v/>
      </c>
      <c r="AC839" s="2">
        <f>IFERROR(I839/D839,"")</f>
        <v/>
      </c>
      <c r="AD839" s="2">
        <f>IFERROR(J839/E839,"")</f>
        <v/>
      </c>
      <c r="AE839" s="2">
        <f>IFERROR(K839/F839,"")</f>
        <v/>
      </c>
      <c r="AF839" s="2">
        <f>IFERROR(L839/B839,"")</f>
        <v/>
      </c>
      <c r="AG839" s="2">
        <f>IFERROR(M839/C839,"")</f>
        <v/>
      </c>
      <c r="AH839" s="2">
        <f>IFERROR(N839/D839,"")</f>
        <v/>
      </c>
      <c r="AI839" s="2">
        <f>IFERROR(O839/E839,"")</f>
        <v/>
      </c>
      <c r="AJ839" s="2">
        <f>IFERROR(P839/F839,"")</f>
        <v/>
      </c>
      <c r="AK839" s="2">
        <f>IFERROR(Q839/B839,"")</f>
        <v/>
      </c>
      <c r="AL839" s="2">
        <f>IFERROR(R839/C839,"")</f>
        <v/>
      </c>
      <c r="AM839" s="2">
        <f>IFERROR(S839/D839,"")</f>
        <v/>
      </c>
      <c r="AN839" s="2">
        <f>IFERROR(T839/E839,"")</f>
        <v/>
      </c>
      <c r="AO839" s="2">
        <f>IFERROR(U839/F839,"")</f>
        <v/>
      </c>
    </row>
    <row r="840">
      <c r="B840">
        <f>IF($A840="","",IFERROR(INDEX('[AQ_2020.xlsx]原始数据'!$B:$B,MATCH($A840,'[AQ_2020.xlsx]原始数据'!$A:$A,0)),""))</f>
        <v/>
      </c>
      <c r="C840">
        <f>IF($A840="","",IFERROR(INDEX('[AQ_2021.xlsx]原始数据'!$B:$B,MATCH($A840,'[AQ_2021.xlsx]原始数据'!$A:$A,0)),""))</f>
        <v/>
      </c>
      <c r="D840">
        <f>IF($A840="","",IFERROR(INDEX('[AQ_2022.xlsx]原始数据'!$B:$B,MATCH($A840,'[AQ_2022.xlsx]原始数据'!$A:$A,0)),""))</f>
        <v/>
      </c>
      <c r="E840">
        <f>IF($A840="","",IFERROR(INDEX('[AQ_2023.xlsx]原始数据'!$B:$B,MATCH($A840,'[AQ_2023.xlsx]原始数据'!$A:$A,0)),""))</f>
        <v/>
      </c>
      <c r="F840">
        <f>IF($A840="","",IFERROR(INDEX('[AQ_2024.xlsx]原始数据'!$B:$B,MATCH($A840,'[AQ_2024.xlsx]原始数据'!$A:$A,0)),""))</f>
        <v/>
      </c>
      <c r="G840">
        <f>IF($A840="","",IFERROR(INDEX('[AQ_2020.xlsx]原始数据'!$C:$C,MATCH($A840,'[AQ_2020.xlsx]原始数据'!$A:$A,0)),""))</f>
        <v/>
      </c>
      <c r="H840">
        <f>IF($A840="","",IFERROR(INDEX('[AQ_2021.xlsx]原始数据'!$C:$C,MATCH($A840,'[AQ_2021.xlsx]原始数据'!$A:$A,0)),""))</f>
        <v/>
      </c>
      <c r="I840">
        <f>IF($A840="","",IFERROR(INDEX('[AQ_2022.xlsx]原始数据'!$C:$C,MATCH($A840,'[AQ_2022.xlsx]原始数据'!$A:$A,0)),""))</f>
        <v/>
      </c>
      <c r="J840">
        <f>IF($A840="","",IFERROR(INDEX('[AQ_2023.xlsx]原始数据'!$C:$C,MATCH($A840,'[AQ_2023.xlsx]原始数据'!$A:$A,0)),""))</f>
        <v/>
      </c>
      <c r="K840">
        <f>IF($A840="","",IFERROR(INDEX('[AQ_2024.xlsx]原始数据'!$C:$C,MATCH($A840,'[AQ_2024.xlsx]原始数据'!$A:$A,0)),""))</f>
        <v/>
      </c>
      <c r="L840">
        <f>IF($A840="","",IFERROR(INDEX('[AQ_2020.xlsx]原始数据'!$D:$D,MATCH($A840,'[AQ_2020.xlsx]原始数据'!$A:$A,0)),""))</f>
        <v/>
      </c>
      <c r="M840">
        <f>IF($A840="","",IFERROR(INDEX('[AQ_2021.xlsx]原始数据'!$D:$D,MATCH($A840,'[AQ_2021.xlsx]原始数据'!$A:$A,0)),""))</f>
        <v/>
      </c>
      <c r="N840">
        <f>IF($A840="","",IFERROR(INDEX('[AQ_2022.xlsx]原始数据'!$D:$D,MATCH($A840,'[AQ_2022.xlsx]原始数据'!$A:$A,0)),""))</f>
        <v/>
      </c>
      <c r="O840">
        <f>IF($A840="","",IFERROR(INDEX('[AQ_2023.xlsx]原始数据'!$D:$D,MATCH($A840,'[AQ_2023.xlsx]原始数据'!$A:$A,0)),""))</f>
        <v/>
      </c>
      <c r="P840">
        <f>IF($A840="","",IFERROR(INDEX('[AQ_2024.xlsx]原始数据'!$D:$D,MATCH($A840,'[AQ_2024.xlsx]原始数据'!$A:$A,0)),""))</f>
        <v/>
      </c>
      <c r="Q840">
        <f>IF($A840="","",IFERROR(INDEX('[AQ_2020.xlsx]原始数据'!$E:$E,MATCH($A840,'[AQ_2020.xlsx]原始数据'!$A:$A,0)),""))</f>
        <v/>
      </c>
      <c r="R840">
        <f>IF($A840="","",IFERROR(INDEX('[AQ_2021.xlsx]原始数据'!$E:$E,MATCH($A840,'[AQ_2021.xlsx]原始数据'!$A:$A,0)),""))</f>
        <v/>
      </c>
      <c r="S840">
        <f>IF($A840="","",IFERROR(INDEX('[AQ_2022.xlsx]原始数据'!$E:$E,MATCH($A840,'[AQ_2022.xlsx]原始数据'!$A:$A,0)),""))</f>
        <v/>
      </c>
      <c r="T840">
        <f>IF($A840="","",IFERROR(INDEX('[AQ_2023.xlsx]原始数据'!$E:$E,MATCH($A840,'[AQ_2023.xlsx]原始数据'!$A:$A,0)),""))</f>
        <v/>
      </c>
      <c r="U840">
        <f>IF($A840="","",IFERROR(INDEX('[AQ_2024.xlsx]原始数据'!$E:$E,MATCH($A840,'[AQ_2024.xlsx]原始数据'!$A:$A,0)),""))</f>
        <v/>
      </c>
      <c r="V840">
        <f>IF($A840="","",IFERROR(INDEX('[AQ_2020.xlsx]原始数据'!$F:$F,MATCH($A840,'[AQ_2020.xlsx]原始数据'!$A:$A,0)),""))</f>
        <v/>
      </c>
      <c r="W840">
        <f>IF($A840="","",IFERROR(INDEX('[AQ_2021.xlsx]原始数据'!$F:$F,MATCH($A840,'[AQ_2021.xlsx]原始数据'!$A:$A,0)),""))</f>
        <v/>
      </c>
      <c r="X840">
        <f>IF($A840="","",IFERROR(INDEX('[AQ_2022.xlsx]原始数据'!$F:$F,MATCH($A840,'[AQ_2022.xlsx]原始数据'!$A:$A,0)),""))</f>
        <v/>
      </c>
      <c r="Y840">
        <f>IF($A840="","",IFERROR(INDEX('[AQ_2023.xlsx]原始数据'!$F:$F,MATCH($A840,'[AQ_2023.xlsx]原始数据'!$A:$A,0)),""))</f>
        <v/>
      </c>
      <c r="Z840">
        <f>IF($A840="","",IFERROR(INDEX('[AQ_2024.xlsx]原始数据'!$F:$F,MATCH($A840,'[AQ_2024.xlsx]原始数据'!$A:$A,0)),""))</f>
        <v/>
      </c>
      <c r="AA840" s="2">
        <f>IFERROR(G840/B840,"")</f>
        <v/>
      </c>
      <c r="AB840" s="2">
        <f>IFERROR(H840/C840,"")</f>
        <v/>
      </c>
      <c r="AC840" s="2">
        <f>IFERROR(I840/D840,"")</f>
        <v/>
      </c>
      <c r="AD840" s="2">
        <f>IFERROR(J840/E840,"")</f>
        <v/>
      </c>
      <c r="AE840" s="2">
        <f>IFERROR(K840/F840,"")</f>
        <v/>
      </c>
      <c r="AF840" s="2">
        <f>IFERROR(L840/B840,"")</f>
        <v/>
      </c>
      <c r="AG840" s="2">
        <f>IFERROR(M840/C840,"")</f>
        <v/>
      </c>
      <c r="AH840" s="2">
        <f>IFERROR(N840/D840,"")</f>
        <v/>
      </c>
      <c r="AI840" s="2">
        <f>IFERROR(O840/E840,"")</f>
        <v/>
      </c>
      <c r="AJ840" s="2">
        <f>IFERROR(P840/F840,"")</f>
        <v/>
      </c>
      <c r="AK840" s="2">
        <f>IFERROR(Q840/B840,"")</f>
        <v/>
      </c>
      <c r="AL840" s="2">
        <f>IFERROR(R840/C840,"")</f>
        <v/>
      </c>
      <c r="AM840" s="2">
        <f>IFERROR(S840/D840,"")</f>
        <v/>
      </c>
      <c r="AN840" s="2">
        <f>IFERROR(T840/E840,"")</f>
        <v/>
      </c>
      <c r="AO840" s="2">
        <f>IFERROR(U840/F840,"")</f>
        <v/>
      </c>
    </row>
    <row r="841">
      <c r="B841">
        <f>IF($A841="","",IFERROR(INDEX('[AQ_2020.xlsx]原始数据'!$B:$B,MATCH($A841,'[AQ_2020.xlsx]原始数据'!$A:$A,0)),""))</f>
        <v/>
      </c>
      <c r="C841">
        <f>IF($A841="","",IFERROR(INDEX('[AQ_2021.xlsx]原始数据'!$B:$B,MATCH($A841,'[AQ_2021.xlsx]原始数据'!$A:$A,0)),""))</f>
        <v/>
      </c>
      <c r="D841">
        <f>IF($A841="","",IFERROR(INDEX('[AQ_2022.xlsx]原始数据'!$B:$B,MATCH($A841,'[AQ_2022.xlsx]原始数据'!$A:$A,0)),""))</f>
        <v/>
      </c>
      <c r="E841">
        <f>IF($A841="","",IFERROR(INDEX('[AQ_2023.xlsx]原始数据'!$B:$B,MATCH($A841,'[AQ_2023.xlsx]原始数据'!$A:$A,0)),""))</f>
        <v/>
      </c>
      <c r="F841">
        <f>IF($A841="","",IFERROR(INDEX('[AQ_2024.xlsx]原始数据'!$B:$B,MATCH($A841,'[AQ_2024.xlsx]原始数据'!$A:$A,0)),""))</f>
        <v/>
      </c>
      <c r="G841">
        <f>IF($A841="","",IFERROR(INDEX('[AQ_2020.xlsx]原始数据'!$C:$C,MATCH($A841,'[AQ_2020.xlsx]原始数据'!$A:$A,0)),""))</f>
        <v/>
      </c>
      <c r="H841">
        <f>IF($A841="","",IFERROR(INDEX('[AQ_2021.xlsx]原始数据'!$C:$C,MATCH($A841,'[AQ_2021.xlsx]原始数据'!$A:$A,0)),""))</f>
        <v/>
      </c>
      <c r="I841">
        <f>IF($A841="","",IFERROR(INDEX('[AQ_2022.xlsx]原始数据'!$C:$C,MATCH($A841,'[AQ_2022.xlsx]原始数据'!$A:$A,0)),""))</f>
        <v/>
      </c>
      <c r="J841">
        <f>IF($A841="","",IFERROR(INDEX('[AQ_2023.xlsx]原始数据'!$C:$C,MATCH($A841,'[AQ_2023.xlsx]原始数据'!$A:$A,0)),""))</f>
        <v/>
      </c>
      <c r="K841">
        <f>IF($A841="","",IFERROR(INDEX('[AQ_2024.xlsx]原始数据'!$C:$C,MATCH($A841,'[AQ_2024.xlsx]原始数据'!$A:$A,0)),""))</f>
        <v/>
      </c>
      <c r="L841">
        <f>IF($A841="","",IFERROR(INDEX('[AQ_2020.xlsx]原始数据'!$D:$D,MATCH($A841,'[AQ_2020.xlsx]原始数据'!$A:$A,0)),""))</f>
        <v/>
      </c>
      <c r="M841">
        <f>IF($A841="","",IFERROR(INDEX('[AQ_2021.xlsx]原始数据'!$D:$D,MATCH($A841,'[AQ_2021.xlsx]原始数据'!$A:$A,0)),""))</f>
        <v/>
      </c>
      <c r="N841">
        <f>IF($A841="","",IFERROR(INDEX('[AQ_2022.xlsx]原始数据'!$D:$D,MATCH($A841,'[AQ_2022.xlsx]原始数据'!$A:$A,0)),""))</f>
        <v/>
      </c>
      <c r="O841">
        <f>IF($A841="","",IFERROR(INDEX('[AQ_2023.xlsx]原始数据'!$D:$D,MATCH($A841,'[AQ_2023.xlsx]原始数据'!$A:$A,0)),""))</f>
        <v/>
      </c>
      <c r="P841">
        <f>IF($A841="","",IFERROR(INDEX('[AQ_2024.xlsx]原始数据'!$D:$D,MATCH($A841,'[AQ_2024.xlsx]原始数据'!$A:$A,0)),""))</f>
        <v/>
      </c>
      <c r="Q841">
        <f>IF($A841="","",IFERROR(INDEX('[AQ_2020.xlsx]原始数据'!$E:$E,MATCH($A841,'[AQ_2020.xlsx]原始数据'!$A:$A,0)),""))</f>
        <v/>
      </c>
      <c r="R841">
        <f>IF($A841="","",IFERROR(INDEX('[AQ_2021.xlsx]原始数据'!$E:$E,MATCH($A841,'[AQ_2021.xlsx]原始数据'!$A:$A,0)),""))</f>
        <v/>
      </c>
      <c r="S841">
        <f>IF($A841="","",IFERROR(INDEX('[AQ_2022.xlsx]原始数据'!$E:$E,MATCH($A841,'[AQ_2022.xlsx]原始数据'!$A:$A,0)),""))</f>
        <v/>
      </c>
      <c r="T841">
        <f>IF($A841="","",IFERROR(INDEX('[AQ_2023.xlsx]原始数据'!$E:$E,MATCH($A841,'[AQ_2023.xlsx]原始数据'!$A:$A,0)),""))</f>
        <v/>
      </c>
      <c r="U841">
        <f>IF($A841="","",IFERROR(INDEX('[AQ_2024.xlsx]原始数据'!$E:$E,MATCH($A841,'[AQ_2024.xlsx]原始数据'!$A:$A,0)),""))</f>
        <v/>
      </c>
      <c r="V841">
        <f>IF($A841="","",IFERROR(INDEX('[AQ_2020.xlsx]原始数据'!$F:$F,MATCH($A841,'[AQ_2020.xlsx]原始数据'!$A:$A,0)),""))</f>
        <v/>
      </c>
      <c r="W841">
        <f>IF($A841="","",IFERROR(INDEX('[AQ_2021.xlsx]原始数据'!$F:$F,MATCH($A841,'[AQ_2021.xlsx]原始数据'!$A:$A,0)),""))</f>
        <v/>
      </c>
      <c r="X841">
        <f>IF($A841="","",IFERROR(INDEX('[AQ_2022.xlsx]原始数据'!$F:$F,MATCH($A841,'[AQ_2022.xlsx]原始数据'!$A:$A,0)),""))</f>
        <v/>
      </c>
      <c r="Y841">
        <f>IF($A841="","",IFERROR(INDEX('[AQ_2023.xlsx]原始数据'!$F:$F,MATCH($A841,'[AQ_2023.xlsx]原始数据'!$A:$A,0)),""))</f>
        <v/>
      </c>
      <c r="Z841">
        <f>IF($A841="","",IFERROR(INDEX('[AQ_2024.xlsx]原始数据'!$F:$F,MATCH($A841,'[AQ_2024.xlsx]原始数据'!$A:$A,0)),""))</f>
        <v/>
      </c>
      <c r="AA841" s="2">
        <f>IFERROR(G841/B841,"")</f>
        <v/>
      </c>
      <c r="AB841" s="2">
        <f>IFERROR(H841/C841,"")</f>
        <v/>
      </c>
      <c r="AC841" s="2">
        <f>IFERROR(I841/D841,"")</f>
        <v/>
      </c>
      <c r="AD841" s="2">
        <f>IFERROR(J841/E841,"")</f>
        <v/>
      </c>
      <c r="AE841" s="2">
        <f>IFERROR(K841/F841,"")</f>
        <v/>
      </c>
      <c r="AF841" s="2">
        <f>IFERROR(L841/B841,"")</f>
        <v/>
      </c>
      <c r="AG841" s="2">
        <f>IFERROR(M841/C841,"")</f>
        <v/>
      </c>
      <c r="AH841" s="2">
        <f>IFERROR(N841/D841,"")</f>
        <v/>
      </c>
      <c r="AI841" s="2">
        <f>IFERROR(O841/E841,"")</f>
        <v/>
      </c>
      <c r="AJ841" s="2">
        <f>IFERROR(P841/F841,"")</f>
        <v/>
      </c>
      <c r="AK841" s="2">
        <f>IFERROR(Q841/B841,"")</f>
        <v/>
      </c>
      <c r="AL841" s="2">
        <f>IFERROR(R841/C841,"")</f>
        <v/>
      </c>
      <c r="AM841" s="2">
        <f>IFERROR(S841/D841,"")</f>
        <v/>
      </c>
      <c r="AN841" s="2">
        <f>IFERROR(T841/E841,"")</f>
        <v/>
      </c>
      <c r="AO841" s="2">
        <f>IFERROR(U841/F841,"")</f>
        <v/>
      </c>
    </row>
    <row r="842">
      <c r="B842">
        <f>IF($A842="","",IFERROR(INDEX('[AQ_2020.xlsx]原始数据'!$B:$B,MATCH($A842,'[AQ_2020.xlsx]原始数据'!$A:$A,0)),""))</f>
        <v/>
      </c>
      <c r="C842">
        <f>IF($A842="","",IFERROR(INDEX('[AQ_2021.xlsx]原始数据'!$B:$B,MATCH($A842,'[AQ_2021.xlsx]原始数据'!$A:$A,0)),""))</f>
        <v/>
      </c>
      <c r="D842">
        <f>IF($A842="","",IFERROR(INDEX('[AQ_2022.xlsx]原始数据'!$B:$B,MATCH($A842,'[AQ_2022.xlsx]原始数据'!$A:$A,0)),""))</f>
        <v/>
      </c>
      <c r="E842">
        <f>IF($A842="","",IFERROR(INDEX('[AQ_2023.xlsx]原始数据'!$B:$B,MATCH($A842,'[AQ_2023.xlsx]原始数据'!$A:$A,0)),""))</f>
        <v/>
      </c>
      <c r="F842">
        <f>IF($A842="","",IFERROR(INDEX('[AQ_2024.xlsx]原始数据'!$B:$B,MATCH($A842,'[AQ_2024.xlsx]原始数据'!$A:$A,0)),""))</f>
        <v/>
      </c>
      <c r="G842">
        <f>IF($A842="","",IFERROR(INDEX('[AQ_2020.xlsx]原始数据'!$C:$C,MATCH($A842,'[AQ_2020.xlsx]原始数据'!$A:$A,0)),""))</f>
        <v/>
      </c>
      <c r="H842">
        <f>IF($A842="","",IFERROR(INDEX('[AQ_2021.xlsx]原始数据'!$C:$C,MATCH($A842,'[AQ_2021.xlsx]原始数据'!$A:$A,0)),""))</f>
        <v/>
      </c>
      <c r="I842">
        <f>IF($A842="","",IFERROR(INDEX('[AQ_2022.xlsx]原始数据'!$C:$C,MATCH($A842,'[AQ_2022.xlsx]原始数据'!$A:$A,0)),""))</f>
        <v/>
      </c>
      <c r="J842">
        <f>IF($A842="","",IFERROR(INDEX('[AQ_2023.xlsx]原始数据'!$C:$C,MATCH($A842,'[AQ_2023.xlsx]原始数据'!$A:$A,0)),""))</f>
        <v/>
      </c>
      <c r="K842">
        <f>IF($A842="","",IFERROR(INDEX('[AQ_2024.xlsx]原始数据'!$C:$C,MATCH($A842,'[AQ_2024.xlsx]原始数据'!$A:$A,0)),""))</f>
        <v/>
      </c>
      <c r="L842">
        <f>IF($A842="","",IFERROR(INDEX('[AQ_2020.xlsx]原始数据'!$D:$D,MATCH($A842,'[AQ_2020.xlsx]原始数据'!$A:$A,0)),""))</f>
        <v/>
      </c>
      <c r="M842">
        <f>IF($A842="","",IFERROR(INDEX('[AQ_2021.xlsx]原始数据'!$D:$D,MATCH($A842,'[AQ_2021.xlsx]原始数据'!$A:$A,0)),""))</f>
        <v/>
      </c>
      <c r="N842">
        <f>IF($A842="","",IFERROR(INDEX('[AQ_2022.xlsx]原始数据'!$D:$D,MATCH($A842,'[AQ_2022.xlsx]原始数据'!$A:$A,0)),""))</f>
        <v/>
      </c>
      <c r="O842">
        <f>IF($A842="","",IFERROR(INDEX('[AQ_2023.xlsx]原始数据'!$D:$D,MATCH($A842,'[AQ_2023.xlsx]原始数据'!$A:$A,0)),""))</f>
        <v/>
      </c>
      <c r="P842">
        <f>IF($A842="","",IFERROR(INDEX('[AQ_2024.xlsx]原始数据'!$D:$D,MATCH($A842,'[AQ_2024.xlsx]原始数据'!$A:$A,0)),""))</f>
        <v/>
      </c>
      <c r="Q842">
        <f>IF($A842="","",IFERROR(INDEX('[AQ_2020.xlsx]原始数据'!$E:$E,MATCH($A842,'[AQ_2020.xlsx]原始数据'!$A:$A,0)),""))</f>
        <v/>
      </c>
      <c r="R842">
        <f>IF($A842="","",IFERROR(INDEX('[AQ_2021.xlsx]原始数据'!$E:$E,MATCH($A842,'[AQ_2021.xlsx]原始数据'!$A:$A,0)),""))</f>
        <v/>
      </c>
      <c r="S842">
        <f>IF($A842="","",IFERROR(INDEX('[AQ_2022.xlsx]原始数据'!$E:$E,MATCH($A842,'[AQ_2022.xlsx]原始数据'!$A:$A,0)),""))</f>
        <v/>
      </c>
      <c r="T842">
        <f>IF($A842="","",IFERROR(INDEX('[AQ_2023.xlsx]原始数据'!$E:$E,MATCH($A842,'[AQ_2023.xlsx]原始数据'!$A:$A,0)),""))</f>
        <v/>
      </c>
      <c r="U842">
        <f>IF($A842="","",IFERROR(INDEX('[AQ_2024.xlsx]原始数据'!$E:$E,MATCH($A842,'[AQ_2024.xlsx]原始数据'!$A:$A,0)),""))</f>
        <v/>
      </c>
      <c r="V842">
        <f>IF($A842="","",IFERROR(INDEX('[AQ_2020.xlsx]原始数据'!$F:$F,MATCH($A842,'[AQ_2020.xlsx]原始数据'!$A:$A,0)),""))</f>
        <v/>
      </c>
      <c r="W842">
        <f>IF($A842="","",IFERROR(INDEX('[AQ_2021.xlsx]原始数据'!$F:$F,MATCH($A842,'[AQ_2021.xlsx]原始数据'!$A:$A,0)),""))</f>
        <v/>
      </c>
      <c r="X842">
        <f>IF($A842="","",IFERROR(INDEX('[AQ_2022.xlsx]原始数据'!$F:$F,MATCH($A842,'[AQ_2022.xlsx]原始数据'!$A:$A,0)),""))</f>
        <v/>
      </c>
      <c r="Y842">
        <f>IF($A842="","",IFERROR(INDEX('[AQ_2023.xlsx]原始数据'!$F:$F,MATCH($A842,'[AQ_2023.xlsx]原始数据'!$A:$A,0)),""))</f>
        <v/>
      </c>
      <c r="Z842">
        <f>IF($A842="","",IFERROR(INDEX('[AQ_2024.xlsx]原始数据'!$F:$F,MATCH($A842,'[AQ_2024.xlsx]原始数据'!$A:$A,0)),""))</f>
        <v/>
      </c>
      <c r="AA842" s="2">
        <f>IFERROR(G842/B842,"")</f>
        <v/>
      </c>
      <c r="AB842" s="2">
        <f>IFERROR(H842/C842,"")</f>
        <v/>
      </c>
      <c r="AC842" s="2">
        <f>IFERROR(I842/D842,"")</f>
        <v/>
      </c>
      <c r="AD842" s="2">
        <f>IFERROR(J842/E842,"")</f>
        <v/>
      </c>
      <c r="AE842" s="2">
        <f>IFERROR(K842/F842,"")</f>
        <v/>
      </c>
      <c r="AF842" s="2">
        <f>IFERROR(L842/B842,"")</f>
        <v/>
      </c>
      <c r="AG842" s="2">
        <f>IFERROR(M842/C842,"")</f>
        <v/>
      </c>
      <c r="AH842" s="2">
        <f>IFERROR(N842/D842,"")</f>
        <v/>
      </c>
      <c r="AI842" s="2">
        <f>IFERROR(O842/E842,"")</f>
        <v/>
      </c>
      <c r="AJ842" s="2">
        <f>IFERROR(P842/F842,"")</f>
        <v/>
      </c>
      <c r="AK842" s="2">
        <f>IFERROR(Q842/B842,"")</f>
        <v/>
      </c>
      <c r="AL842" s="2">
        <f>IFERROR(R842/C842,"")</f>
        <v/>
      </c>
      <c r="AM842" s="2">
        <f>IFERROR(S842/D842,"")</f>
        <v/>
      </c>
      <c r="AN842" s="2">
        <f>IFERROR(T842/E842,"")</f>
        <v/>
      </c>
      <c r="AO842" s="2">
        <f>IFERROR(U842/F842,"")</f>
        <v/>
      </c>
    </row>
    <row r="843">
      <c r="B843">
        <f>IF($A843="","",IFERROR(INDEX('[AQ_2020.xlsx]原始数据'!$B:$B,MATCH($A843,'[AQ_2020.xlsx]原始数据'!$A:$A,0)),""))</f>
        <v/>
      </c>
      <c r="C843">
        <f>IF($A843="","",IFERROR(INDEX('[AQ_2021.xlsx]原始数据'!$B:$B,MATCH($A843,'[AQ_2021.xlsx]原始数据'!$A:$A,0)),""))</f>
        <v/>
      </c>
      <c r="D843">
        <f>IF($A843="","",IFERROR(INDEX('[AQ_2022.xlsx]原始数据'!$B:$B,MATCH($A843,'[AQ_2022.xlsx]原始数据'!$A:$A,0)),""))</f>
        <v/>
      </c>
      <c r="E843">
        <f>IF($A843="","",IFERROR(INDEX('[AQ_2023.xlsx]原始数据'!$B:$B,MATCH($A843,'[AQ_2023.xlsx]原始数据'!$A:$A,0)),""))</f>
        <v/>
      </c>
      <c r="F843">
        <f>IF($A843="","",IFERROR(INDEX('[AQ_2024.xlsx]原始数据'!$B:$B,MATCH($A843,'[AQ_2024.xlsx]原始数据'!$A:$A,0)),""))</f>
        <v/>
      </c>
      <c r="G843">
        <f>IF($A843="","",IFERROR(INDEX('[AQ_2020.xlsx]原始数据'!$C:$C,MATCH($A843,'[AQ_2020.xlsx]原始数据'!$A:$A,0)),""))</f>
        <v/>
      </c>
      <c r="H843">
        <f>IF($A843="","",IFERROR(INDEX('[AQ_2021.xlsx]原始数据'!$C:$C,MATCH($A843,'[AQ_2021.xlsx]原始数据'!$A:$A,0)),""))</f>
        <v/>
      </c>
      <c r="I843">
        <f>IF($A843="","",IFERROR(INDEX('[AQ_2022.xlsx]原始数据'!$C:$C,MATCH($A843,'[AQ_2022.xlsx]原始数据'!$A:$A,0)),""))</f>
        <v/>
      </c>
      <c r="J843">
        <f>IF($A843="","",IFERROR(INDEX('[AQ_2023.xlsx]原始数据'!$C:$C,MATCH($A843,'[AQ_2023.xlsx]原始数据'!$A:$A,0)),""))</f>
        <v/>
      </c>
      <c r="K843">
        <f>IF($A843="","",IFERROR(INDEX('[AQ_2024.xlsx]原始数据'!$C:$C,MATCH($A843,'[AQ_2024.xlsx]原始数据'!$A:$A,0)),""))</f>
        <v/>
      </c>
      <c r="L843">
        <f>IF($A843="","",IFERROR(INDEX('[AQ_2020.xlsx]原始数据'!$D:$D,MATCH($A843,'[AQ_2020.xlsx]原始数据'!$A:$A,0)),""))</f>
        <v/>
      </c>
      <c r="M843">
        <f>IF($A843="","",IFERROR(INDEX('[AQ_2021.xlsx]原始数据'!$D:$D,MATCH($A843,'[AQ_2021.xlsx]原始数据'!$A:$A,0)),""))</f>
        <v/>
      </c>
      <c r="N843">
        <f>IF($A843="","",IFERROR(INDEX('[AQ_2022.xlsx]原始数据'!$D:$D,MATCH($A843,'[AQ_2022.xlsx]原始数据'!$A:$A,0)),""))</f>
        <v/>
      </c>
      <c r="O843">
        <f>IF($A843="","",IFERROR(INDEX('[AQ_2023.xlsx]原始数据'!$D:$D,MATCH($A843,'[AQ_2023.xlsx]原始数据'!$A:$A,0)),""))</f>
        <v/>
      </c>
      <c r="P843">
        <f>IF($A843="","",IFERROR(INDEX('[AQ_2024.xlsx]原始数据'!$D:$D,MATCH($A843,'[AQ_2024.xlsx]原始数据'!$A:$A,0)),""))</f>
        <v/>
      </c>
      <c r="Q843">
        <f>IF($A843="","",IFERROR(INDEX('[AQ_2020.xlsx]原始数据'!$E:$E,MATCH($A843,'[AQ_2020.xlsx]原始数据'!$A:$A,0)),""))</f>
        <v/>
      </c>
      <c r="R843">
        <f>IF($A843="","",IFERROR(INDEX('[AQ_2021.xlsx]原始数据'!$E:$E,MATCH($A843,'[AQ_2021.xlsx]原始数据'!$A:$A,0)),""))</f>
        <v/>
      </c>
      <c r="S843">
        <f>IF($A843="","",IFERROR(INDEX('[AQ_2022.xlsx]原始数据'!$E:$E,MATCH($A843,'[AQ_2022.xlsx]原始数据'!$A:$A,0)),""))</f>
        <v/>
      </c>
      <c r="T843">
        <f>IF($A843="","",IFERROR(INDEX('[AQ_2023.xlsx]原始数据'!$E:$E,MATCH($A843,'[AQ_2023.xlsx]原始数据'!$A:$A,0)),""))</f>
        <v/>
      </c>
      <c r="U843">
        <f>IF($A843="","",IFERROR(INDEX('[AQ_2024.xlsx]原始数据'!$E:$E,MATCH($A843,'[AQ_2024.xlsx]原始数据'!$A:$A,0)),""))</f>
        <v/>
      </c>
      <c r="V843">
        <f>IF($A843="","",IFERROR(INDEX('[AQ_2020.xlsx]原始数据'!$F:$F,MATCH($A843,'[AQ_2020.xlsx]原始数据'!$A:$A,0)),""))</f>
        <v/>
      </c>
      <c r="W843">
        <f>IF($A843="","",IFERROR(INDEX('[AQ_2021.xlsx]原始数据'!$F:$F,MATCH($A843,'[AQ_2021.xlsx]原始数据'!$A:$A,0)),""))</f>
        <v/>
      </c>
      <c r="X843">
        <f>IF($A843="","",IFERROR(INDEX('[AQ_2022.xlsx]原始数据'!$F:$F,MATCH($A843,'[AQ_2022.xlsx]原始数据'!$A:$A,0)),""))</f>
        <v/>
      </c>
      <c r="Y843">
        <f>IF($A843="","",IFERROR(INDEX('[AQ_2023.xlsx]原始数据'!$F:$F,MATCH($A843,'[AQ_2023.xlsx]原始数据'!$A:$A,0)),""))</f>
        <v/>
      </c>
      <c r="Z843">
        <f>IF($A843="","",IFERROR(INDEX('[AQ_2024.xlsx]原始数据'!$F:$F,MATCH($A843,'[AQ_2024.xlsx]原始数据'!$A:$A,0)),""))</f>
        <v/>
      </c>
      <c r="AA843" s="2">
        <f>IFERROR(G843/B843,"")</f>
        <v/>
      </c>
      <c r="AB843" s="2">
        <f>IFERROR(H843/C843,"")</f>
        <v/>
      </c>
      <c r="AC843" s="2">
        <f>IFERROR(I843/D843,"")</f>
        <v/>
      </c>
      <c r="AD843" s="2">
        <f>IFERROR(J843/E843,"")</f>
        <v/>
      </c>
      <c r="AE843" s="2">
        <f>IFERROR(K843/F843,"")</f>
        <v/>
      </c>
      <c r="AF843" s="2">
        <f>IFERROR(L843/B843,"")</f>
        <v/>
      </c>
      <c r="AG843" s="2">
        <f>IFERROR(M843/C843,"")</f>
        <v/>
      </c>
      <c r="AH843" s="2">
        <f>IFERROR(N843/D843,"")</f>
        <v/>
      </c>
      <c r="AI843" s="2">
        <f>IFERROR(O843/E843,"")</f>
        <v/>
      </c>
      <c r="AJ843" s="2">
        <f>IFERROR(P843/F843,"")</f>
        <v/>
      </c>
      <c r="AK843" s="2">
        <f>IFERROR(Q843/B843,"")</f>
        <v/>
      </c>
      <c r="AL843" s="2">
        <f>IFERROR(R843/C843,"")</f>
        <v/>
      </c>
      <c r="AM843" s="2">
        <f>IFERROR(S843/D843,"")</f>
        <v/>
      </c>
      <c r="AN843" s="2">
        <f>IFERROR(T843/E843,"")</f>
        <v/>
      </c>
      <c r="AO843" s="2">
        <f>IFERROR(U843/F843,"")</f>
        <v/>
      </c>
    </row>
    <row r="844">
      <c r="B844">
        <f>IF($A844="","",IFERROR(INDEX('[AQ_2020.xlsx]原始数据'!$B:$B,MATCH($A844,'[AQ_2020.xlsx]原始数据'!$A:$A,0)),""))</f>
        <v/>
      </c>
      <c r="C844">
        <f>IF($A844="","",IFERROR(INDEX('[AQ_2021.xlsx]原始数据'!$B:$B,MATCH($A844,'[AQ_2021.xlsx]原始数据'!$A:$A,0)),""))</f>
        <v/>
      </c>
      <c r="D844">
        <f>IF($A844="","",IFERROR(INDEX('[AQ_2022.xlsx]原始数据'!$B:$B,MATCH($A844,'[AQ_2022.xlsx]原始数据'!$A:$A,0)),""))</f>
        <v/>
      </c>
      <c r="E844">
        <f>IF($A844="","",IFERROR(INDEX('[AQ_2023.xlsx]原始数据'!$B:$B,MATCH($A844,'[AQ_2023.xlsx]原始数据'!$A:$A,0)),""))</f>
        <v/>
      </c>
      <c r="F844">
        <f>IF($A844="","",IFERROR(INDEX('[AQ_2024.xlsx]原始数据'!$B:$B,MATCH($A844,'[AQ_2024.xlsx]原始数据'!$A:$A,0)),""))</f>
        <v/>
      </c>
      <c r="G844">
        <f>IF($A844="","",IFERROR(INDEX('[AQ_2020.xlsx]原始数据'!$C:$C,MATCH($A844,'[AQ_2020.xlsx]原始数据'!$A:$A,0)),""))</f>
        <v/>
      </c>
      <c r="H844">
        <f>IF($A844="","",IFERROR(INDEX('[AQ_2021.xlsx]原始数据'!$C:$C,MATCH($A844,'[AQ_2021.xlsx]原始数据'!$A:$A,0)),""))</f>
        <v/>
      </c>
      <c r="I844">
        <f>IF($A844="","",IFERROR(INDEX('[AQ_2022.xlsx]原始数据'!$C:$C,MATCH($A844,'[AQ_2022.xlsx]原始数据'!$A:$A,0)),""))</f>
        <v/>
      </c>
      <c r="J844">
        <f>IF($A844="","",IFERROR(INDEX('[AQ_2023.xlsx]原始数据'!$C:$C,MATCH($A844,'[AQ_2023.xlsx]原始数据'!$A:$A,0)),""))</f>
        <v/>
      </c>
      <c r="K844">
        <f>IF($A844="","",IFERROR(INDEX('[AQ_2024.xlsx]原始数据'!$C:$C,MATCH($A844,'[AQ_2024.xlsx]原始数据'!$A:$A,0)),""))</f>
        <v/>
      </c>
      <c r="L844">
        <f>IF($A844="","",IFERROR(INDEX('[AQ_2020.xlsx]原始数据'!$D:$D,MATCH($A844,'[AQ_2020.xlsx]原始数据'!$A:$A,0)),""))</f>
        <v/>
      </c>
      <c r="M844">
        <f>IF($A844="","",IFERROR(INDEX('[AQ_2021.xlsx]原始数据'!$D:$D,MATCH($A844,'[AQ_2021.xlsx]原始数据'!$A:$A,0)),""))</f>
        <v/>
      </c>
      <c r="N844">
        <f>IF($A844="","",IFERROR(INDEX('[AQ_2022.xlsx]原始数据'!$D:$D,MATCH($A844,'[AQ_2022.xlsx]原始数据'!$A:$A,0)),""))</f>
        <v/>
      </c>
      <c r="O844">
        <f>IF($A844="","",IFERROR(INDEX('[AQ_2023.xlsx]原始数据'!$D:$D,MATCH($A844,'[AQ_2023.xlsx]原始数据'!$A:$A,0)),""))</f>
        <v/>
      </c>
      <c r="P844">
        <f>IF($A844="","",IFERROR(INDEX('[AQ_2024.xlsx]原始数据'!$D:$D,MATCH($A844,'[AQ_2024.xlsx]原始数据'!$A:$A,0)),""))</f>
        <v/>
      </c>
      <c r="Q844">
        <f>IF($A844="","",IFERROR(INDEX('[AQ_2020.xlsx]原始数据'!$E:$E,MATCH($A844,'[AQ_2020.xlsx]原始数据'!$A:$A,0)),""))</f>
        <v/>
      </c>
      <c r="R844">
        <f>IF($A844="","",IFERROR(INDEX('[AQ_2021.xlsx]原始数据'!$E:$E,MATCH($A844,'[AQ_2021.xlsx]原始数据'!$A:$A,0)),""))</f>
        <v/>
      </c>
      <c r="S844">
        <f>IF($A844="","",IFERROR(INDEX('[AQ_2022.xlsx]原始数据'!$E:$E,MATCH($A844,'[AQ_2022.xlsx]原始数据'!$A:$A,0)),""))</f>
        <v/>
      </c>
      <c r="T844">
        <f>IF($A844="","",IFERROR(INDEX('[AQ_2023.xlsx]原始数据'!$E:$E,MATCH($A844,'[AQ_2023.xlsx]原始数据'!$A:$A,0)),""))</f>
        <v/>
      </c>
      <c r="U844">
        <f>IF($A844="","",IFERROR(INDEX('[AQ_2024.xlsx]原始数据'!$E:$E,MATCH($A844,'[AQ_2024.xlsx]原始数据'!$A:$A,0)),""))</f>
        <v/>
      </c>
      <c r="V844">
        <f>IF($A844="","",IFERROR(INDEX('[AQ_2020.xlsx]原始数据'!$F:$F,MATCH($A844,'[AQ_2020.xlsx]原始数据'!$A:$A,0)),""))</f>
        <v/>
      </c>
      <c r="W844">
        <f>IF($A844="","",IFERROR(INDEX('[AQ_2021.xlsx]原始数据'!$F:$F,MATCH($A844,'[AQ_2021.xlsx]原始数据'!$A:$A,0)),""))</f>
        <v/>
      </c>
      <c r="X844">
        <f>IF($A844="","",IFERROR(INDEX('[AQ_2022.xlsx]原始数据'!$F:$F,MATCH($A844,'[AQ_2022.xlsx]原始数据'!$A:$A,0)),""))</f>
        <v/>
      </c>
      <c r="Y844">
        <f>IF($A844="","",IFERROR(INDEX('[AQ_2023.xlsx]原始数据'!$F:$F,MATCH($A844,'[AQ_2023.xlsx]原始数据'!$A:$A,0)),""))</f>
        <v/>
      </c>
      <c r="Z844">
        <f>IF($A844="","",IFERROR(INDEX('[AQ_2024.xlsx]原始数据'!$F:$F,MATCH($A844,'[AQ_2024.xlsx]原始数据'!$A:$A,0)),""))</f>
        <v/>
      </c>
      <c r="AA844" s="2">
        <f>IFERROR(G844/B844,"")</f>
        <v/>
      </c>
      <c r="AB844" s="2">
        <f>IFERROR(H844/C844,"")</f>
        <v/>
      </c>
      <c r="AC844" s="2">
        <f>IFERROR(I844/D844,"")</f>
        <v/>
      </c>
      <c r="AD844" s="2">
        <f>IFERROR(J844/E844,"")</f>
        <v/>
      </c>
      <c r="AE844" s="2">
        <f>IFERROR(K844/F844,"")</f>
        <v/>
      </c>
      <c r="AF844" s="2">
        <f>IFERROR(L844/B844,"")</f>
        <v/>
      </c>
      <c r="AG844" s="2">
        <f>IFERROR(M844/C844,"")</f>
        <v/>
      </c>
      <c r="AH844" s="2">
        <f>IFERROR(N844/D844,"")</f>
        <v/>
      </c>
      <c r="AI844" s="2">
        <f>IFERROR(O844/E844,"")</f>
        <v/>
      </c>
      <c r="AJ844" s="2">
        <f>IFERROR(P844/F844,"")</f>
        <v/>
      </c>
      <c r="AK844" s="2">
        <f>IFERROR(Q844/B844,"")</f>
        <v/>
      </c>
      <c r="AL844" s="2">
        <f>IFERROR(R844/C844,"")</f>
        <v/>
      </c>
      <c r="AM844" s="2">
        <f>IFERROR(S844/D844,"")</f>
        <v/>
      </c>
      <c r="AN844" s="2">
        <f>IFERROR(T844/E844,"")</f>
        <v/>
      </c>
      <c r="AO844" s="2">
        <f>IFERROR(U844/F844,"")</f>
        <v/>
      </c>
    </row>
    <row r="845">
      <c r="B845">
        <f>IF($A845="","",IFERROR(INDEX('[AQ_2020.xlsx]原始数据'!$B:$B,MATCH($A845,'[AQ_2020.xlsx]原始数据'!$A:$A,0)),""))</f>
        <v/>
      </c>
      <c r="C845">
        <f>IF($A845="","",IFERROR(INDEX('[AQ_2021.xlsx]原始数据'!$B:$B,MATCH($A845,'[AQ_2021.xlsx]原始数据'!$A:$A,0)),""))</f>
        <v/>
      </c>
      <c r="D845">
        <f>IF($A845="","",IFERROR(INDEX('[AQ_2022.xlsx]原始数据'!$B:$B,MATCH($A845,'[AQ_2022.xlsx]原始数据'!$A:$A,0)),""))</f>
        <v/>
      </c>
      <c r="E845">
        <f>IF($A845="","",IFERROR(INDEX('[AQ_2023.xlsx]原始数据'!$B:$B,MATCH($A845,'[AQ_2023.xlsx]原始数据'!$A:$A,0)),""))</f>
        <v/>
      </c>
      <c r="F845">
        <f>IF($A845="","",IFERROR(INDEX('[AQ_2024.xlsx]原始数据'!$B:$B,MATCH($A845,'[AQ_2024.xlsx]原始数据'!$A:$A,0)),""))</f>
        <v/>
      </c>
      <c r="G845">
        <f>IF($A845="","",IFERROR(INDEX('[AQ_2020.xlsx]原始数据'!$C:$C,MATCH($A845,'[AQ_2020.xlsx]原始数据'!$A:$A,0)),""))</f>
        <v/>
      </c>
      <c r="H845">
        <f>IF($A845="","",IFERROR(INDEX('[AQ_2021.xlsx]原始数据'!$C:$C,MATCH($A845,'[AQ_2021.xlsx]原始数据'!$A:$A,0)),""))</f>
        <v/>
      </c>
      <c r="I845">
        <f>IF($A845="","",IFERROR(INDEX('[AQ_2022.xlsx]原始数据'!$C:$C,MATCH($A845,'[AQ_2022.xlsx]原始数据'!$A:$A,0)),""))</f>
        <v/>
      </c>
      <c r="J845">
        <f>IF($A845="","",IFERROR(INDEX('[AQ_2023.xlsx]原始数据'!$C:$C,MATCH($A845,'[AQ_2023.xlsx]原始数据'!$A:$A,0)),""))</f>
        <v/>
      </c>
      <c r="K845">
        <f>IF($A845="","",IFERROR(INDEX('[AQ_2024.xlsx]原始数据'!$C:$C,MATCH($A845,'[AQ_2024.xlsx]原始数据'!$A:$A,0)),""))</f>
        <v/>
      </c>
      <c r="L845">
        <f>IF($A845="","",IFERROR(INDEX('[AQ_2020.xlsx]原始数据'!$D:$D,MATCH($A845,'[AQ_2020.xlsx]原始数据'!$A:$A,0)),""))</f>
        <v/>
      </c>
      <c r="M845">
        <f>IF($A845="","",IFERROR(INDEX('[AQ_2021.xlsx]原始数据'!$D:$D,MATCH($A845,'[AQ_2021.xlsx]原始数据'!$A:$A,0)),""))</f>
        <v/>
      </c>
      <c r="N845">
        <f>IF($A845="","",IFERROR(INDEX('[AQ_2022.xlsx]原始数据'!$D:$D,MATCH($A845,'[AQ_2022.xlsx]原始数据'!$A:$A,0)),""))</f>
        <v/>
      </c>
      <c r="O845">
        <f>IF($A845="","",IFERROR(INDEX('[AQ_2023.xlsx]原始数据'!$D:$D,MATCH($A845,'[AQ_2023.xlsx]原始数据'!$A:$A,0)),""))</f>
        <v/>
      </c>
      <c r="P845">
        <f>IF($A845="","",IFERROR(INDEX('[AQ_2024.xlsx]原始数据'!$D:$D,MATCH($A845,'[AQ_2024.xlsx]原始数据'!$A:$A,0)),""))</f>
        <v/>
      </c>
      <c r="Q845">
        <f>IF($A845="","",IFERROR(INDEX('[AQ_2020.xlsx]原始数据'!$E:$E,MATCH($A845,'[AQ_2020.xlsx]原始数据'!$A:$A,0)),""))</f>
        <v/>
      </c>
      <c r="R845">
        <f>IF($A845="","",IFERROR(INDEX('[AQ_2021.xlsx]原始数据'!$E:$E,MATCH($A845,'[AQ_2021.xlsx]原始数据'!$A:$A,0)),""))</f>
        <v/>
      </c>
      <c r="S845">
        <f>IF($A845="","",IFERROR(INDEX('[AQ_2022.xlsx]原始数据'!$E:$E,MATCH($A845,'[AQ_2022.xlsx]原始数据'!$A:$A,0)),""))</f>
        <v/>
      </c>
      <c r="T845">
        <f>IF($A845="","",IFERROR(INDEX('[AQ_2023.xlsx]原始数据'!$E:$E,MATCH($A845,'[AQ_2023.xlsx]原始数据'!$A:$A,0)),""))</f>
        <v/>
      </c>
      <c r="U845">
        <f>IF($A845="","",IFERROR(INDEX('[AQ_2024.xlsx]原始数据'!$E:$E,MATCH($A845,'[AQ_2024.xlsx]原始数据'!$A:$A,0)),""))</f>
        <v/>
      </c>
      <c r="V845">
        <f>IF($A845="","",IFERROR(INDEX('[AQ_2020.xlsx]原始数据'!$F:$F,MATCH($A845,'[AQ_2020.xlsx]原始数据'!$A:$A,0)),""))</f>
        <v/>
      </c>
      <c r="W845">
        <f>IF($A845="","",IFERROR(INDEX('[AQ_2021.xlsx]原始数据'!$F:$F,MATCH($A845,'[AQ_2021.xlsx]原始数据'!$A:$A,0)),""))</f>
        <v/>
      </c>
      <c r="X845">
        <f>IF($A845="","",IFERROR(INDEX('[AQ_2022.xlsx]原始数据'!$F:$F,MATCH($A845,'[AQ_2022.xlsx]原始数据'!$A:$A,0)),""))</f>
        <v/>
      </c>
      <c r="Y845">
        <f>IF($A845="","",IFERROR(INDEX('[AQ_2023.xlsx]原始数据'!$F:$F,MATCH($A845,'[AQ_2023.xlsx]原始数据'!$A:$A,0)),""))</f>
        <v/>
      </c>
      <c r="Z845">
        <f>IF($A845="","",IFERROR(INDEX('[AQ_2024.xlsx]原始数据'!$F:$F,MATCH($A845,'[AQ_2024.xlsx]原始数据'!$A:$A,0)),""))</f>
        <v/>
      </c>
      <c r="AA845" s="2">
        <f>IFERROR(G845/B845,"")</f>
        <v/>
      </c>
      <c r="AB845" s="2">
        <f>IFERROR(H845/C845,"")</f>
        <v/>
      </c>
      <c r="AC845" s="2">
        <f>IFERROR(I845/D845,"")</f>
        <v/>
      </c>
      <c r="AD845" s="2">
        <f>IFERROR(J845/E845,"")</f>
        <v/>
      </c>
      <c r="AE845" s="2">
        <f>IFERROR(K845/F845,"")</f>
        <v/>
      </c>
      <c r="AF845" s="2">
        <f>IFERROR(L845/B845,"")</f>
        <v/>
      </c>
      <c r="AG845" s="2">
        <f>IFERROR(M845/C845,"")</f>
        <v/>
      </c>
      <c r="AH845" s="2">
        <f>IFERROR(N845/D845,"")</f>
        <v/>
      </c>
      <c r="AI845" s="2">
        <f>IFERROR(O845/E845,"")</f>
        <v/>
      </c>
      <c r="AJ845" s="2">
        <f>IFERROR(P845/F845,"")</f>
        <v/>
      </c>
      <c r="AK845" s="2">
        <f>IFERROR(Q845/B845,"")</f>
        <v/>
      </c>
      <c r="AL845" s="2">
        <f>IFERROR(R845/C845,"")</f>
        <v/>
      </c>
      <c r="AM845" s="2">
        <f>IFERROR(S845/D845,"")</f>
        <v/>
      </c>
      <c r="AN845" s="2">
        <f>IFERROR(T845/E845,"")</f>
        <v/>
      </c>
      <c r="AO845" s="2">
        <f>IFERROR(U845/F845,"")</f>
        <v/>
      </c>
    </row>
    <row r="846">
      <c r="B846">
        <f>IF($A846="","",IFERROR(INDEX('[AQ_2020.xlsx]原始数据'!$B:$B,MATCH($A846,'[AQ_2020.xlsx]原始数据'!$A:$A,0)),""))</f>
        <v/>
      </c>
      <c r="C846">
        <f>IF($A846="","",IFERROR(INDEX('[AQ_2021.xlsx]原始数据'!$B:$B,MATCH($A846,'[AQ_2021.xlsx]原始数据'!$A:$A,0)),""))</f>
        <v/>
      </c>
      <c r="D846">
        <f>IF($A846="","",IFERROR(INDEX('[AQ_2022.xlsx]原始数据'!$B:$B,MATCH($A846,'[AQ_2022.xlsx]原始数据'!$A:$A,0)),""))</f>
        <v/>
      </c>
      <c r="E846">
        <f>IF($A846="","",IFERROR(INDEX('[AQ_2023.xlsx]原始数据'!$B:$B,MATCH($A846,'[AQ_2023.xlsx]原始数据'!$A:$A,0)),""))</f>
        <v/>
      </c>
      <c r="F846">
        <f>IF($A846="","",IFERROR(INDEX('[AQ_2024.xlsx]原始数据'!$B:$B,MATCH($A846,'[AQ_2024.xlsx]原始数据'!$A:$A,0)),""))</f>
        <v/>
      </c>
      <c r="G846">
        <f>IF($A846="","",IFERROR(INDEX('[AQ_2020.xlsx]原始数据'!$C:$C,MATCH($A846,'[AQ_2020.xlsx]原始数据'!$A:$A,0)),""))</f>
        <v/>
      </c>
      <c r="H846">
        <f>IF($A846="","",IFERROR(INDEX('[AQ_2021.xlsx]原始数据'!$C:$C,MATCH($A846,'[AQ_2021.xlsx]原始数据'!$A:$A,0)),""))</f>
        <v/>
      </c>
      <c r="I846">
        <f>IF($A846="","",IFERROR(INDEX('[AQ_2022.xlsx]原始数据'!$C:$C,MATCH($A846,'[AQ_2022.xlsx]原始数据'!$A:$A,0)),""))</f>
        <v/>
      </c>
      <c r="J846">
        <f>IF($A846="","",IFERROR(INDEX('[AQ_2023.xlsx]原始数据'!$C:$C,MATCH($A846,'[AQ_2023.xlsx]原始数据'!$A:$A,0)),""))</f>
        <v/>
      </c>
      <c r="K846">
        <f>IF($A846="","",IFERROR(INDEX('[AQ_2024.xlsx]原始数据'!$C:$C,MATCH($A846,'[AQ_2024.xlsx]原始数据'!$A:$A,0)),""))</f>
        <v/>
      </c>
      <c r="L846">
        <f>IF($A846="","",IFERROR(INDEX('[AQ_2020.xlsx]原始数据'!$D:$D,MATCH($A846,'[AQ_2020.xlsx]原始数据'!$A:$A,0)),""))</f>
        <v/>
      </c>
      <c r="M846">
        <f>IF($A846="","",IFERROR(INDEX('[AQ_2021.xlsx]原始数据'!$D:$D,MATCH($A846,'[AQ_2021.xlsx]原始数据'!$A:$A,0)),""))</f>
        <v/>
      </c>
      <c r="N846">
        <f>IF($A846="","",IFERROR(INDEX('[AQ_2022.xlsx]原始数据'!$D:$D,MATCH($A846,'[AQ_2022.xlsx]原始数据'!$A:$A,0)),""))</f>
        <v/>
      </c>
      <c r="O846">
        <f>IF($A846="","",IFERROR(INDEX('[AQ_2023.xlsx]原始数据'!$D:$D,MATCH($A846,'[AQ_2023.xlsx]原始数据'!$A:$A,0)),""))</f>
        <v/>
      </c>
      <c r="P846">
        <f>IF($A846="","",IFERROR(INDEX('[AQ_2024.xlsx]原始数据'!$D:$D,MATCH($A846,'[AQ_2024.xlsx]原始数据'!$A:$A,0)),""))</f>
        <v/>
      </c>
      <c r="Q846">
        <f>IF($A846="","",IFERROR(INDEX('[AQ_2020.xlsx]原始数据'!$E:$E,MATCH($A846,'[AQ_2020.xlsx]原始数据'!$A:$A,0)),""))</f>
        <v/>
      </c>
      <c r="R846">
        <f>IF($A846="","",IFERROR(INDEX('[AQ_2021.xlsx]原始数据'!$E:$E,MATCH($A846,'[AQ_2021.xlsx]原始数据'!$A:$A,0)),""))</f>
        <v/>
      </c>
      <c r="S846">
        <f>IF($A846="","",IFERROR(INDEX('[AQ_2022.xlsx]原始数据'!$E:$E,MATCH($A846,'[AQ_2022.xlsx]原始数据'!$A:$A,0)),""))</f>
        <v/>
      </c>
      <c r="T846">
        <f>IF($A846="","",IFERROR(INDEX('[AQ_2023.xlsx]原始数据'!$E:$E,MATCH($A846,'[AQ_2023.xlsx]原始数据'!$A:$A,0)),""))</f>
        <v/>
      </c>
      <c r="U846">
        <f>IF($A846="","",IFERROR(INDEX('[AQ_2024.xlsx]原始数据'!$E:$E,MATCH($A846,'[AQ_2024.xlsx]原始数据'!$A:$A,0)),""))</f>
        <v/>
      </c>
      <c r="V846">
        <f>IF($A846="","",IFERROR(INDEX('[AQ_2020.xlsx]原始数据'!$F:$F,MATCH($A846,'[AQ_2020.xlsx]原始数据'!$A:$A,0)),""))</f>
        <v/>
      </c>
      <c r="W846">
        <f>IF($A846="","",IFERROR(INDEX('[AQ_2021.xlsx]原始数据'!$F:$F,MATCH($A846,'[AQ_2021.xlsx]原始数据'!$A:$A,0)),""))</f>
        <v/>
      </c>
      <c r="X846">
        <f>IF($A846="","",IFERROR(INDEX('[AQ_2022.xlsx]原始数据'!$F:$F,MATCH($A846,'[AQ_2022.xlsx]原始数据'!$A:$A,0)),""))</f>
        <v/>
      </c>
      <c r="Y846">
        <f>IF($A846="","",IFERROR(INDEX('[AQ_2023.xlsx]原始数据'!$F:$F,MATCH($A846,'[AQ_2023.xlsx]原始数据'!$A:$A,0)),""))</f>
        <v/>
      </c>
      <c r="Z846">
        <f>IF($A846="","",IFERROR(INDEX('[AQ_2024.xlsx]原始数据'!$F:$F,MATCH($A846,'[AQ_2024.xlsx]原始数据'!$A:$A,0)),""))</f>
        <v/>
      </c>
      <c r="AA846" s="2">
        <f>IFERROR(G846/B846,"")</f>
        <v/>
      </c>
      <c r="AB846" s="2">
        <f>IFERROR(H846/C846,"")</f>
        <v/>
      </c>
      <c r="AC846" s="2">
        <f>IFERROR(I846/D846,"")</f>
        <v/>
      </c>
      <c r="AD846" s="2">
        <f>IFERROR(J846/E846,"")</f>
        <v/>
      </c>
      <c r="AE846" s="2">
        <f>IFERROR(K846/F846,"")</f>
        <v/>
      </c>
      <c r="AF846" s="2">
        <f>IFERROR(L846/B846,"")</f>
        <v/>
      </c>
      <c r="AG846" s="2">
        <f>IFERROR(M846/C846,"")</f>
        <v/>
      </c>
      <c r="AH846" s="2">
        <f>IFERROR(N846/D846,"")</f>
        <v/>
      </c>
      <c r="AI846" s="2">
        <f>IFERROR(O846/E846,"")</f>
        <v/>
      </c>
      <c r="AJ846" s="2">
        <f>IFERROR(P846/F846,"")</f>
        <v/>
      </c>
      <c r="AK846" s="2">
        <f>IFERROR(Q846/B846,"")</f>
        <v/>
      </c>
      <c r="AL846" s="2">
        <f>IFERROR(R846/C846,"")</f>
        <v/>
      </c>
      <c r="AM846" s="2">
        <f>IFERROR(S846/D846,"")</f>
        <v/>
      </c>
      <c r="AN846" s="2">
        <f>IFERROR(T846/E846,"")</f>
        <v/>
      </c>
      <c r="AO846" s="2">
        <f>IFERROR(U846/F846,"")</f>
        <v/>
      </c>
    </row>
    <row r="847">
      <c r="B847">
        <f>IF($A847="","",IFERROR(INDEX('[AQ_2020.xlsx]原始数据'!$B:$B,MATCH($A847,'[AQ_2020.xlsx]原始数据'!$A:$A,0)),""))</f>
        <v/>
      </c>
      <c r="C847">
        <f>IF($A847="","",IFERROR(INDEX('[AQ_2021.xlsx]原始数据'!$B:$B,MATCH($A847,'[AQ_2021.xlsx]原始数据'!$A:$A,0)),""))</f>
        <v/>
      </c>
      <c r="D847">
        <f>IF($A847="","",IFERROR(INDEX('[AQ_2022.xlsx]原始数据'!$B:$B,MATCH($A847,'[AQ_2022.xlsx]原始数据'!$A:$A,0)),""))</f>
        <v/>
      </c>
      <c r="E847">
        <f>IF($A847="","",IFERROR(INDEX('[AQ_2023.xlsx]原始数据'!$B:$B,MATCH($A847,'[AQ_2023.xlsx]原始数据'!$A:$A,0)),""))</f>
        <v/>
      </c>
      <c r="F847">
        <f>IF($A847="","",IFERROR(INDEX('[AQ_2024.xlsx]原始数据'!$B:$B,MATCH($A847,'[AQ_2024.xlsx]原始数据'!$A:$A,0)),""))</f>
        <v/>
      </c>
      <c r="G847">
        <f>IF($A847="","",IFERROR(INDEX('[AQ_2020.xlsx]原始数据'!$C:$C,MATCH($A847,'[AQ_2020.xlsx]原始数据'!$A:$A,0)),""))</f>
        <v/>
      </c>
      <c r="H847">
        <f>IF($A847="","",IFERROR(INDEX('[AQ_2021.xlsx]原始数据'!$C:$C,MATCH($A847,'[AQ_2021.xlsx]原始数据'!$A:$A,0)),""))</f>
        <v/>
      </c>
      <c r="I847">
        <f>IF($A847="","",IFERROR(INDEX('[AQ_2022.xlsx]原始数据'!$C:$C,MATCH($A847,'[AQ_2022.xlsx]原始数据'!$A:$A,0)),""))</f>
        <v/>
      </c>
      <c r="J847">
        <f>IF($A847="","",IFERROR(INDEX('[AQ_2023.xlsx]原始数据'!$C:$C,MATCH($A847,'[AQ_2023.xlsx]原始数据'!$A:$A,0)),""))</f>
        <v/>
      </c>
      <c r="K847">
        <f>IF($A847="","",IFERROR(INDEX('[AQ_2024.xlsx]原始数据'!$C:$C,MATCH($A847,'[AQ_2024.xlsx]原始数据'!$A:$A,0)),""))</f>
        <v/>
      </c>
      <c r="L847">
        <f>IF($A847="","",IFERROR(INDEX('[AQ_2020.xlsx]原始数据'!$D:$D,MATCH($A847,'[AQ_2020.xlsx]原始数据'!$A:$A,0)),""))</f>
        <v/>
      </c>
      <c r="M847">
        <f>IF($A847="","",IFERROR(INDEX('[AQ_2021.xlsx]原始数据'!$D:$D,MATCH($A847,'[AQ_2021.xlsx]原始数据'!$A:$A,0)),""))</f>
        <v/>
      </c>
      <c r="N847">
        <f>IF($A847="","",IFERROR(INDEX('[AQ_2022.xlsx]原始数据'!$D:$D,MATCH($A847,'[AQ_2022.xlsx]原始数据'!$A:$A,0)),""))</f>
        <v/>
      </c>
      <c r="O847">
        <f>IF($A847="","",IFERROR(INDEX('[AQ_2023.xlsx]原始数据'!$D:$D,MATCH($A847,'[AQ_2023.xlsx]原始数据'!$A:$A,0)),""))</f>
        <v/>
      </c>
      <c r="P847">
        <f>IF($A847="","",IFERROR(INDEX('[AQ_2024.xlsx]原始数据'!$D:$D,MATCH($A847,'[AQ_2024.xlsx]原始数据'!$A:$A,0)),""))</f>
        <v/>
      </c>
      <c r="Q847">
        <f>IF($A847="","",IFERROR(INDEX('[AQ_2020.xlsx]原始数据'!$E:$E,MATCH($A847,'[AQ_2020.xlsx]原始数据'!$A:$A,0)),""))</f>
        <v/>
      </c>
      <c r="R847">
        <f>IF($A847="","",IFERROR(INDEX('[AQ_2021.xlsx]原始数据'!$E:$E,MATCH($A847,'[AQ_2021.xlsx]原始数据'!$A:$A,0)),""))</f>
        <v/>
      </c>
      <c r="S847">
        <f>IF($A847="","",IFERROR(INDEX('[AQ_2022.xlsx]原始数据'!$E:$E,MATCH($A847,'[AQ_2022.xlsx]原始数据'!$A:$A,0)),""))</f>
        <v/>
      </c>
      <c r="T847">
        <f>IF($A847="","",IFERROR(INDEX('[AQ_2023.xlsx]原始数据'!$E:$E,MATCH($A847,'[AQ_2023.xlsx]原始数据'!$A:$A,0)),""))</f>
        <v/>
      </c>
      <c r="U847">
        <f>IF($A847="","",IFERROR(INDEX('[AQ_2024.xlsx]原始数据'!$E:$E,MATCH($A847,'[AQ_2024.xlsx]原始数据'!$A:$A,0)),""))</f>
        <v/>
      </c>
      <c r="V847">
        <f>IF($A847="","",IFERROR(INDEX('[AQ_2020.xlsx]原始数据'!$F:$F,MATCH($A847,'[AQ_2020.xlsx]原始数据'!$A:$A,0)),""))</f>
        <v/>
      </c>
      <c r="W847">
        <f>IF($A847="","",IFERROR(INDEX('[AQ_2021.xlsx]原始数据'!$F:$F,MATCH($A847,'[AQ_2021.xlsx]原始数据'!$A:$A,0)),""))</f>
        <v/>
      </c>
      <c r="X847">
        <f>IF($A847="","",IFERROR(INDEX('[AQ_2022.xlsx]原始数据'!$F:$F,MATCH($A847,'[AQ_2022.xlsx]原始数据'!$A:$A,0)),""))</f>
        <v/>
      </c>
      <c r="Y847">
        <f>IF($A847="","",IFERROR(INDEX('[AQ_2023.xlsx]原始数据'!$F:$F,MATCH($A847,'[AQ_2023.xlsx]原始数据'!$A:$A,0)),""))</f>
        <v/>
      </c>
      <c r="Z847">
        <f>IF($A847="","",IFERROR(INDEX('[AQ_2024.xlsx]原始数据'!$F:$F,MATCH($A847,'[AQ_2024.xlsx]原始数据'!$A:$A,0)),""))</f>
        <v/>
      </c>
      <c r="AA847" s="2">
        <f>IFERROR(G847/B847,"")</f>
        <v/>
      </c>
      <c r="AB847" s="2">
        <f>IFERROR(H847/C847,"")</f>
        <v/>
      </c>
      <c r="AC847" s="2">
        <f>IFERROR(I847/D847,"")</f>
        <v/>
      </c>
      <c r="AD847" s="2">
        <f>IFERROR(J847/E847,"")</f>
        <v/>
      </c>
      <c r="AE847" s="2">
        <f>IFERROR(K847/F847,"")</f>
        <v/>
      </c>
      <c r="AF847" s="2">
        <f>IFERROR(L847/B847,"")</f>
        <v/>
      </c>
      <c r="AG847" s="2">
        <f>IFERROR(M847/C847,"")</f>
        <v/>
      </c>
      <c r="AH847" s="2">
        <f>IFERROR(N847/D847,"")</f>
        <v/>
      </c>
      <c r="AI847" s="2">
        <f>IFERROR(O847/E847,"")</f>
        <v/>
      </c>
      <c r="AJ847" s="2">
        <f>IFERROR(P847/F847,"")</f>
        <v/>
      </c>
      <c r="AK847" s="2">
        <f>IFERROR(Q847/B847,"")</f>
        <v/>
      </c>
      <c r="AL847" s="2">
        <f>IFERROR(R847/C847,"")</f>
        <v/>
      </c>
      <c r="AM847" s="2">
        <f>IFERROR(S847/D847,"")</f>
        <v/>
      </c>
      <c r="AN847" s="2">
        <f>IFERROR(T847/E847,"")</f>
        <v/>
      </c>
      <c r="AO847" s="2">
        <f>IFERROR(U847/F847,"")</f>
        <v/>
      </c>
    </row>
    <row r="848">
      <c r="B848">
        <f>IF($A848="","",IFERROR(INDEX('[AQ_2020.xlsx]原始数据'!$B:$B,MATCH($A848,'[AQ_2020.xlsx]原始数据'!$A:$A,0)),""))</f>
        <v/>
      </c>
      <c r="C848">
        <f>IF($A848="","",IFERROR(INDEX('[AQ_2021.xlsx]原始数据'!$B:$B,MATCH($A848,'[AQ_2021.xlsx]原始数据'!$A:$A,0)),""))</f>
        <v/>
      </c>
      <c r="D848">
        <f>IF($A848="","",IFERROR(INDEX('[AQ_2022.xlsx]原始数据'!$B:$B,MATCH($A848,'[AQ_2022.xlsx]原始数据'!$A:$A,0)),""))</f>
        <v/>
      </c>
      <c r="E848">
        <f>IF($A848="","",IFERROR(INDEX('[AQ_2023.xlsx]原始数据'!$B:$B,MATCH($A848,'[AQ_2023.xlsx]原始数据'!$A:$A,0)),""))</f>
        <v/>
      </c>
      <c r="F848">
        <f>IF($A848="","",IFERROR(INDEX('[AQ_2024.xlsx]原始数据'!$B:$B,MATCH($A848,'[AQ_2024.xlsx]原始数据'!$A:$A,0)),""))</f>
        <v/>
      </c>
      <c r="G848">
        <f>IF($A848="","",IFERROR(INDEX('[AQ_2020.xlsx]原始数据'!$C:$C,MATCH($A848,'[AQ_2020.xlsx]原始数据'!$A:$A,0)),""))</f>
        <v/>
      </c>
      <c r="H848">
        <f>IF($A848="","",IFERROR(INDEX('[AQ_2021.xlsx]原始数据'!$C:$C,MATCH($A848,'[AQ_2021.xlsx]原始数据'!$A:$A,0)),""))</f>
        <v/>
      </c>
      <c r="I848">
        <f>IF($A848="","",IFERROR(INDEX('[AQ_2022.xlsx]原始数据'!$C:$C,MATCH($A848,'[AQ_2022.xlsx]原始数据'!$A:$A,0)),""))</f>
        <v/>
      </c>
      <c r="J848">
        <f>IF($A848="","",IFERROR(INDEX('[AQ_2023.xlsx]原始数据'!$C:$C,MATCH($A848,'[AQ_2023.xlsx]原始数据'!$A:$A,0)),""))</f>
        <v/>
      </c>
      <c r="K848">
        <f>IF($A848="","",IFERROR(INDEX('[AQ_2024.xlsx]原始数据'!$C:$C,MATCH($A848,'[AQ_2024.xlsx]原始数据'!$A:$A,0)),""))</f>
        <v/>
      </c>
      <c r="L848">
        <f>IF($A848="","",IFERROR(INDEX('[AQ_2020.xlsx]原始数据'!$D:$D,MATCH($A848,'[AQ_2020.xlsx]原始数据'!$A:$A,0)),""))</f>
        <v/>
      </c>
      <c r="M848">
        <f>IF($A848="","",IFERROR(INDEX('[AQ_2021.xlsx]原始数据'!$D:$D,MATCH($A848,'[AQ_2021.xlsx]原始数据'!$A:$A,0)),""))</f>
        <v/>
      </c>
      <c r="N848">
        <f>IF($A848="","",IFERROR(INDEX('[AQ_2022.xlsx]原始数据'!$D:$D,MATCH($A848,'[AQ_2022.xlsx]原始数据'!$A:$A,0)),""))</f>
        <v/>
      </c>
      <c r="O848">
        <f>IF($A848="","",IFERROR(INDEX('[AQ_2023.xlsx]原始数据'!$D:$D,MATCH($A848,'[AQ_2023.xlsx]原始数据'!$A:$A,0)),""))</f>
        <v/>
      </c>
      <c r="P848">
        <f>IF($A848="","",IFERROR(INDEX('[AQ_2024.xlsx]原始数据'!$D:$D,MATCH($A848,'[AQ_2024.xlsx]原始数据'!$A:$A,0)),""))</f>
        <v/>
      </c>
      <c r="Q848">
        <f>IF($A848="","",IFERROR(INDEX('[AQ_2020.xlsx]原始数据'!$E:$E,MATCH($A848,'[AQ_2020.xlsx]原始数据'!$A:$A,0)),""))</f>
        <v/>
      </c>
      <c r="R848">
        <f>IF($A848="","",IFERROR(INDEX('[AQ_2021.xlsx]原始数据'!$E:$E,MATCH($A848,'[AQ_2021.xlsx]原始数据'!$A:$A,0)),""))</f>
        <v/>
      </c>
      <c r="S848">
        <f>IF($A848="","",IFERROR(INDEX('[AQ_2022.xlsx]原始数据'!$E:$E,MATCH($A848,'[AQ_2022.xlsx]原始数据'!$A:$A,0)),""))</f>
        <v/>
      </c>
      <c r="T848">
        <f>IF($A848="","",IFERROR(INDEX('[AQ_2023.xlsx]原始数据'!$E:$E,MATCH($A848,'[AQ_2023.xlsx]原始数据'!$A:$A,0)),""))</f>
        <v/>
      </c>
      <c r="U848">
        <f>IF($A848="","",IFERROR(INDEX('[AQ_2024.xlsx]原始数据'!$E:$E,MATCH($A848,'[AQ_2024.xlsx]原始数据'!$A:$A,0)),""))</f>
        <v/>
      </c>
      <c r="V848">
        <f>IF($A848="","",IFERROR(INDEX('[AQ_2020.xlsx]原始数据'!$F:$F,MATCH($A848,'[AQ_2020.xlsx]原始数据'!$A:$A,0)),""))</f>
        <v/>
      </c>
      <c r="W848">
        <f>IF($A848="","",IFERROR(INDEX('[AQ_2021.xlsx]原始数据'!$F:$F,MATCH($A848,'[AQ_2021.xlsx]原始数据'!$A:$A,0)),""))</f>
        <v/>
      </c>
      <c r="X848">
        <f>IF($A848="","",IFERROR(INDEX('[AQ_2022.xlsx]原始数据'!$F:$F,MATCH($A848,'[AQ_2022.xlsx]原始数据'!$A:$A,0)),""))</f>
        <v/>
      </c>
      <c r="Y848">
        <f>IF($A848="","",IFERROR(INDEX('[AQ_2023.xlsx]原始数据'!$F:$F,MATCH($A848,'[AQ_2023.xlsx]原始数据'!$A:$A,0)),""))</f>
        <v/>
      </c>
      <c r="Z848">
        <f>IF($A848="","",IFERROR(INDEX('[AQ_2024.xlsx]原始数据'!$F:$F,MATCH($A848,'[AQ_2024.xlsx]原始数据'!$A:$A,0)),""))</f>
        <v/>
      </c>
      <c r="AA848" s="2">
        <f>IFERROR(G848/B848,"")</f>
        <v/>
      </c>
      <c r="AB848" s="2">
        <f>IFERROR(H848/C848,"")</f>
        <v/>
      </c>
      <c r="AC848" s="2">
        <f>IFERROR(I848/D848,"")</f>
        <v/>
      </c>
      <c r="AD848" s="2">
        <f>IFERROR(J848/E848,"")</f>
        <v/>
      </c>
      <c r="AE848" s="2">
        <f>IFERROR(K848/F848,"")</f>
        <v/>
      </c>
      <c r="AF848" s="2">
        <f>IFERROR(L848/B848,"")</f>
        <v/>
      </c>
      <c r="AG848" s="2">
        <f>IFERROR(M848/C848,"")</f>
        <v/>
      </c>
      <c r="AH848" s="2">
        <f>IFERROR(N848/D848,"")</f>
        <v/>
      </c>
      <c r="AI848" s="2">
        <f>IFERROR(O848/E848,"")</f>
        <v/>
      </c>
      <c r="AJ848" s="2">
        <f>IFERROR(P848/F848,"")</f>
        <v/>
      </c>
      <c r="AK848" s="2">
        <f>IFERROR(Q848/B848,"")</f>
        <v/>
      </c>
      <c r="AL848" s="2">
        <f>IFERROR(R848/C848,"")</f>
        <v/>
      </c>
      <c r="AM848" s="2">
        <f>IFERROR(S848/D848,"")</f>
        <v/>
      </c>
      <c r="AN848" s="2">
        <f>IFERROR(T848/E848,"")</f>
        <v/>
      </c>
      <c r="AO848" s="2">
        <f>IFERROR(U848/F848,"")</f>
        <v/>
      </c>
    </row>
    <row r="849">
      <c r="B849">
        <f>IF($A849="","",IFERROR(INDEX('[AQ_2020.xlsx]原始数据'!$B:$B,MATCH($A849,'[AQ_2020.xlsx]原始数据'!$A:$A,0)),""))</f>
        <v/>
      </c>
      <c r="C849">
        <f>IF($A849="","",IFERROR(INDEX('[AQ_2021.xlsx]原始数据'!$B:$B,MATCH($A849,'[AQ_2021.xlsx]原始数据'!$A:$A,0)),""))</f>
        <v/>
      </c>
      <c r="D849">
        <f>IF($A849="","",IFERROR(INDEX('[AQ_2022.xlsx]原始数据'!$B:$B,MATCH($A849,'[AQ_2022.xlsx]原始数据'!$A:$A,0)),""))</f>
        <v/>
      </c>
      <c r="E849">
        <f>IF($A849="","",IFERROR(INDEX('[AQ_2023.xlsx]原始数据'!$B:$B,MATCH($A849,'[AQ_2023.xlsx]原始数据'!$A:$A,0)),""))</f>
        <v/>
      </c>
      <c r="F849">
        <f>IF($A849="","",IFERROR(INDEX('[AQ_2024.xlsx]原始数据'!$B:$B,MATCH($A849,'[AQ_2024.xlsx]原始数据'!$A:$A,0)),""))</f>
        <v/>
      </c>
      <c r="G849">
        <f>IF($A849="","",IFERROR(INDEX('[AQ_2020.xlsx]原始数据'!$C:$C,MATCH($A849,'[AQ_2020.xlsx]原始数据'!$A:$A,0)),""))</f>
        <v/>
      </c>
      <c r="H849">
        <f>IF($A849="","",IFERROR(INDEX('[AQ_2021.xlsx]原始数据'!$C:$C,MATCH($A849,'[AQ_2021.xlsx]原始数据'!$A:$A,0)),""))</f>
        <v/>
      </c>
      <c r="I849">
        <f>IF($A849="","",IFERROR(INDEX('[AQ_2022.xlsx]原始数据'!$C:$C,MATCH($A849,'[AQ_2022.xlsx]原始数据'!$A:$A,0)),""))</f>
        <v/>
      </c>
      <c r="J849">
        <f>IF($A849="","",IFERROR(INDEX('[AQ_2023.xlsx]原始数据'!$C:$C,MATCH($A849,'[AQ_2023.xlsx]原始数据'!$A:$A,0)),""))</f>
        <v/>
      </c>
      <c r="K849">
        <f>IF($A849="","",IFERROR(INDEX('[AQ_2024.xlsx]原始数据'!$C:$C,MATCH($A849,'[AQ_2024.xlsx]原始数据'!$A:$A,0)),""))</f>
        <v/>
      </c>
      <c r="L849">
        <f>IF($A849="","",IFERROR(INDEX('[AQ_2020.xlsx]原始数据'!$D:$D,MATCH($A849,'[AQ_2020.xlsx]原始数据'!$A:$A,0)),""))</f>
        <v/>
      </c>
      <c r="M849">
        <f>IF($A849="","",IFERROR(INDEX('[AQ_2021.xlsx]原始数据'!$D:$D,MATCH($A849,'[AQ_2021.xlsx]原始数据'!$A:$A,0)),""))</f>
        <v/>
      </c>
      <c r="N849">
        <f>IF($A849="","",IFERROR(INDEX('[AQ_2022.xlsx]原始数据'!$D:$D,MATCH($A849,'[AQ_2022.xlsx]原始数据'!$A:$A,0)),""))</f>
        <v/>
      </c>
      <c r="O849">
        <f>IF($A849="","",IFERROR(INDEX('[AQ_2023.xlsx]原始数据'!$D:$D,MATCH($A849,'[AQ_2023.xlsx]原始数据'!$A:$A,0)),""))</f>
        <v/>
      </c>
      <c r="P849">
        <f>IF($A849="","",IFERROR(INDEX('[AQ_2024.xlsx]原始数据'!$D:$D,MATCH($A849,'[AQ_2024.xlsx]原始数据'!$A:$A,0)),""))</f>
        <v/>
      </c>
      <c r="Q849">
        <f>IF($A849="","",IFERROR(INDEX('[AQ_2020.xlsx]原始数据'!$E:$E,MATCH($A849,'[AQ_2020.xlsx]原始数据'!$A:$A,0)),""))</f>
        <v/>
      </c>
      <c r="R849">
        <f>IF($A849="","",IFERROR(INDEX('[AQ_2021.xlsx]原始数据'!$E:$E,MATCH($A849,'[AQ_2021.xlsx]原始数据'!$A:$A,0)),""))</f>
        <v/>
      </c>
      <c r="S849">
        <f>IF($A849="","",IFERROR(INDEX('[AQ_2022.xlsx]原始数据'!$E:$E,MATCH($A849,'[AQ_2022.xlsx]原始数据'!$A:$A,0)),""))</f>
        <v/>
      </c>
      <c r="T849">
        <f>IF($A849="","",IFERROR(INDEX('[AQ_2023.xlsx]原始数据'!$E:$E,MATCH($A849,'[AQ_2023.xlsx]原始数据'!$A:$A,0)),""))</f>
        <v/>
      </c>
      <c r="U849">
        <f>IF($A849="","",IFERROR(INDEX('[AQ_2024.xlsx]原始数据'!$E:$E,MATCH($A849,'[AQ_2024.xlsx]原始数据'!$A:$A,0)),""))</f>
        <v/>
      </c>
      <c r="V849">
        <f>IF($A849="","",IFERROR(INDEX('[AQ_2020.xlsx]原始数据'!$F:$F,MATCH($A849,'[AQ_2020.xlsx]原始数据'!$A:$A,0)),""))</f>
        <v/>
      </c>
      <c r="W849">
        <f>IF($A849="","",IFERROR(INDEX('[AQ_2021.xlsx]原始数据'!$F:$F,MATCH($A849,'[AQ_2021.xlsx]原始数据'!$A:$A,0)),""))</f>
        <v/>
      </c>
      <c r="X849">
        <f>IF($A849="","",IFERROR(INDEX('[AQ_2022.xlsx]原始数据'!$F:$F,MATCH($A849,'[AQ_2022.xlsx]原始数据'!$A:$A,0)),""))</f>
        <v/>
      </c>
      <c r="Y849">
        <f>IF($A849="","",IFERROR(INDEX('[AQ_2023.xlsx]原始数据'!$F:$F,MATCH($A849,'[AQ_2023.xlsx]原始数据'!$A:$A,0)),""))</f>
        <v/>
      </c>
      <c r="Z849">
        <f>IF($A849="","",IFERROR(INDEX('[AQ_2024.xlsx]原始数据'!$F:$F,MATCH($A849,'[AQ_2024.xlsx]原始数据'!$A:$A,0)),""))</f>
        <v/>
      </c>
      <c r="AA849" s="2">
        <f>IFERROR(G849/B849,"")</f>
        <v/>
      </c>
      <c r="AB849" s="2">
        <f>IFERROR(H849/C849,"")</f>
        <v/>
      </c>
      <c r="AC849" s="2">
        <f>IFERROR(I849/D849,"")</f>
        <v/>
      </c>
      <c r="AD849" s="2">
        <f>IFERROR(J849/E849,"")</f>
        <v/>
      </c>
      <c r="AE849" s="2">
        <f>IFERROR(K849/F849,"")</f>
        <v/>
      </c>
      <c r="AF849" s="2">
        <f>IFERROR(L849/B849,"")</f>
        <v/>
      </c>
      <c r="AG849" s="2">
        <f>IFERROR(M849/C849,"")</f>
        <v/>
      </c>
      <c r="AH849" s="2">
        <f>IFERROR(N849/D849,"")</f>
        <v/>
      </c>
      <c r="AI849" s="2">
        <f>IFERROR(O849/E849,"")</f>
        <v/>
      </c>
      <c r="AJ849" s="2">
        <f>IFERROR(P849/F849,"")</f>
        <v/>
      </c>
      <c r="AK849" s="2">
        <f>IFERROR(Q849/B849,"")</f>
        <v/>
      </c>
      <c r="AL849" s="2">
        <f>IFERROR(R849/C849,"")</f>
        <v/>
      </c>
      <c r="AM849" s="2">
        <f>IFERROR(S849/D849,"")</f>
        <v/>
      </c>
      <c r="AN849" s="2">
        <f>IFERROR(T849/E849,"")</f>
        <v/>
      </c>
      <c r="AO849" s="2">
        <f>IFERROR(U849/F849,"")</f>
        <v/>
      </c>
    </row>
    <row r="850">
      <c r="B850">
        <f>IF($A850="","",IFERROR(INDEX('[AQ_2020.xlsx]原始数据'!$B:$B,MATCH($A850,'[AQ_2020.xlsx]原始数据'!$A:$A,0)),""))</f>
        <v/>
      </c>
      <c r="C850">
        <f>IF($A850="","",IFERROR(INDEX('[AQ_2021.xlsx]原始数据'!$B:$B,MATCH($A850,'[AQ_2021.xlsx]原始数据'!$A:$A,0)),""))</f>
        <v/>
      </c>
      <c r="D850">
        <f>IF($A850="","",IFERROR(INDEX('[AQ_2022.xlsx]原始数据'!$B:$B,MATCH($A850,'[AQ_2022.xlsx]原始数据'!$A:$A,0)),""))</f>
        <v/>
      </c>
      <c r="E850">
        <f>IF($A850="","",IFERROR(INDEX('[AQ_2023.xlsx]原始数据'!$B:$B,MATCH($A850,'[AQ_2023.xlsx]原始数据'!$A:$A,0)),""))</f>
        <v/>
      </c>
      <c r="F850">
        <f>IF($A850="","",IFERROR(INDEX('[AQ_2024.xlsx]原始数据'!$B:$B,MATCH($A850,'[AQ_2024.xlsx]原始数据'!$A:$A,0)),""))</f>
        <v/>
      </c>
      <c r="G850">
        <f>IF($A850="","",IFERROR(INDEX('[AQ_2020.xlsx]原始数据'!$C:$C,MATCH($A850,'[AQ_2020.xlsx]原始数据'!$A:$A,0)),""))</f>
        <v/>
      </c>
      <c r="H850">
        <f>IF($A850="","",IFERROR(INDEX('[AQ_2021.xlsx]原始数据'!$C:$C,MATCH($A850,'[AQ_2021.xlsx]原始数据'!$A:$A,0)),""))</f>
        <v/>
      </c>
      <c r="I850">
        <f>IF($A850="","",IFERROR(INDEX('[AQ_2022.xlsx]原始数据'!$C:$C,MATCH($A850,'[AQ_2022.xlsx]原始数据'!$A:$A,0)),""))</f>
        <v/>
      </c>
      <c r="J850">
        <f>IF($A850="","",IFERROR(INDEX('[AQ_2023.xlsx]原始数据'!$C:$C,MATCH($A850,'[AQ_2023.xlsx]原始数据'!$A:$A,0)),""))</f>
        <v/>
      </c>
      <c r="K850">
        <f>IF($A850="","",IFERROR(INDEX('[AQ_2024.xlsx]原始数据'!$C:$C,MATCH($A850,'[AQ_2024.xlsx]原始数据'!$A:$A,0)),""))</f>
        <v/>
      </c>
      <c r="L850">
        <f>IF($A850="","",IFERROR(INDEX('[AQ_2020.xlsx]原始数据'!$D:$D,MATCH($A850,'[AQ_2020.xlsx]原始数据'!$A:$A,0)),""))</f>
        <v/>
      </c>
      <c r="M850">
        <f>IF($A850="","",IFERROR(INDEX('[AQ_2021.xlsx]原始数据'!$D:$D,MATCH($A850,'[AQ_2021.xlsx]原始数据'!$A:$A,0)),""))</f>
        <v/>
      </c>
      <c r="N850">
        <f>IF($A850="","",IFERROR(INDEX('[AQ_2022.xlsx]原始数据'!$D:$D,MATCH($A850,'[AQ_2022.xlsx]原始数据'!$A:$A,0)),""))</f>
        <v/>
      </c>
      <c r="O850">
        <f>IF($A850="","",IFERROR(INDEX('[AQ_2023.xlsx]原始数据'!$D:$D,MATCH($A850,'[AQ_2023.xlsx]原始数据'!$A:$A,0)),""))</f>
        <v/>
      </c>
      <c r="P850">
        <f>IF($A850="","",IFERROR(INDEX('[AQ_2024.xlsx]原始数据'!$D:$D,MATCH($A850,'[AQ_2024.xlsx]原始数据'!$A:$A,0)),""))</f>
        <v/>
      </c>
      <c r="Q850">
        <f>IF($A850="","",IFERROR(INDEX('[AQ_2020.xlsx]原始数据'!$E:$E,MATCH($A850,'[AQ_2020.xlsx]原始数据'!$A:$A,0)),""))</f>
        <v/>
      </c>
      <c r="R850">
        <f>IF($A850="","",IFERROR(INDEX('[AQ_2021.xlsx]原始数据'!$E:$E,MATCH($A850,'[AQ_2021.xlsx]原始数据'!$A:$A,0)),""))</f>
        <v/>
      </c>
      <c r="S850">
        <f>IF($A850="","",IFERROR(INDEX('[AQ_2022.xlsx]原始数据'!$E:$E,MATCH($A850,'[AQ_2022.xlsx]原始数据'!$A:$A,0)),""))</f>
        <v/>
      </c>
      <c r="T850">
        <f>IF($A850="","",IFERROR(INDEX('[AQ_2023.xlsx]原始数据'!$E:$E,MATCH($A850,'[AQ_2023.xlsx]原始数据'!$A:$A,0)),""))</f>
        <v/>
      </c>
      <c r="U850">
        <f>IF($A850="","",IFERROR(INDEX('[AQ_2024.xlsx]原始数据'!$E:$E,MATCH($A850,'[AQ_2024.xlsx]原始数据'!$A:$A,0)),""))</f>
        <v/>
      </c>
      <c r="V850">
        <f>IF($A850="","",IFERROR(INDEX('[AQ_2020.xlsx]原始数据'!$F:$F,MATCH($A850,'[AQ_2020.xlsx]原始数据'!$A:$A,0)),""))</f>
        <v/>
      </c>
      <c r="W850">
        <f>IF($A850="","",IFERROR(INDEX('[AQ_2021.xlsx]原始数据'!$F:$F,MATCH($A850,'[AQ_2021.xlsx]原始数据'!$A:$A,0)),""))</f>
        <v/>
      </c>
      <c r="X850">
        <f>IF($A850="","",IFERROR(INDEX('[AQ_2022.xlsx]原始数据'!$F:$F,MATCH($A850,'[AQ_2022.xlsx]原始数据'!$A:$A,0)),""))</f>
        <v/>
      </c>
      <c r="Y850">
        <f>IF($A850="","",IFERROR(INDEX('[AQ_2023.xlsx]原始数据'!$F:$F,MATCH($A850,'[AQ_2023.xlsx]原始数据'!$A:$A,0)),""))</f>
        <v/>
      </c>
      <c r="Z850">
        <f>IF($A850="","",IFERROR(INDEX('[AQ_2024.xlsx]原始数据'!$F:$F,MATCH($A850,'[AQ_2024.xlsx]原始数据'!$A:$A,0)),""))</f>
        <v/>
      </c>
      <c r="AA850" s="2">
        <f>IFERROR(G850/B850,"")</f>
        <v/>
      </c>
      <c r="AB850" s="2">
        <f>IFERROR(H850/C850,"")</f>
        <v/>
      </c>
      <c r="AC850" s="2">
        <f>IFERROR(I850/D850,"")</f>
        <v/>
      </c>
      <c r="AD850" s="2">
        <f>IFERROR(J850/E850,"")</f>
        <v/>
      </c>
      <c r="AE850" s="2">
        <f>IFERROR(K850/F850,"")</f>
        <v/>
      </c>
      <c r="AF850" s="2">
        <f>IFERROR(L850/B850,"")</f>
        <v/>
      </c>
      <c r="AG850" s="2">
        <f>IFERROR(M850/C850,"")</f>
        <v/>
      </c>
      <c r="AH850" s="2">
        <f>IFERROR(N850/D850,"")</f>
        <v/>
      </c>
      <c r="AI850" s="2">
        <f>IFERROR(O850/E850,"")</f>
        <v/>
      </c>
      <c r="AJ850" s="2">
        <f>IFERROR(P850/F850,"")</f>
        <v/>
      </c>
      <c r="AK850" s="2">
        <f>IFERROR(Q850/B850,"")</f>
        <v/>
      </c>
      <c r="AL850" s="2">
        <f>IFERROR(R850/C850,"")</f>
        <v/>
      </c>
      <c r="AM850" s="2">
        <f>IFERROR(S850/D850,"")</f>
        <v/>
      </c>
      <c r="AN850" s="2">
        <f>IFERROR(T850/E850,"")</f>
        <v/>
      </c>
      <c r="AO850" s="2">
        <f>IFERROR(U850/F850,"")</f>
        <v/>
      </c>
    </row>
    <row r="851">
      <c r="B851">
        <f>IF($A851="","",IFERROR(INDEX('[AQ_2020.xlsx]原始数据'!$B:$B,MATCH($A851,'[AQ_2020.xlsx]原始数据'!$A:$A,0)),""))</f>
        <v/>
      </c>
      <c r="C851">
        <f>IF($A851="","",IFERROR(INDEX('[AQ_2021.xlsx]原始数据'!$B:$B,MATCH($A851,'[AQ_2021.xlsx]原始数据'!$A:$A,0)),""))</f>
        <v/>
      </c>
      <c r="D851">
        <f>IF($A851="","",IFERROR(INDEX('[AQ_2022.xlsx]原始数据'!$B:$B,MATCH($A851,'[AQ_2022.xlsx]原始数据'!$A:$A,0)),""))</f>
        <v/>
      </c>
      <c r="E851">
        <f>IF($A851="","",IFERROR(INDEX('[AQ_2023.xlsx]原始数据'!$B:$B,MATCH($A851,'[AQ_2023.xlsx]原始数据'!$A:$A,0)),""))</f>
        <v/>
      </c>
      <c r="F851">
        <f>IF($A851="","",IFERROR(INDEX('[AQ_2024.xlsx]原始数据'!$B:$B,MATCH($A851,'[AQ_2024.xlsx]原始数据'!$A:$A,0)),""))</f>
        <v/>
      </c>
      <c r="G851">
        <f>IF($A851="","",IFERROR(INDEX('[AQ_2020.xlsx]原始数据'!$C:$C,MATCH($A851,'[AQ_2020.xlsx]原始数据'!$A:$A,0)),""))</f>
        <v/>
      </c>
      <c r="H851">
        <f>IF($A851="","",IFERROR(INDEX('[AQ_2021.xlsx]原始数据'!$C:$C,MATCH($A851,'[AQ_2021.xlsx]原始数据'!$A:$A,0)),""))</f>
        <v/>
      </c>
      <c r="I851">
        <f>IF($A851="","",IFERROR(INDEX('[AQ_2022.xlsx]原始数据'!$C:$C,MATCH($A851,'[AQ_2022.xlsx]原始数据'!$A:$A,0)),""))</f>
        <v/>
      </c>
      <c r="J851">
        <f>IF($A851="","",IFERROR(INDEX('[AQ_2023.xlsx]原始数据'!$C:$C,MATCH($A851,'[AQ_2023.xlsx]原始数据'!$A:$A,0)),""))</f>
        <v/>
      </c>
      <c r="K851">
        <f>IF($A851="","",IFERROR(INDEX('[AQ_2024.xlsx]原始数据'!$C:$C,MATCH($A851,'[AQ_2024.xlsx]原始数据'!$A:$A,0)),""))</f>
        <v/>
      </c>
      <c r="L851">
        <f>IF($A851="","",IFERROR(INDEX('[AQ_2020.xlsx]原始数据'!$D:$D,MATCH($A851,'[AQ_2020.xlsx]原始数据'!$A:$A,0)),""))</f>
        <v/>
      </c>
      <c r="M851">
        <f>IF($A851="","",IFERROR(INDEX('[AQ_2021.xlsx]原始数据'!$D:$D,MATCH($A851,'[AQ_2021.xlsx]原始数据'!$A:$A,0)),""))</f>
        <v/>
      </c>
      <c r="N851">
        <f>IF($A851="","",IFERROR(INDEX('[AQ_2022.xlsx]原始数据'!$D:$D,MATCH($A851,'[AQ_2022.xlsx]原始数据'!$A:$A,0)),""))</f>
        <v/>
      </c>
      <c r="O851">
        <f>IF($A851="","",IFERROR(INDEX('[AQ_2023.xlsx]原始数据'!$D:$D,MATCH($A851,'[AQ_2023.xlsx]原始数据'!$A:$A,0)),""))</f>
        <v/>
      </c>
      <c r="P851">
        <f>IF($A851="","",IFERROR(INDEX('[AQ_2024.xlsx]原始数据'!$D:$D,MATCH($A851,'[AQ_2024.xlsx]原始数据'!$A:$A,0)),""))</f>
        <v/>
      </c>
      <c r="Q851">
        <f>IF($A851="","",IFERROR(INDEX('[AQ_2020.xlsx]原始数据'!$E:$E,MATCH($A851,'[AQ_2020.xlsx]原始数据'!$A:$A,0)),""))</f>
        <v/>
      </c>
      <c r="R851">
        <f>IF($A851="","",IFERROR(INDEX('[AQ_2021.xlsx]原始数据'!$E:$E,MATCH($A851,'[AQ_2021.xlsx]原始数据'!$A:$A,0)),""))</f>
        <v/>
      </c>
      <c r="S851">
        <f>IF($A851="","",IFERROR(INDEX('[AQ_2022.xlsx]原始数据'!$E:$E,MATCH($A851,'[AQ_2022.xlsx]原始数据'!$A:$A,0)),""))</f>
        <v/>
      </c>
      <c r="T851">
        <f>IF($A851="","",IFERROR(INDEX('[AQ_2023.xlsx]原始数据'!$E:$E,MATCH($A851,'[AQ_2023.xlsx]原始数据'!$A:$A,0)),""))</f>
        <v/>
      </c>
      <c r="U851">
        <f>IF($A851="","",IFERROR(INDEX('[AQ_2024.xlsx]原始数据'!$E:$E,MATCH($A851,'[AQ_2024.xlsx]原始数据'!$A:$A,0)),""))</f>
        <v/>
      </c>
      <c r="V851">
        <f>IF($A851="","",IFERROR(INDEX('[AQ_2020.xlsx]原始数据'!$F:$F,MATCH($A851,'[AQ_2020.xlsx]原始数据'!$A:$A,0)),""))</f>
        <v/>
      </c>
      <c r="W851">
        <f>IF($A851="","",IFERROR(INDEX('[AQ_2021.xlsx]原始数据'!$F:$F,MATCH($A851,'[AQ_2021.xlsx]原始数据'!$A:$A,0)),""))</f>
        <v/>
      </c>
      <c r="X851">
        <f>IF($A851="","",IFERROR(INDEX('[AQ_2022.xlsx]原始数据'!$F:$F,MATCH($A851,'[AQ_2022.xlsx]原始数据'!$A:$A,0)),""))</f>
        <v/>
      </c>
      <c r="Y851">
        <f>IF($A851="","",IFERROR(INDEX('[AQ_2023.xlsx]原始数据'!$F:$F,MATCH($A851,'[AQ_2023.xlsx]原始数据'!$A:$A,0)),""))</f>
        <v/>
      </c>
      <c r="Z851">
        <f>IF($A851="","",IFERROR(INDEX('[AQ_2024.xlsx]原始数据'!$F:$F,MATCH($A851,'[AQ_2024.xlsx]原始数据'!$A:$A,0)),""))</f>
        <v/>
      </c>
      <c r="AA851" s="2">
        <f>IFERROR(G851/B851,"")</f>
        <v/>
      </c>
      <c r="AB851" s="2">
        <f>IFERROR(H851/C851,"")</f>
        <v/>
      </c>
      <c r="AC851" s="2">
        <f>IFERROR(I851/D851,"")</f>
        <v/>
      </c>
      <c r="AD851" s="2">
        <f>IFERROR(J851/E851,"")</f>
        <v/>
      </c>
      <c r="AE851" s="2">
        <f>IFERROR(K851/F851,"")</f>
        <v/>
      </c>
      <c r="AF851" s="2">
        <f>IFERROR(L851/B851,"")</f>
        <v/>
      </c>
      <c r="AG851" s="2">
        <f>IFERROR(M851/C851,"")</f>
        <v/>
      </c>
      <c r="AH851" s="2">
        <f>IFERROR(N851/D851,"")</f>
        <v/>
      </c>
      <c r="AI851" s="2">
        <f>IFERROR(O851/E851,"")</f>
        <v/>
      </c>
      <c r="AJ851" s="2">
        <f>IFERROR(P851/F851,"")</f>
        <v/>
      </c>
      <c r="AK851" s="2">
        <f>IFERROR(Q851/B851,"")</f>
        <v/>
      </c>
      <c r="AL851" s="2">
        <f>IFERROR(R851/C851,"")</f>
        <v/>
      </c>
      <c r="AM851" s="2">
        <f>IFERROR(S851/D851,"")</f>
        <v/>
      </c>
      <c r="AN851" s="2">
        <f>IFERROR(T851/E851,"")</f>
        <v/>
      </c>
      <c r="AO851" s="2">
        <f>IFERROR(U851/F851,"")</f>
        <v/>
      </c>
    </row>
    <row r="852">
      <c r="B852">
        <f>IF($A852="","",IFERROR(INDEX('[AQ_2020.xlsx]原始数据'!$B:$B,MATCH($A852,'[AQ_2020.xlsx]原始数据'!$A:$A,0)),""))</f>
        <v/>
      </c>
      <c r="C852">
        <f>IF($A852="","",IFERROR(INDEX('[AQ_2021.xlsx]原始数据'!$B:$B,MATCH($A852,'[AQ_2021.xlsx]原始数据'!$A:$A,0)),""))</f>
        <v/>
      </c>
      <c r="D852">
        <f>IF($A852="","",IFERROR(INDEX('[AQ_2022.xlsx]原始数据'!$B:$B,MATCH($A852,'[AQ_2022.xlsx]原始数据'!$A:$A,0)),""))</f>
        <v/>
      </c>
      <c r="E852">
        <f>IF($A852="","",IFERROR(INDEX('[AQ_2023.xlsx]原始数据'!$B:$B,MATCH($A852,'[AQ_2023.xlsx]原始数据'!$A:$A,0)),""))</f>
        <v/>
      </c>
      <c r="F852">
        <f>IF($A852="","",IFERROR(INDEX('[AQ_2024.xlsx]原始数据'!$B:$B,MATCH($A852,'[AQ_2024.xlsx]原始数据'!$A:$A,0)),""))</f>
        <v/>
      </c>
      <c r="G852">
        <f>IF($A852="","",IFERROR(INDEX('[AQ_2020.xlsx]原始数据'!$C:$C,MATCH($A852,'[AQ_2020.xlsx]原始数据'!$A:$A,0)),""))</f>
        <v/>
      </c>
      <c r="H852">
        <f>IF($A852="","",IFERROR(INDEX('[AQ_2021.xlsx]原始数据'!$C:$C,MATCH($A852,'[AQ_2021.xlsx]原始数据'!$A:$A,0)),""))</f>
        <v/>
      </c>
      <c r="I852">
        <f>IF($A852="","",IFERROR(INDEX('[AQ_2022.xlsx]原始数据'!$C:$C,MATCH($A852,'[AQ_2022.xlsx]原始数据'!$A:$A,0)),""))</f>
        <v/>
      </c>
      <c r="J852">
        <f>IF($A852="","",IFERROR(INDEX('[AQ_2023.xlsx]原始数据'!$C:$C,MATCH($A852,'[AQ_2023.xlsx]原始数据'!$A:$A,0)),""))</f>
        <v/>
      </c>
      <c r="K852">
        <f>IF($A852="","",IFERROR(INDEX('[AQ_2024.xlsx]原始数据'!$C:$C,MATCH($A852,'[AQ_2024.xlsx]原始数据'!$A:$A,0)),""))</f>
        <v/>
      </c>
      <c r="L852">
        <f>IF($A852="","",IFERROR(INDEX('[AQ_2020.xlsx]原始数据'!$D:$D,MATCH($A852,'[AQ_2020.xlsx]原始数据'!$A:$A,0)),""))</f>
        <v/>
      </c>
      <c r="M852">
        <f>IF($A852="","",IFERROR(INDEX('[AQ_2021.xlsx]原始数据'!$D:$D,MATCH($A852,'[AQ_2021.xlsx]原始数据'!$A:$A,0)),""))</f>
        <v/>
      </c>
      <c r="N852">
        <f>IF($A852="","",IFERROR(INDEX('[AQ_2022.xlsx]原始数据'!$D:$D,MATCH($A852,'[AQ_2022.xlsx]原始数据'!$A:$A,0)),""))</f>
        <v/>
      </c>
      <c r="O852">
        <f>IF($A852="","",IFERROR(INDEX('[AQ_2023.xlsx]原始数据'!$D:$D,MATCH($A852,'[AQ_2023.xlsx]原始数据'!$A:$A,0)),""))</f>
        <v/>
      </c>
      <c r="P852">
        <f>IF($A852="","",IFERROR(INDEX('[AQ_2024.xlsx]原始数据'!$D:$D,MATCH($A852,'[AQ_2024.xlsx]原始数据'!$A:$A,0)),""))</f>
        <v/>
      </c>
      <c r="Q852">
        <f>IF($A852="","",IFERROR(INDEX('[AQ_2020.xlsx]原始数据'!$E:$E,MATCH($A852,'[AQ_2020.xlsx]原始数据'!$A:$A,0)),""))</f>
        <v/>
      </c>
      <c r="R852">
        <f>IF($A852="","",IFERROR(INDEX('[AQ_2021.xlsx]原始数据'!$E:$E,MATCH($A852,'[AQ_2021.xlsx]原始数据'!$A:$A,0)),""))</f>
        <v/>
      </c>
      <c r="S852">
        <f>IF($A852="","",IFERROR(INDEX('[AQ_2022.xlsx]原始数据'!$E:$E,MATCH($A852,'[AQ_2022.xlsx]原始数据'!$A:$A,0)),""))</f>
        <v/>
      </c>
      <c r="T852">
        <f>IF($A852="","",IFERROR(INDEX('[AQ_2023.xlsx]原始数据'!$E:$E,MATCH($A852,'[AQ_2023.xlsx]原始数据'!$A:$A,0)),""))</f>
        <v/>
      </c>
      <c r="U852">
        <f>IF($A852="","",IFERROR(INDEX('[AQ_2024.xlsx]原始数据'!$E:$E,MATCH($A852,'[AQ_2024.xlsx]原始数据'!$A:$A,0)),""))</f>
        <v/>
      </c>
      <c r="V852">
        <f>IF($A852="","",IFERROR(INDEX('[AQ_2020.xlsx]原始数据'!$F:$F,MATCH($A852,'[AQ_2020.xlsx]原始数据'!$A:$A,0)),""))</f>
        <v/>
      </c>
      <c r="W852">
        <f>IF($A852="","",IFERROR(INDEX('[AQ_2021.xlsx]原始数据'!$F:$F,MATCH($A852,'[AQ_2021.xlsx]原始数据'!$A:$A,0)),""))</f>
        <v/>
      </c>
      <c r="X852">
        <f>IF($A852="","",IFERROR(INDEX('[AQ_2022.xlsx]原始数据'!$F:$F,MATCH($A852,'[AQ_2022.xlsx]原始数据'!$A:$A,0)),""))</f>
        <v/>
      </c>
      <c r="Y852">
        <f>IF($A852="","",IFERROR(INDEX('[AQ_2023.xlsx]原始数据'!$F:$F,MATCH($A852,'[AQ_2023.xlsx]原始数据'!$A:$A,0)),""))</f>
        <v/>
      </c>
      <c r="Z852">
        <f>IF($A852="","",IFERROR(INDEX('[AQ_2024.xlsx]原始数据'!$F:$F,MATCH($A852,'[AQ_2024.xlsx]原始数据'!$A:$A,0)),""))</f>
        <v/>
      </c>
      <c r="AA852" s="2">
        <f>IFERROR(G852/B852,"")</f>
        <v/>
      </c>
      <c r="AB852" s="2">
        <f>IFERROR(H852/C852,"")</f>
        <v/>
      </c>
      <c r="AC852" s="2">
        <f>IFERROR(I852/D852,"")</f>
        <v/>
      </c>
      <c r="AD852" s="2">
        <f>IFERROR(J852/E852,"")</f>
        <v/>
      </c>
      <c r="AE852" s="2">
        <f>IFERROR(K852/F852,"")</f>
        <v/>
      </c>
      <c r="AF852" s="2">
        <f>IFERROR(L852/B852,"")</f>
        <v/>
      </c>
      <c r="AG852" s="2">
        <f>IFERROR(M852/C852,"")</f>
        <v/>
      </c>
      <c r="AH852" s="2">
        <f>IFERROR(N852/D852,"")</f>
        <v/>
      </c>
      <c r="AI852" s="2">
        <f>IFERROR(O852/E852,"")</f>
        <v/>
      </c>
      <c r="AJ852" s="2">
        <f>IFERROR(P852/F852,"")</f>
        <v/>
      </c>
      <c r="AK852" s="2">
        <f>IFERROR(Q852/B852,"")</f>
        <v/>
      </c>
      <c r="AL852" s="2">
        <f>IFERROR(R852/C852,"")</f>
        <v/>
      </c>
      <c r="AM852" s="2">
        <f>IFERROR(S852/D852,"")</f>
        <v/>
      </c>
      <c r="AN852" s="2">
        <f>IFERROR(T852/E852,"")</f>
        <v/>
      </c>
      <c r="AO852" s="2">
        <f>IFERROR(U852/F852,"")</f>
        <v/>
      </c>
    </row>
    <row r="853">
      <c r="B853">
        <f>IF($A853="","",IFERROR(INDEX('[AQ_2020.xlsx]原始数据'!$B:$B,MATCH($A853,'[AQ_2020.xlsx]原始数据'!$A:$A,0)),""))</f>
        <v/>
      </c>
      <c r="C853">
        <f>IF($A853="","",IFERROR(INDEX('[AQ_2021.xlsx]原始数据'!$B:$B,MATCH($A853,'[AQ_2021.xlsx]原始数据'!$A:$A,0)),""))</f>
        <v/>
      </c>
      <c r="D853">
        <f>IF($A853="","",IFERROR(INDEX('[AQ_2022.xlsx]原始数据'!$B:$B,MATCH($A853,'[AQ_2022.xlsx]原始数据'!$A:$A,0)),""))</f>
        <v/>
      </c>
      <c r="E853">
        <f>IF($A853="","",IFERROR(INDEX('[AQ_2023.xlsx]原始数据'!$B:$B,MATCH($A853,'[AQ_2023.xlsx]原始数据'!$A:$A,0)),""))</f>
        <v/>
      </c>
      <c r="F853">
        <f>IF($A853="","",IFERROR(INDEX('[AQ_2024.xlsx]原始数据'!$B:$B,MATCH($A853,'[AQ_2024.xlsx]原始数据'!$A:$A,0)),""))</f>
        <v/>
      </c>
      <c r="G853">
        <f>IF($A853="","",IFERROR(INDEX('[AQ_2020.xlsx]原始数据'!$C:$C,MATCH($A853,'[AQ_2020.xlsx]原始数据'!$A:$A,0)),""))</f>
        <v/>
      </c>
      <c r="H853">
        <f>IF($A853="","",IFERROR(INDEX('[AQ_2021.xlsx]原始数据'!$C:$C,MATCH($A853,'[AQ_2021.xlsx]原始数据'!$A:$A,0)),""))</f>
        <v/>
      </c>
      <c r="I853">
        <f>IF($A853="","",IFERROR(INDEX('[AQ_2022.xlsx]原始数据'!$C:$C,MATCH($A853,'[AQ_2022.xlsx]原始数据'!$A:$A,0)),""))</f>
        <v/>
      </c>
      <c r="J853">
        <f>IF($A853="","",IFERROR(INDEX('[AQ_2023.xlsx]原始数据'!$C:$C,MATCH($A853,'[AQ_2023.xlsx]原始数据'!$A:$A,0)),""))</f>
        <v/>
      </c>
      <c r="K853">
        <f>IF($A853="","",IFERROR(INDEX('[AQ_2024.xlsx]原始数据'!$C:$C,MATCH($A853,'[AQ_2024.xlsx]原始数据'!$A:$A,0)),""))</f>
        <v/>
      </c>
      <c r="L853">
        <f>IF($A853="","",IFERROR(INDEX('[AQ_2020.xlsx]原始数据'!$D:$D,MATCH($A853,'[AQ_2020.xlsx]原始数据'!$A:$A,0)),""))</f>
        <v/>
      </c>
      <c r="M853">
        <f>IF($A853="","",IFERROR(INDEX('[AQ_2021.xlsx]原始数据'!$D:$D,MATCH($A853,'[AQ_2021.xlsx]原始数据'!$A:$A,0)),""))</f>
        <v/>
      </c>
      <c r="N853">
        <f>IF($A853="","",IFERROR(INDEX('[AQ_2022.xlsx]原始数据'!$D:$D,MATCH($A853,'[AQ_2022.xlsx]原始数据'!$A:$A,0)),""))</f>
        <v/>
      </c>
      <c r="O853">
        <f>IF($A853="","",IFERROR(INDEX('[AQ_2023.xlsx]原始数据'!$D:$D,MATCH($A853,'[AQ_2023.xlsx]原始数据'!$A:$A,0)),""))</f>
        <v/>
      </c>
      <c r="P853">
        <f>IF($A853="","",IFERROR(INDEX('[AQ_2024.xlsx]原始数据'!$D:$D,MATCH($A853,'[AQ_2024.xlsx]原始数据'!$A:$A,0)),""))</f>
        <v/>
      </c>
      <c r="Q853">
        <f>IF($A853="","",IFERROR(INDEX('[AQ_2020.xlsx]原始数据'!$E:$E,MATCH($A853,'[AQ_2020.xlsx]原始数据'!$A:$A,0)),""))</f>
        <v/>
      </c>
      <c r="R853">
        <f>IF($A853="","",IFERROR(INDEX('[AQ_2021.xlsx]原始数据'!$E:$E,MATCH($A853,'[AQ_2021.xlsx]原始数据'!$A:$A,0)),""))</f>
        <v/>
      </c>
      <c r="S853">
        <f>IF($A853="","",IFERROR(INDEX('[AQ_2022.xlsx]原始数据'!$E:$E,MATCH($A853,'[AQ_2022.xlsx]原始数据'!$A:$A,0)),""))</f>
        <v/>
      </c>
      <c r="T853">
        <f>IF($A853="","",IFERROR(INDEX('[AQ_2023.xlsx]原始数据'!$E:$E,MATCH($A853,'[AQ_2023.xlsx]原始数据'!$A:$A,0)),""))</f>
        <v/>
      </c>
      <c r="U853">
        <f>IF($A853="","",IFERROR(INDEX('[AQ_2024.xlsx]原始数据'!$E:$E,MATCH($A853,'[AQ_2024.xlsx]原始数据'!$A:$A,0)),""))</f>
        <v/>
      </c>
      <c r="V853">
        <f>IF($A853="","",IFERROR(INDEX('[AQ_2020.xlsx]原始数据'!$F:$F,MATCH($A853,'[AQ_2020.xlsx]原始数据'!$A:$A,0)),""))</f>
        <v/>
      </c>
      <c r="W853">
        <f>IF($A853="","",IFERROR(INDEX('[AQ_2021.xlsx]原始数据'!$F:$F,MATCH($A853,'[AQ_2021.xlsx]原始数据'!$A:$A,0)),""))</f>
        <v/>
      </c>
      <c r="X853">
        <f>IF($A853="","",IFERROR(INDEX('[AQ_2022.xlsx]原始数据'!$F:$F,MATCH($A853,'[AQ_2022.xlsx]原始数据'!$A:$A,0)),""))</f>
        <v/>
      </c>
      <c r="Y853">
        <f>IF($A853="","",IFERROR(INDEX('[AQ_2023.xlsx]原始数据'!$F:$F,MATCH($A853,'[AQ_2023.xlsx]原始数据'!$A:$A,0)),""))</f>
        <v/>
      </c>
      <c r="Z853">
        <f>IF($A853="","",IFERROR(INDEX('[AQ_2024.xlsx]原始数据'!$F:$F,MATCH($A853,'[AQ_2024.xlsx]原始数据'!$A:$A,0)),""))</f>
        <v/>
      </c>
      <c r="AA853" s="2">
        <f>IFERROR(G853/B853,"")</f>
        <v/>
      </c>
      <c r="AB853" s="2">
        <f>IFERROR(H853/C853,"")</f>
        <v/>
      </c>
      <c r="AC853" s="2">
        <f>IFERROR(I853/D853,"")</f>
        <v/>
      </c>
      <c r="AD853" s="2">
        <f>IFERROR(J853/E853,"")</f>
        <v/>
      </c>
      <c r="AE853" s="2">
        <f>IFERROR(K853/F853,"")</f>
        <v/>
      </c>
      <c r="AF853" s="2">
        <f>IFERROR(L853/B853,"")</f>
        <v/>
      </c>
      <c r="AG853" s="2">
        <f>IFERROR(M853/C853,"")</f>
        <v/>
      </c>
      <c r="AH853" s="2">
        <f>IFERROR(N853/D853,"")</f>
        <v/>
      </c>
      <c r="AI853" s="2">
        <f>IFERROR(O853/E853,"")</f>
        <v/>
      </c>
      <c r="AJ853" s="2">
        <f>IFERROR(P853/F853,"")</f>
        <v/>
      </c>
      <c r="AK853" s="2">
        <f>IFERROR(Q853/B853,"")</f>
        <v/>
      </c>
      <c r="AL853" s="2">
        <f>IFERROR(R853/C853,"")</f>
        <v/>
      </c>
      <c r="AM853" s="2">
        <f>IFERROR(S853/D853,"")</f>
        <v/>
      </c>
      <c r="AN853" s="2">
        <f>IFERROR(T853/E853,"")</f>
        <v/>
      </c>
      <c r="AO853" s="2">
        <f>IFERROR(U853/F853,"")</f>
        <v/>
      </c>
    </row>
    <row r="854">
      <c r="B854">
        <f>IF($A854="","",IFERROR(INDEX('[AQ_2020.xlsx]原始数据'!$B:$B,MATCH($A854,'[AQ_2020.xlsx]原始数据'!$A:$A,0)),""))</f>
        <v/>
      </c>
      <c r="C854">
        <f>IF($A854="","",IFERROR(INDEX('[AQ_2021.xlsx]原始数据'!$B:$B,MATCH($A854,'[AQ_2021.xlsx]原始数据'!$A:$A,0)),""))</f>
        <v/>
      </c>
      <c r="D854">
        <f>IF($A854="","",IFERROR(INDEX('[AQ_2022.xlsx]原始数据'!$B:$B,MATCH($A854,'[AQ_2022.xlsx]原始数据'!$A:$A,0)),""))</f>
        <v/>
      </c>
      <c r="E854">
        <f>IF($A854="","",IFERROR(INDEX('[AQ_2023.xlsx]原始数据'!$B:$B,MATCH($A854,'[AQ_2023.xlsx]原始数据'!$A:$A,0)),""))</f>
        <v/>
      </c>
      <c r="F854">
        <f>IF($A854="","",IFERROR(INDEX('[AQ_2024.xlsx]原始数据'!$B:$B,MATCH($A854,'[AQ_2024.xlsx]原始数据'!$A:$A,0)),""))</f>
        <v/>
      </c>
      <c r="G854">
        <f>IF($A854="","",IFERROR(INDEX('[AQ_2020.xlsx]原始数据'!$C:$C,MATCH($A854,'[AQ_2020.xlsx]原始数据'!$A:$A,0)),""))</f>
        <v/>
      </c>
      <c r="H854">
        <f>IF($A854="","",IFERROR(INDEX('[AQ_2021.xlsx]原始数据'!$C:$C,MATCH($A854,'[AQ_2021.xlsx]原始数据'!$A:$A,0)),""))</f>
        <v/>
      </c>
      <c r="I854">
        <f>IF($A854="","",IFERROR(INDEX('[AQ_2022.xlsx]原始数据'!$C:$C,MATCH($A854,'[AQ_2022.xlsx]原始数据'!$A:$A,0)),""))</f>
        <v/>
      </c>
      <c r="J854">
        <f>IF($A854="","",IFERROR(INDEX('[AQ_2023.xlsx]原始数据'!$C:$C,MATCH($A854,'[AQ_2023.xlsx]原始数据'!$A:$A,0)),""))</f>
        <v/>
      </c>
      <c r="K854">
        <f>IF($A854="","",IFERROR(INDEX('[AQ_2024.xlsx]原始数据'!$C:$C,MATCH($A854,'[AQ_2024.xlsx]原始数据'!$A:$A,0)),""))</f>
        <v/>
      </c>
      <c r="L854">
        <f>IF($A854="","",IFERROR(INDEX('[AQ_2020.xlsx]原始数据'!$D:$D,MATCH($A854,'[AQ_2020.xlsx]原始数据'!$A:$A,0)),""))</f>
        <v/>
      </c>
      <c r="M854">
        <f>IF($A854="","",IFERROR(INDEX('[AQ_2021.xlsx]原始数据'!$D:$D,MATCH($A854,'[AQ_2021.xlsx]原始数据'!$A:$A,0)),""))</f>
        <v/>
      </c>
      <c r="N854">
        <f>IF($A854="","",IFERROR(INDEX('[AQ_2022.xlsx]原始数据'!$D:$D,MATCH($A854,'[AQ_2022.xlsx]原始数据'!$A:$A,0)),""))</f>
        <v/>
      </c>
      <c r="O854">
        <f>IF($A854="","",IFERROR(INDEX('[AQ_2023.xlsx]原始数据'!$D:$D,MATCH($A854,'[AQ_2023.xlsx]原始数据'!$A:$A,0)),""))</f>
        <v/>
      </c>
      <c r="P854">
        <f>IF($A854="","",IFERROR(INDEX('[AQ_2024.xlsx]原始数据'!$D:$D,MATCH($A854,'[AQ_2024.xlsx]原始数据'!$A:$A,0)),""))</f>
        <v/>
      </c>
      <c r="Q854">
        <f>IF($A854="","",IFERROR(INDEX('[AQ_2020.xlsx]原始数据'!$E:$E,MATCH($A854,'[AQ_2020.xlsx]原始数据'!$A:$A,0)),""))</f>
        <v/>
      </c>
      <c r="R854">
        <f>IF($A854="","",IFERROR(INDEX('[AQ_2021.xlsx]原始数据'!$E:$E,MATCH($A854,'[AQ_2021.xlsx]原始数据'!$A:$A,0)),""))</f>
        <v/>
      </c>
      <c r="S854">
        <f>IF($A854="","",IFERROR(INDEX('[AQ_2022.xlsx]原始数据'!$E:$E,MATCH($A854,'[AQ_2022.xlsx]原始数据'!$A:$A,0)),""))</f>
        <v/>
      </c>
      <c r="T854">
        <f>IF($A854="","",IFERROR(INDEX('[AQ_2023.xlsx]原始数据'!$E:$E,MATCH($A854,'[AQ_2023.xlsx]原始数据'!$A:$A,0)),""))</f>
        <v/>
      </c>
      <c r="U854">
        <f>IF($A854="","",IFERROR(INDEX('[AQ_2024.xlsx]原始数据'!$E:$E,MATCH($A854,'[AQ_2024.xlsx]原始数据'!$A:$A,0)),""))</f>
        <v/>
      </c>
      <c r="V854">
        <f>IF($A854="","",IFERROR(INDEX('[AQ_2020.xlsx]原始数据'!$F:$F,MATCH($A854,'[AQ_2020.xlsx]原始数据'!$A:$A,0)),""))</f>
        <v/>
      </c>
      <c r="W854">
        <f>IF($A854="","",IFERROR(INDEX('[AQ_2021.xlsx]原始数据'!$F:$F,MATCH($A854,'[AQ_2021.xlsx]原始数据'!$A:$A,0)),""))</f>
        <v/>
      </c>
      <c r="X854">
        <f>IF($A854="","",IFERROR(INDEX('[AQ_2022.xlsx]原始数据'!$F:$F,MATCH($A854,'[AQ_2022.xlsx]原始数据'!$A:$A,0)),""))</f>
        <v/>
      </c>
      <c r="Y854">
        <f>IF($A854="","",IFERROR(INDEX('[AQ_2023.xlsx]原始数据'!$F:$F,MATCH($A854,'[AQ_2023.xlsx]原始数据'!$A:$A,0)),""))</f>
        <v/>
      </c>
      <c r="Z854">
        <f>IF($A854="","",IFERROR(INDEX('[AQ_2024.xlsx]原始数据'!$F:$F,MATCH($A854,'[AQ_2024.xlsx]原始数据'!$A:$A,0)),""))</f>
        <v/>
      </c>
      <c r="AA854" s="2">
        <f>IFERROR(G854/B854,"")</f>
        <v/>
      </c>
      <c r="AB854" s="2">
        <f>IFERROR(H854/C854,"")</f>
        <v/>
      </c>
      <c r="AC854" s="2">
        <f>IFERROR(I854/D854,"")</f>
        <v/>
      </c>
      <c r="AD854" s="2">
        <f>IFERROR(J854/E854,"")</f>
        <v/>
      </c>
      <c r="AE854" s="2">
        <f>IFERROR(K854/F854,"")</f>
        <v/>
      </c>
      <c r="AF854" s="2">
        <f>IFERROR(L854/B854,"")</f>
        <v/>
      </c>
      <c r="AG854" s="2">
        <f>IFERROR(M854/C854,"")</f>
        <v/>
      </c>
      <c r="AH854" s="2">
        <f>IFERROR(N854/D854,"")</f>
        <v/>
      </c>
      <c r="AI854" s="2">
        <f>IFERROR(O854/E854,"")</f>
        <v/>
      </c>
      <c r="AJ854" s="2">
        <f>IFERROR(P854/F854,"")</f>
        <v/>
      </c>
      <c r="AK854" s="2">
        <f>IFERROR(Q854/B854,"")</f>
        <v/>
      </c>
      <c r="AL854" s="2">
        <f>IFERROR(R854/C854,"")</f>
        <v/>
      </c>
      <c r="AM854" s="2">
        <f>IFERROR(S854/D854,"")</f>
        <v/>
      </c>
      <c r="AN854" s="2">
        <f>IFERROR(T854/E854,"")</f>
        <v/>
      </c>
      <c r="AO854" s="2">
        <f>IFERROR(U854/F854,"")</f>
        <v/>
      </c>
    </row>
    <row r="855">
      <c r="B855">
        <f>IF($A855="","",IFERROR(INDEX('[AQ_2020.xlsx]原始数据'!$B:$B,MATCH($A855,'[AQ_2020.xlsx]原始数据'!$A:$A,0)),""))</f>
        <v/>
      </c>
      <c r="C855">
        <f>IF($A855="","",IFERROR(INDEX('[AQ_2021.xlsx]原始数据'!$B:$B,MATCH($A855,'[AQ_2021.xlsx]原始数据'!$A:$A,0)),""))</f>
        <v/>
      </c>
      <c r="D855">
        <f>IF($A855="","",IFERROR(INDEX('[AQ_2022.xlsx]原始数据'!$B:$B,MATCH($A855,'[AQ_2022.xlsx]原始数据'!$A:$A,0)),""))</f>
        <v/>
      </c>
      <c r="E855">
        <f>IF($A855="","",IFERROR(INDEX('[AQ_2023.xlsx]原始数据'!$B:$B,MATCH($A855,'[AQ_2023.xlsx]原始数据'!$A:$A,0)),""))</f>
        <v/>
      </c>
      <c r="F855">
        <f>IF($A855="","",IFERROR(INDEX('[AQ_2024.xlsx]原始数据'!$B:$B,MATCH($A855,'[AQ_2024.xlsx]原始数据'!$A:$A,0)),""))</f>
        <v/>
      </c>
      <c r="G855">
        <f>IF($A855="","",IFERROR(INDEX('[AQ_2020.xlsx]原始数据'!$C:$C,MATCH($A855,'[AQ_2020.xlsx]原始数据'!$A:$A,0)),""))</f>
        <v/>
      </c>
      <c r="H855">
        <f>IF($A855="","",IFERROR(INDEX('[AQ_2021.xlsx]原始数据'!$C:$C,MATCH($A855,'[AQ_2021.xlsx]原始数据'!$A:$A,0)),""))</f>
        <v/>
      </c>
      <c r="I855">
        <f>IF($A855="","",IFERROR(INDEX('[AQ_2022.xlsx]原始数据'!$C:$C,MATCH($A855,'[AQ_2022.xlsx]原始数据'!$A:$A,0)),""))</f>
        <v/>
      </c>
      <c r="J855">
        <f>IF($A855="","",IFERROR(INDEX('[AQ_2023.xlsx]原始数据'!$C:$C,MATCH($A855,'[AQ_2023.xlsx]原始数据'!$A:$A,0)),""))</f>
        <v/>
      </c>
      <c r="K855">
        <f>IF($A855="","",IFERROR(INDEX('[AQ_2024.xlsx]原始数据'!$C:$C,MATCH($A855,'[AQ_2024.xlsx]原始数据'!$A:$A,0)),""))</f>
        <v/>
      </c>
      <c r="L855">
        <f>IF($A855="","",IFERROR(INDEX('[AQ_2020.xlsx]原始数据'!$D:$D,MATCH($A855,'[AQ_2020.xlsx]原始数据'!$A:$A,0)),""))</f>
        <v/>
      </c>
      <c r="M855">
        <f>IF($A855="","",IFERROR(INDEX('[AQ_2021.xlsx]原始数据'!$D:$D,MATCH($A855,'[AQ_2021.xlsx]原始数据'!$A:$A,0)),""))</f>
        <v/>
      </c>
      <c r="N855">
        <f>IF($A855="","",IFERROR(INDEX('[AQ_2022.xlsx]原始数据'!$D:$D,MATCH($A855,'[AQ_2022.xlsx]原始数据'!$A:$A,0)),""))</f>
        <v/>
      </c>
      <c r="O855">
        <f>IF($A855="","",IFERROR(INDEX('[AQ_2023.xlsx]原始数据'!$D:$D,MATCH($A855,'[AQ_2023.xlsx]原始数据'!$A:$A,0)),""))</f>
        <v/>
      </c>
      <c r="P855">
        <f>IF($A855="","",IFERROR(INDEX('[AQ_2024.xlsx]原始数据'!$D:$D,MATCH($A855,'[AQ_2024.xlsx]原始数据'!$A:$A,0)),""))</f>
        <v/>
      </c>
      <c r="Q855">
        <f>IF($A855="","",IFERROR(INDEX('[AQ_2020.xlsx]原始数据'!$E:$E,MATCH($A855,'[AQ_2020.xlsx]原始数据'!$A:$A,0)),""))</f>
        <v/>
      </c>
      <c r="R855">
        <f>IF($A855="","",IFERROR(INDEX('[AQ_2021.xlsx]原始数据'!$E:$E,MATCH($A855,'[AQ_2021.xlsx]原始数据'!$A:$A,0)),""))</f>
        <v/>
      </c>
      <c r="S855">
        <f>IF($A855="","",IFERROR(INDEX('[AQ_2022.xlsx]原始数据'!$E:$E,MATCH($A855,'[AQ_2022.xlsx]原始数据'!$A:$A,0)),""))</f>
        <v/>
      </c>
      <c r="T855">
        <f>IF($A855="","",IFERROR(INDEX('[AQ_2023.xlsx]原始数据'!$E:$E,MATCH($A855,'[AQ_2023.xlsx]原始数据'!$A:$A,0)),""))</f>
        <v/>
      </c>
      <c r="U855">
        <f>IF($A855="","",IFERROR(INDEX('[AQ_2024.xlsx]原始数据'!$E:$E,MATCH($A855,'[AQ_2024.xlsx]原始数据'!$A:$A,0)),""))</f>
        <v/>
      </c>
      <c r="V855">
        <f>IF($A855="","",IFERROR(INDEX('[AQ_2020.xlsx]原始数据'!$F:$F,MATCH($A855,'[AQ_2020.xlsx]原始数据'!$A:$A,0)),""))</f>
        <v/>
      </c>
      <c r="W855">
        <f>IF($A855="","",IFERROR(INDEX('[AQ_2021.xlsx]原始数据'!$F:$F,MATCH($A855,'[AQ_2021.xlsx]原始数据'!$A:$A,0)),""))</f>
        <v/>
      </c>
      <c r="X855">
        <f>IF($A855="","",IFERROR(INDEX('[AQ_2022.xlsx]原始数据'!$F:$F,MATCH($A855,'[AQ_2022.xlsx]原始数据'!$A:$A,0)),""))</f>
        <v/>
      </c>
      <c r="Y855">
        <f>IF($A855="","",IFERROR(INDEX('[AQ_2023.xlsx]原始数据'!$F:$F,MATCH($A855,'[AQ_2023.xlsx]原始数据'!$A:$A,0)),""))</f>
        <v/>
      </c>
      <c r="Z855">
        <f>IF($A855="","",IFERROR(INDEX('[AQ_2024.xlsx]原始数据'!$F:$F,MATCH($A855,'[AQ_2024.xlsx]原始数据'!$A:$A,0)),""))</f>
        <v/>
      </c>
      <c r="AA855" s="2">
        <f>IFERROR(G855/B855,"")</f>
        <v/>
      </c>
      <c r="AB855" s="2">
        <f>IFERROR(H855/C855,"")</f>
        <v/>
      </c>
      <c r="AC855" s="2">
        <f>IFERROR(I855/D855,"")</f>
        <v/>
      </c>
      <c r="AD855" s="2">
        <f>IFERROR(J855/E855,"")</f>
        <v/>
      </c>
      <c r="AE855" s="2">
        <f>IFERROR(K855/F855,"")</f>
        <v/>
      </c>
      <c r="AF855" s="2">
        <f>IFERROR(L855/B855,"")</f>
        <v/>
      </c>
      <c r="AG855" s="2">
        <f>IFERROR(M855/C855,"")</f>
        <v/>
      </c>
      <c r="AH855" s="2">
        <f>IFERROR(N855/D855,"")</f>
        <v/>
      </c>
      <c r="AI855" s="2">
        <f>IFERROR(O855/E855,"")</f>
        <v/>
      </c>
      <c r="AJ855" s="2">
        <f>IFERROR(P855/F855,"")</f>
        <v/>
      </c>
      <c r="AK855" s="2">
        <f>IFERROR(Q855/B855,"")</f>
        <v/>
      </c>
      <c r="AL855" s="2">
        <f>IFERROR(R855/C855,"")</f>
        <v/>
      </c>
      <c r="AM855" s="2">
        <f>IFERROR(S855/D855,"")</f>
        <v/>
      </c>
      <c r="AN855" s="2">
        <f>IFERROR(T855/E855,"")</f>
        <v/>
      </c>
      <c r="AO855" s="2">
        <f>IFERROR(U855/F855,"")</f>
        <v/>
      </c>
    </row>
    <row r="856">
      <c r="B856">
        <f>IF($A856="","",IFERROR(INDEX('[AQ_2020.xlsx]原始数据'!$B:$B,MATCH($A856,'[AQ_2020.xlsx]原始数据'!$A:$A,0)),""))</f>
        <v/>
      </c>
      <c r="C856">
        <f>IF($A856="","",IFERROR(INDEX('[AQ_2021.xlsx]原始数据'!$B:$B,MATCH($A856,'[AQ_2021.xlsx]原始数据'!$A:$A,0)),""))</f>
        <v/>
      </c>
      <c r="D856">
        <f>IF($A856="","",IFERROR(INDEX('[AQ_2022.xlsx]原始数据'!$B:$B,MATCH($A856,'[AQ_2022.xlsx]原始数据'!$A:$A,0)),""))</f>
        <v/>
      </c>
      <c r="E856">
        <f>IF($A856="","",IFERROR(INDEX('[AQ_2023.xlsx]原始数据'!$B:$B,MATCH($A856,'[AQ_2023.xlsx]原始数据'!$A:$A,0)),""))</f>
        <v/>
      </c>
      <c r="F856">
        <f>IF($A856="","",IFERROR(INDEX('[AQ_2024.xlsx]原始数据'!$B:$B,MATCH($A856,'[AQ_2024.xlsx]原始数据'!$A:$A,0)),""))</f>
        <v/>
      </c>
      <c r="G856">
        <f>IF($A856="","",IFERROR(INDEX('[AQ_2020.xlsx]原始数据'!$C:$C,MATCH($A856,'[AQ_2020.xlsx]原始数据'!$A:$A,0)),""))</f>
        <v/>
      </c>
      <c r="H856">
        <f>IF($A856="","",IFERROR(INDEX('[AQ_2021.xlsx]原始数据'!$C:$C,MATCH($A856,'[AQ_2021.xlsx]原始数据'!$A:$A,0)),""))</f>
        <v/>
      </c>
      <c r="I856">
        <f>IF($A856="","",IFERROR(INDEX('[AQ_2022.xlsx]原始数据'!$C:$C,MATCH($A856,'[AQ_2022.xlsx]原始数据'!$A:$A,0)),""))</f>
        <v/>
      </c>
      <c r="J856">
        <f>IF($A856="","",IFERROR(INDEX('[AQ_2023.xlsx]原始数据'!$C:$C,MATCH($A856,'[AQ_2023.xlsx]原始数据'!$A:$A,0)),""))</f>
        <v/>
      </c>
      <c r="K856">
        <f>IF($A856="","",IFERROR(INDEX('[AQ_2024.xlsx]原始数据'!$C:$C,MATCH($A856,'[AQ_2024.xlsx]原始数据'!$A:$A,0)),""))</f>
        <v/>
      </c>
      <c r="L856">
        <f>IF($A856="","",IFERROR(INDEX('[AQ_2020.xlsx]原始数据'!$D:$D,MATCH($A856,'[AQ_2020.xlsx]原始数据'!$A:$A,0)),""))</f>
        <v/>
      </c>
      <c r="M856">
        <f>IF($A856="","",IFERROR(INDEX('[AQ_2021.xlsx]原始数据'!$D:$D,MATCH($A856,'[AQ_2021.xlsx]原始数据'!$A:$A,0)),""))</f>
        <v/>
      </c>
      <c r="N856">
        <f>IF($A856="","",IFERROR(INDEX('[AQ_2022.xlsx]原始数据'!$D:$D,MATCH($A856,'[AQ_2022.xlsx]原始数据'!$A:$A,0)),""))</f>
        <v/>
      </c>
      <c r="O856">
        <f>IF($A856="","",IFERROR(INDEX('[AQ_2023.xlsx]原始数据'!$D:$D,MATCH($A856,'[AQ_2023.xlsx]原始数据'!$A:$A,0)),""))</f>
        <v/>
      </c>
      <c r="P856">
        <f>IF($A856="","",IFERROR(INDEX('[AQ_2024.xlsx]原始数据'!$D:$D,MATCH($A856,'[AQ_2024.xlsx]原始数据'!$A:$A,0)),""))</f>
        <v/>
      </c>
      <c r="Q856">
        <f>IF($A856="","",IFERROR(INDEX('[AQ_2020.xlsx]原始数据'!$E:$E,MATCH($A856,'[AQ_2020.xlsx]原始数据'!$A:$A,0)),""))</f>
        <v/>
      </c>
      <c r="R856">
        <f>IF($A856="","",IFERROR(INDEX('[AQ_2021.xlsx]原始数据'!$E:$E,MATCH($A856,'[AQ_2021.xlsx]原始数据'!$A:$A,0)),""))</f>
        <v/>
      </c>
      <c r="S856">
        <f>IF($A856="","",IFERROR(INDEX('[AQ_2022.xlsx]原始数据'!$E:$E,MATCH($A856,'[AQ_2022.xlsx]原始数据'!$A:$A,0)),""))</f>
        <v/>
      </c>
      <c r="T856">
        <f>IF($A856="","",IFERROR(INDEX('[AQ_2023.xlsx]原始数据'!$E:$E,MATCH($A856,'[AQ_2023.xlsx]原始数据'!$A:$A,0)),""))</f>
        <v/>
      </c>
      <c r="U856">
        <f>IF($A856="","",IFERROR(INDEX('[AQ_2024.xlsx]原始数据'!$E:$E,MATCH($A856,'[AQ_2024.xlsx]原始数据'!$A:$A,0)),""))</f>
        <v/>
      </c>
      <c r="V856">
        <f>IF($A856="","",IFERROR(INDEX('[AQ_2020.xlsx]原始数据'!$F:$F,MATCH($A856,'[AQ_2020.xlsx]原始数据'!$A:$A,0)),""))</f>
        <v/>
      </c>
      <c r="W856">
        <f>IF($A856="","",IFERROR(INDEX('[AQ_2021.xlsx]原始数据'!$F:$F,MATCH($A856,'[AQ_2021.xlsx]原始数据'!$A:$A,0)),""))</f>
        <v/>
      </c>
      <c r="X856">
        <f>IF($A856="","",IFERROR(INDEX('[AQ_2022.xlsx]原始数据'!$F:$F,MATCH($A856,'[AQ_2022.xlsx]原始数据'!$A:$A,0)),""))</f>
        <v/>
      </c>
      <c r="Y856">
        <f>IF($A856="","",IFERROR(INDEX('[AQ_2023.xlsx]原始数据'!$F:$F,MATCH($A856,'[AQ_2023.xlsx]原始数据'!$A:$A,0)),""))</f>
        <v/>
      </c>
      <c r="Z856">
        <f>IF($A856="","",IFERROR(INDEX('[AQ_2024.xlsx]原始数据'!$F:$F,MATCH($A856,'[AQ_2024.xlsx]原始数据'!$A:$A,0)),""))</f>
        <v/>
      </c>
      <c r="AA856" s="2">
        <f>IFERROR(G856/B856,"")</f>
        <v/>
      </c>
      <c r="AB856" s="2">
        <f>IFERROR(H856/C856,"")</f>
        <v/>
      </c>
      <c r="AC856" s="2">
        <f>IFERROR(I856/D856,"")</f>
        <v/>
      </c>
      <c r="AD856" s="2">
        <f>IFERROR(J856/E856,"")</f>
        <v/>
      </c>
      <c r="AE856" s="2">
        <f>IFERROR(K856/F856,"")</f>
        <v/>
      </c>
      <c r="AF856" s="2">
        <f>IFERROR(L856/B856,"")</f>
        <v/>
      </c>
      <c r="AG856" s="2">
        <f>IFERROR(M856/C856,"")</f>
        <v/>
      </c>
      <c r="AH856" s="2">
        <f>IFERROR(N856/D856,"")</f>
        <v/>
      </c>
      <c r="AI856" s="2">
        <f>IFERROR(O856/E856,"")</f>
        <v/>
      </c>
      <c r="AJ856" s="2">
        <f>IFERROR(P856/F856,"")</f>
        <v/>
      </c>
      <c r="AK856" s="2">
        <f>IFERROR(Q856/B856,"")</f>
        <v/>
      </c>
      <c r="AL856" s="2">
        <f>IFERROR(R856/C856,"")</f>
        <v/>
      </c>
      <c r="AM856" s="2">
        <f>IFERROR(S856/D856,"")</f>
        <v/>
      </c>
      <c r="AN856" s="2">
        <f>IFERROR(T856/E856,"")</f>
        <v/>
      </c>
      <c r="AO856" s="2">
        <f>IFERROR(U856/F856,"")</f>
        <v/>
      </c>
    </row>
    <row r="857">
      <c r="B857">
        <f>IF($A857="","",IFERROR(INDEX('[AQ_2020.xlsx]原始数据'!$B:$B,MATCH($A857,'[AQ_2020.xlsx]原始数据'!$A:$A,0)),""))</f>
        <v/>
      </c>
      <c r="C857">
        <f>IF($A857="","",IFERROR(INDEX('[AQ_2021.xlsx]原始数据'!$B:$B,MATCH($A857,'[AQ_2021.xlsx]原始数据'!$A:$A,0)),""))</f>
        <v/>
      </c>
      <c r="D857">
        <f>IF($A857="","",IFERROR(INDEX('[AQ_2022.xlsx]原始数据'!$B:$B,MATCH($A857,'[AQ_2022.xlsx]原始数据'!$A:$A,0)),""))</f>
        <v/>
      </c>
      <c r="E857">
        <f>IF($A857="","",IFERROR(INDEX('[AQ_2023.xlsx]原始数据'!$B:$B,MATCH($A857,'[AQ_2023.xlsx]原始数据'!$A:$A,0)),""))</f>
        <v/>
      </c>
      <c r="F857">
        <f>IF($A857="","",IFERROR(INDEX('[AQ_2024.xlsx]原始数据'!$B:$B,MATCH($A857,'[AQ_2024.xlsx]原始数据'!$A:$A,0)),""))</f>
        <v/>
      </c>
      <c r="G857">
        <f>IF($A857="","",IFERROR(INDEX('[AQ_2020.xlsx]原始数据'!$C:$C,MATCH($A857,'[AQ_2020.xlsx]原始数据'!$A:$A,0)),""))</f>
        <v/>
      </c>
      <c r="H857">
        <f>IF($A857="","",IFERROR(INDEX('[AQ_2021.xlsx]原始数据'!$C:$C,MATCH($A857,'[AQ_2021.xlsx]原始数据'!$A:$A,0)),""))</f>
        <v/>
      </c>
      <c r="I857">
        <f>IF($A857="","",IFERROR(INDEX('[AQ_2022.xlsx]原始数据'!$C:$C,MATCH($A857,'[AQ_2022.xlsx]原始数据'!$A:$A,0)),""))</f>
        <v/>
      </c>
      <c r="J857">
        <f>IF($A857="","",IFERROR(INDEX('[AQ_2023.xlsx]原始数据'!$C:$C,MATCH($A857,'[AQ_2023.xlsx]原始数据'!$A:$A,0)),""))</f>
        <v/>
      </c>
      <c r="K857">
        <f>IF($A857="","",IFERROR(INDEX('[AQ_2024.xlsx]原始数据'!$C:$C,MATCH($A857,'[AQ_2024.xlsx]原始数据'!$A:$A,0)),""))</f>
        <v/>
      </c>
      <c r="L857">
        <f>IF($A857="","",IFERROR(INDEX('[AQ_2020.xlsx]原始数据'!$D:$D,MATCH($A857,'[AQ_2020.xlsx]原始数据'!$A:$A,0)),""))</f>
        <v/>
      </c>
      <c r="M857">
        <f>IF($A857="","",IFERROR(INDEX('[AQ_2021.xlsx]原始数据'!$D:$D,MATCH($A857,'[AQ_2021.xlsx]原始数据'!$A:$A,0)),""))</f>
        <v/>
      </c>
      <c r="N857">
        <f>IF($A857="","",IFERROR(INDEX('[AQ_2022.xlsx]原始数据'!$D:$D,MATCH($A857,'[AQ_2022.xlsx]原始数据'!$A:$A,0)),""))</f>
        <v/>
      </c>
      <c r="O857">
        <f>IF($A857="","",IFERROR(INDEX('[AQ_2023.xlsx]原始数据'!$D:$D,MATCH($A857,'[AQ_2023.xlsx]原始数据'!$A:$A,0)),""))</f>
        <v/>
      </c>
      <c r="P857">
        <f>IF($A857="","",IFERROR(INDEX('[AQ_2024.xlsx]原始数据'!$D:$D,MATCH($A857,'[AQ_2024.xlsx]原始数据'!$A:$A,0)),""))</f>
        <v/>
      </c>
      <c r="Q857">
        <f>IF($A857="","",IFERROR(INDEX('[AQ_2020.xlsx]原始数据'!$E:$E,MATCH($A857,'[AQ_2020.xlsx]原始数据'!$A:$A,0)),""))</f>
        <v/>
      </c>
      <c r="R857">
        <f>IF($A857="","",IFERROR(INDEX('[AQ_2021.xlsx]原始数据'!$E:$E,MATCH($A857,'[AQ_2021.xlsx]原始数据'!$A:$A,0)),""))</f>
        <v/>
      </c>
      <c r="S857">
        <f>IF($A857="","",IFERROR(INDEX('[AQ_2022.xlsx]原始数据'!$E:$E,MATCH($A857,'[AQ_2022.xlsx]原始数据'!$A:$A,0)),""))</f>
        <v/>
      </c>
      <c r="T857">
        <f>IF($A857="","",IFERROR(INDEX('[AQ_2023.xlsx]原始数据'!$E:$E,MATCH($A857,'[AQ_2023.xlsx]原始数据'!$A:$A,0)),""))</f>
        <v/>
      </c>
      <c r="U857">
        <f>IF($A857="","",IFERROR(INDEX('[AQ_2024.xlsx]原始数据'!$E:$E,MATCH($A857,'[AQ_2024.xlsx]原始数据'!$A:$A,0)),""))</f>
        <v/>
      </c>
      <c r="V857">
        <f>IF($A857="","",IFERROR(INDEX('[AQ_2020.xlsx]原始数据'!$F:$F,MATCH($A857,'[AQ_2020.xlsx]原始数据'!$A:$A,0)),""))</f>
        <v/>
      </c>
      <c r="W857">
        <f>IF($A857="","",IFERROR(INDEX('[AQ_2021.xlsx]原始数据'!$F:$F,MATCH($A857,'[AQ_2021.xlsx]原始数据'!$A:$A,0)),""))</f>
        <v/>
      </c>
      <c r="X857">
        <f>IF($A857="","",IFERROR(INDEX('[AQ_2022.xlsx]原始数据'!$F:$F,MATCH($A857,'[AQ_2022.xlsx]原始数据'!$A:$A,0)),""))</f>
        <v/>
      </c>
      <c r="Y857">
        <f>IF($A857="","",IFERROR(INDEX('[AQ_2023.xlsx]原始数据'!$F:$F,MATCH($A857,'[AQ_2023.xlsx]原始数据'!$A:$A,0)),""))</f>
        <v/>
      </c>
      <c r="Z857">
        <f>IF($A857="","",IFERROR(INDEX('[AQ_2024.xlsx]原始数据'!$F:$F,MATCH($A857,'[AQ_2024.xlsx]原始数据'!$A:$A,0)),""))</f>
        <v/>
      </c>
      <c r="AA857" s="2">
        <f>IFERROR(G857/B857,"")</f>
        <v/>
      </c>
      <c r="AB857" s="2">
        <f>IFERROR(H857/C857,"")</f>
        <v/>
      </c>
      <c r="AC857" s="2">
        <f>IFERROR(I857/D857,"")</f>
        <v/>
      </c>
      <c r="AD857" s="2">
        <f>IFERROR(J857/E857,"")</f>
        <v/>
      </c>
      <c r="AE857" s="2">
        <f>IFERROR(K857/F857,"")</f>
        <v/>
      </c>
      <c r="AF857" s="2">
        <f>IFERROR(L857/B857,"")</f>
        <v/>
      </c>
      <c r="AG857" s="2">
        <f>IFERROR(M857/C857,"")</f>
        <v/>
      </c>
      <c r="AH857" s="2">
        <f>IFERROR(N857/D857,"")</f>
        <v/>
      </c>
      <c r="AI857" s="2">
        <f>IFERROR(O857/E857,"")</f>
        <v/>
      </c>
      <c r="AJ857" s="2">
        <f>IFERROR(P857/F857,"")</f>
        <v/>
      </c>
      <c r="AK857" s="2">
        <f>IFERROR(Q857/B857,"")</f>
        <v/>
      </c>
      <c r="AL857" s="2">
        <f>IFERROR(R857/C857,"")</f>
        <v/>
      </c>
      <c r="AM857" s="2">
        <f>IFERROR(S857/D857,"")</f>
        <v/>
      </c>
      <c r="AN857" s="2">
        <f>IFERROR(T857/E857,"")</f>
        <v/>
      </c>
      <c r="AO857" s="2">
        <f>IFERROR(U857/F857,"")</f>
        <v/>
      </c>
    </row>
    <row r="858">
      <c r="B858">
        <f>IF($A858="","",IFERROR(INDEX('[AQ_2020.xlsx]原始数据'!$B:$B,MATCH($A858,'[AQ_2020.xlsx]原始数据'!$A:$A,0)),""))</f>
        <v/>
      </c>
      <c r="C858">
        <f>IF($A858="","",IFERROR(INDEX('[AQ_2021.xlsx]原始数据'!$B:$B,MATCH($A858,'[AQ_2021.xlsx]原始数据'!$A:$A,0)),""))</f>
        <v/>
      </c>
      <c r="D858">
        <f>IF($A858="","",IFERROR(INDEX('[AQ_2022.xlsx]原始数据'!$B:$B,MATCH($A858,'[AQ_2022.xlsx]原始数据'!$A:$A,0)),""))</f>
        <v/>
      </c>
      <c r="E858">
        <f>IF($A858="","",IFERROR(INDEX('[AQ_2023.xlsx]原始数据'!$B:$B,MATCH($A858,'[AQ_2023.xlsx]原始数据'!$A:$A,0)),""))</f>
        <v/>
      </c>
      <c r="F858">
        <f>IF($A858="","",IFERROR(INDEX('[AQ_2024.xlsx]原始数据'!$B:$B,MATCH($A858,'[AQ_2024.xlsx]原始数据'!$A:$A,0)),""))</f>
        <v/>
      </c>
      <c r="G858">
        <f>IF($A858="","",IFERROR(INDEX('[AQ_2020.xlsx]原始数据'!$C:$C,MATCH($A858,'[AQ_2020.xlsx]原始数据'!$A:$A,0)),""))</f>
        <v/>
      </c>
      <c r="H858">
        <f>IF($A858="","",IFERROR(INDEX('[AQ_2021.xlsx]原始数据'!$C:$C,MATCH($A858,'[AQ_2021.xlsx]原始数据'!$A:$A,0)),""))</f>
        <v/>
      </c>
      <c r="I858">
        <f>IF($A858="","",IFERROR(INDEX('[AQ_2022.xlsx]原始数据'!$C:$C,MATCH($A858,'[AQ_2022.xlsx]原始数据'!$A:$A,0)),""))</f>
        <v/>
      </c>
      <c r="J858">
        <f>IF($A858="","",IFERROR(INDEX('[AQ_2023.xlsx]原始数据'!$C:$C,MATCH($A858,'[AQ_2023.xlsx]原始数据'!$A:$A,0)),""))</f>
        <v/>
      </c>
      <c r="K858">
        <f>IF($A858="","",IFERROR(INDEX('[AQ_2024.xlsx]原始数据'!$C:$C,MATCH($A858,'[AQ_2024.xlsx]原始数据'!$A:$A,0)),""))</f>
        <v/>
      </c>
      <c r="L858">
        <f>IF($A858="","",IFERROR(INDEX('[AQ_2020.xlsx]原始数据'!$D:$D,MATCH($A858,'[AQ_2020.xlsx]原始数据'!$A:$A,0)),""))</f>
        <v/>
      </c>
      <c r="M858">
        <f>IF($A858="","",IFERROR(INDEX('[AQ_2021.xlsx]原始数据'!$D:$D,MATCH($A858,'[AQ_2021.xlsx]原始数据'!$A:$A,0)),""))</f>
        <v/>
      </c>
      <c r="N858">
        <f>IF($A858="","",IFERROR(INDEX('[AQ_2022.xlsx]原始数据'!$D:$D,MATCH($A858,'[AQ_2022.xlsx]原始数据'!$A:$A,0)),""))</f>
        <v/>
      </c>
      <c r="O858">
        <f>IF($A858="","",IFERROR(INDEX('[AQ_2023.xlsx]原始数据'!$D:$D,MATCH($A858,'[AQ_2023.xlsx]原始数据'!$A:$A,0)),""))</f>
        <v/>
      </c>
      <c r="P858">
        <f>IF($A858="","",IFERROR(INDEX('[AQ_2024.xlsx]原始数据'!$D:$D,MATCH($A858,'[AQ_2024.xlsx]原始数据'!$A:$A,0)),""))</f>
        <v/>
      </c>
      <c r="Q858">
        <f>IF($A858="","",IFERROR(INDEX('[AQ_2020.xlsx]原始数据'!$E:$E,MATCH($A858,'[AQ_2020.xlsx]原始数据'!$A:$A,0)),""))</f>
        <v/>
      </c>
      <c r="R858">
        <f>IF($A858="","",IFERROR(INDEX('[AQ_2021.xlsx]原始数据'!$E:$E,MATCH($A858,'[AQ_2021.xlsx]原始数据'!$A:$A,0)),""))</f>
        <v/>
      </c>
      <c r="S858">
        <f>IF($A858="","",IFERROR(INDEX('[AQ_2022.xlsx]原始数据'!$E:$E,MATCH($A858,'[AQ_2022.xlsx]原始数据'!$A:$A,0)),""))</f>
        <v/>
      </c>
      <c r="T858">
        <f>IF($A858="","",IFERROR(INDEX('[AQ_2023.xlsx]原始数据'!$E:$E,MATCH($A858,'[AQ_2023.xlsx]原始数据'!$A:$A,0)),""))</f>
        <v/>
      </c>
      <c r="U858">
        <f>IF($A858="","",IFERROR(INDEX('[AQ_2024.xlsx]原始数据'!$E:$E,MATCH($A858,'[AQ_2024.xlsx]原始数据'!$A:$A,0)),""))</f>
        <v/>
      </c>
      <c r="V858">
        <f>IF($A858="","",IFERROR(INDEX('[AQ_2020.xlsx]原始数据'!$F:$F,MATCH($A858,'[AQ_2020.xlsx]原始数据'!$A:$A,0)),""))</f>
        <v/>
      </c>
      <c r="W858">
        <f>IF($A858="","",IFERROR(INDEX('[AQ_2021.xlsx]原始数据'!$F:$F,MATCH($A858,'[AQ_2021.xlsx]原始数据'!$A:$A,0)),""))</f>
        <v/>
      </c>
      <c r="X858">
        <f>IF($A858="","",IFERROR(INDEX('[AQ_2022.xlsx]原始数据'!$F:$F,MATCH($A858,'[AQ_2022.xlsx]原始数据'!$A:$A,0)),""))</f>
        <v/>
      </c>
      <c r="Y858">
        <f>IF($A858="","",IFERROR(INDEX('[AQ_2023.xlsx]原始数据'!$F:$F,MATCH($A858,'[AQ_2023.xlsx]原始数据'!$A:$A,0)),""))</f>
        <v/>
      </c>
      <c r="Z858">
        <f>IF($A858="","",IFERROR(INDEX('[AQ_2024.xlsx]原始数据'!$F:$F,MATCH($A858,'[AQ_2024.xlsx]原始数据'!$A:$A,0)),""))</f>
        <v/>
      </c>
      <c r="AA858" s="2">
        <f>IFERROR(G858/B858,"")</f>
        <v/>
      </c>
      <c r="AB858" s="2">
        <f>IFERROR(H858/C858,"")</f>
        <v/>
      </c>
      <c r="AC858" s="2">
        <f>IFERROR(I858/D858,"")</f>
        <v/>
      </c>
      <c r="AD858" s="2">
        <f>IFERROR(J858/E858,"")</f>
        <v/>
      </c>
      <c r="AE858" s="2">
        <f>IFERROR(K858/F858,"")</f>
        <v/>
      </c>
      <c r="AF858" s="2">
        <f>IFERROR(L858/B858,"")</f>
        <v/>
      </c>
      <c r="AG858" s="2">
        <f>IFERROR(M858/C858,"")</f>
        <v/>
      </c>
      <c r="AH858" s="2">
        <f>IFERROR(N858/D858,"")</f>
        <v/>
      </c>
      <c r="AI858" s="2">
        <f>IFERROR(O858/E858,"")</f>
        <v/>
      </c>
      <c r="AJ858" s="2">
        <f>IFERROR(P858/F858,"")</f>
        <v/>
      </c>
      <c r="AK858" s="2">
        <f>IFERROR(Q858/B858,"")</f>
        <v/>
      </c>
      <c r="AL858" s="2">
        <f>IFERROR(R858/C858,"")</f>
        <v/>
      </c>
      <c r="AM858" s="2">
        <f>IFERROR(S858/D858,"")</f>
        <v/>
      </c>
      <c r="AN858" s="2">
        <f>IFERROR(T858/E858,"")</f>
        <v/>
      </c>
      <c r="AO858" s="2">
        <f>IFERROR(U858/F858,"")</f>
        <v/>
      </c>
    </row>
    <row r="859">
      <c r="B859">
        <f>IF($A859="","",IFERROR(INDEX('[AQ_2020.xlsx]原始数据'!$B:$B,MATCH($A859,'[AQ_2020.xlsx]原始数据'!$A:$A,0)),""))</f>
        <v/>
      </c>
      <c r="C859">
        <f>IF($A859="","",IFERROR(INDEX('[AQ_2021.xlsx]原始数据'!$B:$B,MATCH($A859,'[AQ_2021.xlsx]原始数据'!$A:$A,0)),""))</f>
        <v/>
      </c>
      <c r="D859">
        <f>IF($A859="","",IFERROR(INDEX('[AQ_2022.xlsx]原始数据'!$B:$B,MATCH($A859,'[AQ_2022.xlsx]原始数据'!$A:$A,0)),""))</f>
        <v/>
      </c>
      <c r="E859">
        <f>IF($A859="","",IFERROR(INDEX('[AQ_2023.xlsx]原始数据'!$B:$B,MATCH($A859,'[AQ_2023.xlsx]原始数据'!$A:$A,0)),""))</f>
        <v/>
      </c>
      <c r="F859">
        <f>IF($A859="","",IFERROR(INDEX('[AQ_2024.xlsx]原始数据'!$B:$B,MATCH($A859,'[AQ_2024.xlsx]原始数据'!$A:$A,0)),""))</f>
        <v/>
      </c>
      <c r="G859">
        <f>IF($A859="","",IFERROR(INDEX('[AQ_2020.xlsx]原始数据'!$C:$C,MATCH($A859,'[AQ_2020.xlsx]原始数据'!$A:$A,0)),""))</f>
        <v/>
      </c>
      <c r="H859">
        <f>IF($A859="","",IFERROR(INDEX('[AQ_2021.xlsx]原始数据'!$C:$C,MATCH($A859,'[AQ_2021.xlsx]原始数据'!$A:$A,0)),""))</f>
        <v/>
      </c>
      <c r="I859">
        <f>IF($A859="","",IFERROR(INDEX('[AQ_2022.xlsx]原始数据'!$C:$C,MATCH($A859,'[AQ_2022.xlsx]原始数据'!$A:$A,0)),""))</f>
        <v/>
      </c>
      <c r="J859">
        <f>IF($A859="","",IFERROR(INDEX('[AQ_2023.xlsx]原始数据'!$C:$C,MATCH($A859,'[AQ_2023.xlsx]原始数据'!$A:$A,0)),""))</f>
        <v/>
      </c>
      <c r="K859">
        <f>IF($A859="","",IFERROR(INDEX('[AQ_2024.xlsx]原始数据'!$C:$C,MATCH($A859,'[AQ_2024.xlsx]原始数据'!$A:$A,0)),""))</f>
        <v/>
      </c>
      <c r="L859">
        <f>IF($A859="","",IFERROR(INDEX('[AQ_2020.xlsx]原始数据'!$D:$D,MATCH($A859,'[AQ_2020.xlsx]原始数据'!$A:$A,0)),""))</f>
        <v/>
      </c>
      <c r="M859">
        <f>IF($A859="","",IFERROR(INDEX('[AQ_2021.xlsx]原始数据'!$D:$D,MATCH($A859,'[AQ_2021.xlsx]原始数据'!$A:$A,0)),""))</f>
        <v/>
      </c>
      <c r="N859">
        <f>IF($A859="","",IFERROR(INDEX('[AQ_2022.xlsx]原始数据'!$D:$D,MATCH($A859,'[AQ_2022.xlsx]原始数据'!$A:$A,0)),""))</f>
        <v/>
      </c>
      <c r="O859">
        <f>IF($A859="","",IFERROR(INDEX('[AQ_2023.xlsx]原始数据'!$D:$D,MATCH($A859,'[AQ_2023.xlsx]原始数据'!$A:$A,0)),""))</f>
        <v/>
      </c>
      <c r="P859">
        <f>IF($A859="","",IFERROR(INDEX('[AQ_2024.xlsx]原始数据'!$D:$D,MATCH($A859,'[AQ_2024.xlsx]原始数据'!$A:$A,0)),""))</f>
        <v/>
      </c>
      <c r="Q859">
        <f>IF($A859="","",IFERROR(INDEX('[AQ_2020.xlsx]原始数据'!$E:$E,MATCH($A859,'[AQ_2020.xlsx]原始数据'!$A:$A,0)),""))</f>
        <v/>
      </c>
      <c r="R859">
        <f>IF($A859="","",IFERROR(INDEX('[AQ_2021.xlsx]原始数据'!$E:$E,MATCH($A859,'[AQ_2021.xlsx]原始数据'!$A:$A,0)),""))</f>
        <v/>
      </c>
      <c r="S859">
        <f>IF($A859="","",IFERROR(INDEX('[AQ_2022.xlsx]原始数据'!$E:$E,MATCH($A859,'[AQ_2022.xlsx]原始数据'!$A:$A,0)),""))</f>
        <v/>
      </c>
      <c r="T859">
        <f>IF($A859="","",IFERROR(INDEX('[AQ_2023.xlsx]原始数据'!$E:$E,MATCH($A859,'[AQ_2023.xlsx]原始数据'!$A:$A,0)),""))</f>
        <v/>
      </c>
      <c r="U859">
        <f>IF($A859="","",IFERROR(INDEX('[AQ_2024.xlsx]原始数据'!$E:$E,MATCH($A859,'[AQ_2024.xlsx]原始数据'!$A:$A,0)),""))</f>
        <v/>
      </c>
      <c r="V859">
        <f>IF($A859="","",IFERROR(INDEX('[AQ_2020.xlsx]原始数据'!$F:$F,MATCH($A859,'[AQ_2020.xlsx]原始数据'!$A:$A,0)),""))</f>
        <v/>
      </c>
      <c r="W859">
        <f>IF($A859="","",IFERROR(INDEX('[AQ_2021.xlsx]原始数据'!$F:$F,MATCH($A859,'[AQ_2021.xlsx]原始数据'!$A:$A,0)),""))</f>
        <v/>
      </c>
      <c r="X859">
        <f>IF($A859="","",IFERROR(INDEX('[AQ_2022.xlsx]原始数据'!$F:$F,MATCH($A859,'[AQ_2022.xlsx]原始数据'!$A:$A,0)),""))</f>
        <v/>
      </c>
      <c r="Y859">
        <f>IF($A859="","",IFERROR(INDEX('[AQ_2023.xlsx]原始数据'!$F:$F,MATCH($A859,'[AQ_2023.xlsx]原始数据'!$A:$A,0)),""))</f>
        <v/>
      </c>
      <c r="Z859">
        <f>IF($A859="","",IFERROR(INDEX('[AQ_2024.xlsx]原始数据'!$F:$F,MATCH($A859,'[AQ_2024.xlsx]原始数据'!$A:$A,0)),""))</f>
        <v/>
      </c>
      <c r="AA859" s="2">
        <f>IFERROR(G859/B859,"")</f>
        <v/>
      </c>
      <c r="AB859" s="2">
        <f>IFERROR(H859/C859,"")</f>
        <v/>
      </c>
      <c r="AC859" s="2">
        <f>IFERROR(I859/D859,"")</f>
        <v/>
      </c>
      <c r="AD859" s="2">
        <f>IFERROR(J859/E859,"")</f>
        <v/>
      </c>
      <c r="AE859" s="2">
        <f>IFERROR(K859/F859,"")</f>
        <v/>
      </c>
      <c r="AF859" s="2">
        <f>IFERROR(L859/B859,"")</f>
        <v/>
      </c>
      <c r="AG859" s="2">
        <f>IFERROR(M859/C859,"")</f>
        <v/>
      </c>
      <c r="AH859" s="2">
        <f>IFERROR(N859/D859,"")</f>
        <v/>
      </c>
      <c r="AI859" s="2">
        <f>IFERROR(O859/E859,"")</f>
        <v/>
      </c>
      <c r="AJ859" s="2">
        <f>IFERROR(P859/F859,"")</f>
        <v/>
      </c>
      <c r="AK859" s="2">
        <f>IFERROR(Q859/B859,"")</f>
        <v/>
      </c>
      <c r="AL859" s="2">
        <f>IFERROR(R859/C859,"")</f>
        <v/>
      </c>
      <c r="AM859" s="2">
        <f>IFERROR(S859/D859,"")</f>
        <v/>
      </c>
      <c r="AN859" s="2">
        <f>IFERROR(T859/E859,"")</f>
        <v/>
      </c>
      <c r="AO859" s="2">
        <f>IFERROR(U859/F859,"")</f>
        <v/>
      </c>
    </row>
    <row r="860">
      <c r="B860">
        <f>IF($A860="","",IFERROR(INDEX('[AQ_2020.xlsx]原始数据'!$B:$B,MATCH($A860,'[AQ_2020.xlsx]原始数据'!$A:$A,0)),""))</f>
        <v/>
      </c>
      <c r="C860">
        <f>IF($A860="","",IFERROR(INDEX('[AQ_2021.xlsx]原始数据'!$B:$B,MATCH($A860,'[AQ_2021.xlsx]原始数据'!$A:$A,0)),""))</f>
        <v/>
      </c>
      <c r="D860">
        <f>IF($A860="","",IFERROR(INDEX('[AQ_2022.xlsx]原始数据'!$B:$B,MATCH($A860,'[AQ_2022.xlsx]原始数据'!$A:$A,0)),""))</f>
        <v/>
      </c>
      <c r="E860">
        <f>IF($A860="","",IFERROR(INDEX('[AQ_2023.xlsx]原始数据'!$B:$B,MATCH($A860,'[AQ_2023.xlsx]原始数据'!$A:$A,0)),""))</f>
        <v/>
      </c>
      <c r="F860">
        <f>IF($A860="","",IFERROR(INDEX('[AQ_2024.xlsx]原始数据'!$B:$B,MATCH($A860,'[AQ_2024.xlsx]原始数据'!$A:$A,0)),""))</f>
        <v/>
      </c>
      <c r="G860">
        <f>IF($A860="","",IFERROR(INDEX('[AQ_2020.xlsx]原始数据'!$C:$C,MATCH($A860,'[AQ_2020.xlsx]原始数据'!$A:$A,0)),""))</f>
        <v/>
      </c>
      <c r="H860">
        <f>IF($A860="","",IFERROR(INDEX('[AQ_2021.xlsx]原始数据'!$C:$C,MATCH($A860,'[AQ_2021.xlsx]原始数据'!$A:$A,0)),""))</f>
        <v/>
      </c>
      <c r="I860">
        <f>IF($A860="","",IFERROR(INDEX('[AQ_2022.xlsx]原始数据'!$C:$C,MATCH($A860,'[AQ_2022.xlsx]原始数据'!$A:$A,0)),""))</f>
        <v/>
      </c>
      <c r="J860">
        <f>IF($A860="","",IFERROR(INDEX('[AQ_2023.xlsx]原始数据'!$C:$C,MATCH($A860,'[AQ_2023.xlsx]原始数据'!$A:$A,0)),""))</f>
        <v/>
      </c>
      <c r="K860">
        <f>IF($A860="","",IFERROR(INDEX('[AQ_2024.xlsx]原始数据'!$C:$C,MATCH($A860,'[AQ_2024.xlsx]原始数据'!$A:$A,0)),""))</f>
        <v/>
      </c>
      <c r="L860">
        <f>IF($A860="","",IFERROR(INDEX('[AQ_2020.xlsx]原始数据'!$D:$D,MATCH($A860,'[AQ_2020.xlsx]原始数据'!$A:$A,0)),""))</f>
        <v/>
      </c>
      <c r="M860">
        <f>IF($A860="","",IFERROR(INDEX('[AQ_2021.xlsx]原始数据'!$D:$D,MATCH($A860,'[AQ_2021.xlsx]原始数据'!$A:$A,0)),""))</f>
        <v/>
      </c>
      <c r="N860">
        <f>IF($A860="","",IFERROR(INDEX('[AQ_2022.xlsx]原始数据'!$D:$D,MATCH($A860,'[AQ_2022.xlsx]原始数据'!$A:$A,0)),""))</f>
        <v/>
      </c>
      <c r="O860">
        <f>IF($A860="","",IFERROR(INDEX('[AQ_2023.xlsx]原始数据'!$D:$D,MATCH($A860,'[AQ_2023.xlsx]原始数据'!$A:$A,0)),""))</f>
        <v/>
      </c>
      <c r="P860">
        <f>IF($A860="","",IFERROR(INDEX('[AQ_2024.xlsx]原始数据'!$D:$D,MATCH($A860,'[AQ_2024.xlsx]原始数据'!$A:$A,0)),""))</f>
        <v/>
      </c>
      <c r="Q860">
        <f>IF($A860="","",IFERROR(INDEX('[AQ_2020.xlsx]原始数据'!$E:$E,MATCH($A860,'[AQ_2020.xlsx]原始数据'!$A:$A,0)),""))</f>
        <v/>
      </c>
      <c r="R860">
        <f>IF($A860="","",IFERROR(INDEX('[AQ_2021.xlsx]原始数据'!$E:$E,MATCH($A860,'[AQ_2021.xlsx]原始数据'!$A:$A,0)),""))</f>
        <v/>
      </c>
      <c r="S860">
        <f>IF($A860="","",IFERROR(INDEX('[AQ_2022.xlsx]原始数据'!$E:$E,MATCH($A860,'[AQ_2022.xlsx]原始数据'!$A:$A,0)),""))</f>
        <v/>
      </c>
      <c r="T860">
        <f>IF($A860="","",IFERROR(INDEX('[AQ_2023.xlsx]原始数据'!$E:$E,MATCH($A860,'[AQ_2023.xlsx]原始数据'!$A:$A,0)),""))</f>
        <v/>
      </c>
      <c r="U860">
        <f>IF($A860="","",IFERROR(INDEX('[AQ_2024.xlsx]原始数据'!$E:$E,MATCH($A860,'[AQ_2024.xlsx]原始数据'!$A:$A,0)),""))</f>
        <v/>
      </c>
      <c r="V860">
        <f>IF($A860="","",IFERROR(INDEX('[AQ_2020.xlsx]原始数据'!$F:$F,MATCH($A860,'[AQ_2020.xlsx]原始数据'!$A:$A,0)),""))</f>
        <v/>
      </c>
      <c r="W860">
        <f>IF($A860="","",IFERROR(INDEX('[AQ_2021.xlsx]原始数据'!$F:$F,MATCH($A860,'[AQ_2021.xlsx]原始数据'!$A:$A,0)),""))</f>
        <v/>
      </c>
      <c r="X860">
        <f>IF($A860="","",IFERROR(INDEX('[AQ_2022.xlsx]原始数据'!$F:$F,MATCH($A860,'[AQ_2022.xlsx]原始数据'!$A:$A,0)),""))</f>
        <v/>
      </c>
      <c r="Y860">
        <f>IF($A860="","",IFERROR(INDEX('[AQ_2023.xlsx]原始数据'!$F:$F,MATCH($A860,'[AQ_2023.xlsx]原始数据'!$A:$A,0)),""))</f>
        <v/>
      </c>
      <c r="Z860">
        <f>IF($A860="","",IFERROR(INDEX('[AQ_2024.xlsx]原始数据'!$F:$F,MATCH($A860,'[AQ_2024.xlsx]原始数据'!$A:$A,0)),""))</f>
        <v/>
      </c>
      <c r="AA860" s="2">
        <f>IFERROR(G860/B860,"")</f>
        <v/>
      </c>
      <c r="AB860" s="2">
        <f>IFERROR(H860/C860,"")</f>
        <v/>
      </c>
      <c r="AC860" s="2">
        <f>IFERROR(I860/D860,"")</f>
        <v/>
      </c>
      <c r="AD860" s="2">
        <f>IFERROR(J860/E860,"")</f>
        <v/>
      </c>
      <c r="AE860" s="2">
        <f>IFERROR(K860/F860,"")</f>
        <v/>
      </c>
      <c r="AF860" s="2">
        <f>IFERROR(L860/B860,"")</f>
        <v/>
      </c>
      <c r="AG860" s="2">
        <f>IFERROR(M860/C860,"")</f>
        <v/>
      </c>
      <c r="AH860" s="2">
        <f>IFERROR(N860/D860,"")</f>
        <v/>
      </c>
      <c r="AI860" s="2">
        <f>IFERROR(O860/E860,"")</f>
        <v/>
      </c>
      <c r="AJ860" s="2">
        <f>IFERROR(P860/F860,"")</f>
        <v/>
      </c>
      <c r="AK860" s="2">
        <f>IFERROR(Q860/B860,"")</f>
        <v/>
      </c>
      <c r="AL860" s="2">
        <f>IFERROR(R860/C860,"")</f>
        <v/>
      </c>
      <c r="AM860" s="2">
        <f>IFERROR(S860/D860,"")</f>
        <v/>
      </c>
      <c r="AN860" s="2">
        <f>IFERROR(T860/E860,"")</f>
        <v/>
      </c>
      <c r="AO860" s="2">
        <f>IFERROR(U860/F860,"")</f>
        <v/>
      </c>
    </row>
    <row r="861">
      <c r="B861">
        <f>IF($A861="","",IFERROR(INDEX('[AQ_2020.xlsx]原始数据'!$B:$B,MATCH($A861,'[AQ_2020.xlsx]原始数据'!$A:$A,0)),""))</f>
        <v/>
      </c>
      <c r="C861">
        <f>IF($A861="","",IFERROR(INDEX('[AQ_2021.xlsx]原始数据'!$B:$B,MATCH($A861,'[AQ_2021.xlsx]原始数据'!$A:$A,0)),""))</f>
        <v/>
      </c>
      <c r="D861">
        <f>IF($A861="","",IFERROR(INDEX('[AQ_2022.xlsx]原始数据'!$B:$B,MATCH($A861,'[AQ_2022.xlsx]原始数据'!$A:$A,0)),""))</f>
        <v/>
      </c>
      <c r="E861">
        <f>IF($A861="","",IFERROR(INDEX('[AQ_2023.xlsx]原始数据'!$B:$B,MATCH($A861,'[AQ_2023.xlsx]原始数据'!$A:$A,0)),""))</f>
        <v/>
      </c>
      <c r="F861">
        <f>IF($A861="","",IFERROR(INDEX('[AQ_2024.xlsx]原始数据'!$B:$B,MATCH($A861,'[AQ_2024.xlsx]原始数据'!$A:$A,0)),""))</f>
        <v/>
      </c>
      <c r="G861">
        <f>IF($A861="","",IFERROR(INDEX('[AQ_2020.xlsx]原始数据'!$C:$C,MATCH($A861,'[AQ_2020.xlsx]原始数据'!$A:$A,0)),""))</f>
        <v/>
      </c>
      <c r="H861">
        <f>IF($A861="","",IFERROR(INDEX('[AQ_2021.xlsx]原始数据'!$C:$C,MATCH($A861,'[AQ_2021.xlsx]原始数据'!$A:$A,0)),""))</f>
        <v/>
      </c>
      <c r="I861">
        <f>IF($A861="","",IFERROR(INDEX('[AQ_2022.xlsx]原始数据'!$C:$C,MATCH($A861,'[AQ_2022.xlsx]原始数据'!$A:$A,0)),""))</f>
        <v/>
      </c>
      <c r="J861">
        <f>IF($A861="","",IFERROR(INDEX('[AQ_2023.xlsx]原始数据'!$C:$C,MATCH($A861,'[AQ_2023.xlsx]原始数据'!$A:$A,0)),""))</f>
        <v/>
      </c>
      <c r="K861">
        <f>IF($A861="","",IFERROR(INDEX('[AQ_2024.xlsx]原始数据'!$C:$C,MATCH($A861,'[AQ_2024.xlsx]原始数据'!$A:$A,0)),""))</f>
        <v/>
      </c>
      <c r="L861">
        <f>IF($A861="","",IFERROR(INDEX('[AQ_2020.xlsx]原始数据'!$D:$D,MATCH($A861,'[AQ_2020.xlsx]原始数据'!$A:$A,0)),""))</f>
        <v/>
      </c>
      <c r="M861">
        <f>IF($A861="","",IFERROR(INDEX('[AQ_2021.xlsx]原始数据'!$D:$D,MATCH($A861,'[AQ_2021.xlsx]原始数据'!$A:$A,0)),""))</f>
        <v/>
      </c>
      <c r="N861">
        <f>IF($A861="","",IFERROR(INDEX('[AQ_2022.xlsx]原始数据'!$D:$D,MATCH($A861,'[AQ_2022.xlsx]原始数据'!$A:$A,0)),""))</f>
        <v/>
      </c>
      <c r="O861">
        <f>IF($A861="","",IFERROR(INDEX('[AQ_2023.xlsx]原始数据'!$D:$D,MATCH($A861,'[AQ_2023.xlsx]原始数据'!$A:$A,0)),""))</f>
        <v/>
      </c>
      <c r="P861">
        <f>IF($A861="","",IFERROR(INDEX('[AQ_2024.xlsx]原始数据'!$D:$D,MATCH($A861,'[AQ_2024.xlsx]原始数据'!$A:$A,0)),""))</f>
        <v/>
      </c>
      <c r="Q861">
        <f>IF($A861="","",IFERROR(INDEX('[AQ_2020.xlsx]原始数据'!$E:$E,MATCH($A861,'[AQ_2020.xlsx]原始数据'!$A:$A,0)),""))</f>
        <v/>
      </c>
      <c r="R861">
        <f>IF($A861="","",IFERROR(INDEX('[AQ_2021.xlsx]原始数据'!$E:$E,MATCH($A861,'[AQ_2021.xlsx]原始数据'!$A:$A,0)),""))</f>
        <v/>
      </c>
      <c r="S861">
        <f>IF($A861="","",IFERROR(INDEX('[AQ_2022.xlsx]原始数据'!$E:$E,MATCH($A861,'[AQ_2022.xlsx]原始数据'!$A:$A,0)),""))</f>
        <v/>
      </c>
      <c r="T861">
        <f>IF($A861="","",IFERROR(INDEX('[AQ_2023.xlsx]原始数据'!$E:$E,MATCH($A861,'[AQ_2023.xlsx]原始数据'!$A:$A,0)),""))</f>
        <v/>
      </c>
      <c r="U861">
        <f>IF($A861="","",IFERROR(INDEX('[AQ_2024.xlsx]原始数据'!$E:$E,MATCH($A861,'[AQ_2024.xlsx]原始数据'!$A:$A,0)),""))</f>
        <v/>
      </c>
      <c r="V861">
        <f>IF($A861="","",IFERROR(INDEX('[AQ_2020.xlsx]原始数据'!$F:$F,MATCH($A861,'[AQ_2020.xlsx]原始数据'!$A:$A,0)),""))</f>
        <v/>
      </c>
      <c r="W861">
        <f>IF($A861="","",IFERROR(INDEX('[AQ_2021.xlsx]原始数据'!$F:$F,MATCH($A861,'[AQ_2021.xlsx]原始数据'!$A:$A,0)),""))</f>
        <v/>
      </c>
      <c r="X861">
        <f>IF($A861="","",IFERROR(INDEX('[AQ_2022.xlsx]原始数据'!$F:$F,MATCH($A861,'[AQ_2022.xlsx]原始数据'!$A:$A,0)),""))</f>
        <v/>
      </c>
      <c r="Y861">
        <f>IF($A861="","",IFERROR(INDEX('[AQ_2023.xlsx]原始数据'!$F:$F,MATCH($A861,'[AQ_2023.xlsx]原始数据'!$A:$A,0)),""))</f>
        <v/>
      </c>
      <c r="Z861">
        <f>IF($A861="","",IFERROR(INDEX('[AQ_2024.xlsx]原始数据'!$F:$F,MATCH($A861,'[AQ_2024.xlsx]原始数据'!$A:$A,0)),""))</f>
        <v/>
      </c>
      <c r="AA861" s="2">
        <f>IFERROR(G861/B861,"")</f>
        <v/>
      </c>
      <c r="AB861" s="2">
        <f>IFERROR(H861/C861,"")</f>
        <v/>
      </c>
      <c r="AC861" s="2">
        <f>IFERROR(I861/D861,"")</f>
        <v/>
      </c>
      <c r="AD861" s="2">
        <f>IFERROR(J861/E861,"")</f>
        <v/>
      </c>
      <c r="AE861" s="2">
        <f>IFERROR(K861/F861,"")</f>
        <v/>
      </c>
      <c r="AF861" s="2">
        <f>IFERROR(L861/B861,"")</f>
        <v/>
      </c>
      <c r="AG861" s="2">
        <f>IFERROR(M861/C861,"")</f>
        <v/>
      </c>
      <c r="AH861" s="2">
        <f>IFERROR(N861/D861,"")</f>
        <v/>
      </c>
      <c r="AI861" s="2">
        <f>IFERROR(O861/E861,"")</f>
        <v/>
      </c>
      <c r="AJ861" s="2">
        <f>IFERROR(P861/F861,"")</f>
        <v/>
      </c>
      <c r="AK861" s="2">
        <f>IFERROR(Q861/B861,"")</f>
        <v/>
      </c>
      <c r="AL861" s="2">
        <f>IFERROR(R861/C861,"")</f>
        <v/>
      </c>
      <c r="AM861" s="2">
        <f>IFERROR(S861/D861,"")</f>
        <v/>
      </c>
      <c r="AN861" s="2">
        <f>IFERROR(T861/E861,"")</f>
        <v/>
      </c>
      <c r="AO861" s="2">
        <f>IFERROR(U861/F861,"")</f>
        <v/>
      </c>
    </row>
    <row r="862">
      <c r="B862">
        <f>IF($A862="","",IFERROR(INDEX('[AQ_2020.xlsx]原始数据'!$B:$B,MATCH($A862,'[AQ_2020.xlsx]原始数据'!$A:$A,0)),""))</f>
        <v/>
      </c>
      <c r="C862">
        <f>IF($A862="","",IFERROR(INDEX('[AQ_2021.xlsx]原始数据'!$B:$B,MATCH($A862,'[AQ_2021.xlsx]原始数据'!$A:$A,0)),""))</f>
        <v/>
      </c>
      <c r="D862">
        <f>IF($A862="","",IFERROR(INDEX('[AQ_2022.xlsx]原始数据'!$B:$B,MATCH($A862,'[AQ_2022.xlsx]原始数据'!$A:$A,0)),""))</f>
        <v/>
      </c>
      <c r="E862">
        <f>IF($A862="","",IFERROR(INDEX('[AQ_2023.xlsx]原始数据'!$B:$B,MATCH($A862,'[AQ_2023.xlsx]原始数据'!$A:$A,0)),""))</f>
        <v/>
      </c>
      <c r="F862">
        <f>IF($A862="","",IFERROR(INDEX('[AQ_2024.xlsx]原始数据'!$B:$B,MATCH($A862,'[AQ_2024.xlsx]原始数据'!$A:$A,0)),""))</f>
        <v/>
      </c>
      <c r="G862">
        <f>IF($A862="","",IFERROR(INDEX('[AQ_2020.xlsx]原始数据'!$C:$C,MATCH($A862,'[AQ_2020.xlsx]原始数据'!$A:$A,0)),""))</f>
        <v/>
      </c>
      <c r="H862">
        <f>IF($A862="","",IFERROR(INDEX('[AQ_2021.xlsx]原始数据'!$C:$C,MATCH($A862,'[AQ_2021.xlsx]原始数据'!$A:$A,0)),""))</f>
        <v/>
      </c>
      <c r="I862">
        <f>IF($A862="","",IFERROR(INDEX('[AQ_2022.xlsx]原始数据'!$C:$C,MATCH($A862,'[AQ_2022.xlsx]原始数据'!$A:$A,0)),""))</f>
        <v/>
      </c>
      <c r="J862">
        <f>IF($A862="","",IFERROR(INDEX('[AQ_2023.xlsx]原始数据'!$C:$C,MATCH($A862,'[AQ_2023.xlsx]原始数据'!$A:$A,0)),""))</f>
        <v/>
      </c>
      <c r="K862">
        <f>IF($A862="","",IFERROR(INDEX('[AQ_2024.xlsx]原始数据'!$C:$C,MATCH($A862,'[AQ_2024.xlsx]原始数据'!$A:$A,0)),""))</f>
        <v/>
      </c>
      <c r="L862">
        <f>IF($A862="","",IFERROR(INDEX('[AQ_2020.xlsx]原始数据'!$D:$D,MATCH($A862,'[AQ_2020.xlsx]原始数据'!$A:$A,0)),""))</f>
        <v/>
      </c>
      <c r="M862">
        <f>IF($A862="","",IFERROR(INDEX('[AQ_2021.xlsx]原始数据'!$D:$D,MATCH($A862,'[AQ_2021.xlsx]原始数据'!$A:$A,0)),""))</f>
        <v/>
      </c>
      <c r="N862">
        <f>IF($A862="","",IFERROR(INDEX('[AQ_2022.xlsx]原始数据'!$D:$D,MATCH($A862,'[AQ_2022.xlsx]原始数据'!$A:$A,0)),""))</f>
        <v/>
      </c>
      <c r="O862">
        <f>IF($A862="","",IFERROR(INDEX('[AQ_2023.xlsx]原始数据'!$D:$D,MATCH($A862,'[AQ_2023.xlsx]原始数据'!$A:$A,0)),""))</f>
        <v/>
      </c>
      <c r="P862">
        <f>IF($A862="","",IFERROR(INDEX('[AQ_2024.xlsx]原始数据'!$D:$D,MATCH($A862,'[AQ_2024.xlsx]原始数据'!$A:$A,0)),""))</f>
        <v/>
      </c>
      <c r="Q862">
        <f>IF($A862="","",IFERROR(INDEX('[AQ_2020.xlsx]原始数据'!$E:$E,MATCH($A862,'[AQ_2020.xlsx]原始数据'!$A:$A,0)),""))</f>
        <v/>
      </c>
      <c r="R862">
        <f>IF($A862="","",IFERROR(INDEX('[AQ_2021.xlsx]原始数据'!$E:$E,MATCH($A862,'[AQ_2021.xlsx]原始数据'!$A:$A,0)),""))</f>
        <v/>
      </c>
      <c r="S862">
        <f>IF($A862="","",IFERROR(INDEX('[AQ_2022.xlsx]原始数据'!$E:$E,MATCH($A862,'[AQ_2022.xlsx]原始数据'!$A:$A,0)),""))</f>
        <v/>
      </c>
      <c r="T862">
        <f>IF($A862="","",IFERROR(INDEX('[AQ_2023.xlsx]原始数据'!$E:$E,MATCH($A862,'[AQ_2023.xlsx]原始数据'!$A:$A,0)),""))</f>
        <v/>
      </c>
      <c r="U862">
        <f>IF($A862="","",IFERROR(INDEX('[AQ_2024.xlsx]原始数据'!$E:$E,MATCH($A862,'[AQ_2024.xlsx]原始数据'!$A:$A,0)),""))</f>
        <v/>
      </c>
      <c r="V862">
        <f>IF($A862="","",IFERROR(INDEX('[AQ_2020.xlsx]原始数据'!$F:$F,MATCH($A862,'[AQ_2020.xlsx]原始数据'!$A:$A,0)),""))</f>
        <v/>
      </c>
      <c r="W862">
        <f>IF($A862="","",IFERROR(INDEX('[AQ_2021.xlsx]原始数据'!$F:$F,MATCH($A862,'[AQ_2021.xlsx]原始数据'!$A:$A,0)),""))</f>
        <v/>
      </c>
      <c r="X862">
        <f>IF($A862="","",IFERROR(INDEX('[AQ_2022.xlsx]原始数据'!$F:$F,MATCH($A862,'[AQ_2022.xlsx]原始数据'!$A:$A,0)),""))</f>
        <v/>
      </c>
      <c r="Y862">
        <f>IF($A862="","",IFERROR(INDEX('[AQ_2023.xlsx]原始数据'!$F:$F,MATCH($A862,'[AQ_2023.xlsx]原始数据'!$A:$A,0)),""))</f>
        <v/>
      </c>
      <c r="Z862">
        <f>IF($A862="","",IFERROR(INDEX('[AQ_2024.xlsx]原始数据'!$F:$F,MATCH($A862,'[AQ_2024.xlsx]原始数据'!$A:$A,0)),""))</f>
        <v/>
      </c>
      <c r="AA862" s="2">
        <f>IFERROR(G862/B862,"")</f>
        <v/>
      </c>
      <c r="AB862" s="2">
        <f>IFERROR(H862/C862,"")</f>
        <v/>
      </c>
      <c r="AC862" s="2">
        <f>IFERROR(I862/D862,"")</f>
        <v/>
      </c>
      <c r="AD862" s="2">
        <f>IFERROR(J862/E862,"")</f>
        <v/>
      </c>
      <c r="AE862" s="2">
        <f>IFERROR(K862/F862,"")</f>
        <v/>
      </c>
      <c r="AF862" s="2">
        <f>IFERROR(L862/B862,"")</f>
        <v/>
      </c>
      <c r="AG862" s="2">
        <f>IFERROR(M862/C862,"")</f>
        <v/>
      </c>
      <c r="AH862" s="2">
        <f>IFERROR(N862/D862,"")</f>
        <v/>
      </c>
      <c r="AI862" s="2">
        <f>IFERROR(O862/E862,"")</f>
        <v/>
      </c>
      <c r="AJ862" s="2">
        <f>IFERROR(P862/F862,"")</f>
        <v/>
      </c>
      <c r="AK862" s="2">
        <f>IFERROR(Q862/B862,"")</f>
        <v/>
      </c>
      <c r="AL862" s="2">
        <f>IFERROR(R862/C862,"")</f>
        <v/>
      </c>
      <c r="AM862" s="2">
        <f>IFERROR(S862/D862,"")</f>
        <v/>
      </c>
      <c r="AN862" s="2">
        <f>IFERROR(T862/E862,"")</f>
        <v/>
      </c>
      <c r="AO862" s="2">
        <f>IFERROR(U862/F862,"")</f>
        <v/>
      </c>
    </row>
    <row r="863">
      <c r="B863">
        <f>IF($A863="","",IFERROR(INDEX('[AQ_2020.xlsx]原始数据'!$B:$B,MATCH($A863,'[AQ_2020.xlsx]原始数据'!$A:$A,0)),""))</f>
        <v/>
      </c>
      <c r="C863">
        <f>IF($A863="","",IFERROR(INDEX('[AQ_2021.xlsx]原始数据'!$B:$B,MATCH($A863,'[AQ_2021.xlsx]原始数据'!$A:$A,0)),""))</f>
        <v/>
      </c>
      <c r="D863">
        <f>IF($A863="","",IFERROR(INDEX('[AQ_2022.xlsx]原始数据'!$B:$B,MATCH($A863,'[AQ_2022.xlsx]原始数据'!$A:$A,0)),""))</f>
        <v/>
      </c>
      <c r="E863">
        <f>IF($A863="","",IFERROR(INDEX('[AQ_2023.xlsx]原始数据'!$B:$B,MATCH($A863,'[AQ_2023.xlsx]原始数据'!$A:$A,0)),""))</f>
        <v/>
      </c>
      <c r="F863">
        <f>IF($A863="","",IFERROR(INDEX('[AQ_2024.xlsx]原始数据'!$B:$B,MATCH($A863,'[AQ_2024.xlsx]原始数据'!$A:$A,0)),""))</f>
        <v/>
      </c>
      <c r="G863">
        <f>IF($A863="","",IFERROR(INDEX('[AQ_2020.xlsx]原始数据'!$C:$C,MATCH($A863,'[AQ_2020.xlsx]原始数据'!$A:$A,0)),""))</f>
        <v/>
      </c>
      <c r="H863">
        <f>IF($A863="","",IFERROR(INDEX('[AQ_2021.xlsx]原始数据'!$C:$C,MATCH($A863,'[AQ_2021.xlsx]原始数据'!$A:$A,0)),""))</f>
        <v/>
      </c>
      <c r="I863">
        <f>IF($A863="","",IFERROR(INDEX('[AQ_2022.xlsx]原始数据'!$C:$C,MATCH($A863,'[AQ_2022.xlsx]原始数据'!$A:$A,0)),""))</f>
        <v/>
      </c>
      <c r="J863">
        <f>IF($A863="","",IFERROR(INDEX('[AQ_2023.xlsx]原始数据'!$C:$C,MATCH($A863,'[AQ_2023.xlsx]原始数据'!$A:$A,0)),""))</f>
        <v/>
      </c>
      <c r="K863">
        <f>IF($A863="","",IFERROR(INDEX('[AQ_2024.xlsx]原始数据'!$C:$C,MATCH($A863,'[AQ_2024.xlsx]原始数据'!$A:$A,0)),""))</f>
        <v/>
      </c>
      <c r="L863">
        <f>IF($A863="","",IFERROR(INDEX('[AQ_2020.xlsx]原始数据'!$D:$D,MATCH($A863,'[AQ_2020.xlsx]原始数据'!$A:$A,0)),""))</f>
        <v/>
      </c>
      <c r="M863">
        <f>IF($A863="","",IFERROR(INDEX('[AQ_2021.xlsx]原始数据'!$D:$D,MATCH($A863,'[AQ_2021.xlsx]原始数据'!$A:$A,0)),""))</f>
        <v/>
      </c>
      <c r="N863">
        <f>IF($A863="","",IFERROR(INDEX('[AQ_2022.xlsx]原始数据'!$D:$D,MATCH($A863,'[AQ_2022.xlsx]原始数据'!$A:$A,0)),""))</f>
        <v/>
      </c>
      <c r="O863">
        <f>IF($A863="","",IFERROR(INDEX('[AQ_2023.xlsx]原始数据'!$D:$D,MATCH($A863,'[AQ_2023.xlsx]原始数据'!$A:$A,0)),""))</f>
        <v/>
      </c>
      <c r="P863">
        <f>IF($A863="","",IFERROR(INDEX('[AQ_2024.xlsx]原始数据'!$D:$D,MATCH($A863,'[AQ_2024.xlsx]原始数据'!$A:$A,0)),""))</f>
        <v/>
      </c>
      <c r="Q863">
        <f>IF($A863="","",IFERROR(INDEX('[AQ_2020.xlsx]原始数据'!$E:$E,MATCH($A863,'[AQ_2020.xlsx]原始数据'!$A:$A,0)),""))</f>
        <v/>
      </c>
      <c r="R863">
        <f>IF($A863="","",IFERROR(INDEX('[AQ_2021.xlsx]原始数据'!$E:$E,MATCH($A863,'[AQ_2021.xlsx]原始数据'!$A:$A,0)),""))</f>
        <v/>
      </c>
      <c r="S863">
        <f>IF($A863="","",IFERROR(INDEX('[AQ_2022.xlsx]原始数据'!$E:$E,MATCH($A863,'[AQ_2022.xlsx]原始数据'!$A:$A,0)),""))</f>
        <v/>
      </c>
      <c r="T863">
        <f>IF($A863="","",IFERROR(INDEX('[AQ_2023.xlsx]原始数据'!$E:$E,MATCH($A863,'[AQ_2023.xlsx]原始数据'!$A:$A,0)),""))</f>
        <v/>
      </c>
      <c r="U863">
        <f>IF($A863="","",IFERROR(INDEX('[AQ_2024.xlsx]原始数据'!$E:$E,MATCH($A863,'[AQ_2024.xlsx]原始数据'!$A:$A,0)),""))</f>
        <v/>
      </c>
      <c r="V863">
        <f>IF($A863="","",IFERROR(INDEX('[AQ_2020.xlsx]原始数据'!$F:$F,MATCH($A863,'[AQ_2020.xlsx]原始数据'!$A:$A,0)),""))</f>
        <v/>
      </c>
      <c r="W863">
        <f>IF($A863="","",IFERROR(INDEX('[AQ_2021.xlsx]原始数据'!$F:$F,MATCH($A863,'[AQ_2021.xlsx]原始数据'!$A:$A,0)),""))</f>
        <v/>
      </c>
      <c r="X863">
        <f>IF($A863="","",IFERROR(INDEX('[AQ_2022.xlsx]原始数据'!$F:$F,MATCH($A863,'[AQ_2022.xlsx]原始数据'!$A:$A,0)),""))</f>
        <v/>
      </c>
      <c r="Y863">
        <f>IF($A863="","",IFERROR(INDEX('[AQ_2023.xlsx]原始数据'!$F:$F,MATCH($A863,'[AQ_2023.xlsx]原始数据'!$A:$A,0)),""))</f>
        <v/>
      </c>
      <c r="Z863">
        <f>IF($A863="","",IFERROR(INDEX('[AQ_2024.xlsx]原始数据'!$F:$F,MATCH($A863,'[AQ_2024.xlsx]原始数据'!$A:$A,0)),""))</f>
        <v/>
      </c>
      <c r="AA863" s="2">
        <f>IFERROR(G863/B863,"")</f>
        <v/>
      </c>
      <c r="AB863" s="2">
        <f>IFERROR(H863/C863,"")</f>
        <v/>
      </c>
      <c r="AC863" s="2">
        <f>IFERROR(I863/D863,"")</f>
        <v/>
      </c>
      <c r="AD863" s="2">
        <f>IFERROR(J863/E863,"")</f>
        <v/>
      </c>
      <c r="AE863" s="2">
        <f>IFERROR(K863/F863,"")</f>
        <v/>
      </c>
      <c r="AF863" s="2">
        <f>IFERROR(L863/B863,"")</f>
        <v/>
      </c>
      <c r="AG863" s="2">
        <f>IFERROR(M863/C863,"")</f>
        <v/>
      </c>
      <c r="AH863" s="2">
        <f>IFERROR(N863/D863,"")</f>
        <v/>
      </c>
      <c r="AI863" s="2">
        <f>IFERROR(O863/E863,"")</f>
        <v/>
      </c>
      <c r="AJ863" s="2">
        <f>IFERROR(P863/F863,"")</f>
        <v/>
      </c>
      <c r="AK863" s="2">
        <f>IFERROR(Q863/B863,"")</f>
        <v/>
      </c>
      <c r="AL863" s="2">
        <f>IFERROR(R863/C863,"")</f>
        <v/>
      </c>
      <c r="AM863" s="2">
        <f>IFERROR(S863/D863,"")</f>
        <v/>
      </c>
      <c r="AN863" s="2">
        <f>IFERROR(T863/E863,"")</f>
        <v/>
      </c>
      <c r="AO863" s="2">
        <f>IFERROR(U863/F863,"")</f>
        <v/>
      </c>
    </row>
    <row r="864">
      <c r="B864">
        <f>IF($A864="","",IFERROR(INDEX('[AQ_2020.xlsx]原始数据'!$B:$B,MATCH($A864,'[AQ_2020.xlsx]原始数据'!$A:$A,0)),""))</f>
        <v/>
      </c>
      <c r="C864">
        <f>IF($A864="","",IFERROR(INDEX('[AQ_2021.xlsx]原始数据'!$B:$B,MATCH($A864,'[AQ_2021.xlsx]原始数据'!$A:$A,0)),""))</f>
        <v/>
      </c>
      <c r="D864">
        <f>IF($A864="","",IFERROR(INDEX('[AQ_2022.xlsx]原始数据'!$B:$B,MATCH($A864,'[AQ_2022.xlsx]原始数据'!$A:$A,0)),""))</f>
        <v/>
      </c>
      <c r="E864">
        <f>IF($A864="","",IFERROR(INDEX('[AQ_2023.xlsx]原始数据'!$B:$B,MATCH($A864,'[AQ_2023.xlsx]原始数据'!$A:$A,0)),""))</f>
        <v/>
      </c>
      <c r="F864">
        <f>IF($A864="","",IFERROR(INDEX('[AQ_2024.xlsx]原始数据'!$B:$B,MATCH($A864,'[AQ_2024.xlsx]原始数据'!$A:$A,0)),""))</f>
        <v/>
      </c>
      <c r="G864">
        <f>IF($A864="","",IFERROR(INDEX('[AQ_2020.xlsx]原始数据'!$C:$C,MATCH($A864,'[AQ_2020.xlsx]原始数据'!$A:$A,0)),""))</f>
        <v/>
      </c>
      <c r="H864">
        <f>IF($A864="","",IFERROR(INDEX('[AQ_2021.xlsx]原始数据'!$C:$C,MATCH($A864,'[AQ_2021.xlsx]原始数据'!$A:$A,0)),""))</f>
        <v/>
      </c>
      <c r="I864">
        <f>IF($A864="","",IFERROR(INDEX('[AQ_2022.xlsx]原始数据'!$C:$C,MATCH($A864,'[AQ_2022.xlsx]原始数据'!$A:$A,0)),""))</f>
        <v/>
      </c>
      <c r="J864">
        <f>IF($A864="","",IFERROR(INDEX('[AQ_2023.xlsx]原始数据'!$C:$C,MATCH($A864,'[AQ_2023.xlsx]原始数据'!$A:$A,0)),""))</f>
        <v/>
      </c>
      <c r="K864">
        <f>IF($A864="","",IFERROR(INDEX('[AQ_2024.xlsx]原始数据'!$C:$C,MATCH($A864,'[AQ_2024.xlsx]原始数据'!$A:$A,0)),""))</f>
        <v/>
      </c>
      <c r="L864">
        <f>IF($A864="","",IFERROR(INDEX('[AQ_2020.xlsx]原始数据'!$D:$D,MATCH($A864,'[AQ_2020.xlsx]原始数据'!$A:$A,0)),""))</f>
        <v/>
      </c>
      <c r="M864">
        <f>IF($A864="","",IFERROR(INDEX('[AQ_2021.xlsx]原始数据'!$D:$D,MATCH($A864,'[AQ_2021.xlsx]原始数据'!$A:$A,0)),""))</f>
        <v/>
      </c>
      <c r="N864">
        <f>IF($A864="","",IFERROR(INDEX('[AQ_2022.xlsx]原始数据'!$D:$D,MATCH($A864,'[AQ_2022.xlsx]原始数据'!$A:$A,0)),""))</f>
        <v/>
      </c>
      <c r="O864">
        <f>IF($A864="","",IFERROR(INDEX('[AQ_2023.xlsx]原始数据'!$D:$D,MATCH($A864,'[AQ_2023.xlsx]原始数据'!$A:$A,0)),""))</f>
        <v/>
      </c>
      <c r="P864">
        <f>IF($A864="","",IFERROR(INDEX('[AQ_2024.xlsx]原始数据'!$D:$D,MATCH($A864,'[AQ_2024.xlsx]原始数据'!$A:$A,0)),""))</f>
        <v/>
      </c>
      <c r="Q864">
        <f>IF($A864="","",IFERROR(INDEX('[AQ_2020.xlsx]原始数据'!$E:$E,MATCH($A864,'[AQ_2020.xlsx]原始数据'!$A:$A,0)),""))</f>
        <v/>
      </c>
      <c r="R864">
        <f>IF($A864="","",IFERROR(INDEX('[AQ_2021.xlsx]原始数据'!$E:$E,MATCH($A864,'[AQ_2021.xlsx]原始数据'!$A:$A,0)),""))</f>
        <v/>
      </c>
      <c r="S864">
        <f>IF($A864="","",IFERROR(INDEX('[AQ_2022.xlsx]原始数据'!$E:$E,MATCH($A864,'[AQ_2022.xlsx]原始数据'!$A:$A,0)),""))</f>
        <v/>
      </c>
      <c r="T864">
        <f>IF($A864="","",IFERROR(INDEX('[AQ_2023.xlsx]原始数据'!$E:$E,MATCH($A864,'[AQ_2023.xlsx]原始数据'!$A:$A,0)),""))</f>
        <v/>
      </c>
      <c r="U864">
        <f>IF($A864="","",IFERROR(INDEX('[AQ_2024.xlsx]原始数据'!$E:$E,MATCH($A864,'[AQ_2024.xlsx]原始数据'!$A:$A,0)),""))</f>
        <v/>
      </c>
      <c r="V864">
        <f>IF($A864="","",IFERROR(INDEX('[AQ_2020.xlsx]原始数据'!$F:$F,MATCH($A864,'[AQ_2020.xlsx]原始数据'!$A:$A,0)),""))</f>
        <v/>
      </c>
      <c r="W864">
        <f>IF($A864="","",IFERROR(INDEX('[AQ_2021.xlsx]原始数据'!$F:$F,MATCH($A864,'[AQ_2021.xlsx]原始数据'!$A:$A,0)),""))</f>
        <v/>
      </c>
      <c r="X864">
        <f>IF($A864="","",IFERROR(INDEX('[AQ_2022.xlsx]原始数据'!$F:$F,MATCH($A864,'[AQ_2022.xlsx]原始数据'!$A:$A,0)),""))</f>
        <v/>
      </c>
      <c r="Y864">
        <f>IF($A864="","",IFERROR(INDEX('[AQ_2023.xlsx]原始数据'!$F:$F,MATCH($A864,'[AQ_2023.xlsx]原始数据'!$A:$A,0)),""))</f>
        <v/>
      </c>
      <c r="Z864">
        <f>IF($A864="","",IFERROR(INDEX('[AQ_2024.xlsx]原始数据'!$F:$F,MATCH($A864,'[AQ_2024.xlsx]原始数据'!$A:$A,0)),""))</f>
        <v/>
      </c>
      <c r="AA864" s="2">
        <f>IFERROR(G864/B864,"")</f>
        <v/>
      </c>
      <c r="AB864" s="2">
        <f>IFERROR(H864/C864,"")</f>
        <v/>
      </c>
      <c r="AC864" s="2">
        <f>IFERROR(I864/D864,"")</f>
        <v/>
      </c>
      <c r="AD864" s="2">
        <f>IFERROR(J864/E864,"")</f>
        <v/>
      </c>
      <c r="AE864" s="2">
        <f>IFERROR(K864/F864,"")</f>
        <v/>
      </c>
      <c r="AF864" s="2">
        <f>IFERROR(L864/B864,"")</f>
        <v/>
      </c>
      <c r="AG864" s="2">
        <f>IFERROR(M864/C864,"")</f>
        <v/>
      </c>
      <c r="AH864" s="2">
        <f>IFERROR(N864/D864,"")</f>
        <v/>
      </c>
      <c r="AI864" s="2">
        <f>IFERROR(O864/E864,"")</f>
        <v/>
      </c>
      <c r="AJ864" s="2">
        <f>IFERROR(P864/F864,"")</f>
        <v/>
      </c>
      <c r="AK864" s="2">
        <f>IFERROR(Q864/B864,"")</f>
        <v/>
      </c>
      <c r="AL864" s="2">
        <f>IFERROR(R864/C864,"")</f>
        <v/>
      </c>
      <c r="AM864" s="2">
        <f>IFERROR(S864/D864,"")</f>
        <v/>
      </c>
      <c r="AN864" s="2">
        <f>IFERROR(T864/E864,"")</f>
        <v/>
      </c>
      <c r="AO864" s="2">
        <f>IFERROR(U864/F864,"")</f>
        <v/>
      </c>
    </row>
    <row r="865">
      <c r="B865">
        <f>IF($A865="","",IFERROR(INDEX('[AQ_2020.xlsx]原始数据'!$B:$B,MATCH($A865,'[AQ_2020.xlsx]原始数据'!$A:$A,0)),""))</f>
        <v/>
      </c>
      <c r="C865">
        <f>IF($A865="","",IFERROR(INDEX('[AQ_2021.xlsx]原始数据'!$B:$B,MATCH($A865,'[AQ_2021.xlsx]原始数据'!$A:$A,0)),""))</f>
        <v/>
      </c>
      <c r="D865">
        <f>IF($A865="","",IFERROR(INDEX('[AQ_2022.xlsx]原始数据'!$B:$B,MATCH($A865,'[AQ_2022.xlsx]原始数据'!$A:$A,0)),""))</f>
        <v/>
      </c>
      <c r="E865">
        <f>IF($A865="","",IFERROR(INDEX('[AQ_2023.xlsx]原始数据'!$B:$B,MATCH($A865,'[AQ_2023.xlsx]原始数据'!$A:$A,0)),""))</f>
        <v/>
      </c>
      <c r="F865">
        <f>IF($A865="","",IFERROR(INDEX('[AQ_2024.xlsx]原始数据'!$B:$B,MATCH($A865,'[AQ_2024.xlsx]原始数据'!$A:$A,0)),""))</f>
        <v/>
      </c>
      <c r="G865">
        <f>IF($A865="","",IFERROR(INDEX('[AQ_2020.xlsx]原始数据'!$C:$C,MATCH($A865,'[AQ_2020.xlsx]原始数据'!$A:$A,0)),""))</f>
        <v/>
      </c>
      <c r="H865">
        <f>IF($A865="","",IFERROR(INDEX('[AQ_2021.xlsx]原始数据'!$C:$C,MATCH($A865,'[AQ_2021.xlsx]原始数据'!$A:$A,0)),""))</f>
        <v/>
      </c>
      <c r="I865">
        <f>IF($A865="","",IFERROR(INDEX('[AQ_2022.xlsx]原始数据'!$C:$C,MATCH($A865,'[AQ_2022.xlsx]原始数据'!$A:$A,0)),""))</f>
        <v/>
      </c>
      <c r="J865">
        <f>IF($A865="","",IFERROR(INDEX('[AQ_2023.xlsx]原始数据'!$C:$C,MATCH($A865,'[AQ_2023.xlsx]原始数据'!$A:$A,0)),""))</f>
        <v/>
      </c>
      <c r="K865">
        <f>IF($A865="","",IFERROR(INDEX('[AQ_2024.xlsx]原始数据'!$C:$C,MATCH($A865,'[AQ_2024.xlsx]原始数据'!$A:$A,0)),""))</f>
        <v/>
      </c>
      <c r="L865">
        <f>IF($A865="","",IFERROR(INDEX('[AQ_2020.xlsx]原始数据'!$D:$D,MATCH($A865,'[AQ_2020.xlsx]原始数据'!$A:$A,0)),""))</f>
        <v/>
      </c>
      <c r="M865">
        <f>IF($A865="","",IFERROR(INDEX('[AQ_2021.xlsx]原始数据'!$D:$D,MATCH($A865,'[AQ_2021.xlsx]原始数据'!$A:$A,0)),""))</f>
        <v/>
      </c>
      <c r="N865">
        <f>IF($A865="","",IFERROR(INDEX('[AQ_2022.xlsx]原始数据'!$D:$D,MATCH($A865,'[AQ_2022.xlsx]原始数据'!$A:$A,0)),""))</f>
        <v/>
      </c>
      <c r="O865">
        <f>IF($A865="","",IFERROR(INDEX('[AQ_2023.xlsx]原始数据'!$D:$D,MATCH($A865,'[AQ_2023.xlsx]原始数据'!$A:$A,0)),""))</f>
        <v/>
      </c>
      <c r="P865">
        <f>IF($A865="","",IFERROR(INDEX('[AQ_2024.xlsx]原始数据'!$D:$D,MATCH($A865,'[AQ_2024.xlsx]原始数据'!$A:$A,0)),""))</f>
        <v/>
      </c>
      <c r="Q865">
        <f>IF($A865="","",IFERROR(INDEX('[AQ_2020.xlsx]原始数据'!$E:$E,MATCH($A865,'[AQ_2020.xlsx]原始数据'!$A:$A,0)),""))</f>
        <v/>
      </c>
      <c r="R865">
        <f>IF($A865="","",IFERROR(INDEX('[AQ_2021.xlsx]原始数据'!$E:$E,MATCH($A865,'[AQ_2021.xlsx]原始数据'!$A:$A,0)),""))</f>
        <v/>
      </c>
      <c r="S865">
        <f>IF($A865="","",IFERROR(INDEX('[AQ_2022.xlsx]原始数据'!$E:$E,MATCH($A865,'[AQ_2022.xlsx]原始数据'!$A:$A,0)),""))</f>
        <v/>
      </c>
      <c r="T865">
        <f>IF($A865="","",IFERROR(INDEX('[AQ_2023.xlsx]原始数据'!$E:$E,MATCH($A865,'[AQ_2023.xlsx]原始数据'!$A:$A,0)),""))</f>
        <v/>
      </c>
      <c r="U865">
        <f>IF($A865="","",IFERROR(INDEX('[AQ_2024.xlsx]原始数据'!$E:$E,MATCH($A865,'[AQ_2024.xlsx]原始数据'!$A:$A,0)),""))</f>
        <v/>
      </c>
      <c r="V865">
        <f>IF($A865="","",IFERROR(INDEX('[AQ_2020.xlsx]原始数据'!$F:$F,MATCH($A865,'[AQ_2020.xlsx]原始数据'!$A:$A,0)),""))</f>
        <v/>
      </c>
      <c r="W865">
        <f>IF($A865="","",IFERROR(INDEX('[AQ_2021.xlsx]原始数据'!$F:$F,MATCH($A865,'[AQ_2021.xlsx]原始数据'!$A:$A,0)),""))</f>
        <v/>
      </c>
      <c r="X865">
        <f>IF($A865="","",IFERROR(INDEX('[AQ_2022.xlsx]原始数据'!$F:$F,MATCH($A865,'[AQ_2022.xlsx]原始数据'!$A:$A,0)),""))</f>
        <v/>
      </c>
      <c r="Y865">
        <f>IF($A865="","",IFERROR(INDEX('[AQ_2023.xlsx]原始数据'!$F:$F,MATCH($A865,'[AQ_2023.xlsx]原始数据'!$A:$A,0)),""))</f>
        <v/>
      </c>
      <c r="Z865">
        <f>IF($A865="","",IFERROR(INDEX('[AQ_2024.xlsx]原始数据'!$F:$F,MATCH($A865,'[AQ_2024.xlsx]原始数据'!$A:$A,0)),""))</f>
        <v/>
      </c>
      <c r="AA865" s="2">
        <f>IFERROR(G865/B865,"")</f>
        <v/>
      </c>
      <c r="AB865" s="2">
        <f>IFERROR(H865/C865,"")</f>
        <v/>
      </c>
      <c r="AC865" s="2">
        <f>IFERROR(I865/D865,"")</f>
        <v/>
      </c>
      <c r="AD865" s="2">
        <f>IFERROR(J865/E865,"")</f>
        <v/>
      </c>
      <c r="AE865" s="2">
        <f>IFERROR(K865/F865,"")</f>
        <v/>
      </c>
      <c r="AF865" s="2">
        <f>IFERROR(L865/B865,"")</f>
        <v/>
      </c>
      <c r="AG865" s="2">
        <f>IFERROR(M865/C865,"")</f>
        <v/>
      </c>
      <c r="AH865" s="2">
        <f>IFERROR(N865/D865,"")</f>
        <v/>
      </c>
      <c r="AI865" s="2">
        <f>IFERROR(O865/E865,"")</f>
        <v/>
      </c>
      <c r="AJ865" s="2">
        <f>IFERROR(P865/F865,"")</f>
        <v/>
      </c>
      <c r="AK865" s="2">
        <f>IFERROR(Q865/B865,"")</f>
        <v/>
      </c>
      <c r="AL865" s="2">
        <f>IFERROR(R865/C865,"")</f>
        <v/>
      </c>
      <c r="AM865" s="2">
        <f>IFERROR(S865/D865,"")</f>
        <v/>
      </c>
      <c r="AN865" s="2">
        <f>IFERROR(T865/E865,"")</f>
        <v/>
      </c>
      <c r="AO865" s="2">
        <f>IFERROR(U865/F865,"")</f>
        <v/>
      </c>
    </row>
    <row r="866">
      <c r="B866">
        <f>IF($A866="","",IFERROR(INDEX('[AQ_2020.xlsx]原始数据'!$B:$B,MATCH($A866,'[AQ_2020.xlsx]原始数据'!$A:$A,0)),""))</f>
        <v/>
      </c>
      <c r="C866">
        <f>IF($A866="","",IFERROR(INDEX('[AQ_2021.xlsx]原始数据'!$B:$B,MATCH($A866,'[AQ_2021.xlsx]原始数据'!$A:$A,0)),""))</f>
        <v/>
      </c>
      <c r="D866">
        <f>IF($A866="","",IFERROR(INDEX('[AQ_2022.xlsx]原始数据'!$B:$B,MATCH($A866,'[AQ_2022.xlsx]原始数据'!$A:$A,0)),""))</f>
        <v/>
      </c>
      <c r="E866">
        <f>IF($A866="","",IFERROR(INDEX('[AQ_2023.xlsx]原始数据'!$B:$B,MATCH($A866,'[AQ_2023.xlsx]原始数据'!$A:$A,0)),""))</f>
        <v/>
      </c>
      <c r="F866">
        <f>IF($A866="","",IFERROR(INDEX('[AQ_2024.xlsx]原始数据'!$B:$B,MATCH($A866,'[AQ_2024.xlsx]原始数据'!$A:$A,0)),""))</f>
        <v/>
      </c>
      <c r="G866">
        <f>IF($A866="","",IFERROR(INDEX('[AQ_2020.xlsx]原始数据'!$C:$C,MATCH($A866,'[AQ_2020.xlsx]原始数据'!$A:$A,0)),""))</f>
        <v/>
      </c>
      <c r="H866">
        <f>IF($A866="","",IFERROR(INDEX('[AQ_2021.xlsx]原始数据'!$C:$C,MATCH($A866,'[AQ_2021.xlsx]原始数据'!$A:$A,0)),""))</f>
        <v/>
      </c>
      <c r="I866">
        <f>IF($A866="","",IFERROR(INDEX('[AQ_2022.xlsx]原始数据'!$C:$C,MATCH($A866,'[AQ_2022.xlsx]原始数据'!$A:$A,0)),""))</f>
        <v/>
      </c>
      <c r="J866">
        <f>IF($A866="","",IFERROR(INDEX('[AQ_2023.xlsx]原始数据'!$C:$C,MATCH($A866,'[AQ_2023.xlsx]原始数据'!$A:$A,0)),""))</f>
        <v/>
      </c>
      <c r="K866">
        <f>IF($A866="","",IFERROR(INDEX('[AQ_2024.xlsx]原始数据'!$C:$C,MATCH($A866,'[AQ_2024.xlsx]原始数据'!$A:$A,0)),""))</f>
        <v/>
      </c>
      <c r="L866">
        <f>IF($A866="","",IFERROR(INDEX('[AQ_2020.xlsx]原始数据'!$D:$D,MATCH($A866,'[AQ_2020.xlsx]原始数据'!$A:$A,0)),""))</f>
        <v/>
      </c>
      <c r="M866">
        <f>IF($A866="","",IFERROR(INDEX('[AQ_2021.xlsx]原始数据'!$D:$D,MATCH($A866,'[AQ_2021.xlsx]原始数据'!$A:$A,0)),""))</f>
        <v/>
      </c>
      <c r="N866">
        <f>IF($A866="","",IFERROR(INDEX('[AQ_2022.xlsx]原始数据'!$D:$D,MATCH($A866,'[AQ_2022.xlsx]原始数据'!$A:$A,0)),""))</f>
        <v/>
      </c>
      <c r="O866">
        <f>IF($A866="","",IFERROR(INDEX('[AQ_2023.xlsx]原始数据'!$D:$D,MATCH($A866,'[AQ_2023.xlsx]原始数据'!$A:$A,0)),""))</f>
        <v/>
      </c>
      <c r="P866">
        <f>IF($A866="","",IFERROR(INDEX('[AQ_2024.xlsx]原始数据'!$D:$D,MATCH($A866,'[AQ_2024.xlsx]原始数据'!$A:$A,0)),""))</f>
        <v/>
      </c>
      <c r="Q866">
        <f>IF($A866="","",IFERROR(INDEX('[AQ_2020.xlsx]原始数据'!$E:$E,MATCH($A866,'[AQ_2020.xlsx]原始数据'!$A:$A,0)),""))</f>
        <v/>
      </c>
      <c r="R866">
        <f>IF($A866="","",IFERROR(INDEX('[AQ_2021.xlsx]原始数据'!$E:$E,MATCH($A866,'[AQ_2021.xlsx]原始数据'!$A:$A,0)),""))</f>
        <v/>
      </c>
      <c r="S866">
        <f>IF($A866="","",IFERROR(INDEX('[AQ_2022.xlsx]原始数据'!$E:$E,MATCH($A866,'[AQ_2022.xlsx]原始数据'!$A:$A,0)),""))</f>
        <v/>
      </c>
      <c r="T866">
        <f>IF($A866="","",IFERROR(INDEX('[AQ_2023.xlsx]原始数据'!$E:$E,MATCH($A866,'[AQ_2023.xlsx]原始数据'!$A:$A,0)),""))</f>
        <v/>
      </c>
      <c r="U866">
        <f>IF($A866="","",IFERROR(INDEX('[AQ_2024.xlsx]原始数据'!$E:$E,MATCH($A866,'[AQ_2024.xlsx]原始数据'!$A:$A,0)),""))</f>
        <v/>
      </c>
      <c r="V866">
        <f>IF($A866="","",IFERROR(INDEX('[AQ_2020.xlsx]原始数据'!$F:$F,MATCH($A866,'[AQ_2020.xlsx]原始数据'!$A:$A,0)),""))</f>
        <v/>
      </c>
      <c r="W866">
        <f>IF($A866="","",IFERROR(INDEX('[AQ_2021.xlsx]原始数据'!$F:$F,MATCH($A866,'[AQ_2021.xlsx]原始数据'!$A:$A,0)),""))</f>
        <v/>
      </c>
      <c r="X866">
        <f>IF($A866="","",IFERROR(INDEX('[AQ_2022.xlsx]原始数据'!$F:$F,MATCH($A866,'[AQ_2022.xlsx]原始数据'!$A:$A,0)),""))</f>
        <v/>
      </c>
      <c r="Y866">
        <f>IF($A866="","",IFERROR(INDEX('[AQ_2023.xlsx]原始数据'!$F:$F,MATCH($A866,'[AQ_2023.xlsx]原始数据'!$A:$A,0)),""))</f>
        <v/>
      </c>
      <c r="Z866">
        <f>IF($A866="","",IFERROR(INDEX('[AQ_2024.xlsx]原始数据'!$F:$F,MATCH($A866,'[AQ_2024.xlsx]原始数据'!$A:$A,0)),""))</f>
        <v/>
      </c>
      <c r="AA866" s="2">
        <f>IFERROR(G866/B866,"")</f>
        <v/>
      </c>
      <c r="AB866" s="2">
        <f>IFERROR(H866/C866,"")</f>
        <v/>
      </c>
      <c r="AC866" s="2">
        <f>IFERROR(I866/D866,"")</f>
        <v/>
      </c>
      <c r="AD866" s="2">
        <f>IFERROR(J866/E866,"")</f>
        <v/>
      </c>
      <c r="AE866" s="2">
        <f>IFERROR(K866/F866,"")</f>
        <v/>
      </c>
      <c r="AF866" s="2">
        <f>IFERROR(L866/B866,"")</f>
        <v/>
      </c>
      <c r="AG866" s="2">
        <f>IFERROR(M866/C866,"")</f>
        <v/>
      </c>
      <c r="AH866" s="2">
        <f>IFERROR(N866/D866,"")</f>
        <v/>
      </c>
      <c r="AI866" s="2">
        <f>IFERROR(O866/E866,"")</f>
        <v/>
      </c>
      <c r="AJ866" s="2">
        <f>IFERROR(P866/F866,"")</f>
        <v/>
      </c>
      <c r="AK866" s="2">
        <f>IFERROR(Q866/B866,"")</f>
        <v/>
      </c>
      <c r="AL866" s="2">
        <f>IFERROR(R866/C866,"")</f>
        <v/>
      </c>
      <c r="AM866" s="2">
        <f>IFERROR(S866/D866,"")</f>
        <v/>
      </c>
      <c r="AN866" s="2">
        <f>IFERROR(T866/E866,"")</f>
        <v/>
      </c>
      <c r="AO866" s="2">
        <f>IFERROR(U866/F866,"")</f>
        <v/>
      </c>
    </row>
    <row r="867">
      <c r="B867">
        <f>IF($A867="","",IFERROR(INDEX('[AQ_2020.xlsx]原始数据'!$B:$B,MATCH($A867,'[AQ_2020.xlsx]原始数据'!$A:$A,0)),""))</f>
        <v/>
      </c>
      <c r="C867">
        <f>IF($A867="","",IFERROR(INDEX('[AQ_2021.xlsx]原始数据'!$B:$B,MATCH($A867,'[AQ_2021.xlsx]原始数据'!$A:$A,0)),""))</f>
        <v/>
      </c>
      <c r="D867">
        <f>IF($A867="","",IFERROR(INDEX('[AQ_2022.xlsx]原始数据'!$B:$B,MATCH($A867,'[AQ_2022.xlsx]原始数据'!$A:$A,0)),""))</f>
        <v/>
      </c>
      <c r="E867">
        <f>IF($A867="","",IFERROR(INDEX('[AQ_2023.xlsx]原始数据'!$B:$B,MATCH($A867,'[AQ_2023.xlsx]原始数据'!$A:$A,0)),""))</f>
        <v/>
      </c>
      <c r="F867">
        <f>IF($A867="","",IFERROR(INDEX('[AQ_2024.xlsx]原始数据'!$B:$B,MATCH($A867,'[AQ_2024.xlsx]原始数据'!$A:$A,0)),""))</f>
        <v/>
      </c>
      <c r="G867">
        <f>IF($A867="","",IFERROR(INDEX('[AQ_2020.xlsx]原始数据'!$C:$C,MATCH($A867,'[AQ_2020.xlsx]原始数据'!$A:$A,0)),""))</f>
        <v/>
      </c>
      <c r="H867">
        <f>IF($A867="","",IFERROR(INDEX('[AQ_2021.xlsx]原始数据'!$C:$C,MATCH($A867,'[AQ_2021.xlsx]原始数据'!$A:$A,0)),""))</f>
        <v/>
      </c>
      <c r="I867">
        <f>IF($A867="","",IFERROR(INDEX('[AQ_2022.xlsx]原始数据'!$C:$C,MATCH($A867,'[AQ_2022.xlsx]原始数据'!$A:$A,0)),""))</f>
        <v/>
      </c>
      <c r="J867">
        <f>IF($A867="","",IFERROR(INDEX('[AQ_2023.xlsx]原始数据'!$C:$C,MATCH($A867,'[AQ_2023.xlsx]原始数据'!$A:$A,0)),""))</f>
        <v/>
      </c>
      <c r="K867">
        <f>IF($A867="","",IFERROR(INDEX('[AQ_2024.xlsx]原始数据'!$C:$C,MATCH($A867,'[AQ_2024.xlsx]原始数据'!$A:$A,0)),""))</f>
        <v/>
      </c>
      <c r="L867">
        <f>IF($A867="","",IFERROR(INDEX('[AQ_2020.xlsx]原始数据'!$D:$D,MATCH($A867,'[AQ_2020.xlsx]原始数据'!$A:$A,0)),""))</f>
        <v/>
      </c>
      <c r="M867">
        <f>IF($A867="","",IFERROR(INDEX('[AQ_2021.xlsx]原始数据'!$D:$D,MATCH($A867,'[AQ_2021.xlsx]原始数据'!$A:$A,0)),""))</f>
        <v/>
      </c>
      <c r="N867">
        <f>IF($A867="","",IFERROR(INDEX('[AQ_2022.xlsx]原始数据'!$D:$D,MATCH($A867,'[AQ_2022.xlsx]原始数据'!$A:$A,0)),""))</f>
        <v/>
      </c>
      <c r="O867">
        <f>IF($A867="","",IFERROR(INDEX('[AQ_2023.xlsx]原始数据'!$D:$D,MATCH($A867,'[AQ_2023.xlsx]原始数据'!$A:$A,0)),""))</f>
        <v/>
      </c>
      <c r="P867">
        <f>IF($A867="","",IFERROR(INDEX('[AQ_2024.xlsx]原始数据'!$D:$D,MATCH($A867,'[AQ_2024.xlsx]原始数据'!$A:$A,0)),""))</f>
        <v/>
      </c>
      <c r="Q867">
        <f>IF($A867="","",IFERROR(INDEX('[AQ_2020.xlsx]原始数据'!$E:$E,MATCH($A867,'[AQ_2020.xlsx]原始数据'!$A:$A,0)),""))</f>
        <v/>
      </c>
      <c r="R867">
        <f>IF($A867="","",IFERROR(INDEX('[AQ_2021.xlsx]原始数据'!$E:$E,MATCH($A867,'[AQ_2021.xlsx]原始数据'!$A:$A,0)),""))</f>
        <v/>
      </c>
      <c r="S867">
        <f>IF($A867="","",IFERROR(INDEX('[AQ_2022.xlsx]原始数据'!$E:$E,MATCH($A867,'[AQ_2022.xlsx]原始数据'!$A:$A,0)),""))</f>
        <v/>
      </c>
      <c r="T867">
        <f>IF($A867="","",IFERROR(INDEX('[AQ_2023.xlsx]原始数据'!$E:$E,MATCH($A867,'[AQ_2023.xlsx]原始数据'!$A:$A,0)),""))</f>
        <v/>
      </c>
      <c r="U867">
        <f>IF($A867="","",IFERROR(INDEX('[AQ_2024.xlsx]原始数据'!$E:$E,MATCH($A867,'[AQ_2024.xlsx]原始数据'!$A:$A,0)),""))</f>
        <v/>
      </c>
      <c r="V867">
        <f>IF($A867="","",IFERROR(INDEX('[AQ_2020.xlsx]原始数据'!$F:$F,MATCH($A867,'[AQ_2020.xlsx]原始数据'!$A:$A,0)),""))</f>
        <v/>
      </c>
      <c r="W867">
        <f>IF($A867="","",IFERROR(INDEX('[AQ_2021.xlsx]原始数据'!$F:$F,MATCH($A867,'[AQ_2021.xlsx]原始数据'!$A:$A,0)),""))</f>
        <v/>
      </c>
      <c r="X867">
        <f>IF($A867="","",IFERROR(INDEX('[AQ_2022.xlsx]原始数据'!$F:$F,MATCH($A867,'[AQ_2022.xlsx]原始数据'!$A:$A,0)),""))</f>
        <v/>
      </c>
      <c r="Y867">
        <f>IF($A867="","",IFERROR(INDEX('[AQ_2023.xlsx]原始数据'!$F:$F,MATCH($A867,'[AQ_2023.xlsx]原始数据'!$A:$A,0)),""))</f>
        <v/>
      </c>
      <c r="Z867">
        <f>IF($A867="","",IFERROR(INDEX('[AQ_2024.xlsx]原始数据'!$F:$F,MATCH($A867,'[AQ_2024.xlsx]原始数据'!$A:$A,0)),""))</f>
        <v/>
      </c>
      <c r="AA867" s="2">
        <f>IFERROR(G867/B867,"")</f>
        <v/>
      </c>
      <c r="AB867" s="2">
        <f>IFERROR(H867/C867,"")</f>
        <v/>
      </c>
      <c r="AC867" s="2">
        <f>IFERROR(I867/D867,"")</f>
        <v/>
      </c>
      <c r="AD867" s="2">
        <f>IFERROR(J867/E867,"")</f>
        <v/>
      </c>
      <c r="AE867" s="2">
        <f>IFERROR(K867/F867,"")</f>
        <v/>
      </c>
      <c r="AF867" s="2">
        <f>IFERROR(L867/B867,"")</f>
        <v/>
      </c>
      <c r="AG867" s="2">
        <f>IFERROR(M867/C867,"")</f>
        <v/>
      </c>
      <c r="AH867" s="2">
        <f>IFERROR(N867/D867,"")</f>
        <v/>
      </c>
      <c r="AI867" s="2">
        <f>IFERROR(O867/E867,"")</f>
        <v/>
      </c>
      <c r="AJ867" s="2">
        <f>IFERROR(P867/F867,"")</f>
        <v/>
      </c>
      <c r="AK867" s="2">
        <f>IFERROR(Q867/B867,"")</f>
        <v/>
      </c>
      <c r="AL867" s="2">
        <f>IFERROR(R867/C867,"")</f>
        <v/>
      </c>
      <c r="AM867" s="2">
        <f>IFERROR(S867/D867,"")</f>
        <v/>
      </c>
      <c r="AN867" s="2">
        <f>IFERROR(T867/E867,"")</f>
        <v/>
      </c>
      <c r="AO867" s="2">
        <f>IFERROR(U867/F867,"")</f>
        <v/>
      </c>
    </row>
    <row r="868">
      <c r="B868">
        <f>IF($A868="","",IFERROR(INDEX('[AQ_2020.xlsx]原始数据'!$B:$B,MATCH($A868,'[AQ_2020.xlsx]原始数据'!$A:$A,0)),""))</f>
        <v/>
      </c>
      <c r="C868">
        <f>IF($A868="","",IFERROR(INDEX('[AQ_2021.xlsx]原始数据'!$B:$B,MATCH($A868,'[AQ_2021.xlsx]原始数据'!$A:$A,0)),""))</f>
        <v/>
      </c>
      <c r="D868">
        <f>IF($A868="","",IFERROR(INDEX('[AQ_2022.xlsx]原始数据'!$B:$B,MATCH($A868,'[AQ_2022.xlsx]原始数据'!$A:$A,0)),""))</f>
        <v/>
      </c>
      <c r="E868">
        <f>IF($A868="","",IFERROR(INDEX('[AQ_2023.xlsx]原始数据'!$B:$B,MATCH($A868,'[AQ_2023.xlsx]原始数据'!$A:$A,0)),""))</f>
        <v/>
      </c>
      <c r="F868">
        <f>IF($A868="","",IFERROR(INDEX('[AQ_2024.xlsx]原始数据'!$B:$B,MATCH($A868,'[AQ_2024.xlsx]原始数据'!$A:$A,0)),""))</f>
        <v/>
      </c>
      <c r="G868">
        <f>IF($A868="","",IFERROR(INDEX('[AQ_2020.xlsx]原始数据'!$C:$C,MATCH($A868,'[AQ_2020.xlsx]原始数据'!$A:$A,0)),""))</f>
        <v/>
      </c>
      <c r="H868">
        <f>IF($A868="","",IFERROR(INDEX('[AQ_2021.xlsx]原始数据'!$C:$C,MATCH($A868,'[AQ_2021.xlsx]原始数据'!$A:$A,0)),""))</f>
        <v/>
      </c>
      <c r="I868">
        <f>IF($A868="","",IFERROR(INDEX('[AQ_2022.xlsx]原始数据'!$C:$C,MATCH($A868,'[AQ_2022.xlsx]原始数据'!$A:$A,0)),""))</f>
        <v/>
      </c>
      <c r="J868">
        <f>IF($A868="","",IFERROR(INDEX('[AQ_2023.xlsx]原始数据'!$C:$C,MATCH($A868,'[AQ_2023.xlsx]原始数据'!$A:$A,0)),""))</f>
        <v/>
      </c>
      <c r="K868">
        <f>IF($A868="","",IFERROR(INDEX('[AQ_2024.xlsx]原始数据'!$C:$C,MATCH($A868,'[AQ_2024.xlsx]原始数据'!$A:$A,0)),""))</f>
        <v/>
      </c>
      <c r="L868">
        <f>IF($A868="","",IFERROR(INDEX('[AQ_2020.xlsx]原始数据'!$D:$D,MATCH($A868,'[AQ_2020.xlsx]原始数据'!$A:$A,0)),""))</f>
        <v/>
      </c>
      <c r="M868">
        <f>IF($A868="","",IFERROR(INDEX('[AQ_2021.xlsx]原始数据'!$D:$D,MATCH($A868,'[AQ_2021.xlsx]原始数据'!$A:$A,0)),""))</f>
        <v/>
      </c>
      <c r="N868">
        <f>IF($A868="","",IFERROR(INDEX('[AQ_2022.xlsx]原始数据'!$D:$D,MATCH($A868,'[AQ_2022.xlsx]原始数据'!$A:$A,0)),""))</f>
        <v/>
      </c>
      <c r="O868">
        <f>IF($A868="","",IFERROR(INDEX('[AQ_2023.xlsx]原始数据'!$D:$D,MATCH($A868,'[AQ_2023.xlsx]原始数据'!$A:$A,0)),""))</f>
        <v/>
      </c>
      <c r="P868">
        <f>IF($A868="","",IFERROR(INDEX('[AQ_2024.xlsx]原始数据'!$D:$D,MATCH($A868,'[AQ_2024.xlsx]原始数据'!$A:$A,0)),""))</f>
        <v/>
      </c>
      <c r="Q868">
        <f>IF($A868="","",IFERROR(INDEX('[AQ_2020.xlsx]原始数据'!$E:$E,MATCH($A868,'[AQ_2020.xlsx]原始数据'!$A:$A,0)),""))</f>
        <v/>
      </c>
      <c r="R868">
        <f>IF($A868="","",IFERROR(INDEX('[AQ_2021.xlsx]原始数据'!$E:$E,MATCH($A868,'[AQ_2021.xlsx]原始数据'!$A:$A,0)),""))</f>
        <v/>
      </c>
      <c r="S868">
        <f>IF($A868="","",IFERROR(INDEX('[AQ_2022.xlsx]原始数据'!$E:$E,MATCH($A868,'[AQ_2022.xlsx]原始数据'!$A:$A,0)),""))</f>
        <v/>
      </c>
      <c r="T868">
        <f>IF($A868="","",IFERROR(INDEX('[AQ_2023.xlsx]原始数据'!$E:$E,MATCH($A868,'[AQ_2023.xlsx]原始数据'!$A:$A,0)),""))</f>
        <v/>
      </c>
      <c r="U868">
        <f>IF($A868="","",IFERROR(INDEX('[AQ_2024.xlsx]原始数据'!$E:$E,MATCH($A868,'[AQ_2024.xlsx]原始数据'!$A:$A,0)),""))</f>
        <v/>
      </c>
      <c r="V868">
        <f>IF($A868="","",IFERROR(INDEX('[AQ_2020.xlsx]原始数据'!$F:$F,MATCH($A868,'[AQ_2020.xlsx]原始数据'!$A:$A,0)),""))</f>
        <v/>
      </c>
      <c r="W868">
        <f>IF($A868="","",IFERROR(INDEX('[AQ_2021.xlsx]原始数据'!$F:$F,MATCH($A868,'[AQ_2021.xlsx]原始数据'!$A:$A,0)),""))</f>
        <v/>
      </c>
      <c r="X868">
        <f>IF($A868="","",IFERROR(INDEX('[AQ_2022.xlsx]原始数据'!$F:$F,MATCH($A868,'[AQ_2022.xlsx]原始数据'!$A:$A,0)),""))</f>
        <v/>
      </c>
      <c r="Y868">
        <f>IF($A868="","",IFERROR(INDEX('[AQ_2023.xlsx]原始数据'!$F:$F,MATCH($A868,'[AQ_2023.xlsx]原始数据'!$A:$A,0)),""))</f>
        <v/>
      </c>
      <c r="Z868">
        <f>IF($A868="","",IFERROR(INDEX('[AQ_2024.xlsx]原始数据'!$F:$F,MATCH($A868,'[AQ_2024.xlsx]原始数据'!$A:$A,0)),""))</f>
        <v/>
      </c>
      <c r="AA868" s="2">
        <f>IFERROR(G868/B868,"")</f>
        <v/>
      </c>
      <c r="AB868" s="2">
        <f>IFERROR(H868/C868,"")</f>
        <v/>
      </c>
      <c r="AC868" s="2">
        <f>IFERROR(I868/D868,"")</f>
        <v/>
      </c>
      <c r="AD868" s="2">
        <f>IFERROR(J868/E868,"")</f>
        <v/>
      </c>
      <c r="AE868" s="2">
        <f>IFERROR(K868/F868,"")</f>
        <v/>
      </c>
      <c r="AF868" s="2">
        <f>IFERROR(L868/B868,"")</f>
        <v/>
      </c>
      <c r="AG868" s="2">
        <f>IFERROR(M868/C868,"")</f>
        <v/>
      </c>
      <c r="AH868" s="2">
        <f>IFERROR(N868/D868,"")</f>
        <v/>
      </c>
      <c r="AI868" s="2">
        <f>IFERROR(O868/E868,"")</f>
        <v/>
      </c>
      <c r="AJ868" s="2">
        <f>IFERROR(P868/F868,"")</f>
        <v/>
      </c>
      <c r="AK868" s="2">
        <f>IFERROR(Q868/B868,"")</f>
        <v/>
      </c>
      <c r="AL868" s="2">
        <f>IFERROR(R868/C868,"")</f>
        <v/>
      </c>
      <c r="AM868" s="2">
        <f>IFERROR(S868/D868,"")</f>
        <v/>
      </c>
      <c r="AN868" s="2">
        <f>IFERROR(T868/E868,"")</f>
        <v/>
      </c>
      <c r="AO868" s="2">
        <f>IFERROR(U868/F868,"")</f>
        <v/>
      </c>
    </row>
    <row r="869">
      <c r="B869">
        <f>IF($A869="","",IFERROR(INDEX('[AQ_2020.xlsx]原始数据'!$B:$B,MATCH($A869,'[AQ_2020.xlsx]原始数据'!$A:$A,0)),""))</f>
        <v/>
      </c>
      <c r="C869">
        <f>IF($A869="","",IFERROR(INDEX('[AQ_2021.xlsx]原始数据'!$B:$B,MATCH($A869,'[AQ_2021.xlsx]原始数据'!$A:$A,0)),""))</f>
        <v/>
      </c>
      <c r="D869">
        <f>IF($A869="","",IFERROR(INDEX('[AQ_2022.xlsx]原始数据'!$B:$B,MATCH($A869,'[AQ_2022.xlsx]原始数据'!$A:$A,0)),""))</f>
        <v/>
      </c>
      <c r="E869">
        <f>IF($A869="","",IFERROR(INDEX('[AQ_2023.xlsx]原始数据'!$B:$B,MATCH($A869,'[AQ_2023.xlsx]原始数据'!$A:$A,0)),""))</f>
        <v/>
      </c>
      <c r="F869">
        <f>IF($A869="","",IFERROR(INDEX('[AQ_2024.xlsx]原始数据'!$B:$B,MATCH($A869,'[AQ_2024.xlsx]原始数据'!$A:$A,0)),""))</f>
        <v/>
      </c>
      <c r="G869">
        <f>IF($A869="","",IFERROR(INDEX('[AQ_2020.xlsx]原始数据'!$C:$C,MATCH($A869,'[AQ_2020.xlsx]原始数据'!$A:$A,0)),""))</f>
        <v/>
      </c>
      <c r="H869">
        <f>IF($A869="","",IFERROR(INDEX('[AQ_2021.xlsx]原始数据'!$C:$C,MATCH($A869,'[AQ_2021.xlsx]原始数据'!$A:$A,0)),""))</f>
        <v/>
      </c>
      <c r="I869">
        <f>IF($A869="","",IFERROR(INDEX('[AQ_2022.xlsx]原始数据'!$C:$C,MATCH($A869,'[AQ_2022.xlsx]原始数据'!$A:$A,0)),""))</f>
        <v/>
      </c>
      <c r="J869">
        <f>IF($A869="","",IFERROR(INDEX('[AQ_2023.xlsx]原始数据'!$C:$C,MATCH($A869,'[AQ_2023.xlsx]原始数据'!$A:$A,0)),""))</f>
        <v/>
      </c>
      <c r="K869">
        <f>IF($A869="","",IFERROR(INDEX('[AQ_2024.xlsx]原始数据'!$C:$C,MATCH($A869,'[AQ_2024.xlsx]原始数据'!$A:$A,0)),""))</f>
        <v/>
      </c>
      <c r="L869">
        <f>IF($A869="","",IFERROR(INDEX('[AQ_2020.xlsx]原始数据'!$D:$D,MATCH($A869,'[AQ_2020.xlsx]原始数据'!$A:$A,0)),""))</f>
        <v/>
      </c>
      <c r="M869">
        <f>IF($A869="","",IFERROR(INDEX('[AQ_2021.xlsx]原始数据'!$D:$D,MATCH($A869,'[AQ_2021.xlsx]原始数据'!$A:$A,0)),""))</f>
        <v/>
      </c>
      <c r="N869">
        <f>IF($A869="","",IFERROR(INDEX('[AQ_2022.xlsx]原始数据'!$D:$D,MATCH($A869,'[AQ_2022.xlsx]原始数据'!$A:$A,0)),""))</f>
        <v/>
      </c>
      <c r="O869">
        <f>IF($A869="","",IFERROR(INDEX('[AQ_2023.xlsx]原始数据'!$D:$D,MATCH($A869,'[AQ_2023.xlsx]原始数据'!$A:$A,0)),""))</f>
        <v/>
      </c>
      <c r="P869">
        <f>IF($A869="","",IFERROR(INDEX('[AQ_2024.xlsx]原始数据'!$D:$D,MATCH($A869,'[AQ_2024.xlsx]原始数据'!$A:$A,0)),""))</f>
        <v/>
      </c>
      <c r="Q869">
        <f>IF($A869="","",IFERROR(INDEX('[AQ_2020.xlsx]原始数据'!$E:$E,MATCH($A869,'[AQ_2020.xlsx]原始数据'!$A:$A,0)),""))</f>
        <v/>
      </c>
      <c r="R869">
        <f>IF($A869="","",IFERROR(INDEX('[AQ_2021.xlsx]原始数据'!$E:$E,MATCH($A869,'[AQ_2021.xlsx]原始数据'!$A:$A,0)),""))</f>
        <v/>
      </c>
      <c r="S869">
        <f>IF($A869="","",IFERROR(INDEX('[AQ_2022.xlsx]原始数据'!$E:$E,MATCH($A869,'[AQ_2022.xlsx]原始数据'!$A:$A,0)),""))</f>
        <v/>
      </c>
      <c r="T869">
        <f>IF($A869="","",IFERROR(INDEX('[AQ_2023.xlsx]原始数据'!$E:$E,MATCH($A869,'[AQ_2023.xlsx]原始数据'!$A:$A,0)),""))</f>
        <v/>
      </c>
      <c r="U869">
        <f>IF($A869="","",IFERROR(INDEX('[AQ_2024.xlsx]原始数据'!$E:$E,MATCH($A869,'[AQ_2024.xlsx]原始数据'!$A:$A,0)),""))</f>
        <v/>
      </c>
      <c r="V869">
        <f>IF($A869="","",IFERROR(INDEX('[AQ_2020.xlsx]原始数据'!$F:$F,MATCH($A869,'[AQ_2020.xlsx]原始数据'!$A:$A,0)),""))</f>
        <v/>
      </c>
      <c r="W869">
        <f>IF($A869="","",IFERROR(INDEX('[AQ_2021.xlsx]原始数据'!$F:$F,MATCH($A869,'[AQ_2021.xlsx]原始数据'!$A:$A,0)),""))</f>
        <v/>
      </c>
      <c r="X869">
        <f>IF($A869="","",IFERROR(INDEX('[AQ_2022.xlsx]原始数据'!$F:$F,MATCH($A869,'[AQ_2022.xlsx]原始数据'!$A:$A,0)),""))</f>
        <v/>
      </c>
      <c r="Y869">
        <f>IF($A869="","",IFERROR(INDEX('[AQ_2023.xlsx]原始数据'!$F:$F,MATCH($A869,'[AQ_2023.xlsx]原始数据'!$A:$A,0)),""))</f>
        <v/>
      </c>
      <c r="Z869">
        <f>IF($A869="","",IFERROR(INDEX('[AQ_2024.xlsx]原始数据'!$F:$F,MATCH($A869,'[AQ_2024.xlsx]原始数据'!$A:$A,0)),""))</f>
        <v/>
      </c>
      <c r="AA869" s="2">
        <f>IFERROR(G869/B869,"")</f>
        <v/>
      </c>
      <c r="AB869" s="2">
        <f>IFERROR(H869/C869,"")</f>
        <v/>
      </c>
      <c r="AC869" s="2">
        <f>IFERROR(I869/D869,"")</f>
        <v/>
      </c>
      <c r="AD869" s="2">
        <f>IFERROR(J869/E869,"")</f>
        <v/>
      </c>
      <c r="AE869" s="2">
        <f>IFERROR(K869/F869,"")</f>
        <v/>
      </c>
      <c r="AF869" s="2">
        <f>IFERROR(L869/B869,"")</f>
        <v/>
      </c>
      <c r="AG869" s="2">
        <f>IFERROR(M869/C869,"")</f>
        <v/>
      </c>
      <c r="AH869" s="2">
        <f>IFERROR(N869/D869,"")</f>
        <v/>
      </c>
      <c r="AI869" s="2">
        <f>IFERROR(O869/E869,"")</f>
        <v/>
      </c>
      <c r="AJ869" s="2">
        <f>IFERROR(P869/F869,"")</f>
        <v/>
      </c>
      <c r="AK869" s="2">
        <f>IFERROR(Q869/B869,"")</f>
        <v/>
      </c>
      <c r="AL869" s="2">
        <f>IFERROR(R869/C869,"")</f>
        <v/>
      </c>
      <c r="AM869" s="2">
        <f>IFERROR(S869/D869,"")</f>
        <v/>
      </c>
      <c r="AN869" s="2">
        <f>IFERROR(T869/E869,"")</f>
        <v/>
      </c>
      <c r="AO869" s="2">
        <f>IFERROR(U869/F869,"")</f>
        <v/>
      </c>
    </row>
    <row r="870">
      <c r="B870">
        <f>IF($A870="","",IFERROR(INDEX('[AQ_2020.xlsx]原始数据'!$B:$B,MATCH($A870,'[AQ_2020.xlsx]原始数据'!$A:$A,0)),""))</f>
        <v/>
      </c>
      <c r="C870">
        <f>IF($A870="","",IFERROR(INDEX('[AQ_2021.xlsx]原始数据'!$B:$B,MATCH($A870,'[AQ_2021.xlsx]原始数据'!$A:$A,0)),""))</f>
        <v/>
      </c>
      <c r="D870">
        <f>IF($A870="","",IFERROR(INDEX('[AQ_2022.xlsx]原始数据'!$B:$B,MATCH($A870,'[AQ_2022.xlsx]原始数据'!$A:$A,0)),""))</f>
        <v/>
      </c>
      <c r="E870">
        <f>IF($A870="","",IFERROR(INDEX('[AQ_2023.xlsx]原始数据'!$B:$B,MATCH($A870,'[AQ_2023.xlsx]原始数据'!$A:$A,0)),""))</f>
        <v/>
      </c>
      <c r="F870">
        <f>IF($A870="","",IFERROR(INDEX('[AQ_2024.xlsx]原始数据'!$B:$B,MATCH($A870,'[AQ_2024.xlsx]原始数据'!$A:$A,0)),""))</f>
        <v/>
      </c>
      <c r="G870">
        <f>IF($A870="","",IFERROR(INDEX('[AQ_2020.xlsx]原始数据'!$C:$C,MATCH($A870,'[AQ_2020.xlsx]原始数据'!$A:$A,0)),""))</f>
        <v/>
      </c>
      <c r="H870">
        <f>IF($A870="","",IFERROR(INDEX('[AQ_2021.xlsx]原始数据'!$C:$C,MATCH($A870,'[AQ_2021.xlsx]原始数据'!$A:$A,0)),""))</f>
        <v/>
      </c>
      <c r="I870">
        <f>IF($A870="","",IFERROR(INDEX('[AQ_2022.xlsx]原始数据'!$C:$C,MATCH($A870,'[AQ_2022.xlsx]原始数据'!$A:$A,0)),""))</f>
        <v/>
      </c>
      <c r="J870">
        <f>IF($A870="","",IFERROR(INDEX('[AQ_2023.xlsx]原始数据'!$C:$C,MATCH($A870,'[AQ_2023.xlsx]原始数据'!$A:$A,0)),""))</f>
        <v/>
      </c>
      <c r="K870">
        <f>IF($A870="","",IFERROR(INDEX('[AQ_2024.xlsx]原始数据'!$C:$C,MATCH($A870,'[AQ_2024.xlsx]原始数据'!$A:$A,0)),""))</f>
        <v/>
      </c>
      <c r="L870">
        <f>IF($A870="","",IFERROR(INDEX('[AQ_2020.xlsx]原始数据'!$D:$D,MATCH($A870,'[AQ_2020.xlsx]原始数据'!$A:$A,0)),""))</f>
        <v/>
      </c>
      <c r="M870">
        <f>IF($A870="","",IFERROR(INDEX('[AQ_2021.xlsx]原始数据'!$D:$D,MATCH($A870,'[AQ_2021.xlsx]原始数据'!$A:$A,0)),""))</f>
        <v/>
      </c>
      <c r="N870">
        <f>IF($A870="","",IFERROR(INDEX('[AQ_2022.xlsx]原始数据'!$D:$D,MATCH($A870,'[AQ_2022.xlsx]原始数据'!$A:$A,0)),""))</f>
        <v/>
      </c>
      <c r="O870">
        <f>IF($A870="","",IFERROR(INDEX('[AQ_2023.xlsx]原始数据'!$D:$D,MATCH($A870,'[AQ_2023.xlsx]原始数据'!$A:$A,0)),""))</f>
        <v/>
      </c>
      <c r="P870">
        <f>IF($A870="","",IFERROR(INDEX('[AQ_2024.xlsx]原始数据'!$D:$D,MATCH($A870,'[AQ_2024.xlsx]原始数据'!$A:$A,0)),""))</f>
        <v/>
      </c>
      <c r="Q870">
        <f>IF($A870="","",IFERROR(INDEX('[AQ_2020.xlsx]原始数据'!$E:$E,MATCH($A870,'[AQ_2020.xlsx]原始数据'!$A:$A,0)),""))</f>
        <v/>
      </c>
      <c r="R870">
        <f>IF($A870="","",IFERROR(INDEX('[AQ_2021.xlsx]原始数据'!$E:$E,MATCH($A870,'[AQ_2021.xlsx]原始数据'!$A:$A,0)),""))</f>
        <v/>
      </c>
      <c r="S870">
        <f>IF($A870="","",IFERROR(INDEX('[AQ_2022.xlsx]原始数据'!$E:$E,MATCH($A870,'[AQ_2022.xlsx]原始数据'!$A:$A,0)),""))</f>
        <v/>
      </c>
      <c r="T870">
        <f>IF($A870="","",IFERROR(INDEX('[AQ_2023.xlsx]原始数据'!$E:$E,MATCH($A870,'[AQ_2023.xlsx]原始数据'!$A:$A,0)),""))</f>
        <v/>
      </c>
      <c r="U870">
        <f>IF($A870="","",IFERROR(INDEX('[AQ_2024.xlsx]原始数据'!$E:$E,MATCH($A870,'[AQ_2024.xlsx]原始数据'!$A:$A,0)),""))</f>
        <v/>
      </c>
      <c r="V870">
        <f>IF($A870="","",IFERROR(INDEX('[AQ_2020.xlsx]原始数据'!$F:$F,MATCH($A870,'[AQ_2020.xlsx]原始数据'!$A:$A,0)),""))</f>
        <v/>
      </c>
      <c r="W870">
        <f>IF($A870="","",IFERROR(INDEX('[AQ_2021.xlsx]原始数据'!$F:$F,MATCH($A870,'[AQ_2021.xlsx]原始数据'!$A:$A,0)),""))</f>
        <v/>
      </c>
      <c r="X870">
        <f>IF($A870="","",IFERROR(INDEX('[AQ_2022.xlsx]原始数据'!$F:$F,MATCH($A870,'[AQ_2022.xlsx]原始数据'!$A:$A,0)),""))</f>
        <v/>
      </c>
      <c r="Y870">
        <f>IF($A870="","",IFERROR(INDEX('[AQ_2023.xlsx]原始数据'!$F:$F,MATCH($A870,'[AQ_2023.xlsx]原始数据'!$A:$A,0)),""))</f>
        <v/>
      </c>
      <c r="Z870">
        <f>IF($A870="","",IFERROR(INDEX('[AQ_2024.xlsx]原始数据'!$F:$F,MATCH($A870,'[AQ_2024.xlsx]原始数据'!$A:$A,0)),""))</f>
        <v/>
      </c>
      <c r="AA870" s="2">
        <f>IFERROR(G870/B870,"")</f>
        <v/>
      </c>
      <c r="AB870" s="2">
        <f>IFERROR(H870/C870,"")</f>
        <v/>
      </c>
      <c r="AC870" s="2">
        <f>IFERROR(I870/D870,"")</f>
        <v/>
      </c>
      <c r="AD870" s="2">
        <f>IFERROR(J870/E870,"")</f>
        <v/>
      </c>
      <c r="AE870" s="2">
        <f>IFERROR(K870/F870,"")</f>
        <v/>
      </c>
      <c r="AF870" s="2">
        <f>IFERROR(L870/B870,"")</f>
        <v/>
      </c>
      <c r="AG870" s="2">
        <f>IFERROR(M870/C870,"")</f>
        <v/>
      </c>
      <c r="AH870" s="2">
        <f>IFERROR(N870/D870,"")</f>
        <v/>
      </c>
      <c r="AI870" s="2">
        <f>IFERROR(O870/E870,"")</f>
        <v/>
      </c>
      <c r="AJ870" s="2">
        <f>IFERROR(P870/F870,"")</f>
        <v/>
      </c>
      <c r="AK870" s="2">
        <f>IFERROR(Q870/B870,"")</f>
        <v/>
      </c>
      <c r="AL870" s="2">
        <f>IFERROR(R870/C870,"")</f>
        <v/>
      </c>
      <c r="AM870" s="2">
        <f>IFERROR(S870/D870,"")</f>
        <v/>
      </c>
      <c r="AN870" s="2">
        <f>IFERROR(T870/E870,"")</f>
        <v/>
      </c>
      <c r="AO870" s="2">
        <f>IFERROR(U870/F870,"")</f>
        <v/>
      </c>
    </row>
    <row r="871">
      <c r="B871">
        <f>IF($A871="","",IFERROR(INDEX('[AQ_2020.xlsx]原始数据'!$B:$B,MATCH($A871,'[AQ_2020.xlsx]原始数据'!$A:$A,0)),""))</f>
        <v/>
      </c>
      <c r="C871">
        <f>IF($A871="","",IFERROR(INDEX('[AQ_2021.xlsx]原始数据'!$B:$B,MATCH($A871,'[AQ_2021.xlsx]原始数据'!$A:$A,0)),""))</f>
        <v/>
      </c>
      <c r="D871">
        <f>IF($A871="","",IFERROR(INDEX('[AQ_2022.xlsx]原始数据'!$B:$B,MATCH($A871,'[AQ_2022.xlsx]原始数据'!$A:$A,0)),""))</f>
        <v/>
      </c>
      <c r="E871">
        <f>IF($A871="","",IFERROR(INDEX('[AQ_2023.xlsx]原始数据'!$B:$B,MATCH($A871,'[AQ_2023.xlsx]原始数据'!$A:$A,0)),""))</f>
        <v/>
      </c>
      <c r="F871">
        <f>IF($A871="","",IFERROR(INDEX('[AQ_2024.xlsx]原始数据'!$B:$B,MATCH($A871,'[AQ_2024.xlsx]原始数据'!$A:$A,0)),""))</f>
        <v/>
      </c>
      <c r="G871">
        <f>IF($A871="","",IFERROR(INDEX('[AQ_2020.xlsx]原始数据'!$C:$C,MATCH($A871,'[AQ_2020.xlsx]原始数据'!$A:$A,0)),""))</f>
        <v/>
      </c>
      <c r="H871">
        <f>IF($A871="","",IFERROR(INDEX('[AQ_2021.xlsx]原始数据'!$C:$C,MATCH($A871,'[AQ_2021.xlsx]原始数据'!$A:$A,0)),""))</f>
        <v/>
      </c>
      <c r="I871">
        <f>IF($A871="","",IFERROR(INDEX('[AQ_2022.xlsx]原始数据'!$C:$C,MATCH($A871,'[AQ_2022.xlsx]原始数据'!$A:$A,0)),""))</f>
        <v/>
      </c>
      <c r="J871">
        <f>IF($A871="","",IFERROR(INDEX('[AQ_2023.xlsx]原始数据'!$C:$C,MATCH($A871,'[AQ_2023.xlsx]原始数据'!$A:$A,0)),""))</f>
        <v/>
      </c>
      <c r="K871">
        <f>IF($A871="","",IFERROR(INDEX('[AQ_2024.xlsx]原始数据'!$C:$C,MATCH($A871,'[AQ_2024.xlsx]原始数据'!$A:$A,0)),""))</f>
        <v/>
      </c>
      <c r="L871">
        <f>IF($A871="","",IFERROR(INDEX('[AQ_2020.xlsx]原始数据'!$D:$D,MATCH($A871,'[AQ_2020.xlsx]原始数据'!$A:$A,0)),""))</f>
        <v/>
      </c>
      <c r="M871">
        <f>IF($A871="","",IFERROR(INDEX('[AQ_2021.xlsx]原始数据'!$D:$D,MATCH($A871,'[AQ_2021.xlsx]原始数据'!$A:$A,0)),""))</f>
        <v/>
      </c>
      <c r="N871">
        <f>IF($A871="","",IFERROR(INDEX('[AQ_2022.xlsx]原始数据'!$D:$D,MATCH($A871,'[AQ_2022.xlsx]原始数据'!$A:$A,0)),""))</f>
        <v/>
      </c>
      <c r="O871">
        <f>IF($A871="","",IFERROR(INDEX('[AQ_2023.xlsx]原始数据'!$D:$D,MATCH($A871,'[AQ_2023.xlsx]原始数据'!$A:$A,0)),""))</f>
        <v/>
      </c>
      <c r="P871">
        <f>IF($A871="","",IFERROR(INDEX('[AQ_2024.xlsx]原始数据'!$D:$D,MATCH($A871,'[AQ_2024.xlsx]原始数据'!$A:$A,0)),""))</f>
        <v/>
      </c>
      <c r="Q871">
        <f>IF($A871="","",IFERROR(INDEX('[AQ_2020.xlsx]原始数据'!$E:$E,MATCH($A871,'[AQ_2020.xlsx]原始数据'!$A:$A,0)),""))</f>
        <v/>
      </c>
      <c r="R871">
        <f>IF($A871="","",IFERROR(INDEX('[AQ_2021.xlsx]原始数据'!$E:$E,MATCH($A871,'[AQ_2021.xlsx]原始数据'!$A:$A,0)),""))</f>
        <v/>
      </c>
      <c r="S871">
        <f>IF($A871="","",IFERROR(INDEX('[AQ_2022.xlsx]原始数据'!$E:$E,MATCH($A871,'[AQ_2022.xlsx]原始数据'!$A:$A,0)),""))</f>
        <v/>
      </c>
      <c r="T871">
        <f>IF($A871="","",IFERROR(INDEX('[AQ_2023.xlsx]原始数据'!$E:$E,MATCH($A871,'[AQ_2023.xlsx]原始数据'!$A:$A,0)),""))</f>
        <v/>
      </c>
      <c r="U871">
        <f>IF($A871="","",IFERROR(INDEX('[AQ_2024.xlsx]原始数据'!$E:$E,MATCH($A871,'[AQ_2024.xlsx]原始数据'!$A:$A,0)),""))</f>
        <v/>
      </c>
      <c r="V871">
        <f>IF($A871="","",IFERROR(INDEX('[AQ_2020.xlsx]原始数据'!$F:$F,MATCH($A871,'[AQ_2020.xlsx]原始数据'!$A:$A,0)),""))</f>
        <v/>
      </c>
      <c r="W871">
        <f>IF($A871="","",IFERROR(INDEX('[AQ_2021.xlsx]原始数据'!$F:$F,MATCH($A871,'[AQ_2021.xlsx]原始数据'!$A:$A,0)),""))</f>
        <v/>
      </c>
      <c r="X871">
        <f>IF($A871="","",IFERROR(INDEX('[AQ_2022.xlsx]原始数据'!$F:$F,MATCH($A871,'[AQ_2022.xlsx]原始数据'!$A:$A,0)),""))</f>
        <v/>
      </c>
      <c r="Y871">
        <f>IF($A871="","",IFERROR(INDEX('[AQ_2023.xlsx]原始数据'!$F:$F,MATCH($A871,'[AQ_2023.xlsx]原始数据'!$A:$A,0)),""))</f>
        <v/>
      </c>
      <c r="Z871">
        <f>IF($A871="","",IFERROR(INDEX('[AQ_2024.xlsx]原始数据'!$F:$F,MATCH($A871,'[AQ_2024.xlsx]原始数据'!$A:$A,0)),""))</f>
        <v/>
      </c>
      <c r="AA871" s="2">
        <f>IFERROR(G871/B871,"")</f>
        <v/>
      </c>
      <c r="AB871" s="2">
        <f>IFERROR(H871/C871,"")</f>
        <v/>
      </c>
      <c r="AC871" s="2">
        <f>IFERROR(I871/D871,"")</f>
        <v/>
      </c>
      <c r="AD871" s="2">
        <f>IFERROR(J871/E871,"")</f>
        <v/>
      </c>
      <c r="AE871" s="2">
        <f>IFERROR(K871/F871,"")</f>
        <v/>
      </c>
      <c r="AF871" s="2">
        <f>IFERROR(L871/B871,"")</f>
        <v/>
      </c>
      <c r="AG871" s="2">
        <f>IFERROR(M871/C871,"")</f>
        <v/>
      </c>
      <c r="AH871" s="2">
        <f>IFERROR(N871/D871,"")</f>
        <v/>
      </c>
      <c r="AI871" s="2">
        <f>IFERROR(O871/E871,"")</f>
        <v/>
      </c>
      <c r="AJ871" s="2">
        <f>IFERROR(P871/F871,"")</f>
        <v/>
      </c>
      <c r="AK871" s="2">
        <f>IFERROR(Q871/B871,"")</f>
        <v/>
      </c>
      <c r="AL871" s="2">
        <f>IFERROR(R871/C871,"")</f>
        <v/>
      </c>
      <c r="AM871" s="2">
        <f>IFERROR(S871/D871,"")</f>
        <v/>
      </c>
      <c r="AN871" s="2">
        <f>IFERROR(T871/E871,"")</f>
        <v/>
      </c>
      <c r="AO871" s="2">
        <f>IFERROR(U871/F871,"")</f>
        <v/>
      </c>
    </row>
    <row r="872">
      <c r="B872">
        <f>IF($A872="","",IFERROR(INDEX('[AQ_2020.xlsx]原始数据'!$B:$B,MATCH($A872,'[AQ_2020.xlsx]原始数据'!$A:$A,0)),""))</f>
        <v/>
      </c>
      <c r="C872">
        <f>IF($A872="","",IFERROR(INDEX('[AQ_2021.xlsx]原始数据'!$B:$B,MATCH($A872,'[AQ_2021.xlsx]原始数据'!$A:$A,0)),""))</f>
        <v/>
      </c>
      <c r="D872">
        <f>IF($A872="","",IFERROR(INDEX('[AQ_2022.xlsx]原始数据'!$B:$B,MATCH($A872,'[AQ_2022.xlsx]原始数据'!$A:$A,0)),""))</f>
        <v/>
      </c>
      <c r="E872">
        <f>IF($A872="","",IFERROR(INDEX('[AQ_2023.xlsx]原始数据'!$B:$B,MATCH($A872,'[AQ_2023.xlsx]原始数据'!$A:$A,0)),""))</f>
        <v/>
      </c>
      <c r="F872">
        <f>IF($A872="","",IFERROR(INDEX('[AQ_2024.xlsx]原始数据'!$B:$B,MATCH($A872,'[AQ_2024.xlsx]原始数据'!$A:$A,0)),""))</f>
        <v/>
      </c>
      <c r="G872">
        <f>IF($A872="","",IFERROR(INDEX('[AQ_2020.xlsx]原始数据'!$C:$C,MATCH($A872,'[AQ_2020.xlsx]原始数据'!$A:$A,0)),""))</f>
        <v/>
      </c>
      <c r="H872">
        <f>IF($A872="","",IFERROR(INDEX('[AQ_2021.xlsx]原始数据'!$C:$C,MATCH($A872,'[AQ_2021.xlsx]原始数据'!$A:$A,0)),""))</f>
        <v/>
      </c>
      <c r="I872">
        <f>IF($A872="","",IFERROR(INDEX('[AQ_2022.xlsx]原始数据'!$C:$C,MATCH($A872,'[AQ_2022.xlsx]原始数据'!$A:$A,0)),""))</f>
        <v/>
      </c>
      <c r="J872">
        <f>IF($A872="","",IFERROR(INDEX('[AQ_2023.xlsx]原始数据'!$C:$C,MATCH($A872,'[AQ_2023.xlsx]原始数据'!$A:$A,0)),""))</f>
        <v/>
      </c>
      <c r="K872">
        <f>IF($A872="","",IFERROR(INDEX('[AQ_2024.xlsx]原始数据'!$C:$C,MATCH($A872,'[AQ_2024.xlsx]原始数据'!$A:$A,0)),""))</f>
        <v/>
      </c>
      <c r="L872">
        <f>IF($A872="","",IFERROR(INDEX('[AQ_2020.xlsx]原始数据'!$D:$D,MATCH($A872,'[AQ_2020.xlsx]原始数据'!$A:$A,0)),""))</f>
        <v/>
      </c>
      <c r="M872">
        <f>IF($A872="","",IFERROR(INDEX('[AQ_2021.xlsx]原始数据'!$D:$D,MATCH($A872,'[AQ_2021.xlsx]原始数据'!$A:$A,0)),""))</f>
        <v/>
      </c>
      <c r="N872">
        <f>IF($A872="","",IFERROR(INDEX('[AQ_2022.xlsx]原始数据'!$D:$D,MATCH($A872,'[AQ_2022.xlsx]原始数据'!$A:$A,0)),""))</f>
        <v/>
      </c>
      <c r="O872">
        <f>IF($A872="","",IFERROR(INDEX('[AQ_2023.xlsx]原始数据'!$D:$D,MATCH($A872,'[AQ_2023.xlsx]原始数据'!$A:$A,0)),""))</f>
        <v/>
      </c>
      <c r="P872">
        <f>IF($A872="","",IFERROR(INDEX('[AQ_2024.xlsx]原始数据'!$D:$D,MATCH($A872,'[AQ_2024.xlsx]原始数据'!$A:$A,0)),""))</f>
        <v/>
      </c>
      <c r="Q872">
        <f>IF($A872="","",IFERROR(INDEX('[AQ_2020.xlsx]原始数据'!$E:$E,MATCH($A872,'[AQ_2020.xlsx]原始数据'!$A:$A,0)),""))</f>
        <v/>
      </c>
      <c r="R872">
        <f>IF($A872="","",IFERROR(INDEX('[AQ_2021.xlsx]原始数据'!$E:$E,MATCH($A872,'[AQ_2021.xlsx]原始数据'!$A:$A,0)),""))</f>
        <v/>
      </c>
      <c r="S872">
        <f>IF($A872="","",IFERROR(INDEX('[AQ_2022.xlsx]原始数据'!$E:$E,MATCH($A872,'[AQ_2022.xlsx]原始数据'!$A:$A,0)),""))</f>
        <v/>
      </c>
      <c r="T872">
        <f>IF($A872="","",IFERROR(INDEX('[AQ_2023.xlsx]原始数据'!$E:$E,MATCH($A872,'[AQ_2023.xlsx]原始数据'!$A:$A,0)),""))</f>
        <v/>
      </c>
      <c r="U872">
        <f>IF($A872="","",IFERROR(INDEX('[AQ_2024.xlsx]原始数据'!$E:$E,MATCH($A872,'[AQ_2024.xlsx]原始数据'!$A:$A,0)),""))</f>
        <v/>
      </c>
      <c r="V872">
        <f>IF($A872="","",IFERROR(INDEX('[AQ_2020.xlsx]原始数据'!$F:$F,MATCH($A872,'[AQ_2020.xlsx]原始数据'!$A:$A,0)),""))</f>
        <v/>
      </c>
      <c r="W872">
        <f>IF($A872="","",IFERROR(INDEX('[AQ_2021.xlsx]原始数据'!$F:$F,MATCH($A872,'[AQ_2021.xlsx]原始数据'!$A:$A,0)),""))</f>
        <v/>
      </c>
      <c r="X872">
        <f>IF($A872="","",IFERROR(INDEX('[AQ_2022.xlsx]原始数据'!$F:$F,MATCH($A872,'[AQ_2022.xlsx]原始数据'!$A:$A,0)),""))</f>
        <v/>
      </c>
      <c r="Y872">
        <f>IF($A872="","",IFERROR(INDEX('[AQ_2023.xlsx]原始数据'!$F:$F,MATCH($A872,'[AQ_2023.xlsx]原始数据'!$A:$A,0)),""))</f>
        <v/>
      </c>
      <c r="Z872">
        <f>IF($A872="","",IFERROR(INDEX('[AQ_2024.xlsx]原始数据'!$F:$F,MATCH($A872,'[AQ_2024.xlsx]原始数据'!$A:$A,0)),""))</f>
        <v/>
      </c>
      <c r="AA872" s="2">
        <f>IFERROR(G872/B872,"")</f>
        <v/>
      </c>
      <c r="AB872" s="2">
        <f>IFERROR(H872/C872,"")</f>
        <v/>
      </c>
      <c r="AC872" s="2">
        <f>IFERROR(I872/D872,"")</f>
        <v/>
      </c>
      <c r="AD872" s="2">
        <f>IFERROR(J872/E872,"")</f>
        <v/>
      </c>
      <c r="AE872" s="2">
        <f>IFERROR(K872/F872,"")</f>
        <v/>
      </c>
      <c r="AF872" s="2">
        <f>IFERROR(L872/B872,"")</f>
        <v/>
      </c>
      <c r="AG872" s="2">
        <f>IFERROR(M872/C872,"")</f>
        <v/>
      </c>
      <c r="AH872" s="2">
        <f>IFERROR(N872/D872,"")</f>
        <v/>
      </c>
      <c r="AI872" s="2">
        <f>IFERROR(O872/E872,"")</f>
        <v/>
      </c>
      <c r="AJ872" s="2">
        <f>IFERROR(P872/F872,"")</f>
        <v/>
      </c>
      <c r="AK872" s="2">
        <f>IFERROR(Q872/B872,"")</f>
        <v/>
      </c>
      <c r="AL872" s="2">
        <f>IFERROR(R872/C872,"")</f>
        <v/>
      </c>
      <c r="AM872" s="2">
        <f>IFERROR(S872/D872,"")</f>
        <v/>
      </c>
      <c r="AN872" s="2">
        <f>IFERROR(T872/E872,"")</f>
        <v/>
      </c>
      <c r="AO872" s="2">
        <f>IFERROR(U872/F872,"")</f>
        <v/>
      </c>
    </row>
    <row r="873">
      <c r="B873">
        <f>IF($A873="","",IFERROR(INDEX('[AQ_2020.xlsx]原始数据'!$B:$B,MATCH($A873,'[AQ_2020.xlsx]原始数据'!$A:$A,0)),""))</f>
        <v/>
      </c>
      <c r="C873">
        <f>IF($A873="","",IFERROR(INDEX('[AQ_2021.xlsx]原始数据'!$B:$B,MATCH($A873,'[AQ_2021.xlsx]原始数据'!$A:$A,0)),""))</f>
        <v/>
      </c>
      <c r="D873">
        <f>IF($A873="","",IFERROR(INDEX('[AQ_2022.xlsx]原始数据'!$B:$B,MATCH($A873,'[AQ_2022.xlsx]原始数据'!$A:$A,0)),""))</f>
        <v/>
      </c>
      <c r="E873">
        <f>IF($A873="","",IFERROR(INDEX('[AQ_2023.xlsx]原始数据'!$B:$B,MATCH($A873,'[AQ_2023.xlsx]原始数据'!$A:$A,0)),""))</f>
        <v/>
      </c>
      <c r="F873">
        <f>IF($A873="","",IFERROR(INDEX('[AQ_2024.xlsx]原始数据'!$B:$B,MATCH($A873,'[AQ_2024.xlsx]原始数据'!$A:$A,0)),""))</f>
        <v/>
      </c>
      <c r="G873">
        <f>IF($A873="","",IFERROR(INDEX('[AQ_2020.xlsx]原始数据'!$C:$C,MATCH($A873,'[AQ_2020.xlsx]原始数据'!$A:$A,0)),""))</f>
        <v/>
      </c>
      <c r="H873">
        <f>IF($A873="","",IFERROR(INDEX('[AQ_2021.xlsx]原始数据'!$C:$C,MATCH($A873,'[AQ_2021.xlsx]原始数据'!$A:$A,0)),""))</f>
        <v/>
      </c>
      <c r="I873">
        <f>IF($A873="","",IFERROR(INDEX('[AQ_2022.xlsx]原始数据'!$C:$C,MATCH($A873,'[AQ_2022.xlsx]原始数据'!$A:$A,0)),""))</f>
        <v/>
      </c>
      <c r="J873">
        <f>IF($A873="","",IFERROR(INDEX('[AQ_2023.xlsx]原始数据'!$C:$C,MATCH($A873,'[AQ_2023.xlsx]原始数据'!$A:$A,0)),""))</f>
        <v/>
      </c>
      <c r="K873">
        <f>IF($A873="","",IFERROR(INDEX('[AQ_2024.xlsx]原始数据'!$C:$C,MATCH($A873,'[AQ_2024.xlsx]原始数据'!$A:$A,0)),""))</f>
        <v/>
      </c>
      <c r="L873">
        <f>IF($A873="","",IFERROR(INDEX('[AQ_2020.xlsx]原始数据'!$D:$D,MATCH($A873,'[AQ_2020.xlsx]原始数据'!$A:$A,0)),""))</f>
        <v/>
      </c>
      <c r="M873">
        <f>IF($A873="","",IFERROR(INDEX('[AQ_2021.xlsx]原始数据'!$D:$D,MATCH($A873,'[AQ_2021.xlsx]原始数据'!$A:$A,0)),""))</f>
        <v/>
      </c>
      <c r="N873">
        <f>IF($A873="","",IFERROR(INDEX('[AQ_2022.xlsx]原始数据'!$D:$D,MATCH($A873,'[AQ_2022.xlsx]原始数据'!$A:$A,0)),""))</f>
        <v/>
      </c>
      <c r="O873">
        <f>IF($A873="","",IFERROR(INDEX('[AQ_2023.xlsx]原始数据'!$D:$D,MATCH($A873,'[AQ_2023.xlsx]原始数据'!$A:$A,0)),""))</f>
        <v/>
      </c>
      <c r="P873">
        <f>IF($A873="","",IFERROR(INDEX('[AQ_2024.xlsx]原始数据'!$D:$D,MATCH($A873,'[AQ_2024.xlsx]原始数据'!$A:$A,0)),""))</f>
        <v/>
      </c>
      <c r="Q873">
        <f>IF($A873="","",IFERROR(INDEX('[AQ_2020.xlsx]原始数据'!$E:$E,MATCH($A873,'[AQ_2020.xlsx]原始数据'!$A:$A,0)),""))</f>
        <v/>
      </c>
      <c r="R873">
        <f>IF($A873="","",IFERROR(INDEX('[AQ_2021.xlsx]原始数据'!$E:$E,MATCH($A873,'[AQ_2021.xlsx]原始数据'!$A:$A,0)),""))</f>
        <v/>
      </c>
      <c r="S873">
        <f>IF($A873="","",IFERROR(INDEX('[AQ_2022.xlsx]原始数据'!$E:$E,MATCH($A873,'[AQ_2022.xlsx]原始数据'!$A:$A,0)),""))</f>
        <v/>
      </c>
      <c r="T873">
        <f>IF($A873="","",IFERROR(INDEX('[AQ_2023.xlsx]原始数据'!$E:$E,MATCH($A873,'[AQ_2023.xlsx]原始数据'!$A:$A,0)),""))</f>
        <v/>
      </c>
      <c r="U873">
        <f>IF($A873="","",IFERROR(INDEX('[AQ_2024.xlsx]原始数据'!$E:$E,MATCH($A873,'[AQ_2024.xlsx]原始数据'!$A:$A,0)),""))</f>
        <v/>
      </c>
      <c r="V873">
        <f>IF($A873="","",IFERROR(INDEX('[AQ_2020.xlsx]原始数据'!$F:$F,MATCH($A873,'[AQ_2020.xlsx]原始数据'!$A:$A,0)),""))</f>
        <v/>
      </c>
      <c r="W873">
        <f>IF($A873="","",IFERROR(INDEX('[AQ_2021.xlsx]原始数据'!$F:$F,MATCH($A873,'[AQ_2021.xlsx]原始数据'!$A:$A,0)),""))</f>
        <v/>
      </c>
      <c r="X873">
        <f>IF($A873="","",IFERROR(INDEX('[AQ_2022.xlsx]原始数据'!$F:$F,MATCH($A873,'[AQ_2022.xlsx]原始数据'!$A:$A,0)),""))</f>
        <v/>
      </c>
      <c r="Y873">
        <f>IF($A873="","",IFERROR(INDEX('[AQ_2023.xlsx]原始数据'!$F:$F,MATCH($A873,'[AQ_2023.xlsx]原始数据'!$A:$A,0)),""))</f>
        <v/>
      </c>
      <c r="Z873">
        <f>IF($A873="","",IFERROR(INDEX('[AQ_2024.xlsx]原始数据'!$F:$F,MATCH($A873,'[AQ_2024.xlsx]原始数据'!$A:$A,0)),""))</f>
        <v/>
      </c>
      <c r="AA873" s="2">
        <f>IFERROR(G873/B873,"")</f>
        <v/>
      </c>
      <c r="AB873" s="2">
        <f>IFERROR(H873/C873,"")</f>
        <v/>
      </c>
      <c r="AC873" s="2">
        <f>IFERROR(I873/D873,"")</f>
        <v/>
      </c>
      <c r="AD873" s="2">
        <f>IFERROR(J873/E873,"")</f>
        <v/>
      </c>
      <c r="AE873" s="2">
        <f>IFERROR(K873/F873,"")</f>
        <v/>
      </c>
      <c r="AF873" s="2">
        <f>IFERROR(L873/B873,"")</f>
        <v/>
      </c>
      <c r="AG873" s="2">
        <f>IFERROR(M873/C873,"")</f>
        <v/>
      </c>
      <c r="AH873" s="2">
        <f>IFERROR(N873/D873,"")</f>
        <v/>
      </c>
      <c r="AI873" s="2">
        <f>IFERROR(O873/E873,"")</f>
        <v/>
      </c>
      <c r="AJ873" s="2">
        <f>IFERROR(P873/F873,"")</f>
        <v/>
      </c>
      <c r="AK873" s="2">
        <f>IFERROR(Q873/B873,"")</f>
        <v/>
      </c>
      <c r="AL873" s="2">
        <f>IFERROR(R873/C873,"")</f>
        <v/>
      </c>
      <c r="AM873" s="2">
        <f>IFERROR(S873/D873,"")</f>
        <v/>
      </c>
      <c r="AN873" s="2">
        <f>IFERROR(T873/E873,"")</f>
        <v/>
      </c>
      <c r="AO873" s="2">
        <f>IFERROR(U873/F873,"")</f>
        <v/>
      </c>
    </row>
    <row r="874">
      <c r="B874">
        <f>IF($A874="","",IFERROR(INDEX('[AQ_2020.xlsx]原始数据'!$B:$B,MATCH($A874,'[AQ_2020.xlsx]原始数据'!$A:$A,0)),""))</f>
        <v/>
      </c>
      <c r="C874">
        <f>IF($A874="","",IFERROR(INDEX('[AQ_2021.xlsx]原始数据'!$B:$B,MATCH($A874,'[AQ_2021.xlsx]原始数据'!$A:$A,0)),""))</f>
        <v/>
      </c>
      <c r="D874">
        <f>IF($A874="","",IFERROR(INDEX('[AQ_2022.xlsx]原始数据'!$B:$B,MATCH($A874,'[AQ_2022.xlsx]原始数据'!$A:$A,0)),""))</f>
        <v/>
      </c>
      <c r="E874">
        <f>IF($A874="","",IFERROR(INDEX('[AQ_2023.xlsx]原始数据'!$B:$B,MATCH($A874,'[AQ_2023.xlsx]原始数据'!$A:$A,0)),""))</f>
        <v/>
      </c>
      <c r="F874">
        <f>IF($A874="","",IFERROR(INDEX('[AQ_2024.xlsx]原始数据'!$B:$B,MATCH($A874,'[AQ_2024.xlsx]原始数据'!$A:$A,0)),""))</f>
        <v/>
      </c>
      <c r="G874">
        <f>IF($A874="","",IFERROR(INDEX('[AQ_2020.xlsx]原始数据'!$C:$C,MATCH($A874,'[AQ_2020.xlsx]原始数据'!$A:$A,0)),""))</f>
        <v/>
      </c>
      <c r="H874">
        <f>IF($A874="","",IFERROR(INDEX('[AQ_2021.xlsx]原始数据'!$C:$C,MATCH($A874,'[AQ_2021.xlsx]原始数据'!$A:$A,0)),""))</f>
        <v/>
      </c>
      <c r="I874">
        <f>IF($A874="","",IFERROR(INDEX('[AQ_2022.xlsx]原始数据'!$C:$C,MATCH($A874,'[AQ_2022.xlsx]原始数据'!$A:$A,0)),""))</f>
        <v/>
      </c>
      <c r="J874">
        <f>IF($A874="","",IFERROR(INDEX('[AQ_2023.xlsx]原始数据'!$C:$C,MATCH($A874,'[AQ_2023.xlsx]原始数据'!$A:$A,0)),""))</f>
        <v/>
      </c>
      <c r="K874">
        <f>IF($A874="","",IFERROR(INDEX('[AQ_2024.xlsx]原始数据'!$C:$C,MATCH($A874,'[AQ_2024.xlsx]原始数据'!$A:$A,0)),""))</f>
        <v/>
      </c>
      <c r="L874">
        <f>IF($A874="","",IFERROR(INDEX('[AQ_2020.xlsx]原始数据'!$D:$D,MATCH($A874,'[AQ_2020.xlsx]原始数据'!$A:$A,0)),""))</f>
        <v/>
      </c>
      <c r="M874">
        <f>IF($A874="","",IFERROR(INDEX('[AQ_2021.xlsx]原始数据'!$D:$D,MATCH($A874,'[AQ_2021.xlsx]原始数据'!$A:$A,0)),""))</f>
        <v/>
      </c>
      <c r="N874">
        <f>IF($A874="","",IFERROR(INDEX('[AQ_2022.xlsx]原始数据'!$D:$D,MATCH($A874,'[AQ_2022.xlsx]原始数据'!$A:$A,0)),""))</f>
        <v/>
      </c>
      <c r="O874">
        <f>IF($A874="","",IFERROR(INDEX('[AQ_2023.xlsx]原始数据'!$D:$D,MATCH($A874,'[AQ_2023.xlsx]原始数据'!$A:$A,0)),""))</f>
        <v/>
      </c>
      <c r="P874">
        <f>IF($A874="","",IFERROR(INDEX('[AQ_2024.xlsx]原始数据'!$D:$D,MATCH($A874,'[AQ_2024.xlsx]原始数据'!$A:$A,0)),""))</f>
        <v/>
      </c>
      <c r="Q874">
        <f>IF($A874="","",IFERROR(INDEX('[AQ_2020.xlsx]原始数据'!$E:$E,MATCH($A874,'[AQ_2020.xlsx]原始数据'!$A:$A,0)),""))</f>
        <v/>
      </c>
      <c r="R874">
        <f>IF($A874="","",IFERROR(INDEX('[AQ_2021.xlsx]原始数据'!$E:$E,MATCH($A874,'[AQ_2021.xlsx]原始数据'!$A:$A,0)),""))</f>
        <v/>
      </c>
      <c r="S874">
        <f>IF($A874="","",IFERROR(INDEX('[AQ_2022.xlsx]原始数据'!$E:$E,MATCH($A874,'[AQ_2022.xlsx]原始数据'!$A:$A,0)),""))</f>
        <v/>
      </c>
      <c r="T874">
        <f>IF($A874="","",IFERROR(INDEX('[AQ_2023.xlsx]原始数据'!$E:$E,MATCH($A874,'[AQ_2023.xlsx]原始数据'!$A:$A,0)),""))</f>
        <v/>
      </c>
      <c r="U874">
        <f>IF($A874="","",IFERROR(INDEX('[AQ_2024.xlsx]原始数据'!$E:$E,MATCH($A874,'[AQ_2024.xlsx]原始数据'!$A:$A,0)),""))</f>
        <v/>
      </c>
      <c r="V874">
        <f>IF($A874="","",IFERROR(INDEX('[AQ_2020.xlsx]原始数据'!$F:$F,MATCH($A874,'[AQ_2020.xlsx]原始数据'!$A:$A,0)),""))</f>
        <v/>
      </c>
      <c r="W874">
        <f>IF($A874="","",IFERROR(INDEX('[AQ_2021.xlsx]原始数据'!$F:$F,MATCH($A874,'[AQ_2021.xlsx]原始数据'!$A:$A,0)),""))</f>
        <v/>
      </c>
      <c r="X874">
        <f>IF($A874="","",IFERROR(INDEX('[AQ_2022.xlsx]原始数据'!$F:$F,MATCH($A874,'[AQ_2022.xlsx]原始数据'!$A:$A,0)),""))</f>
        <v/>
      </c>
      <c r="Y874">
        <f>IF($A874="","",IFERROR(INDEX('[AQ_2023.xlsx]原始数据'!$F:$F,MATCH($A874,'[AQ_2023.xlsx]原始数据'!$A:$A,0)),""))</f>
        <v/>
      </c>
      <c r="Z874">
        <f>IF($A874="","",IFERROR(INDEX('[AQ_2024.xlsx]原始数据'!$F:$F,MATCH($A874,'[AQ_2024.xlsx]原始数据'!$A:$A,0)),""))</f>
        <v/>
      </c>
      <c r="AA874" s="2">
        <f>IFERROR(G874/B874,"")</f>
        <v/>
      </c>
      <c r="AB874" s="2">
        <f>IFERROR(H874/C874,"")</f>
        <v/>
      </c>
      <c r="AC874" s="2">
        <f>IFERROR(I874/D874,"")</f>
        <v/>
      </c>
      <c r="AD874" s="2">
        <f>IFERROR(J874/E874,"")</f>
        <v/>
      </c>
      <c r="AE874" s="2">
        <f>IFERROR(K874/F874,"")</f>
        <v/>
      </c>
      <c r="AF874" s="2">
        <f>IFERROR(L874/B874,"")</f>
        <v/>
      </c>
      <c r="AG874" s="2">
        <f>IFERROR(M874/C874,"")</f>
        <v/>
      </c>
      <c r="AH874" s="2">
        <f>IFERROR(N874/D874,"")</f>
        <v/>
      </c>
      <c r="AI874" s="2">
        <f>IFERROR(O874/E874,"")</f>
        <v/>
      </c>
      <c r="AJ874" s="2">
        <f>IFERROR(P874/F874,"")</f>
        <v/>
      </c>
      <c r="AK874" s="2">
        <f>IFERROR(Q874/B874,"")</f>
        <v/>
      </c>
      <c r="AL874" s="2">
        <f>IFERROR(R874/C874,"")</f>
        <v/>
      </c>
      <c r="AM874" s="2">
        <f>IFERROR(S874/D874,"")</f>
        <v/>
      </c>
      <c r="AN874" s="2">
        <f>IFERROR(T874/E874,"")</f>
        <v/>
      </c>
      <c r="AO874" s="2">
        <f>IFERROR(U874/F874,"")</f>
        <v/>
      </c>
    </row>
    <row r="875">
      <c r="B875">
        <f>IF($A875="","",IFERROR(INDEX('[AQ_2020.xlsx]原始数据'!$B:$B,MATCH($A875,'[AQ_2020.xlsx]原始数据'!$A:$A,0)),""))</f>
        <v/>
      </c>
      <c r="C875">
        <f>IF($A875="","",IFERROR(INDEX('[AQ_2021.xlsx]原始数据'!$B:$B,MATCH($A875,'[AQ_2021.xlsx]原始数据'!$A:$A,0)),""))</f>
        <v/>
      </c>
      <c r="D875">
        <f>IF($A875="","",IFERROR(INDEX('[AQ_2022.xlsx]原始数据'!$B:$B,MATCH($A875,'[AQ_2022.xlsx]原始数据'!$A:$A,0)),""))</f>
        <v/>
      </c>
      <c r="E875">
        <f>IF($A875="","",IFERROR(INDEX('[AQ_2023.xlsx]原始数据'!$B:$B,MATCH($A875,'[AQ_2023.xlsx]原始数据'!$A:$A,0)),""))</f>
        <v/>
      </c>
      <c r="F875">
        <f>IF($A875="","",IFERROR(INDEX('[AQ_2024.xlsx]原始数据'!$B:$B,MATCH($A875,'[AQ_2024.xlsx]原始数据'!$A:$A,0)),""))</f>
        <v/>
      </c>
      <c r="G875">
        <f>IF($A875="","",IFERROR(INDEX('[AQ_2020.xlsx]原始数据'!$C:$C,MATCH($A875,'[AQ_2020.xlsx]原始数据'!$A:$A,0)),""))</f>
        <v/>
      </c>
      <c r="H875">
        <f>IF($A875="","",IFERROR(INDEX('[AQ_2021.xlsx]原始数据'!$C:$C,MATCH($A875,'[AQ_2021.xlsx]原始数据'!$A:$A,0)),""))</f>
        <v/>
      </c>
      <c r="I875">
        <f>IF($A875="","",IFERROR(INDEX('[AQ_2022.xlsx]原始数据'!$C:$C,MATCH($A875,'[AQ_2022.xlsx]原始数据'!$A:$A,0)),""))</f>
        <v/>
      </c>
      <c r="J875">
        <f>IF($A875="","",IFERROR(INDEX('[AQ_2023.xlsx]原始数据'!$C:$C,MATCH($A875,'[AQ_2023.xlsx]原始数据'!$A:$A,0)),""))</f>
        <v/>
      </c>
      <c r="K875">
        <f>IF($A875="","",IFERROR(INDEX('[AQ_2024.xlsx]原始数据'!$C:$C,MATCH($A875,'[AQ_2024.xlsx]原始数据'!$A:$A,0)),""))</f>
        <v/>
      </c>
      <c r="L875">
        <f>IF($A875="","",IFERROR(INDEX('[AQ_2020.xlsx]原始数据'!$D:$D,MATCH($A875,'[AQ_2020.xlsx]原始数据'!$A:$A,0)),""))</f>
        <v/>
      </c>
      <c r="M875">
        <f>IF($A875="","",IFERROR(INDEX('[AQ_2021.xlsx]原始数据'!$D:$D,MATCH($A875,'[AQ_2021.xlsx]原始数据'!$A:$A,0)),""))</f>
        <v/>
      </c>
      <c r="N875">
        <f>IF($A875="","",IFERROR(INDEX('[AQ_2022.xlsx]原始数据'!$D:$D,MATCH($A875,'[AQ_2022.xlsx]原始数据'!$A:$A,0)),""))</f>
        <v/>
      </c>
      <c r="O875">
        <f>IF($A875="","",IFERROR(INDEX('[AQ_2023.xlsx]原始数据'!$D:$D,MATCH($A875,'[AQ_2023.xlsx]原始数据'!$A:$A,0)),""))</f>
        <v/>
      </c>
      <c r="P875">
        <f>IF($A875="","",IFERROR(INDEX('[AQ_2024.xlsx]原始数据'!$D:$D,MATCH($A875,'[AQ_2024.xlsx]原始数据'!$A:$A,0)),""))</f>
        <v/>
      </c>
      <c r="Q875">
        <f>IF($A875="","",IFERROR(INDEX('[AQ_2020.xlsx]原始数据'!$E:$E,MATCH($A875,'[AQ_2020.xlsx]原始数据'!$A:$A,0)),""))</f>
        <v/>
      </c>
      <c r="R875">
        <f>IF($A875="","",IFERROR(INDEX('[AQ_2021.xlsx]原始数据'!$E:$E,MATCH($A875,'[AQ_2021.xlsx]原始数据'!$A:$A,0)),""))</f>
        <v/>
      </c>
      <c r="S875">
        <f>IF($A875="","",IFERROR(INDEX('[AQ_2022.xlsx]原始数据'!$E:$E,MATCH($A875,'[AQ_2022.xlsx]原始数据'!$A:$A,0)),""))</f>
        <v/>
      </c>
      <c r="T875">
        <f>IF($A875="","",IFERROR(INDEX('[AQ_2023.xlsx]原始数据'!$E:$E,MATCH($A875,'[AQ_2023.xlsx]原始数据'!$A:$A,0)),""))</f>
        <v/>
      </c>
      <c r="U875">
        <f>IF($A875="","",IFERROR(INDEX('[AQ_2024.xlsx]原始数据'!$E:$E,MATCH($A875,'[AQ_2024.xlsx]原始数据'!$A:$A,0)),""))</f>
        <v/>
      </c>
      <c r="V875">
        <f>IF($A875="","",IFERROR(INDEX('[AQ_2020.xlsx]原始数据'!$F:$F,MATCH($A875,'[AQ_2020.xlsx]原始数据'!$A:$A,0)),""))</f>
        <v/>
      </c>
      <c r="W875">
        <f>IF($A875="","",IFERROR(INDEX('[AQ_2021.xlsx]原始数据'!$F:$F,MATCH($A875,'[AQ_2021.xlsx]原始数据'!$A:$A,0)),""))</f>
        <v/>
      </c>
      <c r="X875">
        <f>IF($A875="","",IFERROR(INDEX('[AQ_2022.xlsx]原始数据'!$F:$F,MATCH($A875,'[AQ_2022.xlsx]原始数据'!$A:$A,0)),""))</f>
        <v/>
      </c>
      <c r="Y875">
        <f>IF($A875="","",IFERROR(INDEX('[AQ_2023.xlsx]原始数据'!$F:$F,MATCH($A875,'[AQ_2023.xlsx]原始数据'!$A:$A,0)),""))</f>
        <v/>
      </c>
      <c r="Z875">
        <f>IF($A875="","",IFERROR(INDEX('[AQ_2024.xlsx]原始数据'!$F:$F,MATCH($A875,'[AQ_2024.xlsx]原始数据'!$A:$A,0)),""))</f>
        <v/>
      </c>
      <c r="AA875" s="2">
        <f>IFERROR(G875/B875,"")</f>
        <v/>
      </c>
      <c r="AB875" s="2">
        <f>IFERROR(H875/C875,"")</f>
        <v/>
      </c>
      <c r="AC875" s="2">
        <f>IFERROR(I875/D875,"")</f>
        <v/>
      </c>
      <c r="AD875" s="2">
        <f>IFERROR(J875/E875,"")</f>
        <v/>
      </c>
      <c r="AE875" s="2">
        <f>IFERROR(K875/F875,"")</f>
        <v/>
      </c>
      <c r="AF875" s="2">
        <f>IFERROR(L875/B875,"")</f>
        <v/>
      </c>
      <c r="AG875" s="2">
        <f>IFERROR(M875/C875,"")</f>
        <v/>
      </c>
      <c r="AH875" s="2">
        <f>IFERROR(N875/D875,"")</f>
        <v/>
      </c>
      <c r="AI875" s="2">
        <f>IFERROR(O875/E875,"")</f>
        <v/>
      </c>
      <c r="AJ875" s="2">
        <f>IFERROR(P875/F875,"")</f>
        <v/>
      </c>
      <c r="AK875" s="2">
        <f>IFERROR(Q875/B875,"")</f>
        <v/>
      </c>
      <c r="AL875" s="2">
        <f>IFERROR(R875/C875,"")</f>
        <v/>
      </c>
      <c r="AM875" s="2">
        <f>IFERROR(S875/D875,"")</f>
        <v/>
      </c>
      <c r="AN875" s="2">
        <f>IFERROR(T875/E875,"")</f>
        <v/>
      </c>
      <c r="AO875" s="2">
        <f>IFERROR(U875/F875,"")</f>
        <v/>
      </c>
    </row>
    <row r="876">
      <c r="B876">
        <f>IF($A876="","",IFERROR(INDEX('[AQ_2020.xlsx]原始数据'!$B:$B,MATCH($A876,'[AQ_2020.xlsx]原始数据'!$A:$A,0)),""))</f>
        <v/>
      </c>
      <c r="C876">
        <f>IF($A876="","",IFERROR(INDEX('[AQ_2021.xlsx]原始数据'!$B:$B,MATCH($A876,'[AQ_2021.xlsx]原始数据'!$A:$A,0)),""))</f>
        <v/>
      </c>
      <c r="D876">
        <f>IF($A876="","",IFERROR(INDEX('[AQ_2022.xlsx]原始数据'!$B:$B,MATCH($A876,'[AQ_2022.xlsx]原始数据'!$A:$A,0)),""))</f>
        <v/>
      </c>
      <c r="E876">
        <f>IF($A876="","",IFERROR(INDEX('[AQ_2023.xlsx]原始数据'!$B:$B,MATCH($A876,'[AQ_2023.xlsx]原始数据'!$A:$A,0)),""))</f>
        <v/>
      </c>
      <c r="F876">
        <f>IF($A876="","",IFERROR(INDEX('[AQ_2024.xlsx]原始数据'!$B:$B,MATCH($A876,'[AQ_2024.xlsx]原始数据'!$A:$A,0)),""))</f>
        <v/>
      </c>
      <c r="G876">
        <f>IF($A876="","",IFERROR(INDEX('[AQ_2020.xlsx]原始数据'!$C:$C,MATCH($A876,'[AQ_2020.xlsx]原始数据'!$A:$A,0)),""))</f>
        <v/>
      </c>
      <c r="H876">
        <f>IF($A876="","",IFERROR(INDEX('[AQ_2021.xlsx]原始数据'!$C:$C,MATCH($A876,'[AQ_2021.xlsx]原始数据'!$A:$A,0)),""))</f>
        <v/>
      </c>
      <c r="I876">
        <f>IF($A876="","",IFERROR(INDEX('[AQ_2022.xlsx]原始数据'!$C:$C,MATCH($A876,'[AQ_2022.xlsx]原始数据'!$A:$A,0)),""))</f>
        <v/>
      </c>
      <c r="J876">
        <f>IF($A876="","",IFERROR(INDEX('[AQ_2023.xlsx]原始数据'!$C:$C,MATCH($A876,'[AQ_2023.xlsx]原始数据'!$A:$A,0)),""))</f>
        <v/>
      </c>
      <c r="K876">
        <f>IF($A876="","",IFERROR(INDEX('[AQ_2024.xlsx]原始数据'!$C:$C,MATCH($A876,'[AQ_2024.xlsx]原始数据'!$A:$A,0)),""))</f>
        <v/>
      </c>
      <c r="L876">
        <f>IF($A876="","",IFERROR(INDEX('[AQ_2020.xlsx]原始数据'!$D:$D,MATCH($A876,'[AQ_2020.xlsx]原始数据'!$A:$A,0)),""))</f>
        <v/>
      </c>
      <c r="M876">
        <f>IF($A876="","",IFERROR(INDEX('[AQ_2021.xlsx]原始数据'!$D:$D,MATCH($A876,'[AQ_2021.xlsx]原始数据'!$A:$A,0)),""))</f>
        <v/>
      </c>
      <c r="N876">
        <f>IF($A876="","",IFERROR(INDEX('[AQ_2022.xlsx]原始数据'!$D:$D,MATCH($A876,'[AQ_2022.xlsx]原始数据'!$A:$A,0)),""))</f>
        <v/>
      </c>
      <c r="O876">
        <f>IF($A876="","",IFERROR(INDEX('[AQ_2023.xlsx]原始数据'!$D:$D,MATCH($A876,'[AQ_2023.xlsx]原始数据'!$A:$A,0)),""))</f>
        <v/>
      </c>
      <c r="P876">
        <f>IF($A876="","",IFERROR(INDEX('[AQ_2024.xlsx]原始数据'!$D:$D,MATCH($A876,'[AQ_2024.xlsx]原始数据'!$A:$A,0)),""))</f>
        <v/>
      </c>
      <c r="Q876">
        <f>IF($A876="","",IFERROR(INDEX('[AQ_2020.xlsx]原始数据'!$E:$E,MATCH($A876,'[AQ_2020.xlsx]原始数据'!$A:$A,0)),""))</f>
        <v/>
      </c>
      <c r="R876">
        <f>IF($A876="","",IFERROR(INDEX('[AQ_2021.xlsx]原始数据'!$E:$E,MATCH($A876,'[AQ_2021.xlsx]原始数据'!$A:$A,0)),""))</f>
        <v/>
      </c>
      <c r="S876">
        <f>IF($A876="","",IFERROR(INDEX('[AQ_2022.xlsx]原始数据'!$E:$E,MATCH($A876,'[AQ_2022.xlsx]原始数据'!$A:$A,0)),""))</f>
        <v/>
      </c>
      <c r="T876">
        <f>IF($A876="","",IFERROR(INDEX('[AQ_2023.xlsx]原始数据'!$E:$E,MATCH($A876,'[AQ_2023.xlsx]原始数据'!$A:$A,0)),""))</f>
        <v/>
      </c>
      <c r="U876">
        <f>IF($A876="","",IFERROR(INDEX('[AQ_2024.xlsx]原始数据'!$E:$E,MATCH($A876,'[AQ_2024.xlsx]原始数据'!$A:$A,0)),""))</f>
        <v/>
      </c>
      <c r="V876">
        <f>IF($A876="","",IFERROR(INDEX('[AQ_2020.xlsx]原始数据'!$F:$F,MATCH($A876,'[AQ_2020.xlsx]原始数据'!$A:$A,0)),""))</f>
        <v/>
      </c>
      <c r="W876">
        <f>IF($A876="","",IFERROR(INDEX('[AQ_2021.xlsx]原始数据'!$F:$F,MATCH($A876,'[AQ_2021.xlsx]原始数据'!$A:$A,0)),""))</f>
        <v/>
      </c>
      <c r="X876">
        <f>IF($A876="","",IFERROR(INDEX('[AQ_2022.xlsx]原始数据'!$F:$F,MATCH($A876,'[AQ_2022.xlsx]原始数据'!$A:$A,0)),""))</f>
        <v/>
      </c>
      <c r="Y876">
        <f>IF($A876="","",IFERROR(INDEX('[AQ_2023.xlsx]原始数据'!$F:$F,MATCH($A876,'[AQ_2023.xlsx]原始数据'!$A:$A,0)),""))</f>
        <v/>
      </c>
      <c r="Z876">
        <f>IF($A876="","",IFERROR(INDEX('[AQ_2024.xlsx]原始数据'!$F:$F,MATCH($A876,'[AQ_2024.xlsx]原始数据'!$A:$A,0)),""))</f>
        <v/>
      </c>
      <c r="AA876" s="2">
        <f>IFERROR(G876/B876,"")</f>
        <v/>
      </c>
      <c r="AB876" s="2">
        <f>IFERROR(H876/C876,"")</f>
        <v/>
      </c>
      <c r="AC876" s="2">
        <f>IFERROR(I876/D876,"")</f>
        <v/>
      </c>
      <c r="AD876" s="2">
        <f>IFERROR(J876/E876,"")</f>
        <v/>
      </c>
      <c r="AE876" s="2">
        <f>IFERROR(K876/F876,"")</f>
        <v/>
      </c>
      <c r="AF876" s="2">
        <f>IFERROR(L876/B876,"")</f>
        <v/>
      </c>
      <c r="AG876" s="2">
        <f>IFERROR(M876/C876,"")</f>
        <v/>
      </c>
      <c r="AH876" s="2">
        <f>IFERROR(N876/D876,"")</f>
        <v/>
      </c>
      <c r="AI876" s="2">
        <f>IFERROR(O876/E876,"")</f>
        <v/>
      </c>
      <c r="AJ876" s="2">
        <f>IFERROR(P876/F876,"")</f>
        <v/>
      </c>
      <c r="AK876" s="2">
        <f>IFERROR(Q876/B876,"")</f>
        <v/>
      </c>
      <c r="AL876" s="2">
        <f>IFERROR(R876/C876,"")</f>
        <v/>
      </c>
      <c r="AM876" s="2">
        <f>IFERROR(S876/D876,"")</f>
        <v/>
      </c>
      <c r="AN876" s="2">
        <f>IFERROR(T876/E876,"")</f>
        <v/>
      </c>
      <c r="AO876" s="2">
        <f>IFERROR(U876/F876,"")</f>
        <v/>
      </c>
    </row>
    <row r="877">
      <c r="B877">
        <f>IF($A877="","",IFERROR(INDEX('[AQ_2020.xlsx]原始数据'!$B:$B,MATCH($A877,'[AQ_2020.xlsx]原始数据'!$A:$A,0)),""))</f>
        <v/>
      </c>
      <c r="C877">
        <f>IF($A877="","",IFERROR(INDEX('[AQ_2021.xlsx]原始数据'!$B:$B,MATCH($A877,'[AQ_2021.xlsx]原始数据'!$A:$A,0)),""))</f>
        <v/>
      </c>
      <c r="D877">
        <f>IF($A877="","",IFERROR(INDEX('[AQ_2022.xlsx]原始数据'!$B:$B,MATCH($A877,'[AQ_2022.xlsx]原始数据'!$A:$A,0)),""))</f>
        <v/>
      </c>
      <c r="E877">
        <f>IF($A877="","",IFERROR(INDEX('[AQ_2023.xlsx]原始数据'!$B:$B,MATCH($A877,'[AQ_2023.xlsx]原始数据'!$A:$A,0)),""))</f>
        <v/>
      </c>
      <c r="F877">
        <f>IF($A877="","",IFERROR(INDEX('[AQ_2024.xlsx]原始数据'!$B:$B,MATCH($A877,'[AQ_2024.xlsx]原始数据'!$A:$A,0)),""))</f>
        <v/>
      </c>
      <c r="G877">
        <f>IF($A877="","",IFERROR(INDEX('[AQ_2020.xlsx]原始数据'!$C:$C,MATCH($A877,'[AQ_2020.xlsx]原始数据'!$A:$A,0)),""))</f>
        <v/>
      </c>
      <c r="H877">
        <f>IF($A877="","",IFERROR(INDEX('[AQ_2021.xlsx]原始数据'!$C:$C,MATCH($A877,'[AQ_2021.xlsx]原始数据'!$A:$A,0)),""))</f>
        <v/>
      </c>
      <c r="I877">
        <f>IF($A877="","",IFERROR(INDEX('[AQ_2022.xlsx]原始数据'!$C:$C,MATCH($A877,'[AQ_2022.xlsx]原始数据'!$A:$A,0)),""))</f>
        <v/>
      </c>
      <c r="J877">
        <f>IF($A877="","",IFERROR(INDEX('[AQ_2023.xlsx]原始数据'!$C:$C,MATCH($A877,'[AQ_2023.xlsx]原始数据'!$A:$A,0)),""))</f>
        <v/>
      </c>
      <c r="K877">
        <f>IF($A877="","",IFERROR(INDEX('[AQ_2024.xlsx]原始数据'!$C:$C,MATCH($A877,'[AQ_2024.xlsx]原始数据'!$A:$A,0)),""))</f>
        <v/>
      </c>
      <c r="L877">
        <f>IF($A877="","",IFERROR(INDEX('[AQ_2020.xlsx]原始数据'!$D:$D,MATCH($A877,'[AQ_2020.xlsx]原始数据'!$A:$A,0)),""))</f>
        <v/>
      </c>
      <c r="M877">
        <f>IF($A877="","",IFERROR(INDEX('[AQ_2021.xlsx]原始数据'!$D:$D,MATCH($A877,'[AQ_2021.xlsx]原始数据'!$A:$A,0)),""))</f>
        <v/>
      </c>
      <c r="N877">
        <f>IF($A877="","",IFERROR(INDEX('[AQ_2022.xlsx]原始数据'!$D:$D,MATCH($A877,'[AQ_2022.xlsx]原始数据'!$A:$A,0)),""))</f>
        <v/>
      </c>
      <c r="O877">
        <f>IF($A877="","",IFERROR(INDEX('[AQ_2023.xlsx]原始数据'!$D:$D,MATCH($A877,'[AQ_2023.xlsx]原始数据'!$A:$A,0)),""))</f>
        <v/>
      </c>
      <c r="P877">
        <f>IF($A877="","",IFERROR(INDEX('[AQ_2024.xlsx]原始数据'!$D:$D,MATCH($A877,'[AQ_2024.xlsx]原始数据'!$A:$A,0)),""))</f>
        <v/>
      </c>
      <c r="Q877">
        <f>IF($A877="","",IFERROR(INDEX('[AQ_2020.xlsx]原始数据'!$E:$E,MATCH($A877,'[AQ_2020.xlsx]原始数据'!$A:$A,0)),""))</f>
        <v/>
      </c>
      <c r="R877">
        <f>IF($A877="","",IFERROR(INDEX('[AQ_2021.xlsx]原始数据'!$E:$E,MATCH($A877,'[AQ_2021.xlsx]原始数据'!$A:$A,0)),""))</f>
        <v/>
      </c>
      <c r="S877">
        <f>IF($A877="","",IFERROR(INDEX('[AQ_2022.xlsx]原始数据'!$E:$E,MATCH($A877,'[AQ_2022.xlsx]原始数据'!$A:$A,0)),""))</f>
        <v/>
      </c>
      <c r="T877">
        <f>IF($A877="","",IFERROR(INDEX('[AQ_2023.xlsx]原始数据'!$E:$E,MATCH($A877,'[AQ_2023.xlsx]原始数据'!$A:$A,0)),""))</f>
        <v/>
      </c>
      <c r="U877">
        <f>IF($A877="","",IFERROR(INDEX('[AQ_2024.xlsx]原始数据'!$E:$E,MATCH($A877,'[AQ_2024.xlsx]原始数据'!$A:$A,0)),""))</f>
        <v/>
      </c>
      <c r="V877">
        <f>IF($A877="","",IFERROR(INDEX('[AQ_2020.xlsx]原始数据'!$F:$F,MATCH($A877,'[AQ_2020.xlsx]原始数据'!$A:$A,0)),""))</f>
        <v/>
      </c>
      <c r="W877">
        <f>IF($A877="","",IFERROR(INDEX('[AQ_2021.xlsx]原始数据'!$F:$F,MATCH($A877,'[AQ_2021.xlsx]原始数据'!$A:$A,0)),""))</f>
        <v/>
      </c>
      <c r="X877">
        <f>IF($A877="","",IFERROR(INDEX('[AQ_2022.xlsx]原始数据'!$F:$F,MATCH($A877,'[AQ_2022.xlsx]原始数据'!$A:$A,0)),""))</f>
        <v/>
      </c>
      <c r="Y877">
        <f>IF($A877="","",IFERROR(INDEX('[AQ_2023.xlsx]原始数据'!$F:$F,MATCH($A877,'[AQ_2023.xlsx]原始数据'!$A:$A,0)),""))</f>
        <v/>
      </c>
      <c r="Z877">
        <f>IF($A877="","",IFERROR(INDEX('[AQ_2024.xlsx]原始数据'!$F:$F,MATCH($A877,'[AQ_2024.xlsx]原始数据'!$A:$A,0)),""))</f>
        <v/>
      </c>
      <c r="AA877" s="2">
        <f>IFERROR(G877/B877,"")</f>
        <v/>
      </c>
      <c r="AB877" s="2">
        <f>IFERROR(H877/C877,"")</f>
        <v/>
      </c>
      <c r="AC877" s="2">
        <f>IFERROR(I877/D877,"")</f>
        <v/>
      </c>
      <c r="AD877" s="2">
        <f>IFERROR(J877/E877,"")</f>
        <v/>
      </c>
      <c r="AE877" s="2">
        <f>IFERROR(K877/F877,"")</f>
        <v/>
      </c>
      <c r="AF877" s="2">
        <f>IFERROR(L877/B877,"")</f>
        <v/>
      </c>
      <c r="AG877" s="2">
        <f>IFERROR(M877/C877,"")</f>
        <v/>
      </c>
      <c r="AH877" s="2">
        <f>IFERROR(N877/D877,"")</f>
        <v/>
      </c>
      <c r="AI877" s="2">
        <f>IFERROR(O877/E877,"")</f>
        <v/>
      </c>
      <c r="AJ877" s="2">
        <f>IFERROR(P877/F877,"")</f>
        <v/>
      </c>
      <c r="AK877" s="2">
        <f>IFERROR(Q877/B877,"")</f>
        <v/>
      </c>
      <c r="AL877" s="2">
        <f>IFERROR(R877/C877,"")</f>
        <v/>
      </c>
      <c r="AM877" s="2">
        <f>IFERROR(S877/D877,"")</f>
        <v/>
      </c>
      <c r="AN877" s="2">
        <f>IFERROR(T877/E877,"")</f>
        <v/>
      </c>
      <c r="AO877" s="2">
        <f>IFERROR(U877/F877,"")</f>
        <v/>
      </c>
    </row>
    <row r="878">
      <c r="B878">
        <f>IF($A878="","",IFERROR(INDEX('[AQ_2020.xlsx]原始数据'!$B:$B,MATCH($A878,'[AQ_2020.xlsx]原始数据'!$A:$A,0)),""))</f>
        <v/>
      </c>
      <c r="C878">
        <f>IF($A878="","",IFERROR(INDEX('[AQ_2021.xlsx]原始数据'!$B:$B,MATCH($A878,'[AQ_2021.xlsx]原始数据'!$A:$A,0)),""))</f>
        <v/>
      </c>
      <c r="D878">
        <f>IF($A878="","",IFERROR(INDEX('[AQ_2022.xlsx]原始数据'!$B:$B,MATCH($A878,'[AQ_2022.xlsx]原始数据'!$A:$A,0)),""))</f>
        <v/>
      </c>
      <c r="E878">
        <f>IF($A878="","",IFERROR(INDEX('[AQ_2023.xlsx]原始数据'!$B:$B,MATCH($A878,'[AQ_2023.xlsx]原始数据'!$A:$A,0)),""))</f>
        <v/>
      </c>
      <c r="F878">
        <f>IF($A878="","",IFERROR(INDEX('[AQ_2024.xlsx]原始数据'!$B:$B,MATCH($A878,'[AQ_2024.xlsx]原始数据'!$A:$A,0)),""))</f>
        <v/>
      </c>
      <c r="G878">
        <f>IF($A878="","",IFERROR(INDEX('[AQ_2020.xlsx]原始数据'!$C:$C,MATCH($A878,'[AQ_2020.xlsx]原始数据'!$A:$A,0)),""))</f>
        <v/>
      </c>
      <c r="H878">
        <f>IF($A878="","",IFERROR(INDEX('[AQ_2021.xlsx]原始数据'!$C:$C,MATCH($A878,'[AQ_2021.xlsx]原始数据'!$A:$A,0)),""))</f>
        <v/>
      </c>
      <c r="I878">
        <f>IF($A878="","",IFERROR(INDEX('[AQ_2022.xlsx]原始数据'!$C:$C,MATCH($A878,'[AQ_2022.xlsx]原始数据'!$A:$A,0)),""))</f>
        <v/>
      </c>
      <c r="J878">
        <f>IF($A878="","",IFERROR(INDEX('[AQ_2023.xlsx]原始数据'!$C:$C,MATCH($A878,'[AQ_2023.xlsx]原始数据'!$A:$A,0)),""))</f>
        <v/>
      </c>
      <c r="K878">
        <f>IF($A878="","",IFERROR(INDEX('[AQ_2024.xlsx]原始数据'!$C:$C,MATCH($A878,'[AQ_2024.xlsx]原始数据'!$A:$A,0)),""))</f>
        <v/>
      </c>
      <c r="L878">
        <f>IF($A878="","",IFERROR(INDEX('[AQ_2020.xlsx]原始数据'!$D:$D,MATCH($A878,'[AQ_2020.xlsx]原始数据'!$A:$A,0)),""))</f>
        <v/>
      </c>
      <c r="M878">
        <f>IF($A878="","",IFERROR(INDEX('[AQ_2021.xlsx]原始数据'!$D:$D,MATCH($A878,'[AQ_2021.xlsx]原始数据'!$A:$A,0)),""))</f>
        <v/>
      </c>
      <c r="N878">
        <f>IF($A878="","",IFERROR(INDEX('[AQ_2022.xlsx]原始数据'!$D:$D,MATCH($A878,'[AQ_2022.xlsx]原始数据'!$A:$A,0)),""))</f>
        <v/>
      </c>
      <c r="O878">
        <f>IF($A878="","",IFERROR(INDEX('[AQ_2023.xlsx]原始数据'!$D:$D,MATCH($A878,'[AQ_2023.xlsx]原始数据'!$A:$A,0)),""))</f>
        <v/>
      </c>
      <c r="P878">
        <f>IF($A878="","",IFERROR(INDEX('[AQ_2024.xlsx]原始数据'!$D:$D,MATCH($A878,'[AQ_2024.xlsx]原始数据'!$A:$A,0)),""))</f>
        <v/>
      </c>
      <c r="Q878">
        <f>IF($A878="","",IFERROR(INDEX('[AQ_2020.xlsx]原始数据'!$E:$E,MATCH($A878,'[AQ_2020.xlsx]原始数据'!$A:$A,0)),""))</f>
        <v/>
      </c>
      <c r="R878">
        <f>IF($A878="","",IFERROR(INDEX('[AQ_2021.xlsx]原始数据'!$E:$E,MATCH($A878,'[AQ_2021.xlsx]原始数据'!$A:$A,0)),""))</f>
        <v/>
      </c>
      <c r="S878">
        <f>IF($A878="","",IFERROR(INDEX('[AQ_2022.xlsx]原始数据'!$E:$E,MATCH($A878,'[AQ_2022.xlsx]原始数据'!$A:$A,0)),""))</f>
        <v/>
      </c>
      <c r="T878">
        <f>IF($A878="","",IFERROR(INDEX('[AQ_2023.xlsx]原始数据'!$E:$E,MATCH($A878,'[AQ_2023.xlsx]原始数据'!$A:$A,0)),""))</f>
        <v/>
      </c>
      <c r="U878">
        <f>IF($A878="","",IFERROR(INDEX('[AQ_2024.xlsx]原始数据'!$E:$E,MATCH($A878,'[AQ_2024.xlsx]原始数据'!$A:$A,0)),""))</f>
        <v/>
      </c>
      <c r="V878">
        <f>IF($A878="","",IFERROR(INDEX('[AQ_2020.xlsx]原始数据'!$F:$F,MATCH($A878,'[AQ_2020.xlsx]原始数据'!$A:$A,0)),""))</f>
        <v/>
      </c>
      <c r="W878">
        <f>IF($A878="","",IFERROR(INDEX('[AQ_2021.xlsx]原始数据'!$F:$F,MATCH($A878,'[AQ_2021.xlsx]原始数据'!$A:$A,0)),""))</f>
        <v/>
      </c>
      <c r="X878">
        <f>IF($A878="","",IFERROR(INDEX('[AQ_2022.xlsx]原始数据'!$F:$F,MATCH($A878,'[AQ_2022.xlsx]原始数据'!$A:$A,0)),""))</f>
        <v/>
      </c>
      <c r="Y878">
        <f>IF($A878="","",IFERROR(INDEX('[AQ_2023.xlsx]原始数据'!$F:$F,MATCH($A878,'[AQ_2023.xlsx]原始数据'!$A:$A,0)),""))</f>
        <v/>
      </c>
      <c r="Z878">
        <f>IF($A878="","",IFERROR(INDEX('[AQ_2024.xlsx]原始数据'!$F:$F,MATCH($A878,'[AQ_2024.xlsx]原始数据'!$A:$A,0)),""))</f>
        <v/>
      </c>
      <c r="AA878" s="2">
        <f>IFERROR(G878/B878,"")</f>
        <v/>
      </c>
      <c r="AB878" s="2">
        <f>IFERROR(H878/C878,"")</f>
        <v/>
      </c>
      <c r="AC878" s="2">
        <f>IFERROR(I878/D878,"")</f>
        <v/>
      </c>
      <c r="AD878" s="2">
        <f>IFERROR(J878/E878,"")</f>
        <v/>
      </c>
      <c r="AE878" s="2">
        <f>IFERROR(K878/F878,"")</f>
        <v/>
      </c>
      <c r="AF878" s="2">
        <f>IFERROR(L878/B878,"")</f>
        <v/>
      </c>
      <c r="AG878" s="2">
        <f>IFERROR(M878/C878,"")</f>
        <v/>
      </c>
      <c r="AH878" s="2">
        <f>IFERROR(N878/D878,"")</f>
        <v/>
      </c>
      <c r="AI878" s="2">
        <f>IFERROR(O878/E878,"")</f>
        <v/>
      </c>
      <c r="AJ878" s="2">
        <f>IFERROR(P878/F878,"")</f>
        <v/>
      </c>
      <c r="AK878" s="2">
        <f>IFERROR(Q878/B878,"")</f>
        <v/>
      </c>
      <c r="AL878" s="2">
        <f>IFERROR(R878/C878,"")</f>
        <v/>
      </c>
      <c r="AM878" s="2">
        <f>IFERROR(S878/D878,"")</f>
        <v/>
      </c>
      <c r="AN878" s="2">
        <f>IFERROR(T878/E878,"")</f>
        <v/>
      </c>
      <c r="AO878" s="2">
        <f>IFERROR(U878/F878,"")</f>
        <v/>
      </c>
    </row>
    <row r="879">
      <c r="B879">
        <f>IF($A879="","",IFERROR(INDEX('[AQ_2020.xlsx]原始数据'!$B:$B,MATCH($A879,'[AQ_2020.xlsx]原始数据'!$A:$A,0)),""))</f>
        <v/>
      </c>
      <c r="C879">
        <f>IF($A879="","",IFERROR(INDEX('[AQ_2021.xlsx]原始数据'!$B:$B,MATCH($A879,'[AQ_2021.xlsx]原始数据'!$A:$A,0)),""))</f>
        <v/>
      </c>
      <c r="D879">
        <f>IF($A879="","",IFERROR(INDEX('[AQ_2022.xlsx]原始数据'!$B:$B,MATCH($A879,'[AQ_2022.xlsx]原始数据'!$A:$A,0)),""))</f>
        <v/>
      </c>
      <c r="E879">
        <f>IF($A879="","",IFERROR(INDEX('[AQ_2023.xlsx]原始数据'!$B:$B,MATCH($A879,'[AQ_2023.xlsx]原始数据'!$A:$A,0)),""))</f>
        <v/>
      </c>
      <c r="F879">
        <f>IF($A879="","",IFERROR(INDEX('[AQ_2024.xlsx]原始数据'!$B:$B,MATCH($A879,'[AQ_2024.xlsx]原始数据'!$A:$A,0)),""))</f>
        <v/>
      </c>
      <c r="G879">
        <f>IF($A879="","",IFERROR(INDEX('[AQ_2020.xlsx]原始数据'!$C:$C,MATCH($A879,'[AQ_2020.xlsx]原始数据'!$A:$A,0)),""))</f>
        <v/>
      </c>
      <c r="H879">
        <f>IF($A879="","",IFERROR(INDEX('[AQ_2021.xlsx]原始数据'!$C:$C,MATCH($A879,'[AQ_2021.xlsx]原始数据'!$A:$A,0)),""))</f>
        <v/>
      </c>
      <c r="I879">
        <f>IF($A879="","",IFERROR(INDEX('[AQ_2022.xlsx]原始数据'!$C:$C,MATCH($A879,'[AQ_2022.xlsx]原始数据'!$A:$A,0)),""))</f>
        <v/>
      </c>
      <c r="J879">
        <f>IF($A879="","",IFERROR(INDEX('[AQ_2023.xlsx]原始数据'!$C:$C,MATCH($A879,'[AQ_2023.xlsx]原始数据'!$A:$A,0)),""))</f>
        <v/>
      </c>
      <c r="K879">
        <f>IF($A879="","",IFERROR(INDEX('[AQ_2024.xlsx]原始数据'!$C:$C,MATCH($A879,'[AQ_2024.xlsx]原始数据'!$A:$A,0)),""))</f>
        <v/>
      </c>
      <c r="L879">
        <f>IF($A879="","",IFERROR(INDEX('[AQ_2020.xlsx]原始数据'!$D:$D,MATCH($A879,'[AQ_2020.xlsx]原始数据'!$A:$A,0)),""))</f>
        <v/>
      </c>
      <c r="M879">
        <f>IF($A879="","",IFERROR(INDEX('[AQ_2021.xlsx]原始数据'!$D:$D,MATCH($A879,'[AQ_2021.xlsx]原始数据'!$A:$A,0)),""))</f>
        <v/>
      </c>
      <c r="N879">
        <f>IF($A879="","",IFERROR(INDEX('[AQ_2022.xlsx]原始数据'!$D:$D,MATCH($A879,'[AQ_2022.xlsx]原始数据'!$A:$A,0)),""))</f>
        <v/>
      </c>
      <c r="O879">
        <f>IF($A879="","",IFERROR(INDEX('[AQ_2023.xlsx]原始数据'!$D:$D,MATCH($A879,'[AQ_2023.xlsx]原始数据'!$A:$A,0)),""))</f>
        <v/>
      </c>
      <c r="P879">
        <f>IF($A879="","",IFERROR(INDEX('[AQ_2024.xlsx]原始数据'!$D:$D,MATCH($A879,'[AQ_2024.xlsx]原始数据'!$A:$A,0)),""))</f>
        <v/>
      </c>
      <c r="Q879">
        <f>IF($A879="","",IFERROR(INDEX('[AQ_2020.xlsx]原始数据'!$E:$E,MATCH($A879,'[AQ_2020.xlsx]原始数据'!$A:$A,0)),""))</f>
        <v/>
      </c>
      <c r="R879">
        <f>IF($A879="","",IFERROR(INDEX('[AQ_2021.xlsx]原始数据'!$E:$E,MATCH($A879,'[AQ_2021.xlsx]原始数据'!$A:$A,0)),""))</f>
        <v/>
      </c>
      <c r="S879">
        <f>IF($A879="","",IFERROR(INDEX('[AQ_2022.xlsx]原始数据'!$E:$E,MATCH($A879,'[AQ_2022.xlsx]原始数据'!$A:$A,0)),""))</f>
        <v/>
      </c>
      <c r="T879">
        <f>IF($A879="","",IFERROR(INDEX('[AQ_2023.xlsx]原始数据'!$E:$E,MATCH($A879,'[AQ_2023.xlsx]原始数据'!$A:$A,0)),""))</f>
        <v/>
      </c>
      <c r="U879">
        <f>IF($A879="","",IFERROR(INDEX('[AQ_2024.xlsx]原始数据'!$E:$E,MATCH($A879,'[AQ_2024.xlsx]原始数据'!$A:$A,0)),""))</f>
        <v/>
      </c>
      <c r="V879">
        <f>IF($A879="","",IFERROR(INDEX('[AQ_2020.xlsx]原始数据'!$F:$F,MATCH($A879,'[AQ_2020.xlsx]原始数据'!$A:$A,0)),""))</f>
        <v/>
      </c>
      <c r="W879">
        <f>IF($A879="","",IFERROR(INDEX('[AQ_2021.xlsx]原始数据'!$F:$F,MATCH($A879,'[AQ_2021.xlsx]原始数据'!$A:$A,0)),""))</f>
        <v/>
      </c>
      <c r="X879">
        <f>IF($A879="","",IFERROR(INDEX('[AQ_2022.xlsx]原始数据'!$F:$F,MATCH($A879,'[AQ_2022.xlsx]原始数据'!$A:$A,0)),""))</f>
        <v/>
      </c>
      <c r="Y879">
        <f>IF($A879="","",IFERROR(INDEX('[AQ_2023.xlsx]原始数据'!$F:$F,MATCH($A879,'[AQ_2023.xlsx]原始数据'!$A:$A,0)),""))</f>
        <v/>
      </c>
      <c r="Z879">
        <f>IF($A879="","",IFERROR(INDEX('[AQ_2024.xlsx]原始数据'!$F:$F,MATCH($A879,'[AQ_2024.xlsx]原始数据'!$A:$A,0)),""))</f>
        <v/>
      </c>
      <c r="AA879" s="2">
        <f>IFERROR(G879/B879,"")</f>
        <v/>
      </c>
      <c r="AB879" s="2">
        <f>IFERROR(H879/C879,"")</f>
        <v/>
      </c>
      <c r="AC879" s="2">
        <f>IFERROR(I879/D879,"")</f>
        <v/>
      </c>
      <c r="AD879" s="2">
        <f>IFERROR(J879/E879,"")</f>
        <v/>
      </c>
      <c r="AE879" s="2">
        <f>IFERROR(K879/F879,"")</f>
        <v/>
      </c>
      <c r="AF879" s="2">
        <f>IFERROR(L879/B879,"")</f>
        <v/>
      </c>
      <c r="AG879" s="2">
        <f>IFERROR(M879/C879,"")</f>
        <v/>
      </c>
      <c r="AH879" s="2">
        <f>IFERROR(N879/D879,"")</f>
        <v/>
      </c>
      <c r="AI879" s="2">
        <f>IFERROR(O879/E879,"")</f>
        <v/>
      </c>
      <c r="AJ879" s="2">
        <f>IFERROR(P879/F879,"")</f>
        <v/>
      </c>
      <c r="AK879" s="2">
        <f>IFERROR(Q879/B879,"")</f>
        <v/>
      </c>
      <c r="AL879" s="2">
        <f>IFERROR(R879/C879,"")</f>
        <v/>
      </c>
      <c r="AM879" s="2">
        <f>IFERROR(S879/D879,"")</f>
        <v/>
      </c>
      <c r="AN879" s="2">
        <f>IFERROR(T879/E879,"")</f>
        <v/>
      </c>
      <c r="AO879" s="2">
        <f>IFERROR(U879/F879,"")</f>
        <v/>
      </c>
    </row>
    <row r="880">
      <c r="B880">
        <f>IF($A880="","",IFERROR(INDEX('[AQ_2020.xlsx]原始数据'!$B:$B,MATCH($A880,'[AQ_2020.xlsx]原始数据'!$A:$A,0)),""))</f>
        <v/>
      </c>
      <c r="C880">
        <f>IF($A880="","",IFERROR(INDEX('[AQ_2021.xlsx]原始数据'!$B:$B,MATCH($A880,'[AQ_2021.xlsx]原始数据'!$A:$A,0)),""))</f>
        <v/>
      </c>
      <c r="D880">
        <f>IF($A880="","",IFERROR(INDEX('[AQ_2022.xlsx]原始数据'!$B:$B,MATCH($A880,'[AQ_2022.xlsx]原始数据'!$A:$A,0)),""))</f>
        <v/>
      </c>
      <c r="E880">
        <f>IF($A880="","",IFERROR(INDEX('[AQ_2023.xlsx]原始数据'!$B:$B,MATCH($A880,'[AQ_2023.xlsx]原始数据'!$A:$A,0)),""))</f>
        <v/>
      </c>
      <c r="F880">
        <f>IF($A880="","",IFERROR(INDEX('[AQ_2024.xlsx]原始数据'!$B:$B,MATCH($A880,'[AQ_2024.xlsx]原始数据'!$A:$A,0)),""))</f>
        <v/>
      </c>
      <c r="G880">
        <f>IF($A880="","",IFERROR(INDEX('[AQ_2020.xlsx]原始数据'!$C:$C,MATCH($A880,'[AQ_2020.xlsx]原始数据'!$A:$A,0)),""))</f>
        <v/>
      </c>
      <c r="H880">
        <f>IF($A880="","",IFERROR(INDEX('[AQ_2021.xlsx]原始数据'!$C:$C,MATCH($A880,'[AQ_2021.xlsx]原始数据'!$A:$A,0)),""))</f>
        <v/>
      </c>
      <c r="I880">
        <f>IF($A880="","",IFERROR(INDEX('[AQ_2022.xlsx]原始数据'!$C:$C,MATCH($A880,'[AQ_2022.xlsx]原始数据'!$A:$A,0)),""))</f>
        <v/>
      </c>
      <c r="J880">
        <f>IF($A880="","",IFERROR(INDEX('[AQ_2023.xlsx]原始数据'!$C:$C,MATCH($A880,'[AQ_2023.xlsx]原始数据'!$A:$A,0)),""))</f>
        <v/>
      </c>
      <c r="K880">
        <f>IF($A880="","",IFERROR(INDEX('[AQ_2024.xlsx]原始数据'!$C:$C,MATCH($A880,'[AQ_2024.xlsx]原始数据'!$A:$A,0)),""))</f>
        <v/>
      </c>
      <c r="L880">
        <f>IF($A880="","",IFERROR(INDEX('[AQ_2020.xlsx]原始数据'!$D:$D,MATCH($A880,'[AQ_2020.xlsx]原始数据'!$A:$A,0)),""))</f>
        <v/>
      </c>
      <c r="M880">
        <f>IF($A880="","",IFERROR(INDEX('[AQ_2021.xlsx]原始数据'!$D:$D,MATCH($A880,'[AQ_2021.xlsx]原始数据'!$A:$A,0)),""))</f>
        <v/>
      </c>
      <c r="N880">
        <f>IF($A880="","",IFERROR(INDEX('[AQ_2022.xlsx]原始数据'!$D:$D,MATCH($A880,'[AQ_2022.xlsx]原始数据'!$A:$A,0)),""))</f>
        <v/>
      </c>
      <c r="O880">
        <f>IF($A880="","",IFERROR(INDEX('[AQ_2023.xlsx]原始数据'!$D:$D,MATCH($A880,'[AQ_2023.xlsx]原始数据'!$A:$A,0)),""))</f>
        <v/>
      </c>
      <c r="P880">
        <f>IF($A880="","",IFERROR(INDEX('[AQ_2024.xlsx]原始数据'!$D:$D,MATCH($A880,'[AQ_2024.xlsx]原始数据'!$A:$A,0)),""))</f>
        <v/>
      </c>
      <c r="Q880">
        <f>IF($A880="","",IFERROR(INDEX('[AQ_2020.xlsx]原始数据'!$E:$E,MATCH($A880,'[AQ_2020.xlsx]原始数据'!$A:$A,0)),""))</f>
        <v/>
      </c>
      <c r="R880">
        <f>IF($A880="","",IFERROR(INDEX('[AQ_2021.xlsx]原始数据'!$E:$E,MATCH($A880,'[AQ_2021.xlsx]原始数据'!$A:$A,0)),""))</f>
        <v/>
      </c>
      <c r="S880">
        <f>IF($A880="","",IFERROR(INDEX('[AQ_2022.xlsx]原始数据'!$E:$E,MATCH($A880,'[AQ_2022.xlsx]原始数据'!$A:$A,0)),""))</f>
        <v/>
      </c>
      <c r="T880">
        <f>IF($A880="","",IFERROR(INDEX('[AQ_2023.xlsx]原始数据'!$E:$E,MATCH($A880,'[AQ_2023.xlsx]原始数据'!$A:$A,0)),""))</f>
        <v/>
      </c>
      <c r="U880">
        <f>IF($A880="","",IFERROR(INDEX('[AQ_2024.xlsx]原始数据'!$E:$E,MATCH($A880,'[AQ_2024.xlsx]原始数据'!$A:$A,0)),""))</f>
        <v/>
      </c>
      <c r="V880">
        <f>IF($A880="","",IFERROR(INDEX('[AQ_2020.xlsx]原始数据'!$F:$F,MATCH($A880,'[AQ_2020.xlsx]原始数据'!$A:$A,0)),""))</f>
        <v/>
      </c>
      <c r="W880">
        <f>IF($A880="","",IFERROR(INDEX('[AQ_2021.xlsx]原始数据'!$F:$F,MATCH($A880,'[AQ_2021.xlsx]原始数据'!$A:$A,0)),""))</f>
        <v/>
      </c>
      <c r="X880">
        <f>IF($A880="","",IFERROR(INDEX('[AQ_2022.xlsx]原始数据'!$F:$F,MATCH($A880,'[AQ_2022.xlsx]原始数据'!$A:$A,0)),""))</f>
        <v/>
      </c>
      <c r="Y880">
        <f>IF($A880="","",IFERROR(INDEX('[AQ_2023.xlsx]原始数据'!$F:$F,MATCH($A880,'[AQ_2023.xlsx]原始数据'!$A:$A,0)),""))</f>
        <v/>
      </c>
      <c r="Z880">
        <f>IF($A880="","",IFERROR(INDEX('[AQ_2024.xlsx]原始数据'!$F:$F,MATCH($A880,'[AQ_2024.xlsx]原始数据'!$A:$A,0)),""))</f>
        <v/>
      </c>
      <c r="AA880" s="2">
        <f>IFERROR(G880/B880,"")</f>
        <v/>
      </c>
      <c r="AB880" s="2">
        <f>IFERROR(H880/C880,"")</f>
        <v/>
      </c>
      <c r="AC880" s="2">
        <f>IFERROR(I880/D880,"")</f>
        <v/>
      </c>
      <c r="AD880" s="2">
        <f>IFERROR(J880/E880,"")</f>
        <v/>
      </c>
      <c r="AE880" s="2">
        <f>IFERROR(K880/F880,"")</f>
        <v/>
      </c>
      <c r="AF880" s="2">
        <f>IFERROR(L880/B880,"")</f>
        <v/>
      </c>
      <c r="AG880" s="2">
        <f>IFERROR(M880/C880,"")</f>
        <v/>
      </c>
      <c r="AH880" s="2">
        <f>IFERROR(N880/D880,"")</f>
        <v/>
      </c>
      <c r="AI880" s="2">
        <f>IFERROR(O880/E880,"")</f>
        <v/>
      </c>
      <c r="AJ880" s="2">
        <f>IFERROR(P880/F880,"")</f>
        <v/>
      </c>
      <c r="AK880" s="2">
        <f>IFERROR(Q880/B880,"")</f>
        <v/>
      </c>
      <c r="AL880" s="2">
        <f>IFERROR(R880/C880,"")</f>
        <v/>
      </c>
      <c r="AM880" s="2">
        <f>IFERROR(S880/D880,"")</f>
        <v/>
      </c>
      <c r="AN880" s="2">
        <f>IFERROR(T880/E880,"")</f>
        <v/>
      </c>
      <c r="AO880" s="2">
        <f>IFERROR(U880/F880,"")</f>
        <v/>
      </c>
    </row>
    <row r="881">
      <c r="B881">
        <f>IF($A881="","",IFERROR(INDEX('[AQ_2020.xlsx]原始数据'!$B:$B,MATCH($A881,'[AQ_2020.xlsx]原始数据'!$A:$A,0)),""))</f>
        <v/>
      </c>
      <c r="C881">
        <f>IF($A881="","",IFERROR(INDEX('[AQ_2021.xlsx]原始数据'!$B:$B,MATCH($A881,'[AQ_2021.xlsx]原始数据'!$A:$A,0)),""))</f>
        <v/>
      </c>
      <c r="D881">
        <f>IF($A881="","",IFERROR(INDEX('[AQ_2022.xlsx]原始数据'!$B:$B,MATCH($A881,'[AQ_2022.xlsx]原始数据'!$A:$A,0)),""))</f>
        <v/>
      </c>
      <c r="E881">
        <f>IF($A881="","",IFERROR(INDEX('[AQ_2023.xlsx]原始数据'!$B:$B,MATCH($A881,'[AQ_2023.xlsx]原始数据'!$A:$A,0)),""))</f>
        <v/>
      </c>
      <c r="F881">
        <f>IF($A881="","",IFERROR(INDEX('[AQ_2024.xlsx]原始数据'!$B:$B,MATCH($A881,'[AQ_2024.xlsx]原始数据'!$A:$A,0)),""))</f>
        <v/>
      </c>
      <c r="G881">
        <f>IF($A881="","",IFERROR(INDEX('[AQ_2020.xlsx]原始数据'!$C:$C,MATCH($A881,'[AQ_2020.xlsx]原始数据'!$A:$A,0)),""))</f>
        <v/>
      </c>
      <c r="H881">
        <f>IF($A881="","",IFERROR(INDEX('[AQ_2021.xlsx]原始数据'!$C:$C,MATCH($A881,'[AQ_2021.xlsx]原始数据'!$A:$A,0)),""))</f>
        <v/>
      </c>
      <c r="I881">
        <f>IF($A881="","",IFERROR(INDEX('[AQ_2022.xlsx]原始数据'!$C:$C,MATCH($A881,'[AQ_2022.xlsx]原始数据'!$A:$A,0)),""))</f>
        <v/>
      </c>
      <c r="J881">
        <f>IF($A881="","",IFERROR(INDEX('[AQ_2023.xlsx]原始数据'!$C:$C,MATCH($A881,'[AQ_2023.xlsx]原始数据'!$A:$A,0)),""))</f>
        <v/>
      </c>
      <c r="K881">
        <f>IF($A881="","",IFERROR(INDEX('[AQ_2024.xlsx]原始数据'!$C:$C,MATCH($A881,'[AQ_2024.xlsx]原始数据'!$A:$A,0)),""))</f>
        <v/>
      </c>
      <c r="L881">
        <f>IF($A881="","",IFERROR(INDEX('[AQ_2020.xlsx]原始数据'!$D:$D,MATCH($A881,'[AQ_2020.xlsx]原始数据'!$A:$A,0)),""))</f>
        <v/>
      </c>
      <c r="M881">
        <f>IF($A881="","",IFERROR(INDEX('[AQ_2021.xlsx]原始数据'!$D:$D,MATCH($A881,'[AQ_2021.xlsx]原始数据'!$A:$A,0)),""))</f>
        <v/>
      </c>
      <c r="N881">
        <f>IF($A881="","",IFERROR(INDEX('[AQ_2022.xlsx]原始数据'!$D:$D,MATCH($A881,'[AQ_2022.xlsx]原始数据'!$A:$A,0)),""))</f>
        <v/>
      </c>
      <c r="O881">
        <f>IF($A881="","",IFERROR(INDEX('[AQ_2023.xlsx]原始数据'!$D:$D,MATCH($A881,'[AQ_2023.xlsx]原始数据'!$A:$A,0)),""))</f>
        <v/>
      </c>
      <c r="P881">
        <f>IF($A881="","",IFERROR(INDEX('[AQ_2024.xlsx]原始数据'!$D:$D,MATCH($A881,'[AQ_2024.xlsx]原始数据'!$A:$A,0)),""))</f>
        <v/>
      </c>
      <c r="Q881">
        <f>IF($A881="","",IFERROR(INDEX('[AQ_2020.xlsx]原始数据'!$E:$E,MATCH($A881,'[AQ_2020.xlsx]原始数据'!$A:$A,0)),""))</f>
        <v/>
      </c>
      <c r="R881">
        <f>IF($A881="","",IFERROR(INDEX('[AQ_2021.xlsx]原始数据'!$E:$E,MATCH($A881,'[AQ_2021.xlsx]原始数据'!$A:$A,0)),""))</f>
        <v/>
      </c>
      <c r="S881">
        <f>IF($A881="","",IFERROR(INDEX('[AQ_2022.xlsx]原始数据'!$E:$E,MATCH($A881,'[AQ_2022.xlsx]原始数据'!$A:$A,0)),""))</f>
        <v/>
      </c>
      <c r="T881">
        <f>IF($A881="","",IFERROR(INDEX('[AQ_2023.xlsx]原始数据'!$E:$E,MATCH($A881,'[AQ_2023.xlsx]原始数据'!$A:$A,0)),""))</f>
        <v/>
      </c>
      <c r="U881">
        <f>IF($A881="","",IFERROR(INDEX('[AQ_2024.xlsx]原始数据'!$E:$E,MATCH($A881,'[AQ_2024.xlsx]原始数据'!$A:$A,0)),""))</f>
        <v/>
      </c>
      <c r="V881">
        <f>IF($A881="","",IFERROR(INDEX('[AQ_2020.xlsx]原始数据'!$F:$F,MATCH($A881,'[AQ_2020.xlsx]原始数据'!$A:$A,0)),""))</f>
        <v/>
      </c>
      <c r="W881">
        <f>IF($A881="","",IFERROR(INDEX('[AQ_2021.xlsx]原始数据'!$F:$F,MATCH($A881,'[AQ_2021.xlsx]原始数据'!$A:$A,0)),""))</f>
        <v/>
      </c>
      <c r="X881">
        <f>IF($A881="","",IFERROR(INDEX('[AQ_2022.xlsx]原始数据'!$F:$F,MATCH($A881,'[AQ_2022.xlsx]原始数据'!$A:$A,0)),""))</f>
        <v/>
      </c>
      <c r="Y881">
        <f>IF($A881="","",IFERROR(INDEX('[AQ_2023.xlsx]原始数据'!$F:$F,MATCH($A881,'[AQ_2023.xlsx]原始数据'!$A:$A,0)),""))</f>
        <v/>
      </c>
      <c r="Z881">
        <f>IF($A881="","",IFERROR(INDEX('[AQ_2024.xlsx]原始数据'!$F:$F,MATCH($A881,'[AQ_2024.xlsx]原始数据'!$A:$A,0)),""))</f>
        <v/>
      </c>
      <c r="AA881" s="2">
        <f>IFERROR(G881/B881,"")</f>
        <v/>
      </c>
      <c r="AB881" s="2">
        <f>IFERROR(H881/C881,"")</f>
        <v/>
      </c>
      <c r="AC881" s="2">
        <f>IFERROR(I881/D881,"")</f>
        <v/>
      </c>
      <c r="AD881" s="2">
        <f>IFERROR(J881/E881,"")</f>
        <v/>
      </c>
      <c r="AE881" s="2">
        <f>IFERROR(K881/F881,"")</f>
        <v/>
      </c>
      <c r="AF881" s="2">
        <f>IFERROR(L881/B881,"")</f>
        <v/>
      </c>
      <c r="AG881" s="2">
        <f>IFERROR(M881/C881,"")</f>
        <v/>
      </c>
      <c r="AH881" s="2">
        <f>IFERROR(N881/D881,"")</f>
        <v/>
      </c>
      <c r="AI881" s="2">
        <f>IFERROR(O881/E881,"")</f>
        <v/>
      </c>
      <c r="AJ881" s="2">
        <f>IFERROR(P881/F881,"")</f>
        <v/>
      </c>
      <c r="AK881" s="2">
        <f>IFERROR(Q881/B881,"")</f>
        <v/>
      </c>
      <c r="AL881" s="2">
        <f>IFERROR(R881/C881,"")</f>
        <v/>
      </c>
      <c r="AM881" s="2">
        <f>IFERROR(S881/D881,"")</f>
        <v/>
      </c>
      <c r="AN881" s="2">
        <f>IFERROR(T881/E881,"")</f>
        <v/>
      </c>
      <c r="AO881" s="2">
        <f>IFERROR(U881/F881,"")</f>
        <v/>
      </c>
    </row>
    <row r="882">
      <c r="B882">
        <f>IF($A882="","",IFERROR(INDEX('[AQ_2020.xlsx]原始数据'!$B:$B,MATCH($A882,'[AQ_2020.xlsx]原始数据'!$A:$A,0)),""))</f>
        <v/>
      </c>
      <c r="C882">
        <f>IF($A882="","",IFERROR(INDEX('[AQ_2021.xlsx]原始数据'!$B:$B,MATCH($A882,'[AQ_2021.xlsx]原始数据'!$A:$A,0)),""))</f>
        <v/>
      </c>
      <c r="D882">
        <f>IF($A882="","",IFERROR(INDEX('[AQ_2022.xlsx]原始数据'!$B:$B,MATCH($A882,'[AQ_2022.xlsx]原始数据'!$A:$A,0)),""))</f>
        <v/>
      </c>
      <c r="E882">
        <f>IF($A882="","",IFERROR(INDEX('[AQ_2023.xlsx]原始数据'!$B:$B,MATCH($A882,'[AQ_2023.xlsx]原始数据'!$A:$A,0)),""))</f>
        <v/>
      </c>
      <c r="F882">
        <f>IF($A882="","",IFERROR(INDEX('[AQ_2024.xlsx]原始数据'!$B:$B,MATCH($A882,'[AQ_2024.xlsx]原始数据'!$A:$A,0)),""))</f>
        <v/>
      </c>
      <c r="G882">
        <f>IF($A882="","",IFERROR(INDEX('[AQ_2020.xlsx]原始数据'!$C:$C,MATCH($A882,'[AQ_2020.xlsx]原始数据'!$A:$A,0)),""))</f>
        <v/>
      </c>
      <c r="H882">
        <f>IF($A882="","",IFERROR(INDEX('[AQ_2021.xlsx]原始数据'!$C:$C,MATCH($A882,'[AQ_2021.xlsx]原始数据'!$A:$A,0)),""))</f>
        <v/>
      </c>
      <c r="I882">
        <f>IF($A882="","",IFERROR(INDEX('[AQ_2022.xlsx]原始数据'!$C:$C,MATCH($A882,'[AQ_2022.xlsx]原始数据'!$A:$A,0)),""))</f>
        <v/>
      </c>
      <c r="J882">
        <f>IF($A882="","",IFERROR(INDEX('[AQ_2023.xlsx]原始数据'!$C:$C,MATCH($A882,'[AQ_2023.xlsx]原始数据'!$A:$A,0)),""))</f>
        <v/>
      </c>
      <c r="K882">
        <f>IF($A882="","",IFERROR(INDEX('[AQ_2024.xlsx]原始数据'!$C:$C,MATCH($A882,'[AQ_2024.xlsx]原始数据'!$A:$A,0)),""))</f>
        <v/>
      </c>
      <c r="L882">
        <f>IF($A882="","",IFERROR(INDEX('[AQ_2020.xlsx]原始数据'!$D:$D,MATCH($A882,'[AQ_2020.xlsx]原始数据'!$A:$A,0)),""))</f>
        <v/>
      </c>
      <c r="M882">
        <f>IF($A882="","",IFERROR(INDEX('[AQ_2021.xlsx]原始数据'!$D:$D,MATCH($A882,'[AQ_2021.xlsx]原始数据'!$A:$A,0)),""))</f>
        <v/>
      </c>
      <c r="N882">
        <f>IF($A882="","",IFERROR(INDEX('[AQ_2022.xlsx]原始数据'!$D:$D,MATCH($A882,'[AQ_2022.xlsx]原始数据'!$A:$A,0)),""))</f>
        <v/>
      </c>
      <c r="O882">
        <f>IF($A882="","",IFERROR(INDEX('[AQ_2023.xlsx]原始数据'!$D:$D,MATCH($A882,'[AQ_2023.xlsx]原始数据'!$A:$A,0)),""))</f>
        <v/>
      </c>
      <c r="P882">
        <f>IF($A882="","",IFERROR(INDEX('[AQ_2024.xlsx]原始数据'!$D:$D,MATCH($A882,'[AQ_2024.xlsx]原始数据'!$A:$A,0)),""))</f>
        <v/>
      </c>
      <c r="Q882">
        <f>IF($A882="","",IFERROR(INDEX('[AQ_2020.xlsx]原始数据'!$E:$E,MATCH($A882,'[AQ_2020.xlsx]原始数据'!$A:$A,0)),""))</f>
        <v/>
      </c>
      <c r="R882">
        <f>IF($A882="","",IFERROR(INDEX('[AQ_2021.xlsx]原始数据'!$E:$E,MATCH($A882,'[AQ_2021.xlsx]原始数据'!$A:$A,0)),""))</f>
        <v/>
      </c>
      <c r="S882">
        <f>IF($A882="","",IFERROR(INDEX('[AQ_2022.xlsx]原始数据'!$E:$E,MATCH($A882,'[AQ_2022.xlsx]原始数据'!$A:$A,0)),""))</f>
        <v/>
      </c>
      <c r="T882">
        <f>IF($A882="","",IFERROR(INDEX('[AQ_2023.xlsx]原始数据'!$E:$E,MATCH($A882,'[AQ_2023.xlsx]原始数据'!$A:$A,0)),""))</f>
        <v/>
      </c>
      <c r="U882">
        <f>IF($A882="","",IFERROR(INDEX('[AQ_2024.xlsx]原始数据'!$E:$E,MATCH($A882,'[AQ_2024.xlsx]原始数据'!$A:$A,0)),""))</f>
        <v/>
      </c>
      <c r="V882">
        <f>IF($A882="","",IFERROR(INDEX('[AQ_2020.xlsx]原始数据'!$F:$F,MATCH($A882,'[AQ_2020.xlsx]原始数据'!$A:$A,0)),""))</f>
        <v/>
      </c>
      <c r="W882">
        <f>IF($A882="","",IFERROR(INDEX('[AQ_2021.xlsx]原始数据'!$F:$F,MATCH($A882,'[AQ_2021.xlsx]原始数据'!$A:$A,0)),""))</f>
        <v/>
      </c>
      <c r="X882">
        <f>IF($A882="","",IFERROR(INDEX('[AQ_2022.xlsx]原始数据'!$F:$F,MATCH($A882,'[AQ_2022.xlsx]原始数据'!$A:$A,0)),""))</f>
        <v/>
      </c>
      <c r="Y882">
        <f>IF($A882="","",IFERROR(INDEX('[AQ_2023.xlsx]原始数据'!$F:$F,MATCH($A882,'[AQ_2023.xlsx]原始数据'!$A:$A,0)),""))</f>
        <v/>
      </c>
      <c r="Z882">
        <f>IF($A882="","",IFERROR(INDEX('[AQ_2024.xlsx]原始数据'!$F:$F,MATCH($A882,'[AQ_2024.xlsx]原始数据'!$A:$A,0)),""))</f>
        <v/>
      </c>
      <c r="AA882" s="2">
        <f>IFERROR(G882/B882,"")</f>
        <v/>
      </c>
      <c r="AB882" s="2">
        <f>IFERROR(H882/C882,"")</f>
        <v/>
      </c>
      <c r="AC882" s="2">
        <f>IFERROR(I882/D882,"")</f>
        <v/>
      </c>
      <c r="AD882" s="2">
        <f>IFERROR(J882/E882,"")</f>
        <v/>
      </c>
      <c r="AE882" s="2">
        <f>IFERROR(K882/F882,"")</f>
        <v/>
      </c>
      <c r="AF882" s="2">
        <f>IFERROR(L882/B882,"")</f>
        <v/>
      </c>
      <c r="AG882" s="2">
        <f>IFERROR(M882/C882,"")</f>
        <v/>
      </c>
      <c r="AH882" s="2">
        <f>IFERROR(N882/D882,"")</f>
        <v/>
      </c>
      <c r="AI882" s="2">
        <f>IFERROR(O882/E882,"")</f>
        <v/>
      </c>
      <c r="AJ882" s="2">
        <f>IFERROR(P882/F882,"")</f>
        <v/>
      </c>
      <c r="AK882" s="2">
        <f>IFERROR(Q882/B882,"")</f>
        <v/>
      </c>
      <c r="AL882" s="2">
        <f>IFERROR(R882/C882,"")</f>
        <v/>
      </c>
      <c r="AM882" s="2">
        <f>IFERROR(S882/D882,"")</f>
        <v/>
      </c>
      <c r="AN882" s="2">
        <f>IFERROR(T882/E882,"")</f>
        <v/>
      </c>
      <c r="AO882" s="2">
        <f>IFERROR(U882/F882,"")</f>
        <v/>
      </c>
    </row>
    <row r="883">
      <c r="B883">
        <f>IF($A883="","",IFERROR(INDEX('[AQ_2020.xlsx]原始数据'!$B:$B,MATCH($A883,'[AQ_2020.xlsx]原始数据'!$A:$A,0)),""))</f>
        <v/>
      </c>
      <c r="C883">
        <f>IF($A883="","",IFERROR(INDEX('[AQ_2021.xlsx]原始数据'!$B:$B,MATCH($A883,'[AQ_2021.xlsx]原始数据'!$A:$A,0)),""))</f>
        <v/>
      </c>
      <c r="D883">
        <f>IF($A883="","",IFERROR(INDEX('[AQ_2022.xlsx]原始数据'!$B:$B,MATCH($A883,'[AQ_2022.xlsx]原始数据'!$A:$A,0)),""))</f>
        <v/>
      </c>
      <c r="E883">
        <f>IF($A883="","",IFERROR(INDEX('[AQ_2023.xlsx]原始数据'!$B:$B,MATCH($A883,'[AQ_2023.xlsx]原始数据'!$A:$A,0)),""))</f>
        <v/>
      </c>
      <c r="F883">
        <f>IF($A883="","",IFERROR(INDEX('[AQ_2024.xlsx]原始数据'!$B:$B,MATCH($A883,'[AQ_2024.xlsx]原始数据'!$A:$A,0)),""))</f>
        <v/>
      </c>
      <c r="G883">
        <f>IF($A883="","",IFERROR(INDEX('[AQ_2020.xlsx]原始数据'!$C:$C,MATCH($A883,'[AQ_2020.xlsx]原始数据'!$A:$A,0)),""))</f>
        <v/>
      </c>
      <c r="H883">
        <f>IF($A883="","",IFERROR(INDEX('[AQ_2021.xlsx]原始数据'!$C:$C,MATCH($A883,'[AQ_2021.xlsx]原始数据'!$A:$A,0)),""))</f>
        <v/>
      </c>
      <c r="I883">
        <f>IF($A883="","",IFERROR(INDEX('[AQ_2022.xlsx]原始数据'!$C:$C,MATCH($A883,'[AQ_2022.xlsx]原始数据'!$A:$A,0)),""))</f>
        <v/>
      </c>
      <c r="J883">
        <f>IF($A883="","",IFERROR(INDEX('[AQ_2023.xlsx]原始数据'!$C:$C,MATCH($A883,'[AQ_2023.xlsx]原始数据'!$A:$A,0)),""))</f>
        <v/>
      </c>
      <c r="K883">
        <f>IF($A883="","",IFERROR(INDEX('[AQ_2024.xlsx]原始数据'!$C:$C,MATCH($A883,'[AQ_2024.xlsx]原始数据'!$A:$A,0)),""))</f>
        <v/>
      </c>
      <c r="L883">
        <f>IF($A883="","",IFERROR(INDEX('[AQ_2020.xlsx]原始数据'!$D:$D,MATCH($A883,'[AQ_2020.xlsx]原始数据'!$A:$A,0)),""))</f>
        <v/>
      </c>
      <c r="M883">
        <f>IF($A883="","",IFERROR(INDEX('[AQ_2021.xlsx]原始数据'!$D:$D,MATCH($A883,'[AQ_2021.xlsx]原始数据'!$A:$A,0)),""))</f>
        <v/>
      </c>
      <c r="N883">
        <f>IF($A883="","",IFERROR(INDEX('[AQ_2022.xlsx]原始数据'!$D:$D,MATCH($A883,'[AQ_2022.xlsx]原始数据'!$A:$A,0)),""))</f>
        <v/>
      </c>
      <c r="O883">
        <f>IF($A883="","",IFERROR(INDEX('[AQ_2023.xlsx]原始数据'!$D:$D,MATCH($A883,'[AQ_2023.xlsx]原始数据'!$A:$A,0)),""))</f>
        <v/>
      </c>
      <c r="P883">
        <f>IF($A883="","",IFERROR(INDEX('[AQ_2024.xlsx]原始数据'!$D:$D,MATCH($A883,'[AQ_2024.xlsx]原始数据'!$A:$A,0)),""))</f>
        <v/>
      </c>
      <c r="Q883">
        <f>IF($A883="","",IFERROR(INDEX('[AQ_2020.xlsx]原始数据'!$E:$E,MATCH($A883,'[AQ_2020.xlsx]原始数据'!$A:$A,0)),""))</f>
        <v/>
      </c>
      <c r="R883">
        <f>IF($A883="","",IFERROR(INDEX('[AQ_2021.xlsx]原始数据'!$E:$E,MATCH($A883,'[AQ_2021.xlsx]原始数据'!$A:$A,0)),""))</f>
        <v/>
      </c>
      <c r="S883">
        <f>IF($A883="","",IFERROR(INDEX('[AQ_2022.xlsx]原始数据'!$E:$E,MATCH($A883,'[AQ_2022.xlsx]原始数据'!$A:$A,0)),""))</f>
        <v/>
      </c>
      <c r="T883">
        <f>IF($A883="","",IFERROR(INDEX('[AQ_2023.xlsx]原始数据'!$E:$E,MATCH($A883,'[AQ_2023.xlsx]原始数据'!$A:$A,0)),""))</f>
        <v/>
      </c>
      <c r="U883">
        <f>IF($A883="","",IFERROR(INDEX('[AQ_2024.xlsx]原始数据'!$E:$E,MATCH($A883,'[AQ_2024.xlsx]原始数据'!$A:$A,0)),""))</f>
        <v/>
      </c>
      <c r="V883">
        <f>IF($A883="","",IFERROR(INDEX('[AQ_2020.xlsx]原始数据'!$F:$F,MATCH($A883,'[AQ_2020.xlsx]原始数据'!$A:$A,0)),""))</f>
        <v/>
      </c>
      <c r="W883">
        <f>IF($A883="","",IFERROR(INDEX('[AQ_2021.xlsx]原始数据'!$F:$F,MATCH($A883,'[AQ_2021.xlsx]原始数据'!$A:$A,0)),""))</f>
        <v/>
      </c>
      <c r="X883">
        <f>IF($A883="","",IFERROR(INDEX('[AQ_2022.xlsx]原始数据'!$F:$F,MATCH($A883,'[AQ_2022.xlsx]原始数据'!$A:$A,0)),""))</f>
        <v/>
      </c>
      <c r="Y883">
        <f>IF($A883="","",IFERROR(INDEX('[AQ_2023.xlsx]原始数据'!$F:$F,MATCH($A883,'[AQ_2023.xlsx]原始数据'!$A:$A,0)),""))</f>
        <v/>
      </c>
      <c r="Z883">
        <f>IF($A883="","",IFERROR(INDEX('[AQ_2024.xlsx]原始数据'!$F:$F,MATCH($A883,'[AQ_2024.xlsx]原始数据'!$A:$A,0)),""))</f>
        <v/>
      </c>
      <c r="AA883" s="2">
        <f>IFERROR(G883/B883,"")</f>
        <v/>
      </c>
      <c r="AB883" s="2">
        <f>IFERROR(H883/C883,"")</f>
        <v/>
      </c>
      <c r="AC883" s="2">
        <f>IFERROR(I883/D883,"")</f>
        <v/>
      </c>
      <c r="AD883" s="2">
        <f>IFERROR(J883/E883,"")</f>
        <v/>
      </c>
      <c r="AE883" s="2">
        <f>IFERROR(K883/F883,"")</f>
        <v/>
      </c>
      <c r="AF883" s="2">
        <f>IFERROR(L883/B883,"")</f>
        <v/>
      </c>
      <c r="AG883" s="2">
        <f>IFERROR(M883/C883,"")</f>
        <v/>
      </c>
      <c r="AH883" s="2">
        <f>IFERROR(N883/D883,"")</f>
        <v/>
      </c>
      <c r="AI883" s="2">
        <f>IFERROR(O883/E883,"")</f>
        <v/>
      </c>
      <c r="AJ883" s="2">
        <f>IFERROR(P883/F883,"")</f>
        <v/>
      </c>
      <c r="AK883" s="2">
        <f>IFERROR(Q883/B883,"")</f>
        <v/>
      </c>
      <c r="AL883" s="2">
        <f>IFERROR(R883/C883,"")</f>
        <v/>
      </c>
      <c r="AM883" s="2">
        <f>IFERROR(S883/D883,"")</f>
        <v/>
      </c>
      <c r="AN883" s="2">
        <f>IFERROR(T883/E883,"")</f>
        <v/>
      </c>
      <c r="AO883" s="2">
        <f>IFERROR(U883/F883,"")</f>
        <v/>
      </c>
    </row>
    <row r="884">
      <c r="B884">
        <f>IF($A884="","",IFERROR(INDEX('[AQ_2020.xlsx]原始数据'!$B:$B,MATCH($A884,'[AQ_2020.xlsx]原始数据'!$A:$A,0)),""))</f>
        <v/>
      </c>
      <c r="C884">
        <f>IF($A884="","",IFERROR(INDEX('[AQ_2021.xlsx]原始数据'!$B:$B,MATCH($A884,'[AQ_2021.xlsx]原始数据'!$A:$A,0)),""))</f>
        <v/>
      </c>
      <c r="D884">
        <f>IF($A884="","",IFERROR(INDEX('[AQ_2022.xlsx]原始数据'!$B:$B,MATCH($A884,'[AQ_2022.xlsx]原始数据'!$A:$A,0)),""))</f>
        <v/>
      </c>
      <c r="E884">
        <f>IF($A884="","",IFERROR(INDEX('[AQ_2023.xlsx]原始数据'!$B:$B,MATCH($A884,'[AQ_2023.xlsx]原始数据'!$A:$A,0)),""))</f>
        <v/>
      </c>
      <c r="F884">
        <f>IF($A884="","",IFERROR(INDEX('[AQ_2024.xlsx]原始数据'!$B:$B,MATCH($A884,'[AQ_2024.xlsx]原始数据'!$A:$A,0)),""))</f>
        <v/>
      </c>
      <c r="G884">
        <f>IF($A884="","",IFERROR(INDEX('[AQ_2020.xlsx]原始数据'!$C:$C,MATCH($A884,'[AQ_2020.xlsx]原始数据'!$A:$A,0)),""))</f>
        <v/>
      </c>
      <c r="H884">
        <f>IF($A884="","",IFERROR(INDEX('[AQ_2021.xlsx]原始数据'!$C:$C,MATCH($A884,'[AQ_2021.xlsx]原始数据'!$A:$A,0)),""))</f>
        <v/>
      </c>
      <c r="I884">
        <f>IF($A884="","",IFERROR(INDEX('[AQ_2022.xlsx]原始数据'!$C:$C,MATCH($A884,'[AQ_2022.xlsx]原始数据'!$A:$A,0)),""))</f>
        <v/>
      </c>
      <c r="J884">
        <f>IF($A884="","",IFERROR(INDEX('[AQ_2023.xlsx]原始数据'!$C:$C,MATCH($A884,'[AQ_2023.xlsx]原始数据'!$A:$A,0)),""))</f>
        <v/>
      </c>
      <c r="K884">
        <f>IF($A884="","",IFERROR(INDEX('[AQ_2024.xlsx]原始数据'!$C:$C,MATCH($A884,'[AQ_2024.xlsx]原始数据'!$A:$A,0)),""))</f>
        <v/>
      </c>
      <c r="L884">
        <f>IF($A884="","",IFERROR(INDEX('[AQ_2020.xlsx]原始数据'!$D:$D,MATCH($A884,'[AQ_2020.xlsx]原始数据'!$A:$A,0)),""))</f>
        <v/>
      </c>
      <c r="M884">
        <f>IF($A884="","",IFERROR(INDEX('[AQ_2021.xlsx]原始数据'!$D:$D,MATCH($A884,'[AQ_2021.xlsx]原始数据'!$A:$A,0)),""))</f>
        <v/>
      </c>
      <c r="N884">
        <f>IF($A884="","",IFERROR(INDEX('[AQ_2022.xlsx]原始数据'!$D:$D,MATCH($A884,'[AQ_2022.xlsx]原始数据'!$A:$A,0)),""))</f>
        <v/>
      </c>
      <c r="O884">
        <f>IF($A884="","",IFERROR(INDEX('[AQ_2023.xlsx]原始数据'!$D:$D,MATCH($A884,'[AQ_2023.xlsx]原始数据'!$A:$A,0)),""))</f>
        <v/>
      </c>
      <c r="P884">
        <f>IF($A884="","",IFERROR(INDEX('[AQ_2024.xlsx]原始数据'!$D:$D,MATCH($A884,'[AQ_2024.xlsx]原始数据'!$A:$A,0)),""))</f>
        <v/>
      </c>
      <c r="Q884">
        <f>IF($A884="","",IFERROR(INDEX('[AQ_2020.xlsx]原始数据'!$E:$E,MATCH($A884,'[AQ_2020.xlsx]原始数据'!$A:$A,0)),""))</f>
        <v/>
      </c>
      <c r="R884">
        <f>IF($A884="","",IFERROR(INDEX('[AQ_2021.xlsx]原始数据'!$E:$E,MATCH($A884,'[AQ_2021.xlsx]原始数据'!$A:$A,0)),""))</f>
        <v/>
      </c>
      <c r="S884">
        <f>IF($A884="","",IFERROR(INDEX('[AQ_2022.xlsx]原始数据'!$E:$E,MATCH($A884,'[AQ_2022.xlsx]原始数据'!$A:$A,0)),""))</f>
        <v/>
      </c>
      <c r="T884">
        <f>IF($A884="","",IFERROR(INDEX('[AQ_2023.xlsx]原始数据'!$E:$E,MATCH($A884,'[AQ_2023.xlsx]原始数据'!$A:$A,0)),""))</f>
        <v/>
      </c>
      <c r="U884">
        <f>IF($A884="","",IFERROR(INDEX('[AQ_2024.xlsx]原始数据'!$E:$E,MATCH($A884,'[AQ_2024.xlsx]原始数据'!$A:$A,0)),""))</f>
        <v/>
      </c>
      <c r="V884">
        <f>IF($A884="","",IFERROR(INDEX('[AQ_2020.xlsx]原始数据'!$F:$F,MATCH($A884,'[AQ_2020.xlsx]原始数据'!$A:$A,0)),""))</f>
        <v/>
      </c>
      <c r="W884">
        <f>IF($A884="","",IFERROR(INDEX('[AQ_2021.xlsx]原始数据'!$F:$F,MATCH($A884,'[AQ_2021.xlsx]原始数据'!$A:$A,0)),""))</f>
        <v/>
      </c>
      <c r="X884">
        <f>IF($A884="","",IFERROR(INDEX('[AQ_2022.xlsx]原始数据'!$F:$F,MATCH($A884,'[AQ_2022.xlsx]原始数据'!$A:$A,0)),""))</f>
        <v/>
      </c>
      <c r="Y884">
        <f>IF($A884="","",IFERROR(INDEX('[AQ_2023.xlsx]原始数据'!$F:$F,MATCH($A884,'[AQ_2023.xlsx]原始数据'!$A:$A,0)),""))</f>
        <v/>
      </c>
      <c r="Z884">
        <f>IF($A884="","",IFERROR(INDEX('[AQ_2024.xlsx]原始数据'!$F:$F,MATCH($A884,'[AQ_2024.xlsx]原始数据'!$A:$A,0)),""))</f>
        <v/>
      </c>
      <c r="AA884" s="2">
        <f>IFERROR(G884/B884,"")</f>
        <v/>
      </c>
      <c r="AB884" s="2">
        <f>IFERROR(H884/C884,"")</f>
        <v/>
      </c>
      <c r="AC884" s="2">
        <f>IFERROR(I884/D884,"")</f>
        <v/>
      </c>
      <c r="AD884" s="2">
        <f>IFERROR(J884/E884,"")</f>
        <v/>
      </c>
      <c r="AE884" s="2">
        <f>IFERROR(K884/F884,"")</f>
        <v/>
      </c>
      <c r="AF884" s="2">
        <f>IFERROR(L884/B884,"")</f>
        <v/>
      </c>
      <c r="AG884" s="2">
        <f>IFERROR(M884/C884,"")</f>
        <v/>
      </c>
      <c r="AH884" s="2">
        <f>IFERROR(N884/D884,"")</f>
        <v/>
      </c>
      <c r="AI884" s="2">
        <f>IFERROR(O884/E884,"")</f>
        <v/>
      </c>
      <c r="AJ884" s="2">
        <f>IFERROR(P884/F884,"")</f>
        <v/>
      </c>
      <c r="AK884" s="2">
        <f>IFERROR(Q884/B884,"")</f>
        <v/>
      </c>
      <c r="AL884" s="2">
        <f>IFERROR(R884/C884,"")</f>
        <v/>
      </c>
      <c r="AM884" s="2">
        <f>IFERROR(S884/D884,"")</f>
        <v/>
      </c>
      <c r="AN884" s="2">
        <f>IFERROR(T884/E884,"")</f>
        <v/>
      </c>
      <c r="AO884" s="2">
        <f>IFERROR(U884/F884,"")</f>
        <v/>
      </c>
    </row>
    <row r="885">
      <c r="B885">
        <f>IF($A885="","",IFERROR(INDEX('[AQ_2020.xlsx]原始数据'!$B:$B,MATCH($A885,'[AQ_2020.xlsx]原始数据'!$A:$A,0)),""))</f>
        <v/>
      </c>
      <c r="C885">
        <f>IF($A885="","",IFERROR(INDEX('[AQ_2021.xlsx]原始数据'!$B:$B,MATCH($A885,'[AQ_2021.xlsx]原始数据'!$A:$A,0)),""))</f>
        <v/>
      </c>
      <c r="D885">
        <f>IF($A885="","",IFERROR(INDEX('[AQ_2022.xlsx]原始数据'!$B:$B,MATCH($A885,'[AQ_2022.xlsx]原始数据'!$A:$A,0)),""))</f>
        <v/>
      </c>
      <c r="E885">
        <f>IF($A885="","",IFERROR(INDEX('[AQ_2023.xlsx]原始数据'!$B:$B,MATCH($A885,'[AQ_2023.xlsx]原始数据'!$A:$A,0)),""))</f>
        <v/>
      </c>
      <c r="F885">
        <f>IF($A885="","",IFERROR(INDEX('[AQ_2024.xlsx]原始数据'!$B:$B,MATCH($A885,'[AQ_2024.xlsx]原始数据'!$A:$A,0)),""))</f>
        <v/>
      </c>
      <c r="G885">
        <f>IF($A885="","",IFERROR(INDEX('[AQ_2020.xlsx]原始数据'!$C:$C,MATCH($A885,'[AQ_2020.xlsx]原始数据'!$A:$A,0)),""))</f>
        <v/>
      </c>
      <c r="H885">
        <f>IF($A885="","",IFERROR(INDEX('[AQ_2021.xlsx]原始数据'!$C:$C,MATCH($A885,'[AQ_2021.xlsx]原始数据'!$A:$A,0)),""))</f>
        <v/>
      </c>
      <c r="I885">
        <f>IF($A885="","",IFERROR(INDEX('[AQ_2022.xlsx]原始数据'!$C:$C,MATCH($A885,'[AQ_2022.xlsx]原始数据'!$A:$A,0)),""))</f>
        <v/>
      </c>
      <c r="J885">
        <f>IF($A885="","",IFERROR(INDEX('[AQ_2023.xlsx]原始数据'!$C:$C,MATCH($A885,'[AQ_2023.xlsx]原始数据'!$A:$A,0)),""))</f>
        <v/>
      </c>
      <c r="K885">
        <f>IF($A885="","",IFERROR(INDEX('[AQ_2024.xlsx]原始数据'!$C:$C,MATCH($A885,'[AQ_2024.xlsx]原始数据'!$A:$A,0)),""))</f>
        <v/>
      </c>
      <c r="L885">
        <f>IF($A885="","",IFERROR(INDEX('[AQ_2020.xlsx]原始数据'!$D:$D,MATCH($A885,'[AQ_2020.xlsx]原始数据'!$A:$A,0)),""))</f>
        <v/>
      </c>
      <c r="M885">
        <f>IF($A885="","",IFERROR(INDEX('[AQ_2021.xlsx]原始数据'!$D:$D,MATCH($A885,'[AQ_2021.xlsx]原始数据'!$A:$A,0)),""))</f>
        <v/>
      </c>
      <c r="N885">
        <f>IF($A885="","",IFERROR(INDEX('[AQ_2022.xlsx]原始数据'!$D:$D,MATCH($A885,'[AQ_2022.xlsx]原始数据'!$A:$A,0)),""))</f>
        <v/>
      </c>
      <c r="O885">
        <f>IF($A885="","",IFERROR(INDEX('[AQ_2023.xlsx]原始数据'!$D:$D,MATCH($A885,'[AQ_2023.xlsx]原始数据'!$A:$A,0)),""))</f>
        <v/>
      </c>
      <c r="P885">
        <f>IF($A885="","",IFERROR(INDEX('[AQ_2024.xlsx]原始数据'!$D:$D,MATCH($A885,'[AQ_2024.xlsx]原始数据'!$A:$A,0)),""))</f>
        <v/>
      </c>
      <c r="Q885">
        <f>IF($A885="","",IFERROR(INDEX('[AQ_2020.xlsx]原始数据'!$E:$E,MATCH($A885,'[AQ_2020.xlsx]原始数据'!$A:$A,0)),""))</f>
        <v/>
      </c>
      <c r="R885">
        <f>IF($A885="","",IFERROR(INDEX('[AQ_2021.xlsx]原始数据'!$E:$E,MATCH($A885,'[AQ_2021.xlsx]原始数据'!$A:$A,0)),""))</f>
        <v/>
      </c>
      <c r="S885">
        <f>IF($A885="","",IFERROR(INDEX('[AQ_2022.xlsx]原始数据'!$E:$E,MATCH($A885,'[AQ_2022.xlsx]原始数据'!$A:$A,0)),""))</f>
        <v/>
      </c>
      <c r="T885">
        <f>IF($A885="","",IFERROR(INDEX('[AQ_2023.xlsx]原始数据'!$E:$E,MATCH($A885,'[AQ_2023.xlsx]原始数据'!$A:$A,0)),""))</f>
        <v/>
      </c>
      <c r="U885">
        <f>IF($A885="","",IFERROR(INDEX('[AQ_2024.xlsx]原始数据'!$E:$E,MATCH($A885,'[AQ_2024.xlsx]原始数据'!$A:$A,0)),""))</f>
        <v/>
      </c>
      <c r="V885">
        <f>IF($A885="","",IFERROR(INDEX('[AQ_2020.xlsx]原始数据'!$F:$F,MATCH($A885,'[AQ_2020.xlsx]原始数据'!$A:$A,0)),""))</f>
        <v/>
      </c>
      <c r="W885">
        <f>IF($A885="","",IFERROR(INDEX('[AQ_2021.xlsx]原始数据'!$F:$F,MATCH($A885,'[AQ_2021.xlsx]原始数据'!$A:$A,0)),""))</f>
        <v/>
      </c>
      <c r="X885">
        <f>IF($A885="","",IFERROR(INDEX('[AQ_2022.xlsx]原始数据'!$F:$F,MATCH($A885,'[AQ_2022.xlsx]原始数据'!$A:$A,0)),""))</f>
        <v/>
      </c>
      <c r="Y885">
        <f>IF($A885="","",IFERROR(INDEX('[AQ_2023.xlsx]原始数据'!$F:$F,MATCH($A885,'[AQ_2023.xlsx]原始数据'!$A:$A,0)),""))</f>
        <v/>
      </c>
      <c r="Z885">
        <f>IF($A885="","",IFERROR(INDEX('[AQ_2024.xlsx]原始数据'!$F:$F,MATCH($A885,'[AQ_2024.xlsx]原始数据'!$A:$A,0)),""))</f>
        <v/>
      </c>
      <c r="AA885" s="2">
        <f>IFERROR(G885/B885,"")</f>
        <v/>
      </c>
      <c r="AB885" s="2">
        <f>IFERROR(H885/C885,"")</f>
        <v/>
      </c>
      <c r="AC885" s="2">
        <f>IFERROR(I885/D885,"")</f>
        <v/>
      </c>
      <c r="AD885" s="2">
        <f>IFERROR(J885/E885,"")</f>
        <v/>
      </c>
      <c r="AE885" s="2">
        <f>IFERROR(K885/F885,"")</f>
        <v/>
      </c>
      <c r="AF885" s="2">
        <f>IFERROR(L885/B885,"")</f>
        <v/>
      </c>
      <c r="AG885" s="2">
        <f>IFERROR(M885/C885,"")</f>
        <v/>
      </c>
      <c r="AH885" s="2">
        <f>IFERROR(N885/D885,"")</f>
        <v/>
      </c>
      <c r="AI885" s="2">
        <f>IFERROR(O885/E885,"")</f>
        <v/>
      </c>
      <c r="AJ885" s="2">
        <f>IFERROR(P885/F885,"")</f>
        <v/>
      </c>
      <c r="AK885" s="2">
        <f>IFERROR(Q885/B885,"")</f>
        <v/>
      </c>
      <c r="AL885" s="2">
        <f>IFERROR(R885/C885,"")</f>
        <v/>
      </c>
      <c r="AM885" s="2">
        <f>IFERROR(S885/D885,"")</f>
        <v/>
      </c>
      <c r="AN885" s="2">
        <f>IFERROR(T885/E885,"")</f>
        <v/>
      </c>
      <c r="AO885" s="2">
        <f>IFERROR(U885/F885,"")</f>
        <v/>
      </c>
    </row>
    <row r="886">
      <c r="B886">
        <f>IF($A886="","",IFERROR(INDEX('[AQ_2020.xlsx]原始数据'!$B:$B,MATCH($A886,'[AQ_2020.xlsx]原始数据'!$A:$A,0)),""))</f>
        <v/>
      </c>
      <c r="C886">
        <f>IF($A886="","",IFERROR(INDEX('[AQ_2021.xlsx]原始数据'!$B:$B,MATCH($A886,'[AQ_2021.xlsx]原始数据'!$A:$A,0)),""))</f>
        <v/>
      </c>
      <c r="D886">
        <f>IF($A886="","",IFERROR(INDEX('[AQ_2022.xlsx]原始数据'!$B:$B,MATCH($A886,'[AQ_2022.xlsx]原始数据'!$A:$A,0)),""))</f>
        <v/>
      </c>
      <c r="E886">
        <f>IF($A886="","",IFERROR(INDEX('[AQ_2023.xlsx]原始数据'!$B:$B,MATCH($A886,'[AQ_2023.xlsx]原始数据'!$A:$A,0)),""))</f>
        <v/>
      </c>
      <c r="F886">
        <f>IF($A886="","",IFERROR(INDEX('[AQ_2024.xlsx]原始数据'!$B:$B,MATCH($A886,'[AQ_2024.xlsx]原始数据'!$A:$A,0)),""))</f>
        <v/>
      </c>
      <c r="G886">
        <f>IF($A886="","",IFERROR(INDEX('[AQ_2020.xlsx]原始数据'!$C:$C,MATCH($A886,'[AQ_2020.xlsx]原始数据'!$A:$A,0)),""))</f>
        <v/>
      </c>
      <c r="H886">
        <f>IF($A886="","",IFERROR(INDEX('[AQ_2021.xlsx]原始数据'!$C:$C,MATCH($A886,'[AQ_2021.xlsx]原始数据'!$A:$A,0)),""))</f>
        <v/>
      </c>
      <c r="I886">
        <f>IF($A886="","",IFERROR(INDEX('[AQ_2022.xlsx]原始数据'!$C:$C,MATCH($A886,'[AQ_2022.xlsx]原始数据'!$A:$A,0)),""))</f>
        <v/>
      </c>
      <c r="J886">
        <f>IF($A886="","",IFERROR(INDEX('[AQ_2023.xlsx]原始数据'!$C:$C,MATCH($A886,'[AQ_2023.xlsx]原始数据'!$A:$A,0)),""))</f>
        <v/>
      </c>
      <c r="K886">
        <f>IF($A886="","",IFERROR(INDEX('[AQ_2024.xlsx]原始数据'!$C:$C,MATCH($A886,'[AQ_2024.xlsx]原始数据'!$A:$A,0)),""))</f>
        <v/>
      </c>
      <c r="L886">
        <f>IF($A886="","",IFERROR(INDEX('[AQ_2020.xlsx]原始数据'!$D:$D,MATCH($A886,'[AQ_2020.xlsx]原始数据'!$A:$A,0)),""))</f>
        <v/>
      </c>
      <c r="M886">
        <f>IF($A886="","",IFERROR(INDEX('[AQ_2021.xlsx]原始数据'!$D:$D,MATCH($A886,'[AQ_2021.xlsx]原始数据'!$A:$A,0)),""))</f>
        <v/>
      </c>
      <c r="N886">
        <f>IF($A886="","",IFERROR(INDEX('[AQ_2022.xlsx]原始数据'!$D:$D,MATCH($A886,'[AQ_2022.xlsx]原始数据'!$A:$A,0)),""))</f>
        <v/>
      </c>
      <c r="O886">
        <f>IF($A886="","",IFERROR(INDEX('[AQ_2023.xlsx]原始数据'!$D:$D,MATCH($A886,'[AQ_2023.xlsx]原始数据'!$A:$A,0)),""))</f>
        <v/>
      </c>
      <c r="P886">
        <f>IF($A886="","",IFERROR(INDEX('[AQ_2024.xlsx]原始数据'!$D:$D,MATCH($A886,'[AQ_2024.xlsx]原始数据'!$A:$A,0)),""))</f>
        <v/>
      </c>
      <c r="Q886">
        <f>IF($A886="","",IFERROR(INDEX('[AQ_2020.xlsx]原始数据'!$E:$E,MATCH($A886,'[AQ_2020.xlsx]原始数据'!$A:$A,0)),""))</f>
        <v/>
      </c>
      <c r="R886">
        <f>IF($A886="","",IFERROR(INDEX('[AQ_2021.xlsx]原始数据'!$E:$E,MATCH($A886,'[AQ_2021.xlsx]原始数据'!$A:$A,0)),""))</f>
        <v/>
      </c>
      <c r="S886">
        <f>IF($A886="","",IFERROR(INDEX('[AQ_2022.xlsx]原始数据'!$E:$E,MATCH($A886,'[AQ_2022.xlsx]原始数据'!$A:$A,0)),""))</f>
        <v/>
      </c>
      <c r="T886">
        <f>IF($A886="","",IFERROR(INDEX('[AQ_2023.xlsx]原始数据'!$E:$E,MATCH($A886,'[AQ_2023.xlsx]原始数据'!$A:$A,0)),""))</f>
        <v/>
      </c>
      <c r="U886">
        <f>IF($A886="","",IFERROR(INDEX('[AQ_2024.xlsx]原始数据'!$E:$E,MATCH($A886,'[AQ_2024.xlsx]原始数据'!$A:$A,0)),""))</f>
        <v/>
      </c>
      <c r="V886">
        <f>IF($A886="","",IFERROR(INDEX('[AQ_2020.xlsx]原始数据'!$F:$F,MATCH($A886,'[AQ_2020.xlsx]原始数据'!$A:$A,0)),""))</f>
        <v/>
      </c>
      <c r="W886">
        <f>IF($A886="","",IFERROR(INDEX('[AQ_2021.xlsx]原始数据'!$F:$F,MATCH($A886,'[AQ_2021.xlsx]原始数据'!$A:$A,0)),""))</f>
        <v/>
      </c>
      <c r="X886">
        <f>IF($A886="","",IFERROR(INDEX('[AQ_2022.xlsx]原始数据'!$F:$F,MATCH($A886,'[AQ_2022.xlsx]原始数据'!$A:$A,0)),""))</f>
        <v/>
      </c>
      <c r="Y886">
        <f>IF($A886="","",IFERROR(INDEX('[AQ_2023.xlsx]原始数据'!$F:$F,MATCH($A886,'[AQ_2023.xlsx]原始数据'!$A:$A,0)),""))</f>
        <v/>
      </c>
      <c r="Z886">
        <f>IF($A886="","",IFERROR(INDEX('[AQ_2024.xlsx]原始数据'!$F:$F,MATCH($A886,'[AQ_2024.xlsx]原始数据'!$A:$A,0)),""))</f>
        <v/>
      </c>
      <c r="AA886" s="2">
        <f>IFERROR(G886/B886,"")</f>
        <v/>
      </c>
      <c r="AB886" s="2">
        <f>IFERROR(H886/C886,"")</f>
        <v/>
      </c>
      <c r="AC886" s="2">
        <f>IFERROR(I886/D886,"")</f>
        <v/>
      </c>
      <c r="AD886" s="2">
        <f>IFERROR(J886/E886,"")</f>
        <v/>
      </c>
      <c r="AE886" s="2">
        <f>IFERROR(K886/F886,"")</f>
        <v/>
      </c>
      <c r="AF886" s="2">
        <f>IFERROR(L886/B886,"")</f>
        <v/>
      </c>
      <c r="AG886" s="2">
        <f>IFERROR(M886/C886,"")</f>
        <v/>
      </c>
      <c r="AH886" s="2">
        <f>IFERROR(N886/D886,"")</f>
        <v/>
      </c>
      <c r="AI886" s="2">
        <f>IFERROR(O886/E886,"")</f>
        <v/>
      </c>
      <c r="AJ886" s="2">
        <f>IFERROR(P886/F886,"")</f>
        <v/>
      </c>
      <c r="AK886" s="2">
        <f>IFERROR(Q886/B886,"")</f>
        <v/>
      </c>
      <c r="AL886" s="2">
        <f>IFERROR(R886/C886,"")</f>
        <v/>
      </c>
      <c r="AM886" s="2">
        <f>IFERROR(S886/D886,"")</f>
        <v/>
      </c>
      <c r="AN886" s="2">
        <f>IFERROR(T886/E886,"")</f>
        <v/>
      </c>
      <c r="AO886" s="2">
        <f>IFERROR(U886/F886,"")</f>
        <v/>
      </c>
    </row>
    <row r="887">
      <c r="B887">
        <f>IF($A887="","",IFERROR(INDEX('[AQ_2020.xlsx]原始数据'!$B:$B,MATCH($A887,'[AQ_2020.xlsx]原始数据'!$A:$A,0)),""))</f>
        <v/>
      </c>
      <c r="C887">
        <f>IF($A887="","",IFERROR(INDEX('[AQ_2021.xlsx]原始数据'!$B:$B,MATCH($A887,'[AQ_2021.xlsx]原始数据'!$A:$A,0)),""))</f>
        <v/>
      </c>
      <c r="D887">
        <f>IF($A887="","",IFERROR(INDEX('[AQ_2022.xlsx]原始数据'!$B:$B,MATCH($A887,'[AQ_2022.xlsx]原始数据'!$A:$A,0)),""))</f>
        <v/>
      </c>
      <c r="E887">
        <f>IF($A887="","",IFERROR(INDEX('[AQ_2023.xlsx]原始数据'!$B:$B,MATCH($A887,'[AQ_2023.xlsx]原始数据'!$A:$A,0)),""))</f>
        <v/>
      </c>
      <c r="F887">
        <f>IF($A887="","",IFERROR(INDEX('[AQ_2024.xlsx]原始数据'!$B:$B,MATCH($A887,'[AQ_2024.xlsx]原始数据'!$A:$A,0)),""))</f>
        <v/>
      </c>
      <c r="G887">
        <f>IF($A887="","",IFERROR(INDEX('[AQ_2020.xlsx]原始数据'!$C:$C,MATCH($A887,'[AQ_2020.xlsx]原始数据'!$A:$A,0)),""))</f>
        <v/>
      </c>
      <c r="H887">
        <f>IF($A887="","",IFERROR(INDEX('[AQ_2021.xlsx]原始数据'!$C:$C,MATCH($A887,'[AQ_2021.xlsx]原始数据'!$A:$A,0)),""))</f>
        <v/>
      </c>
      <c r="I887">
        <f>IF($A887="","",IFERROR(INDEX('[AQ_2022.xlsx]原始数据'!$C:$C,MATCH($A887,'[AQ_2022.xlsx]原始数据'!$A:$A,0)),""))</f>
        <v/>
      </c>
      <c r="J887">
        <f>IF($A887="","",IFERROR(INDEX('[AQ_2023.xlsx]原始数据'!$C:$C,MATCH($A887,'[AQ_2023.xlsx]原始数据'!$A:$A,0)),""))</f>
        <v/>
      </c>
      <c r="K887">
        <f>IF($A887="","",IFERROR(INDEX('[AQ_2024.xlsx]原始数据'!$C:$C,MATCH($A887,'[AQ_2024.xlsx]原始数据'!$A:$A,0)),""))</f>
        <v/>
      </c>
      <c r="L887">
        <f>IF($A887="","",IFERROR(INDEX('[AQ_2020.xlsx]原始数据'!$D:$D,MATCH($A887,'[AQ_2020.xlsx]原始数据'!$A:$A,0)),""))</f>
        <v/>
      </c>
      <c r="M887">
        <f>IF($A887="","",IFERROR(INDEX('[AQ_2021.xlsx]原始数据'!$D:$D,MATCH($A887,'[AQ_2021.xlsx]原始数据'!$A:$A,0)),""))</f>
        <v/>
      </c>
      <c r="N887">
        <f>IF($A887="","",IFERROR(INDEX('[AQ_2022.xlsx]原始数据'!$D:$D,MATCH($A887,'[AQ_2022.xlsx]原始数据'!$A:$A,0)),""))</f>
        <v/>
      </c>
      <c r="O887">
        <f>IF($A887="","",IFERROR(INDEX('[AQ_2023.xlsx]原始数据'!$D:$D,MATCH($A887,'[AQ_2023.xlsx]原始数据'!$A:$A,0)),""))</f>
        <v/>
      </c>
      <c r="P887">
        <f>IF($A887="","",IFERROR(INDEX('[AQ_2024.xlsx]原始数据'!$D:$D,MATCH($A887,'[AQ_2024.xlsx]原始数据'!$A:$A,0)),""))</f>
        <v/>
      </c>
      <c r="Q887">
        <f>IF($A887="","",IFERROR(INDEX('[AQ_2020.xlsx]原始数据'!$E:$E,MATCH($A887,'[AQ_2020.xlsx]原始数据'!$A:$A,0)),""))</f>
        <v/>
      </c>
      <c r="R887">
        <f>IF($A887="","",IFERROR(INDEX('[AQ_2021.xlsx]原始数据'!$E:$E,MATCH($A887,'[AQ_2021.xlsx]原始数据'!$A:$A,0)),""))</f>
        <v/>
      </c>
      <c r="S887">
        <f>IF($A887="","",IFERROR(INDEX('[AQ_2022.xlsx]原始数据'!$E:$E,MATCH($A887,'[AQ_2022.xlsx]原始数据'!$A:$A,0)),""))</f>
        <v/>
      </c>
      <c r="T887">
        <f>IF($A887="","",IFERROR(INDEX('[AQ_2023.xlsx]原始数据'!$E:$E,MATCH($A887,'[AQ_2023.xlsx]原始数据'!$A:$A,0)),""))</f>
        <v/>
      </c>
      <c r="U887">
        <f>IF($A887="","",IFERROR(INDEX('[AQ_2024.xlsx]原始数据'!$E:$E,MATCH($A887,'[AQ_2024.xlsx]原始数据'!$A:$A,0)),""))</f>
        <v/>
      </c>
      <c r="V887">
        <f>IF($A887="","",IFERROR(INDEX('[AQ_2020.xlsx]原始数据'!$F:$F,MATCH($A887,'[AQ_2020.xlsx]原始数据'!$A:$A,0)),""))</f>
        <v/>
      </c>
      <c r="W887">
        <f>IF($A887="","",IFERROR(INDEX('[AQ_2021.xlsx]原始数据'!$F:$F,MATCH($A887,'[AQ_2021.xlsx]原始数据'!$A:$A,0)),""))</f>
        <v/>
      </c>
      <c r="X887">
        <f>IF($A887="","",IFERROR(INDEX('[AQ_2022.xlsx]原始数据'!$F:$F,MATCH($A887,'[AQ_2022.xlsx]原始数据'!$A:$A,0)),""))</f>
        <v/>
      </c>
      <c r="Y887">
        <f>IF($A887="","",IFERROR(INDEX('[AQ_2023.xlsx]原始数据'!$F:$F,MATCH($A887,'[AQ_2023.xlsx]原始数据'!$A:$A,0)),""))</f>
        <v/>
      </c>
      <c r="Z887">
        <f>IF($A887="","",IFERROR(INDEX('[AQ_2024.xlsx]原始数据'!$F:$F,MATCH($A887,'[AQ_2024.xlsx]原始数据'!$A:$A,0)),""))</f>
        <v/>
      </c>
      <c r="AA887" s="2">
        <f>IFERROR(G887/B887,"")</f>
        <v/>
      </c>
      <c r="AB887" s="2">
        <f>IFERROR(H887/C887,"")</f>
        <v/>
      </c>
      <c r="AC887" s="2">
        <f>IFERROR(I887/D887,"")</f>
        <v/>
      </c>
      <c r="AD887" s="2">
        <f>IFERROR(J887/E887,"")</f>
        <v/>
      </c>
      <c r="AE887" s="2">
        <f>IFERROR(K887/F887,"")</f>
        <v/>
      </c>
      <c r="AF887" s="2">
        <f>IFERROR(L887/B887,"")</f>
        <v/>
      </c>
      <c r="AG887" s="2">
        <f>IFERROR(M887/C887,"")</f>
        <v/>
      </c>
      <c r="AH887" s="2">
        <f>IFERROR(N887/D887,"")</f>
        <v/>
      </c>
      <c r="AI887" s="2">
        <f>IFERROR(O887/E887,"")</f>
        <v/>
      </c>
      <c r="AJ887" s="2">
        <f>IFERROR(P887/F887,"")</f>
        <v/>
      </c>
      <c r="AK887" s="2">
        <f>IFERROR(Q887/B887,"")</f>
        <v/>
      </c>
      <c r="AL887" s="2">
        <f>IFERROR(R887/C887,"")</f>
        <v/>
      </c>
      <c r="AM887" s="2">
        <f>IFERROR(S887/D887,"")</f>
        <v/>
      </c>
      <c r="AN887" s="2">
        <f>IFERROR(T887/E887,"")</f>
        <v/>
      </c>
      <c r="AO887" s="2">
        <f>IFERROR(U887/F887,"")</f>
        <v/>
      </c>
    </row>
    <row r="888">
      <c r="B888">
        <f>IF($A888="","",IFERROR(INDEX('[AQ_2020.xlsx]原始数据'!$B:$B,MATCH($A888,'[AQ_2020.xlsx]原始数据'!$A:$A,0)),""))</f>
        <v/>
      </c>
      <c r="C888">
        <f>IF($A888="","",IFERROR(INDEX('[AQ_2021.xlsx]原始数据'!$B:$B,MATCH($A888,'[AQ_2021.xlsx]原始数据'!$A:$A,0)),""))</f>
        <v/>
      </c>
      <c r="D888">
        <f>IF($A888="","",IFERROR(INDEX('[AQ_2022.xlsx]原始数据'!$B:$B,MATCH($A888,'[AQ_2022.xlsx]原始数据'!$A:$A,0)),""))</f>
        <v/>
      </c>
      <c r="E888">
        <f>IF($A888="","",IFERROR(INDEX('[AQ_2023.xlsx]原始数据'!$B:$B,MATCH($A888,'[AQ_2023.xlsx]原始数据'!$A:$A,0)),""))</f>
        <v/>
      </c>
      <c r="F888">
        <f>IF($A888="","",IFERROR(INDEX('[AQ_2024.xlsx]原始数据'!$B:$B,MATCH($A888,'[AQ_2024.xlsx]原始数据'!$A:$A,0)),""))</f>
        <v/>
      </c>
      <c r="G888">
        <f>IF($A888="","",IFERROR(INDEX('[AQ_2020.xlsx]原始数据'!$C:$C,MATCH($A888,'[AQ_2020.xlsx]原始数据'!$A:$A,0)),""))</f>
        <v/>
      </c>
      <c r="H888">
        <f>IF($A888="","",IFERROR(INDEX('[AQ_2021.xlsx]原始数据'!$C:$C,MATCH($A888,'[AQ_2021.xlsx]原始数据'!$A:$A,0)),""))</f>
        <v/>
      </c>
      <c r="I888">
        <f>IF($A888="","",IFERROR(INDEX('[AQ_2022.xlsx]原始数据'!$C:$C,MATCH($A888,'[AQ_2022.xlsx]原始数据'!$A:$A,0)),""))</f>
        <v/>
      </c>
      <c r="J888">
        <f>IF($A888="","",IFERROR(INDEX('[AQ_2023.xlsx]原始数据'!$C:$C,MATCH($A888,'[AQ_2023.xlsx]原始数据'!$A:$A,0)),""))</f>
        <v/>
      </c>
      <c r="K888">
        <f>IF($A888="","",IFERROR(INDEX('[AQ_2024.xlsx]原始数据'!$C:$C,MATCH($A888,'[AQ_2024.xlsx]原始数据'!$A:$A,0)),""))</f>
        <v/>
      </c>
      <c r="L888">
        <f>IF($A888="","",IFERROR(INDEX('[AQ_2020.xlsx]原始数据'!$D:$D,MATCH($A888,'[AQ_2020.xlsx]原始数据'!$A:$A,0)),""))</f>
        <v/>
      </c>
      <c r="M888">
        <f>IF($A888="","",IFERROR(INDEX('[AQ_2021.xlsx]原始数据'!$D:$D,MATCH($A888,'[AQ_2021.xlsx]原始数据'!$A:$A,0)),""))</f>
        <v/>
      </c>
      <c r="N888">
        <f>IF($A888="","",IFERROR(INDEX('[AQ_2022.xlsx]原始数据'!$D:$D,MATCH($A888,'[AQ_2022.xlsx]原始数据'!$A:$A,0)),""))</f>
        <v/>
      </c>
      <c r="O888">
        <f>IF($A888="","",IFERROR(INDEX('[AQ_2023.xlsx]原始数据'!$D:$D,MATCH($A888,'[AQ_2023.xlsx]原始数据'!$A:$A,0)),""))</f>
        <v/>
      </c>
      <c r="P888">
        <f>IF($A888="","",IFERROR(INDEX('[AQ_2024.xlsx]原始数据'!$D:$D,MATCH($A888,'[AQ_2024.xlsx]原始数据'!$A:$A,0)),""))</f>
        <v/>
      </c>
      <c r="Q888">
        <f>IF($A888="","",IFERROR(INDEX('[AQ_2020.xlsx]原始数据'!$E:$E,MATCH($A888,'[AQ_2020.xlsx]原始数据'!$A:$A,0)),""))</f>
        <v/>
      </c>
      <c r="R888">
        <f>IF($A888="","",IFERROR(INDEX('[AQ_2021.xlsx]原始数据'!$E:$E,MATCH($A888,'[AQ_2021.xlsx]原始数据'!$A:$A,0)),""))</f>
        <v/>
      </c>
      <c r="S888">
        <f>IF($A888="","",IFERROR(INDEX('[AQ_2022.xlsx]原始数据'!$E:$E,MATCH($A888,'[AQ_2022.xlsx]原始数据'!$A:$A,0)),""))</f>
        <v/>
      </c>
      <c r="T888">
        <f>IF($A888="","",IFERROR(INDEX('[AQ_2023.xlsx]原始数据'!$E:$E,MATCH($A888,'[AQ_2023.xlsx]原始数据'!$A:$A,0)),""))</f>
        <v/>
      </c>
      <c r="U888">
        <f>IF($A888="","",IFERROR(INDEX('[AQ_2024.xlsx]原始数据'!$E:$E,MATCH($A888,'[AQ_2024.xlsx]原始数据'!$A:$A,0)),""))</f>
        <v/>
      </c>
      <c r="V888">
        <f>IF($A888="","",IFERROR(INDEX('[AQ_2020.xlsx]原始数据'!$F:$F,MATCH($A888,'[AQ_2020.xlsx]原始数据'!$A:$A,0)),""))</f>
        <v/>
      </c>
      <c r="W888">
        <f>IF($A888="","",IFERROR(INDEX('[AQ_2021.xlsx]原始数据'!$F:$F,MATCH($A888,'[AQ_2021.xlsx]原始数据'!$A:$A,0)),""))</f>
        <v/>
      </c>
      <c r="X888">
        <f>IF($A888="","",IFERROR(INDEX('[AQ_2022.xlsx]原始数据'!$F:$F,MATCH($A888,'[AQ_2022.xlsx]原始数据'!$A:$A,0)),""))</f>
        <v/>
      </c>
      <c r="Y888">
        <f>IF($A888="","",IFERROR(INDEX('[AQ_2023.xlsx]原始数据'!$F:$F,MATCH($A888,'[AQ_2023.xlsx]原始数据'!$A:$A,0)),""))</f>
        <v/>
      </c>
      <c r="Z888">
        <f>IF($A888="","",IFERROR(INDEX('[AQ_2024.xlsx]原始数据'!$F:$F,MATCH($A888,'[AQ_2024.xlsx]原始数据'!$A:$A,0)),""))</f>
        <v/>
      </c>
      <c r="AA888" s="2">
        <f>IFERROR(G888/B888,"")</f>
        <v/>
      </c>
      <c r="AB888" s="2">
        <f>IFERROR(H888/C888,"")</f>
        <v/>
      </c>
      <c r="AC888" s="2">
        <f>IFERROR(I888/D888,"")</f>
        <v/>
      </c>
      <c r="AD888" s="2">
        <f>IFERROR(J888/E888,"")</f>
        <v/>
      </c>
      <c r="AE888" s="2">
        <f>IFERROR(K888/F888,"")</f>
        <v/>
      </c>
      <c r="AF888" s="2">
        <f>IFERROR(L888/B888,"")</f>
        <v/>
      </c>
      <c r="AG888" s="2">
        <f>IFERROR(M888/C888,"")</f>
        <v/>
      </c>
      <c r="AH888" s="2">
        <f>IFERROR(N888/D888,"")</f>
        <v/>
      </c>
      <c r="AI888" s="2">
        <f>IFERROR(O888/E888,"")</f>
        <v/>
      </c>
      <c r="AJ888" s="2">
        <f>IFERROR(P888/F888,"")</f>
        <v/>
      </c>
      <c r="AK888" s="2">
        <f>IFERROR(Q888/B888,"")</f>
        <v/>
      </c>
      <c r="AL888" s="2">
        <f>IFERROR(R888/C888,"")</f>
        <v/>
      </c>
      <c r="AM888" s="2">
        <f>IFERROR(S888/D888,"")</f>
        <v/>
      </c>
      <c r="AN888" s="2">
        <f>IFERROR(T888/E888,"")</f>
        <v/>
      </c>
      <c r="AO888" s="2">
        <f>IFERROR(U888/F888,"")</f>
        <v/>
      </c>
    </row>
    <row r="889">
      <c r="B889">
        <f>IF($A889="","",IFERROR(INDEX('[AQ_2020.xlsx]原始数据'!$B:$B,MATCH($A889,'[AQ_2020.xlsx]原始数据'!$A:$A,0)),""))</f>
        <v/>
      </c>
      <c r="C889">
        <f>IF($A889="","",IFERROR(INDEX('[AQ_2021.xlsx]原始数据'!$B:$B,MATCH($A889,'[AQ_2021.xlsx]原始数据'!$A:$A,0)),""))</f>
        <v/>
      </c>
      <c r="D889">
        <f>IF($A889="","",IFERROR(INDEX('[AQ_2022.xlsx]原始数据'!$B:$B,MATCH($A889,'[AQ_2022.xlsx]原始数据'!$A:$A,0)),""))</f>
        <v/>
      </c>
      <c r="E889">
        <f>IF($A889="","",IFERROR(INDEX('[AQ_2023.xlsx]原始数据'!$B:$B,MATCH($A889,'[AQ_2023.xlsx]原始数据'!$A:$A,0)),""))</f>
        <v/>
      </c>
      <c r="F889">
        <f>IF($A889="","",IFERROR(INDEX('[AQ_2024.xlsx]原始数据'!$B:$B,MATCH($A889,'[AQ_2024.xlsx]原始数据'!$A:$A,0)),""))</f>
        <v/>
      </c>
      <c r="G889">
        <f>IF($A889="","",IFERROR(INDEX('[AQ_2020.xlsx]原始数据'!$C:$C,MATCH($A889,'[AQ_2020.xlsx]原始数据'!$A:$A,0)),""))</f>
        <v/>
      </c>
      <c r="H889">
        <f>IF($A889="","",IFERROR(INDEX('[AQ_2021.xlsx]原始数据'!$C:$C,MATCH($A889,'[AQ_2021.xlsx]原始数据'!$A:$A,0)),""))</f>
        <v/>
      </c>
      <c r="I889">
        <f>IF($A889="","",IFERROR(INDEX('[AQ_2022.xlsx]原始数据'!$C:$C,MATCH($A889,'[AQ_2022.xlsx]原始数据'!$A:$A,0)),""))</f>
        <v/>
      </c>
      <c r="J889">
        <f>IF($A889="","",IFERROR(INDEX('[AQ_2023.xlsx]原始数据'!$C:$C,MATCH($A889,'[AQ_2023.xlsx]原始数据'!$A:$A,0)),""))</f>
        <v/>
      </c>
      <c r="K889">
        <f>IF($A889="","",IFERROR(INDEX('[AQ_2024.xlsx]原始数据'!$C:$C,MATCH($A889,'[AQ_2024.xlsx]原始数据'!$A:$A,0)),""))</f>
        <v/>
      </c>
      <c r="L889">
        <f>IF($A889="","",IFERROR(INDEX('[AQ_2020.xlsx]原始数据'!$D:$D,MATCH($A889,'[AQ_2020.xlsx]原始数据'!$A:$A,0)),""))</f>
        <v/>
      </c>
      <c r="M889">
        <f>IF($A889="","",IFERROR(INDEX('[AQ_2021.xlsx]原始数据'!$D:$D,MATCH($A889,'[AQ_2021.xlsx]原始数据'!$A:$A,0)),""))</f>
        <v/>
      </c>
      <c r="N889">
        <f>IF($A889="","",IFERROR(INDEX('[AQ_2022.xlsx]原始数据'!$D:$D,MATCH($A889,'[AQ_2022.xlsx]原始数据'!$A:$A,0)),""))</f>
        <v/>
      </c>
      <c r="O889">
        <f>IF($A889="","",IFERROR(INDEX('[AQ_2023.xlsx]原始数据'!$D:$D,MATCH($A889,'[AQ_2023.xlsx]原始数据'!$A:$A,0)),""))</f>
        <v/>
      </c>
      <c r="P889">
        <f>IF($A889="","",IFERROR(INDEX('[AQ_2024.xlsx]原始数据'!$D:$D,MATCH($A889,'[AQ_2024.xlsx]原始数据'!$A:$A,0)),""))</f>
        <v/>
      </c>
      <c r="Q889">
        <f>IF($A889="","",IFERROR(INDEX('[AQ_2020.xlsx]原始数据'!$E:$E,MATCH($A889,'[AQ_2020.xlsx]原始数据'!$A:$A,0)),""))</f>
        <v/>
      </c>
      <c r="R889">
        <f>IF($A889="","",IFERROR(INDEX('[AQ_2021.xlsx]原始数据'!$E:$E,MATCH($A889,'[AQ_2021.xlsx]原始数据'!$A:$A,0)),""))</f>
        <v/>
      </c>
      <c r="S889">
        <f>IF($A889="","",IFERROR(INDEX('[AQ_2022.xlsx]原始数据'!$E:$E,MATCH($A889,'[AQ_2022.xlsx]原始数据'!$A:$A,0)),""))</f>
        <v/>
      </c>
      <c r="T889">
        <f>IF($A889="","",IFERROR(INDEX('[AQ_2023.xlsx]原始数据'!$E:$E,MATCH($A889,'[AQ_2023.xlsx]原始数据'!$A:$A,0)),""))</f>
        <v/>
      </c>
      <c r="U889">
        <f>IF($A889="","",IFERROR(INDEX('[AQ_2024.xlsx]原始数据'!$E:$E,MATCH($A889,'[AQ_2024.xlsx]原始数据'!$A:$A,0)),""))</f>
        <v/>
      </c>
      <c r="V889">
        <f>IF($A889="","",IFERROR(INDEX('[AQ_2020.xlsx]原始数据'!$F:$F,MATCH($A889,'[AQ_2020.xlsx]原始数据'!$A:$A,0)),""))</f>
        <v/>
      </c>
      <c r="W889">
        <f>IF($A889="","",IFERROR(INDEX('[AQ_2021.xlsx]原始数据'!$F:$F,MATCH($A889,'[AQ_2021.xlsx]原始数据'!$A:$A,0)),""))</f>
        <v/>
      </c>
      <c r="X889">
        <f>IF($A889="","",IFERROR(INDEX('[AQ_2022.xlsx]原始数据'!$F:$F,MATCH($A889,'[AQ_2022.xlsx]原始数据'!$A:$A,0)),""))</f>
        <v/>
      </c>
      <c r="Y889">
        <f>IF($A889="","",IFERROR(INDEX('[AQ_2023.xlsx]原始数据'!$F:$F,MATCH($A889,'[AQ_2023.xlsx]原始数据'!$A:$A,0)),""))</f>
        <v/>
      </c>
      <c r="Z889">
        <f>IF($A889="","",IFERROR(INDEX('[AQ_2024.xlsx]原始数据'!$F:$F,MATCH($A889,'[AQ_2024.xlsx]原始数据'!$A:$A,0)),""))</f>
        <v/>
      </c>
      <c r="AA889" s="2">
        <f>IFERROR(G889/B889,"")</f>
        <v/>
      </c>
      <c r="AB889" s="2">
        <f>IFERROR(H889/C889,"")</f>
        <v/>
      </c>
      <c r="AC889" s="2">
        <f>IFERROR(I889/D889,"")</f>
        <v/>
      </c>
      <c r="AD889" s="2">
        <f>IFERROR(J889/E889,"")</f>
        <v/>
      </c>
      <c r="AE889" s="2">
        <f>IFERROR(K889/F889,"")</f>
        <v/>
      </c>
      <c r="AF889" s="2">
        <f>IFERROR(L889/B889,"")</f>
        <v/>
      </c>
      <c r="AG889" s="2">
        <f>IFERROR(M889/C889,"")</f>
        <v/>
      </c>
      <c r="AH889" s="2">
        <f>IFERROR(N889/D889,"")</f>
        <v/>
      </c>
      <c r="AI889" s="2">
        <f>IFERROR(O889/E889,"")</f>
        <v/>
      </c>
      <c r="AJ889" s="2">
        <f>IFERROR(P889/F889,"")</f>
        <v/>
      </c>
      <c r="AK889" s="2">
        <f>IFERROR(Q889/B889,"")</f>
        <v/>
      </c>
      <c r="AL889" s="2">
        <f>IFERROR(R889/C889,"")</f>
        <v/>
      </c>
      <c r="AM889" s="2">
        <f>IFERROR(S889/D889,"")</f>
        <v/>
      </c>
      <c r="AN889" s="2">
        <f>IFERROR(T889/E889,"")</f>
        <v/>
      </c>
      <c r="AO889" s="2">
        <f>IFERROR(U889/F889,"")</f>
        <v/>
      </c>
    </row>
    <row r="890">
      <c r="B890">
        <f>IF($A890="","",IFERROR(INDEX('[AQ_2020.xlsx]原始数据'!$B:$B,MATCH($A890,'[AQ_2020.xlsx]原始数据'!$A:$A,0)),""))</f>
        <v/>
      </c>
      <c r="C890">
        <f>IF($A890="","",IFERROR(INDEX('[AQ_2021.xlsx]原始数据'!$B:$B,MATCH($A890,'[AQ_2021.xlsx]原始数据'!$A:$A,0)),""))</f>
        <v/>
      </c>
      <c r="D890">
        <f>IF($A890="","",IFERROR(INDEX('[AQ_2022.xlsx]原始数据'!$B:$B,MATCH($A890,'[AQ_2022.xlsx]原始数据'!$A:$A,0)),""))</f>
        <v/>
      </c>
      <c r="E890">
        <f>IF($A890="","",IFERROR(INDEX('[AQ_2023.xlsx]原始数据'!$B:$B,MATCH($A890,'[AQ_2023.xlsx]原始数据'!$A:$A,0)),""))</f>
        <v/>
      </c>
      <c r="F890">
        <f>IF($A890="","",IFERROR(INDEX('[AQ_2024.xlsx]原始数据'!$B:$B,MATCH($A890,'[AQ_2024.xlsx]原始数据'!$A:$A,0)),""))</f>
        <v/>
      </c>
      <c r="G890">
        <f>IF($A890="","",IFERROR(INDEX('[AQ_2020.xlsx]原始数据'!$C:$C,MATCH($A890,'[AQ_2020.xlsx]原始数据'!$A:$A,0)),""))</f>
        <v/>
      </c>
      <c r="H890">
        <f>IF($A890="","",IFERROR(INDEX('[AQ_2021.xlsx]原始数据'!$C:$C,MATCH($A890,'[AQ_2021.xlsx]原始数据'!$A:$A,0)),""))</f>
        <v/>
      </c>
      <c r="I890">
        <f>IF($A890="","",IFERROR(INDEX('[AQ_2022.xlsx]原始数据'!$C:$C,MATCH($A890,'[AQ_2022.xlsx]原始数据'!$A:$A,0)),""))</f>
        <v/>
      </c>
      <c r="J890">
        <f>IF($A890="","",IFERROR(INDEX('[AQ_2023.xlsx]原始数据'!$C:$C,MATCH($A890,'[AQ_2023.xlsx]原始数据'!$A:$A,0)),""))</f>
        <v/>
      </c>
      <c r="K890">
        <f>IF($A890="","",IFERROR(INDEX('[AQ_2024.xlsx]原始数据'!$C:$C,MATCH($A890,'[AQ_2024.xlsx]原始数据'!$A:$A,0)),""))</f>
        <v/>
      </c>
      <c r="L890">
        <f>IF($A890="","",IFERROR(INDEX('[AQ_2020.xlsx]原始数据'!$D:$D,MATCH($A890,'[AQ_2020.xlsx]原始数据'!$A:$A,0)),""))</f>
        <v/>
      </c>
      <c r="M890">
        <f>IF($A890="","",IFERROR(INDEX('[AQ_2021.xlsx]原始数据'!$D:$D,MATCH($A890,'[AQ_2021.xlsx]原始数据'!$A:$A,0)),""))</f>
        <v/>
      </c>
      <c r="N890">
        <f>IF($A890="","",IFERROR(INDEX('[AQ_2022.xlsx]原始数据'!$D:$D,MATCH($A890,'[AQ_2022.xlsx]原始数据'!$A:$A,0)),""))</f>
        <v/>
      </c>
      <c r="O890">
        <f>IF($A890="","",IFERROR(INDEX('[AQ_2023.xlsx]原始数据'!$D:$D,MATCH($A890,'[AQ_2023.xlsx]原始数据'!$A:$A,0)),""))</f>
        <v/>
      </c>
      <c r="P890">
        <f>IF($A890="","",IFERROR(INDEX('[AQ_2024.xlsx]原始数据'!$D:$D,MATCH($A890,'[AQ_2024.xlsx]原始数据'!$A:$A,0)),""))</f>
        <v/>
      </c>
      <c r="Q890">
        <f>IF($A890="","",IFERROR(INDEX('[AQ_2020.xlsx]原始数据'!$E:$E,MATCH($A890,'[AQ_2020.xlsx]原始数据'!$A:$A,0)),""))</f>
        <v/>
      </c>
      <c r="R890">
        <f>IF($A890="","",IFERROR(INDEX('[AQ_2021.xlsx]原始数据'!$E:$E,MATCH($A890,'[AQ_2021.xlsx]原始数据'!$A:$A,0)),""))</f>
        <v/>
      </c>
      <c r="S890">
        <f>IF($A890="","",IFERROR(INDEX('[AQ_2022.xlsx]原始数据'!$E:$E,MATCH($A890,'[AQ_2022.xlsx]原始数据'!$A:$A,0)),""))</f>
        <v/>
      </c>
      <c r="T890">
        <f>IF($A890="","",IFERROR(INDEX('[AQ_2023.xlsx]原始数据'!$E:$E,MATCH($A890,'[AQ_2023.xlsx]原始数据'!$A:$A,0)),""))</f>
        <v/>
      </c>
      <c r="U890">
        <f>IF($A890="","",IFERROR(INDEX('[AQ_2024.xlsx]原始数据'!$E:$E,MATCH($A890,'[AQ_2024.xlsx]原始数据'!$A:$A,0)),""))</f>
        <v/>
      </c>
      <c r="V890">
        <f>IF($A890="","",IFERROR(INDEX('[AQ_2020.xlsx]原始数据'!$F:$F,MATCH($A890,'[AQ_2020.xlsx]原始数据'!$A:$A,0)),""))</f>
        <v/>
      </c>
      <c r="W890">
        <f>IF($A890="","",IFERROR(INDEX('[AQ_2021.xlsx]原始数据'!$F:$F,MATCH($A890,'[AQ_2021.xlsx]原始数据'!$A:$A,0)),""))</f>
        <v/>
      </c>
      <c r="X890">
        <f>IF($A890="","",IFERROR(INDEX('[AQ_2022.xlsx]原始数据'!$F:$F,MATCH($A890,'[AQ_2022.xlsx]原始数据'!$A:$A,0)),""))</f>
        <v/>
      </c>
      <c r="Y890">
        <f>IF($A890="","",IFERROR(INDEX('[AQ_2023.xlsx]原始数据'!$F:$F,MATCH($A890,'[AQ_2023.xlsx]原始数据'!$A:$A,0)),""))</f>
        <v/>
      </c>
      <c r="Z890">
        <f>IF($A890="","",IFERROR(INDEX('[AQ_2024.xlsx]原始数据'!$F:$F,MATCH($A890,'[AQ_2024.xlsx]原始数据'!$A:$A,0)),""))</f>
        <v/>
      </c>
      <c r="AA890" s="2">
        <f>IFERROR(G890/B890,"")</f>
        <v/>
      </c>
      <c r="AB890" s="2">
        <f>IFERROR(H890/C890,"")</f>
        <v/>
      </c>
      <c r="AC890" s="2">
        <f>IFERROR(I890/D890,"")</f>
        <v/>
      </c>
      <c r="AD890" s="2">
        <f>IFERROR(J890/E890,"")</f>
        <v/>
      </c>
      <c r="AE890" s="2">
        <f>IFERROR(K890/F890,"")</f>
        <v/>
      </c>
      <c r="AF890" s="2">
        <f>IFERROR(L890/B890,"")</f>
        <v/>
      </c>
      <c r="AG890" s="2">
        <f>IFERROR(M890/C890,"")</f>
        <v/>
      </c>
      <c r="AH890" s="2">
        <f>IFERROR(N890/D890,"")</f>
        <v/>
      </c>
      <c r="AI890" s="2">
        <f>IFERROR(O890/E890,"")</f>
        <v/>
      </c>
      <c r="AJ890" s="2">
        <f>IFERROR(P890/F890,"")</f>
        <v/>
      </c>
      <c r="AK890" s="2">
        <f>IFERROR(Q890/B890,"")</f>
        <v/>
      </c>
      <c r="AL890" s="2">
        <f>IFERROR(R890/C890,"")</f>
        <v/>
      </c>
      <c r="AM890" s="2">
        <f>IFERROR(S890/D890,"")</f>
        <v/>
      </c>
      <c r="AN890" s="2">
        <f>IFERROR(T890/E890,"")</f>
        <v/>
      </c>
      <c r="AO890" s="2">
        <f>IFERROR(U890/F890,"")</f>
        <v/>
      </c>
    </row>
    <row r="891">
      <c r="B891">
        <f>IF($A891="","",IFERROR(INDEX('[AQ_2020.xlsx]原始数据'!$B:$B,MATCH($A891,'[AQ_2020.xlsx]原始数据'!$A:$A,0)),""))</f>
        <v/>
      </c>
      <c r="C891">
        <f>IF($A891="","",IFERROR(INDEX('[AQ_2021.xlsx]原始数据'!$B:$B,MATCH($A891,'[AQ_2021.xlsx]原始数据'!$A:$A,0)),""))</f>
        <v/>
      </c>
      <c r="D891">
        <f>IF($A891="","",IFERROR(INDEX('[AQ_2022.xlsx]原始数据'!$B:$B,MATCH($A891,'[AQ_2022.xlsx]原始数据'!$A:$A,0)),""))</f>
        <v/>
      </c>
      <c r="E891">
        <f>IF($A891="","",IFERROR(INDEX('[AQ_2023.xlsx]原始数据'!$B:$B,MATCH($A891,'[AQ_2023.xlsx]原始数据'!$A:$A,0)),""))</f>
        <v/>
      </c>
      <c r="F891">
        <f>IF($A891="","",IFERROR(INDEX('[AQ_2024.xlsx]原始数据'!$B:$B,MATCH($A891,'[AQ_2024.xlsx]原始数据'!$A:$A,0)),""))</f>
        <v/>
      </c>
      <c r="G891">
        <f>IF($A891="","",IFERROR(INDEX('[AQ_2020.xlsx]原始数据'!$C:$C,MATCH($A891,'[AQ_2020.xlsx]原始数据'!$A:$A,0)),""))</f>
        <v/>
      </c>
      <c r="H891">
        <f>IF($A891="","",IFERROR(INDEX('[AQ_2021.xlsx]原始数据'!$C:$C,MATCH($A891,'[AQ_2021.xlsx]原始数据'!$A:$A,0)),""))</f>
        <v/>
      </c>
      <c r="I891">
        <f>IF($A891="","",IFERROR(INDEX('[AQ_2022.xlsx]原始数据'!$C:$C,MATCH($A891,'[AQ_2022.xlsx]原始数据'!$A:$A,0)),""))</f>
        <v/>
      </c>
      <c r="J891">
        <f>IF($A891="","",IFERROR(INDEX('[AQ_2023.xlsx]原始数据'!$C:$C,MATCH($A891,'[AQ_2023.xlsx]原始数据'!$A:$A,0)),""))</f>
        <v/>
      </c>
      <c r="K891">
        <f>IF($A891="","",IFERROR(INDEX('[AQ_2024.xlsx]原始数据'!$C:$C,MATCH($A891,'[AQ_2024.xlsx]原始数据'!$A:$A,0)),""))</f>
        <v/>
      </c>
      <c r="L891">
        <f>IF($A891="","",IFERROR(INDEX('[AQ_2020.xlsx]原始数据'!$D:$D,MATCH($A891,'[AQ_2020.xlsx]原始数据'!$A:$A,0)),""))</f>
        <v/>
      </c>
      <c r="M891">
        <f>IF($A891="","",IFERROR(INDEX('[AQ_2021.xlsx]原始数据'!$D:$D,MATCH($A891,'[AQ_2021.xlsx]原始数据'!$A:$A,0)),""))</f>
        <v/>
      </c>
      <c r="N891">
        <f>IF($A891="","",IFERROR(INDEX('[AQ_2022.xlsx]原始数据'!$D:$D,MATCH($A891,'[AQ_2022.xlsx]原始数据'!$A:$A,0)),""))</f>
        <v/>
      </c>
      <c r="O891">
        <f>IF($A891="","",IFERROR(INDEX('[AQ_2023.xlsx]原始数据'!$D:$D,MATCH($A891,'[AQ_2023.xlsx]原始数据'!$A:$A,0)),""))</f>
        <v/>
      </c>
      <c r="P891">
        <f>IF($A891="","",IFERROR(INDEX('[AQ_2024.xlsx]原始数据'!$D:$D,MATCH($A891,'[AQ_2024.xlsx]原始数据'!$A:$A,0)),""))</f>
        <v/>
      </c>
      <c r="Q891">
        <f>IF($A891="","",IFERROR(INDEX('[AQ_2020.xlsx]原始数据'!$E:$E,MATCH($A891,'[AQ_2020.xlsx]原始数据'!$A:$A,0)),""))</f>
        <v/>
      </c>
      <c r="R891">
        <f>IF($A891="","",IFERROR(INDEX('[AQ_2021.xlsx]原始数据'!$E:$E,MATCH($A891,'[AQ_2021.xlsx]原始数据'!$A:$A,0)),""))</f>
        <v/>
      </c>
      <c r="S891">
        <f>IF($A891="","",IFERROR(INDEX('[AQ_2022.xlsx]原始数据'!$E:$E,MATCH($A891,'[AQ_2022.xlsx]原始数据'!$A:$A,0)),""))</f>
        <v/>
      </c>
      <c r="T891">
        <f>IF($A891="","",IFERROR(INDEX('[AQ_2023.xlsx]原始数据'!$E:$E,MATCH($A891,'[AQ_2023.xlsx]原始数据'!$A:$A,0)),""))</f>
        <v/>
      </c>
      <c r="U891">
        <f>IF($A891="","",IFERROR(INDEX('[AQ_2024.xlsx]原始数据'!$E:$E,MATCH($A891,'[AQ_2024.xlsx]原始数据'!$A:$A,0)),""))</f>
        <v/>
      </c>
      <c r="V891">
        <f>IF($A891="","",IFERROR(INDEX('[AQ_2020.xlsx]原始数据'!$F:$F,MATCH($A891,'[AQ_2020.xlsx]原始数据'!$A:$A,0)),""))</f>
        <v/>
      </c>
      <c r="W891">
        <f>IF($A891="","",IFERROR(INDEX('[AQ_2021.xlsx]原始数据'!$F:$F,MATCH($A891,'[AQ_2021.xlsx]原始数据'!$A:$A,0)),""))</f>
        <v/>
      </c>
      <c r="X891">
        <f>IF($A891="","",IFERROR(INDEX('[AQ_2022.xlsx]原始数据'!$F:$F,MATCH($A891,'[AQ_2022.xlsx]原始数据'!$A:$A,0)),""))</f>
        <v/>
      </c>
      <c r="Y891">
        <f>IF($A891="","",IFERROR(INDEX('[AQ_2023.xlsx]原始数据'!$F:$F,MATCH($A891,'[AQ_2023.xlsx]原始数据'!$A:$A,0)),""))</f>
        <v/>
      </c>
      <c r="Z891">
        <f>IF($A891="","",IFERROR(INDEX('[AQ_2024.xlsx]原始数据'!$F:$F,MATCH($A891,'[AQ_2024.xlsx]原始数据'!$A:$A,0)),""))</f>
        <v/>
      </c>
      <c r="AA891" s="2">
        <f>IFERROR(G891/B891,"")</f>
        <v/>
      </c>
      <c r="AB891" s="2">
        <f>IFERROR(H891/C891,"")</f>
        <v/>
      </c>
      <c r="AC891" s="2">
        <f>IFERROR(I891/D891,"")</f>
        <v/>
      </c>
      <c r="AD891" s="2">
        <f>IFERROR(J891/E891,"")</f>
        <v/>
      </c>
      <c r="AE891" s="2">
        <f>IFERROR(K891/F891,"")</f>
        <v/>
      </c>
      <c r="AF891" s="2">
        <f>IFERROR(L891/B891,"")</f>
        <v/>
      </c>
      <c r="AG891" s="2">
        <f>IFERROR(M891/C891,"")</f>
        <v/>
      </c>
      <c r="AH891" s="2">
        <f>IFERROR(N891/D891,"")</f>
        <v/>
      </c>
      <c r="AI891" s="2">
        <f>IFERROR(O891/E891,"")</f>
        <v/>
      </c>
      <c r="AJ891" s="2">
        <f>IFERROR(P891/F891,"")</f>
        <v/>
      </c>
      <c r="AK891" s="2">
        <f>IFERROR(Q891/B891,"")</f>
        <v/>
      </c>
      <c r="AL891" s="2">
        <f>IFERROR(R891/C891,"")</f>
        <v/>
      </c>
      <c r="AM891" s="2">
        <f>IFERROR(S891/D891,"")</f>
        <v/>
      </c>
      <c r="AN891" s="2">
        <f>IFERROR(T891/E891,"")</f>
        <v/>
      </c>
      <c r="AO891" s="2">
        <f>IFERROR(U891/F891,"")</f>
        <v/>
      </c>
    </row>
    <row r="892">
      <c r="B892">
        <f>IF($A892="","",IFERROR(INDEX('[AQ_2020.xlsx]原始数据'!$B:$B,MATCH($A892,'[AQ_2020.xlsx]原始数据'!$A:$A,0)),""))</f>
        <v/>
      </c>
      <c r="C892">
        <f>IF($A892="","",IFERROR(INDEX('[AQ_2021.xlsx]原始数据'!$B:$B,MATCH($A892,'[AQ_2021.xlsx]原始数据'!$A:$A,0)),""))</f>
        <v/>
      </c>
      <c r="D892">
        <f>IF($A892="","",IFERROR(INDEX('[AQ_2022.xlsx]原始数据'!$B:$B,MATCH($A892,'[AQ_2022.xlsx]原始数据'!$A:$A,0)),""))</f>
        <v/>
      </c>
      <c r="E892">
        <f>IF($A892="","",IFERROR(INDEX('[AQ_2023.xlsx]原始数据'!$B:$B,MATCH($A892,'[AQ_2023.xlsx]原始数据'!$A:$A,0)),""))</f>
        <v/>
      </c>
      <c r="F892">
        <f>IF($A892="","",IFERROR(INDEX('[AQ_2024.xlsx]原始数据'!$B:$B,MATCH($A892,'[AQ_2024.xlsx]原始数据'!$A:$A,0)),""))</f>
        <v/>
      </c>
      <c r="G892">
        <f>IF($A892="","",IFERROR(INDEX('[AQ_2020.xlsx]原始数据'!$C:$C,MATCH($A892,'[AQ_2020.xlsx]原始数据'!$A:$A,0)),""))</f>
        <v/>
      </c>
      <c r="H892">
        <f>IF($A892="","",IFERROR(INDEX('[AQ_2021.xlsx]原始数据'!$C:$C,MATCH($A892,'[AQ_2021.xlsx]原始数据'!$A:$A,0)),""))</f>
        <v/>
      </c>
      <c r="I892">
        <f>IF($A892="","",IFERROR(INDEX('[AQ_2022.xlsx]原始数据'!$C:$C,MATCH($A892,'[AQ_2022.xlsx]原始数据'!$A:$A,0)),""))</f>
        <v/>
      </c>
      <c r="J892">
        <f>IF($A892="","",IFERROR(INDEX('[AQ_2023.xlsx]原始数据'!$C:$C,MATCH($A892,'[AQ_2023.xlsx]原始数据'!$A:$A,0)),""))</f>
        <v/>
      </c>
      <c r="K892">
        <f>IF($A892="","",IFERROR(INDEX('[AQ_2024.xlsx]原始数据'!$C:$C,MATCH($A892,'[AQ_2024.xlsx]原始数据'!$A:$A,0)),""))</f>
        <v/>
      </c>
      <c r="L892">
        <f>IF($A892="","",IFERROR(INDEX('[AQ_2020.xlsx]原始数据'!$D:$D,MATCH($A892,'[AQ_2020.xlsx]原始数据'!$A:$A,0)),""))</f>
        <v/>
      </c>
      <c r="M892">
        <f>IF($A892="","",IFERROR(INDEX('[AQ_2021.xlsx]原始数据'!$D:$D,MATCH($A892,'[AQ_2021.xlsx]原始数据'!$A:$A,0)),""))</f>
        <v/>
      </c>
      <c r="N892">
        <f>IF($A892="","",IFERROR(INDEX('[AQ_2022.xlsx]原始数据'!$D:$D,MATCH($A892,'[AQ_2022.xlsx]原始数据'!$A:$A,0)),""))</f>
        <v/>
      </c>
      <c r="O892">
        <f>IF($A892="","",IFERROR(INDEX('[AQ_2023.xlsx]原始数据'!$D:$D,MATCH($A892,'[AQ_2023.xlsx]原始数据'!$A:$A,0)),""))</f>
        <v/>
      </c>
      <c r="P892">
        <f>IF($A892="","",IFERROR(INDEX('[AQ_2024.xlsx]原始数据'!$D:$D,MATCH($A892,'[AQ_2024.xlsx]原始数据'!$A:$A,0)),""))</f>
        <v/>
      </c>
      <c r="Q892">
        <f>IF($A892="","",IFERROR(INDEX('[AQ_2020.xlsx]原始数据'!$E:$E,MATCH($A892,'[AQ_2020.xlsx]原始数据'!$A:$A,0)),""))</f>
        <v/>
      </c>
      <c r="R892">
        <f>IF($A892="","",IFERROR(INDEX('[AQ_2021.xlsx]原始数据'!$E:$E,MATCH($A892,'[AQ_2021.xlsx]原始数据'!$A:$A,0)),""))</f>
        <v/>
      </c>
      <c r="S892">
        <f>IF($A892="","",IFERROR(INDEX('[AQ_2022.xlsx]原始数据'!$E:$E,MATCH($A892,'[AQ_2022.xlsx]原始数据'!$A:$A,0)),""))</f>
        <v/>
      </c>
      <c r="T892">
        <f>IF($A892="","",IFERROR(INDEX('[AQ_2023.xlsx]原始数据'!$E:$E,MATCH($A892,'[AQ_2023.xlsx]原始数据'!$A:$A,0)),""))</f>
        <v/>
      </c>
      <c r="U892">
        <f>IF($A892="","",IFERROR(INDEX('[AQ_2024.xlsx]原始数据'!$E:$E,MATCH($A892,'[AQ_2024.xlsx]原始数据'!$A:$A,0)),""))</f>
        <v/>
      </c>
      <c r="V892">
        <f>IF($A892="","",IFERROR(INDEX('[AQ_2020.xlsx]原始数据'!$F:$F,MATCH($A892,'[AQ_2020.xlsx]原始数据'!$A:$A,0)),""))</f>
        <v/>
      </c>
      <c r="W892">
        <f>IF($A892="","",IFERROR(INDEX('[AQ_2021.xlsx]原始数据'!$F:$F,MATCH($A892,'[AQ_2021.xlsx]原始数据'!$A:$A,0)),""))</f>
        <v/>
      </c>
      <c r="X892">
        <f>IF($A892="","",IFERROR(INDEX('[AQ_2022.xlsx]原始数据'!$F:$F,MATCH($A892,'[AQ_2022.xlsx]原始数据'!$A:$A,0)),""))</f>
        <v/>
      </c>
      <c r="Y892">
        <f>IF($A892="","",IFERROR(INDEX('[AQ_2023.xlsx]原始数据'!$F:$F,MATCH($A892,'[AQ_2023.xlsx]原始数据'!$A:$A,0)),""))</f>
        <v/>
      </c>
      <c r="Z892">
        <f>IF($A892="","",IFERROR(INDEX('[AQ_2024.xlsx]原始数据'!$F:$F,MATCH($A892,'[AQ_2024.xlsx]原始数据'!$A:$A,0)),""))</f>
        <v/>
      </c>
      <c r="AA892" s="2">
        <f>IFERROR(G892/B892,"")</f>
        <v/>
      </c>
      <c r="AB892" s="2">
        <f>IFERROR(H892/C892,"")</f>
        <v/>
      </c>
      <c r="AC892" s="2">
        <f>IFERROR(I892/D892,"")</f>
        <v/>
      </c>
      <c r="AD892" s="2">
        <f>IFERROR(J892/E892,"")</f>
        <v/>
      </c>
      <c r="AE892" s="2">
        <f>IFERROR(K892/F892,"")</f>
        <v/>
      </c>
      <c r="AF892" s="2">
        <f>IFERROR(L892/B892,"")</f>
        <v/>
      </c>
      <c r="AG892" s="2">
        <f>IFERROR(M892/C892,"")</f>
        <v/>
      </c>
      <c r="AH892" s="2">
        <f>IFERROR(N892/D892,"")</f>
        <v/>
      </c>
      <c r="AI892" s="2">
        <f>IFERROR(O892/E892,"")</f>
        <v/>
      </c>
      <c r="AJ892" s="2">
        <f>IFERROR(P892/F892,"")</f>
        <v/>
      </c>
      <c r="AK892" s="2">
        <f>IFERROR(Q892/B892,"")</f>
        <v/>
      </c>
      <c r="AL892" s="2">
        <f>IFERROR(R892/C892,"")</f>
        <v/>
      </c>
      <c r="AM892" s="2">
        <f>IFERROR(S892/D892,"")</f>
        <v/>
      </c>
      <c r="AN892" s="2">
        <f>IFERROR(T892/E892,"")</f>
        <v/>
      </c>
      <c r="AO892" s="2">
        <f>IFERROR(U892/F892,"")</f>
        <v/>
      </c>
    </row>
    <row r="893">
      <c r="B893">
        <f>IF($A893="","",IFERROR(INDEX('[AQ_2020.xlsx]原始数据'!$B:$B,MATCH($A893,'[AQ_2020.xlsx]原始数据'!$A:$A,0)),""))</f>
        <v/>
      </c>
      <c r="C893">
        <f>IF($A893="","",IFERROR(INDEX('[AQ_2021.xlsx]原始数据'!$B:$B,MATCH($A893,'[AQ_2021.xlsx]原始数据'!$A:$A,0)),""))</f>
        <v/>
      </c>
      <c r="D893">
        <f>IF($A893="","",IFERROR(INDEX('[AQ_2022.xlsx]原始数据'!$B:$B,MATCH($A893,'[AQ_2022.xlsx]原始数据'!$A:$A,0)),""))</f>
        <v/>
      </c>
      <c r="E893">
        <f>IF($A893="","",IFERROR(INDEX('[AQ_2023.xlsx]原始数据'!$B:$B,MATCH($A893,'[AQ_2023.xlsx]原始数据'!$A:$A,0)),""))</f>
        <v/>
      </c>
      <c r="F893">
        <f>IF($A893="","",IFERROR(INDEX('[AQ_2024.xlsx]原始数据'!$B:$B,MATCH($A893,'[AQ_2024.xlsx]原始数据'!$A:$A,0)),""))</f>
        <v/>
      </c>
      <c r="G893">
        <f>IF($A893="","",IFERROR(INDEX('[AQ_2020.xlsx]原始数据'!$C:$C,MATCH($A893,'[AQ_2020.xlsx]原始数据'!$A:$A,0)),""))</f>
        <v/>
      </c>
      <c r="H893">
        <f>IF($A893="","",IFERROR(INDEX('[AQ_2021.xlsx]原始数据'!$C:$C,MATCH($A893,'[AQ_2021.xlsx]原始数据'!$A:$A,0)),""))</f>
        <v/>
      </c>
      <c r="I893">
        <f>IF($A893="","",IFERROR(INDEX('[AQ_2022.xlsx]原始数据'!$C:$C,MATCH($A893,'[AQ_2022.xlsx]原始数据'!$A:$A,0)),""))</f>
        <v/>
      </c>
      <c r="J893">
        <f>IF($A893="","",IFERROR(INDEX('[AQ_2023.xlsx]原始数据'!$C:$C,MATCH($A893,'[AQ_2023.xlsx]原始数据'!$A:$A,0)),""))</f>
        <v/>
      </c>
      <c r="K893">
        <f>IF($A893="","",IFERROR(INDEX('[AQ_2024.xlsx]原始数据'!$C:$C,MATCH($A893,'[AQ_2024.xlsx]原始数据'!$A:$A,0)),""))</f>
        <v/>
      </c>
      <c r="L893">
        <f>IF($A893="","",IFERROR(INDEX('[AQ_2020.xlsx]原始数据'!$D:$D,MATCH($A893,'[AQ_2020.xlsx]原始数据'!$A:$A,0)),""))</f>
        <v/>
      </c>
      <c r="M893">
        <f>IF($A893="","",IFERROR(INDEX('[AQ_2021.xlsx]原始数据'!$D:$D,MATCH($A893,'[AQ_2021.xlsx]原始数据'!$A:$A,0)),""))</f>
        <v/>
      </c>
      <c r="N893">
        <f>IF($A893="","",IFERROR(INDEX('[AQ_2022.xlsx]原始数据'!$D:$D,MATCH($A893,'[AQ_2022.xlsx]原始数据'!$A:$A,0)),""))</f>
        <v/>
      </c>
      <c r="O893">
        <f>IF($A893="","",IFERROR(INDEX('[AQ_2023.xlsx]原始数据'!$D:$D,MATCH($A893,'[AQ_2023.xlsx]原始数据'!$A:$A,0)),""))</f>
        <v/>
      </c>
      <c r="P893">
        <f>IF($A893="","",IFERROR(INDEX('[AQ_2024.xlsx]原始数据'!$D:$D,MATCH($A893,'[AQ_2024.xlsx]原始数据'!$A:$A,0)),""))</f>
        <v/>
      </c>
      <c r="Q893">
        <f>IF($A893="","",IFERROR(INDEX('[AQ_2020.xlsx]原始数据'!$E:$E,MATCH($A893,'[AQ_2020.xlsx]原始数据'!$A:$A,0)),""))</f>
        <v/>
      </c>
      <c r="R893">
        <f>IF($A893="","",IFERROR(INDEX('[AQ_2021.xlsx]原始数据'!$E:$E,MATCH($A893,'[AQ_2021.xlsx]原始数据'!$A:$A,0)),""))</f>
        <v/>
      </c>
      <c r="S893">
        <f>IF($A893="","",IFERROR(INDEX('[AQ_2022.xlsx]原始数据'!$E:$E,MATCH($A893,'[AQ_2022.xlsx]原始数据'!$A:$A,0)),""))</f>
        <v/>
      </c>
      <c r="T893">
        <f>IF($A893="","",IFERROR(INDEX('[AQ_2023.xlsx]原始数据'!$E:$E,MATCH($A893,'[AQ_2023.xlsx]原始数据'!$A:$A,0)),""))</f>
        <v/>
      </c>
      <c r="U893">
        <f>IF($A893="","",IFERROR(INDEX('[AQ_2024.xlsx]原始数据'!$E:$E,MATCH($A893,'[AQ_2024.xlsx]原始数据'!$A:$A,0)),""))</f>
        <v/>
      </c>
      <c r="V893">
        <f>IF($A893="","",IFERROR(INDEX('[AQ_2020.xlsx]原始数据'!$F:$F,MATCH($A893,'[AQ_2020.xlsx]原始数据'!$A:$A,0)),""))</f>
        <v/>
      </c>
      <c r="W893">
        <f>IF($A893="","",IFERROR(INDEX('[AQ_2021.xlsx]原始数据'!$F:$F,MATCH($A893,'[AQ_2021.xlsx]原始数据'!$A:$A,0)),""))</f>
        <v/>
      </c>
      <c r="X893">
        <f>IF($A893="","",IFERROR(INDEX('[AQ_2022.xlsx]原始数据'!$F:$F,MATCH($A893,'[AQ_2022.xlsx]原始数据'!$A:$A,0)),""))</f>
        <v/>
      </c>
      <c r="Y893">
        <f>IF($A893="","",IFERROR(INDEX('[AQ_2023.xlsx]原始数据'!$F:$F,MATCH($A893,'[AQ_2023.xlsx]原始数据'!$A:$A,0)),""))</f>
        <v/>
      </c>
      <c r="Z893">
        <f>IF($A893="","",IFERROR(INDEX('[AQ_2024.xlsx]原始数据'!$F:$F,MATCH($A893,'[AQ_2024.xlsx]原始数据'!$A:$A,0)),""))</f>
        <v/>
      </c>
      <c r="AA893" s="2">
        <f>IFERROR(G893/B893,"")</f>
        <v/>
      </c>
      <c r="AB893" s="2">
        <f>IFERROR(H893/C893,"")</f>
        <v/>
      </c>
      <c r="AC893" s="2">
        <f>IFERROR(I893/D893,"")</f>
        <v/>
      </c>
      <c r="AD893" s="2">
        <f>IFERROR(J893/E893,"")</f>
        <v/>
      </c>
      <c r="AE893" s="2">
        <f>IFERROR(K893/F893,"")</f>
        <v/>
      </c>
      <c r="AF893" s="2">
        <f>IFERROR(L893/B893,"")</f>
        <v/>
      </c>
      <c r="AG893" s="2">
        <f>IFERROR(M893/C893,"")</f>
        <v/>
      </c>
      <c r="AH893" s="2">
        <f>IFERROR(N893/D893,"")</f>
        <v/>
      </c>
      <c r="AI893" s="2">
        <f>IFERROR(O893/E893,"")</f>
        <v/>
      </c>
      <c r="AJ893" s="2">
        <f>IFERROR(P893/F893,"")</f>
        <v/>
      </c>
      <c r="AK893" s="2">
        <f>IFERROR(Q893/B893,"")</f>
        <v/>
      </c>
      <c r="AL893" s="2">
        <f>IFERROR(R893/C893,"")</f>
        <v/>
      </c>
      <c r="AM893" s="2">
        <f>IFERROR(S893/D893,"")</f>
        <v/>
      </c>
      <c r="AN893" s="2">
        <f>IFERROR(T893/E893,"")</f>
        <v/>
      </c>
      <c r="AO893" s="2">
        <f>IFERROR(U893/F893,"")</f>
        <v/>
      </c>
    </row>
    <row r="894">
      <c r="B894">
        <f>IF($A894="","",IFERROR(INDEX('[AQ_2020.xlsx]原始数据'!$B:$B,MATCH($A894,'[AQ_2020.xlsx]原始数据'!$A:$A,0)),""))</f>
        <v/>
      </c>
      <c r="C894">
        <f>IF($A894="","",IFERROR(INDEX('[AQ_2021.xlsx]原始数据'!$B:$B,MATCH($A894,'[AQ_2021.xlsx]原始数据'!$A:$A,0)),""))</f>
        <v/>
      </c>
      <c r="D894">
        <f>IF($A894="","",IFERROR(INDEX('[AQ_2022.xlsx]原始数据'!$B:$B,MATCH($A894,'[AQ_2022.xlsx]原始数据'!$A:$A,0)),""))</f>
        <v/>
      </c>
      <c r="E894">
        <f>IF($A894="","",IFERROR(INDEX('[AQ_2023.xlsx]原始数据'!$B:$B,MATCH($A894,'[AQ_2023.xlsx]原始数据'!$A:$A,0)),""))</f>
        <v/>
      </c>
      <c r="F894">
        <f>IF($A894="","",IFERROR(INDEX('[AQ_2024.xlsx]原始数据'!$B:$B,MATCH($A894,'[AQ_2024.xlsx]原始数据'!$A:$A,0)),""))</f>
        <v/>
      </c>
      <c r="G894">
        <f>IF($A894="","",IFERROR(INDEX('[AQ_2020.xlsx]原始数据'!$C:$C,MATCH($A894,'[AQ_2020.xlsx]原始数据'!$A:$A,0)),""))</f>
        <v/>
      </c>
      <c r="H894">
        <f>IF($A894="","",IFERROR(INDEX('[AQ_2021.xlsx]原始数据'!$C:$C,MATCH($A894,'[AQ_2021.xlsx]原始数据'!$A:$A,0)),""))</f>
        <v/>
      </c>
      <c r="I894">
        <f>IF($A894="","",IFERROR(INDEX('[AQ_2022.xlsx]原始数据'!$C:$C,MATCH($A894,'[AQ_2022.xlsx]原始数据'!$A:$A,0)),""))</f>
        <v/>
      </c>
      <c r="J894">
        <f>IF($A894="","",IFERROR(INDEX('[AQ_2023.xlsx]原始数据'!$C:$C,MATCH($A894,'[AQ_2023.xlsx]原始数据'!$A:$A,0)),""))</f>
        <v/>
      </c>
      <c r="K894">
        <f>IF($A894="","",IFERROR(INDEX('[AQ_2024.xlsx]原始数据'!$C:$C,MATCH($A894,'[AQ_2024.xlsx]原始数据'!$A:$A,0)),""))</f>
        <v/>
      </c>
      <c r="L894">
        <f>IF($A894="","",IFERROR(INDEX('[AQ_2020.xlsx]原始数据'!$D:$D,MATCH($A894,'[AQ_2020.xlsx]原始数据'!$A:$A,0)),""))</f>
        <v/>
      </c>
      <c r="M894">
        <f>IF($A894="","",IFERROR(INDEX('[AQ_2021.xlsx]原始数据'!$D:$D,MATCH($A894,'[AQ_2021.xlsx]原始数据'!$A:$A,0)),""))</f>
        <v/>
      </c>
      <c r="N894">
        <f>IF($A894="","",IFERROR(INDEX('[AQ_2022.xlsx]原始数据'!$D:$D,MATCH($A894,'[AQ_2022.xlsx]原始数据'!$A:$A,0)),""))</f>
        <v/>
      </c>
      <c r="O894">
        <f>IF($A894="","",IFERROR(INDEX('[AQ_2023.xlsx]原始数据'!$D:$D,MATCH($A894,'[AQ_2023.xlsx]原始数据'!$A:$A,0)),""))</f>
        <v/>
      </c>
      <c r="P894">
        <f>IF($A894="","",IFERROR(INDEX('[AQ_2024.xlsx]原始数据'!$D:$D,MATCH($A894,'[AQ_2024.xlsx]原始数据'!$A:$A,0)),""))</f>
        <v/>
      </c>
      <c r="Q894">
        <f>IF($A894="","",IFERROR(INDEX('[AQ_2020.xlsx]原始数据'!$E:$E,MATCH($A894,'[AQ_2020.xlsx]原始数据'!$A:$A,0)),""))</f>
        <v/>
      </c>
      <c r="R894">
        <f>IF($A894="","",IFERROR(INDEX('[AQ_2021.xlsx]原始数据'!$E:$E,MATCH($A894,'[AQ_2021.xlsx]原始数据'!$A:$A,0)),""))</f>
        <v/>
      </c>
      <c r="S894">
        <f>IF($A894="","",IFERROR(INDEX('[AQ_2022.xlsx]原始数据'!$E:$E,MATCH($A894,'[AQ_2022.xlsx]原始数据'!$A:$A,0)),""))</f>
        <v/>
      </c>
      <c r="T894">
        <f>IF($A894="","",IFERROR(INDEX('[AQ_2023.xlsx]原始数据'!$E:$E,MATCH($A894,'[AQ_2023.xlsx]原始数据'!$A:$A,0)),""))</f>
        <v/>
      </c>
      <c r="U894">
        <f>IF($A894="","",IFERROR(INDEX('[AQ_2024.xlsx]原始数据'!$E:$E,MATCH($A894,'[AQ_2024.xlsx]原始数据'!$A:$A,0)),""))</f>
        <v/>
      </c>
      <c r="V894">
        <f>IF($A894="","",IFERROR(INDEX('[AQ_2020.xlsx]原始数据'!$F:$F,MATCH($A894,'[AQ_2020.xlsx]原始数据'!$A:$A,0)),""))</f>
        <v/>
      </c>
      <c r="W894">
        <f>IF($A894="","",IFERROR(INDEX('[AQ_2021.xlsx]原始数据'!$F:$F,MATCH($A894,'[AQ_2021.xlsx]原始数据'!$A:$A,0)),""))</f>
        <v/>
      </c>
      <c r="X894">
        <f>IF($A894="","",IFERROR(INDEX('[AQ_2022.xlsx]原始数据'!$F:$F,MATCH($A894,'[AQ_2022.xlsx]原始数据'!$A:$A,0)),""))</f>
        <v/>
      </c>
      <c r="Y894">
        <f>IF($A894="","",IFERROR(INDEX('[AQ_2023.xlsx]原始数据'!$F:$F,MATCH($A894,'[AQ_2023.xlsx]原始数据'!$A:$A,0)),""))</f>
        <v/>
      </c>
      <c r="Z894">
        <f>IF($A894="","",IFERROR(INDEX('[AQ_2024.xlsx]原始数据'!$F:$F,MATCH($A894,'[AQ_2024.xlsx]原始数据'!$A:$A,0)),""))</f>
        <v/>
      </c>
      <c r="AA894" s="2">
        <f>IFERROR(G894/B894,"")</f>
        <v/>
      </c>
      <c r="AB894" s="2">
        <f>IFERROR(H894/C894,"")</f>
        <v/>
      </c>
      <c r="AC894" s="2">
        <f>IFERROR(I894/D894,"")</f>
        <v/>
      </c>
      <c r="AD894" s="2">
        <f>IFERROR(J894/E894,"")</f>
        <v/>
      </c>
      <c r="AE894" s="2">
        <f>IFERROR(K894/F894,"")</f>
        <v/>
      </c>
      <c r="AF894" s="2">
        <f>IFERROR(L894/B894,"")</f>
        <v/>
      </c>
      <c r="AG894" s="2">
        <f>IFERROR(M894/C894,"")</f>
        <v/>
      </c>
      <c r="AH894" s="2">
        <f>IFERROR(N894/D894,"")</f>
        <v/>
      </c>
      <c r="AI894" s="2">
        <f>IFERROR(O894/E894,"")</f>
        <v/>
      </c>
      <c r="AJ894" s="2">
        <f>IFERROR(P894/F894,"")</f>
        <v/>
      </c>
      <c r="AK894" s="2">
        <f>IFERROR(Q894/B894,"")</f>
        <v/>
      </c>
      <c r="AL894" s="2">
        <f>IFERROR(R894/C894,"")</f>
        <v/>
      </c>
      <c r="AM894" s="2">
        <f>IFERROR(S894/D894,"")</f>
        <v/>
      </c>
      <c r="AN894" s="2">
        <f>IFERROR(T894/E894,"")</f>
        <v/>
      </c>
      <c r="AO894" s="2">
        <f>IFERROR(U894/F894,"")</f>
        <v/>
      </c>
    </row>
    <row r="895">
      <c r="B895">
        <f>IF($A895="","",IFERROR(INDEX('[AQ_2020.xlsx]原始数据'!$B:$B,MATCH($A895,'[AQ_2020.xlsx]原始数据'!$A:$A,0)),""))</f>
        <v/>
      </c>
      <c r="C895">
        <f>IF($A895="","",IFERROR(INDEX('[AQ_2021.xlsx]原始数据'!$B:$B,MATCH($A895,'[AQ_2021.xlsx]原始数据'!$A:$A,0)),""))</f>
        <v/>
      </c>
      <c r="D895">
        <f>IF($A895="","",IFERROR(INDEX('[AQ_2022.xlsx]原始数据'!$B:$B,MATCH($A895,'[AQ_2022.xlsx]原始数据'!$A:$A,0)),""))</f>
        <v/>
      </c>
      <c r="E895">
        <f>IF($A895="","",IFERROR(INDEX('[AQ_2023.xlsx]原始数据'!$B:$B,MATCH($A895,'[AQ_2023.xlsx]原始数据'!$A:$A,0)),""))</f>
        <v/>
      </c>
      <c r="F895">
        <f>IF($A895="","",IFERROR(INDEX('[AQ_2024.xlsx]原始数据'!$B:$B,MATCH($A895,'[AQ_2024.xlsx]原始数据'!$A:$A,0)),""))</f>
        <v/>
      </c>
      <c r="G895">
        <f>IF($A895="","",IFERROR(INDEX('[AQ_2020.xlsx]原始数据'!$C:$C,MATCH($A895,'[AQ_2020.xlsx]原始数据'!$A:$A,0)),""))</f>
        <v/>
      </c>
      <c r="H895">
        <f>IF($A895="","",IFERROR(INDEX('[AQ_2021.xlsx]原始数据'!$C:$C,MATCH($A895,'[AQ_2021.xlsx]原始数据'!$A:$A,0)),""))</f>
        <v/>
      </c>
      <c r="I895">
        <f>IF($A895="","",IFERROR(INDEX('[AQ_2022.xlsx]原始数据'!$C:$C,MATCH($A895,'[AQ_2022.xlsx]原始数据'!$A:$A,0)),""))</f>
        <v/>
      </c>
      <c r="J895">
        <f>IF($A895="","",IFERROR(INDEX('[AQ_2023.xlsx]原始数据'!$C:$C,MATCH($A895,'[AQ_2023.xlsx]原始数据'!$A:$A,0)),""))</f>
        <v/>
      </c>
      <c r="K895">
        <f>IF($A895="","",IFERROR(INDEX('[AQ_2024.xlsx]原始数据'!$C:$C,MATCH($A895,'[AQ_2024.xlsx]原始数据'!$A:$A,0)),""))</f>
        <v/>
      </c>
      <c r="L895">
        <f>IF($A895="","",IFERROR(INDEX('[AQ_2020.xlsx]原始数据'!$D:$D,MATCH($A895,'[AQ_2020.xlsx]原始数据'!$A:$A,0)),""))</f>
        <v/>
      </c>
      <c r="M895">
        <f>IF($A895="","",IFERROR(INDEX('[AQ_2021.xlsx]原始数据'!$D:$D,MATCH($A895,'[AQ_2021.xlsx]原始数据'!$A:$A,0)),""))</f>
        <v/>
      </c>
      <c r="N895">
        <f>IF($A895="","",IFERROR(INDEX('[AQ_2022.xlsx]原始数据'!$D:$D,MATCH($A895,'[AQ_2022.xlsx]原始数据'!$A:$A,0)),""))</f>
        <v/>
      </c>
      <c r="O895">
        <f>IF($A895="","",IFERROR(INDEX('[AQ_2023.xlsx]原始数据'!$D:$D,MATCH($A895,'[AQ_2023.xlsx]原始数据'!$A:$A,0)),""))</f>
        <v/>
      </c>
      <c r="P895">
        <f>IF($A895="","",IFERROR(INDEX('[AQ_2024.xlsx]原始数据'!$D:$D,MATCH($A895,'[AQ_2024.xlsx]原始数据'!$A:$A,0)),""))</f>
        <v/>
      </c>
      <c r="Q895">
        <f>IF($A895="","",IFERROR(INDEX('[AQ_2020.xlsx]原始数据'!$E:$E,MATCH($A895,'[AQ_2020.xlsx]原始数据'!$A:$A,0)),""))</f>
        <v/>
      </c>
      <c r="R895">
        <f>IF($A895="","",IFERROR(INDEX('[AQ_2021.xlsx]原始数据'!$E:$E,MATCH($A895,'[AQ_2021.xlsx]原始数据'!$A:$A,0)),""))</f>
        <v/>
      </c>
      <c r="S895">
        <f>IF($A895="","",IFERROR(INDEX('[AQ_2022.xlsx]原始数据'!$E:$E,MATCH($A895,'[AQ_2022.xlsx]原始数据'!$A:$A,0)),""))</f>
        <v/>
      </c>
      <c r="T895">
        <f>IF($A895="","",IFERROR(INDEX('[AQ_2023.xlsx]原始数据'!$E:$E,MATCH($A895,'[AQ_2023.xlsx]原始数据'!$A:$A,0)),""))</f>
        <v/>
      </c>
      <c r="U895">
        <f>IF($A895="","",IFERROR(INDEX('[AQ_2024.xlsx]原始数据'!$E:$E,MATCH($A895,'[AQ_2024.xlsx]原始数据'!$A:$A,0)),""))</f>
        <v/>
      </c>
      <c r="V895">
        <f>IF($A895="","",IFERROR(INDEX('[AQ_2020.xlsx]原始数据'!$F:$F,MATCH($A895,'[AQ_2020.xlsx]原始数据'!$A:$A,0)),""))</f>
        <v/>
      </c>
      <c r="W895">
        <f>IF($A895="","",IFERROR(INDEX('[AQ_2021.xlsx]原始数据'!$F:$F,MATCH($A895,'[AQ_2021.xlsx]原始数据'!$A:$A,0)),""))</f>
        <v/>
      </c>
      <c r="X895">
        <f>IF($A895="","",IFERROR(INDEX('[AQ_2022.xlsx]原始数据'!$F:$F,MATCH($A895,'[AQ_2022.xlsx]原始数据'!$A:$A,0)),""))</f>
        <v/>
      </c>
      <c r="Y895">
        <f>IF($A895="","",IFERROR(INDEX('[AQ_2023.xlsx]原始数据'!$F:$F,MATCH($A895,'[AQ_2023.xlsx]原始数据'!$A:$A,0)),""))</f>
        <v/>
      </c>
      <c r="Z895">
        <f>IF($A895="","",IFERROR(INDEX('[AQ_2024.xlsx]原始数据'!$F:$F,MATCH($A895,'[AQ_2024.xlsx]原始数据'!$A:$A,0)),""))</f>
        <v/>
      </c>
      <c r="AA895" s="2">
        <f>IFERROR(G895/B895,"")</f>
        <v/>
      </c>
      <c r="AB895" s="2">
        <f>IFERROR(H895/C895,"")</f>
        <v/>
      </c>
      <c r="AC895" s="2">
        <f>IFERROR(I895/D895,"")</f>
        <v/>
      </c>
      <c r="AD895" s="2">
        <f>IFERROR(J895/E895,"")</f>
        <v/>
      </c>
      <c r="AE895" s="2">
        <f>IFERROR(K895/F895,"")</f>
        <v/>
      </c>
      <c r="AF895" s="2">
        <f>IFERROR(L895/B895,"")</f>
        <v/>
      </c>
      <c r="AG895" s="2">
        <f>IFERROR(M895/C895,"")</f>
        <v/>
      </c>
      <c r="AH895" s="2">
        <f>IFERROR(N895/D895,"")</f>
        <v/>
      </c>
      <c r="AI895" s="2">
        <f>IFERROR(O895/E895,"")</f>
        <v/>
      </c>
      <c r="AJ895" s="2">
        <f>IFERROR(P895/F895,"")</f>
        <v/>
      </c>
      <c r="AK895" s="2">
        <f>IFERROR(Q895/B895,"")</f>
        <v/>
      </c>
      <c r="AL895" s="2">
        <f>IFERROR(R895/C895,"")</f>
        <v/>
      </c>
      <c r="AM895" s="2">
        <f>IFERROR(S895/D895,"")</f>
        <v/>
      </c>
      <c r="AN895" s="2">
        <f>IFERROR(T895/E895,"")</f>
        <v/>
      </c>
      <c r="AO895" s="2">
        <f>IFERROR(U895/F895,"")</f>
        <v/>
      </c>
    </row>
    <row r="896">
      <c r="B896">
        <f>IF($A896="","",IFERROR(INDEX('[AQ_2020.xlsx]原始数据'!$B:$B,MATCH($A896,'[AQ_2020.xlsx]原始数据'!$A:$A,0)),""))</f>
        <v/>
      </c>
      <c r="C896">
        <f>IF($A896="","",IFERROR(INDEX('[AQ_2021.xlsx]原始数据'!$B:$B,MATCH($A896,'[AQ_2021.xlsx]原始数据'!$A:$A,0)),""))</f>
        <v/>
      </c>
      <c r="D896">
        <f>IF($A896="","",IFERROR(INDEX('[AQ_2022.xlsx]原始数据'!$B:$B,MATCH($A896,'[AQ_2022.xlsx]原始数据'!$A:$A,0)),""))</f>
        <v/>
      </c>
      <c r="E896">
        <f>IF($A896="","",IFERROR(INDEX('[AQ_2023.xlsx]原始数据'!$B:$B,MATCH($A896,'[AQ_2023.xlsx]原始数据'!$A:$A,0)),""))</f>
        <v/>
      </c>
      <c r="F896">
        <f>IF($A896="","",IFERROR(INDEX('[AQ_2024.xlsx]原始数据'!$B:$B,MATCH($A896,'[AQ_2024.xlsx]原始数据'!$A:$A,0)),""))</f>
        <v/>
      </c>
      <c r="G896">
        <f>IF($A896="","",IFERROR(INDEX('[AQ_2020.xlsx]原始数据'!$C:$C,MATCH($A896,'[AQ_2020.xlsx]原始数据'!$A:$A,0)),""))</f>
        <v/>
      </c>
      <c r="H896">
        <f>IF($A896="","",IFERROR(INDEX('[AQ_2021.xlsx]原始数据'!$C:$C,MATCH($A896,'[AQ_2021.xlsx]原始数据'!$A:$A,0)),""))</f>
        <v/>
      </c>
      <c r="I896">
        <f>IF($A896="","",IFERROR(INDEX('[AQ_2022.xlsx]原始数据'!$C:$C,MATCH($A896,'[AQ_2022.xlsx]原始数据'!$A:$A,0)),""))</f>
        <v/>
      </c>
      <c r="J896">
        <f>IF($A896="","",IFERROR(INDEX('[AQ_2023.xlsx]原始数据'!$C:$C,MATCH($A896,'[AQ_2023.xlsx]原始数据'!$A:$A,0)),""))</f>
        <v/>
      </c>
      <c r="K896">
        <f>IF($A896="","",IFERROR(INDEX('[AQ_2024.xlsx]原始数据'!$C:$C,MATCH($A896,'[AQ_2024.xlsx]原始数据'!$A:$A,0)),""))</f>
        <v/>
      </c>
      <c r="L896">
        <f>IF($A896="","",IFERROR(INDEX('[AQ_2020.xlsx]原始数据'!$D:$D,MATCH($A896,'[AQ_2020.xlsx]原始数据'!$A:$A,0)),""))</f>
        <v/>
      </c>
      <c r="M896">
        <f>IF($A896="","",IFERROR(INDEX('[AQ_2021.xlsx]原始数据'!$D:$D,MATCH($A896,'[AQ_2021.xlsx]原始数据'!$A:$A,0)),""))</f>
        <v/>
      </c>
      <c r="N896">
        <f>IF($A896="","",IFERROR(INDEX('[AQ_2022.xlsx]原始数据'!$D:$D,MATCH($A896,'[AQ_2022.xlsx]原始数据'!$A:$A,0)),""))</f>
        <v/>
      </c>
      <c r="O896">
        <f>IF($A896="","",IFERROR(INDEX('[AQ_2023.xlsx]原始数据'!$D:$D,MATCH($A896,'[AQ_2023.xlsx]原始数据'!$A:$A,0)),""))</f>
        <v/>
      </c>
      <c r="P896">
        <f>IF($A896="","",IFERROR(INDEX('[AQ_2024.xlsx]原始数据'!$D:$D,MATCH($A896,'[AQ_2024.xlsx]原始数据'!$A:$A,0)),""))</f>
        <v/>
      </c>
      <c r="Q896">
        <f>IF($A896="","",IFERROR(INDEX('[AQ_2020.xlsx]原始数据'!$E:$E,MATCH($A896,'[AQ_2020.xlsx]原始数据'!$A:$A,0)),""))</f>
        <v/>
      </c>
      <c r="R896">
        <f>IF($A896="","",IFERROR(INDEX('[AQ_2021.xlsx]原始数据'!$E:$E,MATCH($A896,'[AQ_2021.xlsx]原始数据'!$A:$A,0)),""))</f>
        <v/>
      </c>
      <c r="S896">
        <f>IF($A896="","",IFERROR(INDEX('[AQ_2022.xlsx]原始数据'!$E:$E,MATCH($A896,'[AQ_2022.xlsx]原始数据'!$A:$A,0)),""))</f>
        <v/>
      </c>
      <c r="T896">
        <f>IF($A896="","",IFERROR(INDEX('[AQ_2023.xlsx]原始数据'!$E:$E,MATCH($A896,'[AQ_2023.xlsx]原始数据'!$A:$A,0)),""))</f>
        <v/>
      </c>
      <c r="U896">
        <f>IF($A896="","",IFERROR(INDEX('[AQ_2024.xlsx]原始数据'!$E:$E,MATCH($A896,'[AQ_2024.xlsx]原始数据'!$A:$A,0)),""))</f>
        <v/>
      </c>
      <c r="V896">
        <f>IF($A896="","",IFERROR(INDEX('[AQ_2020.xlsx]原始数据'!$F:$F,MATCH($A896,'[AQ_2020.xlsx]原始数据'!$A:$A,0)),""))</f>
        <v/>
      </c>
      <c r="W896">
        <f>IF($A896="","",IFERROR(INDEX('[AQ_2021.xlsx]原始数据'!$F:$F,MATCH($A896,'[AQ_2021.xlsx]原始数据'!$A:$A,0)),""))</f>
        <v/>
      </c>
      <c r="X896">
        <f>IF($A896="","",IFERROR(INDEX('[AQ_2022.xlsx]原始数据'!$F:$F,MATCH($A896,'[AQ_2022.xlsx]原始数据'!$A:$A,0)),""))</f>
        <v/>
      </c>
      <c r="Y896">
        <f>IF($A896="","",IFERROR(INDEX('[AQ_2023.xlsx]原始数据'!$F:$F,MATCH($A896,'[AQ_2023.xlsx]原始数据'!$A:$A,0)),""))</f>
        <v/>
      </c>
      <c r="Z896">
        <f>IF($A896="","",IFERROR(INDEX('[AQ_2024.xlsx]原始数据'!$F:$F,MATCH($A896,'[AQ_2024.xlsx]原始数据'!$A:$A,0)),""))</f>
        <v/>
      </c>
      <c r="AA896" s="2">
        <f>IFERROR(G896/B896,"")</f>
        <v/>
      </c>
      <c r="AB896" s="2">
        <f>IFERROR(H896/C896,"")</f>
        <v/>
      </c>
      <c r="AC896" s="2">
        <f>IFERROR(I896/D896,"")</f>
        <v/>
      </c>
      <c r="AD896" s="2">
        <f>IFERROR(J896/E896,"")</f>
        <v/>
      </c>
      <c r="AE896" s="2">
        <f>IFERROR(K896/F896,"")</f>
        <v/>
      </c>
      <c r="AF896" s="2">
        <f>IFERROR(L896/B896,"")</f>
        <v/>
      </c>
      <c r="AG896" s="2">
        <f>IFERROR(M896/C896,"")</f>
        <v/>
      </c>
      <c r="AH896" s="2">
        <f>IFERROR(N896/D896,"")</f>
        <v/>
      </c>
      <c r="AI896" s="2">
        <f>IFERROR(O896/E896,"")</f>
        <v/>
      </c>
      <c r="AJ896" s="2">
        <f>IFERROR(P896/F896,"")</f>
        <v/>
      </c>
      <c r="AK896" s="2">
        <f>IFERROR(Q896/B896,"")</f>
        <v/>
      </c>
      <c r="AL896" s="2">
        <f>IFERROR(R896/C896,"")</f>
        <v/>
      </c>
      <c r="AM896" s="2">
        <f>IFERROR(S896/D896,"")</f>
        <v/>
      </c>
      <c r="AN896" s="2">
        <f>IFERROR(T896/E896,"")</f>
        <v/>
      </c>
      <c r="AO896" s="2">
        <f>IFERROR(U896/F896,"")</f>
        <v/>
      </c>
    </row>
    <row r="897">
      <c r="B897">
        <f>IF($A897="","",IFERROR(INDEX('[AQ_2020.xlsx]原始数据'!$B:$B,MATCH($A897,'[AQ_2020.xlsx]原始数据'!$A:$A,0)),""))</f>
        <v/>
      </c>
      <c r="C897">
        <f>IF($A897="","",IFERROR(INDEX('[AQ_2021.xlsx]原始数据'!$B:$B,MATCH($A897,'[AQ_2021.xlsx]原始数据'!$A:$A,0)),""))</f>
        <v/>
      </c>
      <c r="D897">
        <f>IF($A897="","",IFERROR(INDEX('[AQ_2022.xlsx]原始数据'!$B:$B,MATCH($A897,'[AQ_2022.xlsx]原始数据'!$A:$A,0)),""))</f>
        <v/>
      </c>
      <c r="E897">
        <f>IF($A897="","",IFERROR(INDEX('[AQ_2023.xlsx]原始数据'!$B:$B,MATCH($A897,'[AQ_2023.xlsx]原始数据'!$A:$A,0)),""))</f>
        <v/>
      </c>
      <c r="F897">
        <f>IF($A897="","",IFERROR(INDEX('[AQ_2024.xlsx]原始数据'!$B:$B,MATCH($A897,'[AQ_2024.xlsx]原始数据'!$A:$A,0)),""))</f>
        <v/>
      </c>
      <c r="G897">
        <f>IF($A897="","",IFERROR(INDEX('[AQ_2020.xlsx]原始数据'!$C:$C,MATCH($A897,'[AQ_2020.xlsx]原始数据'!$A:$A,0)),""))</f>
        <v/>
      </c>
      <c r="H897">
        <f>IF($A897="","",IFERROR(INDEX('[AQ_2021.xlsx]原始数据'!$C:$C,MATCH($A897,'[AQ_2021.xlsx]原始数据'!$A:$A,0)),""))</f>
        <v/>
      </c>
      <c r="I897">
        <f>IF($A897="","",IFERROR(INDEX('[AQ_2022.xlsx]原始数据'!$C:$C,MATCH($A897,'[AQ_2022.xlsx]原始数据'!$A:$A,0)),""))</f>
        <v/>
      </c>
      <c r="J897">
        <f>IF($A897="","",IFERROR(INDEX('[AQ_2023.xlsx]原始数据'!$C:$C,MATCH($A897,'[AQ_2023.xlsx]原始数据'!$A:$A,0)),""))</f>
        <v/>
      </c>
      <c r="K897">
        <f>IF($A897="","",IFERROR(INDEX('[AQ_2024.xlsx]原始数据'!$C:$C,MATCH($A897,'[AQ_2024.xlsx]原始数据'!$A:$A,0)),""))</f>
        <v/>
      </c>
      <c r="L897">
        <f>IF($A897="","",IFERROR(INDEX('[AQ_2020.xlsx]原始数据'!$D:$D,MATCH($A897,'[AQ_2020.xlsx]原始数据'!$A:$A,0)),""))</f>
        <v/>
      </c>
      <c r="M897">
        <f>IF($A897="","",IFERROR(INDEX('[AQ_2021.xlsx]原始数据'!$D:$D,MATCH($A897,'[AQ_2021.xlsx]原始数据'!$A:$A,0)),""))</f>
        <v/>
      </c>
      <c r="N897">
        <f>IF($A897="","",IFERROR(INDEX('[AQ_2022.xlsx]原始数据'!$D:$D,MATCH($A897,'[AQ_2022.xlsx]原始数据'!$A:$A,0)),""))</f>
        <v/>
      </c>
      <c r="O897">
        <f>IF($A897="","",IFERROR(INDEX('[AQ_2023.xlsx]原始数据'!$D:$D,MATCH($A897,'[AQ_2023.xlsx]原始数据'!$A:$A,0)),""))</f>
        <v/>
      </c>
      <c r="P897">
        <f>IF($A897="","",IFERROR(INDEX('[AQ_2024.xlsx]原始数据'!$D:$D,MATCH($A897,'[AQ_2024.xlsx]原始数据'!$A:$A,0)),""))</f>
        <v/>
      </c>
      <c r="Q897">
        <f>IF($A897="","",IFERROR(INDEX('[AQ_2020.xlsx]原始数据'!$E:$E,MATCH($A897,'[AQ_2020.xlsx]原始数据'!$A:$A,0)),""))</f>
        <v/>
      </c>
      <c r="R897">
        <f>IF($A897="","",IFERROR(INDEX('[AQ_2021.xlsx]原始数据'!$E:$E,MATCH($A897,'[AQ_2021.xlsx]原始数据'!$A:$A,0)),""))</f>
        <v/>
      </c>
      <c r="S897">
        <f>IF($A897="","",IFERROR(INDEX('[AQ_2022.xlsx]原始数据'!$E:$E,MATCH($A897,'[AQ_2022.xlsx]原始数据'!$A:$A,0)),""))</f>
        <v/>
      </c>
      <c r="T897">
        <f>IF($A897="","",IFERROR(INDEX('[AQ_2023.xlsx]原始数据'!$E:$E,MATCH($A897,'[AQ_2023.xlsx]原始数据'!$A:$A,0)),""))</f>
        <v/>
      </c>
      <c r="U897">
        <f>IF($A897="","",IFERROR(INDEX('[AQ_2024.xlsx]原始数据'!$E:$E,MATCH($A897,'[AQ_2024.xlsx]原始数据'!$A:$A,0)),""))</f>
        <v/>
      </c>
      <c r="V897">
        <f>IF($A897="","",IFERROR(INDEX('[AQ_2020.xlsx]原始数据'!$F:$F,MATCH($A897,'[AQ_2020.xlsx]原始数据'!$A:$A,0)),""))</f>
        <v/>
      </c>
      <c r="W897">
        <f>IF($A897="","",IFERROR(INDEX('[AQ_2021.xlsx]原始数据'!$F:$F,MATCH($A897,'[AQ_2021.xlsx]原始数据'!$A:$A,0)),""))</f>
        <v/>
      </c>
      <c r="X897">
        <f>IF($A897="","",IFERROR(INDEX('[AQ_2022.xlsx]原始数据'!$F:$F,MATCH($A897,'[AQ_2022.xlsx]原始数据'!$A:$A,0)),""))</f>
        <v/>
      </c>
      <c r="Y897">
        <f>IF($A897="","",IFERROR(INDEX('[AQ_2023.xlsx]原始数据'!$F:$F,MATCH($A897,'[AQ_2023.xlsx]原始数据'!$A:$A,0)),""))</f>
        <v/>
      </c>
      <c r="Z897">
        <f>IF($A897="","",IFERROR(INDEX('[AQ_2024.xlsx]原始数据'!$F:$F,MATCH($A897,'[AQ_2024.xlsx]原始数据'!$A:$A,0)),""))</f>
        <v/>
      </c>
      <c r="AA897" s="2">
        <f>IFERROR(G897/B897,"")</f>
        <v/>
      </c>
      <c r="AB897" s="2">
        <f>IFERROR(H897/C897,"")</f>
        <v/>
      </c>
      <c r="AC897" s="2">
        <f>IFERROR(I897/D897,"")</f>
        <v/>
      </c>
      <c r="AD897" s="2">
        <f>IFERROR(J897/E897,"")</f>
        <v/>
      </c>
      <c r="AE897" s="2">
        <f>IFERROR(K897/F897,"")</f>
        <v/>
      </c>
      <c r="AF897" s="2">
        <f>IFERROR(L897/B897,"")</f>
        <v/>
      </c>
      <c r="AG897" s="2">
        <f>IFERROR(M897/C897,"")</f>
        <v/>
      </c>
      <c r="AH897" s="2">
        <f>IFERROR(N897/D897,"")</f>
        <v/>
      </c>
      <c r="AI897" s="2">
        <f>IFERROR(O897/E897,"")</f>
        <v/>
      </c>
      <c r="AJ897" s="2">
        <f>IFERROR(P897/F897,"")</f>
        <v/>
      </c>
      <c r="AK897" s="2">
        <f>IFERROR(Q897/B897,"")</f>
        <v/>
      </c>
      <c r="AL897" s="2">
        <f>IFERROR(R897/C897,"")</f>
        <v/>
      </c>
      <c r="AM897" s="2">
        <f>IFERROR(S897/D897,"")</f>
        <v/>
      </c>
      <c r="AN897" s="2">
        <f>IFERROR(T897/E897,"")</f>
        <v/>
      </c>
      <c r="AO897" s="2">
        <f>IFERROR(U897/F897,"")</f>
        <v/>
      </c>
    </row>
    <row r="898">
      <c r="B898">
        <f>IF($A898="","",IFERROR(INDEX('[AQ_2020.xlsx]原始数据'!$B:$B,MATCH($A898,'[AQ_2020.xlsx]原始数据'!$A:$A,0)),""))</f>
        <v/>
      </c>
      <c r="C898">
        <f>IF($A898="","",IFERROR(INDEX('[AQ_2021.xlsx]原始数据'!$B:$B,MATCH($A898,'[AQ_2021.xlsx]原始数据'!$A:$A,0)),""))</f>
        <v/>
      </c>
      <c r="D898">
        <f>IF($A898="","",IFERROR(INDEX('[AQ_2022.xlsx]原始数据'!$B:$B,MATCH($A898,'[AQ_2022.xlsx]原始数据'!$A:$A,0)),""))</f>
        <v/>
      </c>
      <c r="E898">
        <f>IF($A898="","",IFERROR(INDEX('[AQ_2023.xlsx]原始数据'!$B:$B,MATCH($A898,'[AQ_2023.xlsx]原始数据'!$A:$A,0)),""))</f>
        <v/>
      </c>
      <c r="F898">
        <f>IF($A898="","",IFERROR(INDEX('[AQ_2024.xlsx]原始数据'!$B:$B,MATCH($A898,'[AQ_2024.xlsx]原始数据'!$A:$A,0)),""))</f>
        <v/>
      </c>
      <c r="G898">
        <f>IF($A898="","",IFERROR(INDEX('[AQ_2020.xlsx]原始数据'!$C:$C,MATCH($A898,'[AQ_2020.xlsx]原始数据'!$A:$A,0)),""))</f>
        <v/>
      </c>
      <c r="H898">
        <f>IF($A898="","",IFERROR(INDEX('[AQ_2021.xlsx]原始数据'!$C:$C,MATCH($A898,'[AQ_2021.xlsx]原始数据'!$A:$A,0)),""))</f>
        <v/>
      </c>
      <c r="I898">
        <f>IF($A898="","",IFERROR(INDEX('[AQ_2022.xlsx]原始数据'!$C:$C,MATCH($A898,'[AQ_2022.xlsx]原始数据'!$A:$A,0)),""))</f>
        <v/>
      </c>
      <c r="J898">
        <f>IF($A898="","",IFERROR(INDEX('[AQ_2023.xlsx]原始数据'!$C:$C,MATCH($A898,'[AQ_2023.xlsx]原始数据'!$A:$A,0)),""))</f>
        <v/>
      </c>
      <c r="K898">
        <f>IF($A898="","",IFERROR(INDEX('[AQ_2024.xlsx]原始数据'!$C:$C,MATCH($A898,'[AQ_2024.xlsx]原始数据'!$A:$A,0)),""))</f>
        <v/>
      </c>
      <c r="L898">
        <f>IF($A898="","",IFERROR(INDEX('[AQ_2020.xlsx]原始数据'!$D:$D,MATCH($A898,'[AQ_2020.xlsx]原始数据'!$A:$A,0)),""))</f>
        <v/>
      </c>
      <c r="M898">
        <f>IF($A898="","",IFERROR(INDEX('[AQ_2021.xlsx]原始数据'!$D:$D,MATCH($A898,'[AQ_2021.xlsx]原始数据'!$A:$A,0)),""))</f>
        <v/>
      </c>
      <c r="N898">
        <f>IF($A898="","",IFERROR(INDEX('[AQ_2022.xlsx]原始数据'!$D:$D,MATCH($A898,'[AQ_2022.xlsx]原始数据'!$A:$A,0)),""))</f>
        <v/>
      </c>
      <c r="O898">
        <f>IF($A898="","",IFERROR(INDEX('[AQ_2023.xlsx]原始数据'!$D:$D,MATCH($A898,'[AQ_2023.xlsx]原始数据'!$A:$A,0)),""))</f>
        <v/>
      </c>
      <c r="P898">
        <f>IF($A898="","",IFERROR(INDEX('[AQ_2024.xlsx]原始数据'!$D:$D,MATCH($A898,'[AQ_2024.xlsx]原始数据'!$A:$A,0)),""))</f>
        <v/>
      </c>
      <c r="Q898">
        <f>IF($A898="","",IFERROR(INDEX('[AQ_2020.xlsx]原始数据'!$E:$E,MATCH($A898,'[AQ_2020.xlsx]原始数据'!$A:$A,0)),""))</f>
        <v/>
      </c>
      <c r="R898">
        <f>IF($A898="","",IFERROR(INDEX('[AQ_2021.xlsx]原始数据'!$E:$E,MATCH($A898,'[AQ_2021.xlsx]原始数据'!$A:$A,0)),""))</f>
        <v/>
      </c>
      <c r="S898">
        <f>IF($A898="","",IFERROR(INDEX('[AQ_2022.xlsx]原始数据'!$E:$E,MATCH($A898,'[AQ_2022.xlsx]原始数据'!$A:$A,0)),""))</f>
        <v/>
      </c>
      <c r="T898">
        <f>IF($A898="","",IFERROR(INDEX('[AQ_2023.xlsx]原始数据'!$E:$E,MATCH($A898,'[AQ_2023.xlsx]原始数据'!$A:$A,0)),""))</f>
        <v/>
      </c>
      <c r="U898">
        <f>IF($A898="","",IFERROR(INDEX('[AQ_2024.xlsx]原始数据'!$E:$E,MATCH($A898,'[AQ_2024.xlsx]原始数据'!$A:$A,0)),""))</f>
        <v/>
      </c>
      <c r="V898">
        <f>IF($A898="","",IFERROR(INDEX('[AQ_2020.xlsx]原始数据'!$F:$F,MATCH($A898,'[AQ_2020.xlsx]原始数据'!$A:$A,0)),""))</f>
        <v/>
      </c>
      <c r="W898">
        <f>IF($A898="","",IFERROR(INDEX('[AQ_2021.xlsx]原始数据'!$F:$F,MATCH($A898,'[AQ_2021.xlsx]原始数据'!$A:$A,0)),""))</f>
        <v/>
      </c>
      <c r="X898">
        <f>IF($A898="","",IFERROR(INDEX('[AQ_2022.xlsx]原始数据'!$F:$F,MATCH($A898,'[AQ_2022.xlsx]原始数据'!$A:$A,0)),""))</f>
        <v/>
      </c>
      <c r="Y898">
        <f>IF($A898="","",IFERROR(INDEX('[AQ_2023.xlsx]原始数据'!$F:$F,MATCH($A898,'[AQ_2023.xlsx]原始数据'!$A:$A,0)),""))</f>
        <v/>
      </c>
      <c r="Z898">
        <f>IF($A898="","",IFERROR(INDEX('[AQ_2024.xlsx]原始数据'!$F:$F,MATCH($A898,'[AQ_2024.xlsx]原始数据'!$A:$A,0)),""))</f>
        <v/>
      </c>
      <c r="AA898" s="2">
        <f>IFERROR(G898/B898,"")</f>
        <v/>
      </c>
      <c r="AB898" s="2">
        <f>IFERROR(H898/C898,"")</f>
        <v/>
      </c>
      <c r="AC898" s="2">
        <f>IFERROR(I898/D898,"")</f>
        <v/>
      </c>
      <c r="AD898" s="2">
        <f>IFERROR(J898/E898,"")</f>
        <v/>
      </c>
      <c r="AE898" s="2">
        <f>IFERROR(K898/F898,"")</f>
        <v/>
      </c>
      <c r="AF898" s="2">
        <f>IFERROR(L898/B898,"")</f>
        <v/>
      </c>
      <c r="AG898" s="2">
        <f>IFERROR(M898/C898,"")</f>
        <v/>
      </c>
      <c r="AH898" s="2">
        <f>IFERROR(N898/D898,"")</f>
        <v/>
      </c>
      <c r="AI898" s="2">
        <f>IFERROR(O898/E898,"")</f>
        <v/>
      </c>
      <c r="AJ898" s="2">
        <f>IFERROR(P898/F898,"")</f>
        <v/>
      </c>
      <c r="AK898" s="2">
        <f>IFERROR(Q898/B898,"")</f>
        <v/>
      </c>
      <c r="AL898" s="2">
        <f>IFERROR(R898/C898,"")</f>
        <v/>
      </c>
      <c r="AM898" s="2">
        <f>IFERROR(S898/D898,"")</f>
        <v/>
      </c>
      <c r="AN898" s="2">
        <f>IFERROR(T898/E898,"")</f>
        <v/>
      </c>
      <c r="AO898" s="2">
        <f>IFERROR(U898/F898,"")</f>
        <v/>
      </c>
    </row>
    <row r="899">
      <c r="B899">
        <f>IF($A899="","",IFERROR(INDEX('[AQ_2020.xlsx]原始数据'!$B:$B,MATCH($A899,'[AQ_2020.xlsx]原始数据'!$A:$A,0)),""))</f>
        <v/>
      </c>
      <c r="C899">
        <f>IF($A899="","",IFERROR(INDEX('[AQ_2021.xlsx]原始数据'!$B:$B,MATCH($A899,'[AQ_2021.xlsx]原始数据'!$A:$A,0)),""))</f>
        <v/>
      </c>
      <c r="D899">
        <f>IF($A899="","",IFERROR(INDEX('[AQ_2022.xlsx]原始数据'!$B:$B,MATCH($A899,'[AQ_2022.xlsx]原始数据'!$A:$A,0)),""))</f>
        <v/>
      </c>
      <c r="E899">
        <f>IF($A899="","",IFERROR(INDEX('[AQ_2023.xlsx]原始数据'!$B:$B,MATCH($A899,'[AQ_2023.xlsx]原始数据'!$A:$A,0)),""))</f>
        <v/>
      </c>
      <c r="F899">
        <f>IF($A899="","",IFERROR(INDEX('[AQ_2024.xlsx]原始数据'!$B:$B,MATCH($A899,'[AQ_2024.xlsx]原始数据'!$A:$A,0)),""))</f>
        <v/>
      </c>
      <c r="G899">
        <f>IF($A899="","",IFERROR(INDEX('[AQ_2020.xlsx]原始数据'!$C:$C,MATCH($A899,'[AQ_2020.xlsx]原始数据'!$A:$A,0)),""))</f>
        <v/>
      </c>
      <c r="H899">
        <f>IF($A899="","",IFERROR(INDEX('[AQ_2021.xlsx]原始数据'!$C:$C,MATCH($A899,'[AQ_2021.xlsx]原始数据'!$A:$A,0)),""))</f>
        <v/>
      </c>
      <c r="I899">
        <f>IF($A899="","",IFERROR(INDEX('[AQ_2022.xlsx]原始数据'!$C:$C,MATCH($A899,'[AQ_2022.xlsx]原始数据'!$A:$A,0)),""))</f>
        <v/>
      </c>
      <c r="J899">
        <f>IF($A899="","",IFERROR(INDEX('[AQ_2023.xlsx]原始数据'!$C:$C,MATCH($A899,'[AQ_2023.xlsx]原始数据'!$A:$A,0)),""))</f>
        <v/>
      </c>
      <c r="K899">
        <f>IF($A899="","",IFERROR(INDEX('[AQ_2024.xlsx]原始数据'!$C:$C,MATCH($A899,'[AQ_2024.xlsx]原始数据'!$A:$A,0)),""))</f>
        <v/>
      </c>
      <c r="L899">
        <f>IF($A899="","",IFERROR(INDEX('[AQ_2020.xlsx]原始数据'!$D:$D,MATCH($A899,'[AQ_2020.xlsx]原始数据'!$A:$A,0)),""))</f>
        <v/>
      </c>
      <c r="M899">
        <f>IF($A899="","",IFERROR(INDEX('[AQ_2021.xlsx]原始数据'!$D:$D,MATCH($A899,'[AQ_2021.xlsx]原始数据'!$A:$A,0)),""))</f>
        <v/>
      </c>
      <c r="N899">
        <f>IF($A899="","",IFERROR(INDEX('[AQ_2022.xlsx]原始数据'!$D:$D,MATCH($A899,'[AQ_2022.xlsx]原始数据'!$A:$A,0)),""))</f>
        <v/>
      </c>
      <c r="O899">
        <f>IF($A899="","",IFERROR(INDEX('[AQ_2023.xlsx]原始数据'!$D:$D,MATCH($A899,'[AQ_2023.xlsx]原始数据'!$A:$A,0)),""))</f>
        <v/>
      </c>
      <c r="P899">
        <f>IF($A899="","",IFERROR(INDEX('[AQ_2024.xlsx]原始数据'!$D:$D,MATCH($A899,'[AQ_2024.xlsx]原始数据'!$A:$A,0)),""))</f>
        <v/>
      </c>
      <c r="Q899">
        <f>IF($A899="","",IFERROR(INDEX('[AQ_2020.xlsx]原始数据'!$E:$E,MATCH($A899,'[AQ_2020.xlsx]原始数据'!$A:$A,0)),""))</f>
        <v/>
      </c>
      <c r="R899">
        <f>IF($A899="","",IFERROR(INDEX('[AQ_2021.xlsx]原始数据'!$E:$E,MATCH($A899,'[AQ_2021.xlsx]原始数据'!$A:$A,0)),""))</f>
        <v/>
      </c>
      <c r="S899">
        <f>IF($A899="","",IFERROR(INDEX('[AQ_2022.xlsx]原始数据'!$E:$E,MATCH($A899,'[AQ_2022.xlsx]原始数据'!$A:$A,0)),""))</f>
        <v/>
      </c>
      <c r="T899">
        <f>IF($A899="","",IFERROR(INDEX('[AQ_2023.xlsx]原始数据'!$E:$E,MATCH($A899,'[AQ_2023.xlsx]原始数据'!$A:$A,0)),""))</f>
        <v/>
      </c>
      <c r="U899">
        <f>IF($A899="","",IFERROR(INDEX('[AQ_2024.xlsx]原始数据'!$E:$E,MATCH($A899,'[AQ_2024.xlsx]原始数据'!$A:$A,0)),""))</f>
        <v/>
      </c>
      <c r="V899">
        <f>IF($A899="","",IFERROR(INDEX('[AQ_2020.xlsx]原始数据'!$F:$F,MATCH($A899,'[AQ_2020.xlsx]原始数据'!$A:$A,0)),""))</f>
        <v/>
      </c>
      <c r="W899">
        <f>IF($A899="","",IFERROR(INDEX('[AQ_2021.xlsx]原始数据'!$F:$F,MATCH($A899,'[AQ_2021.xlsx]原始数据'!$A:$A,0)),""))</f>
        <v/>
      </c>
      <c r="X899">
        <f>IF($A899="","",IFERROR(INDEX('[AQ_2022.xlsx]原始数据'!$F:$F,MATCH($A899,'[AQ_2022.xlsx]原始数据'!$A:$A,0)),""))</f>
        <v/>
      </c>
      <c r="Y899">
        <f>IF($A899="","",IFERROR(INDEX('[AQ_2023.xlsx]原始数据'!$F:$F,MATCH($A899,'[AQ_2023.xlsx]原始数据'!$A:$A,0)),""))</f>
        <v/>
      </c>
      <c r="Z899">
        <f>IF($A899="","",IFERROR(INDEX('[AQ_2024.xlsx]原始数据'!$F:$F,MATCH($A899,'[AQ_2024.xlsx]原始数据'!$A:$A,0)),""))</f>
        <v/>
      </c>
      <c r="AA899" s="2">
        <f>IFERROR(G899/B899,"")</f>
        <v/>
      </c>
      <c r="AB899" s="2">
        <f>IFERROR(H899/C899,"")</f>
        <v/>
      </c>
      <c r="AC899" s="2">
        <f>IFERROR(I899/D899,"")</f>
        <v/>
      </c>
      <c r="AD899" s="2">
        <f>IFERROR(J899/E899,"")</f>
        <v/>
      </c>
      <c r="AE899" s="2">
        <f>IFERROR(K899/F899,"")</f>
        <v/>
      </c>
      <c r="AF899" s="2">
        <f>IFERROR(L899/B899,"")</f>
        <v/>
      </c>
      <c r="AG899" s="2">
        <f>IFERROR(M899/C899,"")</f>
        <v/>
      </c>
      <c r="AH899" s="2">
        <f>IFERROR(N899/D899,"")</f>
        <v/>
      </c>
      <c r="AI899" s="2">
        <f>IFERROR(O899/E899,"")</f>
        <v/>
      </c>
      <c r="AJ899" s="2">
        <f>IFERROR(P899/F899,"")</f>
        <v/>
      </c>
      <c r="AK899" s="2">
        <f>IFERROR(Q899/B899,"")</f>
        <v/>
      </c>
      <c r="AL899" s="2">
        <f>IFERROR(R899/C899,"")</f>
        <v/>
      </c>
      <c r="AM899" s="2">
        <f>IFERROR(S899/D899,"")</f>
        <v/>
      </c>
      <c r="AN899" s="2">
        <f>IFERROR(T899/E899,"")</f>
        <v/>
      </c>
      <c r="AO899" s="2">
        <f>IFERROR(U899/F899,"")</f>
        <v/>
      </c>
    </row>
    <row r="900">
      <c r="B900">
        <f>IF($A900="","",IFERROR(INDEX('[AQ_2020.xlsx]原始数据'!$B:$B,MATCH($A900,'[AQ_2020.xlsx]原始数据'!$A:$A,0)),""))</f>
        <v/>
      </c>
      <c r="C900">
        <f>IF($A900="","",IFERROR(INDEX('[AQ_2021.xlsx]原始数据'!$B:$B,MATCH($A900,'[AQ_2021.xlsx]原始数据'!$A:$A,0)),""))</f>
        <v/>
      </c>
      <c r="D900">
        <f>IF($A900="","",IFERROR(INDEX('[AQ_2022.xlsx]原始数据'!$B:$B,MATCH($A900,'[AQ_2022.xlsx]原始数据'!$A:$A,0)),""))</f>
        <v/>
      </c>
      <c r="E900">
        <f>IF($A900="","",IFERROR(INDEX('[AQ_2023.xlsx]原始数据'!$B:$B,MATCH($A900,'[AQ_2023.xlsx]原始数据'!$A:$A,0)),""))</f>
        <v/>
      </c>
      <c r="F900">
        <f>IF($A900="","",IFERROR(INDEX('[AQ_2024.xlsx]原始数据'!$B:$B,MATCH($A900,'[AQ_2024.xlsx]原始数据'!$A:$A,0)),""))</f>
        <v/>
      </c>
      <c r="G900">
        <f>IF($A900="","",IFERROR(INDEX('[AQ_2020.xlsx]原始数据'!$C:$C,MATCH($A900,'[AQ_2020.xlsx]原始数据'!$A:$A,0)),""))</f>
        <v/>
      </c>
      <c r="H900">
        <f>IF($A900="","",IFERROR(INDEX('[AQ_2021.xlsx]原始数据'!$C:$C,MATCH($A900,'[AQ_2021.xlsx]原始数据'!$A:$A,0)),""))</f>
        <v/>
      </c>
      <c r="I900">
        <f>IF($A900="","",IFERROR(INDEX('[AQ_2022.xlsx]原始数据'!$C:$C,MATCH($A900,'[AQ_2022.xlsx]原始数据'!$A:$A,0)),""))</f>
        <v/>
      </c>
      <c r="J900">
        <f>IF($A900="","",IFERROR(INDEX('[AQ_2023.xlsx]原始数据'!$C:$C,MATCH($A900,'[AQ_2023.xlsx]原始数据'!$A:$A,0)),""))</f>
        <v/>
      </c>
      <c r="K900">
        <f>IF($A900="","",IFERROR(INDEX('[AQ_2024.xlsx]原始数据'!$C:$C,MATCH($A900,'[AQ_2024.xlsx]原始数据'!$A:$A,0)),""))</f>
        <v/>
      </c>
      <c r="L900">
        <f>IF($A900="","",IFERROR(INDEX('[AQ_2020.xlsx]原始数据'!$D:$D,MATCH($A900,'[AQ_2020.xlsx]原始数据'!$A:$A,0)),""))</f>
        <v/>
      </c>
      <c r="M900">
        <f>IF($A900="","",IFERROR(INDEX('[AQ_2021.xlsx]原始数据'!$D:$D,MATCH($A900,'[AQ_2021.xlsx]原始数据'!$A:$A,0)),""))</f>
        <v/>
      </c>
      <c r="N900">
        <f>IF($A900="","",IFERROR(INDEX('[AQ_2022.xlsx]原始数据'!$D:$D,MATCH($A900,'[AQ_2022.xlsx]原始数据'!$A:$A,0)),""))</f>
        <v/>
      </c>
      <c r="O900">
        <f>IF($A900="","",IFERROR(INDEX('[AQ_2023.xlsx]原始数据'!$D:$D,MATCH($A900,'[AQ_2023.xlsx]原始数据'!$A:$A,0)),""))</f>
        <v/>
      </c>
      <c r="P900">
        <f>IF($A900="","",IFERROR(INDEX('[AQ_2024.xlsx]原始数据'!$D:$D,MATCH($A900,'[AQ_2024.xlsx]原始数据'!$A:$A,0)),""))</f>
        <v/>
      </c>
      <c r="Q900">
        <f>IF($A900="","",IFERROR(INDEX('[AQ_2020.xlsx]原始数据'!$E:$E,MATCH($A900,'[AQ_2020.xlsx]原始数据'!$A:$A,0)),""))</f>
        <v/>
      </c>
      <c r="R900">
        <f>IF($A900="","",IFERROR(INDEX('[AQ_2021.xlsx]原始数据'!$E:$E,MATCH($A900,'[AQ_2021.xlsx]原始数据'!$A:$A,0)),""))</f>
        <v/>
      </c>
      <c r="S900">
        <f>IF($A900="","",IFERROR(INDEX('[AQ_2022.xlsx]原始数据'!$E:$E,MATCH($A900,'[AQ_2022.xlsx]原始数据'!$A:$A,0)),""))</f>
        <v/>
      </c>
      <c r="T900">
        <f>IF($A900="","",IFERROR(INDEX('[AQ_2023.xlsx]原始数据'!$E:$E,MATCH($A900,'[AQ_2023.xlsx]原始数据'!$A:$A,0)),""))</f>
        <v/>
      </c>
      <c r="U900">
        <f>IF($A900="","",IFERROR(INDEX('[AQ_2024.xlsx]原始数据'!$E:$E,MATCH($A900,'[AQ_2024.xlsx]原始数据'!$A:$A,0)),""))</f>
        <v/>
      </c>
      <c r="V900">
        <f>IF($A900="","",IFERROR(INDEX('[AQ_2020.xlsx]原始数据'!$F:$F,MATCH($A900,'[AQ_2020.xlsx]原始数据'!$A:$A,0)),""))</f>
        <v/>
      </c>
      <c r="W900">
        <f>IF($A900="","",IFERROR(INDEX('[AQ_2021.xlsx]原始数据'!$F:$F,MATCH($A900,'[AQ_2021.xlsx]原始数据'!$A:$A,0)),""))</f>
        <v/>
      </c>
      <c r="X900">
        <f>IF($A900="","",IFERROR(INDEX('[AQ_2022.xlsx]原始数据'!$F:$F,MATCH($A900,'[AQ_2022.xlsx]原始数据'!$A:$A,0)),""))</f>
        <v/>
      </c>
      <c r="Y900">
        <f>IF($A900="","",IFERROR(INDEX('[AQ_2023.xlsx]原始数据'!$F:$F,MATCH($A900,'[AQ_2023.xlsx]原始数据'!$A:$A,0)),""))</f>
        <v/>
      </c>
      <c r="Z900">
        <f>IF($A900="","",IFERROR(INDEX('[AQ_2024.xlsx]原始数据'!$F:$F,MATCH($A900,'[AQ_2024.xlsx]原始数据'!$A:$A,0)),""))</f>
        <v/>
      </c>
      <c r="AA900" s="2">
        <f>IFERROR(G900/B900,"")</f>
        <v/>
      </c>
      <c r="AB900" s="2">
        <f>IFERROR(H900/C900,"")</f>
        <v/>
      </c>
      <c r="AC900" s="2">
        <f>IFERROR(I900/D900,"")</f>
        <v/>
      </c>
      <c r="AD900" s="2">
        <f>IFERROR(J900/E900,"")</f>
        <v/>
      </c>
      <c r="AE900" s="2">
        <f>IFERROR(K900/F900,"")</f>
        <v/>
      </c>
      <c r="AF900" s="2">
        <f>IFERROR(L900/B900,"")</f>
        <v/>
      </c>
      <c r="AG900" s="2">
        <f>IFERROR(M900/C900,"")</f>
        <v/>
      </c>
      <c r="AH900" s="2">
        <f>IFERROR(N900/D900,"")</f>
        <v/>
      </c>
      <c r="AI900" s="2">
        <f>IFERROR(O900/E900,"")</f>
        <v/>
      </c>
      <c r="AJ900" s="2">
        <f>IFERROR(P900/F900,"")</f>
        <v/>
      </c>
      <c r="AK900" s="2">
        <f>IFERROR(Q900/B900,"")</f>
        <v/>
      </c>
      <c r="AL900" s="2">
        <f>IFERROR(R900/C900,"")</f>
        <v/>
      </c>
      <c r="AM900" s="2">
        <f>IFERROR(S900/D900,"")</f>
        <v/>
      </c>
      <c r="AN900" s="2">
        <f>IFERROR(T900/E900,"")</f>
        <v/>
      </c>
      <c r="AO900" s="2">
        <f>IFERROR(U900/F900,"")</f>
        <v/>
      </c>
    </row>
    <row r="901">
      <c r="B901">
        <f>IF($A901="","",IFERROR(INDEX('[AQ_2020.xlsx]原始数据'!$B:$B,MATCH($A901,'[AQ_2020.xlsx]原始数据'!$A:$A,0)),""))</f>
        <v/>
      </c>
      <c r="C901">
        <f>IF($A901="","",IFERROR(INDEX('[AQ_2021.xlsx]原始数据'!$B:$B,MATCH($A901,'[AQ_2021.xlsx]原始数据'!$A:$A,0)),""))</f>
        <v/>
      </c>
      <c r="D901">
        <f>IF($A901="","",IFERROR(INDEX('[AQ_2022.xlsx]原始数据'!$B:$B,MATCH($A901,'[AQ_2022.xlsx]原始数据'!$A:$A,0)),""))</f>
        <v/>
      </c>
      <c r="E901">
        <f>IF($A901="","",IFERROR(INDEX('[AQ_2023.xlsx]原始数据'!$B:$B,MATCH($A901,'[AQ_2023.xlsx]原始数据'!$A:$A,0)),""))</f>
        <v/>
      </c>
      <c r="F901">
        <f>IF($A901="","",IFERROR(INDEX('[AQ_2024.xlsx]原始数据'!$B:$B,MATCH($A901,'[AQ_2024.xlsx]原始数据'!$A:$A,0)),""))</f>
        <v/>
      </c>
      <c r="G901">
        <f>IF($A901="","",IFERROR(INDEX('[AQ_2020.xlsx]原始数据'!$C:$C,MATCH($A901,'[AQ_2020.xlsx]原始数据'!$A:$A,0)),""))</f>
        <v/>
      </c>
      <c r="H901">
        <f>IF($A901="","",IFERROR(INDEX('[AQ_2021.xlsx]原始数据'!$C:$C,MATCH($A901,'[AQ_2021.xlsx]原始数据'!$A:$A,0)),""))</f>
        <v/>
      </c>
      <c r="I901">
        <f>IF($A901="","",IFERROR(INDEX('[AQ_2022.xlsx]原始数据'!$C:$C,MATCH($A901,'[AQ_2022.xlsx]原始数据'!$A:$A,0)),""))</f>
        <v/>
      </c>
      <c r="J901">
        <f>IF($A901="","",IFERROR(INDEX('[AQ_2023.xlsx]原始数据'!$C:$C,MATCH($A901,'[AQ_2023.xlsx]原始数据'!$A:$A,0)),""))</f>
        <v/>
      </c>
      <c r="K901">
        <f>IF($A901="","",IFERROR(INDEX('[AQ_2024.xlsx]原始数据'!$C:$C,MATCH($A901,'[AQ_2024.xlsx]原始数据'!$A:$A,0)),""))</f>
        <v/>
      </c>
      <c r="L901">
        <f>IF($A901="","",IFERROR(INDEX('[AQ_2020.xlsx]原始数据'!$D:$D,MATCH($A901,'[AQ_2020.xlsx]原始数据'!$A:$A,0)),""))</f>
        <v/>
      </c>
      <c r="M901">
        <f>IF($A901="","",IFERROR(INDEX('[AQ_2021.xlsx]原始数据'!$D:$D,MATCH($A901,'[AQ_2021.xlsx]原始数据'!$A:$A,0)),""))</f>
        <v/>
      </c>
      <c r="N901">
        <f>IF($A901="","",IFERROR(INDEX('[AQ_2022.xlsx]原始数据'!$D:$D,MATCH($A901,'[AQ_2022.xlsx]原始数据'!$A:$A,0)),""))</f>
        <v/>
      </c>
      <c r="O901">
        <f>IF($A901="","",IFERROR(INDEX('[AQ_2023.xlsx]原始数据'!$D:$D,MATCH($A901,'[AQ_2023.xlsx]原始数据'!$A:$A,0)),""))</f>
        <v/>
      </c>
      <c r="P901">
        <f>IF($A901="","",IFERROR(INDEX('[AQ_2024.xlsx]原始数据'!$D:$D,MATCH($A901,'[AQ_2024.xlsx]原始数据'!$A:$A,0)),""))</f>
        <v/>
      </c>
      <c r="Q901">
        <f>IF($A901="","",IFERROR(INDEX('[AQ_2020.xlsx]原始数据'!$E:$E,MATCH($A901,'[AQ_2020.xlsx]原始数据'!$A:$A,0)),""))</f>
        <v/>
      </c>
      <c r="R901">
        <f>IF($A901="","",IFERROR(INDEX('[AQ_2021.xlsx]原始数据'!$E:$E,MATCH($A901,'[AQ_2021.xlsx]原始数据'!$A:$A,0)),""))</f>
        <v/>
      </c>
      <c r="S901">
        <f>IF($A901="","",IFERROR(INDEX('[AQ_2022.xlsx]原始数据'!$E:$E,MATCH($A901,'[AQ_2022.xlsx]原始数据'!$A:$A,0)),""))</f>
        <v/>
      </c>
      <c r="T901">
        <f>IF($A901="","",IFERROR(INDEX('[AQ_2023.xlsx]原始数据'!$E:$E,MATCH($A901,'[AQ_2023.xlsx]原始数据'!$A:$A,0)),""))</f>
        <v/>
      </c>
      <c r="U901">
        <f>IF($A901="","",IFERROR(INDEX('[AQ_2024.xlsx]原始数据'!$E:$E,MATCH($A901,'[AQ_2024.xlsx]原始数据'!$A:$A,0)),""))</f>
        <v/>
      </c>
      <c r="V901">
        <f>IF($A901="","",IFERROR(INDEX('[AQ_2020.xlsx]原始数据'!$F:$F,MATCH($A901,'[AQ_2020.xlsx]原始数据'!$A:$A,0)),""))</f>
        <v/>
      </c>
      <c r="W901">
        <f>IF($A901="","",IFERROR(INDEX('[AQ_2021.xlsx]原始数据'!$F:$F,MATCH($A901,'[AQ_2021.xlsx]原始数据'!$A:$A,0)),""))</f>
        <v/>
      </c>
      <c r="X901">
        <f>IF($A901="","",IFERROR(INDEX('[AQ_2022.xlsx]原始数据'!$F:$F,MATCH($A901,'[AQ_2022.xlsx]原始数据'!$A:$A,0)),""))</f>
        <v/>
      </c>
      <c r="Y901">
        <f>IF($A901="","",IFERROR(INDEX('[AQ_2023.xlsx]原始数据'!$F:$F,MATCH($A901,'[AQ_2023.xlsx]原始数据'!$A:$A,0)),""))</f>
        <v/>
      </c>
      <c r="Z901">
        <f>IF($A901="","",IFERROR(INDEX('[AQ_2024.xlsx]原始数据'!$F:$F,MATCH($A901,'[AQ_2024.xlsx]原始数据'!$A:$A,0)),""))</f>
        <v/>
      </c>
      <c r="AA901" s="2">
        <f>IFERROR(G901/B901,"")</f>
        <v/>
      </c>
      <c r="AB901" s="2">
        <f>IFERROR(H901/C901,"")</f>
        <v/>
      </c>
      <c r="AC901" s="2">
        <f>IFERROR(I901/D901,"")</f>
        <v/>
      </c>
      <c r="AD901" s="2">
        <f>IFERROR(J901/E901,"")</f>
        <v/>
      </c>
      <c r="AE901" s="2">
        <f>IFERROR(K901/F901,"")</f>
        <v/>
      </c>
      <c r="AF901" s="2">
        <f>IFERROR(L901/B901,"")</f>
        <v/>
      </c>
      <c r="AG901" s="2">
        <f>IFERROR(M901/C901,"")</f>
        <v/>
      </c>
      <c r="AH901" s="2">
        <f>IFERROR(N901/D901,"")</f>
        <v/>
      </c>
      <c r="AI901" s="2">
        <f>IFERROR(O901/E901,"")</f>
        <v/>
      </c>
      <c r="AJ901" s="2">
        <f>IFERROR(P901/F901,"")</f>
        <v/>
      </c>
      <c r="AK901" s="2">
        <f>IFERROR(Q901/B901,"")</f>
        <v/>
      </c>
      <c r="AL901" s="2">
        <f>IFERROR(R901/C901,"")</f>
        <v/>
      </c>
      <c r="AM901" s="2">
        <f>IFERROR(S901/D901,"")</f>
        <v/>
      </c>
      <c r="AN901" s="2">
        <f>IFERROR(T901/E901,"")</f>
        <v/>
      </c>
      <c r="AO901" s="2">
        <f>IFERROR(U901/F901,"")</f>
        <v/>
      </c>
    </row>
    <row r="902">
      <c r="B902">
        <f>IF($A902="","",IFERROR(INDEX('[AQ_2020.xlsx]原始数据'!$B:$B,MATCH($A902,'[AQ_2020.xlsx]原始数据'!$A:$A,0)),""))</f>
        <v/>
      </c>
      <c r="C902">
        <f>IF($A902="","",IFERROR(INDEX('[AQ_2021.xlsx]原始数据'!$B:$B,MATCH($A902,'[AQ_2021.xlsx]原始数据'!$A:$A,0)),""))</f>
        <v/>
      </c>
      <c r="D902">
        <f>IF($A902="","",IFERROR(INDEX('[AQ_2022.xlsx]原始数据'!$B:$B,MATCH($A902,'[AQ_2022.xlsx]原始数据'!$A:$A,0)),""))</f>
        <v/>
      </c>
      <c r="E902">
        <f>IF($A902="","",IFERROR(INDEX('[AQ_2023.xlsx]原始数据'!$B:$B,MATCH($A902,'[AQ_2023.xlsx]原始数据'!$A:$A,0)),""))</f>
        <v/>
      </c>
      <c r="F902">
        <f>IF($A902="","",IFERROR(INDEX('[AQ_2024.xlsx]原始数据'!$B:$B,MATCH($A902,'[AQ_2024.xlsx]原始数据'!$A:$A,0)),""))</f>
        <v/>
      </c>
      <c r="G902">
        <f>IF($A902="","",IFERROR(INDEX('[AQ_2020.xlsx]原始数据'!$C:$C,MATCH($A902,'[AQ_2020.xlsx]原始数据'!$A:$A,0)),""))</f>
        <v/>
      </c>
      <c r="H902">
        <f>IF($A902="","",IFERROR(INDEX('[AQ_2021.xlsx]原始数据'!$C:$C,MATCH($A902,'[AQ_2021.xlsx]原始数据'!$A:$A,0)),""))</f>
        <v/>
      </c>
      <c r="I902">
        <f>IF($A902="","",IFERROR(INDEX('[AQ_2022.xlsx]原始数据'!$C:$C,MATCH($A902,'[AQ_2022.xlsx]原始数据'!$A:$A,0)),""))</f>
        <v/>
      </c>
      <c r="J902">
        <f>IF($A902="","",IFERROR(INDEX('[AQ_2023.xlsx]原始数据'!$C:$C,MATCH($A902,'[AQ_2023.xlsx]原始数据'!$A:$A,0)),""))</f>
        <v/>
      </c>
      <c r="K902">
        <f>IF($A902="","",IFERROR(INDEX('[AQ_2024.xlsx]原始数据'!$C:$C,MATCH($A902,'[AQ_2024.xlsx]原始数据'!$A:$A,0)),""))</f>
        <v/>
      </c>
      <c r="L902">
        <f>IF($A902="","",IFERROR(INDEX('[AQ_2020.xlsx]原始数据'!$D:$D,MATCH($A902,'[AQ_2020.xlsx]原始数据'!$A:$A,0)),""))</f>
        <v/>
      </c>
      <c r="M902">
        <f>IF($A902="","",IFERROR(INDEX('[AQ_2021.xlsx]原始数据'!$D:$D,MATCH($A902,'[AQ_2021.xlsx]原始数据'!$A:$A,0)),""))</f>
        <v/>
      </c>
      <c r="N902">
        <f>IF($A902="","",IFERROR(INDEX('[AQ_2022.xlsx]原始数据'!$D:$D,MATCH($A902,'[AQ_2022.xlsx]原始数据'!$A:$A,0)),""))</f>
        <v/>
      </c>
      <c r="O902">
        <f>IF($A902="","",IFERROR(INDEX('[AQ_2023.xlsx]原始数据'!$D:$D,MATCH($A902,'[AQ_2023.xlsx]原始数据'!$A:$A,0)),""))</f>
        <v/>
      </c>
      <c r="P902">
        <f>IF($A902="","",IFERROR(INDEX('[AQ_2024.xlsx]原始数据'!$D:$D,MATCH($A902,'[AQ_2024.xlsx]原始数据'!$A:$A,0)),""))</f>
        <v/>
      </c>
      <c r="Q902">
        <f>IF($A902="","",IFERROR(INDEX('[AQ_2020.xlsx]原始数据'!$E:$E,MATCH($A902,'[AQ_2020.xlsx]原始数据'!$A:$A,0)),""))</f>
        <v/>
      </c>
      <c r="R902">
        <f>IF($A902="","",IFERROR(INDEX('[AQ_2021.xlsx]原始数据'!$E:$E,MATCH($A902,'[AQ_2021.xlsx]原始数据'!$A:$A,0)),""))</f>
        <v/>
      </c>
      <c r="S902">
        <f>IF($A902="","",IFERROR(INDEX('[AQ_2022.xlsx]原始数据'!$E:$E,MATCH($A902,'[AQ_2022.xlsx]原始数据'!$A:$A,0)),""))</f>
        <v/>
      </c>
      <c r="T902">
        <f>IF($A902="","",IFERROR(INDEX('[AQ_2023.xlsx]原始数据'!$E:$E,MATCH($A902,'[AQ_2023.xlsx]原始数据'!$A:$A,0)),""))</f>
        <v/>
      </c>
      <c r="U902">
        <f>IF($A902="","",IFERROR(INDEX('[AQ_2024.xlsx]原始数据'!$E:$E,MATCH($A902,'[AQ_2024.xlsx]原始数据'!$A:$A,0)),""))</f>
        <v/>
      </c>
      <c r="V902">
        <f>IF($A902="","",IFERROR(INDEX('[AQ_2020.xlsx]原始数据'!$F:$F,MATCH($A902,'[AQ_2020.xlsx]原始数据'!$A:$A,0)),""))</f>
        <v/>
      </c>
      <c r="W902">
        <f>IF($A902="","",IFERROR(INDEX('[AQ_2021.xlsx]原始数据'!$F:$F,MATCH($A902,'[AQ_2021.xlsx]原始数据'!$A:$A,0)),""))</f>
        <v/>
      </c>
      <c r="X902">
        <f>IF($A902="","",IFERROR(INDEX('[AQ_2022.xlsx]原始数据'!$F:$F,MATCH($A902,'[AQ_2022.xlsx]原始数据'!$A:$A,0)),""))</f>
        <v/>
      </c>
      <c r="Y902">
        <f>IF($A902="","",IFERROR(INDEX('[AQ_2023.xlsx]原始数据'!$F:$F,MATCH($A902,'[AQ_2023.xlsx]原始数据'!$A:$A,0)),""))</f>
        <v/>
      </c>
      <c r="Z902">
        <f>IF($A902="","",IFERROR(INDEX('[AQ_2024.xlsx]原始数据'!$F:$F,MATCH($A902,'[AQ_2024.xlsx]原始数据'!$A:$A,0)),""))</f>
        <v/>
      </c>
      <c r="AA902" s="2">
        <f>IFERROR(G902/B902,"")</f>
        <v/>
      </c>
      <c r="AB902" s="2">
        <f>IFERROR(H902/C902,"")</f>
        <v/>
      </c>
      <c r="AC902" s="2">
        <f>IFERROR(I902/D902,"")</f>
        <v/>
      </c>
      <c r="AD902" s="2">
        <f>IFERROR(J902/E902,"")</f>
        <v/>
      </c>
      <c r="AE902" s="2">
        <f>IFERROR(K902/F902,"")</f>
        <v/>
      </c>
      <c r="AF902" s="2">
        <f>IFERROR(L902/B902,"")</f>
        <v/>
      </c>
      <c r="AG902" s="2">
        <f>IFERROR(M902/C902,"")</f>
        <v/>
      </c>
      <c r="AH902" s="2">
        <f>IFERROR(N902/D902,"")</f>
        <v/>
      </c>
      <c r="AI902" s="2">
        <f>IFERROR(O902/E902,"")</f>
        <v/>
      </c>
      <c r="AJ902" s="2">
        <f>IFERROR(P902/F902,"")</f>
        <v/>
      </c>
      <c r="AK902" s="2">
        <f>IFERROR(Q902/B902,"")</f>
        <v/>
      </c>
      <c r="AL902" s="2">
        <f>IFERROR(R902/C902,"")</f>
        <v/>
      </c>
      <c r="AM902" s="2">
        <f>IFERROR(S902/D902,"")</f>
        <v/>
      </c>
      <c r="AN902" s="2">
        <f>IFERROR(T902/E902,"")</f>
        <v/>
      </c>
      <c r="AO902" s="2">
        <f>IFERROR(U902/F902,"")</f>
        <v/>
      </c>
    </row>
    <row r="903">
      <c r="B903">
        <f>IF($A903="","",IFERROR(INDEX('[AQ_2020.xlsx]原始数据'!$B:$B,MATCH($A903,'[AQ_2020.xlsx]原始数据'!$A:$A,0)),""))</f>
        <v/>
      </c>
      <c r="C903">
        <f>IF($A903="","",IFERROR(INDEX('[AQ_2021.xlsx]原始数据'!$B:$B,MATCH($A903,'[AQ_2021.xlsx]原始数据'!$A:$A,0)),""))</f>
        <v/>
      </c>
      <c r="D903">
        <f>IF($A903="","",IFERROR(INDEX('[AQ_2022.xlsx]原始数据'!$B:$B,MATCH($A903,'[AQ_2022.xlsx]原始数据'!$A:$A,0)),""))</f>
        <v/>
      </c>
      <c r="E903">
        <f>IF($A903="","",IFERROR(INDEX('[AQ_2023.xlsx]原始数据'!$B:$B,MATCH($A903,'[AQ_2023.xlsx]原始数据'!$A:$A,0)),""))</f>
        <v/>
      </c>
      <c r="F903">
        <f>IF($A903="","",IFERROR(INDEX('[AQ_2024.xlsx]原始数据'!$B:$B,MATCH($A903,'[AQ_2024.xlsx]原始数据'!$A:$A,0)),""))</f>
        <v/>
      </c>
      <c r="G903">
        <f>IF($A903="","",IFERROR(INDEX('[AQ_2020.xlsx]原始数据'!$C:$C,MATCH($A903,'[AQ_2020.xlsx]原始数据'!$A:$A,0)),""))</f>
        <v/>
      </c>
      <c r="H903">
        <f>IF($A903="","",IFERROR(INDEX('[AQ_2021.xlsx]原始数据'!$C:$C,MATCH($A903,'[AQ_2021.xlsx]原始数据'!$A:$A,0)),""))</f>
        <v/>
      </c>
      <c r="I903">
        <f>IF($A903="","",IFERROR(INDEX('[AQ_2022.xlsx]原始数据'!$C:$C,MATCH($A903,'[AQ_2022.xlsx]原始数据'!$A:$A,0)),""))</f>
        <v/>
      </c>
      <c r="J903">
        <f>IF($A903="","",IFERROR(INDEX('[AQ_2023.xlsx]原始数据'!$C:$C,MATCH($A903,'[AQ_2023.xlsx]原始数据'!$A:$A,0)),""))</f>
        <v/>
      </c>
      <c r="K903">
        <f>IF($A903="","",IFERROR(INDEX('[AQ_2024.xlsx]原始数据'!$C:$C,MATCH($A903,'[AQ_2024.xlsx]原始数据'!$A:$A,0)),""))</f>
        <v/>
      </c>
      <c r="L903">
        <f>IF($A903="","",IFERROR(INDEX('[AQ_2020.xlsx]原始数据'!$D:$D,MATCH($A903,'[AQ_2020.xlsx]原始数据'!$A:$A,0)),""))</f>
        <v/>
      </c>
      <c r="M903">
        <f>IF($A903="","",IFERROR(INDEX('[AQ_2021.xlsx]原始数据'!$D:$D,MATCH($A903,'[AQ_2021.xlsx]原始数据'!$A:$A,0)),""))</f>
        <v/>
      </c>
      <c r="N903">
        <f>IF($A903="","",IFERROR(INDEX('[AQ_2022.xlsx]原始数据'!$D:$D,MATCH($A903,'[AQ_2022.xlsx]原始数据'!$A:$A,0)),""))</f>
        <v/>
      </c>
      <c r="O903">
        <f>IF($A903="","",IFERROR(INDEX('[AQ_2023.xlsx]原始数据'!$D:$D,MATCH($A903,'[AQ_2023.xlsx]原始数据'!$A:$A,0)),""))</f>
        <v/>
      </c>
      <c r="P903">
        <f>IF($A903="","",IFERROR(INDEX('[AQ_2024.xlsx]原始数据'!$D:$D,MATCH($A903,'[AQ_2024.xlsx]原始数据'!$A:$A,0)),""))</f>
        <v/>
      </c>
      <c r="Q903">
        <f>IF($A903="","",IFERROR(INDEX('[AQ_2020.xlsx]原始数据'!$E:$E,MATCH($A903,'[AQ_2020.xlsx]原始数据'!$A:$A,0)),""))</f>
        <v/>
      </c>
      <c r="R903">
        <f>IF($A903="","",IFERROR(INDEX('[AQ_2021.xlsx]原始数据'!$E:$E,MATCH($A903,'[AQ_2021.xlsx]原始数据'!$A:$A,0)),""))</f>
        <v/>
      </c>
      <c r="S903">
        <f>IF($A903="","",IFERROR(INDEX('[AQ_2022.xlsx]原始数据'!$E:$E,MATCH($A903,'[AQ_2022.xlsx]原始数据'!$A:$A,0)),""))</f>
        <v/>
      </c>
      <c r="T903">
        <f>IF($A903="","",IFERROR(INDEX('[AQ_2023.xlsx]原始数据'!$E:$E,MATCH($A903,'[AQ_2023.xlsx]原始数据'!$A:$A,0)),""))</f>
        <v/>
      </c>
      <c r="U903">
        <f>IF($A903="","",IFERROR(INDEX('[AQ_2024.xlsx]原始数据'!$E:$E,MATCH($A903,'[AQ_2024.xlsx]原始数据'!$A:$A,0)),""))</f>
        <v/>
      </c>
      <c r="V903">
        <f>IF($A903="","",IFERROR(INDEX('[AQ_2020.xlsx]原始数据'!$F:$F,MATCH($A903,'[AQ_2020.xlsx]原始数据'!$A:$A,0)),""))</f>
        <v/>
      </c>
      <c r="W903">
        <f>IF($A903="","",IFERROR(INDEX('[AQ_2021.xlsx]原始数据'!$F:$F,MATCH($A903,'[AQ_2021.xlsx]原始数据'!$A:$A,0)),""))</f>
        <v/>
      </c>
      <c r="X903">
        <f>IF($A903="","",IFERROR(INDEX('[AQ_2022.xlsx]原始数据'!$F:$F,MATCH($A903,'[AQ_2022.xlsx]原始数据'!$A:$A,0)),""))</f>
        <v/>
      </c>
      <c r="Y903">
        <f>IF($A903="","",IFERROR(INDEX('[AQ_2023.xlsx]原始数据'!$F:$F,MATCH($A903,'[AQ_2023.xlsx]原始数据'!$A:$A,0)),""))</f>
        <v/>
      </c>
      <c r="Z903">
        <f>IF($A903="","",IFERROR(INDEX('[AQ_2024.xlsx]原始数据'!$F:$F,MATCH($A903,'[AQ_2024.xlsx]原始数据'!$A:$A,0)),""))</f>
        <v/>
      </c>
      <c r="AA903" s="2">
        <f>IFERROR(G903/B903,"")</f>
        <v/>
      </c>
      <c r="AB903" s="2">
        <f>IFERROR(H903/C903,"")</f>
        <v/>
      </c>
      <c r="AC903" s="2">
        <f>IFERROR(I903/D903,"")</f>
        <v/>
      </c>
      <c r="AD903" s="2">
        <f>IFERROR(J903/E903,"")</f>
        <v/>
      </c>
      <c r="AE903" s="2">
        <f>IFERROR(K903/F903,"")</f>
        <v/>
      </c>
      <c r="AF903" s="2">
        <f>IFERROR(L903/B903,"")</f>
        <v/>
      </c>
      <c r="AG903" s="2">
        <f>IFERROR(M903/C903,"")</f>
        <v/>
      </c>
      <c r="AH903" s="2">
        <f>IFERROR(N903/D903,"")</f>
        <v/>
      </c>
      <c r="AI903" s="2">
        <f>IFERROR(O903/E903,"")</f>
        <v/>
      </c>
      <c r="AJ903" s="2">
        <f>IFERROR(P903/F903,"")</f>
        <v/>
      </c>
      <c r="AK903" s="2">
        <f>IFERROR(Q903/B903,"")</f>
        <v/>
      </c>
      <c r="AL903" s="2">
        <f>IFERROR(R903/C903,"")</f>
        <v/>
      </c>
      <c r="AM903" s="2">
        <f>IFERROR(S903/D903,"")</f>
        <v/>
      </c>
      <c r="AN903" s="2">
        <f>IFERROR(T903/E903,"")</f>
        <v/>
      </c>
      <c r="AO903" s="2">
        <f>IFERROR(U903/F903,"")</f>
        <v/>
      </c>
    </row>
    <row r="904">
      <c r="B904">
        <f>IF($A904="","",IFERROR(INDEX('[AQ_2020.xlsx]原始数据'!$B:$B,MATCH($A904,'[AQ_2020.xlsx]原始数据'!$A:$A,0)),""))</f>
        <v/>
      </c>
      <c r="C904">
        <f>IF($A904="","",IFERROR(INDEX('[AQ_2021.xlsx]原始数据'!$B:$B,MATCH($A904,'[AQ_2021.xlsx]原始数据'!$A:$A,0)),""))</f>
        <v/>
      </c>
      <c r="D904">
        <f>IF($A904="","",IFERROR(INDEX('[AQ_2022.xlsx]原始数据'!$B:$B,MATCH($A904,'[AQ_2022.xlsx]原始数据'!$A:$A,0)),""))</f>
        <v/>
      </c>
      <c r="E904">
        <f>IF($A904="","",IFERROR(INDEX('[AQ_2023.xlsx]原始数据'!$B:$B,MATCH($A904,'[AQ_2023.xlsx]原始数据'!$A:$A,0)),""))</f>
        <v/>
      </c>
      <c r="F904">
        <f>IF($A904="","",IFERROR(INDEX('[AQ_2024.xlsx]原始数据'!$B:$B,MATCH($A904,'[AQ_2024.xlsx]原始数据'!$A:$A,0)),""))</f>
        <v/>
      </c>
      <c r="G904">
        <f>IF($A904="","",IFERROR(INDEX('[AQ_2020.xlsx]原始数据'!$C:$C,MATCH($A904,'[AQ_2020.xlsx]原始数据'!$A:$A,0)),""))</f>
        <v/>
      </c>
      <c r="H904">
        <f>IF($A904="","",IFERROR(INDEX('[AQ_2021.xlsx]原始数据'!$C:$C,MATCH($A904,'[AQ_2021.xlsx]原始数据'!$A:$A,0)),""))</f>
        <v/>
      </c>
      <c r="I904">
        <f>IF($A904="","",IFERROR(INDEX('[AQ_2022.xlsx]原始数据'!$C:$C,MATCH($A904,'[AQ_2022.xlsx]原始数据'!$A:$A,0)),""))</f>
        <v/>
      </c>
      <c r="J904">
        <f>IF($A904="","",IFERROR(INDEX('[AQ_2023.xlsx]原始数据'!$C:$C,MATCH($A904,'[AQ_2023.xlsx]原始数据'!$A:$A,0)),""))</f>
        <v/>
      </c>
      <c r="K904">
        <f>IF($A904="","",IFERROR(INDEX('[AQ_2024.xlsx]原始数据'!$C:$C,MATCH($A904,'[AQ_2024.xlsx]原始数据'!$A:$A,0)),""))</f>
        <v/>
      </c>
      <c r="L904">
        <f>IF($A904="","",IFERROR(INDEX('[AQ_2020.xlsx]原始数据'!$D:$D,MATCH($A904,'[AQ_2020.xlsx]原始数据'!$A:$A,0)),""))</f>
        <v/>
      </c>
      <c r="M904">
        <f>IF($A904="","",IFERROR(INDEX('[AQ_2021.xlsx]原始数据'!$D:$D,MATCH($A904,'[AQ_2021.xlsx]原始数据'!$A:$A,0)),""))</f>
        <v/>
      </c>
      <c r="N904">
        <f>IF($A904="","",IFERROR(INDEX('[AQ_2022.xlsx]原始数据'!$D:$D,MATCH($A904,'[AQ_2022.xlsx]原始数据'!$A:$A,0)),""))</f>
        <v/>
      </c>
      <c r="O904">
        <f>IF($A904="","",IFERROR(INDEX('[AQ_2023.xlsx]原始数据'!$D:$D,MATCH($A904,'[AQ_2023.xlsx]原始数据'!$A:$A,0)),""))</f>
        <v/>
      </c>
      <c r="P904">
        <f>IF($A904="","",IFERROR(INDEX('[AQ_2024.xlsx]原始数据'!$D:$D,MATCH($A904,'[AQ_2024.xlsx]原始数据'!$A:$A,0)),""))</f>
        <v/>
      </c>
      <c r="Q904">
        <f>IF($A904="","",IFERROR(INDEX('[AQ_2020.xlsx]原始数据'!$E:$E,MATCH($A904,'[AQ_2020.xlsx]原始数据'!$A:$A,0)),""))</f>
        <v/>
      </c>
      <c r="R904">
        <f>IF($A904="","",IFERROR(INDEX('[AQ_2021.xlsx]原始数据'!$E:$E,MATCH($A904,'[AQ_2021.xlsx]原始数据'!$A:$A,0)),""))</f>
        <v/>
      </c>
      <c r="S904">
        <f>IF($A904="","",IFERROR(INDEX('[AQ_2022.xlsx]原始数据'!$E:$E,MATCH($A904,'[AQ_2022.xlsx]原始数据'!$A:$A,0)),""))</f>
        <v/>
      </c>
      <c r="T904">
        <f>IF($A904="","",IFERROR(INDEX('[AQ_2023.xlsx]原始数据'!$E:$E,MATCH($A904,'[AQ_2023.xlsx]原始数据'!$A:$A,0)),""))</f>
        <v/>
      </c>
      <c r="U904">
        <f>IF($A904="","",IFERROR(INDEX('[AQ_2024.xlsx]原始数据'!$E:$E,MATCH($A904,'[AQ_2024.xlsx]原始数据'!$A:$A,0)),""))</f>
        <v/>
      </c>
      <c r="V904">
        <f>IF($A904="","",IFERROR(INDEX('[AQ_2020.xlsx]原始数据'!$F:$F,MATCH($A904,'[AQ_2020.xlsx]原始数据'!$A:$A,0)),""))</f>
        <v/>
      </c>
      <c r="W904">
        <f>IF($A904="","",IFERROR(INDEX('[AQ_2021.xlsx]原始数据'!$F:$F,MATCH($A904,'[AQ_2021.xlsx]原始数据'!$A:$A,0)),""))</f>
        <v/>
      </c>
      <c r="X904">
        <f>IF($A904="","",IFERROR(INDEX('[AQ_2022.xlsx]原始数据'!$F:$F,MATCH($A904,'[AQ_2022.xlsx]原始数据'!$A:$A,0)),""))</f>
        <v/>
      </c>
      <c r="Y904">
        <f>IF($A904="","",IFERROR(INDEX('[AQ_2023.xlsx]原始数据'!$F:$F,MATCH($A904,'[AQ_2023.xlsx]原始数据'!$A:$A,0)),""))</f>
        <v/>
      </c>
      <c r="Z904">
        <f>IF($A904="","",IFERROR(INDEX('[AQ_2024.xlsx]原始数据'!$F:$F,MATCH($A904,'[AQ_2024.xlsx]原始数据'!$A:$A,0)),""))</f>
        <v/>
      </c>
      <c r="AA904" s="2">
        <f>IFERROR(G904/B904,"")</f>
        <v/>
      </c>
      <c r="AB904" s="2">
        <f>IFERROR(H904/C904,"")</f>
        <v/>
      </c>
      <c r="AC904" s="2">
        <f>IFERROR(I904/D904,"")</f>
        <v/>
      </c>
      <c r="AD904" s="2">
        <f>IFERROR(J904/E904,"")</f>
        <v/>
      </c>
      <c r="AE904" s="2">
        <f>IFERROR(K904/F904,"")</f>
        <v/>
      </c>
      <c r="AF904" s="2">
        <f>IFERROR(L904/B904,"")</f>
        <v/>
      </c>
      <c r="AG904" s="2">
        <f>IFERROR(M904/C904,"")</f>
        <v/>
      </c>
      <c r="AH904" s="2">
        <f>IFERROR(N904/D904,"")</f>
        <v/>
      </c>
      <c r="AI904" s="2">
        <f>IFERROR(O904/E904,"")</f>
        <v/>
      </c>
      <c r="AJ904" s="2">
        <f>IFERROR(P904/F904,"")</f>
        <v/>
      </c>
      <c r="AK904" s="2">
        <f>IFERROR(Q904/B904,"")</f>
        <v/>
      </c>
      <c r="AL904" s="2">
        <f>IFERROR(R904/C904,"")</f>
        <v/>
      </c>
      <c r="AM904" s="2">
        <f>IFERROR(S904/D904,"")</f>
        <v/>
      </c>
      <c r="AN904" s="2">
        <f>IFERROR(T904/E904,"")</f>
        <v/>
      </c>
      <c r="AO904" s="2">
        <f>IFERROR(U904/F904,"")</f>
        <v/>
      </c>
    </row>
    <row r="905">
      <c r="B905">
        <f>IF($A905="","",IFERROR(INDEX('[AQ_2020.xlsx]原始数据'!$B:$B,MATCH($A905,'[AQ_2020.xlsx]原始数据'!$A:$A,0)),""))</f>
        <v/>
      </c>
      <c r="C905">
        <f>IF($A905="","",IFERROR(INDEX('[AQ_2021.xlsx]原始数据'!$B:$B,MATCH($A905,'[AQ_2021.xlsx]原始数据'!$A:$A,0)),""))</f>
        <v/>
      </c>
      <c r="D905">
        <f>IF($A905="","",IFERROR(INDEX('[AQ_2022.xlsx]原始数据'!$B:$B,MATCH($A905,'[AQ_2022.xlsx]原始数据'!$A:$A,0)),""))</f>
        <v/>
      </c>
      <c r="E905">
        <f>IF($A905="","",IFERROR(INDEX('[AQ_2023.xlsx]原始数据'!$B:$B,MATCH($A905,'[AQ_2023.xlsx]原始数据'!$A:$A,0)),""))</f>
        <v/>
      </c>
      <c r="F905">
        <f>IF($A905="","",IFERROR(INDEX('[AQ_2024.xlsx]原始数据'!$B:$B,MATCH($A905,'[AQ_2024.xlsx]原始数据'!$A:$A,0)),""))</f>
        <v/>
      </c>
      <c r="G905">
        <f>IF($A905="","",IFERROR(INDEX('[AQ_2020.xlsx]原始数据'!$C:$C,MATCH($A905,'[AQ_2020.xlsx]原始数据'!$A:$A,0)),""))</f>
        <v/>
      </c>
      <c r="H905">
        <f>IF($A905="","",IFERROR(INDEX('[AQ_2021.xlsx]原始数据'!$C:$C,MATCH($A905,'[AQ_2021.xlsx]原始数据'!$A:$A,0)),""))</f>
        <v/>
      </c>
      <c r="I905">
        <f>IF($A905="","",IFERROR(INDEX('[AQ_2022.xlsx]原始数据'!$C:$C,MATCH($A905,'[AQ_2022.xlsx]原始数据'!$A:$A,0)),""))</f>
        <v/>
      </c>
      <c r="J905">
        <f>IF($A905="","",IFERROR(INDEX('[AQ_2023.xlsx]原始数据'!$C:$C,MATCH($A905,'[AQ_2023.xlsx]原始数据'!$A:$A,0)),""))</f>
        <v/>
      </c>
      <c r="K905">
        <f>IF($A905="","",IFERROR(INDEX('[AQ_2024.xlsx]原始数据'!$C:$C,MATCH($A905,'[AQ_2024.xlsx]原始数据'!$A:$A,0)),""))</f>
        <v/>
      </c>
      <c r="L905">
        <f>IF($A905="","",IFERROR(INDEX('[AQ_2020.xlsx]原始数据'!$D:$D,MATCH($A905,'[AQ_2020.xlsx]原始数据'!$A:$A,0)),""))</f>
        <v/>
      </c>
      <c r="M905">
        <f>IF($A905="","",IFERROR(INDEX('[AQ_2021.xlsx]原始数据'!$D:$D,MATCH($A905,'[AQ_2021.xlsx]原始数据'!$A:$A,0)),""))</f>
        <v/>
      </c>
      <c r="N905">
        <f>IF($A905="","",IFERROR(INDEX('[AQ_2022.xlsx]原始数据'!$D:$D,MATCH($A905,'[AQ_2022.xlsx]原始数据'!$A:$A,0)),""))</f>
        <v/>
      </c>
      <c r="O905">
        <f>IF($A905="","",IFERROR(INDEX('[AQ_2023.xlsx]原始数据'!$D:$D,MATCH($A905,'[AQ_2023.xlsx]原始数据'!$A:$A,0)),""))</f>
        <v/>
      </c>
      <c r="P905">
        <f>IF($A905="","",IFERROR(INDEX('[AQ_2024.xlsx]原始数据'!$D:$D,MATCH($A905,'[AQ_2024.xlsx]原始数据'!$A:$A,0)),""))</f>
        <v/>
      </c>
      <c r="Q905">
        <f>IF($A905="","",IFERROR(INDEX('[AQ_2020.xlsx]原始数据'!$E:$E,MATCH($A905,'[AQ_2020.xlsx]原始数据'!$A:$A,0)),""))</f>
        <v/>
      </c>
      <c r="R905">
        <f>IF($A905="","",IFERROR(INDEX('[AQ_2021.xlsx]原始数据'!$E:$E,MATCH($A905,'[AQ_2021.xlsx]原始数据'!$A:$A,0)),""))</f>
        <v/>
      </c>
      <c r="S905">
        <f>IF($A905="","",IFERROR(INDEX('[AQ_2022.xlsx]原始数据'!$E:$E,MATCH($A905,'[AQ_2022.xlsx]原始数据'!$A:$A,0)),""))</f>
        <v/>
      </c>
      <c r="T905">
        <f>IF($A905="","",IFERROR(INDEX('[AQ_2023.xlsx]原始数据'!$E:$E,MATCH($A905,'[AQ_2023.xlsx]原始数据'!$A:$A,0)),""))</f>
        <v/>
      </c>
      <c r="U905">
        <f>IF($A905="","",IFERROR(INDEX('[AQ_2024.xlsx]原始数据'!$E:$E,MATCH($A905,'[AQ_2024.xlsx]原始数据'!$A:$A,0)),""))</f>
        <v/>
      </c>
      <c r="V905">
        <f>IF($A905="","",IFERROR(INDEX('[AQ_2020.xlsx]原始数据'!$F:$F,MATCH($A905,'[AQ_2020.xlsx]原始数据'!$A:$A,0)),""))</f>
        <v/>
      </c>
      <c r="W905">
        <f>IF($A905="","",IFERROR(INDEX('[AQ_2021.xlsx]原始数据'!$F:$F,MATCH($A905,'[AQ_2021.xlsx]原始数据'!$A:$A,0)),""))</f>
        <v/>
      </c>
      <c r="X905">
        <f>IF($A905="","",IFERROR(INDEX('[AQ_2022.xlsx]原始数据'!$F:$F,MATCH($A905,'[AQ_2022.xlsx]原始数据'!$A:$A,0)),""))</f>
        <v/>
      </c>
      <c r="Y905">
        <f>IF($A905="","",IFERROR(INDEX('[AQ_2023.xlsx]原始数据'!$F:$F,MATCH($A905,'[AQ_2023.xlsx]原始数据'!$A:$A,0)),""))</f>
        <v/>
      </c>
      <c r="Z905">
        <f>IF($A905="","",IFERROR(INDEX('[AQ_2024.xlsx]原始数据'!$F:$F,MATCH($A905,'[AQ_2024.xlsx]原始数据'!$A:$A,0)),""))</f>
        <v/>
      </c>
      <c r="AA905" s="2">
        <f>IFERROR(G905/B905,"")</f>
        <v/>
      </c>
      <c r="AB905" s="2">
        <f>IFERROR(H905/C905,"")</f>
        <v/>
      </c>
      <c r="AC905" s="2">
        <f>IFERROR(I905/D905,"")</f>
        <v/>
      </c>
      <c r="AD905" s="2">
        <f>IFERROR(J905/E905,"")</f>
        <v/>
      </c>
      <c r="AE905" s="2">
        <f>IFERROR(K905/F905,"")</f>
        <v/>
      </c>
      <c r="AF905" s="2">
        <f>IFERROR(L905/B905,"")</f>
        <v/>
      </c>
      <c r="AG905" s="2">
        <f>IFERROR(M905/C905,"")</f>
        <v/>
      </c>
      <c r="AH905" s="2">
        <f>IFERROR(N905/D905,"")</f>
        <v/>
      </c>
      <c r="AI905" s="2">
        <f>IFERROR(O905/E905,"")</f>
        <v/>
      </c>
      <c r="AJ905" s="2">
        <f>IFERROR(P905/F905,"")</f>
        <v/>
      </c>
      <c r="AK905" s="2">
        <f>IFERROR(Q905/B905,"")</f>
        <v/>
      </c>
      <c r="AL905" s="2">
        <f>IFERROR(R905/C905,"")</f>
        <v/>
      </c>
      <c r="AM905" s="2">
        <f>IFERROR(S905/D905,"")</f>
        <v/>
      </c>
      <c r="AN905" s="2">
        <f>IFERROR(T905/E905,"")</f>
        <v/>
      </c>
      <c r="AO905" s="2">
        <f>IFERROR(U905/F905,"")</f>
        <v/>
      </c>
    </row>
    <row r="906">
      <c r="B906">
        <f>IF($A906="","",IFERROR(INDEX('[AQ_2020.xlsx]原始数据'!$B:$B,MATCH($A906,'[AQ_2020.xlsx]原始数据'!$A:$A,0)),""))</f>
        <v/>
      </c>
      <c r="C906">
        <f>IF($A906="","",IFERROR(INDEX('[AQ_2021.xlsx]原始数据'!$B:$B,MATCH($A906,'[AQ_2021.xlsx]原始数据'!$A:$A,0)),""))</f>
        <v/>
      </c>
      <c r="D906">
        <f>IF($A906="","",IFERROR(INDEX('[AQ_2022.xlsx]原始数据'!$B:$B,MATCH($A906,'[AQ_2022.xlsx]原始数据'!$A:$A,0)),""))</f>
        <v/>
      </c>
      <c r="E906">
        <f>IF($A906="","",IFERROR(INDEX('[AQ_2023.xlsx]原始数据'!$B:$B,MATCH($A906,'[AQ_2023.xlsx]原始数据'!$A:$A,0)),""))</f>
        <v/>
      </c>
      <c r="F906">
        <f>IF($A906="","",IFERROR(INDEX('[AQ_2024.xlsx]原始数据'!$B:$B,MATCH($A906,'[AQ_2024.xlsx]原始数据'!$A:$A,0)),""))</f>
        <v/>
      </c>
      <c r="G906">
        <f>IF($A906="","",IFERROR(INDEX('[AQ_2020.xlsx]原始数据'!$C:$C,MATCH($A906,'[AQ_2020.xlsx]原始数据'!$A:$A,0)),""))</f>
        <v/>
      </c>
      <c r="H906">
        <f>IF($A906="","",IFERROR(INDEX('[AQ_2021.xlsx]原始数据'!$C:$C,MATCH($A906,'[AQ_2021.xlsx]原始数据'!$A:$A,0)),""))</f>
        <v/>
      </c>
      <c r="I906">
        <f>IF($A906="","",IFERROR(INDEX('[AQ_2022.xlsx]原始数据'!$C:$C,MATCH($A906,'[AQ_2022.xlsx]原始数据'!$A:$A,0)),""))</f>
        <v/>
      </c>
      <c r="J906">
        <f>IF($A906="","",IFERROR(INDEX('[AQ_2023.xlsx]原始数据'!$C:$C,MATCH($A906,'[AQ_2023.xlsx]原始数据'!$A:$A,0)),""))</f>
        <v/>
      </c>
      <c r="K906">
        <f>IF($A906="","",IFERROR(INDEX('[AQ_2024.xlsx]原始数据'!$C:$C,MATCH($A906,'[AQ_2024.xlsx]原始数据'!$A:$A,0)),""))</f>
        <v/>
      </c>
      <c r="L906">
        <f>IF($A906="","",IFERROR(INDEX('[AQ_2020.xlsx]原始数据'!$D:$D,MATCH($A906,'[AQ_2020.xlsx]原始数据'!$A:$A,0)),""))</f>
        <v/>
      </c>
      <c r="M906">
        <f>IF($A906="","",IFERROR(INDEX('[AQ_2021.xlsx]原始数据'!$D:$D,MATCH($A906,'[AQ_2021.xlsx]原始数据'!$A:$A,0)),""))</f>
        <v/>
      </c>
      <c r="N906">
        <f>IF($A906="","",IFERROR(INDEX('[AQ_2022.xlsx]原始数据'!$D:$D,MATCH($A906,'[AQ_2022.xlsx]原始数据'!$A:$A,0)),""))</f>
        <v/>
      </c>
      <c r="O906">
        <f>IF($A906="","",IFERROR(INDEX('[AQ_2023.xlsx]原始数据'!$D:$D,MATCH($A906,'[AQ_2023.xlsx]原始数据'!$A:$A,0)),""))</f>
        <v/>
      </c>
      <c r="P906">
        <f>IF($A906="","",IFERROR(INDEX('[AQ_2024.xlsx]原始数据'!$D:$D,MATCH($A906,'[AQ_2024.xlsx]原始数据'!$A:$A,0)),""))</f>
        <v/>
      </c>
      <c r="Q906">
        <f>IF($A906="","",IFERROR(INDEX('[AQ_2020.xlsx]原始数据'!$E:$E,MATCH($A906,'[AQ_2020.xlsx]原始数据'!$A:$A,0)),""))</f>
        <v/>
      </c>
      <c r="R906">
        <f>IF($A906="","",IFERROR(INDEX('[AQ_2021.xlsx]原始数据'!$E:$E,MATCH($A906,'[AQ_2021.xlsx]原始数据'!$A:$A,0)),""))</f>
        <v/>
      </c>
      <c r="S906">
        <f>IF($A906="","",IFERROR(INDEX('[AQ_2022.xlsx]原始数据'!$E:$E,MATCH($A906,'[AQ_2022.xlsx]原始数据'!$A:$A,0)),""))</f>
        <v/>
      </c>
      <c r="T906">
        <f>IF($A906="","",IFERROR(INDEX('[AQ_2023.xlsx]原始数据'!$E:$E,MATCH($A906,'[AQ_2023.xlsx]原始数据'!$A:$A,0)),""))</f>
        <v/>
      </c>
      <c r="U906">
        <f>IF($A906="","",IFERROR(INDEX('[AQ_2024.xlsx]原始数据'!$E:$E,MATCH($A906,'[AQ_2024.xlsx]原始数据'!$A:$A,0)),""))</f>
        <v/>
      </c>
      <c r="V906">
        <f>IF($A906="","",IFERROR(INDEX('[AQ_2020.xlsx]原始数据'!$F:$F,MATCH($A906,'[AQ_2020.xlsx]原始数据'!$A:$A,0)),""))</f>
        <v/>
      </c>
      <c r="W906">
        <f>IF($A906="","",IFERROR(INDEX('[AQ_2021.xlsx]原始数据'!$F:$F,MATCH($A906,'[AQ_2021.xlsx]原始数据'!$A:$A,0)),""))</f>
        <v/>
      </c>
      <c r="X906">
        <f>IF($A906="","",IFERROR(INDEX('[AQ_2022.xlsx]原始数据'!$F:$F,MATCH($A906,'[AQ_2022.xlsx]原始数据'!$A:$A,0)),""))</f>
        <v/>
      </c>
      <c r="Y906">
        <f>IF($A906="","",IFERROR(INDEX('[AQ_2023.xlsx]原始数据'!$F:$F,MATCH($A906,'[AQ_2023.xlsx]原始数据'!$A:$A,0)),""))</f>
        <v/>
      </c>
      <c r="Z906">
        <f>IF($A906="","",IFERROR(INDEX('[AQ_2024.xlsx]原始数据'!$F:$F,MATCH($A906,'[AQ_2024.xlsx]原始数据'!$A:$A,0)),""))</f>
        <v/>
      </c>
      <c r="AA906" s="2">
        <f>IFERROR(G906/B906,"")</f>
        <v/>
      </c>
      <c r="AB906" s="2">
        <f>IFERROR(H906/C906,"")</f>
        <v/>
      </c>
      <c r="AC906" s="2">
        <f>IFERROR(I906/D906,"")</f>
        <v/>
      </c>
      <c r="AD906" s="2">
        <f>IFERROR(J906/E906,"")</f>
        <v/>
      </c>
      <c r="AE906" s="2">
        <f>IFERROR(K906/F906,"")</f>
        <v/>
      </c>
      <c r="AF906" s="2">
        <f>IFERROR(L906/B906,"")</f>
        <v/>
      </c>
      <c r="AG906" s="2">
        <f>IFERROR(M906/C906,"")</f>
        <v/>
      </c>
      <c r="AH906" s="2">
        <f>IFERROR(N906/D906,"")</f>
        <v/>
      </c>
      <c r="AI906" s="2">
        <f>IFERROR(O906/E906,"")</f>
        <v/>
      </c>
      <c r="AJ906" s="2">
        <f>IFERROR(P906/F906,"")</f>
        <v/>
      </c>
      <c r="AK906" s="2">
        <f>IFERROR(Q906/B906,"")</f>
        <v/>
      </c>
      <c r="AL906" s="2">
        <f>IFERROR(R906/C906,"")</f>
        <v/>
      </c>
      <c r="AM906" s="2">
        <f>IFERROR(S906/D906,"")</f>
        <v/>
      </c>
      <c r="AN906" s="2">
        <f>IFERROR(T906/E906,"")</f>
        <v/>
      </c>
      <c r="AO906" s="2">
        <f>IFERROR(U906/F906,"")</f>
        <v/>
      </c>
    </row>
    <row r="907">
      <c r="B907">
        <f>IF($A907="","",IFERROR(INDEX('[AQ_2020.xlsx]原始数据'!$B:$B,MATCH($A907,'[AQ_2020.xlsx]原始数据'!$A:$A,0)),""))</f>
        <v/>
      </c>
      <c r="C907">
        <f>IF($A907="","",IFERROR(INDEX('[AQ_2021.xlsx]原始数据'!$B:$B,MATCH($A907,'[AQ_2021.xlsx]原始数据'!$A:$A,0)),""))</f>
        <v/>
      </c>
      <c r="D907">
        <f>IF($A907="","",IFERROR(INDEX('[AQ_2022.xlsx]原始数据'!$B:$B,MATCH($A907,'[AQ_2022.xlsx]原始数据'!$A:$A,0)),""))</f>
        <v/>
      </c>
      <c r="E907">
        <f>IF($A907="","",IFERROR(INDEX('[AQ_2023.xlsx]原始数据'!$B:$B,MATCH($A907,'[AQ_2023.xlsx]原始数据'!$A:$A,0)),""))</f>
        <v/>
      </c>
      <c r="F907">
        <f>IF($A907="","",IFERROR(INDEX('[AQ_2024.xlsx]原始数据'!$B:$B,MATCH($A907,'[AQ_2024.xlsx]原始数据'!$A:$A,0)),""))</f>
        <v/>
      </c>
      <c r="G907">
        <f>IF($A907="","",IFERROR(INDEX('[AQ_2020.xlsx]原始数据'!$C:$C,MATCH($A907,'[AQ_2020.xlsx]原始数据'!$A:$A,0)),""))</f>
        <v/>
      </c>
      <c r="H907">
        <f>IF($A907="","",IFERROR(INDEX('[AQ_2021.xlsx]原始数据'!$C:$C,MATCH($A907,'[AQ_2021.xlsx]原始数据'!$A:$A,0)),""))</f>
        <v/>
      </c>
      <c r="I907">
        <f>IF($A907="","",IFERROR(INDEX('[AQ_2022.xlsx]原始数据'!$C:$C,MATCH($A907,'[AQ_2022.xlsx]原始数据'!$A:$A,0)),""))</f>
        <v/>
      </c>
      <c r="J907">
        <f>IF($A907="","",IFERROR(INDEX('[AQ_2023.xlsx]原始数据'!$C:$C,MATCH($A907,'[AQ_2023.xlsx]原始数据'!$A:$A,0)),""))</f>
        <v/>
      </c>
      <c r="K907">
        <f>IF($A907="","",IFERROR(INDEX('[AQ_2024.xlsx]原始数据'!$C:$C,MATCH($A907,'[AQ_2024.xlsx]原始数据'!$A:$A,0)),""))</f>
        <v/>
      </c>
      <c r="L907">
        <f>IF($A907="","",IFERROR(INDEX('[AQ_2020.xlsx]原始数据'!$D:$D,MATCH($A907,'[AQ_2020.xlsx]原始数据'!$A:$A,0)),""))</f>
        <v/>
      </c>
      <c r="M907">
        <f>IF($A907="","",IFERROR(INDEX('[AQ_2021.xlsx]原始数据'!$D:$D,MATCH($A907,'[AQ_2021.xlsx]原始数据'!$A:$A,0)),""))</f>
        <v/>
      </c>
      <c r="N907">
        <f>IF($A907="","",IFERROR(INDEX('[AQ_2022.xlsx]原始数据'!$D:$D,MATCH($A907,'[AQ_2022.xlsx]原始数据'!$A:$A,0)),""))</f>
        <v/>
      </c>
      <c r="O907">
        <f>IF($A907="","",IFERROR(INDEX('[AQ_2023.xlsx]原始数据'!$D:$D,MATCH($A907,'[AQ_2023.xlsx]原始数据'!$A:$A,0)),""))</f>
        <v/>
      </c>
      <c r="P907">
        <f>IF($A907="","",IFERROR(INDEX('[AQ_2024.xlsx]原始数据'!$D:$D,MATCH($A907,'[AQ_2024.xlsx]原始数据'!$A:$A,0)),""))</f>
        <v/>
      </c>
      <c r="Q907">
        <f>IF($A907="","",IFERROR(INDEX('[AQ_2020.xlsx]原始数据'!$E:$E,MATCH($A907,'[AQ_2020.xlsx]原始数据'!$A:$A,0)),""))</f>
        <v/>
      </c>
      <c r="R907">
        <f>IF($A907="","",IFERROR(INDEX('[AQ_2021.xlsx]原始数据'!$E:$E,MATCH($A907,'[AQ_2021.xlsx]原始数据'!$A:$A,0)),""))</f>
        <v/>
      </c>
      <c r="S907">
        <f>IF($A907="","",IFERROR(INDEX('[AQ_2022.xlsx]原始数据'!$E:$E,MATCH($A907,'[AQ_2022.xlsx]原始数据'!$A:$A,0)),""))</f>
        <v/>
      </c>
      <c r="T907">
        <f>IF($A907="","",IFERROR(INDEX('[AQ_2023.xlsx]原始数据'!$E:$E,MATCH($A907,'[AQ_2023.xlsx]原始数据'!$A:$A,0)),""))</f>
        <v/>
      </c>
      <c r="U907">
        <f>IF($A907="","",IFERROR(INDEX('[AQ_2024.xlsx]原始数据'!$E:$E,MATCH($A907,'[AQ_2024.xlsx]原始数据'!$A:$A,0)),""))</f>
        <v/>
      </c>
      <c r="V907">
        <f>IF($A907="","",IFERROR(INDEX('[AQ_2020.xlsx]原始数据'!$F:$F,MATCH($A907,'[AQ_2020.xlsx]原始数据'!$A:$A,0)),""))</f>
        <v/>
      </c>
      <c r="W907">
        <f>IF($A907="","",IFERROR(INDEX('[AQ_2021.xlsx]原始数据'!$F:$F,MATCH($A907,'[AQ_2021.xlsx]原始数据'!$A:$A,0)),""))</f>
        <v/>
      </c>
      <c r="X907">
        <f>IF($A907="","",IFERROR(INDEX('[AQ_2022.xlsx]原始数据'!$F:$F,MATCH($A907,'[AQ_2022.xlsx]原始数据'!$A:$A,0)),""))</f>
        <v/>
      </c>
      <c r="Y907">
        <f>IF($A907="","",IFERROR(INDEX('[AQ_2023.xlsx]原始数据'!$F:$F,MATCH($A907,'[AQ_2023.xlsx]原始数据'!$A:$A,0)),""))</f>
        <v/>
      </c>
      <c r="Z907">
        <f>IF($A907="","",IFERROR(INDEX('[AQ_2024.xlsx]原始数据'!$F:$F,MATCH($A907,'[AQ_2024.xlsx]原始数据'!$A:$A,0)),""))</f>
        <v/>
      </c>
      <c r="AA907" s="2">
        <f>IFERROR(G907/B907,"")</f>
        <v/>
      </c>
      <c r="AB907" s="2">
        <f>IFERROR(H907/C907,"")</f>
        <v/>
      </c>
      <c r="AC907" s="2">
        <f>IFERROR(I907/D907,"")</f>
        <v/>
      </c>
      <c r="AD907" s="2">
        <f>IFERROR(J907/E907,"")</f>
        <v/>
      </c>
      <c r="AE907" s="2">
        <f>IFERROR(K907/F907,"")</f>
        <v/>
      </c>
      <c r="AF907" s="2">
        <f>IFERROR(L907/B907,"")</f>
        <v/>
      </c>
      <c r="AG907" s="2">
        <f>IFERROR(M907/C907,"")</f>
        <v/>
      </c>
      <c r="AH907" s="2">
        <f>IFERROR(N907/D907,"")</f>
        <v/>
      </c>
      <c r="AI907" s="2">
        <f>IFERROR(O907/E907,"")</f>
        <v/>
      </c>
      <c r="AJ907" s="2">
        <f>IFERROR(P907/F907,"")</f>
        <v/>
      </c>
      <c r="AK907" s="2">
        <f>IFERROR(Q907/B907,"")</f>
        <v/>
      </c>
      <c r="AL907" s="2">
        <f>IFERROR(R907/C907,"")</f>
        <v/>
      </c>
      <c r="AM907" s="2">
        <f>IFERROR(S907/D907,"")</f>
        <v/>
      </c>
      <c r="AN907" s="2">
        <f>IFERROR(T907/E907,"")</f>
        <v/>
      </c>
      <c r="AO907" s="2">
        <f>IFERROR(U907/F907,"")</f>
        <v/>
      </c>
    </row>
    <row r="908">
      <c r="B908">
        <f>IF($A908="","",IFERROR(INDEX('[AQ_2020.xlsx]原始数据'!$B:$B,MATCH($A908,'[AQ_2020.xlsx]原始数据'!$A:$A,0)),""))</f>
        <v/>
      </c>
      <c r="C908">
        <f>IF($A908="","",IFERROR(INDEX('[AQ_2021.xlsx]原始数据'!$B:$B,MATCH($A908,'[AQ_2021.xlsx]原始数据'!$A:$A,0)),""))</f>
        <v/>
      </c>
      <c r="D908">
        <f>IF($A908="","",IFERROR(INDEX('[AQ_2022.xlsx]原始数据'!$B:$B,MATCH($A908,'[AQ_2022.xlsx]原始数据'!$A:$A,0)),""))</f>
        <v/>
      </c>
      <c r="E908">
        <f>IF($A908="","",IFERROR(INDEX('[AQ_2023.xlsx]原始数据'!$B:$B,MATCH($A908,'[AQ_2023.xlsx]原始数据'!$A:$A,0)),""))</f>
        <v/>
      </c>
      <c r="F908">
        <f>IF($A908="","",IFERROR(INDEX('[AQ_2024.xlsx]原始数据'!$B:$B,MATCH($A908,'[AQ_2024.xlsx]原始数据'!$A:$A,0)),""))</f>
        <v/>
      </c>
      <c r="G908">
        <f>IF($A908="","",IFERROR(INDEX('[AQ_2020.xlsx]原始数据'!$C:$C,MATCH($A908,'[AQ_2020.xlsx]原始数据'!$A:$A,0)),""))</f>
        <v/>
      </c>
      <c r="H908">
        <f>IF($A908="","",IFERROR(INDEX('[AQ_2021.xlsx]原始数据'!$C:$C,MATCH($A908,'[AQ_2021.xlsx]原始数据'!$A:$A,0)),""))</f>
        <v/>
      </c>
      <c r="I908">
        <f>IF($A908="","",IFERROR(INDEX('[AQ_2022.xlsx]原始数据'!$C:$C,MATCH($A908,'[AQ_2022.xlsx]原始数据'!$A:$A,0)),""))</f>
        <v/>
      </c>
      <c r="J908">
        <f>IF($A908="","",IFERROR(INDEX('[AQ_2023.xlsx]原始数据'!$C:$C,MATCH($A908,'[AQ_2023.xlsx]原始数据'!$A:$A,0)),""))</f>
        <v/>
      </c>
      <c r="K908">
        <f>IF($A908="","",IFERROR(INDEX('[AQ_2024.xlsx]原始数据'!$C:$C,MATCH($A908,'[AQ_2024.xlsx]原始数据'!$A:$A,0)),""))</f>
        <v/>
      </c>
      <c r="L908">
        <f>IF($A908="","",IFERROR(INDEX('[AQ_2020.xlsx]原始数据'!$D:$D,MATCH($A908,'[AQ_2020.xlsx]原始数据'!$A:$A,0)),""))</f>
        <v/>
      </c>
      <c r="M908">
        <f>IF($A908="","",IFERROR(INDEX('[AQ_2021.xlsx]原始数据'!$D:$D,MATCH($A908,'[AQ_2021.xlsx]原始数据'!$A:$A,0)),""))</f>
        <v/>
      </c>
      <c r="N908">
        <f>IF($A908="","",IFERROR(INDEX('[AQ_2022.xlsx]原始数据'!$D:$D,MATCH($A908,'[AQ_2022.xlsx]原始数据'!$A:$A,0)),""))</f>
        <v/>
      </c>
      <c r="O908">
        <f>IF($A908="","",IFERROR(INDEX('[AQ_2023.xlsx]原始数据'!$D:$D,MATCH($A908,'[AQ_2023.xlsx]原始数据'!$A:$A,0)),""))</f>
        <v/>
      </c>
      <c r="P908">
        <f>IF($A908="","",IFERROR(INDEX('[AQ_2024.xlsx]原始数据'!$D:$D,MATCH($A908,'[AQ_2024.xlsx]原始数据'!$A:$A,0)),""))</f>
        <v/>
      </c>
      <c r="Q908">
        <f>IF($A908="","",IFERROR(INDEX('[AQ_2020.xlsx]原始数据'!$E:$E,MATCH($A908,'[AQ_2020.xlsx]原始数据'!$A:$A,0)),""))</f>
        <v/>
      </c>
      <c r="R908">
        <f>IF($A908="","",IFERROR(INDEX('[AQ_2021.xlsx]原始数据'!$E:$E,MATCH($A908,'[AQ_2021.xlsx]原始数据'!$A:$A,0)),""))</f>
        <v/>
      </c>
      <c r="S908">
        <f>IF($A908="","",IFERROR(INDEX('[AQ_2022.xlsx]原始数据'!$E:$E,MATCH($A908,'[AQ_2022.xlsx]原始数据'!$A:$A,0)),""))</f>
        <v/>
      </c>
      <c r="T908">
        <f>IF($A908="","",IFERROR(INDEX('[AQ_2023.xlsx]原始数据'!$E:$E,MATCH($A908,'[AQ_2023.xlsx]原始数据'!$A:$A,0)),""))</f>
        <v/>
      </c>
      <c r="U908">
        <f>IF($A908="","",IFERROR(INDEX('[AQ_2024.xlsx]原始数据'!$E:$E,MATCH($A908,'[AQ_2024.xlsx]原始数据'!$A:$A,0)),""))</f>
        <v/>
      </c>
      <c r="V908">
        <f>IF($A908="","",IFERROR(INDEX('[AQ_2020.xlsx]原始数据'!$F:$F,MATCH($A908,'[AQ_2020.xlsx]原始数据'!$A:$A,0)),""))</f>
        <v/>
      </c>
      <c r="W908">
        <f>IF($A908="","",IFERROR(INDEX('[AQ_2021.xlsx]原始数据'!$F:$F,MATCH($A908,'[AQ_2021.xlsx]原始数据'!$A:$A,0)),""))</f>
        <v/>
      </c>
      <c r="X908">
        <f>IF($A908="","",IFERROR(INDEX('[AQ_2022.xlsx]原始数据'!$F:$F,MATCH($A908,'[AQ_2022.xlsx]原始数据'!$A:$A,0)),""))</f>
        <v/>
      </c>
      <c r="Y908">
        <f>IF($A908="","",IFERROR(INDEX('[AQ_2023.xlsx]原始数据'!$F:$F,MATCH($A908,'[AQ_2023.xlsx]原始数据'!$A:$A,0)),""))</f>
        <v/>
      </c>
      <c r="Z908">
        <f>IF($A908="","",IFERROR(INDEX('[AQ_2024.xlsx]原始数据'!$F:$F,MATCH($A908,'[AQ_2024.xlsx]原始数据'!$A:$A,0)),""))</f>
        <v/>
      </c>
      <c r="AA908" s="2">
        <f>IFERROR(G908/B908,"")</f>
        <v/>
      </c>
      <c r="AB908" s="2">
        <f>IFERROR(H908/C908,"")</f>
        <v/>
      </c>
      <c r="AC908" s="2">
        <f>IFERROR(I908/D908,"")</f>
        <v/>
      </c>
      <c r="AD908" s="2">
        <f>IFERROR(J908/E908,"")</f>
        <v/>
      </c>
      <c r="AE908" s="2">
        <f>IFERROR(K908/F908,"")</f>
        <v/>
      </c>
      <c r="AF908" s="2">
        <f>IFERROR(L908/B908,"")</f>
        <v/>
      </c>
      <c r="AG908" s="2">
        <f>IFERROR(M908/C908,"")</f>
        <v/>
      </c>
      <c r="AH908" s="2">
        <f>IFERROR(N908/D908,"")</f>
        <v/>
      </c>
      <c r="AI908" s="2">
        <f>IFERROR(O908/E908,"")</f>
        <v/>
      </c>
      <c r="AJ908" s="2">
        <f>IFERROR(P908/F908,"")</f>
        <v/>
      </c>
      <c r="AK908" s="2">
        <f>IFERROR(Q908/B908,"")</f>
        <v/>
      </c>
      <c r="AL908" s="2">
        <f>IFERROR(R908/C908,"")</f>
        <v/>
      </c>
      <c r="AM908" s="2">
        <f>IFERROR(S908/D908,"")</f>
        <v/>
      </c>
      <c r="AN908" s="2">
        <f>IFERROR(T908/E908,"")</f>
        <v/>
      </c>
      <c r="AO908" s="2">
        <f>IFERROR(U908/F908,"")</f>
        <v/>
      </c>
    </row>
    <row r="909">
      <c r="B909">
        <f>IF($A909="","",IFERROR(INDEX('[AQ_2020.xlsx]原始数据'!$B:$B,MATCH($A909,'[AQ_2020.xlsx]原始数据'!$A:$A,0)),""))</f>
        <v/>
      </c>
      <c r="C909">
        <f>IF($A909="","",IFERROR(INDEX('[AQ_2021.xlsx]原始数据'!$B:$B,MATCH($A909,'[AQ_2021.xlsx]原始数据'!$A:$A,0)),""))</f>
        <v/>
      </c>
      <c r="D909">
        <f>IF($A909="","",IFERROR(INDEX('[AQ_2022.xlsx]原始数据'!$B:$B,MATCH($A909,'[AQ_2022.xlsx]原始数据'!$A:$A,0)),""))</f>
        <v/>
      </c>
      <c r="E909">
        <f>IF($A909="","",IFERROR(INDEX('[AQ_2023.xlsx]原始数据'!$B:$B,MATCH($A909,'[AQ_2023.xlsx]原始数据'!$A:$A,0)),""))</f>
        <v/>
      </c>
      <c r="F909">
        <f>IF($A909="","",IFERROR(INDEX('[AQ_2024.xlsx]原始数据'!$B:$B,MATCH($A909,'[AQ_2024.xlsx]原始数据'!$A:$A,0)),""))</f>
        <v/>
      </c>
      <c r="G909">
        <f>IF($A909="","",IFERROR(INDEX('[AQ_2020.xlsx]原始数据'!$C:$C,MATCH($A909,'[AQ_2020.xlsx]原始数据'!$A:$A,0)),""))</f>
        <v/>
      </c>
      <c r="H909">
        <f>IF($A909="","",IFERROR(INDEX('[AQ_2021.xlsx]原始数据'!$C:$C,MATCH($A909,'[AQ_2021.xlsx]原始数据'!$A:$A,0)),""))</f>
        <v/>
      </c>
      <c r="I909">
        <f>IF($A909="","",IFERROR(INDEX('[AQ_2022.xlsx]原始数据'!$C:$C,MATCH($A909,'[AQ_2022.xlsx]原始数据'!$A:$A,0)),""))</f>
        <v/>
      </c>
      <c r="J909">
        <f>IF($A909="","",IFERROR(INDEX('[AQ_2023.xlsx]原始数据'!$C:$C,MATCH($A909,'[AQ_2023.xlsx]原始数据'!$A:$A,0)),""))</f>
        <v/>
      </c>
      <c r="K909">
        <f>IF($A909="","",IFERROR(INDEX('[AQ_2024.xlsx]原始数据'!$C:$C,MATCH($A909,'[AQ_2024.xlsx]原始数据'!$A:$A,0)),""))</f>
        <v/>
      </c>
      <c r="L909">
        <f>IF($A909="","",IFERROR(INDEX('[AQ_2020.xlsx]原始数据'!$D:$D,MATCH($A909,'[AQ_2020.xlsx]原始数据'!$A:$A,0)),""))</f>
        <v/>
      </c>
      <c r="M909">
        <f>IF($A909="","",IFERROR(INDEX('[AQ_2021.xlsx]原始数据'!$D:$D,MATCH($A909,'[AQ_2021.xlsx]原始数据'!$A:$A,0)),""))</f>
        <v/>
      </c>
      <c r="N909">
        <f>IF($A909="","",IFERROR(INDEX('[AQ_2022.xlsx]原始数据'!$D:$D,MATCH($A909,'[AQ_2022.xlsx]原始数据'!$A:$A,0)),""))</f>
        <v/>
      </c>
      <c r="O909">
        <f>IF($A909="","",IFERROR(INDEX('[AQ_2023.xlsx]原始数据'!$D:$D,MATCH($A909,'[AQ_2023.xlsx]原始数据'!$A:$A,0)),""))</f>
        <v/>
      </c>
      <c r="P909">
        <f>IF($A909="","",IFERROR(INDEX('[AQ_2024.xlsx]原始数据'!$D:$D,MATCH($A909,'[AQ_2024.xlsx]原始数据'!$A:$A,0)),""))</f>
        <v/>
      </c>
      <c r="Q909">
        <f>IF($A909="","",IFERROR(INDEX('[AQ_2020.xlsx]原始数据'!$E:$E,MATCH($A909,'[AQ_2020.xlsx]原始数据'!$A:$A,0)),""))</f>
        <v/>
      </c>
      <c r="R909">
        <f>IF($A909="","",IFERROR(INDEX('[AQ_2021.xlsx]原始数据'!$E:$E,MATCH($A909,'[AQ_2021.xlsx]原始数据'!$A:$A,0)),""))</f>
        <v/>
      </c>
      <c r="S909">
        <f>IF($A909="","",IFERROR(INDEX('[AQ_2022.xlsx]原始数据'!$E:$E,MATCH($A909,'[AQ_2022.xlsx]原始数据'!$A:$A,0)),""))</f>
        <v/>
      </c>
      <c r="T909">
        <f>IF($A909="","",IFERROR(INDEX('[AQ_2023.xlsx]原始数据'!$E:$E,MATCH($A909,'[AQ_2023.xlsx]原始数据'!$A:$A,0)),""))</f>
        <v/>
      </c>
      <c r="U909">
        <f>IF($A909="","",IFERROR(INDEX('[AQ_2024.xlsx]原始数据'!$E:$E,MATCH($A909,'[AQ_2024.xlsx]原始数据'!$A:$A,0)),""))</f>
        <v/>
      </c>
      <c r="V909">
        <f>IF($A909="","",IFERROR(INDEX('[AQ_2020.xlsx]原始数据'!$F:$F,MATCH($A909,'[AQ_2020.xlsx]原始数据'!$A:$A,0)),""))</f>
        <v/>
      </c>
      <c r="W909">
        <f>IF($A909="","",IFERROR(INDEX('[AQ_2021.xlsx]原始数据'!$F:$F,MATCH($A909,'[AQ_2021.xlsx]原始数据'!$A:$A,0)),""))</f>
        <v/>
      </c>
      <c r="X909">
        <f>IF($A909="","",IFERROR(INDEX('[AQ_2022.xlsx]原始数据'!$F:$F,MATCH($A909,'[AQ_2022.xlsx]原始数据'!$A:$A,0)),""))</f>
        <v/>
      </c>
      <c r="Y909">
        <f>IF($A909="","",IFERROR(INDEX('[AQ_2023.xlsx]原始数据'!$F:$F,MATCH($A909,'[AQ_2023.xlsx]原始数据'!$A:$A,0)),""))</f>
        <v/>
      </c>
      <c r="Z909">
        <f>IF($A909="","",IFERROR(INDEX('[AQ_2024.xlsx]原始数据'!$F:$F,MATCH($A909,'[AQ_2024.xlsx]原始数据'!$A:$A,0)),""))</f>
        <v/>
      </c>
      <c r="AA909" s="2">
        <f>IFERROR(G909/B909,"")</f>
        <v/>
      </c>
      <c r="AB909" s="2">
        <f>IFERROR(H909/C909,"")</f>
        <v/>
      </c>
      <c r="AC909" s="2">
        <f>IFERROR(I909/D909,"")</f>
        <v/>
      </c>
      <c r="AD909" s="2">
        <f>IFERROR(J909/E909,"")</f>
        <v/>
      </c>
      <c r="AE909" s="2">
        <f>IFERROR(K909/F909,"")</f>
        <v/>
      </c>
      <c r="AF909" s="2">
        <f>IFERROR(L909/B909,"")</f>
        <v/>
      </c>
      <c r="AG909" s="2">
        <f>IFERROR(M909/C909,"")</f>
        <v/>
      </c>
      <c r="AH909" s="2">
        <f>IFERROR(N909/D909,"")</f>
        <v/>
      </c>
      <c r="AI909" s="2">
        <f>IFERROR(O909/E909,"")</f>
        <v/>
      </c>
      <c r="AJ909" s="2">
        <f>IFERROR(P909/F909,"")</f>
        <v/>
      </c>
      <c r="AK909" s="2">
        <f>IFERROR(Q909/B909,"")</f>
        <v/>
      </c>
      <c r="AL909" s="2">
        <f>IFERROR(R909/C909,"")</f>
        <v/>
      </c>
      <c r="AM909" s="2">
        <f>IFERROR(S909/D909,"")</f>
        <v/>
      </c>
      <c r="AN909" s="2">
        <f>IFERROR(T909/E909,"")</f>
        <v/>
      </c>
      <c r="AO909" s="2">
        <f>IFERROR(U909/F909,"")</f>
        <v/>
      </c>
    </row>
    <row r="910">
      <c r="B910">
        <f>IF($A910="","",IFERROR(INDEX('[AQ_2020.xlsx]原始数据'!$B:$B,MATCH($A910,'[AQ_2020.xlsx]原始数据'!$A:$A,0)),""))</f>
        <v/>
      </c>
      <c r="C910">
        <f>IF($A910="","",IFERROR(INDEX('[AQ_2021.xlsx]原始数据'!$B:$B,MATCH($A910,'[AQ_2021.xlsx]原始数据'!$A:$A,0)),""))</f>
        <v/>
      </c>
      <c r="D910">
        <f>IF($A910="","",IFERROR(INDEX('[AQ_2022.xlsx]原始数据'!$B:$B,MATCH($A910,'[AQ_2022.xlsx]原始数据'!$A:$A,0)),""))</f>
        <v/>
      </c>
      <c r="E910">
        <f>IF($A910="","",IFERROR(INDEX('[AQ_2023.xlsx]原始数据'!$B:$B,MATCH($A910,'[AQ_2023.xlsx]原始数据'!$A:$A,0)),""))</f>
        <v/>
      </c>
      <c r="F910">
        <f>IF($A910="","",IFERROR(INDEX('[AQ_2024.xlsx]原始数据'!$B:$B,MATCH($A910,'[AQ_2024.xlsx]原始数据'!$A:$A,0)),""))</f>
        <v/>
      </c>
      <c r="G910">
        <f>IF($A910="","",IFERROR(INDEX('[AQ_2020.xlsx]原始数据'!$C:$C,MATCH($A910,'[AQ_2020.xlsx]原始数据'!$A:$A,0)),""))</f>
        <v/>
      </c>
      <c r="H910">
        <f>IF($A910="","",IFERROR(INDEX('[AQ_2021.xlsx]原始数据'!$C:$C,MATCH($A910,'[AQ_2021.xlsx]原始数据'!$A:$A,0)),""))</f>
        <v/>
      </c>
      <c r="I910">
        <f>IF($A910="","",IFERROR(INDEX('[AQ_2022.xlsx]原始数据'!$C:$C,MATCH($A910,'[AQ_2022.xlsx]原始数据'!$A:$A,0)),""))</f>
        <v/>
      </c>
      <c r="J910">
        <f>IF($A910="","",IFERROR(INDEX('[AQ_2023.xlsx]原始数据'!$C:$C,MATCH($A910,'[AQ_2023.xlsx]原始数据'!$A:$A,0)),""))</f>
        <v/>
      </c>
      <c r="K910">
        <f>IF($A910="","",IFERROR(INDEX('[AQ_2024.xlsx]原始数据'!$C:$C,MATCH($A910,'[AQ_2024.xlsx]原始数据'!$A:$A,0)),""))</f>
        <v/>
      </c>
      <c r="L910">
        <f>IF($A910="","",IFERROR(INDEX('[AQ_2020.xlsx]原始数据'!$D:$D,MATCH($A910,'[AQ_2020.xlsx]原始数据'!$A:$A,0)),""))</f>
        <v/>
      </c>
      <c r="M910">
        <f>IF($A910="","",IFERROR(INDEX('[AQ_2021.xlsx]原始数据'!$D:$D,MATCH($A910,'[AQ_2021.xlsx]原始数据'!$A:$A,0)),""))</f>
        <v/>
      </c>
      <c r="N910">
        <f>IF($A910="","",IFERROR(INDEX('[AQ_2022.xlsx]原始数据'!$D:$D,MATCH($A910,'[AQ_2022.xlsx]原始数据'!$A:$A,0)),""))</f>
        <v/>
      </c>
      <c r="O910">
        <f>IF($A910="","",IFERROR(INDEX('[AQ_2023.xlsx]原始数据'!$D:$D,MATCH($A910,'[AQ_2023.xlsx]原始数据'!$A:$A,0)),""))</f>
        <v/>
      </c>
      <c r="P910">
        <f>IF($A910="","",IFERROR(INDEX('[AQ_2024.xlsx]原始数据'!$D:$D,MATCH($A910,'[AQ_2024.xlsx]原始数据'!$A:$A,0)),""))</f>
        <v/>
      </c>
      <c r="Q910">
        <f>IF($A910="","",IFERROR(INDEX('[AQ_2020.xlsx]原始数据'!$E:$E,MATCH($A910,'[AQ_2020.xlsx]原始数据'!$A:$A,0)),""))</f>
        <v/>
      </c>
      <c r="R910">
        <f>IF($A910="","",IFERROR(INDEX('[AQ_2021.xlsx]原始数据'!$E:$E,MATCH($A910,'[AQ_2021.xlsx]原始数据'!$A:$A,0)),""))</f>
        <v/>
      </c>
      <c r="S910">
        <f>IF($A910="","",IFERROR(INDEX('[AQ_2022.xlsx]原始数据'!$E:$E,MATCH($A910,'[AQ_2022.xlsx]原始数据'!$A:$A,0)),""))</f>
        <v/>
      </c>
      <c r="T910">
        <f>IF($A910="","",IFERROR(INDEX('[AQ_2023.xlsx]原始数据'!$E:$E,MATCH($A910,'[AQ_2023.xlsx]原始数据'!$A:$A,0)),""))</f>
        <v/>
      </c>
      <c r="U910">
        <f>IF($A910="","",IFERROR(INDEX('[AQ_2024.xlsx]原始数据'!$E:$E,MATCH($A910,'[AQ_2024.xlsx]原始数据'!$A:$A,0)),""))</f>
        <v/>
      </c>
      <c r="V910">
        <f>IF($A910="","",IFERROR(INDEX('[AQ_2020.xlsx]原始数据'!$F:$F,MATCH($A910,'[AQ_2020.xlsx]原始数据'!$A:$A,0)),""))</f>
        <v/>
      </c>
      <c r="W910">
        <f>IF($A910="","",IFERROR(INDEX('[AQ_2021.xlsx]原始数据'!$F:$F,MATCH($A910,'[AQ_2021.xlsx]原始数据'!$A:$A,0)),""))</f>
        <v/>
      </c>
      <c r="X910">
        <f>IF($A910="","",IFERROR(INDEX('[AQ_2022.xlsx]原始数据'!$F:$F,MATCH($A910,'[AQ_2022.xlsx]原始数据'!$A:$A,0)),""))</f>
        <v/>
      </c>
      <c r="Y910">
        <f>IF($A910="","",IFERROR(INDEX('[AQ_2023.xlsx]原始数据'!$F:$F,MATCH($A910,'[AQ_2023.xlsx]原始数据'!$A:$A,0)),""))</f>
        <v/>
      </c>
      <c r="Z910">
        <f>IF($A910="","",IFERROR(INDEX('[AQ_2024.xlsx]原始数据'!$F:$F,MATCH($A910,'[AQ_2024.xlsx]原始数据'!$A:$A,0)),""))</f>
        <v/>
      </c>
      <c r="AA910" s="2">
        <f>IFERROR(G910/B910,"")</f>
        <v/>
      </c>
      <c r="AB910" s="2">
        <f>IFERROR(H910/C910,"")</f>
        <v/>
      </c>
      <c r="AC910" s="2">
        <f>IFERROR(I910/D910,"")</f>
        <v/>
      </c>
      <c r="AD910" s="2">
        <f>IFERROR(J910/E910,"")</f>
        <v/>
      </c>
      <c r="AE910" s="2">
        <f>IFERROR(K910/F910,"")</f>
        <v/>
      </c>
      <c r="AF910" s="2">
        <f>IFERROR(L910/B910,"")</f>
        <v/>
      </c>
      <c r="AG910" s="2">
        <f>IFERROR(M910/C910,"")</f>
        <v/>
      </c>
      <c r="AH910" s="2">
        <f>IFERROR(N910/D910,"")</f>
        <v/>
      </c>
      <c r="AI910" s="2">
        <f>IFERROR(O910/E910,"")</f>
        <v/>
      </c>
      <c r="AJ910" s="2">
        <f>IFERROR(P910/F910,"")</f>
        <v/>
      </c>
      <c r="AK910" s="2">
        <f>IFERROR(Q910/B910,"")</f>
        <v/>
      </c>
      <c r="AL910" s="2">
        <f>IFERROR(R910/C910,"")</f>
        <v/>
      </c>
      <c r="AM910" s="2">
        <f>IFERROR(S910/D910,"")</f>
        <v/>
      </c>
      <c r="AN910" s="2">
        <f>IFERROR(T910/E910,"")</f>
        <v/>
      </c>
      <c r="AO910" s="2">
        <f>IFERROR(U910/F910,"")</f>
        <v/>
      </c>
    </row>
    <row r="911">
      <c r="B911">
        <f>IF($A911="","",IFERROR(INDEX('[AQ_2020.xlsx]原始数据'!$B:$B,MATCH($A911,'[AQ_2020.xlsx]原始数据'!$A:$A,0)),""))</f>
        <v/>
      </c>
      <c r="C911">
        <f>IF($A911="","",IFERROR(INDEX('[AQ_2021.xlsx]原始数据'!$B:$B,MATCH($A911,'[AQ_2021.xlsx]原始数据'!$A:$A,0)),""))</f>
        <v/>
      </c>
      <c r="D911">
        <f>IF($A911="","",IFERROR(INDEX('[AQ_2022.xlsx]原始数据'!$B:$B,MATCH($A911,'[AQ_2022.xlsx]原始数据'!$A:$A,0)),""))</f>
        <v/>
      </c>
      <c r="E911">
        <f>IF($A911="","",IFERROR(INDEX('[AQ_2023.xlsx]原始数据'!$B:$B,MATCH($A911,'[AQ_2023.xlsx]原始数据'!$A:$A,0)),""))</f>
        <v/>
      </c>
      <c r="F911">
        <f>IF($A911="","",IFERROR(INDEX('[AQ_2024.xlsx]原始数据'!$B:$B,MATCH($A911,'[AQ_2024.xlsx]原始数据'!$A:$A,0)),""))</f>
        <v/>
      </c>
      <c r="G911">
        <f>IF($A911="","",IFERROR(INDEX('[AQ_2020.xlsx]原始数据'!$C:$C,MATCH($A911,'[AQ_2020.xlsx]原始数据'!$A:$A,0)),""))</f>
        <v/>
      </c>
      <c r="H911">
        <f>IF($A911="","",IFERROR(INDEX('[AQ_2021.xlsx]原始数据'!$C:$C,MATCH($A911,'[AQ_2021.xlsx]原始数据'!$A:$A,0)),""))</f>
        <v/>
      </c>
      <c r="I911">
        <f>IF($A911="","",IFERROR(INDEX('[AQ_2022.xlsx]原始数据'!$C:$C,MATCH($A911,'[AQ_2022.xlsx]原始数据'!$A:$A,0)),""))</f>
        <v/>
      </c>
      <c r="J911">
        <f>IF($A911="","",IFERROR(INDEX('[AQ_2023.xlsx]原始数据'!$C:$C,MATCH($A911,'[AQ_2023.xlsx]原始数据'!$A:$A,0)),""))</f>
        <v/>
      </c>
      <c r="K911">
        <f>IF($A911="","",IFERROR(INDEX('[AQ_2024.xlsx]原始数据'!$C:$C,MATCH($A911,'[AQ_2024.xlsx]原始数据'!$A:$A,0)),""))</f>
        <v/>
      </c>
      <c r="L911">
        <f>IF($A911="","",IFERROR(INDEX('[AQ_2020.xlsx]原始数据'!$D:$D,MATCH($A911,'[AQ_2020.xlsx]原始数据'!$A:$A,0)),""))</f>
        <v/>
      </c>
      <c r="M911">
        <f>IF($A911="","",IFERROR(INDEX('[AQ_2021.xlsx]原始数据'!$D:$D,MATCH($A911,'[AQ_2021.xlsx]原始数据'!$A:$A,0)),""))</f>
        <v/>
      </c>
      <c r="N911">
        <f>IF($A911="","",IFERROR(INDEX('[AQ_2022.xlsx]原始数据'!$D:$D,MATCH($A911,'[AQ_2022.xlsx]原始数据'!$A:$A,0)),""))</f>
        <v/>
      </c>
      <c r="O911">
        <f>IF($A911="","",IFERROR(INDEX('[AQ_2023.xlsx]原始数据'!$D:$D,MATCH($A911,'[AQ_2023.xlsx]原始数据'!$A:$A,0)),""))</f>
        <v/>
      </c>
      <c r="P911">
        <f>IF($A911="","",IFERROR(INDEX('[AQ_2024.xlsx]原始数据'!$D:$D,MATCH($A911,'[AQ_2024.xlsx]原始数据'!$A:$A,0)),""))</f>
        <v/>
      </c>
      <c r="Q911">
        <f>IF($A911="","",IFERROR(INDEX('[AQ_2020.xlsx]原始数据'!$E:$E,MATCH($A911,'[AQ_2020.xlsx]原始数据'!$A:$A,0)),""))</f>
        <v/>
      </c>
      <c r="R911">
        <f>IF($A911="","",IFERROR(INDEX('[AQ_2021.xlsx]原始数据'!$E:$E,MATCH($A911,'[AQ_2021.xlsx]原始数据'!$A:$A,0)),""))</f>
        <v/>
      </c>
      <c r="S911">
        <f>IF($A911="","",IFERROR(INDEX('[AQ_2022.xlsx]原始数据'!$E:$E,MATCH($A911,'[AQ_2022.xlsx]原始数据'!$A:$A,0)),""))</f>
        <v/>
      </c>
      <c r="T911">
        <f>IF($A911="","",IFERROR(INDEX('[AQ_2023.xlsx]原始数据'!$E:$E,MATCH($A911,'[AQ_2023.xlsx]原始数据'!$A:$A,0)),""))</f>
        <v/>
      </c>
      <c r="U911">
        <f>IF($A911="","",IFERROR(INDEX('[AQ_2024.xlsx]原始数据'!$E:$E,MATCH($A911,'[AQ_2024.xlsx]原始数据'!$A:$A,0)),""))</f>
        <v/>
      </c>
      <c r="V911">
        <f>IF($A911="","",IFERROR(INDEX('[AQ_2020.xlsx]原始数据'!$F:$F,MATCH($A911,'[AQ_2020.xlsx]原始数据'!$A:$A,0)),""))</f>
        <v/>
      </c>
      <c r="W911">
        <f>IF($A911="","",IFERROR(INDEX('[AQ_2021.xlsx]原始数据'!$F:$F,MATCH($A911,'[AQ_2021.xlsx]原始数据'!$A:$A,0)),""))</f>
        <v/>
      </c>
      <c r="X911">
        <f>IF($A911="","",IFERROR(INDEX('[AQ_2022.xlsx]原始数据'!$F:$F,MATCH($A911,'[AQ_2022.xlsx]原始数据'!$A:$A,0)),""))</f>
        <v/>
      </c>
      <c r="Y911">
        <f>IF($A911="","",IFERROR(INDEX('[AQ_2023.xlsx]原始数据'!$F:$F,MATCH($A911,'[AQ_2023.xlsx]原始数据'!$A:$A,0)),""))</f>
        <v/>
      </c>
      <c r="Z911">
        <f>IF($A911="","",IFERROR(INDEX('[AQ_2024.xlsx]原始数据'!$F:$F,MATCH($A911,'[AQ_2024.xlsx]原始数据'!$A:$A,0)),""))</f>
        <v/>
      </c>
      <c r="AA911" s="2">
        <f>IFERROR(G911/B911,"")</f>
        <v/>
      </c>
      <c r="AB911" s="2">
        <f>IFERROR(H911/C911,"")</f>
        <v/>
      </c>
      <c r="AC911" s="2">
        <f>IFERROR(I911/D911,"")</f>
        <v/>
      </c>
      <c r="AD911" s="2">
        <f>IFERROR(J911/E911,"")</f>
        <v/>
      </c>
      <c r="AE911" s="2">
        <f>IFERROR(K911/F911,"")</f>
        <v/>
      </c>
      <c r="AF911" s="2">
        <f>IFERROR(L911/B911,"")</f>
        <v/>
      </c>
      <c r="AG911" s="2">
        <f>IFERROR(M911/C911,"")</f>
        <v/>
      </c>
      <c r="AH911" s="2">
        <f>IFERROR(N911/D911,"")</f>
        <v/>
      </c>
      <c r="AI911" s="2">
        <f>IFERROR(O911/E911,"")</f>
        <v/>
      </c>
      <c r="AJ911" s="2">
        <f>IFERROR(P911/F911,"")</f>
        <v/>
      </c>
      <c r="AK911" s="2">
        <f>IFERROR(Q911/B911,"")</f>
        <v/>
      </c>
      <c r="AL911" s="2">
        <f>IFERROR(R911/C911,"")</f>
        <v/>
      </c>
      <c r="AM911" s="2">
        <f>IFERROR(S911/D911,"")</f>
        <v/>
      </c>
      <c r="AN911" s="2">
        <f>IFERROR(T911/E911,"")</f>
        <v/>
      </c>
      <c r="AO911" s="2">
        <f>IFERROR(U911/F911,"")</f>
        <v/>
      </c>
    </row>
    <row r="912">
      <c r="B912">
        <f>IF($A912="","",IFERROR(INDEX('[AQ_2020.xlsx]原始数据'!$B:$B,MATCH($A912,'[AQ_2020.xlsx]原始数据'!$A:$A,0)),""))</f>
        <v/>
      </c>
      <c r="C912">
        <f>IF($A912="","",IFERROR(INDEX('[AQ_2021.xlsx]原始数据'!$B:$B,MATCH($A912,'[AQ_2021.xlsx]原始数据'!$A:$A,0)),""))</f>
        <v/>
      </c>
      <c r="D912">
        <f>IF($A912="","",IFERROR(INDEX('[AQ_2022.xlsx]原始数据'!$B:$B,MATCH($A912,'[AQ_2022.xlsx]原始数据'!$A:$A,0)),""))</f>
        <v/>
      </c>
      <c r="E912">
        <f>IF($A912="","",IFERROR(INDEX('[AQ_2023.xlsx]原始数据'!$B:$B,MATCH($A912,'[AQ_2023.xlsx]原始数据'!$A:$A,0)),""))</f>
        <v/>
      </c>
      <c r="F912">
        <f>IF($A912="","",IFERROR(INDEX('[AQ_2024.xlsx]原始数据'!$B:$B,MATCH($A912,'[AQ_2024.xlsx]原始数据'!$A:$A,0)),""))</f>
        <v/>
      </c>
      <c r="G912">
        <f>IF($A912="","",IFERROR(INDEX('[AQ_2020.xlsx]原始数据'!$C:$C,MATCH($A912,'[AQ_2020.xlsx]原始数据'!$A:$A,0)),""))</f>
        <v/>
      </c>
      <c r="H912">
        <f>IF($A912="","",IFERROR(INDEX('[AQ_2021.xlsx]原始数据'!$C:$C,MATCH($A912,'[AQ_2021.xlsx]原始数据'!$A:$A,0)),""))</f>
        <v/>
      </c>
      <c r="I912">
        <f>IF($A912="","",IFERROR(INDEX('[AQ_2022.xlsx]原始数据'!$C:$C,MATCH($A912,'[AQ_2022.xlsx]原始数据'!$A:$A,0)),""))</f>
        <v/>
      </c>
      <c r="J912">
        <f>IF($A912="","",IFERROR(INDEX('[AQ_2023.xlsx]原始数据'!$C:$C,MATCH($A912,'[AQ_2023.xlsx]原始数据'!$A:$A,0)),""))</f>
        <v/>
      </c>
      <c r="K912">
        <f>IF($A912="","",IFERROR(INDEX('[AQ_2024.xlsx]原始数据'!$C:$C,MATCH($A912,'[AQ_2024.xlsx]原始数据'!$A:$A,0)),""))</f>
        <v/>
      </c>
      <c r="L912">
        <f>IF($A912="","",IFERROR(INDEX('[AQ_2020.xlsx]原始数据'!$D:$D,MATCH($A912,'[AQ_2020.xlsx]原始数据'!$A:$A,0)),""))</f>
        <v/>
      </c>
      <c r="M912">
        <f>IF($A912="","",IFERROR(INDEX('[AQ_2021.xlsx]原始数据'!$D:$D,MATCH($A912,'[AQ_2021.xlsx]原始数据'!$A:$A,0)),""))</f>
        <v/>
      </c>
      <c r="N912">
        <f>IF($A912="","",IFERROR(INDEX('[AQ_2022.xlsx]原始数据'!$D:$D,MATCH($A912,'[AQ_2022.xlsx]原始数据'!$A:$A,0)),""))</f>
        <v/>
      </c>
      <c r="O912">
        <f>IF($A912="","",IFERROR(INDEX('[AQ_2023.xlsx]原始数据'!$D:$D,MATCH($A912,'[AQ_2023.xlsx]原始数据'!$A:$A,0)),""))</f>
        <v/>
      </c>
      <c r="P912">
        <f>IF($A912="","",IFERROR(INDEX('[AQ_2024.xlsx]原始数据'!$D:$D,MATCH($A912,'[AQ_2024.xlsx]原始数据'!$A:$A,0)),""))</f>
        <v/>
      </c>
      <c r="Q912">
        <f>IF($A912="","",IFERROR(INDEX('[AQ_2020.xlsx]原始数据'!$E:$E,MATCH($A912,'[AQ_2020.xlsx]原始数据'!$A:$A,0)),""))</f>
        <v/>
      </c>
      <c r="R912">
        <f>IF($A912="","",IFERROR(INDEX('[AQ_2021.xlsx]原始数据'!$E:$E,MATCH($A912,'[AQ_2021.xlsx]原始数据'!$A:$A,0)),""))</f>
        <v/>
      </c>
      <c r="S912">
        <f>IF($A912="","",IFERROR(INDEX('[AQ_2022.xlsx]原始数据'!$E:$E,MATCH($A912,'[AQ_2022.xlsx]原始数据'!$A:$A,0)),""))</f>
        <v/>
      </c>
      <c r="T912">
        <f>IF($A912="","",IFERROR(INDEX('[AQ_2023.xlsx]原始数据'!$E:$E,MATCH($A912,'[AQ_2023.xlsx]原始数据'!$A:$A,0)),""))</f>
        <v/>
      </c>
      <c r="U912">
        <f>IF($A912="","",IFERROR(INDEX('[AQ_2024.xlsx]原始数据'!$E:$E,MATCH($A912,'[AQ_2024.xlsx]原始数据'!$A:$A,0)),""))</f>
        <v/>
      </c>
      <c r="V912">
        <f>IF($A912="","",IFERROR(INDEX('[AQ_2020.xlsx]原始数据'!$F:$F,MATCH($A912,'[AQ_2020.xlsx]原始数据'!$A:$A,0)),""))</f>
        <v/>
      </c>
      <c r="W912">
        <f>IF($A912="","",IFERROR(INDEX('[AQ_2021.xlsx]原始数据'!$F:$F,MATCH($A912,'[AQ_2021.xlsx]原始数据'!$A:$A,0)),""))</f>
        <v/>
      </c>
      <c r="X912">
        <f>IF($A912="","",IFERROR(INDEX('[AQ_2022.xlsx]原始数据'!$F:$F,MATCH($A912,'[AQ_2022.xlsx]原始数据'!$A:$A,0)),""))</f>
        <v/>
      </c>
      <c r="Y912">
        <f>IF($A912="","",IFERROR(INDEX('[AQ_2023.xlsx]原始数据'!$F:$F,MATCH($A912,'[AQ_2023.xlsx]原始数据'!$A:$A,0)),""))</f>
        <v/>
      </c>
      <c r="Z912">
        <f>IF($A912="","",IFERROR(INDEX('[AQ_2024.xlsx]原始数据'!$F:$F,MATCH($A912,'[AQ_2024.xlsx]原始数据'!$A:$A,0)),""))</f>
        <v/>
      </c>
      <c r="AA912" s="2">
        <f>IFERROR(G912/B912,"")</f>
        <v/>
      </c>
      <c r="AB912" s="2">
        <f>IFERROR(H912/C912,"")</f>
        <v/>
      </c>
      <c r="AC912" s="2">
        <f>IFERROR(I912/D912,"")</f>
        <v/>
      </c>
      <c r="AD912" s="2">
        <f>IFERROR(J912/E912,"")</f>
        <v/>
      </c>
      <c r="AE912" s="2">
        <f>IFERROR(K912/F912,"")</f>
        <v/>
      </c>
      <c r="AF912" s="2">
        <f>IFERROR(L912/B912,"")</f>
        <v/>
      </c>
      <c r="AG912" s="2">
        <f>IFERROR(M912/C912,"")</f>
        <v/>
      </c>
      <c r="AH912" s="2">
        <f>IFERROR(N912/D912,"")</f>
        <v/>
      </c>
      <c r="AI912" s="2">
        <f>IFERROR(O912/E912,"")</f>
        <v/>
      </c>
      <c r="AJ912" s="2">
        <f>IFERROR(P912/F912,"")</f>
        <v/>
      </c>
      <c r="AK912" s="2">
        <f>IFERROR(Q912/B912,"")</f>
        <v/>
      </c>
      <c r="AL912" s="2">
        <f>IFERROR(R912/C912,"")</f>
        <v/>
      </c>
      <c r="AM912" s="2">
        <f>IFERROR(S912/D912,"")</f>
        <v/>
      </c>
      <c r="AN912" s="2">
        <f>IFERROR(T912/E912,"")</f>
        <v/>
      </c>
      <c r="AO912" s="2">
        <f>IFERROR(U912/F912,"")</f>
        <v/>
      </c>
    </row>
    <row r="913">
      <c r="B913">
        <f>IF($A913="","",IFERROR(INDEX('[AQ_2020.xlsx]原始数据'!$B:$B,MATCH($A913,'[AQ_2020.xlsx]原始数据'!$A:$A,0)),""))</f>
        <v/>
      </c>
      <c r="C913">
        <f>IF($A913="","",IFERROR(INDEX('[AQ_2021.xlsx]原始数据'!$B:$B,MATCH($A913,'[AQ_2021.xlsx]原始数据'!$A:$A,0)),""))</f>
        <v/>
      </c>
      <c r="D913">
        <f>IF($A913="","",IFERROR(INDEX('[AQ_2022.xlsx]原始数据'!$B:$B,MATCH($A913,'[AQ_2022.xlsx]原始数据'!$A:$A,0)),""))</f>
        <v/>
      </c>
      <c r="E913">
        <f>IF($A913="","",IFERROR(INDEX('[AQ_2023.xlsx]原始数据'!$B:$B,MATCH($A913,'[AQ_2023.xlsx]原始数据'!$A:$A,0)),""))</f>
        <v/>
      </c>
      <c r="F913">
        <f>IF($A913="","",IFERROR(INDEX('[AQ_2024.xlsx]原始数据'!$B:$B,MATCH($A913,'[AQ_2024.xlsx]原始数据'!$A:$A,0)),""))</f>
        <v/>
      </c>
      <c r="G913">
        <f>IF($A913="","",IFERROR(INDEX('[AQ_2020.xlsx]原始数据'!$C:$C,MATCH($A913,'[AQ_2020.xlsx]原始数据'!$A:$A,0)),""))</f>
        <v/>
      </c>
      <c r="H913">
        <f>IF($A913="","",IFERROR(INDEX('[AQ_2021.xlsx]原始数据'!$C:$C,MATCH($A913,'[AQ_2021.xlsx]原始数据'!$A:$A,0)),""))</f>
        <v/>
      </c>
      <c r="I913">
        <f>IF($A913="","",IFERROR(INDEX('[AQ_2022.xlsx]原始数据'!$C:$C,MATCH($A913,'[AQ_2022.xlsx]原始数据'!$A:$A,0)),""))</f>
        <v/>
      </c>
      <c r="J913">
        <f>IF($A913="","",IFERROR(INDEX('[AQ_2023.xlsx]原始数据'!$C:$C,MATCH($A913,'[AQ_2023.xlsx]原始数据'!$A:$A,0)),""))</f>
        <v/>
      </c>
      <c r="K913">
        <f>IF($A913="","",IFERROR(INDEX('[AQ_2024.xlsx]原始数据'!$C:$C,MATCH($A913,'[AQ_2024.xlsx]原始数据'!$A:$A,0)),""))</f>
        <v/>
      </c>
      <c r="L913">
        <f>IF($A913="","",IFERROR(INDEX('[AQ_2020.xlsx]原始数据'!$D:$D,MATCH($A913,'[AQ_2020.xlsx]原始数据'!$A:$A,0)),""))</f>
        <v/>
      </c>
      <c r="M913">
        <f>IF($A913="","",IFERROR(INDEX('[AQ_2021.xlsx]原始数据'!$D:$D,MATCH($A913,'[AQ_2021.xlsx]原始数据'!$A:$A,0)),""))</f>
        <v/>
      </c>
      <c r="N913">
        <f>IF($A913="","",IFERROR(INDEX('[AQ_2022.xlsx]原始数据'!$D:$D,MATCH($A913,'[AQ_2022.xlsx]原始数据'!$A:$A,0)),""))</f>
        <v/>
      </c>
      <c r="O913">
        <f>IF($A913="","",IFERROR(INDEX('[AQ_2023.xlsx]原始数据'!$D:$D,MATCH($A913,'[AQ_2023.xlsx]原始数据'!$A:$A,0)),""))</f>
        <v/>
      </c>
      <c r="P913">
        <f>IF($A913="","",IFERROR(INDEX('[AQ_2024.xlsx]原始数据'!$D:$D,MATCH($A913,'[AQ_2024.xlsx]原始数据'!$A:$A,0)),""))</f>
        <v/>
      </c>
      <c r="Q913">
        <f>IF($A913="","",IFERROR(INDEX('[AQ_2020.xlsx]原始数据'!$E:$E,MATCH($A913,'[AQ_2020.xlsx]原始数据'!$A:$A,0)),""))</f>
        <v/>
      </c>
      <c r="R913">
        <f>IF($A913="","",IFERROR(INDEX('[AQ_2021.xlsx]原始数据'!$E:$E,MATCH($A913,'[AQ_2021.xlsx]原始数据'!$A:$A,0)),""))</f>
        <v/>
      </c>
      <c r="S913">
        <f>IF($A913="","",IFERROR(INDEX('[AQ_2022.xlsx]原始数据'!$E:$E,MATCH($A913,'[AQ_2022.xlsx]原始数据'!$A:$A,0)),""))</f>
        <v/>
      </c>
      <c r="T913">
        <f>IF($A913="","",IFERROR(INDEX('[AQ_2023.xlsx]原始数据'!$E:$E,MATCH($A913,'[AQ_2023.xlsx]原始数据'!$A:$A,0)),""))</f>
        <v/>
      </c>
      <c r="U913">
        <f>IF($A913="","",IFERROR(INDEX('[AQ_2024.xlsx]原始数据'!$E:$E,MATCH($A913,'[AQ_2024.xlsx]原始数据'!$A:$A,0)),""))</f>
        <v/>
      </c>
      <c r="V913">
        <f>IF($A913="","",IFERROR(INDEX('[AQ_2020.xlsx]原始数据'!$F:$F,MATCH($A913,'[AQ_2020.xlsx]原始数据'!$A:$A,0)),""))</f>
        <v/>
      </c>
      <c r="W913">
        <f>IF($A913="","",IFERROR(INDEX('[AQ_2021.xlsx]原始数据'!$F:$F,MATCH($A913,'[AQ_2021.xlsx]原始数据'!$A:$A,0)),""))</f>
        <v/>
      </c>
      <c r="X913">
        <f>IF($A913="","",IFERROR(INDEX('[AQ_2022.xlsx]原始数据'!$F:$F,MATCH($A913,'[AQ_2022.xlsx]原始数据'!$A:$A,0)),""))</f>
        <v/>
      </c>
      <c r="Y913">
        <f>IF($A913="","",IFERROR(INDEX('[AQ_2023.xlsx]原始数据'!$F:$F,MATCH($A913,'[AQ_2023.xlsx]原始数据'!$A:$A,0)),""))</f>
        <v/>
      </c>
      <c r="Z913">
        <f>IF($A913="","",IFERROR(INDEX('[AQ_2024.xlsx]原始数据'!$F:$F,MATCH($A913,'[AQ_2024.xlsx]原始数据'!$A:$A,0)),""))</f>
        <v/>
      </c>
      <c r="AA913" s="2">
        <f>IFERROR(G913/B913,"")</f>
        <v/>
      </c>
      <c r="AB913" s="2">
        <f>IFERROR(H913/C913,"")</f>
        <v/>
      </c>
      <c r="AC913" s="2">
        <f>IFERROR(I913/D913,"")</f>
        <v/>
      </c>
      <c r="AD913" s="2">
        <f>IFERROR(J913/E913,"")</f>
        <v/>
      </c>
      <c r="AE913" s="2">
        <f>IFERROR(K913/F913,"")</f>
        <v/>
      </c>
      <c r="AF913" s="2">
        <f>IFERROR(L913/B913,"")</f>
        <v/>
      </c>
      <c r="AG913" s="2">
        <f>IFERROR(M913/C913,"")</f>
        <v/>
      </c>
      <c r="AH913" s="2">
        <f>IFERROR(N913/D913,"")</f>
        <v/>
      </c>
      <c r="AI913" s="2">
        <f>IFERROR(O913/E913,"")</f>
        <v/>
      </c>
      <c r="AJ913" s="2">
        <f>IFERROR(P913/F913,"")</f>
        <v/>
      </c>
      <c r="AK913" s="2">
        <f>IFERROR(Q913/B913,"")</f>
        <v/>
      </c>
      <c r="AL913" s="2">
        <f>IFERROR(R913/C913,"")</f>
        <v/>
      </c>
      <c r="AM913" s="2">
        <f>IFERROR(S913/D913,"")</f>
        <v/>
      </c>
      <c r="AN913" s="2">
        <f>IFERROR(T913/E913,"")</f>
        <v/>
      </c>
      <c r="AO913" s="2">
        <f>IFERROR(U913/F913,"")</f>
        <v/>
      </c>
    </row>
    <row r="914">
      <c r="B914">
        <f>IF($A914="","",IFERROR(INDEX('[AQ_2020.xlsx]原始数据'!$B:$B,MATCH($A914,'[AQ_2020.xlsx]原始数据'!$A:$A,0)),""))</f>
        <v/>
      </c>
      <c r="C914">
        <f>IF($A914="","",IFERROR(INDEX('[AQ_2021.xlsx]原始数据'!$B:$B,MATCH($A914,'[AQ_2021.xlsx]原始数据'!$A:$A,0)),""))</f>
        <v/>
      </c>
      <c r="D914">
        <f>IF($A914="","",IFERROR(INDEX('[AQ_2022.xlsx]原始数据'!$B:$B,MATCH($A914,'[AQ_2022.xlsx]原始数据'!$A:$A,0)),""))</f>
        <v/>
      </c>
      <c r="E914">
        <f>IF($A914="","",IFERROR(INDEX('[AQ_2023.xlsx]原始数据'!$B:$B,MATCH($A914,'[AQ_2023.xlsx]原始数据'!$A:$A,0)),""))</f>
        <v/>
      </c>
      <c r="F914">
        <f>IF($A914="","",IFERROR(INDEX('[AQ_2024.xlsx]原始数据'!$B:$B,MATCH($A914,'[AQ_2024.xlsx]原始数据'!$A:$A,0)),""))</f>
        <v/>
      </c>
      <c r="G914">
        <f>IF($A914="","",IFERROR(INDEX('[AQ_2020.xlsx]原始数据'!$C:$C,MATCH($A914,'[AQ_2020.xlsx]原始数据'!$A:$A,0)),""))</f>
        <v/>
      </c>
      <c r="H914">
        <f>IF($A914="","",IFERROR(INDEX('[AQ_2021.xlsx]原始数据'!$C:$C,MATCH($A914,'[AQ_2021.xlsx]原始数据'!$A:$A,0)),""))</f>
        <v/>
      </c>
      <c r="I914">
        <f>IF($A914="","",IFERROR(INDEX('[AQ_2022.xlsx]原始数据'!$C:$C,MATCH($A914,'[AQ_2022.xlsx]原始数据'!$A:$A,0)),""))</f>
        <v/>
      </c>
      <c r="J914">
        <f>IF($A914="","",IFERROR(INDEX('[AQ_2023.xlsx]原始数据'!$C:$C,MATCH($A914,'[AQ_2023.xlsx]原始数据'!$A:$A,0)),""))</f>
        <v/>
      </c>
      <c r="K914">
        <f>IF($A914="","",IFERROR(INDEX('[AQ_2024.xlsx]原始数据'!$C:$C,MATCH($A914,'[AQ_2024.xlsx]原始数据'!$A:$A,0)),""))</f>
        <v/>
      </c>
      <c r="L914">
        <f>IF($A914="","",IFERROR(INDEX('[AQ_2020.xlsx]原始数据'!$D:$D,MATCH($A914,'[AQ_2020.xlsx]原始数据'!$A:$A,0)),""))</f>
        <v/>
      </c>
      <c r="M914">
        <f>IF($A914="","",IFERROR(INDEX('[AQ_2021.xlsx]原始数据'!$D:$D,MATCH($A914,'[AQ_2021.xlsx]原始数据'!$A:$A,0)),""))</f>
        <v/>
      </c>
      <c r="N914">
        <f>IF($A914="","",IFERROR(INDEX('[AQ_2022.xlsx]原始数据'!$D:$D,MATCH($A914,'[AQ_2022.xlsx]原始数据'!$A:$A,0)),""))</f>
        <v/>
      </c>
      <c r="O914">
        <f>IF($A914="","",IFERROR(INDEX('[AQ_2023.xlsx]原始数据'!$D:$D,MATCH($A914,'[AQ_2023.xlsx]原始数据'!$A:$A,0)),""))</f>
        <v/>
      </c>
      <c r="P914">
        <f>IF($A914="","",IFERROR(INDEX('[AQ_2024.xlsx]原始数据'!$D:$D,MATCH($A914,'[AQ_2024.xlsx]原始数据'!$A:$A,0)),""))</f>
        <v/>
      </c>
      <c r="Q914">
        <f>IF($A914="","",IFERROR(INDEX('[AQ_2020.xlsx]原始数据'!$E:$E,MATCH($A914,'[AQ_2020.xlsx]原始数据'!$A:$A,0)),""))</f>
        <v/>
      </c>
      <c r="R914">
        <f>IF($A914="","",IFERROR(INDEX('[AQ_2021.xlsx]原始数据'!$E:$E,MATCH($A914,'[AQ_2021.xlsx]原始数据'!$A:$A,0)),""))</f>
        <v/>
      </c>
      <c r="S914">
        <f>IF($A914="","",IFERROR(INDEX('[AQ_2022.xlsx]原始数据'!$E:$E,MATCH($A914,'[AQ_2022.xlsx]原始数据'!$A:$A,0)),""))</f>
        <v/>
      </c>
      <c r="T914">
        <f>IF($A914="","",IFERROR(INDEX('[AQ_2023.xlsx]原始数据'!$E:$E,MATCH($A914,'[AQ_2023.xlsx]原始数据'!$A:$A,0)),""))</f>
        <v/>
      </c>
      <c r="U914">
        <f>IF($A914="","",IFERROR(INDEX('[AQ_2024.xlsx]原始数据'!$E:$E,MATCH($A914,'[AQ_2024.xlsx]原始数据'!$A:$A,0)),""))</f>
        <v/>
      </c>
      <c r="V914">
        <f>IF($A914="","",IFERROR(INDEX('[AQ_2020.xlsx]原始数据'!$F:$F,MATCH($A914,'[AQ_2020.xlsx]原始数据'!$A:$A,0)),""))</f>
        <v/>
      </c>
      <c r="W914">
        <f>IF($A914="","",IFERROR(INDEX('[AQ_2021.xlsx]原始数据'!$F:$F,MATCH($A914,'[AQ_2021.xlsx]原始数据'!$A:$A,0)),""))</f>
        <v/>
      </c>
      <c r="X914">
        <f>IF($A914="","",IFERROR(INDEX('[AQ_2022.xlsx]原始数据'!$F:$F,MATCH($A914,'[AQ_2022.xlsx]原始数据'!$A:$A,0)),""))</f>
        <v/>
      </c>
      <c r="Y914">
        <f>IF($A914="","",IFERROR(INDEX('[AQ_2023.xlsx]原始数据'!$F:$F,MATCH($A914,'[AQ_2023.xlsx]原始数据'!$A:$A,0)),""))</f>
        <v/>
      </c>
      <c r="Z914">
        <f>IF($A914="","",IFERROR(INDEX('[AQ_2024.xlsx]原始数据'!$F:$F,MATCH($A914,'[AQ_2024.xlsx]原始数据'!$A:$A,0)),""))</f>
        <v/>
      </c>
      <c r="AA914" s="2">
        <f>IFERROR(G914/B914,"")</f>
        <v/>
      </c>
      <c r="AB914" s="2">
        <f>IFERROR(H914/C914,"")</f>
        <v/>
      </c>
      <c r="AC914" s="2">
        <f>IFERROR(I914/D914,"")</f>
        <v/>
      </c>
      <c r="AD914" s="2">
        <f>IFERROR(J914/E914,"")</f>
        <v/>
      </c>
      <c r="AE914" s="2">
        <f>IFERROR(K914/F914,"")</f>
        <v/>
      </c>
      <c r="AF914" s="2">
        <f>IFERROR(L914/B914,"")</f>
        <v/>
      </c>
      <c r="AG914" s="2">
        <f>IFERROR(M914/C914,"")</f>
        <v/>
      </c>
      <c r="AH914" s="2">
        <f>IFERROR(N914/D914,"")</f>
        <v/>
      </c>
      <c r="AI914" s="2">
        <f>IFERROR(O914/E914,"")</f>
        <v/>
      </c>
      <c r="AJ914" s="2">
        <f>IFERROR(P914/F914,"")</f>
        <v/>
      </c>
      <c r="AK914" s="2">
        <f>IFERROR(Q914/B914,"")</f>
        <v/>
      </c>
      <c r="AL914" s="2">
        <f>IFERROR(R914/C914,"")</f>
        <v/>
      </c>
      <c r="AM914" s="2">
        <f>IFERROR(S914/D914,"")</f>
        <v/>
      </c>
      <c r="AN914" s="2">
        <f>IFERROR(T914/E914,"")</f>
        <v/>
      </c>
      <c r="AO914" s="2">
        <f>IFERROR(U914/F914,"")</f>
        <v/>
      </c>
    </row>
    <row r="915">
      <c r="B915">
        <f>IF($A915="","",IFERROR(INDEX('[AQ_2020.xlsx]原始数据'!$B:$B,MATCH($A915,'[AQ_2020.xlsx]原始数据'!$A:$A,0)),""))</f>
        <v/>
      </c>
      <c r="C915">
        <f>IF($A915="","",IFERROR(INDEX('[AQ_2021.xlsx]原始数据'!$B:$B,MATCH($A915,'[AQ_2021.xlsx]原始数据'!$A:$A,0)),""))</f>
        <v/>
      </c>
      <c r="D915">
        <f>IF($A915="","",IFERROR(INDEX('[AQ_2022.xlsx]原始数据'!$B:$B,MATCH($A915,'[AQ_2022.xlsx]原始数据'!$A:$A,0)),""))</f>
        <v/>
      </c>
      <c r="E915">
        <f>IF($A915="","",IFERROR(INDEX('[AQ_2023.xlsx]原始数据'!$B:$B,MATCH($A915,'[AQ_2023.xlsx]原始数据'!$A:$A,0)),""))</f>
        <v/>
      </c>
      <c r="F915">
        <f>IF($A915="","",IFERROR(INDEX('[AQ_2024.xlsx]原始数据'!$B:$B,MATCH($A915,'[AQ_2024.xlsx]原始数据'!$A:$A,0)),""))</f>
        <v/>
      </c>
      <c r="G915">
        <f>IF($A915="","",IFERROR(INDEX('[AQ_2020.xlsx]原始数据'!$C:$C,MATCH($A915,'[AQ_2020.xlsx]原始数据'!$A:$A,0)),""))</f>
        <v/>
      </c>
      <c r="H915">
        <f>IF($A915="","",IFERROR(INDEX('[AQ_2021.xlsx]原始数据'!$C:$C,MATCH($A915,'[AQ_2021.xlsx]原始数据'!$A:$A,0)),""))</f>
        <v/>
      </c>
      <c r="I915">
        <f>IF($A915="","",IFERROR(INDEX('[AQ_2022.xlsx]原始数据'!$C:$C,MATCH($A915,'[AQ_2022.xlsx]原始数据'!$A:$A,0)),""))</f>
        <v/>
      </c>
      <c r="J915">
        <f>IF($A915="","",IFERROR(INDEX('[AQ_2023.xlsx]原始数据'!$C:$C,MATCH($A915,'[AQ_2023.xlsx]原始数据'!$A:$A,0)),""))</f>
        <v/>
      </c>
      <c r="K915">
        <f>IF($A915="","",IFERROR(INDEX('[AQ_2024.xlsx]原始数据'!$C:$C,MATCH($A915,'[AQ_2024.xlsx]原始数据'!$A:$A,0)),""))</f>
        <v/>
      </c>
      <c r="L915">
        <f>IF($A915="","",IFERROR(INDEX('[AQ_2020.xlsx]原始数据'!$D:$D,MATCH($A915,'[AQ_2020.xlsx]原始数据'!$A:$A,0)),""))</f>
        <v/>
      </c>
      <c r="M915">
        <f>IF($A915="","",IFERROR(INDEX('[AQ_2021.xlsx]原始数据'!$D:$D,MATCH($A915,'[AQ_2021.xlsx]原始数据'!$A:$A,0)),""))</f>
        <v/>
      </c>
      <c r="N915">
        <f>IF($A915="","",IFERROR(INDEX('[AQ_2022.xlsx]原始数据'!$D:$D,MATCH($A915,'[AQ_2022.xlsx]原始数据'!$A:$A,0)),""))</f>
        <v/>
      </c>
      <c r="O915">
        <f>IF($A915="","",IFERROR(INDEX('[AQ_2023.xlsx]原始数据'!$D:$D,MATCH($A915,'[AQ_2023.xlsx]原始数据'!$A:$A,0)),""))</f>
        <v/>
      </c>
      <c r="P915">
        <f>IF($A915="","",IFERROR(INDEX('[AQ_2024.xlsx]原始数据'!$D:$D,MATCH($A915,'[AQ_2024.xlsx]原始数据'!$A:$A,0)),""))</f>
        <v/>
      </c>
      <c r="Q915">
        <f>IF($A915="","",IFERROR(INDEX('[AQ_2020.xlsx]原始数据'!$E:$E,MATCH($A915,'[AQ_2020.xlsx]原始数据'!$A:$A,0)),""))</f>
        <v/>
      </c>
      <c r="R915">
        <f>IF($A915="","",IFERROR(INDEX('[AQ_2021.xlsx]原始数据'!$E:$E,MATCH($A915,'[AQ_2021.xlsx]原始数据'!$A:$A,0)),""))</f>
        <v/>
      </c>
      <c r="S915">
        <f>IF($A915="","",IFERROR(INDEX('[AQ_2022.xlsx]原始数据'!$E:$E,MATCH($A915,'[AQ_2022.xlsx]原始数据'!$A:$A,0)),""))</f>
        <v/>
      </c>
      <c r="T915">
        <f>IF($A915="","",IFERROR(INDEX('[AQ_2023.xlsx]原始数据'!$E:$E,MATCH($A915,'[AQ_2023.xlsx]原始数据'!$A:$A,0)),""))</f>
        <v/>
      </c>
      <c r="U915">
        <f>IF($A915="","",IFERROR(INDEX('[AQ_2024.xlsx]原始数据'!$E:$E,MATCH($A915,'[AQ_2024.xlsx]原始数据'!$A:$A,0)),""))</f>
        <v/>
      </c>
      <c r="V915">
        <f>IF($A915="","",IFERROR(INDEX('[AQ_2020.xlsx]原始数据'!$F:$F,MATCH($A915,'[AQ_2020.xlsx]原始数据'!$A:$A,0)),""))</f>
        <v/>
      </c>
      <c r="W915">
        <f>IF($A915="","",IFERROR(INDEX('[AQ_2021.xlsx]原始数据'!$F:$F,MATCH($A915,'[AQ_2021.xlsx]原始数据'!$A:$A,0)),""))</f>
        <v/>
      </c>
      <c r="X915">
        <f>IF($A915="","",IFERROR(INDEX('[AQ_2022.xlsx]原始数据'!$F:$F,MATCH($A915,'[AQ_2022.xlsx]原始数据'!$A:$A,0)),""))</f>
        <v/>
      </c>
      <c r="Y915">
        <f>IF($A915="","",IFERROR(INDEX('[AQ_2023.xlsx]原始数据'!$F:$F,MATCH($A915,'[AQ_2023.xlsx]原始数据'!$A:$A,0)),""))</f>
        <v/>
      </c>
      <c r="Z915">
        <f>IF($A915="","",IFERROR(INDEX('[AQ_2024.xlsx]原始数据'!$F:$F,MATCH($A915,'[AQ_2024.xlsx]原始数据'!$A:$A,0)),""))</f>
        <v/>
      </c>
      <c r="AA915" s="2">
        <f>IFERROR(G915/B915,"")</f>
        <v/>
      </c>
      <c r="AB915" s="2">
        <f>IFERROR(H915/C915,"")</f>
        <v/>
      </c>
      <c r="AC915" s="2">
        <f>IFERROR(I915/D915,"")</f>
        <v/>
      </c>
      <c r="AD915" s="2">
        <f>IFERROR(J915/E915,"")</f>
        <v/>
      </c>
      <c r="AE915" s="2">
        <f>IFERROR(K915/F915,"")</f>
        <v/>
      </c>
      <c r="AF915" s="2">
        <f>IFERROR(L915/B915,"")</f>
        <v/>
      </c>
      <c r="AG915" s="2">
        <f>IFERROR(M915/C915,"")</f>
        <v/>
      </c>
      <c r="AH915" s="2">
        <f>IFERROR(N915/D915,"")</f>
        <v/>
      </c>
      <c r="AI915" s="2">
        <f>IFERROR(O915/E915,"")</f>
        <v/>
      </c>
      <c r="AJ915" s="2">
        <f>IFERROR(P915/F915,"")</f>
        <v/>
      </c>
      <c r="AK915" s="2">
        <f>IFERROR(Q915/B915,"")</f>
        <v/>
      </c>
      <c r="AL915" s="2">
        <f>IFERROR(R915/C915,"")</f>
        <v/>
      </c>
      <c r="AM915" s="2">
        <f>IFERROR(S915/D915,"")</f>
        <v/>
      </c>
      <c r="AN915" s="2">
        <f>IFERROR(T915/E915,"")</f>
        <v/>
      </c>
      <c r="AO915" s="2">
        <f>IFERROR(U915/F915,"")</f>
        <v/>
      </c>
    </row>
    <row r="916">
      <c r="B916">
        <f>IF($A916="","",IFERROR(INDEX('[AQ_2020.xlsx]原始数据'!$B:$B,MATCH($A916,'[AQ_2020.xlsx]原始数据'!$A:$A,0)),""))</f>
        <v/>
      </c>
      <c r="C916">
        <f>IF($A916="","",IFERROR(INDEX('[AQ_2021.xlsx]原始数据'!$B:$B,MATCH($A916,'[AQ_2021.xlsx]原始数据'!$A:$A,0)),""))</f>
        <v/>
      </c>
      <c r="D916">
        <f>IF($A916="","",IFERROR(INDEX('[AQ_2022.xlsx]原始数据'!$B:$B,MATCH($A916,'[AQ_2022.xlsx]原始数据'!$A:$A,0)),""))</f>
        <v/>
      </c>
      <c r="E916">
        <f>IF($A916="","",IFERROR(INDEX('[AQ_2023.xlsx]原始数据'!$B:$B,MATCH($A916,'[AQ_2023.xlsx]原始数据'!$A:$A,0)),""))</f>
        <v/>
      </c>
      <c r="F916">
        <f>IF($A916="","",IFERROR(INDEX('[AQ_2024.xlsx]原始数据'!$B:$B,MATCH($A916,'[AQ_2024.xlsx]原始数据'!$A:$A,0)),""))</f>
        <v/>
      </c>
      <c r="G916">
        <f>IF($A916="","",IFERROR(INDEX('[AQ_2020.xlsx]原始数据'!$C:$C,MATCH($A916,'[AQ_2020.xlsx]原始数据'!$A:$A,0)),""))</f>
        <v/>
      </c>
      <c r="H916">
        <f>IF($A916="","",IFERROR(INDEX('[AQ_2021.xlsx]原始数据'!$C:$C,MATCH($A916,'[AQ_2021.xlsx]原始数据'!$A:$A,0)),""))</f>
        <v/>
      </c>
      <c r="I916">
        <f>IF($A916="","",IFERROR(INDEX('[AQ_2022.xlsx]原始数据'!$C:$C,MATCH($A916,'[AQ_2022.xlsx]原始数据'!$A:$A,0)),""))</f>
        <v/>
      </c>
      <c r="J916">
        <f>IF($A916="","",IFERROR(INDEX('[AQ_2023.xlsx]原始数据'!$C:$C,MATCH($A916,'[AQ_2023.xlsx]原始数据'!$A:$A,0)),""))</f>
        <v/>
      </c>
      <c r="K916">
        <f>IF($A916="","",IFERROR(INDEX('[AQ_2024.xlsx]原始数据'!$C:$C,MATCH($A916,'[AQ_2024.xlsx]原始数据'!$A:$A,0)),""))</f>
        <v/>
      </c>
      <c r="L916">
        <f>IF($A916="","",IFERROR(INDEX('[AQ_2020.xlsx]原始数据'!$D:$D,MATCH($A916,'[AQ_2020.xlsx]原始数据'!$A:$A,0)),""))</f>
        <v/>
      </c>
      <c r="M916">
        <f>IF($A916="","",IFERROR(INDEX('[AQ_2021.xlsx]原始数据'!$D:$D,MATCH($A916,'[AQ_2021.xlsx]原始数据'!$A:$A,0)),""))</f>
        <v/>
      </c>
      <c r="N916">
        <f>IF($A916="","",IFERROR(INDEX('[AQ_2022.xlsx]原始数据'!$D:$D,MATCH($A916,'[AQ_2022.xlsx]原始数据'!$A:$A,0)),""))</f>
        <v/>
      </c>
      <c r="O916">
        <f>IF($A916="","",IFERROR(INDEX('[AQ_2023.xlsx]原始数据'!$D:$D,MATCH($A916,'[AQ_2023.xlsx]原始数据'!$A:$A,0)),""))</f>
        <v/>
      </c>
      <c r="P916">
        <f>IF($A916="","",IFERROR(INDEX('[AQ_2024.xlsx]原始数据'!$D:$D,MATCH($A916,'[AQ_2024.xlsx]原始数据'!$A:$A,0)),""))</f>
        <v/>
      </c>
      <c r="Q916">
        <f>IF($A916="","",IFERROR(INDEX('[AQ_2020.xlsx]原始数据'!$E:$E,MATCH($A916,'[AQ_2020.xlsx]原始数据'!$A:$A,0)),""))</f>
        <v/>
      </c>
      <c r="R916">
        <f>IF($A916="","",IFERROR(INDEX('[AQ_2021.xlsx]原始数据'!$E:$E,MATCH($A916,'[AQ_2021.xlsx]原始数据'!$A:$A,0)),""))</f>
        <v/>
      </c>
      <c r="S916">
        <f>IF($A916="","",IFERROR(INDEX('[AQ_2022.xlsx]原始数据'!$E:$E,MATCH($A916,'[AQ_2022.xlsx]原始数据'!$A:$A,0)),""))</f>
        <v/>
      </c>
      <c r="T916">
        <f>IF($A916="","",IFERROR(INDEX('[AQ_2023.xlsx]原始数据'!$E:$E,MATCH($A916,'[AQ_2023.xlsx]原始数据'!$A:$A,0)),""))</f>
        <v/>
      </c>
      <c r="U916">
        <f>IF($A916="","",IFERROR(INDEX('[AQ_2024.xlsx]原始数据'!$E:$E,MATCH($A916,'[AQ_2024.xlsx]原始数据'!$A:$A,0)),""))</f>
        <v/>
      </c>
      <c r="V916">
        <f>IF($A916="","",IFERROR(INDEX('[AQ_2020.xlsx]原始数据'!$F:$F,MATCH($A916,'[AQ_2020.xlsx]原始数据'!$A:$A,0)),""))</f>
        <v/>
      </c>
      <c r="W916">
        <f>IF($A916="","",IFERROR(INDEX('[AQ_2021.xlsx]原始数据'!$F:$F,MATCH($A916,'[AQ_2021.xlsx]原始数据'!$A:$A,0)),""))</f>
        <v/>
      </c>
      <c r="X916">
        <f>IF($A916="","",IFERROR(INDEX('[AQ_2022.xlsx]原始数据'!$F:$F,MATCH($A916,'[AQ_2022.xlsx]原始数据'!$A:$A,0)),""))</f>
        <v/>
      </c>
      <c r="Y916">
        <f>IF($A916="","",IFERROR(INDEX('[AQ_2023.xlsx]原始数据'!$F:$F,MATCH($A916,'[AQ_2023.xlsx]原始数据'!$A:$A,0)),""))</f>
        <v/>
      </c>
      <c r="Z916">
        <f>IF($A916="","",IFERROR(INDEX('[AQ_2024.xlsx]原始数据'!$F:$F,MATCH($A916,'[AQ_2024.xlsx]原始数据'!$A:$A,0)),""))</f>
        <v/>
      </c>
      <c r="AA916" s="2">
        <f>IFERROR(G916/B916,"")</f>
        <v/>
      </c>
      <c r="AB916" s="2">
        <f>IFERROR(H916/C916,"")</f>
        <v/>
      </c>
      <c r="AC916" s="2">
        <f>IFERROR(I916/D916,"")</f>
        <v/>
      </c>
      <c r="AD916" s="2">
        <f>IFERROR(J916/E916,"")</f>
        <v/>
      </c>
      <c r="AE916" s="2">
        <f>IFERROR(K916/F916,"")</f>
        <v/>
      </c>
      <c r="AF916" s="2">
        <f>IFERROR(L916/B916,"")</f>
        <v/>
      </c>
      <c r="AG916" s="2">
        <f>IFERROR(M916/C916,"")</f>
        <v/>
      </c>
      <c r="AH916" s="2">
        <f>IFERROR(N916/D916,"")</f>
        <v/>
      </c>
      <c r="AI916" s="2">
        <f>IFERROR(O916/E916,"")</f>
        <v/>
      </c>
      <c r="AJ916" s="2">
        <f>IFERROR(P916/F916,"")</f>
        <v/>
      </c>
      <c r="AK916" s="2">
        <f>IFERROR(Q916/B916,"")</f>
        <v/>
      </c>
      <c r="AL916" s="2">
        <f>IFERROR(R916/C916,"")</f>
        <v/>
      </c>
      <c r="AM916" s="2">
        <f>IFERROR(S916/D916,"")</f>
        <v/>
      </c>
      <c r="AN916" s="2">
        <f>IFERROR(T916/E916,"")</f>
        <v/>
      </c>
      <c r="AO916" s="2">
        <f>IFERROR(U916/F916,"")</f>
        <v/>
      </c>
    </row>
    <row r="917">
      <c r="B917">
        <f>IF($A917="","",IFERROR(INDEX('[AQ_2020.xlsx]原始数据'!$B:$B,MATCH($A917,'[AQ_2020.xlsx]原始数据'!$A:$A,0)),""))</f>
        <v/>
      </c>
      <c r="C917">
        <f>IF($A917="","",IFERROR(INDEX('[AQ_2021.xlsx]原始数据'!$B:$B,MATCH($A917,'[AQ_2021.xlsx]原始数据'!$A:$A,0)),""))</f>
        <v/>
      </c>
      <c r="D917">
        <f>IF($A917="","",IFERROR(INDEX('[AQ_2022.xlsx]原始数据'!$B:$B,MATCH($A917,'[AQ_2022.xlsx]原始数据'!$A:$A,0)),""))</f>
        <v/>
      </c>
      <c r="E917">
        <f>IF($A917="","",IFERROR(INDEX('[AQ_2023.xlsx]原始数据'!$B:$B,MATCH($A917,'[AQ_2023.xlsx]原始数据'!$A:$A,0)),""))</f>
        <v/>
      </c>
      <c r="F917">
        <f>IF($A917="","",IFERROR(INDEX('[AQ_2024.xlsx]原始数据'!$B:$B,MATCH($A917,'[AQ_2024.xlsx]原始数据'!$A:$A,0)),""))</f>
        <v/>
      </c>
      <c r="G917">
        <f>IF($A917="","",IFERROR(INDEX('[AQ_2020.xlsx]原始数据'!$C:$C,MATCH($A917,'[AQ_2020.xlsx]原始数据'!$A:$A,0)),""))</f>
        <v/>
      </c>
      <c r="H917">
        <f>IF($A917="","",IFERROR(INDEX('[AQ_2021.xlsx]原始数据'!$C:$C,MATCH($A917,'[AQ_2021.xlsx]原始数据'!$A:$A,0)),""))</f>
        <v/>
      </c>
      <c r="I917">
        <f>IF($A917="","",IFERROR(INDEX('[AQ_2022.xlsx]原始数据'!$C:$C,MATCH($A917,'[AQ_2022.xlsx]原始数据'!$A:$A,0)),""))</f>
        <v/>
      </c>
      <c r="J917">
        <f>IF($A917="","",IFERROR(INDEX('[AQ_2023.xlsx]原始数据'!$C:$C,MATCH($A917,'[AQ_2023.xlsx]原始数据'!$A:$A,0)),""))</f>
        <v/>
      </c>
      <c r="K917">
        <f>IF($A917="","",IFERROR(INDEX('[AQ_2024.xlsx]原始数据'!$C:$C,MATCH($A917,'[AQ_2024.xlsx]原始数据'!$A:$A,0)),""))</f>
        <v/>
      </c>
      <c r="L917">
        <f>IF($A917="","",IFERROR(INDEX('[AQ_2020.xlsx]原始数据'!$D:$D,MATCH($A917,'[AQ_2020.xlsx]原始数据'!$A:$A,0)),""))</f>
        <v/>
      </c>
      <c r="M917">
        <f>IF($A917="","",IFERROR(INDEX('[AQ_2021.xlsx]原始数据'!$D:$D,MATCH($A917,'[AQ_2021.xlsx]原始数据'!$A:$A,0)),""))</f>
        <v/>
      </c>
      <c r="N917">
        <f>IF($A917="","",IFERROR(INDEX('[AQ_2022.xlsx]原始数据'!$D:$D,MATCH($A917,'[AQ_2022.xlsx]原始数据'!$A:$A,0)),""))</f>
        <v/>
      </c>
      <c r="O917">
        <f>IF($A917="","",IFERROR(INDEX('[AQ_2023.xlsx]原始数据'!$D:$D,MATCH($A917,'[AQ_2023.xlsx]原始数据'!$A:$A,0)),""))</f>
        <v/>
      </c>
      <c r="P917">
        <f>IF($A917="","",IFERROR(INDEX('[AQ_2024.xlsx]原始数据'!$D:$D,MATCH($A917,'[AQ_2024.xlsx]原始数据'!$A:$A,0)),""))</f>
        <v/>
      </c>
      <c r="Q917">
        <f>IF($A917="","",IFERROR(INDEX('[AQ_2020.xlsx]原始数据'!$E:$E,MATCH($A917,'[AQ_2020.xlsx]原始数据'!$A:$A,0)),""))</f>
        <v/>
      </c>
      <c r="R917">
        <f>IF($A917="","",IFERROR(INDEX('[AQ_2021.xlsx]原始数据'!$E:$E,MATCH($A917,'[AQ_2021.xlsx]原始数据'!$A:$A,0)),""))</f>
        <v/>
      </c>
      <c r="S917">
        <f>IF($A917="","",IFERROR(INDEX('[AQ_2022.xlsx]原始数据'!$E:$E,MATCH($A917,'[AQ_2022.xlsx]原始数据'!$A:$A,0)),""))</f>
        <v/>
      </c>
      <c r="T917">
        <f>IF($A917="","",IFERROR(INDEX('[AQ_2023.xlsx]原始数据'!$E:$E,MATCH($A917,'[AQ_2023.xlsx]原始数据'!$A:$A,0)),""))</f>
        <v/>
      </c>
      <c r="U917">
        <f>IF($A917="","",IFERROR(INDEX('[AQ_2024.xlsx]原始数据'!$E:$E,MATCH($A917,'[AQ_2024.xlsx]原始数据'!$A:$A,0)),""))</f>
        <v/>
      </c>
      <c r="V917">
        <f>IF($A917="","",IFERROR(INDEX('[AQ_2020.xlsx]原始数据'!$F:$F,MATCH($A917,'[AQ_2020.xlsx]原始数据'!$A:$A,0)),""))</f>
        <v/>
      </c>
      <c r="W917">
        <f>IF($A917="","",IFERROR(INDEX('[AQ_2021.xlsx]原始数据'!$F:$F,MATCH($A917,'[AQ_2021.xlsx]原始数据'!$A:$A,0)),""))</f>
        <v/>
      </c>
      <c r="X917">
        <f>IF($A917="","",IFERROR(INDEX('[AQ_2022.xlsx]原始数据'!$F:$F,MATCH($A917,'[AQ_2022.xlsx]原始数据'!$A:$A,0)),""))</f>
        <v/>
      </c>
      <c r="Y917">
        <f>IF($A917="","",IFERROR(INDEX('[AQ_2023.xlsx]原始数据'!$F:$F,MATCH($A917,'[AQ_2023.xlsx]原始数据'!$A:$A,0)),""))</f>
        <v/>
      </c>
      <c r="Z917">
        <f>IF($A917="","",IFERROR(INDEX('[AQ_2024.xlsx]原始数据'!$F:$F,MATCH($A917,'[AQ_2024.xlsx]原始数据'!$A:$A,0)),""))</f>
        <v/>
      </c>
      <c r="AA917" s="2">
        <f>IFERROR(G917/B917,"")</f>
        <v/>
      </c>
      <c r="AB917" s="2">
        <f>IFERROR(H917/C917,"")</f>
        <v/>
      </c>
      <c r="AC917" s="2">
        <f>IFERROR(I917/D917,"")</f>
        <v/>
      </c>
      <c r="AD917" s="2">
        <f>IFERROR(J917/E917,"")</f>
        <v/>
      </c>
      <c r="AE917" s="2">
        <f>IFERROR(K917/F917,"")</f>
        <v/>
      </c>
      <c r="AF917" s="2">
        <f>IFERROR(L917/B917,"")</f>
        <v/>
      </c>
      <c r="AG917" s="2">
        <f>IFERROR(M917/C917,"")</f>
        <v/>
      </c>
      <c r="AH917" s="2">
        <f>IFERROR(N917/D917,"")</f>
        <v/>
      </c>
      <c r="AI917" s="2">
        <f>IFERROR(O917/E917,"")</f>
        <v/>
      </c>
      <c r="AJ917" s="2">
        <f>IFERROR(P917/F917,"")</f>
        <v/>
      </c>
      <c r="AK917" s="2">
        <f>IFERROR(Q917/B917,"")</f>
        <v/>
      </c>
      <c r="AL917" s="2">
        <f>IFERROR(R917/C917,"")</f>
        <v/>
      </c>
      <c r="AM917" s="2">
        <f>IFERROR(S917/D917,"")</f>
        <v/>
      </c>
      <c r="AN917" s="2">
        <f>IFERROR(T917/E917,"")</f>
        <v/>
      </c>
      <c r="AO917" s="2">
        <f>IFERROR(U917/F917,"")</f>
        <v/>
      </c>
    </row>
    <row r="918">
      <c r="B918">
        <f>IF($A918="","",IFERROR(INDEX('[AQ_2020.xlsx]原始数据'!$B:$B,MATCH($A918,'[AQ_2020.xlsx]原始数据'!$A:$A,0)),""))</f>
        <v/>
      </c>
      <c r="C918">
        <f>IF($A918="","",IFERROR(INDEX('[AQ_2021.xlsx]原始数据'!$B:$B,MATCH($A918,'[AQ_2021.xlsx]原始数据'!$A:$A,0)),""))</f>
        <v/>
      </c>
      <c r="D918">
        <f>IF($A918="","",IFERROR(INDEX('[AQ_2022.xlsx]原始数据'!$B:$B,MATCH($A918,'[AQ_2022.xlsx]原始数据'!$A:$A,0)),""))</f>
        <v/>
      </c>
      <c r="E918">
        <f>IF($A918="","",IFERROR(INDEX('[AQ_2023.xlsx]原始数据'!$B:$B,MATCH($A918,'[AQ_2023.xlsx]原始数据'!$A:$A,0)),""))</f>
        <v/>
      </c>
      <c r="F918">
        <f>IF($A918="","",IFERROR(INDEX('[AQ_2024.xlsx]原始数据'!$B:$B,MATCH($A918,'[AQ_2024.xlsx]原始数据'!$A:$A,0)),""))</f>
        <v/>
      </c>
      <c r="G918">
        <f>IF($A918="","",IFERROR(INDEX('[AQ_2020.xlsx]原始数据'!$C:$C,MATCH($A918,'[AQ_2020.xlsx]原始数据'!$A:$A,0)),""))</f>
        <v/>
      </c>
      <c r="H918">
        <f>IF($A918="","",IFERROR(INDEX('[AQ_2021.xlsx]原始数据'!$C:$C,MATCH($A918,'[AQ_2021.xlsx]原始数据'!$A:$A,0)),""))</f>
        <v/>
      </c>
      <c r="I918">
        <f>IF($A918="","",IFERROR(INDEX('[AQ_2022.xlsx]原始数据'!$C:$C,MATCH($A918,'[AQ_2022.xlsx]原始数据'!$A:$A,0)),""))</f>
        <v/>
      </c>
      <c r="J918">
        <f>IF($A918="","",IFERROR(INDEX('[AQ_2023.xlsx]原始数据'!$C:$C,MATCH($A918,'[AQ_2023.xlsx]原始数据'!$A:$A,0)),""))</f>
        <v/>
      </c>
      <c r="K918">
        <f>IF($A918="","",IFERROR(INDEX('[AQ_2024.xlsx]原始数据'!$C:$C,MATCH($A918,'[AQ_2024.xlsx]原始数据'!$A:$A,0)),""))</f>
        <v/>
      </c>
      <c r="L918">
        <f>IF($A918="","",IFERROR(INDEX('[AQ_2020.xlsx]原始数据'!$D:$D,MATCH($A918,'[AQ_2020.xlsx]原始数据'!$A:$A,0)),""))</f>
        <v/>
      </c>
      <c r="M918">
        <f>IF($A918="","",IFERROR(INDEX('[AQ_2021.xlsx]原始数据'!$D:$D,MATCH($A918,'[AQ_2021.xlsx]原始数据'!$A:$A,0)),""))</f>
        <v/>
      </c>
      <c r="N918">
        <f>IF($A918="","",IFERROR(INDEX('[AQ_2022.xlsx]原始数据'!$D:$D,MATCH($A918,'[AQ_2022.xlsx]原始数据'!$A:$A,0)),""))</f>
        <v/>
      </c>
      <c r="O918">
        <f>IF($A918="","",IFERROR(INDEX('[AQ_2023.xlsx]原始数据'!$D:$D,MATCH($A918,'[AQ_2023.xlsx]原始数据'!$A:$A,0)),""))</f>
        <v/>
      </c>
      <c r="P918">
        <f>IF($A918="","",IFERROR(INDEX('[AQ_2024.xlsx]原始数据'!$D:$D,MATCH($A918,'[AQ_2024.xlsx]原始数据'!$A:$A,0)),""))</f>
        <v/>
      </c>
      <c r="Q918">
        <f>IF($A918="","",IFERROR(INDEX('[AQ_2020.xlsx]原始数据'!$E:$E,MATCH($A918,'[AQ_2020.xlsx]原始数据'!$A:$A,0)),""))</f>
        <v/>
      </c>
      <c r="R918">
        <f>IF($A918="","",IFERROR(INDEX('[AQ_2021.xlsx]原始数据'!$E:$E,MATCH($A918,'[AQ_2021.xlsx]原始数据'!$A:$A,0)),""))</f>
        <v/>
      </c>
      <c r="S918">
        <f>IF($A918="","",IFERROR(INDEX('[AQ_2022.xlsx]原始数据'!$E:$E,MATCH($A918,'[AQ_2022.xlsx]原始数据'!$A:$A,0)),""))</f>
        <v/>
      </c>
      <c r="T918">
        <f>IF($A918="","",IFERROR(INDEX('[AQ_2023.xlsx]原始数据'!$E:$E,MATCH($A918,'[AQ_2023.xlsx]原始数据'!$A:$A,0)),""))</f>
        <v/>
      </c>
      <c r="U918">
        <f>IF($A918="","",IFERROR(INDEX('[AQ_2024.xlsx]原始数据'!$E:$E,MATCH($A918,'[AQ_2024.xlsx]原始数据'!$A:$A,0)),""))</f>
        <v/>
      </c>
      <c r="V918">
        <f>IF($A918="","",IFERROR(INDEX('[AQ_2020.xlsx]原始数据'!$F:$F,MATCH($A918,'[AQ_2020.xlsx]原始数据'!$A:$A,0)),""))</f>
        <v/>
      </c>
      <c r="W918">
        <f>IF($A918="","",IFERROR(INDEX('[AQ_2021.xlsx]原始数据'!$F:$F,MATCH($A918,'[AQ_2021.xlsx]原始数据'!$A:$A,0)),""))</f>
        <v/>
      </c>
      <c r="X918">
        <f>IF($A918="","",IFERROR(INDEX('[AQ_2022.xlsx]原始数据'!$F:$F,MATCH($A918,'[AQ_2022.xlsx]原始数据'!$A:$A,0)),""))</f>
        <v/>
      </c>
      <c r="Y918">
        <f>IF($A918="","",IFERROR(INDEX('[AQ_2023.xlsx]原始数据'!$F:$F,MATCH($A918,'[AQ_2023.xlsx]原始数据'!$A:$A,0)),""))</f>
        <v/>
      </c>
      <c r="Z918">
        <f>IF($A918="","",IFERROR(INDEX('[AQ_2024.xlsx]原始数据'!$F:$F,MATCH($A918,'[AQ_2024.xlsx]原始数据'!$A:$A,0)),""))</f>
        <v/>
      </c>
      <c r="AA918" s="2">
        <f>IFERROR(G918/B918,"")</f>
        <v/>
      </c>
      <c r="AB918" s="2">
        <f>IFERROR(H918/C918,"")</f>
        <v/>
      </c>
      <c r="AC918" s="2">
        <f>IFERROR(I918/D918,"")</f>
        <v/>
      </c>
      <c r="AD918" s="2">
        <f>IFERROR(J918/E918,"")</f>
        <v/>
      </c>
      <c r="AE918" s="2">
        <f>IFERROR(K918/F918,"")</f>
        <v/>
      </c>
      <c r="AF918" s="2">
        <f>IFERROR(L918/B918,"")</f>
        <v/>
      </c>
      <c r="AG918" s="2">
        <f>IFERROR(M918/C918,"")</f>
        <v/>
      </c>
      <c r="AH918" s="2">
        <f>IFERROR(N918/D918,"")</f>
        <v/>
      </c>
      <c r="AI918" s="2">
        <f>IFERROR(O918/E918,"")</f>
        <v/>
      </c>
      <c r="AJ918" s="2">
        <f>IFERROR(P918/F918,"")</f>
        <v/>
      </c>
      <c r="AK918" s="2">
        <f>IFERROR(Q918/B918,"")</f>
        <v/>
      </c>
      <c r="AL918" s="2">
        <f>IFERROR(R918/C918,"")</f>
        <v/>
      </c>
      <c r="AM918" s="2">
        <f>IFERROR(S918/D918,"")</f>
        <v/>
      </c>
      <c r="AN918" s="2">
        <f>IFERROR(T918/E918,"")</f>
        <v/>
      </c>
      <c r="AO918" s="2">
        <f>IFERROR(U918/F918,"")</f>
        <v/>
      </c>
    </row>
    <row r="919">
      <c r="B919">
        <f>IF($A919="","",IFERROR(INDEX('[AQ_2020.xlsx]原始数据'!$B:$B,MATCH($A919,'[AQ_2020.xlsx]原始数据'!$A:$A,0)),""))</f>
        <v/>
      </c>
      <c r="C919">
        <f>IF($A919="","",IFERROR(INDEX('[AQ_2021.xlsx]原始数据'!$B:$B,MATCH($A919,'[AQ_2021.xlsx]原始数据'!$A:$A,0)),""))</f>
        <v/>
      </c>
      <c r="D919">
        <f>IF($A919="","",IFERROR(INDEX('[AQ_2022.xlsx]原始数据'!$B:$B,MATCH($A919,'[AQ_2022.xlsx]原始数据'!$A:$A,0)),""))</f>
        <v/>
      </c>
      <c r="E919">
        <f>IF($A919="","",IFERROR(INDEX('[AQ_2023.xlsx]原始数据'!$B:$B,MATCH($A919,'[AQ_2023.xlsx]原始数据'!$A:$A,0)),""))</f>
        <v/>
      </c>
      <c r="F919">
        <f>IF($A919="","",IFERROR(INDEX('[AQ_2024.xlsx]原始数据'!$B:$B,MATCH($A919,'[AQ_2024.xlsx]原始数据'!$A:$A,0)),""))</f>
        <v/>
      </c>
      <c r="G919">
        <f>IF($A919="","",IFERROR(INDEX('[AQ_2020.xlsx]原始数据'!$C:$C,MATCH($A919,'[AQ_2020.xlsx]原始数据'!$A:$A,0)),""))</f>
        <v/>
      </c>
      <c r="H919">
        <f>IF($A919="","",IFERROR(INDEX('[AQ_2021.xlsx]原始数据'!$C:$C,MATCH($A919,'[AQ_2021.xlsx]原始数据'!$A:$A,0)),""))</f>
        <v/>
      </c>
      <c r="I919">
        <f>IF($A919="","",IFERROR(INDEX('[AQ_2022.xlsx]原始数据'!$C:$C,MATCH($A919,'[AQ_2022.xlsx]原始数据'!$A:$A,0)),""))</f>
        <v/>
      </c>
      <c r="J919">
        <f>IF($A919="","",IFERROR(INDEX('[AQ_2023.xlsx]原始数据'!$C:$C,MATCH($A919,'[AQ_2023.xlsx]原始数据'!$A:$A,0)),""))</f>
        <v/>
      </c>
      <c r="K919">
        <f>IF($A919="","",IFERROR(INDEX('[AQ_2024.xlsx]原始数据'!$C:$C,MATCH($A919,'[AQ_2024.xlsx]原始数据'!$A:$A,0)),""))</f>
        <v/>
      </c>
      <c r="L919">
        <f>IF($A919="","",IFERROR(INDEX('[AQ_2020.xlsx]原始数据'!$D:$D,MATCH($A919,'[AQ_2020.xlsx]原始数据'!$A:$A,0)),""))</f>
        <v/>
      </c>
      <c r="M919">
        <f>IF($A919="","",IFERROR(INDEX('[AQ_2021.xlsx]原始数据'!$D:$D,MATCH($A919,'[AQ_2021.xlsx]原始数据'!$A:$A,0)),""))</f>
        <v/>
      </c>
      <c r="N919">
        <f>IF($A919="","",IFERROR(INDEX('[AQ_2022.xlsx]原始数据'!$D:$D,MATCH($A919,'[AQ_2022.xlsx]原始数据'!$A:$A,0)),""))</f>
        <v/>
      </c>
      <c r="O919">
        <f>IF($A919="","",IFERROR(INDEX('[AQ_2023.xlsx]原始数据'!$D:$D,MATCH($A919,'[AQ_2023.xlsx]原始数据'!$A:$A,0)),""))</f>
        <v/>
      </c>
      <c r="P919">
        <f>IF($A919="","",IFERROR(INDEX('[AQ_2024.xlsx]原始数据'!$D:$D,MATCH($A919,'[AQ_2024.xlsx]原始数据'!$A:$A,0)),""))</f>
        <v/>
      </c>
      <c r="Q919">
        <f>IF($A919="","",IFERROR(INDEX('[AQ_2020.xlsx]原始数据'!$E:$E,MATCH($A919,'[AQ_2020.xlsx]原始数据'!$A:$A,0)),""))</f>
        <v/>
      </c>
      <c r="R919">
        <f>IF($A919="","",IFERROR(INDEX('[AQ_2021.xlsx]原始数据'!$E:$E,MATCH($A919,'[AQ_2021.xlsx]原始数据'!$A:$A,0)),""))</f>
        <v/>
      </c>
      <c r="S919">
        <f>IF($A919="","",IFERROR(INDEX('[AQ_2022.xlsx]原始数据'!$E:$E,MATCH($A919,'[AQ_2022.xlsx]原始数据'!$A:$A,0)),""))</f>
        <v/>
      </c>
      <c r="T919">
        <f>IF($A919="","",IFERROR(INDEX('[AQ_2023.xlsx]原始数据'!$E:$E,MATCH($A919,'[AQ_2023.xlsx]原始数据'!$A:$A,0)),""))</f>
        <v/>
      </c>
      <c r="U919">
        <f>IF($A919="","",IFERROR(INDEX('[AQ_2024.xlsx]原始数据'!$E:$E,MATCH($A919,'[AQ_2024.xlsx]原始数据'!$A:$A,0)),""))</f>
        <v/>
      </c>
      <c r="V919">
        <f>IF($A919="","",IFERROR(INDEX('[AQ_2020.xlsx]原始数据'!$F:$F,MATCH($A919,'[AQ_2020.xlsx]原始数据'!$A:$A,0)),""))</f>
        <v/>
      </c>
      <c r="W919">
        <f>IF($A919="","",IFERROR(INDEX('[AQ_2021.xlsx]原始数据'!$F:$F,MATCH($A919,'[AQ_2021.xlsx]原始数据'!$A:$A,0)),""))</f>
        <v/>
      </c>
      <c r="X919">
        <f>IF($A919="","",IFERROR(INDEX('[AQ_2022.xlsx]原始数据'!$F:$F,MATCH($A919,'[AQ_2022.xlsx]原始数据'!$A:$A,0)),""))</f>
        <v/>
      </c>
      <c r="Y919">
        <f>IF($A919="","",IFERROR(INDEX('[AQ_2023.xlsx]原始数据'!$F:$F,MATCH($A919,'[AQ_2023.xlsx]原始数据'!$A:$A,0)),""))</f>
        <v/>
      </c>
      <c r="Z919">
        <f>IF($A919="","",IFERROR(INDEX('[AQ_2024.xlsx]原始数据'!$F:$F,MATCH($A919,'[AQ_2024.xlsx]原始数据'!$A:$A,0)),""))</f>
        <v/>
      </c>
      <c r="AA919" s="2">
        <f>IFERROR(G919/B919,"")</f>
        <v/>
      </c>
      <c r="AB919" s="2">
        <f>IFERROR(H919/C919,"")</f>
        <v/>
      </c>
      <c r="AC919" s="2">
        <f>IFERROR(I919/D919,"")</f>
        <v/>
      </c>
      <c r="AD919" s="2">
        <f>IFERROR(J919/E919,"")</f>
        <v/>
      </c>
      <c r="AE919" s="2">
        <f>IFERROR(K919/F919,"")</f>
        <v/>
      </c>
      <c r="AF919" s="2">
        <f>IFERROR(L919/B919,"")</f>
        <v/>
      </c>
      <c r="AG919" s="2">
        <f>IFERROR(M919/C919,"")</f>
        <v/>
      </c>
      <c r="AH919" s="2">
        <f>IFERROR(N919/D919,"")</f>
        <v/>
      </c>
      <c r="AI919" s="2">
        <f>IFERROR(O919/E919,"")</f>
        <v/>
      </c>
      <c r="AJ919" s="2">
        <f>IFERROR(P919/F919,"")</f>
        <v/>
      </c>
      <c r="AK919" s="2">
        <f>IFERROR(Q919/B919,"")</f>
        <v/>
      </c>
      <c r="AL919" s="2">
        <f>IFERROR(R919/C919,"")</f>
        <v/>
      </c>
      <c r="AM919" s="2">
        <f>IFERROR(S919/D919,"")</f>
        <v/>
      </c>
      <c r="AN919" s="2">
        <f>IFERROR(T919/E919,"")</f>
        <v/>
      </c>
      <c r="AO919" s="2">
        <f>IFERROR(U919/F919,"")</f>
        <v/>
      </c>
    </row>
    <row r="920">
      <c r="B920">
        <f>IF($A920="","",IFERROR(INDEX('[AQ_2020.xlsx]原始数据'!$B:$B,MATCH($A920,'[AQ_2020.xlsx]原始数据'!$A:$A,0)),""))</f>
        <v/>
      </c>
      <c r="C920">
        <f>IF($A920="","",IFERROR(INDEX('[AQ_2021.xlsx]原始数据'!$B:$B,MATCH($A920,'[AQ_2021.xlsx]原始数据'!$A:$A,0)),""))</f>
        <v/>
      </c>
      <c r="D920">
        <f>IF($A920="","",IFERROR(INDEX('[AQ_2022.xlsx]原始数据'!$B:$B,MATCH($A920,'[AQ_2022.xlsx]原始数据'!$A:$A,0)),""))</f>
        <v/>
      </c>
      <c r="E920">
        <f>IF($A920="","",IFERROR(INDEX('[AQ_2023.xlsx]原始数据'!$B:$B,MATCH($A920,'[AQ_2023.xlsx]原始数据'!$A:$A,0)),""))</f>
        <v/>
      </c>
      <c r="F920">
        <f>IF($A920="","",IFERROR(INDEX('[AQ_2024.xlsx]原始数据'!$B:$B,MATCH($A920,'[AQ_2024.xlsx]原始数据'!$A:$A,0)),""))</f>
        <v/>
      </c>
      <c r="G920">
        <f>IF($A920="","",IFERROR(INDEX('[AQ_2020.xlsx]原始数据'!$C:$C,MATCH($A920,'[AQ_2020.xlsx]原始数据'!$A:$A,0)),""))</f>
        <v/>
      </c>
      <c r="H920">
        <f>IF($A920="","",IFERROR(INDEX('[AQ_2021.xlsx]原始数据'!$C:$C,MATCH($A920,'[AQ_2021.xlsx]原始数据'!$A:$A,0)),""))</f>
        <v/>
      </c>
      <c r="I920">
        <f>IF($A920="","",IFERROR(INDEX('[AQ_2022.xlsx]原始数据'!$C:$C,MATCH($A920,'[AQ_2022.xlsx]原始数据'!$A:$A,0)),""))</f>
        <v/>
      </c>
      <c r="J920">
        <f>IF($A920="","",IFERROR(INDEX('[AQ_2023.xlsx]原始数据'!$C:$C,MATCH($A920,'[AQ_2023.xlsx]原始数据'!$A:$A,0)),""))</f>
        <v/>
      </c>
      <c r="K920">
        <f>IF($A920="","",IFERROR(INDEX('[AQ_2024.xlsx]原始数据'!$C:$C,MATCH($A920,'[AQ_2024.xlsx]原始数据'!$A:$A,0)),""))</f>
        <v/>
      </c>
      <c r="L920">
        <f>IF($A920="","",IFERROR(INDEX('[AQ_2020.xlsx]原始数据'!$D:$D,MATCH($A920,'[AQ_2020.xlsx]原始数据'!$A:$A,0)),""))</f>
        <v/>
      </c>
      <c r="M920">
        <f>IF($A920="","",IFERROR(INDEX('[AQ_2021.xlsx]原始数据'!$D:$D,MATCH($A920,'[AQ_2021.xlsx]原始数据'!$A:$A,0)),""))</f>
        <v/>
      </c>
      <c r="N920">
        <f>IF($A920="","",IFERROR(INDEX('[AQ_2022.xlsx]原始数据'!$D:$D,MATCH($A920,'[AQ_2022.xlsx]原始数据'!$A:$A,0)),""))</f>
        <v/>
      </c>
      <c r="O920">
        <f>IF($A920="","",IFERROR(INDEX('[AQ_2023.xlsx]原始数据'!$D:$D,MATCH($A920,'[AQ_2023.xlsx]原始数据'!$A:$A,0)),""))</f>
        <v/>
      </c>
      <c r="P920">
        <f>IF($A920="","",IFERROR(INDEX('[AQ_2024.xlsx]原始数据'!$D:$D,MATCH($A920,'[AQ_2024.xlsx]原始数据'!$A:$A,0)),""))</f>
        <v/>
      </c>
      <c r="Q920">
        <f>IF($A920="","",IFERROR(INDEX('[AQ_2020.xlsx]原始数据'!$E:$E,MATCH($A920,'[AQ_2020.xlsx]原始数据'!$A:$A,0)),""))</f>
        <v/>
      </c>
      <c r="R920">
        <f>IF($A920="","",IFERROR(INDEX('[AQ_2021.xlsx]原始数据'!$E:$E,MATCH($A920,'[AQ_2021.xlsx]原始数据'!$A:$A,0)),""))</f>
        <v/>
      </c>
      <c r="S920">
        <f>IF($A920="","",IFERROR(INDEX('[AQ_2022.xlsx]原始数据'!$E:$E,MATCH($A920,'[AQ_2022.xlsx]原始数据'!$A:$A,0)),""))</f>
        <v/>
      </c>
      <c r="T920">
        <f>IF($A920="","",IFERROR(INDEX('[AQ_2023.xlsx]原始数据'!$E:$E,MATCH($A920,'[AQ_2023.xlsx]原始数据'!$A:$A,0)),""))</f>
        <v/>
      </c>
      <c r="U920">
        <f>IF($A920="","",IFERROR(INDEX('[AQ_2024.xlsx]原始数据'!$E:$E,MATCH($A920,'[AQ_2024.xlsx]原始数据'!$A:$A,0)),""))</f>
        <v/>
      </c>
      <c r="V920">
        <f>IF($A920="","",IFERROR(INDEX('[AQ_2020.xlsx]原始数据'!$F:$F,MATCH($A920,'[AQ_2020.xlsx]原始数据'!$A:$A,0)),""))</f>
        <v/>
      </c>
      <c r="W920">
        <f>IF($A920="","",IFERROR(INDEX('[AQ_2021.xlsx]原始数据'!$F:$F,MATCH($A920,'[AQ_2021.xlsx]原始数据'!$A:$A,0)),""))</f>
        <v/>
      </c>
      <c r="X920">
        <f>IF($A920="","",IFERROR(INDEX('[AQ_2022.xlsx]原始数据'!$F:$F,MATCH($A920,'[AQ_2022.xlsx]原始数据'!$A:$A,0)),""))</f>
        <v/>
      </c>
      <c r="Y920">
        <f>IF($A920="","",IFERROR(INDEX('[AQ_2023.xlsx]原始数据'!$F:$F,MATCH($A920,'[AQ_2023.xlsx]原始数据'!$A:$A,0)),""))</f>
        <v/>
      </c>
      <c r="Z920">
        <f>IF($A920="","",IFERROR(INDEX('[AQ_2024.xlsx]原始数据'!$F:$F,MATCH($A920,'[AQ_2024.xlsx]原始数据'!$A:$A,0)),""))</f>
        <v/>
      </c>
      <c r="AA920" s="2">
        <f>IFERROR(G920/B920,"")</f>
        <v/>
      </c>
      <c r="AB920" s="2">
        <f>IFERROR(H920/C920,"")</f>
        <v/>
      </c>
      <c r="AC920" s="2">
        <f>IFERROR(I920/D920,"")</f>
        <v/>
      </c>
      <c r="AD920" s="2">
        <f>IFERROR(J920/E920,"")</f>
        <v/>
      </c>
      <c r="AE920" s="2">
        <f>IFERROR(K920/F920,"")</f>
        <v/>
      </c>
      <c r="AF920" s="2">
        <f>IFERROR(L920/B920,"")</f>
        <v/>
      </c>
      <c r="AG920" s="2">
        <f>IFERROR(M920/C920,"")</f>
        <v/>
      </c>
      <c r="AH920" s="2">
        <f>IFERROR(N920/D920,"")</f>
        <v/>
      </c>
      <c r="AI920" s="2">
        <f>IFERROR(O920/E920,"")</f>
        <v/>
      </c>
      <c r="AJ920" s="2">
        <f>IFERROR(P920/F920,"")</f>
        <v/>
      </c>
      <c r="AK920" s="2">
        <f>IFERROR(Q920/B920,"")</f>
        <v/>
      </c>
      <c r="AL920" s="2">
        <f>IFERROR(R920/C920,"")</f>
        <v/>
      </c>
      <c r="AM920" s="2">
        <f>IFERROR(S920/D920,"")</f>
        <v/>
      </c>
      <c r="AN920" s="2">
        <f>IFERROR(T920/E920,"")</f>
        <v/>
      </c>
      <c r="AO920" s="2">
        <f>IFERROR(U920/F920,"")</f>
        <v/>
      </c>
    </row>
    <row r="921">
      <c r="B921">
        <f>IF($A921="","",IFERROR(INDEX('[AQ_2020.xlsx]原始数据'!$B:$B,MATCH($A921,'[AQ_2020.xlsx]原始数据'!$A:$A,0)),""))</f>
        <v/>
      </c>
      <c r="C921">
        <f>IF($A921="","",IFERROR(INDEX('[AQ_2021.xlsx]原始数据'!$B:$B,MATCH($A921,'[AQ_2021.xlsx]原始数据'!$A:$A,0)),""))</f>
        <v/>
      </c>
      <c r="D921">
        <f>IF($A921="","",IFERROR(INDEX('[AQ_2022.xlsx]原始数据'!$B:$B,MATCH($A921,'[AQ_2022.xlsx]原始数据'!$A:$A,0)),""))</f>
        <v/>
      </c>
      <c r="E921">
        <f>IF($A921="","",IFERROR(INDEX('[AQ_2023.xlsx]原始数据'!$B:$B,MATCH($A921,'[AQ_2023.xlsx]原始数据'!$A:$A,0)),""))</f>
        <v/>
      </c>
      <c r="F921">
        <f>IF($A921="","",IFERROR(INDEX('[AQ_2024.xlsx]原始数据'!$B:$B,MATCH($A921,'[AQ_2024.xlsx]原始数据'!$A:$A,0)),""))</f>
        <v/>
      </c>
      <c r="G921">
        <f>IF($A921="","",IFERROR(INDEX('[AQ_2020.xlsx]原始数据'!$C:$C,MATCH($A921,'[AQ_2020.xlsx]原始数据'!$A:$A,0)),""))</f>
        <v/>
      </c>
      <c r="H921">
        <f>IF($A921="","",IFERROR(INDEX('[AQ_2021.xlsx]原始数据'!$C:$C,MATCH($A921,'[AQ_2021.xlsx]原始数据'!$A:$A,0)),""))</f>
        <v/>
      </c>
      <c r="I921">
        <f>IF($A921="","",IFERROR(INDEX('[AQ_2022.xlsx]原始数据'!$C:$C,MATCH($A921,'[AQ_2022.xlsx]原始数据'!$A:$A,0)),""))</f>
        <v/>
      </c>
      <c r="J921">
        <f>IF($A921="","",IFERROR(INDEX('[AQ_2023.xlsx]原始数据'!$C:$C,MATCH($A921,'[AQ_2023.xlsx]原始数据'!$A:$A,0)),""))</f>
        <v/>
      </c>
      <c r="K921">
        <f>IF($A921="","",IFERROR(INDEX('[AQ_2024.xlsx]原始数据'!$C:$C,MATCH($A921,'[AQ_2024.xlsx]原始数据'!$A:$A,0)),""))</f>
        <v/>
      </c>
      <c r="L921">
        <f>IF($A921="","",IFERROR(INDEX('[AQ_2020.xlsx]原始数据'!$D:$D,MATCH($A921,'[AQ_2020.xlsx]原始数据'!$A:$A,0)),""))</f>
        <v/>
      </c>
      <c r="M921">
        <f>IF($A921="","",IFERROR(INDEX('[AQ_2021.xlsx]原始数据'!$D:$D,MATCH($A921,'[AQ_2021.xlsx]原始数据'!$A:$A,0)),""))</f>
        <v/>
      </c>
      <c r="N921">
        <f>IF($A921="","",IFERROR(INDEX('[AQ_2022.xlsx]原始数据'!$D:$D,MATCH($A921,'[AQ_2022.xlsx]原始数据'!$A:$A,0)),""))</f>
        <v/>
      </c>
      <c r="O921">
        <f>IF($A921="","",IFERROR(INDEX('[AQ_2023.xlsx]原始数据'!$D:$D,MATCH($A921,'[AQ_2023.xlsx]原始数据'!$A:$A,0)),""))</f>
        <v/>
      </c>
      <c r="P921">
        <f>IF($A921="","",IFERROR(INDEX('[AQ_2024.xlsx]原始数据'!$D:$D,MATCH($A921,'[AQ_2024.xlsx]原始数据'!$A:$A,0)),""))</f>
        <v/>
      </c>
      <c r="Q921">
        <f>IF($A921="","",IFERROR(INDEX('[AQ_2020.xlsx]原始数据'!$E:$E,MATCH($A921,'[AQ_2020.xlsx]原始数据'!$A:$A,0)),""))</f>
        <v/>
      </c>
      <c r="R921">
        <f>IF($A921="","",IFERROR(INDEX('[AQ_2021.xlsx]原始数据'!$E:$E,MATCH($A921,'[AQ_2021.xlsx]原始数据'!$A:$A,0)),""))</f>
        <v/>
      </c>
      <c r="S921">
        <f>IF($A921="","",IFERROR(INDEX('[AQ_2022.xlsx]原始数据'!$E:$E,MATCH($A921,'[AQ_2022.xlsx]原始数据'!$A:$A,0)),""))</f>
        <v/>
      </c>
      <c r="T921">
        <f>IF($A921="","",IFERROR(INDEX('[AQ_2023.xlsx]原始数据'!$E:$E,MATCH($A921,'[AQ_2023.xlsx]原始数据'!$A:$A,0)),""))</f>
        <v/>
      </c>
      <c r="U921">
        <f>IF($A921="","",IFERROR(INDEX('[AQ_2024.xlsx]原始数据'!$E:$E,MATCH($A921,'[AQ_2024.xlsx]原始数据'!$A:$A,0)),""))</f>
        <v/>
      </c>
      <c r="V921">
        <f>IF($A921="","",IFERROR(INDEX('[AQ_2020.xlsx]原始数据'!$F:$F,MATCH($A921,'[AQ_2020.xlsx]原始数据'!$A:$A,0)),""))</f>
        <v/>
      </c>
      <c r="W921">
        <f>IF($A921="","",IFERROR(INDEX('[AQ_2021.xlsx]原始数据'!$F:$F,MATCH($A921,'[AQ_2021.xlsx]原始数据'!$A:$A,0)),""))</f>
        <v/>
      </c>
      <c r="X921">
        <f>IF($A921="","",IFERROR(INDEX('[AQ_2022.xlsx]原始数据'!$F:$F,MATCH($A921,'[AQ_2022.xlsx]原始数据'!$A:$A,0)),""))</f>
        <v/>
      </c>
      <c r="Y921">
        <f>IF($A921="","",IFERROR(INDEX('[AQ_2023.xlsx]原始数据'!$F:$F,MATCH($A921,'[AQ_2023.xlsx]原始数据'!$A:$A,0)),""))</f>
        <v/>
      </c>
      <c r="Z921">
        <f>IF($A921="","",IFERROR(INDEX('[AQ_2024.xlsx]原始数据'!$F:$F,MATCH($A921,'[AQ_2024.xlsx]原始数据'!$A:$A,0)),""))</f>
        <v/>
      </c>
      <c r="AA921" s="2">
        <f>IFERROR(G921/B921,"")</f>
        <v/>
      </c>
      <c r="AB921" s="2">
        <f>IFERROR(H921/C921,"")</f>
        <v/>
      </c>
      <c r="AC921" s="2">
        <f>IFERROR(I921/D921,"")</f>
        <v/>
      </c>
      <c r="AD921" s="2">
        <f>IFERROR(J921/E921,"")</f>
        <v/>
      </c>
      <c r="AE921" s="2">
        <f>IFERROR(K921/F921,"")</f>
        <v/>
      </c>
      <c r="AF921" s="2">
        <f>IFERROR(L921/B921,"")</f>
        <v/>
      </c>
      <c r="AG921" s="2">
        <f>IFERROR(M921/C921,"")</f>
        <v/>
      </c>
      <c r="AH921" s="2">
        <f>IFERROR(N921/D921,"")</f>
        <v/>
      </c>
      <c r="AI921" s="2">
        <f>IFERROR(O921/E921,"")</f>
        <v/>
      </c>
      <c r="AJ921" s="2">
        <f>IFERROR(P921/F921,"")</f>
        <v/>
      </c>
      <c r="AK921" s="2">
        <f>IFERROR(Q921/B921,"")</f>
        <v/>
      </c>
      <c r="AL921" s="2">
        <f>IFERROR(R921/C921,"")</f>
        <v/>
      </c>
      <c r="AM921" s="2">
        <f>IFERROR(S921/D921,"")</f>
        <v/>
      </c>
      <c r="AN921" s="2">
        <f>IFERROR(T921/E921,"")</f>
        <v/>
      </c>
      <c r="AO921" s="2">
        <f>IFERROR(U921/F921,"")</f>
        <v/>
      </c>
    </row>
    <row r="922">
      <c r="B922">
        <f>IF($A922="","",IFERROR(INDEX('[AQ_2020.xlsx]原始数据'!$B:$B,MATCH($A922,'[AQ_2020.xlsx]原始数据'!$A:$A,0)),""))</f>
        <v/>
      </c>
      <c r="C922">
        <f>IF($A922="","",IFERROR(INDEX('[AQ_2021.xlsx]原始数据'!$B:$B,MATCH($A922,'[AQ_2021.xlsx]原始数据'!$A:$A,0)),""))</f>
        <v/>
      </c>
      <c r="D922">
        <f>IF($A922="","",IFERROR(INDEX('[AQ_2022.xlsx]原始数据'!$B:$B,MATCH($A922,'[AQ_2022.xlsx]原始数据'!$A:$A,0)),""))</f>
        <v/>
      </c>
      <c r="E922">
        <f>IF($A922="","",IFERROR(INDEX('[AQ_2023.xlsx]原始数据'!$B:$B,MATCH($A922,'[AQ_2023.xlsx]原始数据'!$A:$A,0)),""))</f>
        <v/>
      </c>
      <c r="F922">
        <f>IF($A922="","",IFERROR(INDEX('[AQ_2024.xlsx]原始数据'!$B:$B,MATCH($A922,'[AQ_2024.xlsx]原始数据'!$A:$A,0)),""))</f>
        <v/>
      </c>
      <c r="G922">
        <f>IF($A922="","",IFERROR(INDEX('[AQ_2020.xlsx]原始数据'!$C:$C,MATCH($A922,'[AQ_2020.xlsx]原始数据'!$A:$A,0)),""))</f>
        <v/>
      </c>
      <c r="H922">
        <f>IF($A922="","",IFERROR(INDEX('[AQ_2021.xlsx]原始数据'!$C:$C,MATCH($A922,'[AQ_2021.xlsx]原始数据'!$A:$A,0)),""))</f>
        <v/>
      </c>
      <c r="I922">
        <f>IF($A922="","",IFERROR(INDEX('[AQ_2022.xlsx]原始数据'!$C:$C,MATCH($A922,'[AQ_2022.xlsx]原始数据'!$A:$A,0)),""))</f>
        <v/>
      </c>
      <c r="J922">
        <f>IF($A922="","",IFERROR(INDEX('[AQ_2023.xlsx]原始数据'!$C:$C,MATCH($A922,'[AQ_2023.xlsx]原始数据'!$A:$A,0)),""))</f>
        <v/>
      </c>
      <c r="K922">
        <f>IF($A922="","",IFERROR(INDEX('[AQ_2024.xlsx]原始数据'!$C:$C,MATCH($A922,'[AQ_2024.xlsx]原始数据'!$A:$A,0)),""))</f>
        <v/>
      </c>
      <c r="L922">
        <f>IF($A922="","",IFERROR(INDEX('[AQ_2020.xlsx]原始数据'!$D:$D,MATCH($A922,'[AQ_2020.xlsx]原始数据'!$A:$A,0)),""))</f>
        <v/>
      </c>
      <c r="M922">
        <f>IF($A922="","",IFERROR(INDEX('[AQ_2021.xlsx]原始数据'!$D:$D,MATCH($A922,'[AQ_2021.xlsx]原始数据'!$A:$A,0)),""))</f>
        <v/>
      </c>
      <c r="N922">
        <f>IF($A922="","",IFERROR(INDEX('[AQ_2022.xlsx]原始数据'!$D:$D,MATCH($A922,'[AQ_2022.xlsx]原始数据'!$A:$A,0)),""))</f>
        <v/>
      </c>
      <c r="O922">
        <f>IF($A922="","",IFERROR(INDEX('[AQ_2023.xlsx]原始数据'!$D:$D,MATCH($A922,'[AQ_2023.xlsx]原始数据'!$A:$A,0)),""))</f>
        <v/>
      </c>
      <c r="P922">
        <f>IF($A922="","",IFERROR(INDEX('[AQ_2024.xlsx]原始数据'!$D:$D,MATCH($A922,'[AQ_2024.xlsx]原始数据'!$A:$A,0)),""))</f>
        <v/>
      </c>
      <c r="Q922">
        <f>IF($A922="","",IFERROR(INDEX('[AQ_2020.xlsx]原始数据'!$E:$E,MATCH($A922,'[AQ_2020.xlsx]原始数据'!$A:$A,0)),""))</f>
        <v/>
      </c>
      <c r="R922">
        <f>IF($A922="","",IFERROR(INDEX('[AQ_2021.xlsx]原始数据'!$E:$E,MATCH($A922,'[AQ_2021.xlsx]原始数据'!$A:$A,0)),""))</f>
        <v/>
      </c>
      <c r="S922">
        <f>IF($A922="","",IFERROR(INDEX('[AQ_2022.xlsx]原始数据'!$E:$E,MATCH($A922,'[AQ_2022.xlsx]原始数据'!$A:$A,0)),""))</f>
        <v/>
      </c>
      <c r="T922">
        <f>IF($A922="","",IFERROR(INDEX('[AQ_2023.xlsx]原始数据'!$E:$E,MATCH($A922,'[AQ_2023.xlsx]原始数据'!$A:$A,0)),""))</f>
        <v/>
      </c>
      <c r="U922">
        <f>IF($A922="","",IFERROR(INDEX('[AQ_2024.xlsx]原始数据'!$E:$E,MATCH($A922,'[AQ_2024.xlsx]原始数据'!$A:$A,0)),""))</f>
        <v/>
      </c>
      <c r="V922">
        <f>IF($A922="","",IFERROR(INDEX('[AQ_2020.xlsx]原始数据'!$F:$F,MATCH($A922,'[AQ_2020.xlsx]原始数据'!$A:$A,0)),""))</f>
        <v/>
      </c>
      <c r="W922">
        <f>IF($A922="","",IFERROR(INDEX('[AQ_2021.xlsx]原始数据'!$F:$F,MATCH($A922,'[AQ_2021.xlsx]原始数据'!$A:$A,0)),""))</f>
        <v/>
      </c>
      <c r="X922">
        <f>IF($A922="","",IFERROR(INDEX('[AQ_2022.xlsx]原始数据'!$F:$F,MATCH($A922,'[AQ_2022.xlsx]原始数据'!$A:$A,0)),""))</f>
        <v/>
      </c>
      <c r="Y922">
        <f>IF($A922="","",IFERROR(INDEX('[AQ_2023.xlsx]原始数据'!$F:$F,MATCH($A922,'[AQ_2023.xlsx]原始数据'!$A:$A,0)),""))</f>
        <v/>
      </c>
      <c r="Z922">
        <f>IF($A922="","",IFERROR(INDEX('[AQ_2024.xlsx]原始数据'!$F:$F,MATCH($A922,'[AQ_2024.xlsx]原始数据'!$A:$A,0)),""))</f>
        <v/>
      </c>
      <c r="AA922" s="2">
        <f>IFERROR(G922/B922,"")</f>
        <v/>
      </c>
      <c r="AB922" s="2">
        <f>IFERROR(H922/C922,"")</f>
        <v/>
      </c>
      <c r="AC922" s="2">
        <f>IFERROR(I922/D922,"")</f>
        <v/>
      </c>
      <c r="AD922" s="2">
        <f>IFERROR(J922/E922,"")</f>
        <v/>
      </c>
      <c r="AE922" s="2">
        <f>IFERROR(K922/F922,"")</f>
        <v/>
      </c>
      <c r="AF922" s="2">
        <f>IFERROR(L922/B922,"")</f>
        <v/>
      </c>
      <c r="AG922" s="2">
        <f>IFERROR(M922/C922,"")</f>
        <v/>
      </c>
      <c r="AH922" s="2">
        <f>IFERROR(N922/D922,"")</f>
        <v/>
      </c>
      <c r="AI922" s="2">
        <f>IFERROR(O922/E922,"")</f>
        <v/>
      </c>
      <c r="AJ922" s="2">
        <f>IFERROR(P922/F922,"")</f>
        <v/>
      </c>
      <c r="AK922" s="2">
        <f>IFERROR(Q922/B922,"")</f>
        <v/>
      </c>
      <c r="AL922" s="2">
        <f>IFERROR(R922/C922,"")</f>
        <v/>
      </c>
      <c r="AM922" s="2">
        <f>IFERROR(S922/D922,"")</f>
        <v/>
      </c>
      <c r="AN922" s="2">
        <f>IFERROR(T922/E922,"")</f>
        <v/>
      </c>
      <c r="AO922" s="2">
        <f>IFERROR(U922/F922,"")</f>
        <v/>
      </c>
    </row>
    <row r="923">
      <c r="B923">
        <f>IF($A923="","",IFERROR(INDEX('[AQ_2020.xlsx]原始数据'!$B:$B,MATCH($A923,'[AQ_2020.xlsx]原始数据'!$A:$A,0)),""))</f>
        <v/>
      </c>
      <c r="C923">
        <f>IF($A923="","",IFERROR(INDEX('[AQ_2021.xlsx]原始数据'!$B:$B,MATCH($A923,'[AQ_2021.xlsx]原始数据'!$A:$A,0)),""))</f>
        <v/>
      </c>
      <c r="D923">
        <f>IF($A923="","",IFERROR(INDEX('[AQ_2022.xlsx]原始数据'!$B:$B,MATCH($A923,'[AQ_2022.xlsx]原始数据'!$A:$A,0)),""))</f>
        <v/>
      </c>
      <c r="E923">
        <f>IF($A923="","",IFERROR(INDEX('[AQ_2023.xlsx]原始数据'!$B:$B,MATCH($A923,'[AQ_2023.xlsx]原始数据'!$A:$A,0)),""))</f>
        <v/>
      </c>
      <c r="F923">
        <f>IF($A923="","",IFERROR(INDEX('[AQ_2024.xlsx]原始数据'!$B:$B,MATCH($A923,'[AQ_2024.xlsx]原始数据'!$A:$A,0)),""))</f>
        <v/>
      </c>
      <c r="G923">
        <f>IF($A923="","",IFERROR(INDEX('[AQ_2020.xlsx]原始数据'!$C:$C,MATCH($A923,'[AQ_2020.xlsx]原始数据'!$A:$A,0)),""))</f>
        <v/>
      </c>
      <c r="H923">
        <f>IF($A923="","",IFERROR(INDEX('[AQ_2021.xlsx]原始数据'!$C:$C,MATCH($A923,'[AQ_2021.xlsx]原始数据'!$A:$A,0)),""))</f>
        <v/>
      </c>
      <c r="I923">
        <f>IF($A923="","",IFERROR(INDEX('[AQ_2022.xlsx]原始数据'!$C:$C,MATCH($A923,'[AQ_2022.xlsx]原始数据'!$A:$A,0)),""))</f>
        <v/>
      </c>
      <c r="J923">
        <f>IF($A923="","",IFERROR(INDEX('[AQ_2023.xlsx]原始数据'!$C:$C,MATCH($A923,'[AQ_2023.xlsx]原始数据'!$A:$A,0)),""))</f>
        <v/>
      </c>
      <c r="K923">
        <f>IF($A923="","",IFERROR(INDEX('[AQ_2024.xlsx]原始数据'!$C:$C,MATCH($A923,'[AQ_2024.xlsx]原始数据'!$A:$A,0)),""))</f>
        <v/>
      </c>
      <c r="L923">
        <f>IF($A923="","",IFERROR(INDEX('[AQ_2020.xlsx]原始数据'!$D:$D,MATCH($A923,'[AQ_2020.xlsx]原始数据'!$A:$A,0)),""))</f>
        <v/>
      </c>
      <c r="M923">
        <f>IF($A923="","",IFERROR(INDEX('[AQ_2021.xlsx]原始数据'!$D:$D,MATCH($A923,'[AQ_2021.xlsx]原始数据'!$A:$A,0)),""))</f>
        <v/>
      </c>
      <c r="N923">
        <f>IF($A923="","",IFERROR(INDEX('[AQ_2022.xlsx]原始数据'!$D:$D,MATCH($A923,'[AQ_2022.xlsx]原始数据'!$A:$A,0)),""))</f>
        <v/>
      </c>
      <c r="O923">
        <f>IF($A923="","",IFERROR(INDEX('[AQ_2023.xlsx]原始数据'!$D:$D,MATCH($A923,'[AQ_2023.xlsx]原始数据'!$A:$A,0)),""))</f>
        <v/>
      </c>
      <c r="P923">
        <f>IF($A923="","",IFERROR(INDEX('[AQ_2024.xlsx]原始数据'!$D:$D,MATCH($A923,'[AQ_2024.xlsx]原始数据'!$A:$A,0)),""))</f>
        <v/>
      </c>
      <c r="Q923">
        <f>IF($A923="","",IFERROR(INDEX('[AQ_2020.xlsx]原始数据'!$E:$E,MATCH($A923,'[AQ_2020.xlsx]原始数据'!$A:$A,0)),""))</f>
        <v/>
      </c>
      <c r="R923">
        <f>IF($A923="","",IFERROR(INDEX('[AQ_2021.xlsx]原始数据'!$E:$E,MATCH($A923,'[AQ_2021.xlsx]原始数据'!$A:$A,0)),""))</f>
        <v/>
      </c>
      <c r="S923">
        <f>IF($A923="","",IFERROR(INDEX('[AQ_2022.xlsx]原始数据'!$E:$E,MATCH($A923,'[AQ_2022.xlsx]原始数据'!$A:$A,0)),""))</f>
        <v/>
      </c>
      <c r="T923">
        <f>IF($A923="","",IFERROR(INDEX('[AQ_2023.xlsx]原始数据'!$E:$E,MATCH($A923,'[AQ_2023.xlsx]原始数据'!$A:$A,0)),""))</f>
        <v/>
      </c>
      <c r="U923">
        <f>IF($A923="","",IFERROR(INDEX('[AQ_2024.xlsx]原始数据'!$E:$E,MATCH($A923,'[AQ_2024.xlsx]原始数据'!$A:$A,0)),""))</f>
        <v/>
      </c>
      <c r="V923">
        <f>IF($A923="","",IFERROR(INDEX('[AQ_2020.xlsx]原始数据'!$F:$F,MATCH($A923,'[AQ_2020.xlsx]原始数据'!$A:$A,0)),""))</f>
        <v/>
      </c>
      <c r="W923">
        <f>IF($A923="","",IFERROR(INDEX('[AQ_2021.xlsx]原始数据'!$F:$F,MATCH($A923,'[AQ_2021.xlsx]原始数据'!$A:$A,0)),""))</f>
        <v/>
      </c>
      <c r="X923">
        <f>IF($A923="","",IFERROR(INDEX('[AQ_2022.xlsx]原始数据'!$F:$F,MATCH($A923,'[AQ_2022.xlsx]原始数据'!$A:$A,0)),""))</f>
        <v/>
      </c>
      <c r="Y923">
        <f>IF($A923="","",IFERROR(INDEX('[AQ_2023.xlsx]原始数据'!$F:$F,MATCH($A923,'[AQ_2023.xlsx]原始数据'!$A:$A,0)),""))</f>
        <v/>
      </c>
      <c r="Z923">
        <f>IF($A923="","",IFERROR(INDEX('[AQ_2024.xlsx]原始数据'!$F:$F,MATCH($A923,'[AQ_2024.xlsx]原始数据'!$A:$A,0)),""))</f>
        <v/>
      </c>
      <c r="AA923" s="2">
        <f>IFERROR(G923/B923,"")</f>
        <v/>
      </c>
      <c r="AB923" s="2">
        <f>IFERROR(H923/C923,"")</f>
        <v/>
      </c>
      <c r="AC923" s="2">
        <f>IFERROR(I923/D923,"")</f>
        <v/>
      </c>
      <c r="AD923" s="2">
        <f>IFERROR(J923/E923,"")</f>
        <v/>
      </c>
      <c r="AE923" s="2">
        <f>IFERROR(K923/F923,"")</f>
        <v/>
      </c>
      <c r="AF923" s="2">
        <f>IFERROR(L923/B923,"")</f>
        <v/>
      </c>
      <c r="AG923" s="2">
        <f>IFERROR(M923/C923,"")</f>
        <v/>
      </c>
      <c r="AH923" s="2">
        <f>IFERROR(N923/D923,"")</f>
        <v/>
      </c>
      <c r="AI923" s="2">
        <f>IFERROR(O923/E923,"")</f>
        <v/>
      </c>
      <c r="AJ923" s="2">
        <f>IFERROR(P923/F923,"")</f>
        <v/>
      </c>
      <c r="AK923" s="2">
        <f>IFERROR(Q923/B923,"")</f>
        <v/>
      </c>
      <c r="AL923" s="2">
        <f>IFERROR(R923/C923,"")</f>
        <v/>
      </c>
      <c r="AM923" s="2">
        <f>IFERROR(S923/D923,"")</f>
        <v/>
      </c>
      <c r="AN923" s="2">
        <f>IFERROR(T923/E923,"")</f>
        <v/>
      </c>
      <c r="AO923" s="2">
        <f>IFERROR(U923/F923,"")</f>
        <v/>
      </c>
    </row>
    <row r="924">
      <c r="B924">
        <f>IF($A924="","",IFERROR(INDEX('[AQ_2020.xlsx]原始数据'!$B:$B,MATCH($A924,'[AQ_2020.xlsx]原始数据'!$A:$A,0)),""))</f>
        <v/>
      </c>
      <c r="C924">
        <f>IF($A924="","",IFERROR(INDEX('[AQ_2021.xlsx]原始数据'!$B:$B,MATCH($A924,'[AQ_2021.xlsx]原始数据'!$A:$A,0)),""))</f>
        <v/>
      </c>
      <c r="D924">
        <f>IF($A924="","",IFERROR(INDEX('[AQ_2022.xlsx]原始数据'!$B:$B,MATCH($A924,'[AQ_2022.xlsx]原始数据'!$A:$A,0)),""))</f>
        <v/>
      </c>
      <c r="E924">
        <f>IF($A924="","",IFERROR(INDEX('[AQ_2023.xlsx]原始数据'!$B:$B,MATCH($A924,'[AQ_2023.xlsx]原始数据'!$A:$A,0)),""))</f>
        <v/>
      </c>
      <c r="F924">
        <f>IF($A924="","",IFERROR(INDEX('[AQ_2024.xlsx]原始数据'!$B:$B,MATCH($A924,'[AQ_2024.xlsx]原始数据'!$A:$A,0)),""))</f>
        <v/>
      </c>
      <c r="G924">
        <f>IF($A924="","",IFERROR(INDEX('[AQ_2020.xlsx]原始数据'!$C:$C,MATCH($A924,'[AQ_2020.xlsx]原始数据'!$A:$A,0)),""))</f>
        <v/>
      </c>
      <c r="H924">
        <f>IF($A924="","",IFERROR(INDEX('[AQ_2021.xlsx]原始数据'!$C:$C,MATCH($A924,'[AQ_2021.xlsx]原始数据'!$A:$A,0)),""))</f>
        <v/>
      </c>
      <c r="I924">
        <f>IF($A924="","",IFERROR(INDEX('[AQ_2022.xlsx]原始数据'!$C:$C,MATCH($A924,'[AQ_2022.xlsx]原始数据'!$A:$A,0)),""))</f>
        <v/>
      </c>
      <c r="J924">
        <f>IF($A924="","",IFERROR(INDEX('[AQ_2023.xlsx]原始数据'!$C:$C,MATCH($A924,'[AQ_2023.xlsx]原始数据'!$A:$A,0)),""))</f>
        <v/>
      </c>
      <c r="K924">
        <f>IF($A924="","",IFERROR(INDEX('[AQ_2024.xlsx]原始数据'!$C:$C,MATCH($A924,'[AQ_2024.xlsx]原始数据'!$A:$A,0)),""))</f>
        <v/>
      </c>
      <c r="L924">
        <f>IF($A924="","",IFERROR(INDEX('[AQ_2020.xlsx]原始数据'!$D:$D,MATCH($A924,'[AQ_2020.xlsx]原始数据'!$A:$A,0)),""))</f>
        <v/>
      </c>
      <c r="M924">
        <f>IF($A924="","",IFERROR(INDEX('[AQ_2021.xlsx]原始数据'!$D:$D,MATCH($A924,'[AQ_2021.xlsx]原始数据'!$A:$A,0)),""))</f>
        <v/>
      </c>
      <c r="N924">
        <f>IF($A924="","",IFERROR(INDEX('[AQ_2022.xlsx]原始数据'!$D:$D,MATCH($A924,'[AQ_2022.xlsx]原始数据'!$A:$A,0)),""))</f>
        <v/>
      </c>
      <c r="O924">
        <f>IF($A924="","",IFERROR(INDEX('[AQ_2023.xlsx]原始数据'!$D:$D,MATCH($A924,'[AQ_2023.xlsx]原始数据'!$A:$A,0)),""))</f>
        <v/>
      </c>
      <c r="P924">
        <f>IF($A924="","",IFERROR(INDEX('[AQ_2024.xlsx]原始数据'!$D:$D,MATCH($A924,'[AQ_2024.xlsx]原始数据'!$A:$A,0)),""))</f>
        <v/>
      </c>
      <c r="Q924">
        <f>IF($A924="","",IFERROR(INDEX('[AQ_2020.xlsx]原始数据'!$E:$E,MATCH($A924,'[AQ_2020.xlsx]原始数据'!$A:$A,0)),""))</f>
        <v/>
      </c>
      <c r="R924">
        <f>IF($A924="","",IFERROR(INDEX('[AQ_2021.xlsx]原始数据'!$E:$E,MATCH($A924,'[AQ_2021.xlsx]原始数据'!$A:$A,0)),""))</f>
        <v/>
      </c>
      <c r="S924">
        <f>IF($A924="","",IFERROR(INDEX('[AQ_2022.xlsx]原始数据'!$E:$E,MATCH($A924,'[AQ_2022.xlsx]原始数据'!$A:$A,0)),""))</f>
        <v/>
      </c>
      <c r="T924">
        <f>IF($A924="","",IFERROR(INDEX('[AQ_2023.xlsx]原始数据'!$E:$E,MATCH($A924,'[AQ_2023.xlsx]原始数据'!$A:$A,0)),""))</f>
        <v/>
      </c>
      <c r="U924">
        <f>IF($A924="","",IFERROR(INDEX('[AQ_2024.xlsx]原始数据'!$E:$E,MATCH($A924,'[AQ_2024.xlsx]原始数据'!$A:$A,0)),""))</f>
        <v/>
      </c>
      <c r="V924">
        <f>IF($A924="","",IFERROR(INDEX('[AQ_2020.xlsx]原始数据'!$F:$F,MATCH($A924,'[AQ_2020.xlsx]原始数据'!$A:$A,0)),""))</f>
        <v/>
      </c>
      <c r="W924">
        <f>IF($A924="","",IFERROR(INDEX('[AQ_2021.xlsx]原始数据'!$F:$F,MATCH($A924,'[AQ_2021.xlsx]原始数据'!$A:$A,0)),""))</f>
        <v/>
      </c>
      <c r="X924">
        <f>IF($A924="","",IFERROR(INDEX('[AQ_2022.xlsx]原始数据'!$F:$F,MATCH($A924,'[AQ_2022.xlsx]原始数据'!$A:$A,0)),""))</f>
        <v/>
      </c>
      <c r="Y924">
        <f>IF($A924="","",IFERROR(INDEX('[AQ_2023.xlsx]原始数据'!$F:$F,MATCH($A924,'[AQ_2023.xlsx]原始数据'!$A:$A,0)),""))</f>
        <v/>
      </c>
      <c r="Z924">
        <f>IF($A924="","",IFERROR(INDEX('[AQ_2024.xlsx]原始数据'!$F:$F,MATCH($A924,'[AQ_2024.xlsx]原始数据'!$A:$A,0)),""))</f>
        <v/>
      </c>
      <c r="AA924" s="2">
        <f>IFERROR(G924/B924,"")</f>
        <v/>
      </c>
      <c r="AB924" s="2">
        <f>IFERROR(H924/C924,"")</f>
        <v/>
      </c>
      <c r="AC924" s="2">
        <f>IFERROR(I924/D924,"")</f>
        <v/>
      </c>
      <c r="AD924" s="2">
        <f>IFERROR(J924/E924,"")</f>
        <v/>
      </c>
      <c r="AE924" s="2">
        <f>IFERROR(K924/F924,"")</f>
        <v/>
      </c>
      <c r="AF924" s="2">
        <f>IFERROR(L924/B924,"")</f>
        <v/>
      </c>
      <c r="AG924" s="2">
        <f>IFERROR(M924/C924,"")</f>
        <v/>
      </c>
      <c r="AH924" s="2">
        <f>IFERROR(N924/D924,"")</f>
        <v/>
      </c>
      <c r="AI924" s="2">
        <f>IFERROR(O924/E924,"")</f>
        <v/>
      </c>
      <c r="AJ924" s="2">
        <f>IFERROR(P924/F924,"")</f>
        <v/>
      </c>
      <c r="AK924" s="2">
        <f>IFERROR(Q924/B924,"")</f>
        <v/>
      </c>
      <c r="AL924" s="2">
        <f>IFERROR(R924/C924,"")</f>
        <v/>
      </c>
      <c r="AM924" s="2">
        <f>IFERROR(S924/D924,"")</f>
        <v/>
      </c>
      <c r="AN924" s="2">
        <f>IFERROR(T924/E924,"")</f>
        <v/>
      </c>
      <c r="AO924" s="2">
        <f>IFERROR(U924/F924,"")</f>
        <v/>
      </c>
    </row>
    <row r="925">
      <c r="B925">
        <f>IF($A925="","",IFERROR(INDEX('[AQ_2020.xlsx]原始数据'!$B:$B,MATCH($A925,'[AQ_2020.xlsx]原始数据'!$A:$A,0)),""))</f>
        <v/>
      </c>
      <c r="C925">
        <f>IF($A925="","",IFERROR(INDEX('[AQ_2021.xlsx]原始数据'!$B:$B,MATCH($A925,'[AQ_2021.xlsx]原始数据'!$A:$A,0)),""))</f>
        <v/>
      </c>
      <c r="D925">
        <f>IF($A925="","",IFERROR(INDEX('[AQ_2022.xlsx]原始数据'!$B:$B,MATCH($A925,'[AQ_2022.xlsx]原始数据'!$A:$A,0)),""))</f>
        <v/>
      </c>
      <c r="E925">
        <f>IF($A925="","",IFERROR(INDEX('[AQ_2023.xlsx]原始数据'!$B:$B,MATCH($A925,'[AQ_2023.xlsx]原始数据'!$A:$A,0)),""))</f>
        <v/>
      </c>
      <c r="F925">
        <f>IF($A925="","",IFERROR(INDEX('[AQ_2024.xlsx]原始数据'!$B:$B,MATCH($A925,'[AQ_2024.xlsx]原始数据'!$A:$A,0)),""))</f>
        <v/>
      </c>
      <c r="G925">
        <f>IF($A925="","",IFERROR(INDEX('[AQ_2020.xlsx]原始数据'!$C:$C,MATCH($A925,'[AQ_2020.xlsx]原始数据'!$A:$A,0)),""))</f>
        <v/>
      </c>
      <c r="H925">
        <f>IF($A925="","",IFERROR(INDEX('[AQ_2021.xlsx]原始数据'!$C:$C,MATCH($A925,'[AQ_2021.xlsx]原始数据'!$A:$A,0)),""))</f>
        <v/>
      </c>
      <c r="I925">
        <f>IF($A925="","",IFERROR(INDEX('[AQ_2022.xlsx]原始数据'!$C:$C,MATCH($A925,'[AQ_2022.xlsx]原始数据'!$A:$A,0)),""))</f>
        <v/>
      </c>
      <c r="J925">
        <f>IF($A925="","",IFERROR(INDEX('[AQ_2023.xlsx]原始数据'!$C:$C,MATCH($A925,'[AQ_2023.xlsx]原始数据'!$A:$A,0)),""))</f>
        <v/>
      </c>
      <c r="K925">
        <f>IF($A925="","",IFERROR(INDEX('[AQ_2024.xlsx]原始数据'!$C:$C,MATCH($A925,'[AQ_2024.xlsx]原始数据'!$A:$A,0)),""))</f>
        <v/>
      </c>
      <c r="L925">
        <f>IF($A925="","",IFERROR(INDEX('[AQ_2020.xlsx]原始数据'!$D:$D,MATCH($A925,'[AQ_2020.xlsx]原始数据'!$A:$A,0)),""))</f>
        <v/>
      </c>
      <c r="M925">
        <f>IF($A925="","",IFERROR(INDEX('[AQ_2021.xlsx]原始数据'!$D:$D,MATCH($A925,'[AQ_2021.xlsx]原始数据'!$A:$A,0)),""))</f>
        <v/>
      </c>
      <c r="N925">
        <f>IF($A925="","",IFERROR(INDEX('[AQ_2022.xlsx]原始数据'!$D:$D,MATCH($A925,'[AQ_2022.xlsx]原始数据'!$A:$A,0)),""))</f>
        <v/>
      </c>
      <c r="O925">
        <f>IF($A925="","",IFERROR(INDEX('[AQ_2023.xlsx]原始数据'!$D:$D,MATCH($A925,'[AQ_2023.xlsx]原始数据'!$A:$A,0)),""))</f>
        <v/>
      </c>
      <c r="P925">
        <f>IF($A925="","",IFERROR(INDEX('[AQ_2024.xlsx]原始数据'!$D:$D,MATCH($A925,'[AQ_2024.xlsx]原始数据'!$A:$A,0)),""))</f>
        <v/>
      </c>
      <c r="Q925">
        <f>IF($A925="","",IFERROR(INDEX('[AQ_2020.xlsx]原始数据'!$E:$E,MATCH($A925,'[AQ_2020.xlsx]原始数据'!$A:$A,0)),""))</f>
        <v/>
      </c>
      <c r="R925">
        <f>IF($A925="","",IFERROR(INDEX('[AQ_2021.xlsx]原始数据'!$E:$E,MATCH($A925,'[AQ_2021.xlsx]原始数据'!$A:$A,0)),""))</f>
        <v/>
      </c>
      <c r="S925">
        <f>IF($A925="","",IFERROR(INDEX('[AQ_2022.xlsx]原始数据'!$E:$E,MATCH($A925,'[AQ_2022.xlsx]原始数据'!$A:$A,0)),""))</f>
        <v/>
      </c>
      <c r="T925">
        <f>IF($A925="","",IFERROR(INDEX('[AQ_2023.xlsx]原始数据'!$E:$E,MATCH($A925,'[AQ_2023.xlsx]原始数据'!$A:$A,0)),""))</f>
        <v/>
      </c>
      <c r="U925">
        <f>IF($A925="","",IFERROR(INDEX('[AQ_2024.xlsx]原始数据'!$E:$E,MATCH($A925,'[AQ_2024.xlsx]原始数据'!$A:$A,0)),""))</f>
        <v/>
      </c>
      <c r="V925">
        <f>IF($A925="","",IFERROR(INDEX('[AQ_2020.xlsx]原始数据'!$F:$F,MATCH($A925,'[AQ_2020.xlsx]原始数据'!$A:$A,0)),""))</f>
        <v/>
      </c>
      <c r="W925">
        <f>IF($A925="","",IFERROR(INDEX('[AQ_2021.xlsx]原始数据'!$F:$F,MATCH($A925,'[AQ_2021.xlsx]原始数据'!$A:$A,0)),""))</f>
        <v/>
      </c>
      <c r="X925">
        <f>IF($A925="","",IFERROR(INDEX('[AQ_2022.xlsx]原始数据'!$F:$F,MATCH($A925,'[AQ_2022.xlsx]原始数据'!$A:$A,0)),""))</f>
        <v/>
      </c>
      <c r="Y925">
        <f>IF($A925="","",IFERROR(INDEX('[AQ_2023.xlsx]原始数据'!$F:$F,MATCH($A925,'[AQ_2023.xlsx]原始数据'!$A:$A,0)),""))</f>
        <v/>
      </c>
      <c r="Z925">
        <f>IF($A925="","",IFERROR(INDEX('[AQ_2024.xlsx]原始数据'!$F:$F,MATCH($A925,'[AQ_2024.xlsx]原始数据'!$A:$A,0)),""))</f>
        <v/>
      </c>
      <c r="AA925" s="2">
        <f>IFERROR(G925/B925,"")</f>
        <v/>
      </c>
      <c r="AB925" s="2">
        <f>IFERROR(H925/C925,"")</f>
        <v/>
      </c>
      <c r="AC925" s="2">
        <f>IFERROR(I925/D925,"")</f>
        <v/>
      </c>
      <c r="AD925" s="2">
        <f>IFERROR(J925/E925,"")</f>
        <v/>
      </c>
      <c r="AE925" s="2">
        <f>IFERROR(K925/F925,"")</f>
        <v/>
      </c>
      <c r="AF925" s="2">
        <f>IFERROR(L925/B925,"")</f>
        <v/>
      </c>
      <c r="AG925" s="2">
        <f>IFERROR(M925/C925,"")</f>
        <v/>
      </c>
      <c r="AH925" s="2">
        <f>IFERROR(N925/D925,"")</f>
        <v/>
      </c>
      <c r="AI925" s="2">
        <f>IFERROR(O925/E925,"")</f>
        <v/>
      </c>
      <c r="AJ925" s="2">
        <f>IFERROR(P925/F925,"")</f>
        <v/>
      </c>
      <c r="AK925" s="2">
        <f>IFERROR(Q925/B925,"")</f>
        <v/>
      </c>
      <c r="AL925" s="2">
        <f>IFERROR(R925/C925,"")</f>
        <v/>
      </c>
      <c r="AM925" s="2">
        <f>IFERROR(S925/D925,"")</f>
        <v/>
      </c>
      <c r="AN925" s="2">
        <f>IFERROR(T925/E925,"")</f>
        <v/>
      </c>
      <c r="AO925" s="2">
        <f>IFERROR(U925/F925,"")</f>
        <v/>
      </c>
    </row>
    <row r="926">
      <c r="B926">
        <f>IF($A926="","",IFERROR(INDEX('[AQ_2020.xlsx]原始数据'!$B:$B,MATCH($A926,'[AQ_2020.xlsx]原始数据'!$A:$A,0)),""))</f>
        <v/>
      </c>
      <c r="C926">
        <f>IF($A926="","",IFERROR(INDEX('[AQ_2021.xlsx]原始数据'!$B:$B,MATCH($A926,'[AQ_2021.xlsx]原始数据'!$A:$A,0)),""))</f>
        <v/>
      </c>
      <c r="D926">
        <f>IF($A926="","",IFERROR(INDEX('[AQ_2022.xlsx]原始数据'!$B:$B,MATCH($A926,'[AQ_2022.xlsx]原始数据'!$A:$A,0)),""))</f>
        <v/>
      </c>
      <c r="E926">
        <f>IF($A926="","",IFERROR(INDEX('[AQ_2023.xlsx]原始数据'!$B:$B,MATCH($A926,'[AQ_2023.xlsx]原始数据'!$A:$A,0)),""))</f>
        <v/>
      </c>
      <c r="F926">
        <f>IF($A926="","",IFERROR(INDEX('[AQ_2024.xlsx]原始数据'!$B:$B,MATCH($A926,'[AQ_2024.xlsx]原始数据'!$A:$A,0)),""))</f>
        <v/>
      </c>
      <c r="G926">
        <f>IF($A926="","",IFERROR(INDEX('[AQ_2020.xlsx]原始数据'!$C:$C,MATCH($A926,'[AQ_2020.xlsx]原始数据'!$A:$A,0)),""))</f>
        <v/>
      </c>
      <c r="H926">
        <f>IF($A926="","",IFERROR(INDEX('[AQ_2021.xlsx]原始数据'!$C:$C,MATCH($A926,'[AQ_2021.xlsx]原始数据'!$A:$A,0)),""))</f>
        <v/>
      </c>
      <c r="I926">
        <f>IF($A926="","",IFERROR(INDEX('[AQ_2022.xlsx]原始数据'!$C:$C,MATCH($A926,'[AQ_2022.xlsx]原始数据'!$A:$A,0)),""))</f>
        <v/>
      </c>
      <c r="J926">
        <f>IF($A926="","",IFERROR(INDEX('[AQ_2023.xlsx]原始数据'!$C:$C,MATCH($A926,'[AQ_2023.xlsx]原始数据'!$A:$A,0)),""))</f>
        <v/>
      </c>
      <c r="K926">
        <f>IF($A926="","",IFERROR(INDEX('[AQ_2024.xlsx]原始数据'!$C:$C,MATCH($A926,'[AQ_2024.xlsx]原始数据'!$A:$A,0)),""))</f>
        <v/>
      </c>
      <c r="L926">
        <f>IF($A926="","",IFERROR(INDEX('[AQ_2020.xlsx]原始数据'!$D:$D,MATCH($A926,'[AQ_2020.xlsx]原始数据'!$A:$A,0)),""))</f>
        <v/>
      </c>
      <c r="M926">
        <f>IF($A926="","",IFERROR(INDEX('[AQ_2021.xlsx]原始数据'!$D:$D,MATCH($A926,'[AQ_2021.xlsx]原始数据'!$A:$A,0)),""))</f>
        <v/>
      </c>
      <c r="N926">
        <f>IF($A926="","",IFERROR(INDEX('[AQ_2022.xlsx]原始数据'!$D:$D,MATCH($A926,'[AQ_2022.xlsx]原始数据'!$A:$A,0)),""))</f>
        <v/>
      </c>
      <c r="O926">
        <f>IF($A926="","",IFERROR(INDEX('[AQ_2023.xlsx]原始数据'!$D:$D,MATCH($A926,'[AQ_2023.xlsx]原始数据'!$A:$A,0)),""))</f>
        <v/>
      </c>
      <c r="P926">
        <f>IF($A926="","",IFERROR(INDEX('[AQ_2024.xlsx]原始数据'!$D:$D,MATCH($A926,'[AQ_2024.xlsx]原始数据'!$A:$A,0)),""))</f>
        <v/>
      </c>
      <c r="Q926">
        <f>IF($A926="","",IFERROR(INDEX('[AQ_2020.xlsx]原始数据'!$E:$E,MATCH($A926,'[AQ_2020.xlsx]原始数据'!$A:$A,0)),""))</f>
        <v/>
      </c>
      <c r="R926">
        <f>IF($A926="","",IFERROR(INDEX('[AQ_2021.xlsx]原始数据'!$E:$E,MATCH($A926,'[AQ_2021.xlsx]原始数据'!$A:$A,0)),""))</f>
        <v/>
      </c>
      <c r="S926">
        <f>IF($A926="","",IFERROR(INDEX('[AQ_2022.xlsx]原始数据'!$E:$E,MATCH($A926,'[AQ_2022.xlsx]原始数据'!$A:$A,0)),""))</f>
        <v/>
      </c>
      <c r="T926">
        <f>IF($A926="","",IFERROR(INDEX('[AQ_2023.xlsx]原始数据'!$E:$E,MATCH($A926,'[AQ_2023.xlsx]原始数据'!$A:$A,0)),""))</f>
        <v/>
      </c>
      <c r="U926">
        <f>IF($A926="","",IFERROR(INDEX('[AQ_2024.xlsx]原始数据'!$E:$E,MATCH($A926,'[AQ_2024.xlsx]原始数据'!$A:$A,0)),""))</f>
        <v/>
      </c>
      <c r="V926">
        <f>IF($A926="","",IFERROR(INDEX('[AQ_2020.xlsx]原始数据'!$F:$F,MATCH($A926,'[AQ_2020.xlsx]原始数据'!$A:$A,0)),""))</f>
        <v/>
      </c>
      <c r="W926">
        <f>IF($A926="","",IFERROR(INDEX('[AQ_2021.xlsx]原始数据'!$F:$F,MATCH($A926,'[AQ_2021.xlsx]原始数据'!$A:$A,0)),""))</f>
        <v/>
      </c>
      <c r="X926">
        <f>IF($A926="","",IFERROR(INDEX('[AQ_2022.xlsx]原始数据'!$F:$F,MATCH($A926,'[AQ_2022.xlsx]原始数据'!$A:$A,0)),""))</f>
        <v/>
      </c>
      <c r="Y926">
        <f>IF($A926="","",IFERROR(INDEX('[AQ_2023.xlsx]原始数据'!$F:$F,MATCH($A926,'[AQ_2023.xlsx]原始数据'!$A:$A,0)),""))</f>
        <v/>
      </c>
      <c r="Z926">
        <f>IF($A926="","",IFERROR(INDEX('[AQ_2024.xlsx]原始数据'!$F:$F,MATCH($A926,'[AQ_2024.xlsx]原始数据'!$A:$A,0)),""))</f>
        <v/>
      </c>
      <c r="AA926" s="2">
        <f>IFERROR(G926/B926,"")</f>
        <v/>
      </c>
      <c r="AB926" s="2">
        <f>IFERROR(H926/C926,"")</f>
        <v/>
      </c>
      <c r="AC926" s="2">
        <f>IFERROR(I926/D926,"")</f>
        <v/>
      </c>
      <c r="AD926" s="2">
        <f>IFERROR(J926/E926,"")</f>
        <v/>
      </c>
      <c r="AE926" s="2">
        <f>IFERROR(K926/F926,"")</f>
        <v/>
      </c>
      <c r="AF926" s="2">
        <f>IFERROR(L926/B926,"")</f>
        <v/>
      </c>
      <c r="AG926" s="2">
        <f>IFERROR(M926/C926,"")</f>
        <v/>
      </c>
      <c r="AH926" s="2">
        <f>IFERROR(N926/D926,"")</f>
        <v/>
      </c>
      <c r="AI926" s="2">
        <f>IFERROR(O926/E926,"")</f>
        <v/>
      </c>
      <c r="AJ926" s="2">
        <f>IFERROR(P926/F926,"")</f>
        <v/>
      </c>
      <c r="AK926" s="2">
        <f>IFERROR(Q926/B926,"")</f>
        <v/>
      </c>
      <c r="AL926" s="2">
        <f>IFERROR(R926/C926,"")</f>
        <v/>
      </c>
      <c r="AM926" s="2">
        <f>IFERROR(S926/D926,"")</f>
        <v/>
      </c>
      <c r="AN926" s="2">
        <f>IFERROR(T926/E926,"")</f>
        <v/>
      </c>
      <c r="AO926" s="2">
        <f>IFERROR(U926/F926,"")</f>
        <v/>
      </c>
    </row>
    <row r="927">
      <c r="B927">
        <f>IF($A927="","",IFERROR(INDEX('[AQ_2020.xlsx]原始数据'!$B:$B,MATCH($A927,'[AQ_2020.xlsx]原始数据'!$A:$A,0)),""))</f>
        <v/>
      </c>
      <c r="C927">
        <f>IF($A927="","",IFERROR(INDEX('[AQ_2021.xlsx]原始数据'!$B:$B,MATCH($A927,'[AQ_2021.xlsx]原始数据'!$A:$A,0)),""))</f>
        <v/>
      </c>
      <c r="D927">
        <f>IF($A927="","",IFERROR(INDEX('[AQ_2022.xlsx]原始数据'!$B:$B,MATCH($A927,'[AQ_2022.xlsx]原始数据'!$A:$A,0)),""))</f>
        <v/>
      </c>
      <c r="E927">
        <f>IF($A927="","",IFERROR(INDEX('[AQ_2023.xlsx]原始数据'!$B:$B,MATCH($A927,'[AQ_2023.xlsx]原始数据'!$A:$A,0)),""))</f>
        <v/>
      </c>
      <c r="F927">
        <f>IF($A927="","",IFERROR(INDEX('[AQ_2024.xlsx]原始数据'!$B:$B,MATCH($A927,'[AQ_2024.xlsx]原始数据'!$A:$A,0)),""))</f>
        <v/>
      </c>
      <c r="G927">
        <f>IF($A927="","",IFERROR(INDEX('[AQ_2020.xlsx]原始数据'!$C:$C,MATCH($A927,'[AQ_2020.xlsx]原始数据'!$A:$A,0)),""))</f>
        <v/>
      </c>
      <c r="H927">
        <f>IF($A927="","",IFERROR(INDEX('[AQ_2021.xlsx]原始数据'!$C:$C,MATCH($A927,'[AQ_2021.xlsx]原始数据'!$A:$A,0)),""))</f>
        <v/>
      </c>
      <c r="I927">
        <f>IF($A927="","",IFERROR(INDEX('[AQ_2022.xlsx]原始数据'!$C:$C,MATCH($A927,'[AQ_2022.xlsx]原始数据'!$A:$A,0)),""))</f>
        <v/>
      </c>
      <c r="J927">
        <f>IF($A927="","",IFERROR(INDEX('[AQ_2023.xlsx]原始数据'!$C:$C,MATCH($A927,'[AQ_2023.xlsx]原始数据'!$A:$A,0)),""))</f>
        <v/>
      </c>
      <c r="K927">
        <f>IF($A927="","",IFERROR(INDEX('[AQ_2024.xlsx]原始数据'!$C:$C,MATCH($A927,'[AQ_2024.xlsx]原始数据'!$A:$A,0)),""))</f>
        <v/>
      </c>
      <c r="L927">
        <f>IF($A927="","",IFERROR(INDEX('[AQ_2020.xlsx]原始数据'!$D:$D,MATCH($A927,'[AQ_2020.xlsx]原始数据'!$A:$A,0)),""))</f>
        <v/>
      </c>
      <c r="M927">
        <f>IF($A927="","",IFERROR(INDEX('[AQ_2021.xlsx]原始数据'!$D:$D,MATCH($A927,'[AQ_2021.xlsx]原始数据'!$A:$A,0)),""))</f>
        <v/>
      </c>
      <c r="N927">
        <f>IF($A927="","",IFERROR(INDEX('[AQ_2022.xlsx]原始数据'!$D:$D,MATCH($A927,'[AQ_2022.xlsx]原始数据'!$A:$A,0)),""))</f>
        <v/>
      </c>
      <c r="O927">
        <f>IF($A927="","",IFERROR(INDEX('[AQ_2023.xlsx]原始数据'!$D:$D,MATCH($A927,'[AQ_2023.xlsx]原始数据'!$A:$A,0)),""))</f>
        <v/>
      </c>
      <c r="P927">
        <f>IF($A927="","",IFERROR(INDEX('[AQ_2024.xlsx]原始数据'!$D:$D,MATCH($A927,'[AQ_2024.xlsx]原始数据'!$A:$A,0)),""))</f>
        <v/>
      </c>
      <c r="Q927">
        <f>IF($A927="","",IFERROR(INDEX('[AQ_2020.xlsx]原始数据'!$E:$E,MATCH($A927,'[AQ_2020.xlsx]原始数据'!$A:$A,0)),""))</f>
        <v/>
      </c>
      <c r="R927">
        <f>IF($A927="","",IFERROR(INDEX('[AQ_2021.xlsx]原始数据'!$E:$E,MATCH($A927,'[AQ_2021.xlsx]原始数据'!$A:$A,0)),""))</f>
        <v/>
      </c>
      <c r="S927">
        <f>IF($A927="","",IFERROR(INDEX('[AQ_2022.xlsx]原始数据'!$E:$E,MATCH($A927,'[AQ_2022.xlsx]原始数据'!$A:$A,0)),""))</f>
        <v/>
      </c>
      <c r="T927">
        <f>IF($A927="","",IFERROR(INDEX('[AQ_2023.xlsx]原始数据'!$E:$E,MATCH($A927,'[AQ_2023.xlsx]原始数据'!$A:$A,0)),""))</f>
        <v/>
      </c>
      <c r="U927">
        <f>IF($A927="","",IFERROR(INDEX('[AQ_2024.xlsx]原始数据'!$E:$E,MATCH($A927,'[AQ_2024.xlsx]原始数据'!$A:$A,0)),""))</f>
        <v/>
      </c>
      <c r="V927">
        <f>IF($A927="","",IFERROR(INDEX('[AQ_2020.xlsx]原始数据'!$F:$F,MATCH($A927,'[AQ_2020.xlsx]原始数据'!$A:$A,0)),""))</f>
        <v/>
      </c>
      <c r="W927">
        <f>IF($A927="","",IFERROR(INDEX('[AQ_2021.xlsx]原始数据'!$F:$F,MATCH($A927,'[AQ_2021.xlsx]原始数据'!$A:$A,0)),""))</f>
        <v/>
      </c>
      <c r="X927">
        <f>IF($A927="","",IFERROR(INDEX('[AQ_2022.xlsx]原始数据'!$F:$F,MATCH($A927,'[AQ_2022.xlsx]原始数据'!$A:$A,0)),""))</f>
        <v/>
      </c>
      <c r="Y927">
        <f>IF($A927="","",IFERROR(INDEX('[AQ_2023.xlsx]原始数据'!$F:$F,MATCH($A927,'[AQ_2023.xlsx]原始数据'!$A:$A,0)),""))</f>
        <v/>
      </c>
      <c r="Z927">
        <f>IF($A927="","",IFERROR(INDEX('[AQ_2024.xlsx]原始数据'!$F:$F,MATCH($A927,'[AQ_2024.xlsx]原始数据'!$A:$A,0)),""))</f>
        <v/>
      </c>
      <c r="AA927" s="2">
        <f>IFERROR(G927/B927,"")</f>
        <v/>
      </c>
      <c r="AB927" s="2">
        <f>IFERROR(H927/C927,"")</f>
        <v/>
      </c>
      <c r="AC927" s="2">
        <f>IFERROR(I927/D927,"")</f>
        <v/>
      </c>
      <c r="AD927" s="2">
        <f>IFERROR(J927/E927,"")</f>
        <v/>
      </c>
      <c r="AE927" s="2">
        <f>IFERROR(K927/F927,"")</f>
        <v/>
      </c>
      <c r="AF927" s="2">
        <f>IFERROR(L927/B927,"")</f>
        <v/>
      </c>
      <c r="AG927" s="2">
        <f>IFERROR(M927/C927,"")</f>
        <v/>
      </c>
      <c r="AH927" s="2">
        <f>IFERROR(N927/D927,"")</f>
        <v/>
      </c>
      <c r="AI927" s="2">
        <f>IFERROR(O927/E927,"")</f>
        <v/>
      </c>
      <c r="AJ927" s="2">
        <f>IFERROR(P927/F927,"")</f>
        <v/>
      </c>
      <c r="AK927" s="2">
        <f>IFERROR(Q927/B927,"")</f>
        <v/>
      </c>
      <c r="AL927" s="2">
        <f>IFERROR(R927/C927,"")</f>
        <v/>
      </c>
      <c r="AM927" s="2">
        <f>IFERROR(S927/D927,"")</f>
        <v/>
      </c>
      <c r="AN927" s="2">
        <f>IFERROR(T927/E927,"")</f>
        <v/>
      </c>
      <c r="AO927" s="2">
        <f>IFERROR(U927/F927,"")</f>
        <v/>
      </c>
    </row>
    <row r="928">
      <c r="B928">
        <f>IF($A928="","",IFERROR(INDEX('[AQ_2020.xlsx]原始数据'!$B:$B,MATCH($A928,'[AQ_2020.xlsx]原始数据'!$A:$A,0)),""))</f>
        <v/>
      </c>
      <c r="C928">
        <f>IF($A928="","",IFERROR(INDEX('[AQ_2021.xlsx]原始数据'!$B:$B,MATCH($A928,'[AQ_2021.xlsx]原始数据'!$A:$A,0)),""))</f>
        <v/>
      </c>
      <c r="D928">
        <f>IF($A928="","",IFERROR(INDEX('[AQ_2022.xlsx]原始数据'!$B:$B,MATCH($A928,'[AQ_2022.xlsx]原始数据'!$A:$A,0)),""))</f>
        <v/>
      </c>
      <c r="E928">
        <f>IF($A928="","",IFERROR(INDEX('[AQ_2023.xlsx]原始数据'!$B:$B,MATCH($A928,'[AQ_2023.xlsx]原始数据'!$A:$A,0)),""))</f>
        <v/>
      </c>
      <c r="F928">
        <f>IF($A928="","",IFERROR(INDEX('[AQ_2024.xlsx]原始数据'!$B:$B,MATCH($A928,'[AQ_2024.xlsx]原始数据'!$A:$A,0)),""))</f>
        <v/>
      </c>
      <c r="G928">
        <f>IF($A928="","",IFERROR(INDEX('[AQ_2020.xlsx]原始数据'!$C:$C,MATCH($A928,'[AQ_2020.xlsx]原始数据'!$A:$A,0)),""))</f>
        <v/>
      </c>
      <c r="H928">
        <f>IF($A928="","",IFERROR(INDEX('[AQ_2021.xlsx]原始数据'!$C:$C,MATCH($A928,'[AQ_2021.xlsx]原始数据'!$A:$A,0)),""))</f>
        <v/>
      </c>
      <c r="I928">
        <f>IF($A928="","",IFERROR(INDEX('[AQ_2022.xlsx]原始数据'!$C:$C,MATCH($A928,'[AQ_2022.xlsx]原始数据'!$A:$A,0)),""))</f>
        <v/>
      </c>
      <c r="J928">
        <f>IF($A928="","",IFERROR(INDEX('[AQ_2023.xlsx]原始数据'!$C:$C,MATCH($A928,'[AQ_2023.xlsx]原始数据'!$A:$A,0)),""))</f>
        <v/>
      </c>
      <c r="K928">
        <f>IF($A928="","",IFERROR(INDEX('[AQ_2024.xlsx]原始数据'!$C:$C,MATCH($A928,'[AQ_2024.xlsx]原始数据'!$A:$A,0)),""))</f>
        <v/>
      </c>
      <c r="L928">
        <f>IF($A928="","",IFERROR(INDEX('[AQ_2020.xlsx]原始数据'!$D:$D,MATCH($A928,'[AQ_2020.xlsx]原始数据'!$A:$A,0)),""))</f>
        <v/>
      </c>
      <c r="M928">
        <f>IF($A928="","",IFERROR(INDEX('[AQ_2021.xlsx]原始数据'!$D:$D,MATCH($A928,'[AQ_2021.xlsx]原始数据'!$A:$A,0)),""))</f>
        <v/>
      </c>
      <c r="N928">
        <f>IF($A928="","",IFERROR(INDEX('[AQ_2022.xlsx]原始数据'!$D:$D,MATCH($A928,'[AQ_2022.xlsx]原始数据'!$A:$A,0)),""))</f>
        <v/>
      </c>
      <c r="O928">
        <f>IF($A928="","",IFERROR(INDEX('[AQ_2023.xlsx]原始数据'!$D:$D,MATCH($A928,'[AQ_2023.xlsx]原始数据'!$A:$A,0)),""))</f>
        <v/>
      </c>
      <c r="P928">
        <f>IF($A928="","",IFERROR(INDEX('[AQ_2024.xlsx]原始数据'!$D:$D,MATCH($A928,'[AQ_2024.xlsx]原始数据'!$A:$A,0)),""))</f>
        <v/>
      </c>
      <c r="Q928">
        <f>IF($A928="","",IFERROR(INDEX('[AQ_2020.xlsx]原始数据'!$E:$E,MATCH($A928,'[AQ_2020.xlsx]原始数据'!$A:$A,0)),""))</f>
        <v/>
      </c>
      <c r="R928">
        <f>IF($A928="","",IFERROR(INDEX('[AQ_2021.xlsx]原始数据'!$E:$E,MATCH($A928,'[AQ_2021.xlsx]原始数据'!$A:$A,0)),""))</f>
        <v/>
      </c>
      <c r="S928">
        <f>IF($A928="","",IFERROR(INDEX('[AQ_2022.xlsx]原始数据'!$E:$E,MATCH($A928,'[AQ_2022.xlsx]原始数据'!$A:$A,0)),""))</f>
        <v/>
      </c>
      <c r="T928">
        <f>IF($A928="","",IFERROR(INDEX('[AQ_2023.xlsx]原始数据'!$E:$E,MATCH($A928,'[AQ_2023.xlsx]原始数据'!$A:$A,0)),""))</f>
        <v/>
      </c>
      <c r="U928">
        <f>IF($A928="","",IFERROR(INDEX('[AQ_2024.xlsx]原始数据'!$E:$E,MATCH($A928,'[AQ_2024.xlsx]原始数据'!$A:$A,0)),""))</f>
        <v/>
      </c>
      <c r="V928">
        <f>IF($A928="","",IFERROR(INDEX('[AQ_2020.xlsx]原始数据'!$F:$F,MATCH($A928,'[AQ_2020.xlsx]原始数据'!$A:$A,0)),""))</f>
        <v/>
      </c>
      <c r="W928">
        <f>IF($A928="","",IFERROR(INDEX('[AQ_2021.xlsx]原始数据'!$F:$F,MATCH($A928,'[AQ_2021.xlsx]原始数据'!$A:$A,0)),""))</f>
        <v/>
      </c>
      <c r="X928">
        <f>IF($A928="","",IFERROR(INDEX('[AQ_2022.xlsx]原始数据'!$F:$F,MATCH($A928,'[AQ_2022.xlsx]原始数据'!$A:$A,0)),""))</f>
        <v/>
      </c>
      <c r="Y928">
        <f>IF($A928="","",IFERROR(INDEX('[AQ_2023.xlsx]原始数据'!$F:$F,MATCH($A928,'[AQ_2023.xlsx]原始数据'!$A:$A,0)),""))</f>
        <v/>
      </c>
      <c r="Z928">
        <f>IF($A928="","",IFERROR(INDEX('[AQ_2024.xlsx]原始数据'!$F:$F,MATCH($A928,'[AQ_2024.xlsx]原始数据'!$A:$A,0)),""))</f>
        <v/>
      </c>
      <c r="AA928" s="2">
        <f>IFERROR(G928/B928,"")</f>
        <v/>
      </c>
      <c r="AB928" s="2">
        <f>IFERROR(H928/C928,"")</f>
        <v/>
      </c>
      <c r="AC928" s="2">
        <f>IFERROR(I928/D928,"")</f>
        <v/>
      </c>
      <c r="AD928" s="2">
        <f>IFERROR(J928/E928,"")</f>
        <v/>
      </c>
      <c r="AE928" s="2">
        <f>IFERROR(K928/F928,"")</f>
        <v/>
      </c>
      <c r="AF928" s="2">
        <f>IFERROR(L928/B928,"")</f>
        <v/>
      </c>
      <c r="AG928" s="2">
        <f>IFERROR(M928/C928,"")</f>
        <v/>
      </c>
      <c r="AH928" s="2">
        <f>IFERROR(N928/D928,"")</f>
        <v/>
      </c>
      <c r="AI928" s="2">
        <f>IFERROR(O928/E928,"")</f>
        <v/>
      </c>
      <c r="AJ928" s="2">
        <f>IFERROR(P928/F928,"")</f>
        <v/>
      </c>
      <c r="AK928" s="2">
        <f>IFERROR(Q928/B928,"")</f>
        <v/>
      </c>
      <c r="AL928" s="2">
        <f>IFERROR(R928/C928,"")</f>
        <v/>
      </c>
      <c r="AM928" s="2">
        <f>IFERROR(S928/D928,"")</f>
        <v/>
      </c>
      <c r="AN928" s="2">
        <f>IFERROR(T928/E928,"")</f>
        <v/>
      </c>
      <c r="AO928" s="2">
        <f>IFERROR(U928/F928,"")</f>
        <v/>
      </c>
    </row>
    <row r="929">
      <c r="B929">
        <f>IF($A929="","",IFERROR(INDEX('[AQ_2020.xlsx]原始数据'!$B:$B,MATCH($A929,'[AQ_2020.xlsx]原始数据'!$A:$A,0)),""))</f>
        <v/>
      </c>
      <c r="C929">
        <f>IF($A929="","",IFERROR(INDEX('[AQ_2021.xlsx]原始数据'!$B:$B,MATCH($A929,'[AQ_2021.xlsx]原始数据'!$A:$A,0)),""))</f>
        <v/>
      </c>
      <c r="D929">
        <f>IF($A929="","",IFERROR(INDEX('[AQ_2022.xlsx]原始数据'!$B:$B,MATCH($A929,'[AQ_2022.xlsx]原始数据'!$A:$A,0)),""))</f>
        <v/>
      </c>
      <c r="E929">
        <f>IF($A929="","",IFERROR(INDEX('[AQ_2023.xlsx]原始数据'!$B:$B,MATCH($A929,'[AQ_2023.xlsx]原始数据'!$A:$A,0)),""))</f>
        <v/>
      </c>
      <c r="F929">
        <f>IF($A929="","",IFERROR(INDEX('[AQ_2024.xlsx]原始数据'!$B:$B,MATCH($A929,'[AQ_2024.xlsx]原始数据'!$A:$A,0)),""))</f>
        <v/>
      </c>
      <c r="G929">
        <f>IF($A929="","",IFERROR(INDEX('[AQ_2020.xlsx]原始数据'!$C:$C,MATCH($A929,'[AQ_2020.xlsx]原始数据'!$A:$A,0)),""))</f>
        <v/>
      </c>
      <c r="H929">
        <f>IF($A929="","",IFERROR(INDEX('[AQ_2021.xlsx]原始数据'!$C:$C,MATCH($A929,'[AQ_2021.xlsx]原始数据'!$A:$A,0)),""))</f>
        <v/>
      </c>
      <c r="I929">
        <f>IF($A929="","",IFERROR(INDEX('[AQ_2022.xlsx]原始数据'!$C:$C,MATCH($A929,'[AQ_2022.xlsx]原始数据'!$A:$A,0)),""))</f>
        <v/>
      </c>
      <c r="J929">
        <f>IF($A929="","",IFERROR(INDEX('[AQ_2023.xlsx]原始数据'!$C:$C,MATCH($A929,'[AQ_2023.xlsx]原始数据'!$A:$A,0)),""))</f>
        <v/>
      </c>
      <c r="K929">
        <f>IF($A929="","",IFERROR(INDEX('[AQ_2024.xlsx]原始数据'!$C:$C,MATCH($A929,'[AQ_2024.xlsx]原始数据'!$A:$A,0)),""))</f>
        <v/>
      </c>
      <c r="L929">
        <f>IF($A929="","",IFERROR(INDEX('[AQ_2020.xlsx]原始数据'!$D:$D,MATCH($A929,'[AQ_2020.xlsx]原始数据'!$A:$A,0)),""))</f>
        <v/>
      </c>
      <c r="M929">
        <f>IF($A929="","",IFERROR(INDEX('[AQ_2021.xlsx]原始数据'!$D:$D,MATCH($A929,'[AQ_2021.xlsx]原始数据'!$A:$A,0)),""))</f>
        <v/>
      </c>
      <c r="N929">
        <f>IF($A929="","",IFERROR(INDEX('[AQ_2022.xlsx]原始数据'!$D:$D,MATCH($A929,'[AQ_2022.xlsx]原始数据'!$A:$A,0)),""))</f>
        <v/>
      </c>
      <c r="O929">
        <f>IF($A929="","",IFERROR(INDEX('[AQ_2023.xlsx]原始数据'!$D:$D,MATCH($A929,'[AQ_2023.xlsx]原始数据'!$A:$A,0)),""))</f>
        <v/>
      </c>
      <c r="P929">
        <f>IF($A929="","",IFERROR(INDEX('[AQ_2024.xlsx]原始数据'!$D:$D,MATCH($A929,'[AQ_2024.xlsx]原始数据'!$A:$A,0)),""))</f>
        <v/>
      </c>
      <c r="Q929">
        <f>IF($A929="","",IFERROR(INDEX('[AQ_2020.xlsx]原始数据'!$E:$E,MATCH($A929,'[AQ_2020.xlsx]原始数据'!$A:$A,0)),""))</f>
        <v/>
      </c>
      <c r="R929">
        <f>IF($A929="","",IFERROR(INDEX('[AQ_2021.xlsx]原始数据'!$E:$E,MATCH($A929,'[AQ_2021.xlsx]原始数据'!$A:$A,0)),""))</f>
        <v/>
      </c>
      <c r="S929">
        <f>IF($A929="","",IFERROR(INDEX('[AQ_2022.xlsx]原始数据'!$E:$E,MATCH($A929,'[AQ_2022.xlsx]原始数据'!$A:$A,0)),""))</f>
        <v/>
      </c>
      <c r="T929">
        <f>IF($A929="","",IFERROR(INDEX('[AQ_2023.xlsx]原始数据'!$E:$E,MATCH($A929,'[AQ_2023.xlsx]原始数据'!$A:$A,0)),""))</f>
        <v/>
      </c>
      <c r="U929">
        <f>IF($A929="","",IFERROR(INDEX('[AQ_2024.xlsx]原始数据'!$E:$E,MATCH($A929,'[AQ_2024.xlsx]原始数据'!$A:$A,0)),""))</f>
        <v/>
      </c>
      <c r="V929">
        <f>IF($A929="","",IFERROR(INDEX('[AQ_2020.xlsx]原始数据'!$F:$F,MATCH($A929,'[AQ_2020.xlsx]原始数据'!$A:$A,0)),""))</f>
        <v/>
      </c>
      <c r="W929">
        <f>IF($A929="","",IFERROR(INDEX('[AQ_2021.xlsx]原始数据'!$F:$F,MATCH($A929,'[AQ_2021.xlsx]原始数据'!$A:$A,0)),""))</f>
        <v/>
      </c>
      <c r="X929">
        <f>IF($A929="","",IFERROR(INDEX('[AQ_2022.xlsx]原始数据'!$F:$F,MATCH($A929,'[AQ_2022.xlsx]原始数据'!$A:$A,0)),""))</f>
        <v/>
      </c>
      <c r="Y929">
        <f>IF($A929="","",IFERROR(INDEX('[AQ_2023.xlsx]原始数据'!$F:$F,MATCH($A929,'[AQ_2023.xlsx]原始数据'!$A:$A,0)),""))</f>
        <v/>
      </c>
      <c r="Z929">
        <f>IF($A929="","",IFERROR(INDEX('[AQ_2024.xlsx]原始数据'!$F:$F,MATCH($A929,'[AQ_2024.xlsx]原始数据'!$A:$A,0)),""))</f>
        <v/>
      </c>
      <c r="AA929" s="2">
        <f>IFERROR(G929/B929,"")</f>
        <v/>
      </c>
      <c r="AB929" s="2">
        <f>IFERROR(H929/C929,"")</f>
        <v/>
      </c>
      <c r="AC929" s="2">
        <f>IFERROR(I929/D929,"")</f>
        <v/>
      </c>
      <c r="AD929" s="2">
        <f>IFERROR(J929/E929,"")</f>
        <v/>
      </c>
      <c r="AE929" s="2">
        <f>IFERROR(K929/F929,"")</f>
        <v/>
      </c>
      <c r="AF929" s="2">
        <f>IFERROR(L929/B929,"")</f>
        <v/>
      </c>
      <c r="AG929" s="2">
        <f>IFERROR(M929/C929,"")</f>
        <v/>
      </c>
      <c r="AH929" s="2">
        <f>IFERROR(N929/D929,"")</f>
        <v/>
      </c>
      <c r="AI929" s="2">
        <f>IFERROR(O929/E929,"")</f>
        <v/>
      </c>
      <c r="AJ929" s="2">
        <f>IFERROR(P929/F929,"")</f>
        <v/>
      </c>
      <c r="AK929" s="2">
        <f>IFERROR(Q929/B929,"")</f>
        <v/>
      </c>
      <c r="AL929" s="2">
        <f>IFERROR(R929/C929,"")</f>
        <v/>
      </c>
      <c r="AM929" s="2">
        <f>IFERROR(S929/D929,"")</f>
        <v/>
      </c>
      <c r="AN929" s="2">
        <f>IFERROR(T929/E929,"")</f>
        <v/>
      </c>
      <c r="AO929" s="2">
        <f>IFERROR(U929/F929,"")</f>
        <v/>
      </c>
    </row>
    <row r="930">
      <c r="B930">
        <f>IF($A930="","",IFERROR(INDEX('[AQ_2020.xlsx]原始数据'!$B:$B,MATCH($A930,'[AQ_2020.xlsx]原始数据'!$A:$A,0)),""))</f>
        <v/>
      </c>
      <c r="C930">
        <f>IF($A930="","",IFERROR(INDEX('[AQ_2021.xlsx]原始数据'!$B:$B,MATCH($A930,'[AQ_2021.xlsx]原始数据'!$A:$A,0)),""))</f>
        <v/>
      </c>
      <c r="D930">
        <f>IF($A930="","",IFERROR(INDEX('[AQ_2022.xlsx]原始数据'!$B:$B,MATCH($A930,'[AQ_2022.xlsx]原始数据'!$A:$A,0)),""))</f>
        <v/>
      </c>
      <c r="E930">
        <f>IF($A930="","",IFERROR(INDEX('[AQ_2023.xlsx]原始数据'!$B:$B,MATCH($A930,'[AQ_2023.xlsx]原始数据'!$A:$A,0)),""))</f>
        <v/>
      </c>
      <c r="F930">
        <f>IF($A930="","",IFERROR(INDEX('[AQ_2024.xlsx]原始数据'!$B:$B,MATCH($A930,'[AQ_2024.xlsx]原始数据'!$A:$A,0)),""))</f>
        <v/>
      </c>
      <c r="G930">
        <f>IF($A930="","",IFERROR(INDEX('[AQ_2020.xlsx]原始数据'!$C:$C,MATCH($A930,'[AQ_2020.xlsx]原始数据'!$A:$A,0)),""))</f>
        <v/>
      </c>
      <c r="H930">
        <f>IF($A930="","",IFERROR(INDEX('[AQ_2021.xlsx]原始数据'!$C:$C,MATCH($A930,'[AQ_2021.xlsx]原始数据'!$A:$A,0)),""))</f>
        <v/>
      </c>
      <c r="I930">
        <f>IF($A930="","",IFERROR(INDEX('[AQ_2022.xlsx]原始数据'!$C:$C,MATCH($A930,'[AQ_2022.xlsx]原始数据'!$A:$A,0)),""))</f>
        <v/>
      </c>
      <c r="J930">
        <f>IF($A930="","",IFERROR(INDEX('[AQ_2023.xlsx]原始数据'!$C:$C,MATCH($A930,'[AQ_2023.xlsx]原始数据'!$A:$A,0)),""))</f>
        <v/>
      </c>
      <c r="K930">
        <f>IF($A930="","",IFERROR(INDEX('[AQ_2024.xlsx]原始数据'!$C:$C,MATCH($A930,'[AQ_2024.xlsx]原始数据'!$A:$A,0)),""))</f>
        <v/>
      </c>
      <c r="L930">
        <f>IF($A930="","",IFERROR(INDEX('[AQ_2020.xlsx]原始数据'!$D:$D,MATCH($A930,'[AQ_2020.xlsx]原始数据'!$A:$A,0)),""))</f>
        <v/>
      </c>
      <c r="M930">
        <f>IF($A930="","",IFERROR(INDEX('[AQ_2021.xlsx]原始数据'!$D:$D,MATCH($A930,'[AQ_2021.xlsx]原始数据'!$A:$A,0)),""))</f>
        <v/>
      </c>
      <c r="N930">
        <f>IF($A930="","",IFERROR(INDEX('[AQ_2022.xlsx]原始数据'!$D:$D,MATCH($A930,'[AQ_2022.xlsx]原始数据'!$A:$A,0)),""))</f>
        <v/>
      </c>
      <c r="O930">
        <f>IF($A930="","",IFERROR(INDEX('[AQ_2023.xlsx]原始数据'!$D:$D,MATCH($A930,'[AQ_2023.xlsx]原始数据'!$A:$A,0)),""))</f>
        <v/>
      </c>
      <c r="P930">
        <f>IF($A930="","",IFERROR(INDEX('[AQ_2024.xlsx]原始数据'!$D:$D,MATCH($A930,'[AQ_2024.xlsx]原始数据'!$A:$A,0)),""))</f>
        <v/>
      </c>
      <c r="Q930">
        <f>IF($A930="","",IFERROR(INDEX('[AQ_2020.xlsx]原始数据'!$E:$E,MATCH($A930,'[AQ_2020.xlsx]原始数据'!$A:$A,0)),""))</f>
        <v/>
      </c>
      <c r="R930">
        <f>IF($A930="","",IFERROR(INDEX('[AQ_2021.xlsx]原始数据'!$E:$E,MATCH($A930,'[AQ_2021.xlsx]原始数据'!$A:$A,0)),""))</f>
        <v/>
      </c>
      <c r="S930">
        <f>IF($A930="","",IFERROR(INDEX('[AQ_2022.xlsx]原始数据'!$E:$E,MATCH($A930,'[AQ_2022.xlsx]原始数据'!$A:$A,0)),""))</f>
        <v/>
      </c>
      <c r="T930">
        <f>IF($A930="","",IFERROR(INDEX('[AQ_2023.xlsx]原始数据'!$E:$E,MATCH($A930,'[AQ_2023.xlsx]原始数据'!$A:$A,0)),""))</f>
        <v/>
      </c>
      <c r="U930">
        <f>IF($A930="","",IFERROR(INDEX('[AQ_2024.xlsx]原始数据'!$E:$E,MATCH($A930,'[AQ_2024.xlsx]原始数据'!$A:$A,0)),""))</f>
        <v/>
      </c>
      <c r="V930">
        <f>IF($A930="","",IFERROR(INDEX('[AQ_2020.xlsx]原始数据'!$F:$F,MATCH($A930,'[AQ_2020.xlsx]原始数据'!$A:$A,0)),""))</f>
        <v/>
      </c>
      <c r="W930">
        <f>IF($A930="","",IFERROR(INDEX('[AQ_2021.xlsx]原始数据'!$F:$F,MATCH($A930,'[AQ_2021.xlsx]原始数据'!$A:$A,0)),""))</f>
        <v/>
      </c>
      <c r="X930">
        <f>IF($A930="","",IFERROR(INDEX('[AQ_2022.xlsx]原始数据'!$F:$F,MATCH($A930,'[AQ_2022.xlsx]原始数据'!$A:$A,0)),""))</f>
        <v/>
      </c>
      <c r="Y930">
        <f>IF($A930="","",IFERROR(INDEX('[AQ_2023.xlsx]原始数据'!$F:$F,MATCH($A930,'[AQ_2023.xlsx]原始数据'!$A:$A,0)),""))</f>
        <v/>
      </c>
      <c r="Z930">
        <f>IF($A930="","",IFERROR(INDEX('[AQ_2024.xlsx]原始数据'!$F:$F,MATCH($A930,'[AQ_2024.xlsx]原始数据'!$A:$A,0)),""))</f>
        <v/>
      </c>
      <c r="AA930" s="2">
        <f>IFERROR(G930/B930,"")</f>
        <v/>
      </c>
      <c r="AB930" s="2">
        <f>IFERROR(H930/C930,"")</f>
        <v/>
      </c>
      <c r="AC930" s="2">
        <f>IFERROR(I930/D930,"")</f>
        <v/>
      </c>
      <c r="AD930" s="2">
        <f>IFERROR(J930/E930,"")</f>
        <v/>
      </c>
      <c r="AE930" s="2">
        <f>IFERROR(K930/F930,"")</f>
        <v/>
      </c>
      <c r="AF930" s="2">
        <f>IFERROR(L930/B930,"")</f>
        <v/>
      </c>
      <c r="AG930" s="2">
        <f>IFERROR(M930/C930,"")</f>
        <v/>
      </c>
      <c r="AH930" s="2">
        <f>IFERROR(N930/D930,"")</f>
        <v/>
      </c>
      <c r="AI930" s="2">
        <f>IFERROR(O930/E930,"")</f>
        <v/>
      </c>
      <c r="AJ930" s="2">
        <f>IFERROR(P930/F930,"")</f>
        <v/>
      </c>
      <c r="AK930" s="2">
        <f>IFERROR(Q930/B930,"")</f>
        <v/>
      </c>
      <c r="AL930" s="2">
        <f>IFERROR(R930/C930,"")</f>
        <v/>
      </c>
      <c r="AM930" s="2">
        <f>IFERROR(S930/D930,"")</f>
        <v/>
      </c>
      <c r="AN930" s="2">
        <f>IFERROR(T930/E930,"")</f>
        <v/>
      </c>
      <c r="AO930" s="2">
        <f>IFERROR(U930/F930,"")</f>
        <v/>
      </c>
    </row>
    <row r="931">
      <c r="B931">
        <f>IF($A931="","",IFERROR(INDEX('[AQ_2020.xlsx]原始数据'!$B:$B,MATCH($A931,'[AQ_2020.xlsx]原始数据'!$A:$A,0)),""))</f>
        <v/>
      </c>
      <c r="C931">
        <f>IF($A931="","",IFERROR(INDEX('[AQ_2021.xlsx]原始数据'!$B:$B,MATCH($A931,'[AQ_2021.xlsx]原始数据'!$A:$A,0)),""))</f>
        <v/>
      </c>
      <c r="D931">
        <f>IF($A931="","",IFERROR(INDEX('[AQ_2022.xlsx]原始数据'!$B:$B,MATCH($A931,'[AQ_2022.xlsx]原始数据'!$A:$A,0)),""))</f>
        <v/>
      </c>
      <c r="E931">
        <f>IF($A931="","",IFERROR(INDEX('[AQ_2023.xlsx]原始数据'!$B:$B,MATCH($A931,'[AQ_2023.xlsx]原始数据'!$A:$A,0)),""))</f>
        <v/>
      </c>
      <c r="F931">
        <f>IF($A931="","",IFERROR(INDEX('[AQ_2024.xlsx]原始数据'!$B:$B,MATCH($A931,'[AQ_2024.xlsx]原始数据'!$A:$A,0)),""))</f>
        <v/>
      </c>
      <c r="G931">
        <f>IF($A931="","",IFERROR(INDEX('[AQ_2020.xlsx]原始数据'!$C:$C,MATCH($A931,'[AQ_2020.xlsx]原始数据'!$A:$A,0)),""))</f>
        <v/>
      </c>
      <c r="H931">
        <f>IF($A931="","",IFERROR(INDEX('[AQ_2021.xlsx]原始数据'!$C:$C,MATCH($A931,'[AQ_2021.xlsx]原始数据'!$A:$A,0)),""))</f>
        <v/>
      </c>
      <c r="I931">
        <f>IF($A931="","",IFERROR(INDEX('[AQ_2022.xlsx]原始数据'!$C:$C,MATCH($A931,'[AQ_2022.xlsx]原始数据'!$A:$A,0)),""))</f>
        <v/>
      </c>
      <c r="J931">
        <f>IF($A931="","",IFERROR(INDEX('[AQ_2023.xlsx]原始数据'!$C:$C,MATCH($A931,'[AQ_2023.xlsx]原始数据'!$A:$A,0)),""))</f>
        <v/>
      </c>
      <c r="K931">
        <f>IF($A931="","",IFERROR(INDEX('[AQ_2024.xlsx]原始数据'!$C:$C,MATCH($A931,'[AQ_2024.xlsx]原始数据'!$A:$A,0)),""))</f>
        <v/>
      </c>
      <c r="L931">
        <f>IF($A931="","",IFERROR(INDEX('[AQ_2020.xlsx]原始数据'!$D:$D,MATCH($A931,'[AQ_2020.xlsx]原始数据'!$A:$A,0)),""))</f>
        <v/>
      </c>
      <c r="M931">
        <f>IF($A931="","",IFERROR(INDEX('[AQ_2021.xlsx]原始数据'!$D:$D,MATCH($A931,'[AQ_2021.xlsx]原始数据'!$A:$A,0)),""))</f>
        <v/>
      </c>
      <c r="N931">
        <f>IF($A931="","",IFERROR(INDEX('[AQ_2022.xlsx]原始数据'!$D:$D,MATCH($A931,'[AQ_2022.xlsx]原始数据'!$A:$A,0)),""))</f>
        <v/>
      </c>
      <c r="O931">
        <f>IF($A931="","",IFERROR(INDEX('[AQ_2023.xlsx]原始数据'!$D:$D,MATCH($A931,'[AQ_2023.xlsx]原始数据'!$A:$A,0)),""))</f>
        <v/>
      </c>
      <c r="P931">
        <f>IF($A931="","",IFERROR(INDEX('[AQ_2024.xlsx]原始数据'!$D:$D,MATCH($A931,'[AQ_2024.xlsx]原始数据'!$A:$A,0)),""))</f>
        <v/>
      </c>
      <c r="Q931">
        <f>IF($A931="","",IFERROR(INDEX('[AQ_2020.xlsx]原始数据'!$E:$E,MATCH($A931,'[AQ_2020.xlsx]原始数据'!$A:$A,0)),""))</f>
        <v/>
      </c>
      <c r="R931">
        <f>IF($A931="","",IFERROR(INDEX('[AQ_2021.xlsx]原始数据'!$E:$E,MATCH($A931,'[AQ_2021.xlsx]原始数据'!$A:$A,0)),""))</f>
        <v/>
      </c>
      <c r="S931">
        <f>IF($A931="","",IFERROR(INDEX('[AQ_2022.xlsx]原始数据'!$E:$E,MATCH($A931,'[AQ_2022.xlsx]原始数据'!$A:$A,0)),""))</f>
        <v/>
      </c>
      <c r="T931">
        <f>IF($A931="","",IFERROR(INDEX('[AQ_2023.xlsx]原始数据'!$E:$E,MATCH($A931,'[AQ_2023.xlsx]原始数据'!$A:$A,0)),""))</f>
        <v/>
      </c>
      <c r="U931">
        <f>IF($A931="","",IFERROR(INDEX('[AQ_2024.xlsx]原始数据'!$E:$E,MATCH($A931,'[AQ_2024.xlsx]原始数据'!$A:$A,0)),""))</f>
        <v/>
      </c>
      <c r="V931">
        <f>IF($A931="","",IFERROR(INDEX('[AQ_2020.xlsx]原始数据'!$F:$F,MATCH($A931,'[AQ_2020.xlsx]原始数据'!$A:$A,0)),""))</f>
        <v/>
      </c>
      <c r="W931">
        <f>IF($A931="","",IFERROR(INDEX('[AQ_2021.xlsx]原始数据'!$F:$F,MATCH($A931,'[AQ_2021.xlsx]原始数据'!$A:$A,0)),""))</f>
        <v/>
      </c>
      <c r="X931">
        <f>IF($A931="","",IFERROR(INDEX('[AQ_2022.xlsx]原始数据'!$F:$F,MATCH($A931,'[AQ_2022.xlsx]原始数据'!$A:$A,0)),""))</f>
        <v/>
      </c>
      <c r="Y931">
        <f>IF($A931="","",IFERROR(INDEX('[AQ_2023.xlsx]原始数据'!$F:$F,MATCH($A931,'[AQ_2023.xlsx]原始数据'!$A:$A,0)),""))</f>
        <v/>
      </c>
      <c r="Z931">
        <f>IF($A931="","",IFERROR(INDEX('[AQ_2024.xlsx]原始数据'!$F:$F,MATCH($A931,'[AQ_2024.xlsx]原始数据'!$A:$A,0)),""))</f>
        <v/>
      </c>
      <c r="AA931" s="2">
        <f>IFERROR(G931/B931,"")</f>
        <v/>
      </c>
      <c r="AB931" s="2">
        <f>IFERROR(H931/C931,"")</f>
        <v/>
      </c>
      <c r="AC931" s="2">
        <f>IFERROR(I931/D931,"")</f>
        <v/>
      </c>
      <c r="AD931" s="2">
        <f>IFERROR(J931/E931,"")</f>
        <v/>
      </c>
      <c r="AE931" s="2">
        <f>IFERROR(K931/F931,"")</f>
        <v/>
      </c>
      <c r="AF931" s="2">
        <f>IFERROR(L931/B931,"")</f>
        <v/>
      </c>
      <c r="AG931" s="2">
        <f>IFERROR(M931/C931,"")</f>
        <v/>
      </c>
      <c r="AH931" s="2">
        <f>IFERROR(N931/D931,"")</f>
        <v/>
      </c>
      <c r="AI931" s="2">
        <f>IFERROR(O931/E931,"")</f>
        <v/>
      </c>
      <c r="AJ931" s="2">
        <f>IFERROR(P931/F931,"")</f>
        <v/>
      </c>
      <c r="AK931" s="2">
        <f>IFERROR(Q931/B931,"")</f>
        <v/>
      </c>
      <c r="AL931" s="2">
        <f>IFERROR(R931/C931,"")</f>
        <v/>
      </c>
      <c r="AM931" s="2">
        <f>IFERROR(S931/D931,"")</f>
        <v/>
      </c>
      <c r="AN931" s="2">
        <f>IFERROR(T931/E931,"")</f>
        <v/>
      </c>
      <c r="AO931" s="2">
        <f>IFERROR(U931/F931,"")</f>
        <v/>
      </c>
    </row>
    <row r="932">
      <c r="B932">
        <f>IF($A932="","",IFERROR(INDEX('[AQ_2020.xlsx]原始数据'!$B:$B,MATCH($A932,'[AQ_2020.xlsx]原始数据'!$A:$A,0)),""))</f>
        <v/>
      </c>
      <c r="C932">
        <f>IF($A932="","",IFERROR(INDEX('[AQ_2021.xlsx]原始数据'!$B:$B,MATCH($A932,'[AQ_2021.xlsx]原始数据'!$A:$A,0)),""))</f>
        <v/>
      </c>
      <c r="D932">
        <f>IF($A932="","",IFERROR(INDEX('[AQ_2022.xlsx]原始数据'!$B:$B,MATCH($A932,'[AQ_2022.xlsx]原始数据'!$A:$A,0)),""))</f>
        <v/>
      </c>
      <c r="E932">
        <f>IF($A932="","",IFERROR(INDEX('[AQ_2023.xlsx]原始数据'!$B:$B,MATCH($A932,'[AQ_2023.xlsx]原始数据'!$A:$A,0)),""))</f>
        <v/>
      </c>
      <c r="F932">
        <f>IF($A932="","",IFERROR(INDEX('[AQ_2024.xlsx]原始数据'!$B:$B,MATCH($A932,'[AQ_2024.xlsx]原始数据'!$A:$A,0)),""))</f>
        <v/>
      </c>
      <c r="G932">
        <f>IF($A932="","",IFERROR(INDEX('[AQ_2020.xlsx]原始数据'!$C:$C,MATCH($A932,'[AQ_2020.xlsx]原始数据'!$A:$A,0)),""))</f>
        <v/>
      </c>
      <c r="H932">
        <f>IF($A932="","",IFERROR(INDEX('[AQ_2021.xlsx]原始数据'!$C:$C,MATCH($A932,'[AQ_2021.xlsx]原始数据'!$A:$A,0)),""))</f>
        <v/>
      </c>
      <c r="I932">
        <f>IF($A932="","",IFERROR(INDEX('[AQ_2022.xlsx]原始数据'!$C:$C,MATCH($A932,'[AQ_2022.xlsx]原始数据'!$A:$A,0)),""))</f>
        <v/>
      </c>
      <c r="J932">
        <f>IF($A932="","",IFERROR(INDEX('[AQ_2023.xlsx]原始数据'!$C:$C,MATCH($A932,'[AQ_2023.xlsx]原始数据'!$A:$A,0)),""))</f>
        <v/>
      </c>
      <c r="K932">
        <f>IF($A932="","",IFERROR(INDEX('[AQ_2024.xlsx]原始数据'!$C:$C,MATCH($A932,'[AQ_2024.xlsx]原始数据'!$A:$A,0)),""))</f>
        <v/>
      </c>
      <c r="L932">
        <f>IF($A932="","",IFERROR(INDEX('[AQ_2020.xlsx]原始数据'!$D:$D,MATCH($A932,'[AQ_2020.xlsx]原始数据'!$A:$A,0)),""))</f>
        <v/>
      </c>
      <c r="M932">
        <f>IF($A932="","",IFERROR(INDEX('[AQ_2021.xlsx]原始数据'!$D:$D,MATCH($A932,'[AQ_2021.xlsx]原始数据'!$A:$A,0)),""))</f>
        <v/>
      </c>
      <c r="N932">
        <f>IF($A932="","",IFERROR(INDEX('[AQ_2022.xlsx]原始数据'!$D:$D,MATCH($A932,'[AQ_2022.xlsx]原始数据'!$A:$A,0)),""))</f>
        <v/>
      </c>
      <c r="O932">
        <f>IF($A932="","",IFERROR(INDEX('[AQ_2023.xlsx]原始数据'!$D:$D,MATCH($A932,'[AQ_2023.xlsx]原始数据'!$A:$A,0)),""))</f>
        <v/>
      </c>
      <c r="P932">
        <f>IF($A932="","",IFERROR(INDEX('[AQ_2024.xlsx]原始数据'!$D:$D,MATCH($A932,'[AQ_2024.xlsx]原始数据'!$A:$A,0)),""))</f>
        <v/>
      </c>
      <c r="Q932">
        <f>IF($A932="","",IFERROR(INDEX('[AQ_2020.xlsx]原始数据'!$E:$E,MATCH($A932,'[AQ_2020.xlsx]原始数据'!$A:$A,0)),""))</f>
        <v/>
      </c>
      <c r="R932">
        <f>IF($A932="","",IFERROR(INDEX('[AQ_2021.xlsx]原始数据'!$E:$E,MATCH($A932,'[AQ_2021.xlsx]原始数据'!$A:$A,0)),""))</f>
        <v/>
      </c>
      <c r="S932">
        <f>IF($A932="","",IFERROR(INDEX('[AQ_2022.xlsx]原始数据'!$E:$E,MATCH($A932,'[AQ_2022.xlsx]原始数据'!$A:$A,0)),""))</f>
        <v/>
      </c>
      <c r="T932">
        <f>IF($A932="","",IFERROR(INDEX('[AQ_2023.xlsx]原始数据'!$E:$E,MATCH($A932,'[AQ_2023.xlsx]原始数据'!$A:$A,0)),""))</f>
        <v/>
      </c>
      <c r="U932">
        <f>IF($A932="","",IFERROR(INDEX('[AQ_2024.xlsx]原始数据'!$E:$E,MATCH($A932,'[AQ_2024.xlsx]原始数据'!$A:$A,0)),""))</f>
        <v/>
      </c>
      <c r="V932">
        <f>IF($A932="","",IFERROR(INDEX('[AQ_2020.xlsx]原始数据'!$F:$F,MATCH($A932,'[AQ_2020.xlsx]原始数据'!$A:$A,0)),""))</f>
        <v/>
      </c>
      <c r="W932">
        <f>IF($A932="","",IFERROR(INDEX('[AQ_2021.xlsx]原始数据'!$F:$F,MATCH($A932,'[AQ_2021.xlsx]原始数据'!$A:$A,0)),""))</f>
        <v/>
      </c>
      <c r="X932">
        <f>IF($A932="","",IFERROR(INDEX('[AQ_2022.xlsx]原始数据'!$F:$F,MATCH($A932,'[AQ_2022.xlsx]原始数据'!$A:$A,0)),""))</f>
        <v/>
      </c>
      <c r="Y932">
        <f>IF($A932="","",IFERROR(INDEX('[AQ_2023.xlsx]原始数据'!$F:$F,MATCH($A932,'[AQ_2023.xlsx]原始数据'!$A:$A,0)),""))</f>
        <v/>
      </c>
      <c r="Z932">
        <f>IF($A932="","",IFERROR(INDEX('[AQ_2024.xlsx]原始数据'!$F:$F,MATCH($A932,'[AQ_2024.xlsx]原始数据'!$A:$A,0)),""))</f>
        <v/>
      </c>
      <c r="AA932" s="2">
        <f>IFERROR(G932/B932,"")</f>
        <v/>
      </c>
      <c r="AB932" s="2">
        <f>IFERROR(H932/C932,"")</f>
        <v/>
      </c>
      <c r="AC932" s="2">
        <f>IFERROR(I932/D932,"")</f>
        <v/>
      </c>
      <c r="AD932" s="2">
        <f>IFERROR(J932/E932,"")</f>
        <v/>
      </c>
      <c r="AE932" s="2">
        <f>IFERROR(K932/F932,"")</f>
        <v/>
      </c>
      <c r="AF932" s="2">
        <f>IFERROR(L932/B932,"")</f>
        <v/>
      </c>
      <c r="AG932" s="2">
        <f>IFERROR(M932/C932,"")</f>
        <v/>
      </c>
      <c r="AH932" s="2">
        <f>IFERROR(N932/D932,"")</f>
        <v/>
      </c>
      <c r="AI932" s="2">
        <f>IFERROR(O932/E932,"")</f>
        <v/>
      </c>
      <c r="AJ932" s="2">
        <f>IFERROR(P932/F932,"")</f>
        <v/>
      </c>
      <c r="AK932" s="2">
        <f>IFERROR(Q932/B932,"")</f>
        <v/>
      </c>
      <c r="AL932" s="2">
        <f>IFERROR(R932/C932,"")</f>
        <v/>
      </c>
      <c r="AM932" s="2">
        <f>IFERROR(S932/D932,"")</f>
        <v/>
      </c>
      <c r="AN932" s="2">
        <f>IFERROR(T932/E932,"")</f>
        <v/>
      </c>
      <c r="AO932" s="2">
        <f>IFERROR(U932/F932,"")</f>
        <v/>
      </c>
    </row>
    <row r="933">
      <c r="B933">
        <f>IF($A933="","",IFERROR(INDEX('[AQ_2020.xlsx]原始数据'!$B:$B,MATCH($A933,'[AQ_2020.xlsx]原始数据'!$A:$A,0)),""))</f>
        <v/>
      </c>
      <c r="C933">
        <f>IF($A933="","",IFERROR(INDEX('[AQ_2021.xlsx]原始数据'!$B:$B,MATCH($A933,'[AQ_2021.xlsx]原始数据'!$A:$A,0)),""))</f>
        <v/>
      </c>
      <c r="D933">
        <f>IF($A933="","",IFERROR(INDEX('[AQ_2022.xlsx]原始数据'!$B:$B,MATCH($A933,'[AQ_2022.xlsx]原始数据'!$A:$A,0)),""))</f>
        <v/>
      </c>
      <c r="E933">
        <f>IF($A933="","",IFERROR(INDEX('[AQ_2023.xlsx]原始数据'!$B:$B,MATCH($A933,'[AQ_2023.xlsx]原始数据'!$A:$A,0)),""))</f>
        <v/>
      </c>
      <c r="F933">
        <f>IF($A933="","",IFERROR(INDEX('[AQ_2024.xlsx]原始数据'!$B:$B,MATCH($A933,'[AQ_2024.xlsx]原始数据'!$A:$A,0)),""))</f>
        <v/>
      </c>
      <c r="G933">
        <f>IF($A933="","",IFERROR(INDEX('[AQ_2020.xlsx]原始数据'!$C:$C,MATCH($A933,'[AQ_2020.xlsx]原始数据'!$A:$A,0)),""))</f>
        <v/>
      </c>
      <c r="H933">
        <f>IF($A933="","",IFERROR(INDEX('[AQ_2021.xlsx]原始数据'!$C:$C,MATCH($A933,'[AQ_2021.xlsx]原始数据'!$A:$A,0)),""))</f>
        <v/>
      </c>
      <c r="I933">
        <f>IF($A933="","",IFERROR(INDEX('[AQ_2022.xlsx]原始数据'!$C:$C,MATCH($A933,'[AQ_2022.xlsx]原始数据'!$A:$A,0)),""))</f>
        <v/>
      </c>
      <c r="J933">
        <f>IF($A933="","",IFERROR(INDEX('[AQ_2023.xlsx]原始数据'!$C:$C,MATCH($A933,'[AQ_2023.xlsx]原始数据'!$A:$A,0)),""))</f>
        <v/>
      </c>
      <c r="K933">
        <f>IF($A933="","",IFERROR(INDEX('[AQ_2024.xlsx]原始数据'!$C:$C,MATCH($A933,'[AQ_2024.xlsx]原始数据'!$A:$A,0)),""))</f>
        <v/>
      </c>
      <c r="L933">
        <f>IF($A933="","",IFERROR(INDEX('[AQ_2020.xlsx]原始数据'!$D:$D,MATCH($A933,'[AQ_2020.xlsx]原始数据'!$A:$A,0)),""))</f>
        <v/>
      </c>
      <c r="M933">
        <f>IF($A933="","",IFERROR(INDEX('[AQ_2021.xlsx]原始数据'!$D:$D,MATCH($A933,'[AQ_2021.xlsx]原始数据'!$A:$A,0)),""))</f>
        <v/>
      </c>
      <c r="N933">
        <f>IF($A933="","",IFERROR(INDEX('[AQ_2022.xlsx]原始数据'!$D:$D,MATCH($A933,'[AQ_2022.xlsx]原始数据'!$A:$A,0)),""))</f>
        <v/>
      </c>
      <c r="O933">
        <f>IF($A933="","",IFERROR(INDEX('[AQ_2023.xlsx]原始数据'!$D:$D,MATCH($A933,'[AQ_2023.xlsx]原始数据'!$A:$A,0)),""))</f>
        <v/>
      </c>
      <c r="P933">
        <f>IF($A933="","",IFERROR(INDEX('[AQ_2024.xlsx]原始数据'!$D:$D,MATCH($A933,'[AQ_2024.xlsx]原始数据'!$A:$A,0)),""))</f>
        <v/>
      </c>
      <c r="Q933">
        <f>IF($A933="","",IFERROR(INDEX('[AQ_2020.xlsx]原始数据'!$E:$E,MATCH($A933,'[AQ_2020.xlsx]原始数据'!$A:$A,0)),""))</f>
        <v/>
      </c>
      <c r="R933">
        <f>IF($A933="","",IFERROR(INDEX('[AQ_2021.xlsx]原始数据'!$E:$E,MATCH($A933,'[AQ_2021.xlsx]原始数据'!$A:$A,0)),""))</f>
        <v/>
      </c>
      <c r="S933">
        <f>IF($A933="","",IFERROR(INDEX('[AQ_2022.xlsx]原始数据'!$E:$E,MATCH($A933,'[AQ_2022.xlsx]原始数据'!$A:$A,0)),""))</f>
        <v/>
      </c>
      <c r="T933">
        <f>IF($A933="","",IFERROR(INDEX('[AQ_2023.xlsx]原始数据'!$E:$E,MATCH($A933,'[AQ_2023.xlsx]原始数据'!$A:$A,0)),""))</f>
        <v/>
      </c>
      <c r="U933">
        <f>IF($A933="","",IFERROR(INDEX('[AQ_2024.xlsx]原始数据'!$E:$E,MATCH($A933,'[AQ_2024.xlsx]原始数据'!$A:$A,0)),""))</f>
        <v/>
      </c>
      <c r="V933">
        <f>IF($A933="","",IFERROR(INDEX('[AQ_2020.xlsx]原始数据'!$F:$F,MATCH($A933,'[AQ_2020.xlsx]原始数据'!$A:$A,0)),""))</f>
        <v/>
      </c>
      <c r="W933">
        <f>IF($A933="","",IFERROR(INDEX('[AQ_2021.xlsx]原始数据'!$F:$F,MATCH($A933,'[AQ_2021.xlsx]原始数据'!$A:$A,0)),""))</f>
        <v/>
      </c>
      <c r="X933">
        <f>IF($A933="","",IFERROR(INDEX('[AQ_2022.xlsx]原始数据'!$F:$F,MATCH($A933,'[AQ_2022.xlsx]原始数据'!$A:$A,0)),""))</f>
        <v/>
      </c>
      <c r="Y933">
        <f>IF($A933="","",IFERROR(INDEX('[AQ_2023.xlsx]原始数据'!$F:$F,MATCH($A933,'[AQ_2023.xlsx]原始数据'!$A:$A,0)),""))</f>
        <v/>
      </c>
      <c r="Z933">
        <f>IF($A933="","",IFERROR(INDEX('[AQ_2024.xlsx]原始数据'!$F:$F,MATCH($A933,'[AQ_2024.xlsx]原始数据'!$A:$A,0)),""))</f>
        <v/>
      </c>
      <c r="AA933" s="2">
        <f>IFERROR(G933/B933,"")</f>
        <v/>
      </c>
      <c r="AB933" s="2">
        <f>IFERROR(H933/C933,"")</f>
        <v/>
      </c>
      <c r="AC933" s="2">
        <f>IFERROR(I933/D933,"")</f>
        <v/>
      </c>
      <c r="AD933" s="2">
        <f>IFERROR(J933/E933,"")</f>
        <v/>
      </c>
      <c r="AE933" s="2">
        <f>IFERROR(K933/F933,"")</f>
        <v/>
      </c>
      <c r="AF933" s="2">
        <f>IFERROR(L933/B933,"")</f>
        <v/>
      </c>
      <c r="AG933" s="2">
        <f>IFERROR(M933/C933,"")</f>
        <v/>
      </c>
      <c r="AH933" s="2">
        <f>IFERROR(N933/D933,"")</f>
        <v/>
      </c>
      <c r="AI933" s="2">
        <f>IFERROR(O933/E933,"")</f>
        <v/>
      </c>
      <c r="AJ933" s="2">
        <f>IFERROR(P933/F933,"")</f>
        <v/>
      </c>
      <c r="AK933" s="2">
        <f>IFERROR(Q933/B933,"")</f>
        <v/>
      </c>
      <c r="AL933" s="2">
        <f>IFERROR(R933/C933,"")</f>
        <v/>
      </c>
      <c r="AM933" s="2">
        <f>IFERROR(S933/D933,"")</f>
        <v/>
      </c>
      <c r="AN933" s="2">
        <f>IFERROR(T933/E933,"")</f>
        <v/>
      </c>
      <c r="AO933" s="2">
        <f>IFERROR(U933/F933,"")</f>
        <v/>
      </c>
    </row>
    <row r="934">
      <c r="B934">
        <f>IF($A934="","",IFERROR(INDEX('[AQ_2020.xlsx]原始数据'!$B:$B,MATCH($A934,'[AQ_2020.xlsx]原始数据'!$A:$A,0)),""))</f>
        <v/>
      </c>
      <c r="C934">
        <f>IF($A934="","",IFERROR(INDEX('[AQ_2021.xlsx]原始数据'!$B:$B,MATCH($A934,'[AQ_2021.xlsx]原始数据'!$A:$A,0)),""))</f>
        <v/>
      </c>
      <c r="D934">
        <f>IF($A934="","",IFERROR(INDEX('[AQ_2022.xlsx]原始数据'!$B:$B,MATCH($A934,'[AQ_2022.xlsx]原始数据'!$A:$A,0)),""))</f>
        <v/>
      </c>
      <c r="E934">
        <f>IF($A934="","",IFERROR(INDEX('[AQ_2023.xlsx]原始数据'!$B:$B,MATCH($A934,'[AQ_2023.xlsx]原始数据'!$A:$A,0)),""))</f>
        <v/>
      </c>
      <c r="F934">
        <f>IF($A934="","",IFERROR(INDEX('[AQ_2024.xlsx]原始数据'!$B:$B,MATCH($A934,'[AQ_2024.xlsx]原始数据'!$A:$A,0)),""))</f>
        <v/>
      </c>
      <c r="G934">
        <f>IF($A934="","",IFERROR(INDEX('[AQ_2020.xlsx]原始数据'!$C:$C,MATCH($A934,'[AQ_2020.xlsx]原始数据'!$A:$A,0)),""))</f>
        <v/>
      </c>
      <c r="H934">
        <f>IF($A934="","",IFERROR(INDEX('[AQ_2021.xlsx]原始数据'!$C:$C,MATCH($A934,'[AQ_2021.xlsx]原始数据'!$A:$A,0)),""))</f>
        <v/>
      </c>
      <c r="I934">
        <f>IF($A934="","",IFERROR(INDEX('[AQ_2022.xlsx]原始数据'!$C:$C,MATCH($A934,'[AQ_2022.xlsx]原始数据'!$A:$A,0)),""))</f>
        <v/>
      </c>
      <c r="J934">
        <f>IF($A934="","",IFERROR(INDEX('[AQ_2023.xlsx]原始数据'!$C:$C,MATCH($A934,'[AQ_2023.xlsx]原始数据'!$A:$A,0)),""))</f>
        <v/>
      </c>
      <c r="K934">
        <f>IF($A934="","",IFERROR(INDEX('[AQ_2024.xlsx]原始数据'!$C:$C,MATCH($A934,'[AQ_2024.xlsx]原始数据'!$A:$A,0)),""))</f>
        <v/>
      </c>
      <c r="L934">
        <f>IF($A934="","",IFERROR(INDEX('[AQ_2020.xlsx]原始数据'!$D:$D,MATCH($A934,'[AQ_2020.xlsx]原始数据'!$A:$A,0)),""))</f>
        <v/>
      </c>
      <c r="M934">
        <f>IF($A934="","",IFERROR(INDEX('[AQ_2021.xlsx]原始数据'!$D:$D,MATCH($A934,'[AQ_2021.xlsx]原始数据'!$A:$A,0)),""))</f>
        <v/>
      </c>
      <c r="N934">
        <f>IF($A934="","",IFERROR(INDEX('[AQ_2022.xlsx]原始数据'!$D:$D,MATCH($A934,'[AQ_2022.xlsx]原始数据'!$A:$A,0)),""))</f>
        <v/>
      </c>
      <c r="O934">
        <f>IF($A934="","",IFERROR(INDEX('[AQ_2023.xlsx]原始数据'!$D:$D,MATCH($A934,'[AQ_2023.xlsx]原始数据'!$A:$A,0)),""))</f>
        <v/>
      </c>
      <c r="P934">
        <f>IF($A934="","",IFERROR(INDEX('[AQ_2024.xlsx]原始数据'!$D:$D,MATCH($A934,'[AQ_2024.xlsx]原始数据'!$A:$A,0)),""))</f>
        <v/>
      </c>
      <c r="Q934">
        <f>IF($A934="","",IFERROR(INDEX('[AQ_2020.xlsx]原始数据'!$E:$E,MATCH($A934,'[AQ_2020.xlsx]原始数据'!$A:$A,0)),""))</f>
        <v/>
      </c>
      <c r="R934">
        <f>IF($A934="","",IFERROR(INDEX('[AQ_2021.xlsx]原始数据'!$E:$E,MATCH($A934,'[AQ_2021.xlsx]原始数据'!$A:$A,0)),""))</f>
        <v/>
      </c>
      <c r="S934">
        <f>IF($A934="","",IFERROR(INDEX('[AQ_2022.xlsx]原始数据'!$E:$E,MATCH($A934,'[AQ_2022.xlsx]原始数据'!$A:$A,0)),""))</f>
        <v/>
      </c>
      <c r="T934">
        <f>IF($A934="","",IFERROR(INDEX('[AQ_2023.xlsx]原始数据'!$E:$E,MATCH($A934,'[AQ_2023.xlsx]原始数据'!$A:$A,0)),""))</f>
        <v/>
      </c>
      <c r="U934">
        <f>IF($A934="","",IFERROR(INDEX('[AQ_2024.xlsx]原始数据'!$E:$E,MATCH($A934,'[AQ_2024.xlsx]原始数据'!$A:$A,0)),""))</f>
        <v/>
      </c>
      <c r="V934">
        <f>IF($A934="","",IFERROR(INDEX('[AQ_2020.xlsx]原始数据'!$F:$F,MATCH($A934,'[AQ_2020.xlsx]原始数据'!$A:$A,0)),""))</f>
        <v/>
      </c>
      <c r="W934">
        <f>IF($A934="","",IFERROR(INDEX('[AQ_2021.xlsx]原始数据'!$F:$F,MATCH($A934,'[AQ_2021.xlsx]原始数据'!$A:$A,0)),""))</f>
        <v/>
      </c>
      <c r="X934">
        <f>IF($A934="","",IFERROR(INDEX('[AQ_2022.xlsx]原始数据'!$F:$F,MATCH($A934,'[AQ_2022.xlsx]原始数据'!$A:$A,0)),""))</f>
        <v/>
      </c>
      <c r="Y934">
        <f>IF($A934="","",IFERROR(INDEX('[AQ_2023.xlsx]原始数据'!$F:$F,MATCH($A934,'[AQ_2023.xlsx]原始数据'!$A:$A,0)),""))</f>
        <v/>
      </c>
      <c r="Z934">
        <f>IF($A934="","",IFERROR(INDEX('[AQ_2024.xlsx]原始数据'!$F:$F,MATCH($A934,'[AQ_2024.xlsx]原始数据'!$A:$A,0)),""))</f>
        <v/>
      </c>
      <c r="AA934" s="2">
        <f>IFERROR(G934/B934,"")</f>
        <v/>
      </c>
      <c r="AB934" s="2">
        <f>IFERROR(H934/C934,"")</f>
        <v/>
      </c>
      <c r="AC934" s="2">
        <f>IFERROR(I934/D934,"")</f>
        <v/>
      </c>
      <c r="AD934" s="2">
        <f>IFERROR(J934/E934,"")</f>
        <v/>
      </c>
      <c r="AE934" s="2">
        <f>IFERROR(K934/F934,"")</f>
        <v/>
      </c>
      <c r="AF934" s="2">
        <f>IFERROR(L934/B934,"")</f>
        <v/>
      </c>
      <c r="AG934" s="2">
        <f>IFERROR(M934/C934,"")</f>
        <v/>
      </c>
      <c r="AH934" s="2">
        <f>IFERROR(N934/D934,"")</f>
        <v/>
      </c>
      <c r="AI934" s="2">
        <f>IFERROR(O934/E934,"")</f>
        <v/>
      </c>
      <c r="AJ934" s="2">
        <f>IFERROR(P934/F934,"")</f>
        <v/>
      </c>
      <c r="AK934" s="2">
        <f>IFERROR(Q934/B934,"")</f>
        <v/>
      </c>
      <c r="AL934" s="2">
        <f>IFERROR(R934/C934,"")</f>
        <v/>
      </c>
      <c r="AM934" s="2">
        <f>IFERROR(S934/D934,"")</f>
        <v/>
      </c>
      <c r="AN934" s="2">
        <f>IFERROR(T934/E934,"")</f>
        <v/>
      </c>
      <c r="AO934" s="2">
        <f>IFERROR(U934/F934,"")</f>
        <v/>
      </c>
    </row>
    <row r="935">
      <c r="B935">
        <f>IF($A935="","",IFERROR(INDEX('[AQ_2020.xlsx]原始数据'!$B:$B,MATCH($A935,'[AQ_2020.xlsx]原始数据'!$A:$A,0)),""))</f>
        <v/>
      </c>
      <c r="C935">
        <f>IF($A935="","",IFERROR(INDEX('[AQ_2021.xlsx]原始数据'!$B:$B,MATCH($A935,'[AQ_2021.xlsx]原始数据'!$A:$A,0)),""))</f>
        <v/>
      </c>
      <c r="D935">
        <f>IF($A935="","",IFERROR(INDEX('[AQ_2022.xlsx]原始数据'!$B:$B,MATCH($A935,'[AQ_2022.xlsx]原始数据'!$A:$A,0)),""))</f>
        <v/>
      </c>
      <c r="E935">
        <f>IF($A935="","",IFERROR(INDEX('[AQ_2023.xlsx]原始数据'!$B:$B,MATCH($A935,'[AQ_2023.xlsx]原始数据'!$A:$A,0)),""))</f>
        <v/>
      </c>
      <c r="F935">
        <f>IF($A935="","",IFERROR(INDEX('[AQ_2024.xlsx]原始数据'!$B:$B,MATCH($A935,'[AQ_2024.xlsx]原始数据'!$A:$A,0)),""))</f>
        <v/>
      </c>
      <c r="G935">
        <f>IF($A935="","",IFERROR(INDEX('[AQ_2020.xlsx]原始数据'!$C:$C,MATCH($A935,'[AQ_2020.xlsx]原始数据'!$A:$A,0)),""))</f>
        <v/>
      </c>
      <c r="H935">
        <f>IF($A935="","",IFERROR(INDEX('[AQ_2021.xlsx]原始数据'!$C:$C,MATCH($A935,'[AQ_2021.xlsx]原始数据'!$A:$A,0)),""))</f>
        <v/>
      </c>
      <c r="I935">
        <f>IF($A935="","",IFERROR(INDEX('[AQ_2022.xlsx]原始数据'!$C:$C,MATCH($A935,'[AQ_2022.xlsx]原始数据'!$A:$A,0)),""))</f>
        <v/>
      </c>
      <c r="J935">
        <f>IF($A935="","",IFERROR(INDEX('[AQ_2023.xlsx]原始数据'!$C:$C,MATCH($A935,'[AQ_2023.xlsx]原始数据'!$A:$A,0)),""))</f>
        <v/>
      </c>
      <c r="K935">
        <f>IF($A935="","",IFERROR(INDEX('[AQ_2024.xlsx]原始数据'!$C:$C,MATCH($A935,'[AQ_2024.xlsx]原始数据'!$A:$A,0)),""))</f>
        <v/>
      </c>
      <c r="L935">
        <f>IF($A935="","",IFERROR(INDEX('[AQ_2020.xlsx]原始数据'!$D:$D,MATCH($A935,'[AQ_2020.xlsx]原始数据'!$A:$A,0)),""))</f>
        <v/>
      </c>
      <c r="M935">
        <f>IF($A935="","",IFERROR(INDEX('[AQ_2021.xlsx]原始数据'!$D:$D,MATCH($A935,'[AQ_2021.xlsx]原始数据'!$A:$A,0)),""))</f>
        <v/>
      </c>
      <c r="N935">
        <f>IF($A935="","",IFERROR(INDEX('[AQ_2022.xlsx]原始数据'!$D:$D,MATCH($A935,'[AQ_2022.xlsx]原始数据'!$A:$A,0)),""))</f>
        <v/>
      </c>
      <c r="O935">
        <f>IF($A935="","",IFERROR(INDEX('[AQ_2023.xlsx]原始数据'!$D:$D,MATCH($A935,'[AQ_2023.xlsx]原始数据'!$A:$A,0)),""))</f>
        <v/>
      </c>
      <c r="P935">
        <f>IF($A935="","",IFERROR(INDEX('[AQ_2024.xlsx]原始数据'!$D:$D,MATCH($A935,'[AQ_2024.xlsx]原始数据'!$A:$A,0)),""))</f>
        <v/>
      </c>
      <c r="Q935">
        <f>IF($A935="","",IFERROR(INDEX('[AQ_2020.xlsx]原始数据'!$E:$E,MATCH($A935,'[AQ_2020.xlsx]原始数据'!$A:$A,0)),""))</f>
        <v/>
      </c>
      <c r="R935">
        <f>IF($A935="","",IFERROR(INDEX('[AQ_2021.xlsx]原始数据'!$E:$E,MATCH($A935,'[AQ_2021.xlsx]原始数据'!$A:$A,0)),""))</f>
        <v/>
      </c>
      <c r="S935">
        <f>IF($A935="","",IFERROR(INDEX('[AQ_2022.xlsx]原始数据'!$E:$E,MATCH($A935,'[AQ_2022.xlsx]原始数据'!$A:$A,0)),""))</f>
        <v/>
      </c>
      <c r="T935">
        <f>IF($A935="","",IFERROR(INDEX('[AQ_2023.xlsx]原始数据'!$E:$E,MATCH($A935,'[AQ_2023.xlsx]原始数据'!$A:$A,0)),""))</f>
        <v/>
      </c>
      <c r="U935">
        <f>IF($A935="","",IFERROR(INDEX('[AQ_2024.xlsx]原始数据'!$E:$E,MATCH($A935,'[AQ_2024.xlsx]原始数据'!$A:$A,0)),""))</f>
        <v/>
      </c>
      <c r="V935">
        <f>IF($A935="","",IFERROR(INDEX('[AQ_2020.xlsx]原始数据'!$F:$F,MATCH($A935,'[AQ_2020.xlsx]原始数据'!$A:$A,0)),""))</f>
        <v/>
      </c>
      <c r="W935">
        <f>IF($A935="","",IFERROR(INDEX('[AQ_2021.xlsx]原始数据'!$F:$F,MATCH($A935,'[AQ_2021.xlsx]原始数据'!$A:$A,0)),""))</f>
        <v/>
      </c>
      <c r="X935">
        <f>IF($A935="","",IFERROR(INDEX('[AQ_2022.xlsx]原始数据'!$F:$F,MATCH($A935,'[AQ_2022.xlsx]原始数据'!$A:$A,0)),""))</f>
        <v/>
      </c>
      <c r="Y935">
        <f>IF($A935="","",IFERROR(INDEX('[AQ_2023.xlsx]原始数据'!$F:$F,MATCH($A935,'[AQ_2023.xlsx]原始数据'!$A:$A,0)),""))</f>
        <v/>
      </c>
      <c r="Z935">
        <f>IF($A935="","",IFERROR(INDEX('[AQ_2024.xlsx]原始数据'!$F:$F,MATCH($A935,'[AQ_2024.xlsx]原始数据'!$A:$A,0)),""))</f>
        <v/>
      </c>
      <c r="AA935" s="2">
        <f>IFERROR(G935/B935,"")</f>
        <v/>
      </c>
      <c r="AB935" s="2">
        <f>IFERROR(H935/C935,"")</f>
        <v/>
      </c>
      <c r="AC935" s="2">
        <f>IFERROR(I935/D935,"")</f>
        <v/>
      </c>
      <c r="AD935" s="2">
        <f>IFERROR(J935/E935,"")</f>
        <v/>
      </c>
      <c r="AE935" s="2">
        <f>IFERROR(K935/F935,"")</f>
        <v/>
      </c>
      <c r="AF935" s="2">
        <f>IFERROR(L935/B935,"")</f>
        <v/>
      </c>
      <c r="AG935" s="2">
        <f>IFERROR(M935/C935,"")</f>
        <v/>
      </c>
      <c r="AH935" s="2">
        <f>IFERROR(N935/D935,"")</f>
        <v/>
      </c>
      <c r="AI935" s="2">
        <f>IFERROR(O935/E935,"")</f>
        <v/>
      </c>
      <c r="AJ935" s="2">
        <f>IFERROR(P935/F935,"")</f>
        <v/>
      </c>
      <c r="AK935" s="2">
        <f>IFERROR(Q935/B935,"")</f>
        <v/>
      </c>
      <c r="AL935" s="2">
        <f>IFERROR(R935/C935,"")</f>
        <v/>
      </c>
      <c r="AM935" s="2">
        <f>IFERROR(S935/D935,"")</f>
        <v/>
      </c>
      <c r="AN935" s="2">
        <f>IFERROR(T935/E935,"")</f>
        <v/>
      </c>
      <c r="AO935" s="2">
        <f>IFERROR(U935/F935,"")</f>
        <v/>
      </c>
    </row>
    <row r="936">
      <c r="B936">
        <f>IF($A936="","",IFERROR(INDEX('[AQ_2020.xlsx]原始数据'!$B:$B,MATCH($A936,'[AQ_2020.xlsx]原始数据'!$A:$A,0)),""))</f>
        <v/>
      </c>
      <c r="C936">
        <f>IF($A936="","",IFERROR(INDEX('[AQ_2021.xlsx]原始数据'!$B:$B,MATCH($A936,'[AQ_2021.xlsx]原始数据'!$A:$A,0)),""))</f>
        <v/>
      </c>
      <c r="D936">
        <f>IF($A936="","",IFERROR(INDEX('[AQ_2022.xlsx]原始数据'!$B:$B,MATCH($A936,'[AQ_2022.xlsx]原始数据'!$A:$A,0)),""))</f>
        <v/>
      </c>
      <c r="E936">
        <f>IF($A936="","",IFERROR(INDEX('[AQ_2023.xlsx]原始数据'!$B:$B,MATCH($A936,'[AQ_2023.xlsx]原始数据'!$A:$A,0)),""))</f>
        <v/>
      </c>
      <c r="F936">
        <f>IF($A936="","",IFERROR(INDEX('[AQ_2024.xlsx]原始数据'!$B:$B,MATCH($A936,'[AQ_2024.xlsx]原始数据'!$A:$A,0)),""))</f>
        <v/>
      </c>
      <c r="G936">
        <f>IF($A936="","",IFERROR(INDEX('[AQ_2020.xlsx]原始数据'!$C:$C,MATCH($A936,'[AQ_2020.xlsx]原始数据'!$A:$A,0)),""))</f>
        <v/>
      </c>
      <c r="H936">
        <f>IF($A936="","",IFERROR(INDEX('[AQ_2021.xlsx]原始数据'!$C:$C,MATCH($A936,'[AQ_2021.xlsx]原始数据'!$A:$A,0)),""))</f>
        <v/>
      </c>
      <c r="I936">
        <f>IF($A936="","",IFERROR(INDEX('[AQ_2022.xlsx]原始数据'!$C:$C,MATCH($A936,'[AQ_2022.xlsx]原始数据'!$A:$A,0)),""))</f>
        <v/>
      </c>
      <c r="J936">
        <f>IF($A936="","",IFERROR(INDEX('[AQ_2023.xlsx]原始数据'!$C:$C,MATCH($A936,'[AQ_2023.xlsx]原始数据'!$A:$A,0)),""))</f>
        <v/>
      </c>
      <c r="K936">
        <f>IF($A936="","",IFERROR(INDEX('[AQ_2024.xlsx]原始数据'!$C:$C,MATCH($A936,'[AQ_2024.xlsx]原始数据'!$A:$A,0)),""))</f>
        <v/>
      </c>
      <c r="L936">
        <f>IF($A936="","",IFERROR(INDEX('[AQ_2020.xlsx]原始数据'!$D:$D,MATCH($A936,'[AQ_2020.xlsx]原始数据'!$A:$A,0)),""))</f>
        <v/>
      </c>
      <c r="M936">
        <f>IF($A936="","",IFERROR(INDEX('[AQ_2021.xlsx]原始数据'!$D:$D,MATCH($A936,'[AQ_2021.xlsx]原始数据'!$A:$A,0)),""))</f>
        <v/>
      </c>
      <c r="N936">
        <f>IF($A936="","",IFERROR(INDEX('[AQ_2022.xlsx]原始数据'!$D:$D,MATCH($A936,'[AQ_2022.xlsx]原始数据'!$A:$A,0)),""))</f>
        <v/>
      </c>
      <c r="O936">
        <f>IF($A936="","",IFERROR(INDEX('[AQ_2023.xlsx]原始数据'!$D:$D,MATCH($A936,'[AQ_2023.xlsx]原始数据'!$A:$A,0)),""))</f>
        <v/>
      </c>
      <c r="P936">
        <f>IF($A936="","",IFERROR(INDEX('[AQ_2024.xlsx]原始数据'!$D:$D,MATCH($A936,'[AQ_2024.xlsx]原始数据'!$A:$A,0)),""))</f>
        <v/>
      </c>
      <c r="Q936">
        <f>IF($A936="","",IFERROR(INDEX('[AQ_2020.xlsx]原始数据'!$E:$E,MATCH($A936,'[AQ_2020.xlsx]原始数据'!$A:$A,0)),""))</f>
        <v/>
      </c>
      <c r="R936">
        <f>IF($A936="","",IFERROR(INDEX('[AQ_2021.xlsx]原始数据'!$E:$E,MATCH($A936,'[AQ_2021.xlsx]原始数据'!$A:$A,0)),""))</f>
        <v/>
      </c>
      <c r="S936">
        <f>IF($A936="","",IFERROR(INDEX('[AQ_2022.xlsx]原始数据'!$E:$E,MATCH($A936,'[AQ_2022.xlsx]原始数据'!$A:$A,0)),""))</f>
        <v/>
      </c>
      <c r="T936">
        <f>IF($A936="","",IFERROR(INDEX('[AQ_2023.xlsx]原始数据'!$E:$E,MATCH($A936,'[AQ_2023.xlsx]原始数据'!$A:$A,0)),""))</f>
        <v/>
      </c>
      <c r="U936">
        <f>IF($A936="","",IFERROR(INDEX('[AQ_2024.xlsx]原始数据'!$E:$E,MATCH($A936,'[AQ_2024.xlsx]原始数据'!$A:$A,0)),""))</f>
        <v/>
      </c>
      <c r="V936">
        <f>IF($A936="","",IFERROR(INDEX('[AQ_2020.xlsx]原始数据'!$F:$F,MATCH($A936,'[AQ_2020.xlsx]原始数据'!$A:$A,0)),""))</f>
        <v/>
      </c>
      <c r="W936">
        <f>IF($A936="","",IFERROR(INDEX('[AQ_2021.xlsx]原始数据'!$F:$F,MATCH($A936,'[AQ_2021.xlsx]原始数据'!$A:$A,0)),""))</f>
        <v/>
      </c>
      <c r="X936">
        <f>IF($A936="","",IFERROR(INDEX('[AQ_2022.xlsx]原始数据'!$F:$F,MATCH($A936,'[AQ_2022.xlsx]原始数据'!$A:$A,0)),""))</f>
        <v/>
      </c>
      <c r="Y936">
        <f>IF($A936="","",IFERROR(INDEX('[AQ_2023.xlsx]原始数据'!$F:$F,MATCH($A936,'[AQ_2023.xlsx]原始数据'!$A:$A,0)),""))</f>
        <v/>
      </c>
      <c r="Z936">
        <f>IF($A936="","",IFERROR(INDEX('[AQ_2024.xlsx]原始数据'!$F:$F,MATCH($A936,'[AQ_2024.xlsx]原始数据'!$A:$A,0)),""))</f>
        <v/>
      </c>
      <c r="AA936" s="2">
        <f>IFERROR(G936/B936,"")</f>
        <v/>
      </c>
      <c r="AB936" s="2">
        <f>IFERROR(H936/C936,"")</f>
        <v/>
      </c>
      <c r="AC936" s="2">
        <f>IFERROR(I936/D936,"")</f>
        <v/>
      </c>
      <c r="AD936" s="2">
        <f>IFERROR(J936/E936,"")</f>
        <v/>
      </c>
      <c r="AE936" s="2">
        <f>IFERROR(K936/F936,"")</f>
        <v/>
      </c>
      <c r="AF936" s="2">
        <f>IFERROR(L936/B936,"")</f>
        <v/>
      </c>
      <c r="AG936" s="2">
        <f>IFERROR(M936/C936,"")</f>
        <v/>
      </c>
      <c r="AH936" s="2">
        <f>IFERROR(N936/D936,"")</f>
        <v/>
      </c>
      <c r="AI936" s="2">
        <f>IFERROR(O936/E936,"")</f>
        <v/>
      </c>
      <c r="AJ936" s="2">
        <f>IFERROR(P936/F936,"")</f>
        <v/>
      </c>
      <c r="AK936" s="2">
        <f>IFERROR(Q936/B936,"")</f>
        <v/>
      </c>
      <c r="AL936" s="2">
        <f>IFERROR(R936/C936,"")</f>
        <v/>
      </c>
      <c r="AM936" s="2">
        <f>IFERROR(S936/D936,"")</f>
        <v/>
      </c>
      <c r="AN936" s="2">
        <f>IFERROR(T936/E936,"")</f>
        <v/>
      </c>
      <c r="AO936" s="2">
        <f>IFERROR(U936/F936,"")</f>
        <v/>
      </c>
    </row>
    <row r="937">
      <c r="B937">
        <f>IF($A937="","",IFERROR(INDEX('[AQ_2020.xlsx]原始数据'!$B:$B,MATCH($A937,'[AQ_2020.xlsx]原始数据'!$A:$A,0)),""))</f>
        <v/>
      </c>
      <c r="C937">
        <f>IF($A937="","",IFERROR(INDEX('[AQ_2021.xlsx]原始数据'!$B:$B,MATCH($A937,'[AQ_2021.xlsx]原始数据'!$A:$A,0)),""))</f>
        <v/>
      </c>
      <c r="D937">
        <f>IF($A937="","",IFERROR(INDEX('[AQ_2022.xlsx]原始数据'!$B:$B,MATCH($A937,'[AQ_2022.xlsx]原始数据'!$A:$A,0)),""))</f>
        <v/>
      </c>
      <c r="E937">
        <f>IF($A937="","",IFERROR(INDEX('[AQ_2023.xlsx]原始数据'!$B:$B,MATCH($A937,'[AQ_2023.xlsx]原始数据'!$A:$A,0)),""))</f>
        <v/>
      </c>
      <c r="F937">
        <f>IF($A937="","",IFERROR(INDEX('[AQ_2024.xlsx]原始数据'!$B:$B,MATCH($A937,'[AQ_2024.xlsx]原始数据'!$A:$A,0)),""))</f>
        <v/>
      </c>
      <c r="G937">
        <f>IF($A937="","",IFERROR(INDEX('[AQ_2020.xlsx]原始数据'!$C:$C,MATCH($A937,'[AQ_2020.xlsx]原始数据'!$A:$A,0)),""))</f>
        <v/>
      </c>
      <c r="H937">
        <f>IF($A937="","",IFERROR(INDEX('[AQ_2021.xlsx]原始数据'!$C:$C,MATCH($A937,'[AQ_2021.xlsx]原始数据'!$A:$A,0)),""))</f>
        <v/>
      </c>
      <c r="I937">
        <f>IF($A937="","",IFERROR(INDEX('[AQ_2022.xlsx]原始数据'!$C:$C,MATCH($A937,'[AQ_2022.xlsx]原始数据'!$A:$A,0)),""))</f>
        <v/>
      </c>
      <c r="J937">
        <f>IF($A937="","",IFERROR(INDEX('[AQ_2023.xlsx]原始数据'!$C:$C,MATCH($A937,'[AQ_2023.xlsx]原始数据'!$A:$A,0)),""))</f>
        <v/>
      </c>
      <c r="K937">
        <f>IF($A937="","",IFERROR(INDEX('[AQ_2024.xlsx]原始数据'!$C:$C,MATCH($A937,'[AQ_2024.xlsx]原始数据'!$A:$A,0)),""))</f>
        <v/>
      </c>
      <c r="L937">
        <f>IF($A937="","",IFERROR(INDEX('[AQ_2020.xlsx]原始数据'!$D:$D,MATCH($A937,'[AQ_2020.xlsx]原始数据'!$A:$A,0)),""))</f>
        <v/>
      </c>
      <c r="M937">
        <f>IF($A937="","",IFERROR(INDEX('[AQ_2021.xlsx]原始数据'!$D:$D,MATCH($A937,'[AQ_2021.xlsx]原始数据'!$A:$A,0)),""))</f>
        <v/>
      </c>
      <c r="N937">
        <f>IF($A937="","",IFERROR(INDEX('[AQ_2022.xlsx]原始数据'!$D:$D,MATCH($A937,'[AQ_2022.xlsx]原始数据'!$A:$A,0)),""))</f>
        <v/>
      </c>
      <c r="O937">
        <f>IF($A937="","",IFERROR(INDEX('[AQ_2023.xlsx]原始数据'!$D:$D,MATCH($A937,'[AQ_2023.xlsx]原始数据'!$A:$A,0)),""))</f>
        <v/>
      </c>
      <c r="P937">
        <f>IF($A937="","",IFERROR(INDEX('[AQ_2024.xlsx]原始数据'!$D:$D,MATCH($A937,'[AQ_2024.xlsx]原始数据'!$A:$A,0)),""))</f>
        <v/>
      </c>
      <c r="Q937">
        <f>IF($A937="","",IFERROR(INDEX('[AQ_2020.xlsx]原始数据'!$E:$E,MATCH($A937,'[AQ_2020.xlsx]原始数据'!$A:$A,0)),""))</f>
        <v/>
      </c>
      <c r="R937">
        <f>IF($A937="","",IFERROR(INDEX('[AQ_2021.xlsx]原始数据'!$E:$E,MATCH($A937,'[AQ_2021.xlsx]原始数据'!$A:$A,0)),""))</f>
        <v/>
      </c>
      <c r="S937">
        <f>IF($A937="","",IFERROR(INDEX('[AQ_2022.xlsx]原始数据'!$E:$E,MATCH($A937,'[AQ_2022.xlsx]原始数据'!$A:$A,0)),""))</f>
        <v/>
      </c>
      <c r="T937">
        <f>IF($A937="","",IFERROR(INDEX('[AQ_2023.xlsx]原始数据'!$E:$E,MATCH($A937,'[AQ_2023.xlsx]原始数据'!$A:$A,0)),""))</f>
        <v/>
      </c>
      <c r="U937">
        <f>IF($A937="","",IFERROR(INDEX('[AQ_2024.xlsx]原始数据'!$E:$E,MATCH($A937,'[AQ_2024.xlsx]原始数据'!$A:$A,0)),""))</f>
        <v/>
      </c>
      <c r="V937">
        <f>IF($A937="","",IFERROR(INDEX('[AQ_2020.xlsx]原始数据'!$F:$F,MATCH($A937,'[AQ_2020.xlsx]原始数据'!$A:$A,0)),""))</f>
        <v/>
      </c>
      <c r="W937">
        <f>IF($A937="","",IFERROR(INDEX('[AQ_2021.xlsx]原始数据'!$F:$F,MATCH($A937,'[AQ_2021.xlsx]原始数据'!$A:$A,0)),""))</f>
        <v/>
      </c>
      <c r="X937">
        <f>IF($A937="","",IFERROR(INDEX('[AQ_2022.xlsx]原始数据'!$F:$F,MATCH($A937,'[AQ_2022.xlsx]原始数据'!$A:$A,0)),""))</f>
        <v/>
      </c>
      <c r="Y937">
        <f>IF($A937="","",IFERROR(INDEX('[AQ_2023.xlsx]原始数据'!$F:$F,MATCH($A937,'[AQ_2023.xlsx]原始数据'!$A:$A,0)),""))</f>
        <v/>
      </c>
      <c r="Z937">
        <f>IF($A937="","",IFERROR(INDEX('[AQ_2024.xlsx]原始数据'!$F:$F,MATCH($A937,'[AQ_2024.xlsx]原始数据'!$A:$A,0)),""))</f>
        <v/>
      </c>
      <c r="AA937" s="2">
        <f>IFERROR(G937/B937,"")</f>
        <v/>
      </c>
      <c r="AB937" s="2">
        <f>IFERROR(H937/C937,"")</f>
        <v/>
      </c>
      <c r="AC937" s="2">
        <f>IFERROR(I937/D937,"")</f>
        <v/>
      </c>
      <c r="AD937" s="2">
        <f>IFERROR(J937/E937,"")</f>
        <v/>
      </c>
      <c r="AE937" s="2">
        <f>IFERROR(K937/F937,"")</f>
        <v/>
      </c>
      <c r="AF937" s="2">
        <f>IFERROR(L937/B937,"")</f>
        <v/>
      </c>
      <c r="AG937" s="2">
        <f>IFERROR(M937/C937,"")</f>
        <v/>
      </c>
      <c r="AH937" s="2">
        <f>IFERROR(N937/D937,"")</f>
        <v/>
      </c>
      <c r="AI937" s="2">
        <f>IFERROR(O937/E937,"")</f>
        <v/>
      </c>
      <c r="AJ937" s="2">
        <f>IFERROR(P937/F937,"")</f>
        <v/>
      </c>
      <c r="AK937" s="2">
        <f>IFERROR(Q937/B937,"")</f>
        <v/>
      </c>
      <c r="AL937" s="2">
        <f>IFERROR(R937/C937,"")</f>
        <v/>
      </c>
      <c r="AM937" s="2">
        <f>IFERROR(S937/D937,"")</f>
        <v/>
      </c>
      <c r="AN937" s="2">
        <f>IFERROR(T937/E937,"")</f>
        <v/>
      </c>
      <c r="AO937" s="2">
        <f>IFERROR(U937/F937,"")</f>
        <v/>
      </c>
    </row>
    <row r="938">
      <c r="B938">
        <f>IF($A938="","",IFERROR(INDEX('[AQ_2020.xlsx]原始数据'!$B:$B,MATCH($A938,'[AQ_2020.xlsx]原始数据'!$A:$A,0)),""))</f>
        <v/>
      </c>
      <c r="C938">
        <f>IF($A938="","",IFERROR(INDEX('[AQ_2021.xlsx]原始数据'!$B:$B,MATCH($A938,'[AQ_2021.xlsx]原始数据'!$A:$A,0)),""))</f>
        <v/>
      </c>
      <c r="D938">
        <f>IF($A938="","",IFERROR(INDEX('[AQ_2022.xlsx]原始数据'!$B:$B,MATCH($A938,'[AQ_2022.xlsx]原始数据'!$A:$A,0)),""))</f>
        <v/>
      </c>
      <c r="E938">
        <f>IF($A938="","",IFERROR(INDEX('[AQ_2023.xlsx]原始数据'!$B:$B,MATCH($A938,'[AQ_2023.xlsx]原始数据'!$A:$A,0)),""))</f>
        <v/>
      </c>
      <c r="F938">
        <f>IF($A938="","",IFERROR(INDEX('[AQ_2024.xlsx]原始数据'!$B:$B,MATCH($A938,'[AQ_2024.xlsx]原始数据'!$A:$A,0)),""))</f>
        <v/>
      </c>
      <c r="G938">
        <f>IF($A938="","",IFERROR(INDEX('[AQ_2020.xlsx]原始数据'!$C:$C,MATCH($A938,'[AQ_2020.xlsx]原始数据'!$A:$A,0)),""))</f>
        <v/>
      </c>
      <c r="H938">
        <f>IF($A938="","",IFERROR(INDEX('[AQ_2021.xlsx]原始数据'!$C:$C,MATCH($A938,'[AQ_2021.xlsx]原始数据'!$A:$A,0)),""))</f>
        <v/>
      </c>
      <c r="I938">
        <f>IF($A938="","",IFERROR(INDEX('[AQ_2022.xlsx]原始数据'!$C:$C,MATCH($A938,'[AQ_2022.xlsx]原始数据'!$A:$A,0)),""))</f>
        <v/>
      </c>
      <c r="J938">
        <f>IF($A938="","",IFERROR(INDEX('[AQ_2023.xlsx]原始数据'!$C:$C,MATCH($A938,'[AQ_2023.xlsx]原始数据'!$A:$A,0)),""))</f>
        <v/>
      </c>
      <c r="K938">
        <f>IF($A938="","",IFERROR(INDEX('[AQ_2024.xlsx]原始数据'!$C:$C,MATCH($A938,'[AQ_2024.xlsx]原始数据'!$A:$A,0)),""))</f>
        <v/>
      </c>
      <c r="L938">
        <f>IF($A938="","",IFERROR(INDEX('[AQ_2020.xlsx]原始数据'!$D:$D,MATCH($A938,'[AQ_2020.xlsx]原始数据'!$A:$A,0)),""))</f>
        <v/>
      </c>
      <c r="M938">
        <f>IF($A938="","",IFERROR(INDEX('[AQ_2021.xlsx]原始数据'!$D:$D,MATCH($A938,'[AQ_2021.xlsx]原始数据'!$A:$A,0)),""))</f>
        <v/>
      </c>
      <c r="N938">
        <f>IF($A938="","",IFERROR(INDEX('[AQ_2022.xlsx]原始数据'!$D:$D,MATCH($A938,'[AQ_2022.xlsx]原始数据'!$A:$A,0)),""))</f>
        <v/>
      </c>
      <c r="O938">
        <f>IF($A938="","",IFERROR(INDEX('[AQ_2023.xlsx]原始数据'!$D:$D,MATCH($A938,'[AQ_2023.xlsx]原始数据'!$A:$A,0)),""))</f>
        <v/>
      </c>
      <c r="P938">
        <f>IF($A938="","",IFERROR(INDEX('[AQ_2024.xlsx]原始数据'!$D:$D,MATCH($A938,'[AQ_2024.xlsx]原始数据'!$A:$A,0)),""))</f>
        <v/>
      </c>
      <c r="Q938">
        <f>IF($A938="","",IFERROR(INDEX('[AQ_2020.xlsx]原始数据'!$E:$E,MATCH($A938,'[AQ_2020.xlsx]原始数据'!$A:$A,0)),""))</f>
        <v/>
      </c>
      <c r="R938">
        <f>IF($A938="","",IFERROR(INDEX('[AQ_2021.xlsx]原始数据'!$E:$E,MATCH($A938,'[AQ_2021.xlsx]原始数据'!$A:$A,0)),""))</f>
        <v/>
      </c>
      <c r="S938">
        <f>IF($A938="","",IFERROR(INDEX('[AQ_2022.xlsx]原始数据'!$E:$E,MATCH($A938,'[AQ_2022.xlsx]原始数据'!$A:$A,0)),""))</f>
        <v/>
      </c>
      <c r="T938">
        <f>IF($A938="","",IFERROR(INDEX('[AQ_2023.xlsx]原始数据'!$E:$E,MATCH($A938,'[AQ_2023.xlsx]原始数据'!$A:$A,0)),""))</f>
        <v/>
      </c>
      <c r="U938">
        <f>IF($A938="","",IFERROR(INDEX('[AQ_2024.xlsx]原始数据'!$E:$E,MATCH($A938,'[AQ_2024.xlsx]原始数据'!$A:$A,0)),""))</f>
        <v/>
      </c>
      <c r="V938">
        <f>IF($A938="","",IFERROR(INDEX('[AQ_2020.xlsx]原始数据'!$F:$F,MATCH($A938,'[AQ_2020.xlsx]原始数据'!$A:$A,0)),""))</f>
        <v/>
      </c>
      <c r="W938">
        <f>IF($A938="","",IFERROR(INDEX('[AQ_2021.xlsx]原始数据'!$F:$F,MATCH($A938,'[AQ_2021.xlsx]原始数据'!$A:$A,0)),""))</f>
        <v/>
      </c>
      <c r="X938">
        <f>IF($A938="","",IFERROR(INDEX('[AQ_2022.xlsx]原始数据'!$F:$F,MATCH($A938,'[AQ_2022.xlsx]原始数据'!$A:$A,0)),""))</f>
        <v/>
      </c>
      <c r="Y938">
        <f>IF($A938="","",IFERROR(INDEX('[AQ_2023.xlsx]原始数据'!$F:$F,MATCH($A938,'[AQ_2023.xlsx]原始数据'!$A:$A,0)),""))</f>
        <v/>
      </c>
      <c r="Z938">
        <f>IF($A938="","",IFERROR(INDEX('[AQ_2024.xlsx]原始数据'!$F:$F,MATCH($A938,'[AQ_2024.xlsx]原始数据'!$A:$A,0)),""))</f>
        <v/>
      </c>
      <c r="AA938" s="2">
        <f>IFERROR(G938/B938,"")</f>
        <v/>
      </c>
      <c r="AB938" s="2">
        <f>IFERROR(H938/C938,"")</f>
        <v/>
      </c>
      <c r="AC938" s="2">
        <f>IFERROR(I938/D938,"")</f>
        <v/>
      </c>
      <c r="AD938" s="2">
        <f>IFERROR(J938/E938,"")</f>
        <v/>
      </c>
      <c r="AE938" s="2">
        <f>IFERROR(K938/F938,"")</f>
        <v/>
      </c>
      <c r="AF938" s="2">
        <f>IFERROR(L938/B938,"")</f>
        <v/>
      </c>
      <c r="AG938" s="2">
        <f>IFERROR(M938/C938,"")</f>
        <v/>
      </c>
      <c r="AH938" s="2">
        <f>IFERROR(N938/D938,"")</f>
        <v/>
      </c>
      <c r="AI938" s="2">
        <f>IFERROR(O938/E938,"")</f>
        <v/>
      </c>
      <c r="AJ938" s="2">
        <f>IFERROR(P938/F938,"")</f>
        <v/>
      </c>
      <c r="AK938" s="2">
        <f>IFERROR(Q938/B938,"")</f>
        <v/>
      </c>
      <c r="AL938" s="2">
        <f>IFERROR(R938/C938,"")</f>
        <v/>
      </c>
      <c r="AM938" s="2">
        <f>IFERROR(S938/D938,"")</f>
        <v/>
      </c>
      <c r="AN938" s="2">
        <f>IFERROR(T938/E938,"")</f>
        <v/>
      </c>
      <c r="AO938" s="2">
        <f>IFERROR(U938/F938,"")</f>
        <v/>
      </c>
    </row>
    <row r="939">
      <c r="B939">
        <f>IF($A939="","",IFERROR(INDEX('[AQ_2020.xlsx]原始数据'!$B:$B,MATCH($A939,'[AQ_2020.xlsx]原始数据'!$A:$A,0)),""))</f>
        <v/>
      </c>
      <c r="C939">
        <f>IF($A939="","",IFERROR(INDEX('[AQ_2021.xlsx]原始数据'!$B:$B,MATCH($A939,'[AQ_2021.xlsx]原始数据'!$A:$A,0)),""))</f>
        <v/>
      </c>
      <c r="D939">
        <f>IF($A939="","",IFERROR(INDEX('[AQ_2022.xlsx]原始数据'!$B:$B,MATCH($A939,'[AQ_2022.xlsx]原始数据'!$A:$A,0)),""))</f>
        <v/>
      </c>
      <c r="E939">
        <f>IF($A939="","",IFERROR(INDEX('[AQ_2023.xlsx]原始数据'!$B:$B,MATCH($A939,'[AQ_2023.xlsx]原始数据'!$A:$A,0)),""))</f>
        <v/>
      </c>
      <c r="F939">
        <f>IF($A939="","",IFERROR(INDEX('[AQ_2024.xlsx]原始数据'!$B:$B,MATCH($A939,'[AQ_2024.xlsx]原始数据'!$A:$A,0)),""))</f>
        <v/>
      </c>
      <c r="G939">
        <f>IF($A939="","",IFERROR(INDEX('[AQ_2020.xlsx]原始数据'!$C:$C,MATCH($A939,'[AQ_2020.xlsx]原始数据'!$A:$A,0)),""))</f>
        <v/>
      </c>
      <c r="H939">
        <f>IF($A939="","",IFERROR(INDEX('[AQ_2021.xlsx]原始数据'!$C:$C,MATCH($A939,'[AQ_2021.xlsx]原始数据'!$A:$A,0)),""))</f>
        <v/>
      </c>
      <c r="I939">
        <f>IF($A939="","",IFERROR(INDEX('[AQ_2022.xlsx]原始数据'!$C:$C,MATCH($A939,'[AQ_2022.xlsx]原始数据'!$A:$A,0)),""))</f>
        <v/>
      </c>
      <c r="J939">
        <f>IF($A939="","",IFERROR(INDEX('[AQ_2023.xlsx]原始数据'!$C:$C,MATCH($A939,'[AQ_2023.xlsx]原始数据'!$A:$A,0)),""))</f>
        <v/>
      </c>
      <c r="K939">
        <f>IF($A939="","",IFERROR(INDEX('[AQ_2024.xlsx]原始数据'!$C:$C,MATCH($A939,'[AQ_2024.xlsx]原始数据'!$A:$A,0)),""))</f>
        <v/>
      </c>
      <c r="L939">
        <f>IF($A939="","",IFERROR(INDEX('[AQ_2020.xlsx]原始数据'!$D:$D,MATCH($A939,'[AQ_2020.xlsx]原始数据'!$A:$A,0)),""))</f>
        <v/>
      </c>
      <c r="M939">
        <f>IF($A939="","",IFERROR(INDEX('[AQ_2021.xlsx]原始数据'!$D:$D,MATCH($A939,'[AQ_2021.xlsx]原始数据'!$A:$A,0)),""))</f>
        <v/>
      </c>
      <c r="N939">
        <f>IF($A939="","",IFERROR(INDEX('[AQ_2022.xlsx]原始数据'!$D:$D,MATCH($A939,'[AQ_2022.xlsx]原始数据'!$A:$A,0)),""))</f>
        <v/>
      </c>
      <c r="O939">
        <f>IF($A939="","",IFERROR(INDEX('[AQ_2023.xlsx]原始数据'!$D:$D,MATCH($A939,'[AQ_2023.xlsx]原始数据'!$A:$A,0)),""))</f>
        <v/>
      </c>
      <c r="P939">
        <f>IF($A939="","",IFERROR(INDEX('[AQ_2024.xlsx]原始数据'!$D:$D,MATCH($A939,'[AQ_2024.xlsx]原始数据'!$A:$A,0)),""))</f>
        <v/>
      </c>
      <c r="Q939">
        <f>IF($A939="","",IFERROR(INDEX('[AQ_2020.xlsx]原始数据'!$E:$E,MATCH($A939,'[AQ_2020.xlsx]原始数据'!$A:$A,0)),""))</f>
        <v/>
      </c>
      <c r="R939">
        <f>IF($A939="","",IFERROR(INDEX('[AQ_2021.xlsx]原始数据'!$E:$E,MATCH($A939,'[AQ_2021.xlsx]原始数据'!$A:$A,0)),""))</f>
        <v/>
      </c>
      <c r="S939">
        <f>IF($A939="","",IFERROR(INDEX('[AQ_2022.xlsx]原始数据'!$E:$E,MATCH($A939,'[AQ_2022.xlsx]原始数据'!$A:$A,0)),""))</f>
        <v/>
      </c>
      <c r="T939">
        <f>IF($A939="","",IFERROR(INDEX('[AQ_2023.xlsx]原始数据'!$E:$E,MATCH($A939,'[AQ_2023.xlsx]原始数据'!$A:$A,0)),""))</f>
        <v/>
      </c>
      <c r="U939">
        <f>IF($A939="","",IFERROR(INDEX('[AQ_2024.xlsx]原始数据'!$E:$E,MATCH($A939,'[AQ_2024.xlsx]原始数据'!$A:$A,0)),""))</f>
        <v/>
      </c>
      <c r="V939">
        <f>IF($A939="","",IFERROR(INDEX('[AQ_2020.xlsx]原始数据'!$F:$F,MATCH($A939,'[AQ_2020.xlsx]原始数据'!$A:$A,0)),""))</f>
        <v/>
      </c>
      <c r="W939">
        <f>IF($A939="","",IFERROR(INDEX('[AQ_2021.xlsx]原始数据'!$F:$F,MATCH($A939,'[AQ_2021.xlsx]原始数据'!$A:$A,0)),""))</f>
        <v/>
      </c>
      <c r="X939">
        <f>IF($A939="","",IFERROR(INDEX('[AQ_2022.xlsx]原始数据'!$F:$F,MATCH($A939,'[AQ_2022.xlsx]原始数据'!$A:$A,0)),""))</f>
        <v/>
      </c>
      <c r="Y939">
        <f>IF($A939="","",IFERROR(INDEX('[AQ_2023.xlsx]原始数据'!$F:$F,MATCH($A939,'[AQ_2023.xlsx]原始数据'!$A:$A,0)),""))</f>
        <v/>
      </c>
      <c r="Z939">
        <f>IF($A939="","",IFERROR(INDEX('[AQ_2024.xlsx]原始数据'!$F:$F,MATCH($A939,'[AQ_2024.xlsx]原始数据'!$A:$A,0)),""))</f>
        <v/>
      </c>
      <c r="AA939" s="2">
        <f>IFERROR(G939/B939,"")</f>
        <v/>
      </c>
      <c r="AB939" s="2">
        <f>IFERROR(H939/C939,"")</f>
        <v/>
      </c>
      <c r="AC939" s="2">
        <f>IFERROR(I939/D939,"")</f>
        <v/>
      </c>
      <c r="AD939" s="2">
        <f>IFERROR(J939/E939,"")</f>
        <v/>
      </c>
      <c r="AE939" s="2">
        <f>IFERROR(K939/F939,"")</f>
        <v/>
      </c>
      <c r="AF939" s="2">
        <f>IFERROR(L939/B939,"")</f>
        <v/>
      </c>
      <c r="AG939" s="2">
        <f>IFERROR(M939/C939,"")</f>
        <v/>
      </c>
      <c r="AH939" s="2">
        <f>IFERROR(N939/D939,"")</f>
        <v/>
      </c>
      <c r="AI939" s="2">
        <f>IFERROR(O939/E939,"")</f>
        <v/>
      </c>
      <c r="AJ939" s="2">
        <f>IFERROR(P939/F939,"")</f>
        <v/>
      </c>
      <c r="AK939" s="2">
        <f>IFERROR(Q939/B939,"")</f>
        <v/>
      </c>
      <c r="AL939" s="2">
        <f>IFERROR(R939/C939,"")</f>
        <v/>
      </c>
      <c r="AM939" s="2">
        <f>IFERROR(S939/D939,"")</f>
        <v/>
      </c>
      <c r="AN939" s="2">
        <f>IFERROR(T939/E939,"")</f>
        <v/>
      </c>
      <c r="AO939" s="2">
        <f>IFERROR(U939/F939,"")</f>
        <v/>
      </c>
    </row>
    <row r="940">
      <c r="B940">
        <f>IF($A940="","",IFERROR(INDEX('[AQ_2020.xlsx]原始数据'!$B:$B,MATCH($A940,'[AQ_2020.xlsx]原始数据'!$A:$A,0)),""))</f>
        <v/>
      </c>
      <c r="C940">
        <f>IF($A940="","",IFERROR(INDEX('[AQ_2021.xlsx]原始数据'!$B:$B,MATCH($A940,'[AQ_2021.xlsx]原始数据'!$A:$A,0)),""))</f>
        <v/>
      </c>
      <c r="D940">
        <f>IF($A940="","",IFERROR(INDEX('[AQ_2022.xlsx]原始数据'!$B:$B,MATCH($A940,'[AQ_2022.xlsx]原始数据'!$A:$A,0)),""))</f>
        <v/>
      </c>
      <c r="E940">
        <f>IF($A940="","",IFERROR(INDEX('[AQ_2023.xlsx]原始数据'!$B:$B,MATCH($A940,'[AQ_2023.xlsx]原始数据'!$A:$A,0)),""))</f>
        <v/>
      </c>
      <c r="F940">
        <f>IF($A940="","",IFERROR(INDEX('[AQ_2024.xlsx]原始数据'!$B:$B,MATCH($A940,'[AQ_2024.xlsx]原始数据'!$A:$A,0)),""))</f>
        <v/>
      </c>
      <c r="G940">
        <f>IF($A940="","",IFERROR(INDEX('[AQ_2020.xlsx]原始数据'!$C:$C,MATCH($A940,'[AQ_2020.xlsx]原始数据'!$A:$A,0)),""))</f>
        <v/>
      </c>
      <c r="H940">
        <f>IF($A940="","",IFERROR(INDEX('[AQ_2021.xlsx]原始数据'!$C:$C,MATCH($A940,'[AQ_2021.xlsx]原始数据'!$A:$A,0)),""))</f>
        <v/>
      </c>
      <c r="I940">
        <f>IF($A940="","",IFERROR(INDEX('[AQ_2022.xlsx]原始数据'!$C:$C,MATCH($A940,'[AQ_2022.xlsx]原始数据'!$A:$A,0)),""))</f>
        <v/>
      </c>
      <c r="J940">
        <f>IF($A940="","",IFERROR(INDEX('[AQ_2023.xlsx]原始数据'!$C:$C,MATCH($A940,'[AQ_2023.xlsx]原始数据'!$A:$A,0)),""))</f>
        <v/>
      </c>
      <c r="K940">
        <f>IF($A940="","",IFERROR(INDEX('[AQ_2024.xlsx]原始数据'!$C:$C,MATCH($A940,'[AQ_2024.xlsx]原始数据'!$A:$A,0)),""))</f>
        <v/>
      </c>
      <c r="L940">
        <f>IF($A940="","",IFERROR(INDEX('[AQ_2020.xlsx]原始数据'!$D:$D,MATCH($A940,'[AQ_2020.xlsx]原始数据'!$A:$A,0)),""))</f>
        <v/>
      </c>
      <c r="M940">
        <f>IF($A940="","",IFERROR(INDEX('[AQ_2021.xlsx]原始数据'!$D:$D,MATCH($A940,'[AQ_2021.xlsx]原始数据'!$A:$A,0)),""))</f>
        <v/>
      </c>
      <c r="N940">
        <f>IF($A940="","",IFERROR(INDEX('[AQ_2022.xlsx]原始数据'!$D:$D,MATCH($A940,'[AQ_2022.xlsx]原始数据'!$A:$A,0)),""))</f>
        <v/>
      </c>
      <c r="O940">
        <f>IF($A940="","",IFERROR(INDEX('[AQ_2023.xlsx]原始数据'!$D:$D,MATCH($A940,'[AQ_2023.xlsx]原始数据'!$A:$A,0)),""))</f>
        <v/>
      </c>
      <c r="P940">
        <f>IF($A940="","",IFERROR(INDEX('[AQ_2024.xlsx]原始数据'!$D:$D,MATCH($A940,'[AQ_2024.xlsx]原始数据'!$A:$A,0)),""))</f>
        <v/>
      </c>
      <c r="Q940">
        <f>IF($A940="","",IFERROR(INDEX('[AQ_2020.xlsx]原始数据'!$E:$E,MATCH($A940,'[AQ_2020.xlsx]原始数据'!$A:$A,0)),""))</f>
        <v/>
      </c>
      <c r="R940">
        <f>IF($A940="","",IFERROR(INDEX('[AQ_2021.xlsx]原始数据'!$E:$E,MATCH($A940,'[AQ_2021.xlsx]原始数据'!$A:$A,0)),""))</f>
        <v/>
      </c>
      <c r="S940">
        <f>IF($A940="","",IFERROR(INDEX('[AQ_2022.xlsx]原始数据'!$E:$E,MATCH($A940,'[AQ_2022.xlsx]原始数据'!$A:$A,0)),""))</f>
        <v/>
      </c>
      <c r="T940">
        <f>IF($A940="","",IFERROR(INDEX('[AQ_2023.xlsx]原始数据'!$E:$E,MATCH($A940,'[AQ_2023.xlsx]原始数据'!$A:$A,0)),""))</f>
        <v/>
      </c>
      <c r="U940">
        <f>IF($A940="","",IFERROR(INDEX('[AQ_2024.xlsx]原始数据'!$E:$E,MATCH($A940,'[AQ_2024.xlsx]原始数据'!$A:$A,0)),""))</f>
        <v/>
      </c>
      <c r="V940">
        <f>IF($A940="","",IFERROR(INDEX('[AQ_2020.xlsx]原始数据'!$F:$F,MATCH($A940,'[AQ_2020.xlsx]原始数据'!$A:$A,0)),""))</f>
        <v/>
      </c>
      <c r="W940">
        <f>IF($A940="","",IFERROR(INDEX('[AQ_2021.xlsx]原始数据'!$F:$F,MATCH($A940,'[AQ_2021.xlsx]原始数据'!$A:$A,0)),""))</f>
        <v/>
      </c>
      <c r="X940">
        <f>IF($A940="","",IFERROR(INDEX('[AQ_2022.xlsx]原始数据'!$F:$F,MATCH($A940,'[AQ_2022.xlsx]原始数据'!$A:$A,0)),""))</f>
        <v/>
      </c>
      <c r="Y940">
        <f>IF($A940="","",IFERROR(INDEX('[AQ_2023.xlsx]原始数据'!$F:$F,MATCH($A940,'[AQ_2023.xlsx]原始数据'!$A:$A,0)),""))</f>
        <v/>
      </c>
      <c r="Z940">
        <f>IF($A940="","",IFERROR(INDEX('[AQ_2024.xlsx]原始数据'!$F:$F,MATCH($A940,'[AQ_2024.xlsx]原始数据'!$A:$A,0)),""))</f>
        <v/>
      </c>
      <c r="AA940" s="2">
        <f>IFERROR(G940/B940,"")</f>
        <v/>
      </c>
      <c r="AB940" s="2">
        <f>IFERROR(H940/C940,"")</f>
        <v/>
      </c>
      <c r="AC940" s="2">
        <f>IFERROR(I940/D940,"")</f>
        <v/>
      </c>
      <c r="AD940" s="2">
        <f>IFERROR(J940/E940,"")</f>
        <v/>
      </c>
      <c r="AE940" s="2">
        <f>IFERROR(K940/F940,"")</f>
        <v/>
      </c>
      <c r="AF940" s="2">
        <f>IFERROR(L940/B940,"")</f>
        <v/>
      </c>
      <c r="AG940" s="2">
        <f>IFERROR(M940/C940,"")</f>
        <v/>
      </c>
      <c r="AH940" s="2">
        <f>IFERROR(N940/D940,"")</f>
        <v/>
      </c>
      <c r="AI940" s="2">
        <f>IFERROR(O940/E940,"")</f>
        <v/>
      </c>
      <c r="AJ940" s="2">
        <f>IFERROR(P940/F940,"")</f>
        <v/>
      </c>
      <c r="AK940" s="2">
        <f>IFERROR(Q940/B940,"")</f>
        <v/>
      </c>
      <c r="AL940" s="2">
        <f>IFERROR(R940/C940,"")</f>
        <v/>
      </c>
      <c r="AM940" s="2">
        <f>IFERROR(S940/D940,"")</f>
        <v/>
      </c>
      <c r="AN940" s="2">
        <f>IFERROR(T940/E940,"")</f>
        <v/>
      </c>
      <c r="AO940" s="2">
        <f>IFERROR(U940/F940,"")</f>
        <v/>
      </c>
    </row>
    <row r="941">
      <c r="B941">
        <f>IF($A941="","",IFERROR(INDEX('[AQ_2020.xlsx]原始数据'!$B:$B,MATCH($A941,'[AQ_2020.xlsx]原始数据'!$A:$A,0)),""))</f>
        <v/>
      </c>
      <c r="C941">
        <f>IF($A941="","",IFERROR(INDEX('[AQ_2021.xlsx]原始数据'!$B:$B,MATCH($A941,'[AQ_2021.xlsx]原始数据'!$A:$A,0)),""))</f>
        <v/>
      </c>
      <c r="D941">
        <f>IF($A941="","",IFERROR(INDEX('[AQ_2022.xlsx]原始数据'!$B:$B,MATCH($A941,'[AQ_2022.xlsx]原始数据'!$A:$A,0)),""))</f>
        <v/>
      </c>
      <c r="E941">
        <f>IF($A941="","",IFERROR(INDEX('[AQ_2023.xlsx]原始数据'!$B:$B,MATCH($A941,'[AQ_2023.xlsx]原始数据'!$A:$A,0)),""))</f>
        <v/>
      </c>
      <c r="F941">
        <f>IF($A941="","",IFERROR(INDEX('[AQ_2024.xlsx]原始数据'!$B:$B,MATCH($A941,'[AQ_2024.xlsx]原始数据'!$A:$A,0)),""))</f>
        <v/>
      </c>
      <c r="G941">
        <f>IF($A941="","",IFERROR(INDEX('[AQ_2020.xlsx]原始数据'!$C:$C,MATCH($A941,'[AQ_2020.xlsx]原始数据'!$A:$A,0)),""))</f>
        <v/>
      </c>
      <c r="H941">
        <f>IF($A941="","",IFERROR(INDEX('[AQ_2021.xlsx]原始数据'!$C:$C,MATCH($A941,'[AQ_2021.xlsx]原始数据'!$A:$A,0)),""))</f>
        <v/>
      </c>
      <c r="I941">
        <f>IF($A941="","",IFERROR(INDEX('[AQ_2022.xlsx]原始数据'!$C:$C,MATCH($A941,'[AQ_2022.xlsx]原始数据'!$A:$A,0)),""))</f>
        <v/>
      </c>
      <c r="J941">
        <f>IF($A941="","",IFERROR(INDEX('[AQ_2023.xlsx]原始数据'!$C:$C,MATCH($A941,'[AQ_2023.xlsx]原始数据'!$A:$A,0)),""))</f>
        <v/>
      </c>
      <c r="K941">
        <f>IF($A941="","",IFERROR(INDEX('[AQ_2024.xlsx]原始数据'!$C:$C,MATCH($A941,'[AQ_2024.xlsx]原始数据'!$A:$A,0)),""))</f>
        <v/>
      </c>
      <c r="L941">
        <f>IF($A941="","",IFERROR(INDEX('[AQ_2020.xlsx]原始数据'!$D:$D,MATCH($A941,'[AQ_2020.xlsx]原始数据'!$A:$A,0)),""))</f>
        <v/>
      </c>
      <c r="M941">
        <f>IF($A941="","",IFERROR(INDEX('[AQ_2021.xlsx]原始数据'!$D:$D,MATCH($A941,'[AQ_2021.xlsx]原始数据'!$A:$A,0)),""))</f>
        <v/>
      </c>
      <c r="N941">
        <f>IF($A941="","",IFERROR(INDEX('[AQ_2022.xlsx]原始数据'!$D:$D,MATCH($A941,'[AQ_2022.xlsx]原始数据'!$A:$A,0)),""))</f>
        <v/>
      </c>
      <c r="O941">
        <f>IF($A941="","",IFERROR(INDEX('[AQ_2023.xlsx]原始数据'!$D:$D,MATCH($A941,'[AQ_2023.xlsx]原始数据'!$A:$A,0)),""))</f>
        <v/>
      </c>
      <c r="P941">
        <f>IF($A941="","",IFERROR(INDEX('[AQ_2024.xlsx]原始数据'!$D:$D,MATCH($A941,'[AQ_2024.xlsx]原始数据'!$A:$A,0)),""))</f>
        <v/>
      </c>
      <c r="Q941">
        <f>IF($A941="","",IFERROR(INDEX('[AQ_2020.xlsx]原始数据'!$E:$E,MATCH($A941,'[AQ_2020.xlsx]原始数据'!$A:$A,0)),""))</f>
        <v/>
      </c>
      <c r="R941">
        <f>IF($A941="","",IFERROR(INDEX('[AQ_2021.xlsx]原始数据'!$E:$E,MATCH($A941,'[AQ_2021.xlsx]原始数据'!$A:$A,0)),""))</f>
        <v/>
      </c>
      <c r="S941">
        <f>IF($A941="","",IFERROR(INDEX('[AQ_2022.xlsx]原始数据'!$E:$E,MATCH($A941,'[AQ_2022.xlsx]原始数据'!$A:$A,0)),""))</f>
        <v/>
      </c>
      <c r="T941">
        <f>IF($A941="","",IFERROR(INDEX('[AQ_2023.xlsx]原始数据'!$E:$E,MATCH($A941,'[AQ_2023.xlsx]原始数据'!$A:$A,0)),""))</f>
        <v/>
      </c>
      <c r="U941">
        <f>IF($A941="","",IFERROR(INDEX('[AQ_2024.xlsx]原始数据'!$E:$E,MATCH($A941,'[AQ_2024.xlsx]原始数据'!$A:$A,0)),""))</f>
        <v/>
      </c>
      <c r="V941">
        <f>IF($A941="","",IFERROR(INDEX('[AQ_2020.xlsx]原始数据'!$F:$F,MATCH($A941,'[AQ_2020.xlsx]原始数据'!$A:$A,0)),""))</f>
        <v/>
      </c>
      <c r="W941">
        <f>IF($A941="","",IFERROR(INDEX('[AQ_2021.xlsx]原始数据'!$F:$F,MATCH($A941,'[AQ_2021.xlsx]原始数据'!$A:$A,0)),""))</f>
        <v/>
      </c>
      <c r="X941">
        <f>IF($A941="","",IFERROR(INDEX('[AQ_2022.xlsx]原始数据'!$F:$F,MATCH($A941,'[AQ_2022.xlsx]原始数据'!$A:$A,0)),""))</f>
        <v/>
      </c>
      <c r="Y941">
        <f>IF($A941="","",IFERROR(INDEX('[AQ_2023.xlsx]原始数据'!$F:$F,MATCH($A941,'[AQ_2023.xlsx]原始数据'!$A:$A,0)),""))</f>
        <v/>
      </c>
      <c r="Z941">
        <f>IF($A941="","",IFERROR(INDEX('[AQ_2024.xlsx]原始数据'!$F:$F,MATCH($A941,'[AQ_2024.xlsx]原始数据'!$A:$A,0)),""))</f>
        <v/>
      </c>
      <c r="AA941" s="2">
        <f>IFERROR(G941/B941,"")</f>
        <v/>
      </c>
      <c r="AB941" s="2">
        <f>IFERROR(H941/C941,"")</f>
        <v/>
      </c>
      <c r="AC941" s="2">
        <f>IFERROR(I941/D941,"")</f>
        <v/>
      </c>
      <c r="AD941" s="2">
        <f>IFERROR(J941/E941,"")</f>
        <v/>
      </c>
      <c r="AE941" s="2">
        <f>IFERROR(K941/F941,"")</f>
        <v/>
      </c>
      <c r="AF941" s="2">
        <f>IFERROR(L941/B941,"")</f>
        <v/>
      </c>
      <c r="AG941" s="2">
        <f>IFERROR(M941/C941,"")</f>
        <v/>
      </c>
      <c r="AH941" s="2">
        <f>IFERROR(N941/D941,"")</f>
        <v/>
      </c>
      <c r="AI941" s="2">
        <f>IFERROR(O941/E941,"")</f>
        <v/>
      </c>
      <c r="AJ941" s="2">
        <f>IFERROR(P941/F941,"")</f>
        <v/>
      </c>
      <c r="AK941" s="2">
        <f>IFERROR(Q941/B941,"")</f>
        <v/>
      </c>
      <c r="AL941" s="2">
        <f>IFERROR(R941/C941,"")</f>
        <v/>
      </c>
      <c r="AM941" s="2">
        <f>IFERROR(S941/D941,"")</f>
        <v/>
      </c>
      <c r="AN941" s="2">
        <f>IFERROR(T941/E941,"")</f>
        <v/>
      </c>
      <c r="AO941" s="2">
        <f>IFERROR(U941/F941,"")</f>
        <v/>
      </c>
    </row>
    <row r="942">
      <c r="B942">
        <f>IF($A942="","",IFERROR(INDEX('[AQ_2020.xlsx]原始数据'!$B:$B,MATCH($A942,'[AQ_2020.xlsx]原始数据'!$A:$A,0)),""))</f>
        <v/>
      </c>
      <c r="C942">
        <f>IF($A942="","",IFERROR(INDEX('[AQ_2021.xlsx]原始数据'!$B:$B,MATCH($A942,'[AQ_2021.xlsx]原始数据'!$A:$A,0)),""))</f>
        <v/>
      </c>
      <c r="D942">
        <f>IF($A942="","",IFERROR(INDEX('[AQ_2022.xlsx]原始数据'!$B:$B,MATCH($A942,'[AQ_2022.xlsx]原始数据'!$A:$A,0)),""))</f>
        <v/>
      </c>
      <c r="E942">
        <f>IF($A942="","",IFERROR(INDEX('[AQ_2023.xlsx]原始数据'!$B:$B,MATCH($A942,'[AQ_2023.xlsx]原始数据'!$A:$A,0)),""))</f>
        <v/>
      </c>
      <c r="F942">
        <f>IF($A942="","",IFERROR(INDEX('[AQ_2024.xlsx]原始数据'!$B:$B,MATCH($A942,'[AQ_2024.xlsx]原始数据'!$A:$A,0)),""))</f>
        <v/>
      </c>
      <c r="G942">
        <f>IF($A942="","",IFERROR(INDEX('[AQ_2020.xlsx]原始数据'!$C:$C,MATCH($A942,'[AQ_2020.xlsx]原始数据'!$A:$A,0)),""))</f>
        <v/>
      </c>
      <c r="H942">
        <f>IF($A942="","",IFERROR(INDEX('[AQ_2021.xlsx]原始数据'!$C:$C,MATCH($A942,'[AQ_2021.xlsx]原始数据'!$A:$A,0)),""))</f>
        <v/>
      </c>
      <c r="I942">
        <f>IF($A942="","",IFERROR(INDEX('[AQ_2022.xlsx]原始数据'!$C:$C,MATCH($A942,'[AQ_2022.xlsx]原始数据'!$A:$A,0)),""))</f>
        <v/>
      </c>
      <c r="J942">
        <f>IF($A942="","",IFERROR(INDEX('[AQ_2023.xlsx]原始数据'!$C:$C,MATCH($A942,'[AQ_2023.xlsx]原始数据'!$A:$A,0)),""))</f>
        <v/>
      </c>
      <c r="K942">
        <f>IF($A942="","",IFERROR(INDEX('[AQ_2024.xlsx]原始数据'!$C:$C,MATCH($A942,'[AQ_2024.xlsx]原始数据'!$A:$A,0)),""))</f>
        <v/>
      </c>
      <c r="L942">
        <f>IF($A942="","",IFERROR(INDEX('[AQ_2020.xlsx]原始数据'!$D:$D,MATCH($A942,'[AQ_2020.xlsx]原始数据'!$A:$A,0)),""))</f>
        <v/>
      </c>
      <c r="M942">
        <f>IF($A942="","",IFERROR(INDEX('[AQ_2021.xlsx]原始数据'!$D:$D,MATCH($A942,'[AQ_2021.xlsx]原始数据'!$A:$A,0)),""))</f>
        <v/>
      </c>
      <c r="N942">
        <f>IF($A942="","",IFERROR(INDEX('[AQ_2022.xlsx]原始数据'!$D:$D,MATCH($A942,'[AQ_2022.xlsx]原始数据'!$A:$A,0)),""))</f>
        <v/>
      </c>
      <c r="O942">
        <f>IF($A942="","",IFERROR(INDEX('[AQ_2023.xlsx]原始数据'!$D:$D,MATCH($A942,'[AQ_2023.xlsx]原始数据'!$A:$A,0)),""))</f>
        <v/>
      </c>
      <c r="P942">
        <f>IF($A942="","",IFERROR(INDEX('[AQ_2024.xlsx]原始数据'!$D:$D,MATCH($A942,'[AQ_2024.xlsx]原始数据'!$A:$A,0)),""))</f>
        <v/>
      </c>
      <c r="Q942">
        <f>IF($A942="","",IFERROR(INDEX('[AQ_2020.xlsx]原始数据'!$E:$E,MATCH($A942,'[AQ_2020.xlsx]原始数据'!$A:$A,0)),""))</f>
        <v/>
      </c>
      <c r="R942">
        <f>IF($A942="","",IFERROR(INDEX('[AQ_2021.xlsx]原始数据'!$E:$E,MATCH($A942,'[AQ_2021.xlsx]原始数据'!$A:$A,0)),""))</f>
        <v/>
      </c>
      <c r="S942">
        <f>IF($A942="","",IFERROR(INDEX('[AQ_2022.xlsx]原始数据'!$E:$E,MATCH($A942,'[AQ_2022.xlsx]原始数据'!$A:$A,0)),""))</f>
        <v/>
      </c>
      <c r="T942">
        <f>IF($A942="","",IFERROR(INDEX('[AQ_2023.xlsx]原始数据'!$E:$E,MATCH($A942,'[AQ_2023.xlsx]原始数据'!$A:$A,0)),""))</f>
        <v/>
      </c>
      <c r="U942">
        <f>IF($A942="","",IFERROR(INDEX('[AQ_2024.xlsx]原始数据'!$E:$E,MATCH($A942,'[AQ_2024.xlsx]原始数据'!$A:$A,0)),""))</f>
        <v/>
      </c>
      <c r="V942">
        <f>IF($A942="","",IFERROR(INDEX('[AQ_2020.xlsx]原始数据'!$F:$F,MATCH($A942,'[AQ_2020.xlsx]原始数据'!$A:$A,0)),""))</f>
        <v/>
      </c>
      <c r="W942">
        <f>IF($A942="","",IFERROR(INDEX('[AQ_2021.xlsx]原始数据'!$F:$F,MATCH($A942,'[AQ_2021.xlsx]原始数据'!$A:$A,0)),""))</f>
        <v/>
      </c>
      <c r="X942">
        <f>IF($A942="","",IFERROR(INDEX('[AQ_2022.xlsx]原始数据'!$F:$F,MATCH($A942,'[AQ_2022.xlsx]原始数据'!$A:$A,0)),""))</f>
        <v/>
      </c>
      <c r="Y942">
        <f>IF($A942="","",IFERROR(INDEX('[AQ_2023.xlsx]原始数据'!$F:$F,MATCH($A942,'[AQ_2023.xlsx]原始数据'!$A:$A,0)),""))</f>
        <v/>
      </c>
      <c r="Z942">
        <f>IF($A942="","",IFERROR(INDEX('[AQ_2024.xlsx]原始数据'!$F:$F,MATCH($A942,'[AQ_2024.xlsx]原始数据'!$A:$A,0)),""))</f>
        <v/>
      </c>
      <c r="AA942" s="2">
        <f>IFERROR(G942/B942,"")</f>
        <v/>
      </c>
      <c r="AB942" s="2">
        <f>IFERROR(H942/C942,"")</f>
        <v/>
      </c>
      <c r="AC942" s="2">
        <f>IFERROR(I942/D942,"")</f>
        <v/>
      </c>
      <c r="AD942" s="2">
        <f>IFERROR(J942/E942,"")</f>
        <v/>
      </c>
      <c r="AE942" s="2">
        <f>IFERROR(K942/F942,"")</f>
        <v/>
      </c>
      <c r="AF942" s="2">
        <f>IFERROR(L942/B942,"")</f>
        <v/>
      </c>
      <c r="AG942" s="2">
        <f>IFERROR(M942/C942,"")</f>
        <v/>
      </c>
      <c r="AH942" s="2">
        <f>IFERROR(N942/D942,"")</f>
        <v/>
      </c>
      <c r="AI942" s="2">
        <f>IFERROR(O942/E942,"")</f>
        <v/>
      </c>
      <c r="AJ942" s="2">
        <f>IFERROR(P942/F942,"")</f>
        <v/>
      </c>
      <c r="AK942" s="2">
        <f>IFERROR(Q942/B942,"")</f>
        <v/>
      </c>
      <c r="AL942" s="2">
        <f>IFERROR(R942/C942,"")</f>
        <v/>
      </c>
      <c r="AM942" s="2">
        <f>IFERROR(S942/D942,"")</f>
        <v/>
      </c>
      <c r="AN942" s="2">
        <f>IFERROR(T942/E942,"")</f>
        <v/>
      </c>
      <c r="AO942" s="2">
        <f>IFERROR(U942/F942,"")</f>
        <v/>
      </c>
    </row>
    <row r="943">
      <c r="B943">
        <f>IF($A943="","",IFERROR(INDEX('[AQ_2020.xlsx]原始数据'!$B:$B,MATCH($A943,'[AQ_2020.xlsx]原始数据'!$A:$A,0)),""))</f>
        <v/>
      </c>
      <c r="C943">
        <f>IF($A943="","",IFERROR(INDEX('[AQ_2021.xlsx]原始数据'!$B:$B,MATCH($A943,'[AQ_2021.xlsx]原始数据'!$A:$A,0)),""))</f>
        <v/>
      </c>
      <c r="D943">
        <f>IF($A943="","",IFERROR(INDEX('[AQ_2022.xlsx]原始数据'!$B:$B,MATCH($A943,'[AQ_2022.xlsx]原始数据'!$A:$A,0)),""))</f>
        <v/>
      </c>
      <c r="E943">
        <f>IF($A943="","",IFERROR(INDEX('[AQ_2023.xlsx]原始数据'!$B:$B,MATCH($A943,'[AQ_2023.xlsx]原始数据'!$A:$A,0)),""))</f>
        <v/>
      </c>
      <c r="F943">
        <f>IF($A943="","",IFERROR(INDEX('[AQ_2024.xlsx]原始数据'!$B:$B,MATCH($A943,'[AQ_2024.xlsx]原始数据'!$A:$A,0)),""))</f>
        <v/>
      </c>
      <c r="G943">
        <f>IF($A943="","",IFERROR(INDEX('[AQ_2020.xlsx]原始数据'!$C:$C,MATCH($A943,'[AQ_2020.xlsx]原始数据'!$A:$A,0)),""))</f>
        <v/>
      </c>
      <c r="H943">
        <f>IF($A943="","",IFERROR(INDEX('[AQ_2021.xlsx]原始数据'!$C:$C,MATCH($A943,'[AQ_2021.xlsx]原始数据'!$A:$A,0)),""))</f>
        <v/>
      </c>
      <c r="I943">
        <f>IF($A943="","",IFERROR(INDEX('[AQ_2022.xlsx]原始数据'!$C:$C,MATCH($A943,'[AQ_2022.xlsx]原始数据'!$A:$A,0)),""))</f>
        <v/>
      </c>
      <c r="J943">
        <f>IF($A943="","",IFERROR(INDEX('[AQ_2023.xlsx]原始数据'!$C:$C,MATCH($A943,'[AQ_2023.xlsx]原始数据'!$A:$A,0)),""))</f>
        <v/>
      </c>
      <c r="K943">
        <f>IF($A943="","",IFERROR(INDEX('[AQ_2024.xlsx]原始数据'!$C:$C,MATCH($A943,'[AQ_2024.xlsx]原始数据'!$A:$A,0)),""))</f>
        <v/>
      </c>
      <c r="L943">
        <f>IF($A943="","",IFERROR(INDEX('[AQ_2020.xlsx]原始数据'!$D:$D,MATCH($A943,'[AQ_2020.xlsx]原始数据'!$A:$A,0)),""))</f>
        <v/>
      </c>
      <c r="M943">
        <f>IF($A943="","",IFERROR(INDEX('[AQ_2021.xlsx]原始数据'!$D:$D,MATCH($A943,'[AQ_2021.xlsx]原始数据'!$A:$A,0)),""))</f>
        <v/>
      </c>
      <c r="N943">
        <f>IF($A943="","",IFERROR(INDEX('[AQ_2022.xlsx]原始数据'!$D:$D,MATCH($A943,'[AQ_2022.xlsx]原始数据'!$A:$A,0)),""))</f>
        <v/>
      </c>
      <c r="O943">
        <f>IF($A943="","",IFERROR(INDEX('[AQ_2023.xlsx]原始数据'!$D:$D,MATCH($A943,'[AQ_2023.xlsx]原始数据'!$A:$A,0)),""))</f>
        <v/>
      </c>
      <c r="P943">
        <f>IF($A943="","",IFERROR(INDEX('[AQ_2024.xlsx]原始数据'!$D:$D,MATCH($A943,'[AQ_2024.xlsx]原始数据'!$A:$A,0)),""))</f>
        <v/>
      </c>
      <c r="Q943">
        <f>IF($A943="","",IFERROR(INDEX('[AQ_2020.xlsx]原始数据'!$E:$E,MATCH($A943,'[AQ_2020.xlsx]原始数据'!$A:$A,0)),""))</f>
        <v/>
      </c>
      <c r="R943">
        <f>IF($A943="","",IFERROR(INDEX('[AQ_2021.xlsx]原始数据'!$E:$E,MATCH($A943,'[AQ_2021.xlsx]原始数据'!$A:$A,0)),""))</f>
        <v/>
      </c>
      <c r="S943">
        <f>IF($A943="","",IFERROR(INDEX('[AQ_2022.xlsx]原始数据'!$E:$E,MATCH($A943,'[AQ_2022.xlsx]原始数据'!$A:$A,0)),""))</f>
        <v/>
      </c>
      <c r="T943">
        <f>IF($A943="","",IFERROR(INDEX('[AQ_2023.xlsx]原始数据'!$E:$E,MATCH($A943,'[AQ_2023.xlsx]原始数据'!$A:$A,0)),""))</f>
        <v/>
      </c>
      <c r="U943">
        <f>IF($A943="","",IFERROR(INDEX('[AQ_2024.xlsx]原始数据'!$E:$E,MATCH($A943,'[AQ_2024.xlsx]原始数据'!$A:$A,0)),""))</f>
        <v/>
      </c>
      <c r="V943">
        <f>IF($A943="","",IFERROR(INDEX('[AQ_2020.xlsx]原始数据'!$F:$F,MATCH($A943,'[AQ_2020.xlsx]原始数据'!$A:$A,0)),""))</f>
        <v/>
      </c>
      <c r="W943">
        <f>IF($A943="","",IFERROR(INDEX('[AQ_2021.xlsx]原始数据'!$F:$F,MATCH($A943,'[AQ_2021.xlsx]原始数据'!$A:$A,0)),""))</f>
        <v/>
      </c>
      <c r="X943">
        <f>IF($A943="","",IFERROR(INDEX('[AQ_2022.xlsx]原始数据'!$F:$F,MATCH($A943,'[AQ_2022.xlsx]原始数据'!$A:$A,0)),""))</f>
        <v/>
      </c>
      <c r="Y943">
        <f>IF($A943="","",IFERROR(INDEX('[AQ_2023.xlsx]原始数据'!$F:$F,MATCH($A943,'[AQ_2023.xlsx]原始数据'!$A:$A,0)),""))</f>
        <v/>
      </c>
      <c r="Z943">
        <f>IF($A943="","",IFERROR(INDEX('[AQ_2024.xlsx]原始数据'!$F:$F,MATCH($A943,'[AQ_2024.xlsx]原始数据'!$A:$A,0)),""))</f>
        <v/>
      </c>
      <c r="AA943" s="2">
        <f>IFERROR(G943/B943,"")</f>
        <v/>
      </c>
      <c r="AB943" s="2">
        <f>IFERROR(H943/C943,"")</f>
        <v/>
      </c>
      <c r="AC943" s="2">
        <f>IFERROR(I943/D943,"")</f>
        <v/>
      </c>
      <c r="AD943" s="2">
        <f>IFERROR(J943/E943,"")</f>
        <v/>
      </c>
      <c r="AE943" s="2">
        <f>IFERROR(K943/F943,"")</f>
        <v/>
      </c>
      <c r="AF943" s="2">
        <f>IFERROR(L943/B943,"")</f>
        <v/>
      </c>
      <c r="AG943" s="2">
        <f>IFERROR(M943/C943,"")</f>
        <v/>
      </c>
      <c r="AH943" s="2">
        <f>IFERROR(N943/D943,"")</f>
        <v/>
      </c>
      <c r="AI943" s="2">
        <f>IFERROR(O943/E943,"")</f>
        <v/>
      </c>
      <c r="AJ943" s="2">
        <f>IFERROR(P943/F943,"")</f>
        <v/>
      </c>
      <c r="AK943" s="2">
        <f>IFERROR(Q943/B943,"")</f>
        <v/>
      </c>
      <c r="AL943" s="2">
        <f>IFERROR(R943/C943,"")</f>
        <v/>
      </c>
      <c r="AM943" s="2">
        <f>IFERROR(S943/D943,"")</f>
        <v/>
      </c>
      <c r="AN943" s="2">
        <f>IFERROR(T943/E943,"")</f>
        <v/>
      </c>
      <c r="AO943" s="2">
        <f>IFERROR(U943/F943,"")</f>
        <v/>
      </c>
    </row>
    <row r="944">
      <c r="B944">
        <f>IF($A944="","",IFERROR(INDEX('[AQ_2020.xlsx]原始数据'!$B:$B,MATCH($A944,'[AQ_2020.xlsx]原始数据'!$A:$A,0)),""))</f>
        <v/>
      </c>
      <c r="C944">
        <f>IF($A944="","",IFERROR(INDEX('[AQ_2021.xlsx]原始数据'!$B:$B,MATCH($A944,'[AQ_2021.xlsx]原始数据'!$A:$A,0)),""))</f>
        <v/>
      </c>
      <c r="D944">
        <f>IF($A944="","",IFERROR(INDEX('[AQ_2022.xlsx]原始数据'!$B:$B,MATCH($A944,'[AQ_2022.xlsx]原始数据'!$A:$A,0)),""))</f>
        <v/>
      </c>
      <c r="E944">
        <f>IF($A944="","",IFERROR(INDEX('[AQ_2023.xlsx]原始数据'!$B:$B,MATCH($A944,'[AQ_2023.xlsx]原始数据'!$A:$A,0)),""))</f>
        <v/>
      </c>
      <c r="F944">
        <f>IF($A944="","",IFERROR(INDEX('[AQ_2024.xlsx]原始数据'!$B:$B,MATCH($A944,'[AQ_2024.xlsx]原始数据'!$A:$A,0)),""))</f>
        <v/>
      </c>
      <c r="G944">
        <f>IF($A944="","",IFERROR(INDEX('[AQ_2020.xlsx]原始数据'!$C:$C,MATCH($A944,'[AQ_2020.xlsx]原始数据'!$A:$A,0)),""))</f>
        <v/>
      </c>
      <c r="H944">
        <f>IF($A944="","",IFERROR(INDEX('[AQ_2021.xlsx]原始数据'!$C:$C,MATCH($A944,'[AQ_2021.xlsx]原始数据'!$A:$A,0)),""))</f>
        <v/>
      </c>
      <c r="I944">
        <f>IF($A944="","",IFERROR(INDEX('[AQ_2022.xlsx]原始数据'!$C:$C,MATCH($A944,'[AQ_2022.xlsx]原始数据'!$A:$A,0)),""))</f>
        <v/>
      </c>
      <c r="J944">
        <f>IF($A944="","",IFERROR(INDEX('[AQ_2023.xlsx]原始数据'!$C:$C,MATCH($A944,'[AQ_2023.xlsx]原始数据'!$A:$A,0)),""))</f>
        <v/>
      </c>
      <c r="K944">
        <f>IF($A944="","",IFERROR(INDEX('[AQ_2024.xlsx]原始数据'!$C:$C,MATCH($A944,'[AQ_2024.xlsx]原始数据'!$A:$A,0)),""))</f>
        <v/>
      </c>
      <c r="L944">
        <f>IF($A944="","",IFERROR(INDEX('[AQ_2020.xlsx]原始数据'!$D:$D,MATCH($A944,'[AQ_2020.xlsx]原始数据'!$A:$A,0)),""))</f>
        <v/>
      </c>
      <c r="M944">
        <f>IF($A944="","",IFERROR(INDEX('[AQ_2021.xlsx]原始数据'!$D:$D,MATCH($A944,'[AQ_2021.xlsx]原始数据'!$A:$A,0)),""))</f>
        <v/>
      </c>
      <c r="N944">
        <f>IF($A944="","",IFERROR(INDEX('[AQ_2022.xlsx]原始数据'!$D:$D,MATCH($A944,'[AQ_2022.xlsx]原始数据'!$A:$A,0)),""))</f>
        <v/>
      </c>
      <c r="O944">
        <f>IF($A944="","",IFERROR(INDEX('[AQ_2023.xlsx]原始数据'!$D:$D,MATCH($A944,'[AQ_2023.xlsx]原始数据'!$A:$A,0)),""))</f>
        <v/>
      </c>
      <c r="P944">
        <f>IF($A944="","",IFERROR(INDEX('[AQ_2024.xlsx]原始数据'!$D:$D,MATCH($A944,'[AQ_2024.xlsx]原始数据'!$A:$A,0)),""))</f>
        <v/>
      </c>
      <c r="Q944">
        <f>IF($A944="","",IFERROR(INDEX('[AQ_2020.xlsx]原始数据'!$E:$E,MATCH($A944,'[AQ_2020.xlsx]原始数据'!$A:$A,0)),""))</f>
        <v/>
      </c>
      <c r="R944">
        <f>IF($A944="","",IFERROR(INDEX('[AQ_2021.xlsx]原始数据'!$E:$E,MATCH($A944,'[AQ_2021.xlsx]原始数据'!$A:$A,0)),""))</f>
        <v/>
      </c>
      <c r="S944">
        <f>IF($A944="","",IFERROR(INDEX('[AQ_2022.xlsx]原始数据'!$E:$E,MATCH($A944,'[AQ_2022.xlsx]原始数据'!$A:$A,0)),""))</f>
        <v/>
      </c>
      <c r="T944">
        <f>IF($A944="","",IFERROR(INDEX('[AQ_2023.xlsx]原始数据'!$E:$E,MATCH($A944,'[AQ_2023.xlsx]原始数据'!$A:$A,0)),""))</f>
        <v/>
      </c>
      <c r="U944">
        <f>IF($A944="","",IFERROR(INDEX('[AQ_2024.xlsx]原始数据'!$E:$E,MATCH($A944,'[AQ_2024.xlsx]原始数据'!$A:$A,0)),""))</f>
        <v/>
      </c>
      <c r="V944">
        <f>IF($A944="","",IFERROR(INDEX('[AQ_2020.xlsx]原始数据'!$F:$F,MATCH($A944,'[AQ_2020.xlsx]原始数据'!$A:$A,0)),""))</f>
        <v/>
      </c>
      <c r="W944">
        <f>IF($A944="","",IFERROR(INDEX('[AQ_2021.xlsx]原始数据'!$F:$F,MATCH($A944,'[AQ_2021.xlsx]原始数据'!$A:$A,0)),""))</f>
        <v/>
      </c>
      <c r="X944">
        <f>IF($A944="","",IFERROR(INDEX('[AQ_2022.xlsx]原始数据'!$F:$F,MATCH($A944,'[AQ_2022.xlsx]原始数据'!$A:$A,0)),""))</f>
        <v/>
      </c>
      <c r="Y944">
        <f>IF($A944="","",IFERROR(INDEX('[AQ_2023.xlsx]原始数据'!$F:$F,MATCH($A944,'[AQ_2023.xlsx]原始数据'!$A:$A,0)),""))</f>
        <v/>
      </c>
      <c r="Z944">
        <f>IF($A944="","",IFERROR(INDEX('[AQ_2024.xlsx]原始数据'!$F:$F,MATCH($A944,'[AQ_2024.xlsx]原始数据'!$A:$A,0)),""))</f>
        <v/>
      </c>
      <c r="AA944" s="2">
        <f>IFERROR(G944/B944,"")</f>
        <v/>
      </c>
      <c r="AB944" s="2">
        <f>IFERROR(H944/C944,"")</f>
        <v/>
      </c>
      <c r="AC944" s="2">
        <f>IFERROR(I944/D944,"")</f>
        <v/>
      </c>
      <c r="AD944" s="2">
        <f>IFERROR(J944/E944,"")</f>
        <v/>
      </c>
      <c r="AE944" s="2">
        <f>IFERROR(K944/F944,"")</f>
        <v/>
      </c>
      <c r="AF944" s="2">
        <f>IFERROR(L944/B944,"")</f>
        <v/>
      </c>
      <c r="AG944" s="2">
        <f>IFERROR(M944/C944,"")</f>
        <v/>
      </c>
      <c r="AH944" s="2">
        <f>IFERROR(N944/D944,"")</f>
        <v/>
      </c>
      <c r="AI944" s="2">
        <f>IFERROR(O944/E944,"")</f>
        <v/>
      </c>
      <c r="AJ944" s="2">
        <f>IFERROR(P944/F944,"")</f>
        <v/>
      </c>
      <c r="AK944" s="2">
        <f>IFERROR(Q944/B944,"")</f>
        <v/>
      </c>
      <c r="AL944" s="2">
        <f>IFERROR(R944/C944,"")</f>
        <v/>
      </c>
      <c r="AM944" s="2">
        <f>IFERROR(S944/D944,"")</f>
        <v/>
      </c>
      <c r="AN944" s="2">
        <f>IFERROR(T944/E944,"")</f>
        <v/>
      </c>
      <c r="AO944" s="2">
        <f>IFERROR(U944/F944,"")</f>
        <v/>
      </c>
    </row>
    <row r="945">
      <c r="B945">
        <f>IF($A945="","",IFERROR(INDEX('[AQ_2020.xlsx]原始数据'!$B:$B,MATCH($A945,'[AQ_2020.xlsx]原始数据'!$A:$A,0)),""))</f>
        <v/>
      </c>
      <c r="C945">
        <f>IF($A945="","",IFERROR(INDEX('[AQ_2021.xlsx]原始数据'!$B:$B,MATCH($A945,'[AQ_2021.xlsx]原始数据'!$A:$A,0)),""))</f>
        <v/>
      </c>
      <c r="D945">
        <f>IF($A945="","",IFERROR(INDEX('[AQ_2022.xlsx]原始数据'!$B:$B,MATCH($A945,'[AQ_2022.xlsx]原始数据'!$A:$A,0)),""))</f>
        <v/>
      </c>
      <c r="E945">
        <f>IF($A945="","",IFERROR(INDEX('[AQ_2023.xlsx]原始数据'!$B:$B,MATCH($A945,'[AQ_2023.xlsx]原始数据'!$A:$A,0)),""))</f>
        <v/>
      </c>
      <c r="F945">
        <f>IF($A945="","",IFERROR(INDEX('[AQ_2024.xlsx]原始数据'!$B:$B,MATCH($A945,'[AQ_2024.xlsx]原始数据'!$A:$A,0)),""))</f>
        <v/>
      </c>
      <c r="G945">
        <f>IF($A945="","",IFERROR(INDEX('[AQ_2020.xlsx]原始数据'!$C:$C,MATCH($A945,'[AQ_2020.xlsx]原始数据'!$A:$A,0)),""))</f>
        <v/>
      </c>
      <c r="H945">
        <f>IF($A945="","",IFERROR(INDEX('[AQ_2021.xlsx]原始数据'!$C:$C,MATCH($A945,'[AQ_2021.xlsx]原始数据'!$A:$A,0)),""))</f>
        <v/>
      </c>
      <c r="I945">
        <f>IF($A945="","",IFERROR(INDEX('[AQ_2022.xlsx]原始数据'!$C:$C,MATCH($A945,'[AQ_2022.xlsx]原始数据'!$A:$A,0)),""))</f>
        <v/>
      </c>
      <c r="J945">
        <f>IF($A945="","",IFERROR(INDEX('[AQ_2023.xlsx]原始数据'!$C:$C,MATCH($A945,'[AQ_2023.xlsx]原始数据'!$A:$A,0)),""))</f>
        <v/>
      </c>
      <c r="K945">
        <f>IF($A945="","",IFERROR(INDEX('[AQ_2024.xlsx]原始数据'!$C:$C,MATCH($A945,'[AQ_2024.xlsx]原始数据'!$A:$A,0)),""))</f>
        <v/>
      </c>
      <c r="L945">
        <f>IF($A945="","",IFERROR(INDEX('[AQ_2020.xlsx]原始数据'!$D:$D,MATCH($A945,'[AQ_2020.xlsx]原始数据'!$A:$A,0)),""))</f>
        <v/>
      </c>
      <c r="M945">
        <f>IF($A945="","",IFERROR(INDEX('[AQ_2021.xlsx]原始数据'!$D:$D,MATCH($A945,'[AQ_2021.xlsx]原始数据'!$A:$A,0)),""))</f>
        <v/>
      </c>
      <c r="N945">
        <f>IF($A945="","",IFERROR(INDEX('[AQ_2022.xlsx]原始数据'!$D:$D,MATCH($A945,'[AQ_2022.xlsx]原始数据'!$A:$A,0)),""))</f>
        <v/>
      </c>
      <c r="O945">
        <f>IF($A945="","",IFERROR(INDEX('[AQ_2023.xlsx]原始数据'!$D:$D,MATCH($A945,'[AQ_2023.xlsx]原始数据'!$A:$A,0)),""))</f>
        <v/>
      </c>
      <c r="P945">
        <f>IF($A945="","",IFERROR(INDEX('[AQ_2024.xlsx]原始数据'!$D:$D,MATCH($A945,'[AQ_2024.xlsx]原始数据'!$A:$A,0)),""))</f>
        <v/>
      </c>
      <c r="Q945">
        <f>IF($A945="","",IFERROR(INDEX('[AQ_2020.xlsx]原始数据'!$E:$E,MATCH($A945,'[AQ_2020.xlsx]原始数据'!$A:$A,0)),""))</f>
        <v/>
      </c>
      <c r="R945">
        <f>IF($A945="","",IFERROR(INDEX('[AQ_2021.xlsx]原始数据'!$E:$E,MATCH($A945,'[AQ_2021.xlsx]原始数据'!$A:$A,0)),""))</f>
        <v/>
      </c>
      <c r="S945">
        <f>IF($A945="","",IFERROR(INDEX('[AQ_2022.xlsx]原始数据'!$E:$E,MATCH($A945,'[AQ_2022.xlsx]原始数据'!$A:$A,0)),""))</f>
        <v/>
      </c>
      <c r="T945">
        <f>IF($A945="","",IFERROR(INDEX('[AQ_2023.xlsx]原始数据'!$E:$E,MATCH($A945,'[AQ_2023.xlsx]原始数据'!$A:$A,0)),""))</f>
        <v/>
      </c>
      <c r="U945">
        <f>IF($A945="","",IFERROR(INDEX('[AQ_2024.xlsx]原始数据'!$E:$E,MATCH($A945,'[AQ_2024.xlsx]原始数据'!$A:$A,0)),""))</f>
        <v/>
      </c>
      <c r="V945">
        <f>IF($A945="","",IFERROR(INDEX('[AQ_2020.xlsx]原始数据'!$F:$F,MATCH($A945,'[AQ_2020.xlsx]原始数据'!$A:$A,0)),""))</f>
        <v/>
      </c>
      <c r="W945">
        <f>IF($A945="","",IFERROR(INDEX('[AQ_2021.xlsx]原始数据'!$F:$F,MATCH($A945,'[AQ_2021.xlsx]原始数据'!$A:$A,0)),""))</f>
        <v/>
      </c>
      <c r="X945">
        <f>IF($A945="","",IFERROR(INDEX('[AQ_2022.xlsx]原始数据'!$F:$F,MATCH($A945,'[AQ_2022.xlsx]原始数据'!$A:$A,0)),""))</f>
        <v/>
      </c>
      <c r="Y945">
        <f>IF($A945="","",IFERROR(INDEX('[AQ_2023.xlsx]原始数据'!$F:$F,MATCH($A945,'[AQ_2023.xlsx]原始数据'!$A:$A,0)),""))</f>
        <v/>
      </c>
      <c r="Z945">
        <f>IF($A945="","",IFERROR(INDEX('[AQ_2024.xlsx]原始数据'!$F:$F,MATCH($A945,'[AQ_2024.xlsx]原始数据'!$A:$A,0)),""))</f>
        <v/>
      </c>
      <c r="AA945" s="2">
        <f>IFERROR(G945/B945,"")</f>
        <v/>
      </c>
      <c r="AB945" s="2">
        <f>IFERROR(H945/C945,"")</f>
        <v/>
      </c>
      <c r="AC945" s="2">
        <f>IFERROR(I945/D945,"")</f>
        <v/>
      </c>
      <c r="AD945" s="2">
        <f>IFERROR(J945/E945,"")</f>
        <v/>
      </c>
      <c r="AE945" s="2">
        <f>IFERROR(K945/F945,"")</f>
        <v/>
      </c>
      <c r="AF945" s="2">
        <f>IFERROR(L945/B945,"")</f>
        <v/>
      </c>
      <c r="AG945" s="2">
        <f>IFERROR(M945/C945,"")</f>
        <v/>
      </c>
      <c r="AH945" s="2">
        <f>IFERROR(N945/D945,"")</f>
        <v/>
      </c>
      <c r="AI945" s="2">
        <f>IFERROR(O945/E945,"")</f>
        <v/>
      </c>
      <c r="AJ945" s="2">
        <f>IFERROR(P945/F945,"")</f>
        <v/>
      </c>
      <c r="AK945" s="2">
        <f>IFERROR(Q945/B945,"")</f>
        <v/>
      </c>
      <c r="AL945" s="2">
        <f>IFERROR(R945/C945,"")</f>
        <v/>
      </c>
      <c r="AM945" s="2">
        <f>IFERROR(S945/D945,"")</f>
        <v/>
      </c>
      <c r="AN945" s="2">
        <f>IFERROR(T945/E945,"")</f>
        <v/>
      </c>
      <c r="AO945" s="2">
        <f>IFERROR(U945/F945,"")</f>
        <v/>
      </c>
    </row>
    <row r="946">
      <c r="B946">
        <f>IF($A946="","",IFERROR(INDEX('[AQ_2020.xlsx]原始数据'!$B:$B,MATCH($A946,'[AQ_2020.xlsx]原始数据'!$A:$A,0)),""))</f>
        <v/>
      </c>
      <c r="C946">
        <f>IF($A946="","",IFERROR(INDEX('[AQ_2021.xlsx]原始数据'!$B:$B,MATCH($A946,'[AQ_2021.xlsx]原始数据'!$A:$A,0)),""))</f>
        <v/>
      </c>
      <c r="D946">
        <f>IF($A946="","",IFERROR(INDEX('[AQ_2022.xlsx]原始数据'!$B:$B,MATCH($A946,'[AQ_2022.xlsx]原始数据'!$A:$A,0)),""))</f>
        <v/>
      </c>
      <c r="E946">
        <f>IF($A946="","",IFERROR(INDEX('[AQ_2023.xlsx]原始数据'!$B:$B,MATCH($A946,'[AQ_2023.xlsx]原始数据'!$A:$A,0)),""))</f>
        <v/>
      </c>
      <c r="F946">
        <f>IF($A946="","",IFERROR(INDEX('[AQ_2024.xlsx]原始数据'!$B:$B,MATCH($A946,'[AQ_2024.xlsx]原始数据'!$A:$A,0)),""))</f>
        <v/>
      </c>
      <c r="G946">
        <f>IF($A946="","",IFERROR(INDEX('[AQ_2020.xlsx]原始数据'!$C:$C,MATCH($A946,'[AQ_2020.xlsx]原始数据'!$A:$A,0)),""))</f>
        <v/>
      </c>
      <c r="H946">
        <f>IF($A946="","",IFERROR(INDEX('[AQ_2021.xlsx]原始数据'!$C:$C,MATCH($A946,'[AQ_2021.xlsx]原始数据'!$A:$A,0)),""))</f>
        <v/>
      </c>
      <c r="I946">
        <f>IF($A946="","",IFERROR(INDEX('[AQ_2022.xlsx]原始数据'!$C:$C,MATCH($A946,'[AQ_2022.xlsx]原始数据'!$A:$A,0)),""))</f>
        <v/>
      </c>
      <c r="J946">
        <f>IF($A946="","",IFERROR(INDEX('[AQ_2023.xlsx]原始数据'!$C:$C,MATCH($A946,'[AQ_2023.xlsx]原始数据'!$A:$A,0)),""))</f>
        <v/>
      </c>
      <c r="K946">
        <f>IF($A946="","",IFERROR(INDEX('[AQ_2024.xlsx]原始数据'!$C:$C,MATCH($A946,'[AQ_2024.xlsx]原始数据'!$A:$A,0)),""))</f>
        <v/>
      </c>
      <c r="L946">
        <f>IF($A946="","",IFERROR(INDEX('[AQ_2020.xlsx]原始数据'!$D:$D,MATCH($A946,'[AQ_2020.xlsx]原始数据'!$A:$A,0)),""))</f>
        <v/>
      </c>
      <c r="M946">
        <f>IF($A946="","",IFERROR(INDEX('[AQ_2021.xlsx]原始数据'!$D:$D,MATCH($A946,'[AQ_2021.xlsx]原始数据'!$A:$A,0)),""))</f>
        <v/>
      </c>
      <c r="N946">
        <f>IF($A946="","",IFERROR(INDEX('[AQ_2022.xlsx]原始数据'!$D:$D,MATCH($A946,'[AQ_2022.xlsx]原始数据'!$A:$A,0)),""))</f>
        <v/>
      </c>
      <c r="O946">
        <f>IF($A946="","",IFERROR(INDEX('[AQ_2023.xlsx]原始数据'!$D:$D,MATCH($A946,'[AQ_2023.xlsx]原始数据'!$A:$A,0)),""))</f>
        <v/>
      </c>
      <c r="P946">
        <f>IF($A946="","",IFERROR(INDEX('[AQ_2024.xlsx]原始数据'!$D:$D,MATCH($A946,'[AQ_2024.xlsx]原始数据'!$A:$A,0)),""))</f>
        <v/>
      </c>
      <c r="Q946">
        <f>IF($A946="","",IFERROR(INDEX('[AQ_2020.xlsx]原始数据'!$E:$E,MATCH($A946,'[AQ_2020.xlsx]原始数据'!$A:$A,0)),""))</f>
        <v/>
      </c>
      <c r="R946">
        <f>IF($A946="","",IFERROR(INDEX('[AQ_2021.xlsx]原始数据'!$E:$E,MATCH($A946,'[AQ_2021.xlsx]原始数据'!$A:$A,0)),""))</f>
        <v/>
      </c>
      <c r="S946">
        <f>IF($A946="","",IFERROR(INDEX('[AQ_2022.xlsx]原始数据'!$E:$E,MATCH($A946,'[AQ_2022.xlsx]原始数据'!$A:$A,0)),""))</f>
        <v/>
      </c>
      <c r="T946">
        <f>IF($A946="","",IFERROR(INDEX('[AQ_2023.xlsx]原始数据'!$E:$E,MATCH($A946,'[AQ_2023.xlsx]原始数据'!$A:$A,0)),""))</f>
        <v/>
      </c>
      <c r="U946">
        <f>IF($A946="","",IFERROR(INDEX('[AQ_2024.xlsx]原始数据'!$E:$E,MATCH($A946,'[AQ_2024.xlsx]原始数据'!$A:$A,0)),""))</f>
        <v/>
      </c>
      <c r="V946">
        <f>IF($A946="","",IFERROR(INDEX('[AQ_2020.xlsx]原始数据'!$F:$F,MATCH($A946,'[AQ_2020.xlsx]原始数据'!$A:$A,0)),""))</f>
        <v/>
      </c>
      <c r="W946">
        <f>IF($A946="","",IFERROR(INDEX('[AQ_2021.xlsx]原始数据'!$F:$F,MATCH($A946,'[AQ_2021.xlsx]原始数据'!$A:$A,0)),""))</f>
        <v/>
      </c>
      <c r="X946">
        <f>IF($A946="","",IFERROR(INDEX('[AQ_2022.xlsx]原始数据'!$F:$F,MATCH($A946,'[AQ_2022.xlsx]原始数据'!$A:$A,0)),""))</f>
        <v/>
      </c>
      <c r="Y946">
        <f>IF($A946="","",IFERROR(INDEX('[AQ_2023.xlsx]原始数据'!$F:$F,MATCH($A946,'[AQ_2023.xlsx]原始数据'!$A:$A,0)),""))</f>
        <v/>
      </c>
      <c r="Z946">
        <f>IF($A946="","",IFERROR(INDEX('[AQ_2024.xlsx]原始数据'!$F:$F,MATCH($A946,'[AQ_2024.xlsx]原始数据'!$A:$A,0)),""))</f>
        <v/>
      </c>
      <c r="AA946" s="2">
        <f>IFERROR(G946/B946,"")</f>
        <v/>
      </c>
      <c r="AB946" s="2">
        <f>IFERROR(H946/C946,"")</f>
        <v/>
      </c>
      <c r="AC946" s="2">
        <f>IFERROR(I946/D946,"")</f>
        <v/>
      </c>
      <c r="AD946" s="2">
        <f>IFERROR(J946/E946,"")</f>
        <v/>
      </c>
      <c r="AE946" s="2">
        <f>IFERROR(K946/F946,"")</f>
        <v/>
      </c>
      <c r="AF946" s="2">
        <f>IFERROR(L946/B946,"")</f>
        <v/>
      </c>
      <c r="AG946" s="2">
        <f>IFERROR(M946/C946,"")</f>
        <v/>
      </c>
      <c r="AH946" s="2">
        <f>IFERROR(N946/D946,"")</f>
        <v/>
      </c>
      <c r="AI946" s="2">
        <f>IFERROR(O946/E946,"")</f>
        <v/>
      </c>
      <c r="AJ946" s="2">
        <f>IFERROR(P946/F946,"")</f>
        <v/>
      </c>
      <c r="AK946" s="2">
        <f>IFERROR(Q946/B946,"")</f>
        <v/>
      </c>
      <c r="AL946" s="2">
        <f>IFERROR(R946/C946,"")</f>
        <v/>
      </c>
      <c r="AM946" s="2">
        <f>IFERROR(S946/D946,"")</f>
        <v/>
      </c>
      <c r="AN946" s="2">
        <f>IFERROR(T946/E946,"")</f>
        <v/>
      </c>
      <c r="AO946" s="2">
        <f>IFERROR(U946/F946,"")</f>
        <v/>
      </c>
    </row>
    <row r="947">
      <c r="B947">
        <f>IF($A947="","",IFERROR(INDEX('[AQ_2020.xlsx]原始数据'!$B:$B,MATCH($A947,'[AQ_2020.xlsx]原始数据'!$A:$A,0)),""))</f>
        <v/>
      </c>
      <c r="C947">
        <f>IF($A947="","",IFERROR(INDEX('[AQ_2021.xlsx]原始数据'!$B:$B,MATCH($A947,'[AQ_2021.xlsx]原始数据'!$A:$A,0)),""))</f>
        <v/>
      </c>
      <c r="D947">
        <f>IF($A947="","",IFERROR(INDEX('[AQ_2022.xlsx]原始数据'!$B:$B,MATCH($A947,'[AQ_2022.xlsx]原始数据'!$A:$A,0)),""))</f>
        <v/>
      </c>
      <c r="E947">
        <f>IF($A947="","",IFERROR(INDEX('[AQ_2023.xlsx]原始数据'!$B:$B,MATCH($A947,'[AQ_2023.xlsx]原始数据'!$A:$A,0)),""))</f>
        <v/>
      </c>
      <c r="F947">
        <f>IF($A947="","",IFERROR(INDEX('[AQ_2024.xlsx]原始数据'!$B:$B,MATCH($A947,'[AQ_2024.xlsx]原始数据'!$A:$A,0)),""))</f>
        <v/>
      </c>
      <c r="G947">
        <f>IF($A947="","",IFERROR(INDEX('[AQ_2020.xlsx]原始数据'!$C:$C,MATCH($A947,'[AQ_2020.xlsx]原始数据'!$A:$A,0)),""))</f>
        <v/>
      </c>
      <c r="H947">
        <f>IF($A947="","",IFERROR(INDEX('[AQ_2021.xlsx]原始数据'!$C:$C,MATCH($A947,'[AQ_2021.xlsx]原始数据'!$A:$A,0)),""))</f>
        <v/>
      </c>
      <c r="I947">
        <f>IF($A947="","",IFERROR(INDEX('[AQ_2022.xlsx]原始数据'!$C:$C,MATCH($A947,'[AQ_2022.xlsx]原始数据'!$A:$A,0)),""))</f>
        <v/>
      </c>
      <c r="J947">
        <f>IF($A947="","",IFERROR(INDEX('[AQ_2023.xlsx]原始数据'!$C:$C,MATCH($A947,'[AQ_2023.xlsx]原始数据'!$A:$A,0)),""))</f>
        <v/>
      </c>
      <c r="K947">
        <f>IF($A947="","",IFERROR(INDEX('[AQ_2024.xlsx]原始数据'!$C:$C,MATCH($A947,'[AQ_2024.xlsx]原始数据'!$A:$A,0)),""))</f>
        <v/>
      </c>
      <c r="L947">
        <f>IF($A947="","",IFERROR(INDEX('[AQ_2020.xlsx]原始数据'!$D:$D,MATCH($A947,'[AQ_2020.xlsx]原始数据'!$A:$A,0)),""))</f>
        <v/>
      </c>
      <c r="M947">
        <f>IF($A947="","",IFERROR(INDEX('[AQ_2021.xlsx]原始数据'!$D:$D,MATCH($A947,'[AQ_2021.xlsx]原始数据'!$A:$A,0)),""))</f>
        <v/>
      </c>
      <c r="N947">
        <f>IF($A947="","",IFERROR(INDEX('[AQ_2022.xlsx]原始数据'!$D:$D,MATCH($A947,'[AQ_2022.xlsx]原始数据'!$A:$A,0)),""))</f>
        <v/>
      </c>
      <c r="O947">
        <f>IF($A947="","",IFERROR(INDEX('[AQ_2023.xlsx]原始数据'!$D:$D,MATCH($A947,'[AQ_2023.xlsx]原始数据'!$A:$A,0)),""))</f>
        <v/>
      </c>
      <c r="P947">
        <f>IF($A947="","",IFERROR(INDEX('[AQ_2024.xlsx]原始数据'!$D:$D,MATCH($A947,'[AQ_2024.xlsx]原始数据'!$A:$A,0)),""))</f>
        <v/>
      </c>
      <c r="Q947">
        <f>IF($A947="","",IFERROR(INDEX('[AQ_2020.xlsx]原始数据'!$E:$E,MATCH($A947,'[AQ_2020.xlsx]原始数据'!$A:$A,0)),""))</f>
        <v/>
      </c>
      <c r="R947">
        <f>IF($A947="","",IFERROR(INDEX('[AQ_2021.xlsx]原始数据'!$E:$E,MATCH($A947,'[AQ_2021.xlsx]原始数据'!$A:$A,0)),""))</f>
        <v/>
      </c>
      <c r="S947">
        <f>IF($A947="","",IFERROR(INDEX('[AQ_2022.xlsx]原始数据'!$E:$E,MATCH($A947,'[AQ_2022.xlsx]原始数据'!$A:$A,0)),""))</f>
        <v/>
      </c>
      <c r="T947">
        <f>IF($A947="","",IFERROR(INDEX('[AQ_2023.xlsx]原始数据'!$E:$E,MATCH($A947,'[AQ_2023.xlsx]原始数据'!$A:$A,0)),""))</f>
        <v/>
      </c>
      <c r="U947">
        <f>IF($A947="","",IFERROR(INDEX('[AQ_2024.xlsx]原始数据'!$E:$E,MATCH($A947,'[AQ_2024.xlsx]原始数据'!$A:$A,0)),""))</f>
        <v/>
      </c>
      <c r="V947">
        <f>IF($A947="","",IFERROR(INDEX('[AQ_2020.xlsx]原始数据'!$F:$F,MATCH($A947,'[AQ_2020.xlsx]原始数据'!$A:$A,0)),""))</f>
        <v/>
      </c>
      <c r="W947">
        <f>IF($A947="","",IFERROR(INDEX('[AQ_2021.xlsx]原始数据'!$F:$F,MATCH($A947,'[AQ_2021.xlsx]原始数据'!$A:$A,0)),""))</f>
        <v/>
      </c>
      <c r="X947">
        <f>IF($A947="","",IFERROR(INDEX('[AQ_2022.xlsx]原始数据'!$F:$F,MATCH($A947,'[AQ_2022.xlsx]原始数据'!$A:$A,0)),""))</f>
        <v/>
      </c>
      <c r="Y947">
        <f>IF($A947="","",IFERROR(INDEX('[AQ_2023.xlsx]原始数据'!$F:$F,MATCH($A947,'[AQ_2023.xlsx]原始数据'!$A:$A,0)),""))</f>
        <v/>
      </c>
      <c r="Z947">
        <f>IF($A947="","",IFERROR(INDEX('[AQ_2024.xlsx]原始数据'!$F:$F,MATCH($A947,'[AQ_2024.xlsx]原始数据'!$A:$A,0)),""))</f>
        <v/>
      </c>
      <c r="AA947" s="2">
        <f>IFERROR(G947/B947,"")</f>
        <v/>
      </c>
      <c r="AB947" s="2">
        <f>IFERROR(H947/C947,"")</f>
        <v/>
      </c>
      <c r="AC947" s="2">
        <f>IFERROR(I947/D947,"")</f>
        <v/>
      </c>
      <c r="AD947" s="2">
        <f>IFERROR(J947/E947,"")</f>
        <v/>
      </c>
      <c r="AE947" s="2">
        <f>IFERROR(K947/F947,"")</f>
        <v/>
      </c>
      <c r="AF947" s="2">
        <f>IFERROR(L947/B947,"")</f>
        <v/>
      </c>
      <c r="AG947" s="2">
        <f>IFERROR(M947/C947,"")</f>
        <v/>
      </c>
      <c r="AH947" s="2">
        <f>IFERROR(N947/D947,"")</f>
        <v/>
      </c>
      <c r="AI947" s="2">
        <f>IFERROR(O947/E947,"")</f>
        <v/>
      </c>
      <c r="AJ947" s="2">
        <f>IFERROR(P947/F947,"")</f>
        <v/>
      </c>
      <c r="AK947" s="2">
        <f>IFERROR(Q947/B947,"")</f>
        <v/>
      </c>
      <c r="AL947" s="2">
        <f>IFERROR(R947/C947,"")</f>
        <v/>
      </c>
      <c r="AM947" s="2">
        <f>IFERROR(S947/D947,"")</f>
        <v/>
      </c>
      <c r="AN947" s="2">
        <f>IFERROR(T947/E947,"")</f>
        <v/>
      </c>
      <c r="AO947" s="2">
        <f>IFERROR(U947/F947,"")</f>
        <v/>
      </c>
    </row>
    <row r="948">
      <c r="B948">
        <f>IF($A948="","",IFERROR(INDEX('[AQ_2020.xlsx]原始数据'!$B:$B,MATCH($A948,'[AQ_2020.xlsx]原始数据'!$A:$A,0)),""))</f>
        <v/>
      </c>
      <c r="C948">
        <f>IF($A948="","",IFERROR(INDEX('[AQ_2021.xlsx]原始数据'!$B:$B,MATCH($A948,'[AQ_2021.xlsx]原始数据'!$A:$A,0)),""))</f>
        <v/>
      </c>
      <c r="D948">
        <f>IF($A948="","",IFERROR(INDEX('[AQ_2022.xlsx]原始数据'!$B:$B,MATCH($A948,'[AQ_2022.xlsx]原始数据'!$A:$A,0)),""))</f>
        <v/>
      </c>
      <c r="E948">
        <f>IF($A948="","",IFERROR(INDEX('[AQ_2023.xlsx]原始数据'!$B:$B,MATCH($A948,'[AQ_2023.xlsx]原始数据'!$A:$A,0)),""))</f>
        <v/>
      </c>
      <c r="F948">
        <f>IF($A948="","",IFERROR(INDEX('[AQ_2024.xlsx]原始数据'!$B:$B,MATCH($A948,'[AQ_2024.xlsx]原始数据'!$A:$A,0)),""))</f>
        <v/>
      </c>
      <c r="G948">
        <f>IF($A948="","",IFERROR(INDEX('[AQ_2020.xlsx]原始数据'!$C:$C,MATCH($A948,'[AQ_2020.xlsx]原始数据'!$A:$A,0)),""))</f>
        <v/>
      </c>
      <c r="H948">
        <f>IF($A948="","",IFERROR(INDEX('[AQ_2021.xlsx]原始数据'!$C:$C,MATCH($A948,'[AQ_2021.xlsx]原始数据'!$A:$A,0)),""))</f>
        <v/>
      </c>
      <c r="I948">
        <f>IF($A948="","",IFERROR(INDEX('[AQ_2022.xlsx]原始数据'!$C:$C,MATCH($A948,'[AQ_2022.xlsx]原始数据'!$A:$A,0)),""))</f>
        <v/>
      </c>
      <c r="J948">
        <f>IF($A948="","",IFERROR(INDEX('[AQ_2023.xlsx]原始数据'!$C:$C,MATCH($A948,'[AQ_2023.xlsx]原始数据'!$A:$A,0)),""))</f>
        <v/>
      </c>
      <c r="K948">
        <f>IF($A948="","",IFERROR(INDEX('[AQ_2024.xlsx]原始数据'!$C:$C,MATCH($A948,'[AQ_2024.xlsx]原始数据'!$A:$A,0)),""))</f>
        <v/>
      </c>
      <c r="L948">
        <f>IF($A948="","",IFERROR(INDEX('[AQ_2020.xlsx]原始数据'!$D:$D,MATCH($A948,'[AQ_2020.xlsx]原始数据'!$A:$A,0)),""))</f>
        <v/>
      </c>
      <c r="M948">
        <f>IF($A948="","",IFERROR(INDEX('[AQ_2021.xlsx]原始数据'!$D:$D,MATCH($A948,'[AQ_2021.xlsx]原始数据'!$A:$A,0)),""))</f>
        <v/>
      </c>
      <c r="N948">
        <f>IF($A948="","",IFERROR(INDEX('[AQ_2022.xlsx]原始数据'!$D:$D,MATCH($A948,'[AQ_2022.xlsx]原始数据'!$A:$A,0)),""))</f>
        <v/>
      </c>
      <c r="O948">
        <f>IF($A948="","",IFERROR(INDEX('[AQ_2023.xlsx]原始数据'!$D:$D,MATCH($A948,'[AQ_2023.xlsx]原始数据'!$A:$A,0)),""))</f>
        <v/>
      </c>
      <c r="P948">
        <f>IF($A948="","",IFERROR(INDEX('[AQ_2024.xlsx]原始数据'!$D:$D,MATCH($A948,'[AQ_2024.xlsx]原始数据'!$A:$A,0)),""))</f>
        <v/>
      </c>
      <c r="Q948">
        <f>IF($A948="","",IFERROR(INDEX('[AQ_2020.xlsx]原始数据'!$E:$E,MATCH($A948,'[AQ_2020.xlsx]原始数据'!$A:$A,0)),""))</f>
        <v/>
      </c>
      <c r="R948">
        <f>IF($A948="","",IFERROR(INDEX('[AQ_2021.xlsx]原始数据'!$E:$E,MATCH($A948,'[AQ_2021.xlsx]原始数据'!$A:$A,0)),""))</f>
        <v/>
      </c>
      <c r="S948">
        <f>IF($A948="","",IFERROR(INDEX('[AQ_2022.xlsx]原始数据'!$E:$E,MATCH($A948,'[AQ_2022.xlsx]原始数据'!$A:$A,0)),""))</f>
        <v/>
      </c>
      <c r="T948">
        <f>IF($A948="","",IFERROR(INDEX('[AQ_2023.xlsx]原始数据'!$E:$E,MATCH($A948,'[AQ_2023.xlsx]原始数据'!$A:$A,0)),""))</f>
        <v/>
      </c>
      <c r="U948">
        <f>IF($A948="","",IFERROR(INDEX('[AQ_2024.xlsx]原始数据'!$E:$E,MATCH($A948,'[AQ_2024.xlsx]原始数据'!$A:$A,0)),""))</f>
        <v/>
      </c>
      <c r="V948">
        <f>IF($A948="","",IFERROR(INDEX('[AQ_2020.xlsx]原始数据'!$F:$F,MATCH($A948,'[AQ_2020.xlsx]原始数据'!$A:$A,0)),""))</f>
        <v/>
      </c>
      <c r="W948">
        <f>IF($A948="","",IFERROR(INDEX('[AQ_2021.xlsx]原始数据'!$F:$F,MATCH($A948,'[AQ_2021.xlsx]原始数据'!$A:$A,0)),""))</f>
        <v/>
      </c>
      <c r="X948">
        <f>IF($A948="","",IFERROR(INDEX('[AQ_2022.xlsx]原始数据'!$F:$F,MATCH($A948,'[AQ_2022.xlsx]原始数据'!$A:$A,0)),""))</f>
        <v/>
      </c>
      <c r="Y948">
        <f>IF($A948="","",IFERROR(INDEX('[AQ_2023.xlsx]原始数据'!$F:$F,MATCH($A948,'[AQ_2023.xlsx]原始数据'!$A:$A,0)),""))</f>
        <v/>
      </c>
      <c r="Z948">
        <f>IF($A948="","",IFERROR(INDEX('[AQ_2024.xlsx]原始数据'!$F:$F,MATCH($A948,'[AQ_2024.xlsx]原始数据'!$A:$A,0)),""))</f>
        <v/>
      </c>
      <c r="AA948" s="2">
        <f>IFERROR(G948/B948,"")</f>
        <v/>
      </c>
      <c r="AB948" s="2">
        <f>IFERROR(H948/C948,"")</f>
        <v/>
      </c>
      <c r="AC948" s="2">
        <f>IFERROR(I948/D948,"")</f>
        <v/>
      </c>
      <c r="AD948" s="2">
        <f>IFERROR(J948/E948,"")</f>
        <v/>
      </c>
      <c r="AE948" s="2">
        <f>IFERROR(K948/F948,"")</f>
        <v/>
      </c>
      <c r="AF948" s="2">
        <f>IFERROR(L948/B948,"")</f>
        <v/>
      </c>
      <c r="AG948" s="2">
        <f>IFERROR(M948/C948,"")</f>
        <v/>
      </c>
      <c r="AH948" s="2">
        <f>IFERROR(N948/D948,"")</f>
        <v/>
      </c>
      <c r="AI948" s="2">
        <f>IFERROR(O948/E948,"")</f>
        <v/>
      </c>
      <c r="AJ948" s="2">
        <f>IFERROR(P948/F948,"")</f>
        <v/>
      </c>
      <c r="AK948" s="2">
        <f>IFERROR(Q948/B948,"")</f>
        <v/>
      </c>
      <c r="AL948" s="2">
        <f>IFERROR(R948/C948,"")</f>
        <v/>
      </c>
      <c r="AM948" s="2">
        <f>IFERROR(S948/D948,"")</f>
        <v/>
      </c>
      <c r="AN948" s="2">
        <f>IFERROR(T948/E948,"")</f>
        <v/>
      </c>
      <c r="AO948" s="2">
        <f>IFERROR(U948/F948,"")</f>
        <v/>
      </c>
    </row>
    <row r="949">
      <c r="B949">
        <f>IF($A949="","",IFERROR(INDEX('[AQ_2020.xlsx]原始数据'!$B:$B,MATCH($A949,'[AQ_2020.xlsx]原始数据'!$A:$A,0)),""))</f>
        <v/>
      </c>
      <c r="C949">
        <f>IF($A949="","",IFERROR(INDEX('[AQ_2021.xlsx]原始数据'!$B:$B,MATCH($A949,'[AQ_2021.xlsx]原始数据'!$A:$A,0)),""))</f>
        <v/>
      </c>
      <c r="D949">
        <f>IF($A949="","",IFERROR(INDEX('[AQ_2022.xlsx]原始数据'!$B:$B,MATCH($A949,'[AQ_2022.xlsx]原始数据'!$A:$A,0)),""))</f>
        <v/>
      </c>
      <c r="E949">
        <f>IF($A949="","",IFERROR(INDEX('[AQ_2023.xlsx]原始数据'!$B:$B,MATCH($A949,'[AQ_2023.xlsx]原始数据'!$A:$A,0)),""))</f>
        <v/>
      </c>
      <c r="F949">
        <f>IF($A949="","",IFERROR(INDEX('[AQ_2024.xlsx]原始数据'!$B:$B,MATCH($A949,'[AQ_2024.xlsx]原始数据'!$A:$A,0)),""))</f>
        <v/>
      </c>
      <c r="G949">
        <f>IF($A949="","",IFERROR(INDEX('[AQ_2020.xlsx]原始数据'!$C:$C,MATCH($A949,'[AQ_2020.xlsx]原始数据'!$A:$A,0)),""))</f>
        <v/>
      </c>
      <c r="H949">
        <f>IF($A949="","",IFERROR(INDEX('[AQ_2021.xlsx]原始数据'!$C:$C,MATCH($A949,'[AQ_2021.xlsx]原始数据'!$A:$A,0)),""))</f>
        <v/>
      </c>
      <c r="I949">
        <f>IF($A949="","",IFERROR(INDEX('[AQ_2022.xlsx]原始数据'!$C:$C,MATCH($A949,'[AQ_2022.xlsx]原始数据'!$A:$A,0)),""))</f>
        <v/>
      </c>
      <c r="J949">
        <f>IF($A949="","",IFERROR(INDEX('[AQ_2023.xlsx]原始数据'!$C:$C,MATCH($A949,'[AQ_2023.xlsx]原始数据'!$A:$A,0)),""))</f>
        <v/>
      </c>
      <c r="K949">
        <f>IF($A949="","",IFERROR(INDEX('[AQ_2024.xlsx]原始数据'!$C:$C,MATCH($A949,'[AQ_2024.xlsx]原始数据'!$A:$A,0)),""))</f>
        <v/>
      </c>
      <c r="L949">
        <f>IF($A949="","",IFERROR(INDEX('[AQ_2020.xlsx]原始数据'!$D:$D,MATCH($A949,'[AQ_2020.xlsx]原始数据'!$A:$A,0)),""))</f>
        <v/>
      </c>
      <c r="M949">
        <f>IF($A949="","",IFERROR(INDEX('[AQ_2021.xlsx]原始数据'!$D:$D,MATCH($A949,'[AQ_2021.xlsx]原始数据'!$A:$A,0)),""))</f>
        <v/>
      </c>
      <c r="N949">
        <f>IF($A949="","",IFERROR(INDEX('[AQ_2022.xlsx]原始数据'!$D:$D,MATCH($A949,'[AQ_2022.xlsx]原始数据'!$A:$A,0)),""))</f>
        <v/>
      </c>
      <c r="O949">
        <f>IF($A949="","",IFERROR(INDEX('[AQ_2023.xlsx]原始数据'!$D:$D,MATCH($A949,'[AQ_2023.xlsx]原始数据'!$A:$A,0)),""))</f>
        <v/>
      </c>
      <c r="P949">
        <f>IF($A949="","",IFERROR(INDEX('[AQ_2024.xlsx]原始数据'!$D:$D,MATCH($A949,'[AQ_2024.xlsx]原始数据'!$A:$A,0)),""))</f>
        <v/>
      </c>
      <c r="Q949">
        <f>IF($A949="","",IFERROR(INDEX('[AQ_2020.xlsx]原始数据'!$E:$E,MATCH($A949,'[AQ_2020.xlsx]原始数据'!$A:$A,0)),""))</f>
        <v/>
      </c>
      <c r="R949">
        <f>IF($A949="","",IFERROR(INDEX('[AQ_2021.xlsx]原始数据'!$E:$E,MATCH($A949,'[AQ_2021.xlsx]原始数据'!$A:$A,0)),""))</f>
        <v/>
      </c>
      <c r="S949">
        <f>IF($A949="","",IFERROR(INDEX('[AQ_2022.xlsx]原始数据'!$E:$E,MATCH($A949,'[AQ_2022.xlsx]原始数据'!$A:$A,0)),""))</f>
        <v/>
      </c>
      <c r="T949">
        <f>IF($A949="","",IFERROR(INDEX('[AQ_2023.xlsx]原始数据'!$E:$E,MATCH($A949,'[AQ_2023.xlsx]原始数据'!$A:$A,0)),""))</f>
        <v/>
      </c>
      <c r="U949">
        <f>IF($A949="","",IFERROR(INDEX('[AQ_2024.xlsx]原始数据'!$E:$E,MATCH($A949,'[AQ_2024.xlsx]原始数据'!$A:$A,0)),""))</f>
        <v/>
      </c>
      <c r="V949">
        <f>IF($A949="","",IFERROR(INDEX('[AQ_2020.xlsx]原始数据'!$F:$F,MATCH($A949,'[AQ_2020.xlsx]原始数据'!$A:$A,0)),""))</f>
        <v/>
      </c>
      <c r="W949">
        <f>IF($A949="","",IFERROR(INDEX('[AQ_2021.xlsx]原始数据'!$F:$F,MATCH($A949,'[AQ_2021.xlsx]原始数据'!$A:$A,0)),""))</f>
        <v/>
      </c>
      <c r="X949">
        <f>IF($A949="","",IFERROR(INDEX('[AQ_2022.xlsx]原始数据'!$F:$F,MATCH($A949,'[AQ_2022.xlsx]原始数据'!$A:$A,0)),""))</f>
        <v/>
      </c>
      <c r="Y949">
        <f>IF($A949="","",IFERROR(INDEX('[AQ_2023.xlsx]原始数据'!$F:$F,MATCH($A949,'[AQ_2023.xlsx]原始数据'!$A:$A,0)),""))</f>
        <v/>
      </c>
      <c r="Z949">
        <f>IF($A949="","",IFERROR(INDEX('[AQ_2024.xlsx]原始数据'!$F:$F,MATCH($A949,'[AQ_2024.xlsx]原始数据'!$A:$A,0)),""))</f>
        <v/>
      </c>
      <c r="AA949" s="2">
        <f>IFERROR(G949/B949,"")</f>
        <v/>
      </c>
      <c r="AB949" s="2">
        <f>IFERROR(H949/C949,"")</f>
        <v/>
      </c>
      <c r="AC949" s="2">
        <f>IFERROR(I949/D949,"")</f>
        <v/>
      </c>
      <c r="AD949" s="2">
        <f>IFERROR(J949/E949,"")</f>
        <v/>
      </c>
      <c r="AE949" s="2">
        <f>IFERROR(K949/F949,"")</f>
        <v/>
      </c>
      <c r="AF949" s="2">
        <f>IFERROR(L949/B949,"")</f>
        <v/>
      </c>
      <c r="AG949" s="2">
        <f>IFERROR(M949/C949,"")</f>
        <v/>
      </c>
      <c r="AH949" s="2">
        <f>IFERROR(N949/D949,"")</f>
        <v/>
      </c>
      <c r="AI949" s="2">
        <f>IFERROR(O949/E949,"")</f>
        <v/>
      </c>
      <c r="AJ949" s="2">
        <f>IFERROR(P949/F949,"")</f>
        <v/>
      </c>
      <c r="AK949" s="2">
        <f>IFERROR(Q949/B949,"")</f>
        <v/>
      </c>
      <c r="AL949" s="2">
        <f>IFERROR(R949/C949,"")</f>
        <v/>
      </c>
      <c r="AM949" s="2">
        <f>IFERROR(S949/D949,"")</f>
        <v/>
      </c>
      <c r="AN949" s="2">
        <f>IFERROR(T949/E949,"")</f>
        <v/>
      </c>
      <c r="AO949" s="2">
        <f>IFERROR(U949/F949,"")</f>
        <v/>
      </c>
    </row>
    <row r="950">
      <c r="B950">
        <f>IF($A950="","",IFERROR(INDEX('[AQ_2020.xlsx]原始数据'!$B:$B,MATCH($A950,'[AQ_2020.xlsx]原始数据'!$A:$A,0)),""))</f>
        <v/>
      </c>
      <c r="C950">
        <f>IF($A950="","",IFERROR(INDEX('[AQ_2021.xlsx]原始数据'!$B:$B,MATCH($A950,'[AQ_2021.xlsx]原始数据'!$A:$A,0)),""))</f>
        <v/>
      </c>
      <c r="D950">
        <f>IF($A950="","",IFERROR(INDEX('[AQ_2022.xlsx]原始数据'!$B:$B,MATCH($A950,'[AQ_2022.xlsx]原始数据'!$A:$A,0)),""))</f>
        <v/>
      </c>
      <c r="E950">
        <f>IF($A950="","",IFERROR(INDEX('[AQ_2023.xlsx]原始数据'!$B:$B,MATCH($A950,'[AQ_2023.xlsx]原始数据'!$A:$A,0)),""))</f>
        <v/>
      </c>
      <c r="F950">
        <f>IF($A950="","",IFERROR(INDEX('[AQ_2024.xlsx]原始数据'!$B:$B,MATCH($A950,'[AQ_2024.xlsx]原始数据'!$A:$A,0)),""))</f>
        <v/>
      </c>
      <c r="G950">
        <f>IF($A950="","",IFERROR(INDEX('[AQ_2020.xlsx]原始数据'!$C:$C,MATCH($A950,'[AQ_2020.xlsx]原始数据'!$A:$A,0)),""))</f>
        <v/>
      </c>
      <c r="H950">
        <f>IF($A950="","",IFERROR(INDEX('[AQ_2021.xlsx]原始数据'!$C:$C,MATCH($A950,'[AQ_2021.xlsx]原始数据'!$A:$A,0)),""))</f>
        <v/>
      </c>
      <c r="I950">
        <f>IF($A950="","",IFERROR(INDEX('[AQ_2022.xlsx]原始数据'!$C:$C,MATCH($A950,'[AQ_2022.xlsx]原始数据'!$A:$A,0)),""))</f>
        <v/>
      </c>
      <c r="J950">
        <f>IF($A950="","",IFERROR(INDEX('[AQ_2023.xlsx]原始数据'!$C:$C,MATCH($A950,'[AQ_2023.xlsx]原始数据'!$A:$A,0)),""))</f>
        <v/>
      </c>
      <c r="K950">
        <f>IF($A950="","",IFERROR(INDEX('[AQ_2024.xlsx]原始数据'!$C:$C,MATCH($A950,'[AQ_2024.xlsx]原始数据'!$A:$A,0)),""))</f>
        <v/>
      </c>
      <c r="L950">
        <f>IF($A950="","",IFERROR(INDEX('[AQ_2020.xlsx]原始数据'!$D:$D,MATCH($A950,'[AQ_2020.xlsx]原始数据'!$A:$A,0)),""))</f>
        <v/>
      </c>
      <c r="M950">
        <f>IF($A950="","",IFERROR(INDEX('[AQ_2021.xlsx]原始数据'!$D:$D,MATCH($A950,'[AQ_2021.xlsx]原始数据'!$A:$A,0)),""))</f>
        <v/>
      </c>
      <c r="N950">
        <f>IF($A950="","",IFERROR(INDEX('[AQ_2022.xlsx]原始数据'!$D:$D,MATCH($A950,'[AQ_2022.xlsx]原始数据'!$A:$A,0)),""))</f>
        <v/>
      </c>
      <c r="O950">
        <f>IF($A950="","",IFERROR(INDEX('[AQ_2023.xlsx]原始数据'!$D:$D,MATCH($A950,'[AQ_2023.xlsx]原始数据'!$A:$A,0)),""))</f>
        <v/>
      </c>
      <c r="P950">
        <f>IF($A950="","",IFERROR(INDEX('[AQ_2024.xlsx]原始数据'!$D:$D,MATCH($A950,'[AQ_2024.xlsx]原始数据'!$A:$A,0)),""))</f>
        <v/>
      </c>
      <c r="Q950">
        <f>IF($A950="","",IFERROR(INDEX('[AQ_2020.xlsx]原始数据'!$E:$E,MATCH($A950,'[AQ_2020.xlsx]原始数据'!$A:$A,0)),""))</f>
        <v/>
      </c>
      <c r="R950">
        <f>IF($A950="","",IFERROR(INDEX('[AQ_2021.xlsx]原始数据'!$E:$E,MATCH($A950,'[AQ_2021.xlsx]原始数据'!$A:$A,0)),""))</f>
        <v/>
      </c>
      <c r="S950">
        <f>IF($A950="","",IFERROR(INDEX('[AQ_2022.xlsx]原始数据'!$E:$E,MATCH($A950,'[AQ_2022.xlsx]原始数据'!$A:$A,0)),""))</f>
        <v/>
      </c>
      <c r="T950">
        <f>IF($A950="","",IFERROR(INDEX('[AQ_2023.xlsx]原始数据'!$E:$E,MATCH($A950,'[AQ_2023.xlsx]原始数据'!$A:$A,0)),""))</f>
        <v/>
      </c>
      <c r="U950">
        <f>IF($A950="","",IFERROR(INDEX('[AQ_2024.xlsx]原始数据'!$E:$E,MATCH($A950,'[AQ_2024.xlsx]原始数据'!$A:$A,0)),""))</f>
        <v/>
      </c>
      <c r="V950">
        <f>IF($A950="","",IFERROR(INDEX('[AQ_2020.xlsx]原始数据'!$F:$F,MATCH($A950,'[AQ_2020.xlsx]原始数据'!$A:$A,0)),""))</f>
        <v/>
      </c>
      <c r="W950">
        <f>IF($A950="","",IFERROR(INDEX('[AQ_2021.xlsx]原始数据'!$F:$F,MATCH($A950,'[AQ_2021.xlsx]原始数据'!$A:$A,0)),""))</f>
        <v/>
      </c>
      <c r="X950">
        <f>IF($A950="","",IFERROR(INDEX('[AQ_2022.xlsx]原始数据'!$F:$F,MATCH($A950,'[AQ_2022.xlsx]原始数据'!$A:$A,0)),""))</f>
        <v/>
      </c>
      <c r="Y950">
        <f>IF($A950="","",IFERROR(INDEX('[AQ_2023.xlsx]原始数据'!$F:$F,MATCH($A950,'[AQ_2023.xlsx]原始数据'!$A:$A,0)),""))</f>
        <v/>
      </c>
      <c r="Z950">
        <f>IF($A950="","",IFERROR(INDEX('[AQ_2024.xlsx]原始数据'!$F:$F,MATCH($A950,'[AQ_2024.xlsx]原始数据'!$A:$A,0)),""))</f>
        <v/>
      </c>
      <c r="AA950" s="2">
        <f>IFERROR(G950/B950,"")</f>
        <v/>
      </c>
      <c r="AB950" s="2">
        <f>IFERROR(H950/C950,"")</f>
        <v/>
      </c>
      <c r="AC950" s="2">
        <f>IFERROR(I950/D950,"")</f>
        <v/>
      </c>
      <c r="AD950" s="2">
        <f>IFERROR(J950/E950,"")</f>
        <v/>
      </c>
      <c r="AE950" s="2">
        <f>IFERROR(K950/F950,"")</f>
        <v/>
      </c>
      <c r="AF950" s="2">
        <f>IFERROR(L950/B950,"")</f>
        <v/>
      </c>
      <c r="AG950" s="2">
        <f>IFERROR(M950/C950,"")</f>
        <v/>
      </c>
      <c r="AH950" s="2">
        <f>IFERROR(N950/D950,"")</f>
        <v/>
      </c>
      <c r="AI950" s="2">
        <f>IFERROR(O950/E950,"")</f>
        <v/>
      </c>
      <c r="AJ950" s="2">
        <f>IFERROR(P950/F950,"")</f>
        <v/>
      </c>
      <c r="AK950" s="2">
        <f>IFERROR(Q950/B950,"")</f>
        <v/>
      </c>
      <c r="AL950" s="2">
        <f>IFERROR(R950/C950,"")</f>
        <v/>
      </c>
      <c r="AM950" s="2">
        <f>IFERROR(S950/D950,"")</f>
        <v/>
      </c>
      <c r="AN950" s="2">
        <f>IFERROR(T950/E950,"")</f>
        <v/>
      </c>
      <c r="AO950" s="2">
        <f>IFERROR(U950/F950,"")</f>
        <v/>
      </c>
    </row>
    <row r="951">
      <c r="B951">
        <f>IF($A951="","",IFERROR(INDEX('[AQ_2020.xlsx]原始数据'!$B:$B,MATCH($A951,'[AQ_2020.xlsx]原始数据'!$A:$A,0)),""))</f>
        <v/>
      </c>
      <c r="C951">
        <f>IF($A951="","",IFERROR(INDEX('[AQ_2021.xlsx]原始数据'!$B:$B,MATCH($A951,'[AQ_2021.xlsx]原始数据'!$A:$A,0)),""))</f>
        <v/>
      </c>
      <c r="D951">
        <f>IF($A951="","",IFERROR(INDEX('[AQ_2022.xlsx]原始数据'!$B:$B,MATCH($A951,'[AQ_2022.xlsx]原始数据'!$A:$A,0)),""))</f>
        <v/>
      </c>
      <c r="E951">
        <f>IF($A951="","",IFERROR(INDEX('[AQ_2023.xlsx]原始数据'!$B:$B,MATCH($A951,'[AQ_2023.xlsx]原始数据'!$A:$A,0)),""))</f>
        <v/>
      </c>
      <c r="F951">
        <f>IF($A951="","",IFERROR(INDEX('[AQ_2024.xlsx]原始数据'!$B:$B,MATCH($A951,'[AQ_2024.xlsx]原始数据'!$A:$A,0)),""))</f>
        <v/>
      </c>
      <c r="G951">
        <f>IF($A951="","",IFERROR(INDEX('[AQ_2020.xlsx]原始数据'!$C:$C,MATCH($A951,'[AQ_2020.xlsx]原始数据'!$A:$A,0)),""))</f>
        <v/>
      </c>
      <c r="H951">
        <f>IF($A951="","",IFERROR(INDEX('[AQ_2021.xlsx]原始数据'!$C:$C,MATCH($A951,'[AQ_2021.xlsx]原始数据'!$A:$A,0)),""))</f>
        <v/>
      </c>
      <c r="I951">
        <f>IF($A951="","",IFERROR(INDEX('[AQ_2022.xlsx]原始数据'!$C:$C,MATCH($A951,'[AQ_2022.xlsx]原始数据'!$A:$A,0)),""))</f>
        <v/>
      </c>
      <c r="J951">
        <f>IF($A951="","",IFERROR(INDEX('[AQ_2023.xlsx]原始数据'!$C:$C,MATCH($A951,'[AQ_2023.xlsx]原始数据'!$A:$A,0)),""))</f>
        <v/>
      </c>
      <c r="K951">
        <f>IF($A951="","",IFERROR(INDEX('[AQ_2024.xlsx]原始数据'!$C:$C,MATCH($A951,'[AQ_2024.xlsx]原始数据'!$A:$A,0)),""))</f>
        <v/>
      </c>
      <c r="L951">
        <f>IF($A951="","",IFERROR(INDEX('[AQ_2020.xlsx]原始数据'!$D:$D,MATCH($A951,'[AQ_2020.xlsx]原始数据'!$A:$A,0)),""))</f>
        <v/>
      </c>
      <c r="M951">
        <f>IF($A951="","",IFERROR(INDEX('[AQ_2021.xlsx]原始数据'!$D:$D,MATCH($A951,'[AQ_2021.xlsx]原始数据'!$A:$A,0)),""))</f>
        <v/>
      </c>
      <c r="N951">
        <f>IF($A951="","",IFERROR(INDEX('[AQ_2022.xlsx]原始数据'!$D:$D,MATCH($A951,'[AQ_2022.xlsx]原始数据'!$A:$A,0)),""))</f>
        <v/>
      </c>
      <c r="O951">
        <f>IF($A951="","",IFERROR(INDEX('[AQ_2023.xlsx]原始数据'!$D:$D,MATCH($A951,'[AQ_2023.xlsx]原始数据'!$A:$A,0)),""))</f>
        <v/>
      </c>
      <c r="P951">
        <f>IF($A951="","",IFERROR(INDEX('[AQ_2024.xlsx]原始数据'!$D:$D,MATCH($A951,'[AQ_2024.xlsx]原始数据'!$A:$A,0)),""))</f>
        <v/>
      </c>
      <c r="Q951">
        <f>IF($A951="","",IFERROR(INDEX('[AQ_2020.xlsx]原始数据'!$E:$E,MATCH($A951,'[AQ_2020.xlsx]原始数据'!$A:$A,0)),""))</f>
        <v/>
      </c>
      <c r="R951">
        <f>IF($A951="","",IFERROR(INDEX('[AQ_2021.xlsx]原始数据'!$E:$E,MATCH($A951,'[AQ_2021.xlsx]原始数据'!$A:$A,0)),""))</f>
        <v/>
      </c>
      <c r="S951">
        <f>IF($A951="","",IFERROR(INDEX('[AQ_2022.xlsx]原始数据'!$E:$E,MATCH($A951,'[AQ_2022.xlsx]原始数据'!$A:$A,0)),""))</f>
        <v/>
      </c>
      <c r="T951">
        <f>IF($A951="","",IFERROR(INDEX('[AQ_2023.xlsx]原始数据'!$E:$E,MATCH($A951,'[AQ_2023.xlsx]原始数据'!$A:$A,0)),""))</f>
        <v/>
      </c>
      <c r="U951">
        <f>IF($A951="","",IFERROR(INDEX('[AQ_2024.xlsx]原始数据'!$E:$E,MATCH($A951,'[AQ_2024.xlsx]原始数据'!$A:$A,0)),""))</f>
        <v/>
      </c>
      <c r="V951">
        <f>IF($A951="","",IFERROR(INDEX('[AQ_2020.xlsx]原始数据'!$F:$F,MATCH($A951,'[AQ_2020.xlsx]原始数据'!$A:$A,0)),""))</f>
        <v/>
      </c>
      <c r="W951">
        <f>IF($A951="","",IFERROR(INDEX('[AQ_2021.xlsx]原始数据'!$F:$F,MATCH($A951,'[AQ_2021.xlsx]原始数据'!$A:$A,0)),""))</f>
        <v/>
      </c>
      <c r="X951">
        <f>IF($A951="","",IFERROR(INDEX('[AQ_2022.xlsx]原始数据'!$F:$F,MATCH($A951,'[AQ_2022.xlsx]原始数据'!$A:$A,0)),""))</f>
        <v/>
      </c>
      <c r="Y951">
        <f>IF($A951="","",IFERROR(INDEX('[AQ_2023.xlsx]原始数据'!$F:$F,MATCH($A951,'[AQ_2023.xlsx]原始数据'!$A:$A,0)),""))</f>
        <v/>
      </c>
      <c r="Z951">
        <f>IF($A951="","",IFERROR(INDEX('[AQ_2024.xlsx]原始数据'!$F:$F,MATCH($A951,'[AQ_2024.xlsx]原始数据'!$A:$A,0)),""))</f>
        <v/>
      </c>
      <c r="AA951" s="2">
        <f>IFERROR(G951/B951,"")</f>
        <v/>
      </c>
      <c r="AB951" s="2">
        <f>IFERROR(H951/C951,"")</f>
        <v/>
      </c>
      <c r="AC951" s="2">
        <f>IFERROR(I951/D951,"")</f>
        <v/>
      </c>
      <c r="AD951" s="2">
        <f>IFERROR(J951/E951,"")</f>
        <v/>
      </c>
      <c r="AE951" s="2">
        <f>IFERROR(K951/F951,"")</f>
        <v/>
      </c>
      <c r="AF951" s="2">
        <f>IFERROR(L951/B951,"")</f>
        <v/>
      </c>
      <c r="AG951" s="2">
        <f>IFERROR(M951/C951,"")</f>
        <v/>
      </c>
      <c r="AH951" s="2">
        <f>IFERROR(N951/D951,"")</f>
        <v/>
      </c>
      <c r="AI951" s="2">
        <f>IFERROR(O951/E951,"")</f>
        <v/>
      </c>
      <c r="AJ951" s="2">
        <f>IFERROR(P951/F951,"")</f>
        <v/>
      </c>
      <c r="AK951" s="2">
        <f>IFERROR(Q951/B951,"")</f>
        <v/>
      </c>
      <c r="AL951" s="2">
        <f>IFERROR(R951/C951,"")</f>
        <v/>
      </c>
      <c r="AM951" s="2">
        <f>IFERROR(S951/D951,"")</f>
        <v/>
      </c>
      <c r="AN951" s="2">
        <f>IFERROR(T951/E951,"")</f>
        <v/>
      </c>
      <c r="AO951" s="2">
        <f>IFERROR(U951/F951,"")</f>
        <v/>
      </c>
    </row>
    <row r="952">
      <c r="B952">
        <f>IF($A952="","",IFERROR(INDEX('[AQ_2020.xlsx]原始数据'!$B:$B,MATCH($A952,'[AQ_2020.xlsx]原始数据'!$A:$A,0)),""))</f>
        <v/>
      </c>
      <c r="C952">
        <f>IF($A952="","",IFERROR(INDEX('[AQ_2021.xlsx]原始数据'!$B:$B,MATCH($A952,'[AQ_2021.xlsx]原始数据'!$A:$A,0)),""))</f>
        <v/>
      </c>
      <c r="D952">
        <f>IF($A952="","",IFERROR(INDEX('[AQ_2022.xlsx]原始数据'!$B:$B,MATCH($A952,'[AQ_2022.xlsx]原始数据'!$A:$A,0)),""))</f>
        <v/>
      </c>
      <c r="E952">
        <f>IF($A952="","",IFERROR(INDEX('[AQ_2023.xlsx]原始数据'!$B:$B,MATCH($A952,'[AQ_2023.xlsx]原始数据'!$A:$A,0)),""))</f>
        <v/>
      </c>
      <c r="F952">
        <f>IF($A952="","",IFERROR(INDEX('[AQ_2024.xlsx]原始数据'!$B:$B,MATCH($A952,'[AQ_2024.xlsx]原始数据'!$A:$A,0)),""))</f>
        <v/>
      </c>
      <c r="G952">
        <f>IF($A952="","",IFERROR(INDEX('[AQ_2020.xlsx]原始数据'!$C:$C,MATCH($A952,'[AQ_2020.xlsx]原始数据'!$A:$A,0)),""))</f>
        <v/>
      </c>
      <c r="H952">
        <f>IF($A952="","",IFERROR(INDEX('[AQ_2021.xlsx]原始数据'!$C:$C,MATCH($A952,'[AQ_2021.xlsx]原始数据'!$A:$A,0)),""))</f>
        <v/>
      </c>
      <c r="I952">
        <f>IF($A952="","",IFERROR(INDEX('[AQ_2022.xlsx]原始数据'!$C:$C,MATCH($A952,'[AQ_2022.xlsx]原始数据'!$A:$A,0)),""))</f>
        <v/>
      </c>
      <c r="J952">
        <f>IF($A952="","",IFERROR(INDEX('[AQ_2023.xlsx]原始数据'!$C:$C,MATCH($A952,'[AQ_2023.xlsx]原始数据'!$A:$A,0)),""))</f>
        <v/>
      </c>
      <c r="K952">
        <f>IF($A952="","",IFERROR(INDEX('[AQ_2024.xlsx]原始数据'!$C:$C,MATCH($A952,'[AQ_2024.xlsx]原始数据'!$A:$A,0)),""))</f>
        <v/>
      </c>
      <c r="L952">
        <f>IF($A952="","",IFERROR(INDEX('[AQ_2020.xlsx]原始数据'!$D:$D,MATCH($A952,'[AQ_2020.xlsx]原始数据'!$A:$A,0)),""))</f>
        <v/>
      </c>
      <c r="M952">
        <f>IF($A952="","",IFERROR(INDEX('[AQ_2021.xlsx]原始数据'!$D:$D,MATCH($A952,'[AQ_2021.xlsx]原始数据'!$A:$A,0)),""))</f>
        <v/>
      </c>
      <c r="N952">
        <f>IF($A952="","",IFERROR(INDEX('[AQ_2022.xlsx]原始数据'!$D:$D,MATCH($A952,'[AQ_2022.xlsx]原始数据'!$A:$A,0)),""))</f>
        <v/>
      </c>
      <c r="O952">
        <f>IF($A952="","",IFERROR(INDEX('[AQ_2023.xlsx]原始数据'!$D:$D,MATCH($A952,'[AQ_2023.xlsx]原始数据'!$A:$A,0)),""))</f>
        <v/>
      </c>
      <c r="P952">
        <f>IF($A952="","",IFERROR(INDEX('[AQ_2024.xlsx]原始数据'!$D:$D,MATCH($A952,'[AQ_2024.xlsx]原始数据'!$A:$A,0)),""))</f>
        <v/>
      </c>
      <c r="Q952">
        <f>IF($A952="","",IFERROR(INDEX('[AQ_2020.xlsx]原始数据'!$E:$E,MATCH($A952,'[AQ_2020.xlsx]原始数据'!$A:$A,0)),""))</f>
        <v/>
      </c>
      <c r="R952">
        <f>IF($A952="","",IFERROR(INDEX('[AQ_2021.xlsx]原始数据'!$E:$E,MATCH($A952,'[AQ_2021.xlsx]原始数据'!$A:$A,0)),""))</f>
        <v/>
      </c>
      <c r="S952">
        <f>IF($A952="","",IFERROR(INDEX('[AQ_2022.xlsx]原始数据'!$E:$E,MATCH($A952,'[AQ_2022.xlsx]原始数据'!$A:$A,0)),""))</f>
        <v/>
      </c>
      <c r="T952">
        <f>IF($A952="","",IFERROR(INDEX('[AQ_2023.xlsx]原始数据'!$E:$E,MATCH($A952,'[AQ_2023.xlsx]原始数据'!$A:$A,0)),""))</f>
        <v/>
      </c>
      <c r="U952">
        <f>IF($A952="","",IFERROR(INDEX('[AQ_2024.xlsx]原始数据'!$E:$E,MATCH($A952,'[AQ_2024.xlsx]原始数据'!$A:$A,0)),""))</f>
        <v/>
      </c>
      <c r="V952">
        <f>IF($A952="","",IFERROR(INDEX('[AQ_2020.xlsx]原始数据'!$F:$F,MATCH($A952,'[AQ_2020.xlsx]原始数据'!$A:$A,0)),""))</f>
        <v/>
      </c>
      <c r="W952">
        <f>IF($A952="","",IFERROR(INDEX('[AQ_2021.xlsx]原始数据'!$F:$F,MATCH($A952,'[AQ_2021.xlsx]原始数据'!$A:$A,0)),""))</f>
        <v/>
      </c>
      <c r="X952">
        <f>IF($A952="","",IFERROR(INDEX('[AQ_2022.xlsx]原始数据'!$F:$F,MATCH($A952,'[AQ_2022.xlsx]原始数据'!$A:$A,0)),""))</f>
        <v/>
      </c>
      <c r="Y952">
        <f>IF($A952="","",IFERROR(INDEX('[AQ_2023.xlsx]原始数据'!$F:$F,MATCH($A952,'[AQ_2023.xlsx]原始数据'!$A:$A,0)),""))</f>
        <v/>
      </c>
      <c r="Z952">
        <f>IF($A952="","",IFERROR(INDEX('[AQ_2024.xlsx]原始数据'!$F:$F,MATCH($A952,'[AQ_2024.xlsx]原始数据'!$A:$A,0)),""))</f>
        <v/>
      </c>
      <c r="AA952" s="2">
        <f>IFERROR(G952/B952,"")</f>
        <v/>
      </c>
      <c r="AB952" s="2">
        <f>IFERROR(H952/C952,"")</f>
        <v/>
      </c>
      <c r="AC952" s="2">
        <f>IFERROR(I952/D952,"")</f>
        <v/>
      </c>
      <c r="AD952" s="2">
        <f>IFERROR(J952/E952,"")</f>
        <v/>
      </c>
      <c r="AE952" s="2">
        <f>IFERROR(K952/F952,"")</f>
        <v/>
      </c>
      <c r="AF952" s="2">
        <f>IFERROR(L952/B952,"")</f>
        <v/>
      </c>
      <c r="AG952" s="2">
        <f>IFERROR(M952/C952,"")</f>
        <v/>
      </c>
      <c r="AH952" s="2">
        <f>IFERROR(N952/D952,"")</f>
        <v/>
      </c>
      <c r="AI952" s="2">
        <f>IFERROR(O952/E952,"")</f>
        <v/>
      </c>
      <c r="AJ952" s="2">
        <f>IFERROR(P952/F952,"")</f>
        <v/>
      </c>
      <c r="AK952" s="2">
        <f>IFERROR(Q952/B952,"")</f>
        <v/>
      </c>
      <c r="AL952" s="2">
        <f>IFERROR(R952/C952,"")</f>
        <v/>
      </c>
      <c r="AM952" s="2">
        <f>IFERROR(S952/D952,"")</f>
        <v/>
      </c>
      <c r="AN952" s="2">
        <f>IFERROR(T952/E952,"")</f>
        <v/>
      </c>
      <c r="AO952" s="2">
        <f>IFERROR(U952/F952,"")</f>
        <v/>
      </c>
    </row>
    <row r="953">
      <c r="B953">
        <f>IF($A953="","",IFERROR(INDEX('[AQ_2020.xlsx]原始数据'!$B:$B,MATCH($A953,'[AQ_2020.xlsx]原始数据'!$A:$A,0)),""))</f>
        <v/>
      </c>
      <c r="C953">
        <f>IF($A953="","",IFERROR(INDEX('[AQ_2021.xlsx]原始数据'!$B:$B,MATCH($A953,'[AQ_2021.xlsx]原始数据'!$A:$A,0)),""))</f>
        <v/>
      </c>
      <c r="D953">
        <f>IF($A953="","",IFERROR(INDEX('[AQ_2022.xlsx]原始数据'!$B:$B,MATCH($A953,'[AQ_2022.xlsx]原始数据'!$A:$A,0)),""))</f>
        <v/>
      </c>
      <c r="E953">
        <f>IF($A953="","",IFERROR(INDEX('[AQ_2023.xlsx]原始数据'!$B:$B,MATCH($A953,'[AQ_2023.xlsx]原始数据'!$A:$A,0)),""))</f>
        <v/>
      </c>
      <c r="F953">
        <f>IF($A953="","",IFERROR(INDEX('[AQ_2024.xlsx]原始数据'!$B:$B,MATCH($A953,'[AQ_2024.xlsx]原始数据'!$A:$A,0)),""))</f>
        <v/>
      </c>
      <c r="G953">
        <f>IF($A953="","",IFERROR(INDEX('[AQ_2020.xlsx]原始数据'!$C:$C,MATCH($A953,'[AQ_2020.xlsx]原始数据'!$A:$A,0)),""))</f>
        <v/>
      </c>
      <c r="H953">
        <f>IF($A953="","",IFERROR(INDEX('[AQ_2021.xlsx]原始数据'!$C:$C,MATCH($A953,'[AQ_2021.xlsx]原始数据'!$A:$A,0)),""))</f>
        <v/>
      </c>
      <c r="I953">
        <f>IF($A953="","",IFERROR(INDEX('[AQ_2022.xlsx]原始数据'!$C:$C,MATCH($A953,'[AQ_2022.xlsx]原始数据'!$A:$A,0)),""))</f>
        <v/>
      </c>
      <c r="J953">
        <f>IF($A953="","",IFERROR(INDEX('[AQ_2023.xlsx]原始数据'!$C:$C,MATCH($A953,'[AQ_2023.xlsx]原始数据'!$A:$A,0)),""))</f>
        <v/>
      </c>
      <c r="K953">
        <f>IF($A953="","",IFERROR(INDEX('[AQ_2024.xlsx]原始数据'!$C:$C,MATCH($A953,'[AQ_2024.xlsx]原始数据'!$A:$A,0)),""))</f>
        <v/>
      </c>
      <c r="L953">
        <f>IF($A953="","",IFERROR(INDEX('[AQ_2020.xlsx]原始数据'!$D:$D,MATCH($A953,'[AQ_2020.xlsx]原始数据'!$A:$A,0)),""))</f>
        <v/>
      </c>
      <c r="M953">
        <f>IF($A953="","",IFERROR(INDEX('[AQ_2021.xlsx]原始数据'!$D:$D,MATCH($A953,'[AQ_2021.xlsx]原始数据'!$A:$A,0)),""))</f>
        <v/>
      </c>
      <c r="N953">
        <f>IF($A953="","",IFERROR(INDEX('[AQ_2022.xlsx]原始数据'!$D:$D,MATCH($A953,'[AQ_2022.xlsx]原始数据'!$A:$A,0)),""))</f>
        <v/>
      </c>
      <c r="O953">
        <f>IF($A953="","",IFERROR(INDEX('[AQ_2023.xlsx]原始数据'!$D:$D,MATCH($A953,'[AQ_2023.xlsx]原始数据'!$A:$A,0)),""))</f>
        <v/>
      </c>
      <c r="P953">
        <f>IF($A953="","",IFERROR(INDEX('[AQ_2024.xlsx]原始数据'!$D:$D,MATCH($A953,'[AQ_2024.xlsx]原始数据'!$A:$A,0)),""))</f>
        <v/>
      </c>
      <c r="Q953">
        <f>IF($A953="","",IFERROR(INDEX('[AQ_2020.xlsx]原始数据'!$E:$E,MATCH($A953,'[AQ_2020.xlsx]原始数据'!$A:$A,0)),""))</f>
        <v/>
      </c>
      <c r="R953">
        <f>IF($A953="","",IFERROR(INDEX('[AQ_2021.xlsx]原始数据'!$E:$E,MATCH($A953,'[AQ_2021.xlsx]原始数据'!$A:$A,0)),""))</f>
        <v/>
      </c>
      <c r="S953">
        <f>IF($A953="","",IFERROR(INDEX('[AQ_2022.xlsx]原始数据'!$E:$E,MATCH($A953,'[AQ_2022.xlsx]原始数据'!$A:$A,0)),""))</f>
        <v/>
      </c>
      <c r="T953">
        <f>IF($A953="","",IFERROR(INDEX('[AQ_2023.xlsx]原始数据'!$E:$E,MATCH($A953,'[AQ_2023.xlsx]原始数据'!$A:$A,0)),""))</f>
        <v/>
      </c>
      <c r="U953">
        <f>IF($A953="","",IFERROR(INDEX('[AQ_2024.xlsx]原始数据'!$E:$E,MATCH($A953,'[AQ_2024.xlsx]原始数据'!$A:$A,0)),""))</f>
        <v/>
      </c>
      <c r="V953">
        <f>IF($A953="","",IFERROR(INDEX('[AQ_2020.xlsx]原始数据'!$F:$F,MATCH($A953,'[AQ_2020.xlsx]原始数据'!$A:$A,0)),""))</f>
        <v/>
      </c>
      <c r="W953">
        <f>IF($A953="","",IFERROR(INDEX('[AQ_2021.xlsx]原始数据'!$F:$F,MATCH($A953,'[AQ_2021.xlsx]原始数据'!$A:$A,0)),""))</f>
        <v/>
      </c>
      <c r="X953">
        <f>IF($A953="","",IFERROR(INDEX('[AQ_2022.xlsx]原始数据'!$F:$F,MATCH($A953,'[AQ_2022.xlsx]原始数据'!$A:$A,0)),""))</f>
        <v/>
      </c>
      <c r="Y953">
        <f>IF($A953="","",IFERROR(INDEX('[AQ_2023.xlsx]原始数据'!$F:$F,MATCH($A953,'[AQ_2023.xlsx]原始数据'!$A:$A,0)),""))</f>
        <v/>
      </c>
      <c r="Z953">
        <f>IF($A953="","",IFERROR(INDEX('[AQ_2024.xlsx]原始数据'!$F:$F,MATCH($A953,'[AQ_2024.xlsx]原始数据'!$A:$A,0)),""))</f>
        <v/>
      </c>
      <c r="AA953" s="2">
        <f>IFERROR(G953/B953,"")</f>
        <v/>
      </c>
      <c r="AB953" s="2">
        <f>IFERROR(H953/C953,"")</f>
        <v/>
      </c>
      <c r="AC953" s="2">
        <f>IFERROR(I953/D953,"")</f>
        <v/>
      </c>
      <c r="AD953" s="2">
        <f>IFERROR(J953/E953,"")</f>
        <v/>
      </c>
      <c r="AE953" s="2">
        <f>IFERROR(K953/F953,"")</f>
        <v/>
      </c>
      <c r="AF953" s="2">
        <f>IFERROR(L953/B953,"")</f>
        <v/>
      </c>
      <c r="AG953" s="2">
        <f>IFERROR(M953/C953,"")</f>
        <v/>
      </c>
      <c r="AH953" s="2">
        <f>IFERROR(N953/D953,"")</f>
        <v/>
      </c>
      <c r="AI953" s="2">
        <f>IFERROR(O953/E953,"")</f>
        <v/>
      </c>
      <c r="AJ953" s="2">
        <f>IFERROR(P953/F953,"")</f>
        <v/>
      </c>
      <c r="AK953" s="2">
        <f>IFERROR(Q953/B953,"")</f>
        <v/>
      </c>
      <c r="AL953" s="2">
        <f>IFERROR(R953/C953,"")</f>
        <v/>
      </c>
      <c r="AM953" s="2">
        <f>IFERROR(S953/D953,"")</f>
        <v/>
      </c>
      <c r="AN953" s="2">
        <f>IFERROR(T953/E953,"")</f>
        <v/>
      </c>
      <c r="AO953" s="2">
        <f>IFERROR(U953/F953,"")</f>
        <v/>
      </c>
    </row>
    <row r="954">
      <c r="B954">
        <f>IF($A954="","",IFERROR(INDEX('[AQ_2020.xlsx]原始数据'!$B:$B,MATCH($A954,'[AQ_2020.xlsx]原始数据'!$A:$A,0)),""))</f>
        <v/>
      </c>
      <c r="C954">
        <f>IF($A954="","",IFERROR(INDEX('[AQ_2021.xlsx]原始数据'!$B:$B,MATCH($A954,'[AQ_2021.xlsx]原始数据'!$A:$A,0)),""))</f>
        <v/>
      </c>
      <c r="D954">
        <f>IF($A954="","",IFERROR(INDEX('[AQ_2022.xlsx]原始数据'!$B:$B,MATCH($A954,'[AQ_2022.xlsx]原始数据'!$A:$A,0)),""))</f>
        <v/>
      </c>
      <c r="E954">
        <f>IF($A954="","",IFERROR(INDEX('[AQ_2023.xlsx]原始数据'!$B:$B,MATCH($A954,'[AQ_2023.xlsx]原始数据'!$A:$A,0)),""))</f>
        <v/>
      </c>
      <c r="F954">
        <f>IF($A954="","",IFERROR(INDEX('[AQ_2024.xlsx]原始数据'!$B:$B,MATCH($A954,'[AQ_2024.xlsx]原始数据'!$A:$A,0)),""))</f>
        <v/>
      </c>
      <c r="G954">
        <f>IF($A954="","",IFERROR(INDEX('[AQ_2020.xlsx]原始数据'!$C:$C,MATCH($A954,'[AQ_2020.xlsx]原始数据'!$A:$A,0)),""))</f>
        <v/>
      </c>
      <c r="H954">
        <f>IF($A954="","",IFERROR(INDEX('[AQ_2021.xlsx]原始数据'!$C:$C,MATCH($A954,'[AQ_2021.xlsx]原始数据'!$A:$A,0)),""))</f>
        <v/>
      </c>
      <c r="I954">
        <f>IF($A954="","",IFERROR(INDEX('[AQ_2022.xlsx]原始数据'!$C:$C,MATCH($A954,'[AQ_2022.xlsx]原始数据'!$A:$A,0)),""))</f>
        <v/>
      </c>
      <c r="J954">
        <f>IF($A954="","",IFERROR(INDEX('[AQ_2023.xlsx]原始数据'!$C:$C,MATCH($A954,'[AQ_2023.xlsx]原始数据'!$A:$A,0)),""))</f>
        <v/>
      </c>
      <c r="K954">
        <f>IF($A954="","",IFERROR(INDEX('[AQ_2024.xlsx]原始数据'!$C:$C,MATCH($A954,'[AQ_2024.xlsx]原始数据'!$A:$A,0)),""))</f>
        <v/>
      </c>
      <c r="L954">
        <f>IF($A954="","",IFERROR(INDEX('[AQ_2020.xlsx]原始数据'!$D:$D,MATCH($A954,'[AQ_2020.xlsx]原始数据'!$A:$A,0)),""))</f>
        <v/>
      </c>
      <c r="M954">
        <f>IF($A954="","",IFERROR(INDEX('[AQ_2021.xlsx]原始数据'!$D:$D,MATCH($A954,'[AQ_2021.xlsx]原始数据'!$A:$A,0)),""))</f>
        <v/>
      </c>
      <c r="N954">
        <f>IF($A954="","",IFERROR(INDEX('[AQ_2022.xlsx]原始数据'!$D:$D,MATCH($A954,'[AQ_2022.xlsx]原始数据'!$A:$A,0)),""))</f>
        <v/>
      </c>
      <c r="O954">
        <f>IF($A954="","",IFERROR(INDEX('[AQ_2023.xlsx]原始数据'!$D:$D,MATCH($A954,'[AQ_2023.xlsx]原始数据'!$A:$A,0)),""))</f>
        <v/>
      </c>
      <c r="P954">
        <f>IF($A954="","",IFERROR(INDEX('[AQ_2024.xlsx]原始数据'!$D:$D,MATCH($A954,'[AQ_2024.xlsx]原始数据'!$A:$A,0)),""))</f>
        <v/>
      </c>
      <c r="Q954">
        <f>IF($A954="","",IFERROR(INDEX('[AQ_2020.xlsx]原始数据'!$E:$E,MATCH($A954,'[AQ_2020.xlsx]原始数据'!$A:$A,0)),""))</f>
        <v/>
      </c>
      <c r="R954">
        <f>IF($A954="","",IFERROR(INDEX('[AQ_2021.xlsx]原始数据'!$E:$E,MATCH($A954,'[AQ_2021.xlsx]原始数据'!$A:$A,0)),""))</f>
        <v/>
      </c>
      <c r="S954">
        <f>IF($A954="","",IFERROR(INDEX('[AQ_2022.xlsx]原始数据'!$E:$E,MATCH($A954,'[AQ_2022.xlsx]原始数据'!$A:$A,0)),""))</f>
        <v/>
      </c>
      <c r="T954">
        <f>IF($A954="","",IFERROR(INDEX('[AQ_2023.xlsx]原始数据'!$E:$E,MATCH($A954,'[AQ_2023.xlsx]原始数据'!$A:$A,0)),""))</f>
        <v/>
      </c>
      <c r="U954">
        <f>IF($A954="","",IFERROR(INDEX('[AQ_2024.xlsx]原始数据'!$E:$E,MATCH($A954,'[AQ_2024.xlsx]原始数据'!$A:$A,0)),""))</f>
        <v/>
      </c>
      <c r="V954">
        <f>IF($A954="","",IFERROR(INDEX('[AQ_2020.xlsx]原始数据'!$F:$F,MATCH($A954,'[AQ_2020.xlsx]原始数据'!$A:$A,0)),""))</f>
        <v/>
      </c>
      <c r="W954">
        <f>IF($A954="","",IFERROR(INDEX('[AQ_2021.xlsx]原始数据'!$F:$F,MATCH($A954,'[AQ_2021.xlsx]原始数据'!$A:$A,0)),""))</f>
        <v/>
      </c>
      <c r="X954">
        <f>IF($A954="","",IFERROR(INDEX('[AQ_2022.xlsx]原始数据'!$F:$F,MATCH($A954,'[AQ_2022.xlsx]原始数据'!$A:$A,0)),""))</f>
        <v/>
      </c>
      <c r="Y954">
        <f>IF($A954="","",IFERROR(INDEX('[AQ_2023.xlsx]原始数据'!$F:$F,MATCH($A954,'[AQ_2023.xlsx]原始数据'!$A:$A,0)),""))</f>
        <v/>
      </c>
      <c r="Z954">
        <f>IF($A954="","",IFERROR(INDEX('[AQ_2024.xlsx]原始数据'!$F:$F,MATCH($A954,'[AQ_2024.xlsx]原始数据'!$A:$A,0)),""))</f>
        <v/>
      </c>
      <c r="AA954" s="2">
        <f>IFERROR(G954/B954,"")</f>
        <v/>
      </c>
      <c r="AB954" s="2">
        <f>IFERROR(H954/C954,"")</f>
        <v/>
      </c>
      <c r="AC954" s="2">
        <f>IFERROR(I954/D954,"")</f>
        <v/>
      </c>
      <c r="AD954" s="2">
        <f>IFERROR(J954/E954,"")</f>
        <v/>
      </c>
      <c r="AE954" s="2">
        <f>IFERROR(K954/F954,"")</f>
        <v/>
      </c>
      <c r="AF954" s="2">
        <f>IFERROR(L954/B954,"")</f>
        <v/>
      </c>
      <c r="AG954" s="2">
        <f>IFERROR(M954/C954,"")</f>
        <v/>
      </c>
      <c r="AH954" s="2">
        <f>IFERROR(N954/D954,"")</f>
        <v/>
      </c>
      <c r="AI954" s="2">
        <f>IFERROR(O954/E954,"")</f>
        <v/>
      </c>
      <c r="AJ954" s="2">
        <f>IFERROR(P954/F954,"")</f>
        <v/>
      </c>
      <c r="AK954" s="2">
        <f>IFERROR(Q954/B954,"")</f>
        <v/>
      </c>
      <c r="AL954" s="2">
        <f>IFERROR(R954/C954,"")</f>
        <v/>
      </c>
      <c r="AM954" s="2">
        <f>IFERROR(S954/D954,"")</f>
        <v/>
      </c>
      <c r="AN954" s="2">
        <f>IFERROR(T954/E954,"")</f>
        <v/>
      </c>
      <c r="AO954" s="2">
        <f>IFERROR(U954/F954,"")</f>
        <v/>
      </c>
    </row>
    <row r="955">
      <c r="B955">
        <f>IF($A955="","",IFERROR(INDEX('[AQ_2020.xlsx]原始数据'!$B:$B,MATCH($A955,'[AQ_2020.xlsx]原始数据'!$A:$A,0)),""))</f>
        <v/>
      </c>
      <c r="C955">
        <f>IF($A955="","",IFERROR(INDEX('[AQ_2021.xlsx]原始数据'!$B:$B,MATCH($A955,'[AQ_2021.xlsx]原始数据'!$A:$A,0)),""))</f>
        <v/>
      </c>
      <c r="D955">
        <f>IF($A955="","",IFERROR(INDEX('[AQ_2022.xlsx]原始数据'!$B:$B,MATCH($A955,'[AQ_2022.xlsx]原始数据'!$A:$A,0)),""))</f>
        <v/>
      </c>
      <c r="E955">
        <f>IF($A955="","",IFERROR(INDEX('[AQ_2023.xlsx]原始数据'!$B:$B,MATCH($A955,'[AQ_2023.xlsx]原始数据'!$A:$A,0)),""))</f>
        <v/>
      </c>
      <c r="F955">
        <f>IF($A955="","",IFERROR(INDEX('[AQ_2024.xlsx]原始数据'!$B:$B,MATCH($A955,'[AQ_2024.xlsx]原始数据'!$A:$A,0)),""))</f>
        <v/>
      </c>
      <c r="G955">
        <f>IF($A955="","",IFERROR(INDEX('[AQ_2020.xlsx]原始数据'!$C:$C,MATCH($A955,'[AQ_2020.xlsx]原始数据'!$A:$A,0)),""))</f>
        <v/>
      </c>
      <c r="H955">
        <f>IF($A955="","",IFERROR(INDEX('[AQ_2021.xlsx]原始数据'!$C:$C,MATCH($A955,'[AQ_2021.xlsx]原始数据'!$A:$A,0)),""))</f>
        <v/>
      </c>
      <c r="I955">
        <f>IF($A955="","",IFERROR(INDEX('[AQ_2022.xlsx]原始数据'!$C:$C,MATCH($A955,'[AQ_2022.xlsx]原始数据'!$A:$A,0)),""))</f>
        <v/>
      </c>
      <c r="J955">
        <f>IF($A955="","",IFERROR(INDEX('[AQ_2023.xlsx]原始数据'!$C:$C,MATCH($A955,'[AQ_2023.xlsx]原始数据'!$A:$A,0)),""))</f>
        <v/>
      </c>
      <c r="K955">
        <f>IF($A955="","",IFERROR(INDEX('[AQ_2024.xlsx]原始数据'!$C:$C,MATCH($A955,'[AQ_2024.xlsx]原始数据'!$A:$A,0)),""))</f>
        <v/>
      </c>
      <c r="L955">
        <f>IF($A955="","",IFERROR(INDEX('[AQ_2020.xlsx]原始数据'!$D:$D,MATCH($A955,'[AQ_2020.xlsx]原始数据'!$A:$A,0)),""))</f>
        <v/>
      </c>
      <c r="M955">
        <f>IF($A955="","",IFERROR(INDEX('[AQ_2021.xlsx]原始数据'!$D:$D,MATCH($A955,'[AQ_2021.xlsx]原始数据'!$A:$A,0)),""))</f>
        <v/>
      </c>
      <c r="N955">
        <f>IF($A955="","",IFERROR(INDEX('[AQ_2022.xlsx]原始数据'!$D:$D,MATCH($A955,'[AQ_2022.xlsx]原始数据'!$A:$A,0)),""))</f>
        <v/>
      </c>
      <c r="O955">
        <f>IF($A955="","",IFERROR(INDEX('[AQ_2023.xlsx]原始数据'!$D:$D,MATCH($A955,'[AQ_2023.xlsx]原始数据'!$A:$A,0)),""))</f>
        <v/>
      </c>
      <c r="P955">
        <f>IF($A955="","",IFERROR(INDEX('[AQ_2024.xlsx]原始数据'!$D:$D,MATCH($A955,'[AQ_2024.xlsx]原始数据'!$A:$A,0)),""))</f>
        <v/>
      </c>
      <c r="Q955">
        <f>IF($A955="","",IFERROR(INDEX('[AQ_2020.xlsx]原始数据'!$E:$E,MATCH($A955,'[AQ_2020.xlsx]原始数据'!$A:$A,0)),""))</f>
        <v/>
      </c>
      <c r="R955">
        <f>IF($A955="","",IFERROR(INDEX('[AQ_2021.xlsx]原始数据'!$E:$E,MATCH($A955,'[AQ_2021.xlsx]原始数据'!$A:$A,0)),""))</f>
        <v/>
      </c>
      <c r="S955">
        <f>IF($A955="","",IFERROR(INDEX('[AQ_2022.xlsx]原始数据'!$E:$E,MATCH($A955,'[AQ_2022.xlsx]原始数据'!$A:$A,0)),""))</f>
        <v/>
      </c>
      <c r="T955">
        <f>IF($A955="","",IFERROR(INDEX('[AQ_2023.xlsx]原始数据'!$E:$E,MATCH($A955,'[AQ_2023.xlsx]原始数据'!$A:$A,0)),""))</f>
        <v/>
      </c>
      <c r="U955">
        <f>IF($A955="","",IFERROR(INDEX('[AQ_2024.xlsx]原始数据'!$E:$E,MATCH($A955,'[AQ_2024.xlsx]原始数据'!$A:$A,0)),""))</f>
        <v/>
      </c>
      <c r="V955">
        <f>IF($A955="","",IFERROR(INDEX('[AQ_2020.xlsx]原始数据'!$F:$F,MATCH($A955,'[AQ_2020.xlsx]原始数据'!$A:$A,0)),""))</f>
        <v/>
      </c>
      <c r="W955">
        <f>IF($A955="","",IFERROR(INDEX('[AQ_2021.xlsx]原始数据'!$F:$F,MATCH($A955,'[AQ_2021.xlsx]原始数据'!$A:$A,0)),""))</f>
        <v/>
      </c>
      <c r="X955">
        <f>IF($A955="","",IFERROR(INDEX('[AQ_2022.xlsx]原始数据'!$F:$F,MATCH($A955,'[AQ_2022.xlsx]原始数据'!$A:$A,0)),""))</f>
        <v/>
      </c>
      <c r="Y955">
        <f>IF($A955="","",IFERROR(INDEX('[AQ_2023.xlsx]原始数据'!$F:$F,MATCH($A955,'[AQ_2023.xlsx]原始数据'!$A:$A,0)),""))</f>
        <v/>
      </c>
      <c r="Z955">
        <f>IF($A955="","",IFERROR(INDEX('[AQ_2024.xlsx]原始数据'!$F:$F,MATCH($A955,'[AQ_2024.xlsx]原始数据'!$A:$A,0)),""))</f>
        <v/>
      </c>
      <c r="AA955" s="2">
        <f>IFERROR(G955/B955,"")</f>
        <v/>
      </c>
      <c r="AB955" s="2">
        <f>IFERROR(H955/C955,"")</f>
        <v/>
      </c>
      <c r="AC955" s="2">
        <f>IFERROR(I955/D955,"")</f>
        <v/>
      </c>
      <c r="AD955" s="2">
        <f>IFERROR(J955/E955,"")</f>
        <v/>
      </c>
      <c r="AE955" s="2">
        <f>IFERROR(K955/F955,"")</f>
        <v/>
      </c>
      <c r="AF955" s="2">
        <f>IFERROR(L955/B955,"")</f>
        <v/>
      </c>
      <c r="AG955" s="2">
        <f>IFERROR(M955/C955,"")</f>
        <v/>
      </c>
      <c r="AH955" s="2">
        <f>IFERROR(N955/D955,"")</f>
        <v/>
      </c>
      <c r="AI955" s="2">
        <f>IFERROR(O955/E955,"")</f>
        <v/>
      </c>
      <c r="AJ955" s="2">
        <f>IFERROR(P955/F955,"")</f>
        <v/>
      </c>
      <c r="AK955" s="2">
        <f>IFERROR(Q955/B955,"")</f>
        <v/>
      </c>
      <c r="AL955" s="2">
        <f>IFERROR(R955/C955,"")</f>
        <v/>
      </c>
      <c r="AM955" s="2">
        <f>IFERROR(S955/D955,"")</f>
        <v/>
      </c>
      <c r="AN955" s="2">
        <f>IFERROR(T955/E955,"")</f>
        <v/>
      </c>
      <c r="AO955" s="2">
        <f>IFERROR(U955/F955,"")</f>
        <v/>
      </c>
    </row>
    <row r="956">
      <c r="B956">
        <f>IF($A956="","",IFERROR(INDEX('[AQ_2020.xlsx]原始数据'!$B:$B,MATCH($A956,'[AQ_2020.xlsx]原始数据'!$A:$A,0)),""))</f>
        <v/>
      </c>
      <c r="C956">
        <f>IF($A956="","",IFERROR(INDEX('[AQ_2021.xlsx]原始数据'!$B:$B,MATCH($A956,'[AQ_2021.xlsx]原始数据'!$A:$A,0)),""))</f>
        <v/>
      </c>
      <c r="D956">
        <f>IF($A956="","",IFERROR(INDEX('[AQ_2022.xlsx]原始数据'!$B:$B,MATCH($A956,'[AQ_2022.xlsx]原始数据'!$A:$A,0)),""))</f>
        <v/>
      </c>
      <c r="E956">
        <f>IF($A956="","",IFERROR(INDEX('[AQ_2023.xlsx]原始数据'!$B:$B,MATCH($A956,'[AQ_2023.xlsx]原始数据'!$A:$A,0)),""))</f>
        <v/>
      </c>
      <c r="F956">
        <f>IF($A956="","",IFERROR(INDEX('[AQ_2024.xlsx]原始数据'!$B:$B,MATCH($A956,'[AQ_2024.xlsx]原始数据'!$A:$A,0)),""))</f>
        <v/>
      </c>
      <c r="G956">
        <f>IF($A956="","",IFERROR(INDEX('[AQ_2020.xlsx]原始数据'!$C:$C,MATCH($A956,'[AQ_2020.xlsx]原始数据'!$A:$A,0)),""))</f>
        <v/>
      </c>
      <c r="H956">
        <f>IF($A956="","",IFERROR(INDEX('[AQ_2021.xlsx]原始数据'!$C:$C,MATCH($A956,'[AQ_2021.xlsx]原始数据'!$A:$A,0)),""))</f>
        <v/>
      </c>
      <c r="I956">
        <f>IF($A956="","",IFERROR(INDEX('[AQ_2022.xlsx]原始数据'!$C:$C,MATCH($A956,'[AQ_2022.xlsx]原始数据'!$A:$A,0)),""))</f>
        <v/>
      </c>
      <c r="J956">
        <f>IF($A956="","",IFERROR(INDEX('[AQ_2023.xlsx]原始数据'!$C:$C,MATCH($A956,'[AQ_2023.xlsx]原始数据'!$A:$A,0)),""))</f>
        <v/>
      </c>
      <c r="K956">
        <f>IF($A956="","",IFERROR(INDEX('[AQ_2024.xlsx]原始数据'!$C:$C,MATCH($A956,'[AQ_2024.xlsx]原始数据'!$A:$A,0)),""))</f>
        <v/>
      </c>
      <c r="L956">
        <f>IF($A956="","",IFERROR(INDEX('[AQ_2020.xlsx]原始数据'!$D:$D,MATCH($A956,'[AQ_2020.xlsx]原始数据'!$A:$A,0)),""))</f>
        <v/>
      </c>
      <c r="M956">
        <f>IF($A956="","",IFERROR(INDEX('[AQ_2021.xlsx]原始数据'!$D:$D,MATCH($A956,'[AQ_2021.xlsx]原始数据'!$A:$A,0)),""))</f>
        <v/>
      </c>
      <c r="N956">
        <f>IF($A956="","",IFERROR(INDEX('[AQ_2022.xlsx]原始数据'!$D:$D,MATCH($A956,'[AQ_2022.xlsx]原始数据'!$A:$A,0)),""))</f>
        <v/>
      </c>
      <c r="O956">
        <f>IF($A956="","",IFERROR(INDEX('[AQ_2023.xlsx]原始数据'!$D:$D,MATCH($A956,'[AQ_2023.xlsx]原始数据'!$A:$A,0)),""))</f>
        <v/>
      </c>
      <c r="P956">
        <f>IF($A956="","",IFERROR(INDEX('[AQ_2024.xlsx]原始数据'!$D:$D,MATCH($A956,'[AQ_2024.xlsx]原始数据'!$A:$A,0)),""))</f>
        <v/>
      </c>
      <c r="Q956">
        <f>IF($A956="","",IFERROR(INDEX('[AQ_2020.xlsx]原始数据'!$E:$E,MATCH($A956,'[AQ_2020.xlsx]原始数据'!$A:$A,0)),""))</f>
        <v/>
      </c>
      <c r="R956">
        <f>IF($A956="","",IFERROR(INDEX('[AQ_2021.xlsx]原始数据'!$E:$E,MATCH($A956,'[AQ_2021.xlsx]原始数据'!$A:$A,0)),""))</f>
        <v/>
      </c>
      <c r="S956">
        <f>IF($A956="","",IFERROR(INDEX('[AQ_2022.xlsx]原始数据'!$E:$E,MATCH($A956,'[AQ_2022.xlsx]原始数据'!$A:$A,0)),""))</f>
        <v/>
      </c>
      <c r="T956">
        <f>IF($A956="","",IFERROR(INDEX('[AQ_2023.xlsx]原始数据'!$E:$E,MATCH($A956,'[AQ_2023.xlsx]原始数据'!$A:$A,0)),""))</f>
        <v/>
      </c>
      <c r="U956">
        <f>IF($A956="","",IFERROR(INDEX('[AQ_2024.xlsx]原始数据'!$E:$E,MATCH($A956,'[AQ_2024.xlsx]原始数据'!$A:$A,0)),""))</f>
        <v/>
      </c>
      <c r="V956">
        <f>IF($A956="","",IFERROR(INDEX('[AQ_2020.xlsx]原始数据'!$F:$F,MATCH($A956,'[AQ_2020.xlsx]原始数据'!$A:$A,0)),""))</f>
        <v/>
      </c>
      <c r="W956">
        <f>IF($A956="","",IFERROR(INDEX('[AQ_2021.xlsx]原始数据'!$F:$F,MATCH($A956,'[AQ_2021.xlsx]原始数据'!$A:$A,0)),""))</f>
        <v/>
      </c>
      <c r="X956">
        <f>IF($A956="","",IFERROR(INDEX('[AQ_2022.xlsx]原始数据'!$F:$F,MATCH($A956,'[AQ_2022.xlsx]原始数据'!$A:$A,0)),""))</f>
        <v/>
      </c>
      <c r="Y956">
        <f>IF($A956="","",IFERROR(INDEX('[AQ_2023.xlsx]原始数据'!$F:$F,MATCH($A956,'[AQ_2023.xlsx]原始数据'!$A:$A,0)),""))</f>
        <v/>
      </c>
      <c r="Z956">
        <f>IF($A956="","",IFERROR(INDEX('[AQ_2024.xlsx]原始数据'!$F:$F,MATCH($A956,'[AQ_2024.xlsx]原始数据'!$A:$A,0)),""))</f>
        <v/>
      </c>
      <c r="AA956" s="2">
        <f>IFERROR(G956/B956,"")</f>
        <v/>
      </c>
      <c r="AB956" s="2">
        <f>IFERROR(H956/C956,"")</f>
        <v/>
      </c>
      <c r="AC956" s="2">
        <f>IFERROR(I956/D956,"")</f>
        <v/>
      </c>
      <c r="AD956" s="2">
        <f>IFERROR(J956/E956,"")</f>
        <v/>
      </c>
      <c r="AE956" s="2">
        <f>IFERROR(K956/F956,"")</f>
        <v/>
      </c>
      <c r="AF956" s="2">
        <f>IFERROR(L956/B956,"")</f>
        <v/>
      </c>
      <c r="AG956" s="2">
        <f>IFERROR(M956/C956,"")</f>
        <v/>
      </c>
      <c r="AH956" s="2">
        <f>IFERROR(N956/D956,"")</f>
        <v/>
      </c>
      <c r="AI956" s="2">
        <f>IFERROR(O956/E956,"")</f>
        <v/>
      </c>
      <c r="AJ956" s="2">
        <f>IFERROR(P956/F956,"")</f>
        <v/>
      </c>
      <c r="AK956" s="2">
        <f>IFERROR(Q956/B956,"")</f>
        <v/>
      </c>
      <c r="AL956" s="2">
        <f>IFERROR(R956/C956,"")</f>
        <v/>
      </c>
      <c r="AM956" s="2">
        <f>IFERROR(S956/D956,"")</f>
        <v/>
      </c>
      <c r="AN956" s="2">
        <f>IFERROR(T956/E956,"")</f>
        <v/>
      </c>
      <c r="AO956" s="2">
        <f>IFERROR(U956/F956,"")</f>
        <v/>
      </c>
    </row>
    <row r="957">
      <c r="B957">
        <f>IF($A957="","",IFERROR(INDEX('[AQ_2020.xlsx]原始数据'!$B:$B,MATCH($A957,'[AQ_2020.xlsx]原始数据'!$A:$A,0)),""))</f>
        <v/>
      </c>
      <c r="C957">
        <f>IF($A957="","",IFERROR(INDEX('[AQ_2021.xlsx]原始数据'!$B:$B,MATCH($A957,'[AQ_2021.xlsx]原始数据'!$A:$A,0)),""))</f>
        <v/>
      </c>
      <c r="D957">
        <f>IF($A957="","",IFERROR(INDEX('[AQ_2022.xlsx]原始数据'!$B:$B,MATCH($A957,'[AQ_2022.xlsx]原始数据'!$A:$A,0)),""))</f>
        <v/>
      </c>
      <c r="E957">
        <f>IF($A957="","",IFERROR(INDEX('[AQ_2023.xlsx]原始数据'!$B:$B,MATCH($A957,'[AQ_2023.xlsx]原始数据'!$A:$A,0)),""))</f>
        <v/>
      </c>
      <c r="F957">
        <f>IF($A957="","",IFERROR(INDEX('[AQ_2024.xlsx]原始数据'!$B:$B,MATCH($A957,'[AQ_2024.xlsx]原始数据'!$A:$A,0)),""))</f>
        <v/>
      </c>
      <c r="G957">
        <f>IF($A957="","",IFERROR(INDEX('[AQ_2020.xlsx]原始数据'!$C:$C,MATCH($A957,'[AQ_2020.xlsx]原始数据'!$A:$A,0)),""))</f>
        <v/>
      </c>
      <c r="H957">
        <f>IF($A957="","",IFERROR(INDEX('[AQ_2021.xlsx]原始数据'!$C:$C,MATCH($A957,'[AQ_2021.xlsx]原始数据'!$A:$A,0)),""))</f>
        <v/>
      </c>
      <c r="I957">
        <f>IF($A957="","",IFERROR(INDEX('[AQ_2022.xlsx]原始数据'!$C:$C,MATCH($A957,'[AQ_2022.xlsx]原始数据'!$A:$A,0)),""))</f>
        <v/>
      </c>
      <c r="J957">
        <f>IF($A957="","",IFERROR(INDEX('[AQ_2023.xlsx]原始数据'!$C:$C,MATCH($A957,'[AQ_2023.xlsx]原始数据'!$A:$A,0)),""))</f>
        <v/>
      </c>
      <c r="K957">
        <f>IF($A957="","",IFERROR(INDEX('[AQ_2024.xlsx]原始数据'!$C:$C,MATCH($A957,'[AQ_2024.xlsx]原始数据'!$A:$A,0)),""))</f>
        <v/>
      </c>
      <c r="L957">
        <f>IF($A957="","",IFERROR(INDEX('[AQ_2020.xlsx]原始数据'!$D:$D,MATCH($A957,'[AQ_2020.xlsx]原始数据'!$A:$A,0)),""))</f>
        <v/>
      </c>
      <c r="M957">
        <f>IF($A957="","",IFERROR(INDEX('[AQ_2021.xlsx]原始数据'!$D:$D,MATCH($A957,'[AQ_2021.xlsx]原始数据'!$A:$A,0)),""))</f>
        <v/>
      </c>
      <c r="N957">
        <f>IF($A957="","",IFERROR(INDEX('[AQ_2022.xlsx]原始数据'!$D:$D,MATCH($A957,'[AQ_2022.xlsx]原始数据'!$A:$A,0)),""))</f>
        <v/>
      </c>
      <c r="O957">
        <f>IF($A957="","",IFERROR(INDEX('[AQ_2023.xlsx]原始数据'!$D:$D,MATCH($A957,'[AQ_2023.xlsx]原始数据'!$A:$A,0)),""))</f>
        <v/>
      </c>
      <c r="P957">
        <f>IF($A957="","",IFERROR(INDEX('[AQ_2024.xlsx]原始数据'!$D:$D,MATCH($A957,'[AQ_2024.xlsx]原始数据'!$A:$A,0)),""))</f>
        <v/>
      </c>
      <c r="Q957">
        <f>IF($A957="","",IFERROR(INDEX('[AQ_2020.xlsx]原始数据'!$E:$E,MATCH($A957,'[AQ_2020.xlsx]原始数据'!$A:$A,0)),""))</f>
        <v/>
      </c>
      <c r="R957">
        <f>IF($A957="","",IFERROR(INDEX('[AQ_2021.xlsx]原始数据'!$E:$E,MATCH($A957,'[AQ_2021.xlsx]原始数据'!$A:$A,0)),""))</f>
        <v/>
      </c>
      <c r="S957">
        <f>IF($A957="","",IFERROR(INDEX('[AQ_2022.xlsx]原始数据'!$E:$E,MATCH($A957,'[AQ_2022.xlsx]原始数据'!$A:$A,0)),""))</f>
        <v/>
      </c>
      <c r="T957">
        <f>IF($A957="","",IFERROR(INDEX('[AQ_2023.xlsx]原始数据'!$E:$E,MATCH($A957,'[AQ_2023.xlsx]原始数据'!$A:$A,0)),""))</f>
        <v/>
      </c>
      <c r="U957">
        <f>IF($A957="","",IFERROR(INDEX('[AQ_2024.xlsx]原始数据'!$E:$E,MATCH($A957,'[AQ_2024.xlsx]原始数据'!$A:$A,0)),""))</f>
        <v/>
      </c>
      <c r="V957">
        <f>IF($A957="","",IFERROR(INDEX('[AQ_2020.xlsx]原始数据'!$F:$F,MATCH($A957,'[AQ_2020.xlsx]原始数据'!$A:$A,0)),""))</f>
        <v/>
      </c>
      <c r="W957">
        <f>IF($A957="","",IFERROR(INDEX('[AQ_2021.xlsx]原始数据'!$F:$F,MATCH($A957,'[AQ_2021.xlsx]原始数据'!$A:$A,0)),""))</f>
        <v/>
      </c>
      <c r="X957">
        <f>IF($A957="","",IFERROR(INDEX('[AQ_2022.xlsx]原始数据'!$F:$F,MATCH($A957,'[AQ_2022.xlsx]原始数据'!$A:$A,0)),""))</f>
        <v/>
      </c>
      <c r="Y957">
        <f>IF($A957="","",IFERROR(INDEX('[AQ_2023.xlsx]原始数据'!$F:$F,MATCH($A957,'[AQ_2023.xlsx]原始数据'!$A:$A,0)),""))</f>
        <v/>
      </c>
      <c r="Z957">
        <f>IF($A957="","",IFERROR(INDEX('[AQ_2024.xlsx]原始数据'!$F:$F,MATCH($A957,'[AQ_2024.xlsx]原始数据'!$A:$A,0)),""))</f>
        <v/>
      </c>
      <c r="AA957" s="2">
        <f>IFERROR(G957/B957,"")</f>
        <v/>
      </c>
      <c r="AB957" s="2">
        <f>IFERROR(H957/C957,"")</f>
        <v/>
      </c>
      <c r="AC957" s="2">
        <f>IFERROR(I957/D957,"")</f>
        <v/>
      </c>
      <c r="AD957" s="2">
        <f>IFERROR(J957/E957,"")</f>
        <v/>
      </c>
      <c r="AE957" s="2">
        <f>IFERROR(K957/F957,"")</f>
        <v/>
      </c>
      <c r="AF957" s="2">
        <f>IFERROR(L957/B957,"")</f>
        <v/>
      </c>
      <c r="AG957" s="2">
        <f>IFERROR(M957/C957,"")</f>
        <v/>
      </c>
      <c r="AH957" s="2">
        <f>IFERROR(N957/D957,"")</f>
        <v/>
      </c>
      <c r="AI957" s="2">
        <f>IFERROR(O957/E957,"")</f>
        <v/>
      </c>
      <c r="AJ957" s="2">
        <f>IFERROR(P957/F957,"")</f>
        <v/>
      </c>
      <c r="AK957" s="2">
        <f>IFERROR(Q957/B957,"")</f>
        <v/>
      </c>
      <c r="AL957" s="2">
        <f>IFERROR(R957/C957,"")</f>
        <v/>
      </c>
      <c r="AM957" s="2">
        <f>IFERROR(S957/D957,"")</f>
        <v/>
      </c>
      <c r="AN957" s="2">
        <f>IFERROR(T957/E957,"")</f>
        <v/>
      </c>
      <c r="AO957" s="2">
        <f>IFERROR(U957/F957,"")</f>
        <v/>
      </c>
    </row>
    <row r="958">
      <c r="B958">
        <f>IF($A958="","",IFERROR(INDEX('[AQ_2020.xlsx]原始数据'!$B:$B,MATCH($A958,'[AQ_2020.xlsx]原始数据'!$A:$A,0)),""))</f>
        <v/>
      </c>
      <c r="C958">
        <f>IF($A958="","",IFERROR(INDEX('[AQ_2021.xlsx]原始数据'!$B:$B,MATCH($A958,'[AQ_2021.xlsx]原始数据'!$A:$A,0)),""))</f>
        <v/>
      </c>
      <c r="D958">
        <f>IF($A958="","",IFERROR(INDEX('[AQ_2022.xlsx]原始数据'!$B:$B,MATCH($A958,'[AQ_2022.xlsx]原始数据'!$A:$A,0)),""))</f>
        <v/>
      </c>
      <c r="E958">
        <f>IF($A958="","",IFERROR(INDEX('[AQ_2023.xlsx]原始数据'!$B:$B,MATCH($A958,'[AQ_2023.xlsx]原始数据'!$A:$A,0)),""))</f>
        <v/>
      </c>
      <c r="F958">
        <f>IF($A958="","",IFERROR(INDEX('[AQ_2024.xlsx]原始数据'!$B:$B,MATCH($A958,'[AQ_2024.xlsx]原始数据'!$A:$A,0)),""))</f>
        <v/>
      </c>
      <c r="G958">
        <f>IF($A958="","",IFERROR(INDEX('[AQ_2020.xlsx]原始数据'!$C:$C,MATCH($A958,'[AQ_2020.xlsx]原始数据'!$A:$A,0)),""))</f>
        <v/>
      </c>
      <c r="H958">
        <f>IF($A958="","",IFERROR(INDEX('[AQ_2021.xlsx]原始数据'!$C:$C,MATCH($A958,'[AQ_2021.xlsx]原始数据'!$A:$A,0)),""))</f>
        <v/>
      </c>
      <c r="I958">
        <f>IF($A958="","",IFERROR(INDEX('[AQ_2022.xlsx]原始数据'!$C:$C,MATCH($A958,'[AQ_2022.xlsx]原始数据'!$A:$A,0)),""))</f>
        <v/>
      </c>
      <c r="J958">
        <f>IF($A958="","",IFERROR(INDEX('[AQ_2023.xlsx]原始数据'!$C:$C,MATCH($A958,'[AQ_2023.xlsx]原始数据'!$A:$A,0)),""))</f>
        <v/>
      </c>
      <c r="K958">
        <f>IF($A958="","",IFERROR(INDEX('[AQ_2024.xlsx]原始数据'!$C:$C,MATCH($A958,'[AQ_2024.xlsx]原始数据'!$A:$A,0)),""))</f>
        <v/>
      </c>
      <c r="L958">
        <f>IF($A958="","",IFERROR(INDEX('[AQ_2020.xlsx]原始数据'!$D:$D,MATCH($A958,'[AQ_2020.xlsx]原始数据'!$A:$A,0)),""))</f>
        <v/>
      </c>
      <c r="M958">
        <f>IF($A958="","",IFERROR(INDEX('[AQ_2021.xlsx]原始数据'!$D:$D,MATCH($A958,'[AQ_2021.xlsx]原始数据'!$A:$A,0)),""))</f>
        <v/>
      </c>
      <c r="N958">
        <f>IF($A958="","",IFERROR(INDEX('[AQ_2022.xlsx]原始数据'!$D:$D,MATCH($A958,'[AQ_2022.xlsx]原始数据'!$A:$A,0)),""))</f>
        <v/>
      </c>
      <c r="O958">
        <f>IF($A958="","",IFERROR(INDEX('[AQ_2023.xlsx]原始数据'!$D:$D,MATCH($A958,'[AQ_2023.xlsx]原始数据'!$A:$A,0)),""))</f>
        <v/>
      </c>
      <c r="P958">
        <f>IF($A958="","",IFERROR(INDEX('[AQ_2024.xlsx]原始数据'!$D:$D,MATCH($A958,'[AQ_2024.xlsx]原始数据'!$A:$A,0)),""))</f>
        <v/>
      </c>
      <c r="Q958">
        <f>IF($A958="","",IFERROR(INDEX('[AQ_2020.xlsx]原始数据'!$E:$E,MATCH($A958,'[AQ_2020.xlsx]原始数据'!$A:$A,0)),""))</f>
        <v/>
      </c>
      <c r="R958">
        <f>IF($A958="","",IFERROR(INDEX('[AQ_2021.xlsx]原始数据'!$E:$E,MATCH($A958,'[AQ_2021.xlsx]原始数据'!$A:$A,0)),""))</f>
        <v/>
      </c>
      <c r="S958">
        <f>IF($A958="","",IFERROR(INDEX('[AQ_2022.xlsx]原始数据'!$E:$E,MATCH($A958,'[AQ_2022.xlsx]原始数据'!$A:$A,0)),""))</f>
        <v/>
      </c>
      <c r="T958">
        <f>IF($A958="","",IFERROR(INDEX('[AQ_2023.xlsx]原始数据'!$E:$E,MATCH($A958,'[AQ_2023.xlsx]原始数据'!$A:$A,0)),""))</f>
        <v/>
      </c>
      <c r="U958">
        <f>IF($A958="","",IFERROR(INDEX('[AQ_2024.xlsx]原始数据'!$E:$E,MATCH($A958,'[AQ_2024.xlsx]原始数据'!$A:$A,0)),""))</f>
        <v/>
      </c>
      <c r="V958">
        <f>IF($A958="","",IFERROR(INDEX('[AQ_2020.xlsx]原始数据'!$F:$F,MATCH($A958,'[AQ_2020.xlsx]原始数据'!$A:$A,0)),""))</f>
        <v/>
      </c>
      <c r="W958">
        <f>IF($A958="","",IFERROR(INDEX('[AQ_2021.xlsx]原始数据'!$F:$F,MATCH($A958,'[AQ_2021.xlsx]原始数据'!$A:$A,0)),""))</f>
        <v/>
      </c>
      <c r="X958">
        <f>IF($A958="","",IFERROR(INDEX('[AQ_2022.xlsx]原始数据'!$F:$F,MATCH($A958,'[AQ_2022.xlsx]原始数据'!$A:$A,0)),""))</f>
        <v/>
      </c>
      <c r="Y958">
        <f>IF($A958="","",IFERROR(INDEX('[AQ_2023.xlsx]原始数据'!$F:$F,MATCH($A958,'[AQ_2023.xlsx]原始数据'!$A:$A,0)),""))</f>
        <v/>
      </c>
      <c r="Z958">
        <f>IF($A958="","",IFERROR(INDEX('[AQ_2024.xlsx]原始数据'!$F:$F,MATCH($A958,'[AQ_2024.xlsx]原始数据'!$A:$A,0)),""))</f>
        <v/>
      </c>
      <c r="AA958" s="2">
        <f>IFERROR(G958/B958,"")</f>
        <v/>
      </c>
      <c r="AB958" s="2">
        <f>IFERROR(H958/C958,"")</f>
        <v/>
      </c>
      <c r="AC958" s="2">
        <f>IFERROR(I958/D958,"")</f>
        <v/>
      </c>
      <c r="AD958" s="2">
        <f>IFERROR(J958/E958,"")</f>
        <v/>
      </c>
      <c r="AE958" s="2">
        <f>IFERROR(K958/F958,"")</f>
        <v/>
      </c>
      <c r="AF958" s="2">
        <f>IFERROR(L958/B958,"")</f>
        <v/>
      </c>
      <c r="AG958" s="2">
        <f>IFERROR(M958/C958,"")</f>
        <v/>
      </c>
      <c r="AH958" s="2">
        <f>IFERROR(N958/D958,"")</f>
        <v/>
      </c>
      <c r="AI958" s="2">
        <f>IFERROR(O958/E958,"")</f>
        <v/>
      </c>
      <c r="AJ958" s="2">
        <f>IFERROR(P958/F958,"")</f>
        <v/>
      </c>
      <c r="AK958" s="2">
        <f>IFERROR(Q958/B958,"")</f>
        <v/>
      </c>
      <c r="AL958" s="2">
        <f>IFERROR(R958/C958,"")</f>
        <v/>
      </c>
      <c r="AM958" s="2">
        <f>IFERROR(S958/D958,"")</f>
        <v/>
      </c>
      <c r="AN958" s="2">
        <f>IFERROR(T958/E958,"")</f>
        <v/>
      </c>
      <c r="AO958" s="2">
        <f>IFERROR(U958/F958,"")</f>
        <v/>
      </c>
    </row>
    <row r="959">
      <c r="B959">
        <f>IF($A959="","",IFERROR(INDEX('[AQ_2020.xlsx]原始数据'!$B:$B,MATCH($A959,'[AQ_2020.xlsx]原始数据'!$A:$A,0)),""))</f>
        <v/>
      </c>
      <c r="C959">
        <f>IF($A959="","",IFERROR(INDEX('[AQ_2021.xlsx]原始数据'!$B:$B,MATCH($A959,'[AQ_2021.xlsx]原始数据'!$A:$A,0)),""))</f>
        <v/>
      </c>
      <c r="D959">
        <f>IF($A959="","",IFERROR(INDEX('[AQ_2022.xlsx]原始数据'!$B:$B,MATCH($A959,'[AQ_2022.xlsx]原始数据'!$A:$A,0)),""))</f>
        <v/>
      </c>
      <c r="E959">
        <f>IF($A959="","",IFERROR(INDEX('[AQ_2023.xlsx]原始数据'!$B:$B,MATCH($A959,'[AQ_2023.xlsx]原始数据'!$A:$A,0)),""))</f>
        <v/>
      </c>
      <c r="F959">
        <f>IF($A959="","",IFERROR(INDEX('[AQ_2024.xlsx]原始数据'!$B:$B,MATCH($A959,'[AQ_2024.xlsx]原始数据'!$A:$A,0)),""))</f>
        <v/>
      </c>
      <c r="G959">
        <f>IF($A959="","",IFERROR(INDEX('[AQ_2020.xlsx]原始数据'!$C:$C,MATCH($A959,'[AQ_2020.xlsx]原始数据'!$A:$A,0)),""))</f>
        <v/>
      </c>
      <c r="H959">
        <f>IF($A959="","",IFERROR(INDEX('[AQ_2021.xlsx]原始数据'!$C:$C,MATCH($A959,'[AQ_2021.xlsx]原始数据'!$A:$A,0)),""))</f>
        <v/>
      </c>
      <c r="I959">
        <f>IF($A959="","",IFERROR(INDEX('[AQ_2022.xlsx]原始数据'!$C:$C,MATCH($A959,'[AQ_2022.xlsx]原始数据'!$A:$A,0)),""))</f>
        <v/>
      </c>
      <c r="J959">
        <f>IF($A959="","",IFERROR(INDEX('[AQ_2023.xlsx]原始数据'!$C:$C,MATCH($A959,'[AQ_2023.xlsx]原始数据'!$A:$A,0)),""))</f>
        <v/>
      </c>
      <c r="K959">
        <f>IF($A959="","",IFERROR(INDEX('[AQ_2024.xlsx]原始数据'!$C:$C,MATCH($A959,'[AQ_2024.xlsx]原始数据'!$A:$A,0)),""))</f>
        <v/>
      </c>
      <c r="L959">
        <f>IF($A959="","",IFERROR(INDEX('[AQ_2020.xlsx]原始数据'!$D:$D,MATCH($A959,'[AQ_2020.xlsx]原始数据'!$A:$A,0)),""))</f>
        <v/>
      </c>
      <c r="M959">
        <f>IF($A959="","",IFERROR(INDEX('[AQ_2021.xlsx]原始数据'!$D:$D,MATCH($A959,'[AQ_2021.xlsx]原始数据'!$A:$A,0)),""))</f>
        <v/>
      </c>
      <c r="N959">
        <f>IF($A959="","",IFERROR(INDEX('[AQ_2022.xlsx]原始数据'!$D:$D,MATCH($A959,'[AQ_2022.xlsx]原始数据'!$A:$A,0)),""))</f>
        <v/>
      </c>
      <c r="O959">
        <f>IF($A959="","",IFERROR(INDEX('[AQ_2023.xlsx]原始数据'!$D:$D,MATCH($A959,'[AQ_2023.xlsx]原始数据'!$A:$A,0)),""))</f>
        <v/>
      </c>
      <c r="P959">
        <f>IF($A959="","",IFERROR(INDEX('[AQ_2024.xlsx]原始数据'!$D:$D,MATCH($A959,'[AQ_2024.xlsx]原始数据'!$A:$A,0)),""))</f>
        <v/>
      </c>
      <c r="Q959">
        <f>IF($A959="","",IFERROR(INDEX('[AQ_2020.xlsx]原始数据'!$E:$E,MATCH($A959,'[AQ_2020.xlsx]原始数据'!$A:$A,0)),""))</f>
        <v/>
      </c>
      <c r="R959">
        <f>IF($A959="","",IFERROR(INDEX('[AQ_2021.xlsx]原始数据'!$E:$E,MATCH($A959,'[AQ_2021.xlsx]原始数据'!$A:$A,0)),""))</f>
        <v/>
      </c>
      <c r="S959">
        <f>IF($A959="","",IFERROR(INDEX('[AQ_2022.xlsx]原始数据'!$E:$E,MATCH($A959,'[AQ_2022.xlsx]原始数据'!$A:$A,0)),""))</f>
        <v/>
      </c>
      <c r="T959">
        <f>IF($A959="","",IFERROR(INDEX('[AQ_2023.xlsx]原始数据'!$E:$E,MATCH($A959,'[AQ_2023.xlsx]原始数据'!$A:$A,0)),""))</f>
        <v/>
      </c>
      <c r="U959">
        <f>IF($A959="","",IFERROR(INDEX('[AQ_2024.xlsx]原始数据'!$E:$E,MATCH($A959,'[AQ_2024.xlsx]原始数据'!$A:$A,0)),""))</f>
        <v/>
      </c>
      <c r="V959">
        <f>IF($A959="","",IFERROR(INDEX('[AQ_2020.xlsx]原始数据'!$F:$F,MATCH($A959,'[AQ_2020.xlsx]原始数据'!$A:$A,0)),""))</f>
        <v/>
      </c>
      <c r="W959">
        <f>IF($A959="","",IFERROR(INDEX('[AQ_2021.xlsx]原始数据'!$F:$F,MATCH($A959,'[AQ_2021.xlsx]原始数据'!$A:$A,0)),""))</f>
        <v/>
      </c>
      <c r="X959">
        <f>IF($A959="","",IFERROR(INDEX('[AQ_2022.xlsx]原始数据'!$F:$F,MATCH($A959,'[AQ_2022.xlsx]原始数据'!$A:$A,0)),""))</f>
        <v/>
      </c>
      <c r="Y959">
        <f>IF($A959="","",IFERROR(INDEX('[AQ_2023.xlsx]原始数据'!$F:$F,MATCH($A959,'[AQ_2023.xlsx]原始数据'!$A:$A,0)),""))</f>
        <v/>
      </c>
      <c r="Z959">
        <f>IF($A959="","",IFERROR(INDEX('[AQ_2024.xlsx]原始数据'!$F:$F,MATCH($A959,'[AQ_2024.xlsx]原始数据'!$A:$A,0)),""))</f>
        <v/>
      </c>
      <c r="AA959" s="2">
        <f>IFERROR(G959/B959,"")</f>
        <v/>
      </c>
      <c r="AB959" s="2">
        <f>IFERROR(H959/C959,"")</f>
        <v/>
      </c>
      <c r="AC959" s="2">
        <f>IFERROR(I959/D959,"")</f>
        <v/>
      </c>
      <c r="AD959" s="2">
        <f>IFERROR(J959/E959,"")</f>
        <v/>
      </c>
      <c r="AE959" s="2">
        <f>IFERROR(K959/F959,"")</f>
        <v/>
      </c>
      <c r="AF959" s="2">
        <f>IFERROR(L959/B959,"")</f>
        <v/>
      </c>
      <c r="AG959" s="2">
        <f>IFERROR(M959/C959,"")</f>
        <v/>
      </c>
      <c r="AH959" s="2">
        <f>IFERROR(N959/D959,"")</f>
        <v/>
      </c>
      <c r="AI959" s="2">
        <f>IFERROR(O959/E959,"")</f>
        <v/>
      </c>
      <c r="AJ959" s="2">
        <f>IFERROR(P959/F959,"")</f>
        <v/>
      </c>
      <c r="AK959" s="2">
        <f>IFERROR(Q959/B959,"")</f>
        <v/>
      </c>
      <c r="AL959" s="2">
        <f>IFERROR(R959/C959,"")</f>
        <v/>
      </c>
      <c r="AM959" s="2">
        <f>IFERROR(S959/D959,"")</f>
        <v/>
      </c>
      <c r="AN959" s="2">
        <f>IFERROR(T959/E959,"")</f>
        <v/>
      </c>
      <c r="AO959" s="2">
        <f>IFERROR(U959/F959,"")</f>
        <v/>
      </c>
    </row>
    <row r="960">
      <c r="B960">
        <f>IF($A960="","",IFERROR(INDEX('[AQ_2020.xlsx]原始数据'!$B:$B,MATCH($A960,'[AQ_2020.xlsx]原始数据'!$A:$A,0)),""))</f>
        <v/>
      </c>
      <c r="C960">
        <f>IF($A960="","",IFERROR(INDEX('[AQ_2021.xlsx]原始数据'!$B:$B,MATCH($A960,'[AQ_2021.xlsx]原始数据'!$A:$A,0)),""))</f>
        <v/>
      </c>
      <c r="D960">
        <f>IF($A960="","",IFERROR(INDEX('[AQ_2022.xlsx]原始数据'!$B:$B,MATCH($A960,'[AQ_2022.xlsx]原始数据'!$A:$A,0)),""))</f>
        <v/>
      </c>
      <c r="E960">
        <f>IF($A960="","",IFERROR(INDEX('[AQ_2023.xlsx]原始数据'!$B:$B,MATCH($A960,'[AQ_2023.xlsx]原始数据'!$A:$A,0)),""))</f>
        <v/>
      </c>
      <c r="F960">
        <f>IF($A960="","",IFERROR(INDEX('[AQ_2024.xlsx]原始数据'!$B:$B,MATCH($A960,'[AQ_2024.xlsx]原始数据'!$A:$A,0)),""))</f>
        <v/>
      </c>
      <c r="G960">
        <f>IF($A960="","",IFERROR(INDEX('[AQ_2020.xlsx]原始数据'!$C:$C,MATCH($A960,'[AQ_2020.xlsx]原始数据'!$A:$A,0)),""))</f>
        <v/>
      </c>
      <c r="H960">
        <f>IF($A960="","",IFERROR(INDEX('[AQ_2021.xlsx]原始数据'!$C:$C,MATCH($A960,'[AQ_2021.xlsx]原始数据'!$A:$A,0)),""))</f>
        <v/>
      </c>
      <c r="I960">
        <f>IF($A960="","",IFERROR(INDEX('[AQ_2022.xlsx]原始数据'!$C:$C,MATCH($A960,'[AQ_2022.xlsx]原始数据'!$A:$A,0)),""))</f>
        <v/>
      </c>
      <c r="J960">
        <f>IF($A960="","",IFERROR(INDEX('[AQ_2023.xlsx]原始数据'!$C:$C,MATCH($A960,'[AQ_2023.xlsx]原始数据'!$A:$A,0)),""))</f>
        <v/>
      </c>
      <c r="K960">
        <f>IF($A960="","",IFERROR(INDEX('[AQ_2024.xlsx]原始数据'!$C:$C,MATCH($A960,'[AQ_2024.xlsx]原始数据'!$A:$A,0)),""))</f>
        <v/>
      </c>
      <c r="L960">
        <f>IF($A960="","",IFERROR(INDEX('[AQ_2020.xlsx]原始数据'!$D:$D,MATCH($A960,'[AQ_2020.xlsx]原始数据'!$A:$A,0)),""))</f>
        <v/>
      </c>
      <c r="M960">
        <f>IF($A960="","",IFERROR(INDEX('[AQ_2021.xlsx]原始数据'!$D:$D,MATCH($A960,'[AQ_2021.xlsx]原始数据'!$A:$A,0)),""))</f>
        <v/>
      </c>
      <c r="N960">
        <f>IF($A960="","",IFERROR(INDEX('[AQ_2022.xlsx]原始数据'!$D:$D,MATCH($A960,'[AQ_2022.xlsx]原始数据'!$A:$A,0)),""))</f>
        <v/>
      </c>
      <c r="O960">
        <f>IF($A960="","",IFERROR(INDEX('[AQ_2023.xlsx]原始数据'!$D:$D,MATCH($A960,'[AQ_2023.xlsx]原始数据'!$A:$A,0)),""))</f>
        <v/>
      </c>
      <c r="P960">
        <f>IF($A960="","",IFERROR(INDEX('[AQ_2024.xlsx]原始数据'!$D:$D,MATCH($A960,'[AQ_2024.xlsx]原始数据'!$A:$A,0)),""))</f>
        <v/>
      </c>
      <c r="Q960">
        <f>IF($A960="","",IFERROR(INDEX('[AQ_2020.xlsx]原始数据'!$E:$E,MATCH($A960,'[AQ_2020.xlsx]原始数据'!$A:$A,0)),""))</f>
        <v/>
      </c>
      <c r="R960">
        <f>IF($A960="","",IFERROR(INDEX('[AQ_2021.xlsx]原始数据'!$E:$E,MATCH($A960,'[AQ_2021.xlsx]原始数据'!$A:$A,0)),""))</f>
        <v/>
      </c>
      <c r="S960">
        <f>IF($A960="","",IFERROR(INDEX('[AQ_2022.xlsx]原始数据'!$E:$E,MATCH($A960,'[AQ_2022.xlsx]原始数据'!$A:$A,0)),""))</f>
        <v/>
      </c>
      <c r="T960">
        <f>IF($A960="","",IFERROR(INDEX('[AQ_2023.xlsx]原始数据'!$E:$E,MATCH($A960,'[AQ_2023.xlsx]原始数据'!$A:$A,0)),""))</f>
        <v/>
      </c>
      <c r="U960">
        <f>IF($A960="","",IFERROR(INDEX('[AQ_2024.xlsx]原始数据'!$E:$E,MATCH($A960,'[AQ_2024.xlsx]原始数据'!$A:$A,0)),""))</f>
        <v/>
      </c>
      <c r="V960">
        <f>IF($A960="","",IFERROR(INDEX('[AQ_2020.xlsx]原始数据'!$F:$F,MATCH($A960,'[AQ_2020.xlsx]原始数据'!$A:$A,0)),""))</f>
        <v/>
      </c>
      <c r="W960">
        <f>IF($A960="","",IFERROR(INDEX('[AQ_2021.xlsx]原始数据'!$F:$F,MATCH($A960,'[AQ_2021.xlsx]原始数据'!$A:$A,0)),""))</f>
        <v/>
      </c>
      <c r="X960">
        <f>IF($A960="","",IFERROR(INDEX('[AQ_2022.xlsx]原始数据'!$F:$F,MATCH($A960,'[AQ_2022.xlsx]原始数据'!$A:$A,0)),""))</f>
        <v/>
      </c>
      <c r="Y960">
        <f>IF($A960="","",IFERROR(INDEX('[AQ_2023.xlsx]原始数据'!$F:$F,MATCH($A960,'[AQ_2023.xlsx]原始数据'!$A:$A,0)),""))</f>
        <v/>
      </c>
      <c r="Z960">
        <f>IF($A960="","",IFERROR(INDEX('[AQ_2024.xlsx]原始数据'!$F:$F,MATCH($A960,'[AQ_2024.xlsx]原始数据'!$A:$A,0)),""))</f>
        <v/>
      </c>
      <c r="AA960" s="2">
        <f>IFERROR(G960/B960,"")</f>
        <v/>
      </c>
      <c r="AB960" s="2">
        <f>IFERROR(H960/C960,"")</f>
        <v/>
      </c>
      <c r="AC960" s="2">
        <f>IFERROR(I960/D960,"")</f>
        <v/>
      </c>
      <c r="AD960" s="2">
        <f>IFERROR(J960/E960,"")</f>
        <v/>
      </c>
      <c r="AE960" s="2">
        <f>IFERROR(K960/F960,"")</f>
        <v/>
      </c>
      <c r="AF960" s="2">
        <f>IFERROR(L960/B960,"")</f>
        <v/>
      </c>
      <c r="AG960" s="2">
        <f>IFERROR(M960/C960,"")</f>
        <v/>
      </c>
      <c r="AH960" s="2">
        <f>IFERROR(N960/D960,"")</f>
        <v/>
      </c>
      <c r="AI960" s="2">
        <f>IFERROR(O960/E960,"")</f>
        <v/>
      </c>
      <c r="AJ960" s="2">
        <f>IFERROR(P960/F960,"")</f>
        <v/>
      </c>
      <c r="AK960" s="2">
        <f>IFERROR(Q960/B960,"")</f>
        <v/>
      </c>
      <c r="AL960" s="2">
        <f>IFERROR(R960/C960,"")</f>
        <v/>
      </c>
      <c r="AM960" s="2">
        <f>IFERROR(S960/D960,"")</f>
        <v/>
      </c>
      <c r="AN960" s="2">
        <f>IFERROR(T960/E960,"")</f>
        <v/>
      </c>
      <c r="AO960" s="2">
        <f>IFERROR(U960/F960,"")</f>
        <v/>
      </c>
    </row>
    <row r="961">
      <c r="B961">
        <f>IF($A961="","",IFERROR(INDEX('[AQ_2020.xlsx]原始数据'!$B:$B,MATCH($A961,'[AQ_2020.xlsx]原始数据'!$A:$A,0)),""))</f>
        <v/>
      </c>
      <c r="C961">
        <f>IF($A961="","",IFERROR(INDEX('[AQ_2021.xlsx]原始数据'!$B:$B,MATCH($A961,'[AQ_2021.xlsx]原始数据'!$A:$A,0)),""))</f>
        <v/>
      </c>
      <c r="D961">
        <f>IF($A961="","",IFERROR(INDEX('[AQ_2022.xlsx]原始数据'!$B:$B,MATCH($A961,'[AQ_2022.xlsx]原始数据'!$A:$A,0)),""))</f>
        <v/>
      </c>
      <c r="E961">
        <f>IF($A961="","",IFERROR(INDEX('[AQ_2023.xlsx]原始数据'!$B:$B,MATCH($A961,'[AQ_2023.xlsx]原始数据'!$A:$A,0)),""))</f>
        <v/>
      </c>
      <c r="F961">
        <f>IF($A961="","",IFERROR(INDEX('[AQ_2024.xlsx]原始数据'!$B:$B,MATCH($A961,'[AQ_2024.xlsx]原始数据'!$A:$A,0)),""))</f>
        <v/>
      </c>
      <c r="G961">
        <f>IF($A961="","",IFERROR(INDEX('[AQ_2020.xlsx]原始数据'!$C:$C,MATCH($A961,'[AQ_2020.xlsx]原始数据'!$A:$A,0)),""))</f>
        <v/>
      </c>
      <c r="H961">
        <f>IF($A961="","",IFERROR(INDEX('[AQ_2021.xlsx]原始数据'!$C:$C,MATCH($A961,'[AQ_2021.xlsx]原始数据'!$A:$A,0)),""))</f>
        <v/>
      </c>
      <c r="I961">
        <f>IF($A961="","",IFERROR(INDEX('[AQ_2022.xlsx]原始数据'!$C:$C,MATCH($A961,'[AQ_2022.xlsx]原始数据'!$A:$A,0)),""))</f>
        <v/>
      </c>
      <c r="J961">
        <f>IF($A961="","",IFERROR(INDEX('[AQ_2023.xlsx]原始数据'!$C:$C,MATCH($A961,'[AQ_2023.xlsx]原始数据'!$A:$A,0)),""))</f>
        <v/>
      </c>
      <c r="K961">
        <f>IF($A961="","",IFERROR(INDEX('[AQ_2024.xlsx]原始数据'!$C:$C,MATCH($A961,'[AQ_2024.xlsx]原始数据'!$A:$A,0)),""))</f>
        <v/>
      </c>
      <c r="L961">
        <f>IF($A961="","",IFERROR(INDEX('[AQ_2020.xlsx]原始数据'!$D:$D,MATCH($A961,'[AQ_2020.xlsx]原始数据'!$A:$A,0)),""))</f>
        <v/>
      </c>
      <c r="M961">
        <f>IF($A961="","",IFERROR(INDEX('[AQ_2021.xlsx]原始数据'!$D:$D,MATCH($A961,'[AQ_2021.xlsx]原始数据'!$A:$A,0)),""))</f>
        <v/>
      </c>
      <c r="N961">
        <f>IF($A961="","",IFERROR(INDEX('[AQ_2022.xlsx]原始数据'!$D:$D,MATCH($A961,'[AQ_2022.xlsx]原始数据'!$A:$A,0)),""))</f>
        <v/>
      </c>
      <c r="O961">
        <f>IF($A961="","",IFERROR(INDEX('[AQ_2023.xlsx]原始数据'!$D:$D,MATCH($A961,'[AQ_2023.xlsx]原始数据'!$A:$A,0)),""))</f>
        <v/>
      </c>
      <c r="P961">
        <f>IF($A961="","",IFERROR(INDEX('[AQ_2024.xlsx]原始数据'!$D:$D,MATCH($A961,'[AQ_2024.xlsx]原始数据'!$A:$A,0)),""))</f>
        <v/>
      </c>
      <c r="Q961">
        <f>IF($A961="","",IFERROR(INDEX('[AQ_2020.xlsx]原始数据'!$E:$E,MATCH($A961,'[AQ_2020.xlsx]原始数据'!$A:$A,0)),""))</f>
        <v/>
      </c>
      <c r="R961">
        <f>IF($A961="","",IFERROR(INDEX('[AQ_2021.xlsx]原始数据'!$E:$E,MATCH($A961,'[AQ_2021.xlsx]原始数据'!$A:$A,0)),""))</f>
        <v/>
      </c>
      <c r="S961">
        <f>IF($A961="","",IFERROR(INDEX('[AQ_2022.xlsx]原始数据'!$E:$E,MATCH($A961,'[AQ_2022.xlsx]原始数据'!$A:$A,0)),""))</f>
        <v/>
      </c>
      <c r="T961">
        <f>IF($A961="","",IFERROR(INDEX('[AQ_2023.xlsx]原始数据'!$E:$E,MATCH($A961,'[AQ_2023.xlsx]原始数据'!$A:$A,0)),""))</f>
        <v/>
      </c>
      <c r="U961">
        <f>IF($A961="","",IFERROR(INDEX('[AQ_2024.xlsx]原始数据'!$E:$E,MATCH($A961,'[AQ_2024.xlsx]原始数据'!$A:$A,0)),""))</f>
        <v/>
      </c>
      <c r="V961">
        <f>IF($A961="","",IFERROR(INDEX('[AQ_2020.xlsx]原始数据'!$F:$F,MATCH($A961,'[AQ_2020.xlsx]原始数据'!$A:$A,0)),""))</f>
        <v/>
      </c>
      <c r="W961">
        <f>IF($A961="","",IFERROR(INDEX('[AQ_2021.xlsx]原始数据'!$F:$F,MATCH($A961,'[AQ_2021.xlsx]原始数据'!$A:$A,0)),""))</f>
        <v/>
      </c>
      <c r="X961">
        <f>IF($A961="","",IFERROR(INDEX('[AQ_2022.xlsx]原始数据'!$F:$F,MATCH($A961,'[AQ_2022.xlsx]原始数据'!$A:$A,0)),""))</f>
        <v/>
      </c>
      <c r="Y961">
        <f>IF($A961="","",IFERROR(INDEX('[AQ_2023.xlsx]原始数据'!$F:$F,MATCH($A961,'[AQ_2023.xlsx]原始数据'!$A:$A,0)),""))</f>
        <v/>
      </c>
      <c r="Z961">
        <f>IF($A961="","",IFERROR(INDEX('[AQ_2024.xlsx]原始数据'!$F:$F,MATCH($A961,'[AQ_2024.xlsx]原始数据'!$A:$A,0)),""))</f>
        <v/>
      </c>
      <c r="AA961" s="2">
        <f>IFERROR(G961/B961,"")</f>
        <v/>
      </c>
      <c r="AB961" s="2">
        <f>IFERROR(H961/C961,"")</f>
        <v/>
      </c>
      <c r="AC961" s="2">
        <f>IFERROR(I961/D961,"")</f>
        <v/>
      </c>
      <c r="AD961" s="2">
        <f>IFERROR(J961/E961,"")</f>
        <v/>
      </c>
      <c r="AE961" s="2">
        <f>IFERROR(K961/F961,"")</f>
        <v/>
      </c>
      <c r="AF961" s="2">
        <f>IFERROR(L961/B961,"")</f>
        <v/>
      </c>
      <c r="AG961" s="2">
        <f>IFERROR(M961/C961,"")</f>
        <v/>
      </c>
      <c r="AH961" s="2">
        <f>IFERROR(N961/D961,"")</f>
        <v/>
      </c>
      <c r="AI961" s="2">
        <f>IFERROR(O961/E961,"")</f>
        <v/>
      </c>
      <c r="AJ961" s="2">
        <f>IFERROR(P961/F961,"")</f>
        <v/>
      </c>
      <c r="AK961" s="2">
        <f>IFERROR(Q961/B961,"")</f>
        <v/>
      </c>
      <c r="AL961" s="2">
        <f>IFERROR(R961/C961,"")</f>
        <v/>
      </c>
      <c r="AM961" s="2">
        <f>IFERROR(S961/D961,"")</f>
        <v/>
      </c>
      <c r="AN961" s="2">
        <f>IFERROR(T961/E961,"")</f>
        <v/>
      </c>
      <c r="AO961" s="2">
        <f>IFERROR(U961/F961,"")</f>
        <v/>
      </c>
    </row>
    <row r="962">
      <c r="B962">
        <f>IF($A962="","",IFERROR(INDEX('[AQ_2020.xlsx]原始数据'!$B:$B,MATCH($A962,'[AQ_2020.xlsx]原始数据'!$A:$A,0)),""))</f>
        <v/>
      </c>
      <c r="C962">
        <f>IF($A962="","",IFERROR(INDEX('[AQ_2021.xlsx]原始数据'!$B:$B,MATCH($A962,'[AQ_2021.xlsx]原始数据'!$A:$A,0)),""))</f>
        <v/>
      </c>
      <c r="D962">
        <f>IF($A962="","",IFERROR(INDEX('[AQ_2022.xlsx]原始数据'!$B:$B,MATCH($A962,'[AQ_2022.xlsx]原始数据'!$A:$A,0)),""))</f>
        <v/>
      </c>
      <c r="E962">
        <f>IF($A962="","",IFERROR(INDEX('[AQ_2023.xlsx]原始数据'!$B:$B,MATCH($A962,'[AQ_2023.xlsx]原始数据'!$A:$A,0)),""))</f>
        <v/>
      </c>
      <c r="F962">
        <f>IF($A962="","",IFERROR(INDEX('[AQ_2024.xlsx]原始数据'!$B:$B,MATCH($A962,'[AQ_2024.xlsx]原始数据'!$A:$A,0)),""))</f>
        <v/>
      </c>
      <c r="G962">
        <f>IF($A962="","",IFERROR(INDEX('[AQ_2020.xlsx]原始数据'!$C:$C,MATCH($A962,'[AQ_2020.xlsx]原始数据'!$A:$A,0)),""))</f>
        <v/>
      </c>
      <c r="H962">
        <f>IF($A962="","",IFERROR(INDEX('[AQ_2021.xlsx]原始数据'!$C:$C,MATCH($A962,'[AQ_2021.xlsx]原始数据'!$A:$A,0)),""))</f>
        <v/>
      </c>
      <c r="I962">
        <f>IF($A962="","",IFERROR(INDEX('[AQ_2022.xlsx]原始数据'!$C:$C,MATCH($A962,'[AQ_2022.xlsx]原始数据'!$A:$A,0)),""))</f>
        <v/>
      </c>
      <c r="J962">
        <f>IF($A962="","",IFERROR(INDEX('[AQ_2023.xlsx]原始数据'!$C:$C,MATCH($A962,'[AQ_2023.xlsx]原始数据'!$A:$A,0)),""))</f>
        <v/>
      </c>
      <c r="K962">
        <f>IF($A962="","",IFERROR(INDEX('[AQ_2024.xlsx]原始数据'!$C:$C,MATCH($A962,'[AQ_2024.xlsx]原始数据'!$A:$A,0)),""))</f>
        <v/>
      </c>
      <c r="L962">
        <f>IF($A962="","",IFERROR(INDEX('[AQ_2020.xlsx]原始数据'!$D:$D,MATCH($A962,'[AQ_2020.xlsx]原始数据'!$A:$A,0)),""))</f>
        <v/>
      </c>
      <c r="M962">
        <f>IF($A962="","",IFERROR(INDEX('[AQ_2021.xlsx]原始数据'!$D:$D,MATCH($A962,'[AQ_2021.xlsx]原始数据'!$A:$A,0)),""))</f>
        <v/>
      </c>
      <c r="N962">
        <f>IF($A962="","",IFERROR(INDEX('[AQ_2022.xlsx]原始数据'!$D:$D,MATCH($A962,'[AQ_2022.xlsx]原始数据'!$A:$A,0)),""))</f>
        <v/>
      </c>
      <c r="O962">
        <f>IF($A962="","",IFERROR(INDEX('[AQ_2023.xlsx]原始数据'!$D:$D,MATCH($A962,'[AQ_2023.xlsx]原始数据'!$A:$A,0)),""))</f>
        <v/>
      </c>
      <c r="P962">
        <f>IF($A962="","",IFERROR(INDEX('[AQ_2024.xlsx]原始数据'!$D:$D,MATCH($A962,'[AQ_2024.xlsx]原始数据'!$A:$A,0)),""))</f>
        <v/>
      </c>
      <c r="Q962">
        <f>IF($A962="","",IFERROR(INDEX('[AQ_2020.xlsx]原始数据'!$E:$E,MATCH($A962,'[AQ_2020.xlsx]原始数据'!$A:$A,0)),""))</f>
        <v/>
      </c>
      <c r="R962">
        <f>IF($A962="","",IFERROR(INDEX('[AQ_2021.xlsx]原始数据'!$E:$E,MATCH($A962,'[AQ_2021.xlsx]原始数据'!$A:$A,0)),""))</f>
        <v/>
      </c>
      <c r="S962">
        <f>IF($A962="","",IFERROR(INDEX('[AQ_2022.xlsx]原始数据'!$E:$E,MATCH($A962,'[AQ_2022.xlsx]原始数据'!$A:$A,0)),""))</f>
        <v/>
      </c>
      <c r="T962">
        <f>IF($A962="","",IFERROR(INDEX('[AQ_2023.xlsx]原始数据'!$E:$E,MATCH($A962,'[AQ_2023.xlsx]原始数据'!$A:$A,0)),""))</f>
        <v/>
      </c>
      <c r="U962">
        <f>IF($A962="","",IFERROR(INDEX('[AQ_2024.xlsx]原始数据'!$E:$E,MATCH($A962,'[AQ_2024.xlsx]原始数据'!$A:$A,0)),""))</f>
        <v/>
      </c>
      <c r="V962">
        <f>IF($A962="","",IFERROR(INDEX('[AQ_2020.xlsx]原始数据'!$F:$F,MATCH($A962,'[AQ_2020.xlsx]原始数据'!$A:$A,0)),""))</f>
        <v/>
      </c>
      <c r="W962">
        <f>IF($A962="","",IFERROR(INDEX('[AQ_2021.xlsx]原始数据'!$F:$F,MATCH($A962,'[AQ_2021.xlsx]原始数据'!$A:$A,0)),""))</f>
        <v/>
      </c>
      <c r="X962">
        <f>IF($A962="","",IFERROR(INDEX('[AQ_2022.xlsx]原始数据'!$F:$F,MATCH($A962,'[AQ_2022.xlsx]原始数据'!$A:$A,0)),""))</f>
        <v/>
      </c>
      <c r="Y962">
        <f>IF($A962="","",IFERROR(INDEX('[AQ_2023.xlsx]原始数据'!$F:$F,MATCH($A962,'[AQ_2023.xlsx]原始数据'!$A:$A,0)),""))</f>
        <v/>
      </c>
      <c r="Z962">
        <f>IF($A962="","",IFERROR(INDEX('[AQ_2024.xlsx]原始数据'!$F:$F,MATCH($A962,'[AQ_2024.xlsx]原始数据'!$A:$A,0)),""))</f>
        <v/>
      </c>
      <c r="AA962" s="2">
        <f>IFERROR(G962/B962,"")</f>
        <v/>
      </c>
      <c r="AB962" s="2">
        <f>IFERROR(H962/C962,"")</f>
        <v/>
      </c>
      <c r="AC962" s="2">
        <f>IFERROR(I962/D962,"")</f>
        <v/>
      </c>
      <c r="AD962" s="2">
        <f>IFERROR(J962/E962,"")</f>
        <v/>
      </c>
      <c r="AE962" s="2">
        <f>IFERROR(K962/F962,"")</f>
        <v/>
      </c>
      <c r="AF962" s="2">
        <f>IFERROR(L962/B962,"")</f>
        <v/>
      </c>
      <c r="AG962" s="2">
        <f>IFERROR(M962/C962,"")</f>
        <v/>
      </c>
      <c r="AH962" s="2">
        <f>IFERROR(N962/D962,"")</f>
        <v/>
      </c>
      <c r="AI962" s="2">
        <f>IFERROR(O962/E962,"")</f>
        <v/>
      </c>
      <c r="AJ962" s="2">
        <f>IFERROR(P962/F962,"")</f>
        <v/>
      </c>
      <c r="AK962" s="2">
        <f>IFERROR(Q962/B962,"")</f>
        <v/>
      </c>
      <c r="AL962" s="2">
        <f>IFERROR(R962/C962,"")</f>
        <v/>
      </c>
      <c r="AM962" s="2">
        <f>IFERROR(S962/D962,"")</f>
        <v/>
      </c>
      <c r="AN962" s="2">
        <f>IFERROR(T962/E962,"")</f>
        <v/>
      </c>
      <c r="AO962" s="2">
        <f>IFERROR(U962/F962,"")</f>
        <v/>
      </c>
    </row>
    <row r="963">
      <c r="B963">
        <f>IF($A963="","",IFERROR(INDEX('[AQ_2020.xlsx]原始数据'!$B:$B,MATCH($A963,'[AQ_2020.xlsx]原始数据'!$A:$A,0)),""))</f>
        <v/>
      </c>
      <c r="C963">
        <f>IF($A963="","",IFERROR(INDEX('[AQ_2021.xlsx]原始数据'!$B:$B,MATCH($A963,'[AQ_2021.xlsx]原始数据'!$A:$A,0)),""))</f>
        <v/>
      </c>
      <c r="D963">
        <f>IF($A963="","",IFERROR(INDEX('[AQ_2022.xlsx]原始数据'!$B:$B,MATCH($A963,'[AQ_2022.xlsx]原始数据'!$A:$A,0)),""))</f>
        <v/>
      </c>
      <c r="E963">
        <f>IF($A963="","",IFERROR(INDEX('[AQ_2023.xlsx]原始数据'!$B:$B,MATCH($A963,'[AQ_2023.xlsx]原始数据'!$A:$A,0)),""))</f>
        <v/>
      </c>
      <c r="F963">
        <f>IF($A963="","",IFERROR(INDEX('[AQ_2024.xlsx]原始数据'!$B:$B,MATCH($A963,'[AQ_2024.xlsx]原始数据'!$A:$A,0)),""))</f>
        <v/>
      </c>
      <c r="G963">
        <f>IF($A963="","",IFERROR(INDEX('[AQ_2020.xlsx]原始数据'!$C:$C,MATCH($A963,'[AQ_2020.xlsx]原始数据'!$A:$A,0)),""))</f>
        <v/>
      </c>
      <c r="H963">
        <f>IF($A963="","",IFERROR(INDEX('[AQ_2021.xlsx]原始数据'!$C:$C,MATCH($A963,'[AQ_2021.xlsx]原始数据'!$A:$A,0)),""))</f>
        <v/>
      </c>
      <c r="I963">
        <f>IF($A963="","",IFERROR(INDEX('[AQ_2022.xlsx]原始数据'!$C:$C,MATCH($A963,'[AQ_2022.xlsx]原始数据'!$A:$A,0)),""))</f>
        <v/>
      </c>
      <c r="J963">
        <f>IF($A963="","",IFERROR(INDEX('[AQ_2023.xlsx]原始数据'!$C:$C,MATCH($A963,'[AQ_2023.xlsx]原始数据'!$A:$A,0)),""))</f>
        <v/>
      </c>
      <c r="K963">
        <f>IF($A963="","",IFERROR(INDEX('[AQ_2024.xlsx]原始数据'!$C:$C,MATCH($A963,'[AQ_2024.xlsx]原始数据'!$A:$A,0)),""))</f>
        <v/>
      </c>
      <c r="L963">
        <f>IF($A963="","",IFERROR(INDEX('[AQ_2020.xlsx]原始数据'!$D:$D,MATCH($A963,'[AQ_2020.xlsx]原始数据'!$A:$A,0)),""))</f>
        <v/>
      </c>
      <c r="M963">
        <f>IF($A963="","",IFERROR(INDEX('[AQ_2021.xlsx]原始数据'!$D:$D,MATCH($A963,'[AQ_2021.xlsx]原始数据'!$A:$A,0)),""))</f>
        <v/>
      </c>
      <c r="N963">
        <f>IF($A963="","",IFERROR(INDEX('[AQ_2022.xlsx]原始数据'!$D:$D,MATCH($A963,'[AQ_2022.xlsx]原始数据'!$A:$A,0)),""))</f>
        <v/>
      </c>
      <c r="O963">
        <f>IF($A963="","",IFERROR(INDEX('[AQ_2023.xlsx]原始数据'!$D:$D,MATCH($A963,'[AQ_2023.xlsx]原始数据'!$A:$A,0)),""))</f>
        <v/>
      </c>
      <c r="P963">
        <f>IF($A963="","",IFERROR(INDEX('[AQ_2024.xlsx]原始数据'!$D:$D,MATCH($A963,'[AQ_2024.xlsx]原始数据'!$A:$A,0)),""))</f>
        <v/>
      </c>
      <c r="Q963">
        <f>IF($A963="","",IFERROR(INDEX('[AQ_2020.xlsx]原始数据'!$E:$E,MATCH($A963,'[AQ_2020.xlsx]原始数据'!$A:$A,0)),""))</f>
        <v/>
      </c>
      <c r="R963">
        <f>IF($A963="","",IFERROR(INDEX('[AQ_2021.xlsx]原始数据'!$E:$E,MATCH($A963,'[AQ_2021.xlsx]原始数据'!$A:$A,0)),""))</f>
        <v/>
      </c>
      <c r="S963">
        <f>IF($A963="","",IFERROR(INDEX('[AQ_2022.xlsx]原始数据'!$E:$E,MATCH($A963,'[AQ_2022.xlsx]原始数据'!$A:$A,0)),""))</f>
        <v/>
      </c>
      <c r="T963">
        <f>IF($A963="","",IFERROR(INDEX('[AQ_2023.xlsx]原始数据'!$E:$E,MATCH($A963,'[AQ_2023.xlsx]原始数据'!$A:$A,0)),""))</f>
        <v/>
      </c>
      <c r="U963">
        <f>IF($A963="","",IFERROR(INDEX('[AQ_2024.xlsx]原始数据'!$E:$E,MATCH($A963,'[AQ_2024.xlsx]原始数据'!$A:$A,0)),""))</f>
        <v/>
      </c>
      <c r="V963">
        <f>IF($A963="","",IFERROR(INDEX('[AQ_2020.xlsx]原始数据'!$F:$F,MATCH($A963,'[AQ_2020.xlsx]原始数据'!$A:$A,0)),""))</f>
        <v/>
      </c>
      <c r="W963">
        <f>IF($A963="","",IFERROR(INDEX('[AQ_2021.xlsx]原始数据'!$F:$F,MATCH($A963,'[AQ_2021.xlsx]原始数据'!$A:$A,0)),""))</f>
        <v/>
      </c>
      <c r="X963">
        <f>IF($A963="","",IFERROR(INDEX('[AQ_2022.xlsx]原始数据'!$F:$F,MATCH($A963,'[AQ_2022.xlsx]原始数据'!$A:$A,0)),""))</f>
        <v/>
      </c>
      <c r="Y963">
        <f>IF($A963="","",IFERROR(INDEX('[AQ_2023.xlsx]原始数据'!$F:$F,MATCH($A963,'[AQ_2023.xlsx]原始数据'!$A:$A,0)),""))</f>
        <v/>
      </c>
      <c r="Z963">
        <f>IF($A963="","",IFERROR(INDEX('[AQ_2024.xlsx]原始数据'!$F:$F,MATCH($A963,'[AQ_2024.xlsx]原始数据'!$A:$A,0)),""))</f>
        <v/>
      </c>
      <c r="AA963" s="2">
        <f>IFERROR(G963/B963,"")</f>
        <v/>
      </c>
      <c r="AB963" s="2">
        <f>IFERROR(H963/C963,"")</f>
        <v/>
      </c>
      <c r="AC963" s="2">
        <f>IFERROR(I963/D963,"")</f>
        <v/>
      </c>
      <c r="AD963" s="2">
        <f>IFERROR(J963/E963,"")</f>
        <v/>
      </c>
      <c r="AE963" s="2">
        <f>IFERROR(K963/F963,"")</f>
        <v/>
      </c>
      <c r="AF963" s="2">
        <f>IFERROR(L963/B963,"")</f>
        <v/>
      </c>
      <c r="AG963" s="2">
        <f>IFERROR(M963/C963,"")</f>
        <v/>
      </c>
      <c r="AH963" s="2">
        <f>IFERROR(N963/D963,"")</f>
        <v/>
      </c>
      <c r="AI963" s="2">
        <f>IFERROR(O963/E963,"")</f>
        <v/>
      </c>
      <c r="AJ963" s="2">
        <f>IFERROR(P963/F963,"")</f>
        <v/>
      </c>
      <c r="AK963" s="2">
        <f>IFERROR(Q963/B963,"")</f>
        <v/>
      </c>
      <c r="AL963" s="2">
        <f>IFERROR(R963/C963,"")</f>
        <v/>
      </c>
      <c r="AM963" s="2">
        <f>IFERROR(S963/D963,"")</f>
        <v/>
      </c>
      <c r="AN963" s="2">
        <f>IFERROR(T963/E963,"")</f>
        <v/>
      </c>
      <c r="AO963" s="2">
        <f>IFERROR(U963/F963,"")</f>
        <v/>
      </c>
    </row>
    <row r="964">
      <c r="B964">
        <f>IF($A964="","",IFERROR(INDEX('[AQ_2020.xlsx]原始数据'!$B:$B,MATCH($A964,'[AQ_2020.xlsx]原始数据'!$A:$A,0)),""))</f>
        <v/>
      </c>
      <c r="C964">
        <f>IF($A964="","",IFERROR(INDEX('[AQ_2021.xlsx]原始数据'!$B:$B,MATCH($A964,'[AQ_2021.xlsx]原始数据'!$A:$A,0)),""))</f>
        <v/>
      </c>
      <c r="D964">
        <f>IF($A964="","",IFERROR(INDEX('[AQ_2022.xlsx]原始数据'!$B:$B,MATCH($A964,'[AQ_2022.xlsx]原始数据'!$A:$A,0)),""))</f>
        <v/>
      </c>
      <c r="E964">
        <f>IF($A964="","",IFERROR(INDEX('[AQ_2023.xlsx]原始数据'!$B:$B,MATCH($A964,'[AQ_2023.xlsx]原始数据'!$A:$A,0)),""))</f>
        <v/>
      </c>
      <c r="F964">
        <f>IF($A964="","",IFERROR(INDEX('[AQ_2024.xlsx]原始数据'!$B:$B,MATCH($A964,'[AQ_2024.xlsx]原始数据'!$A:$A,0)),""))</f>
        <v/>
      </c>
      <c r="G964">
        <f>IF($A964="","",IFERROR(INDEX('[AQ_2020.xlsx]原始数据'!$C:$C,MATCH($A964,'[AQ_2020.xlsx]原始数据'!$A:$A,0)),""))</f>
        <v/>
      </c>
      <c r="H964">
        <f>IF($A964="","",IFERROR(INDEX('[AQ_2021.xlsx]原始数据'!$C:$C,MATCH($A964,'[AQ_2021.xlsx]原始数据'!$A:$A,0)),""))</f>
        <v/>
      </c>
      <c r="I964">
        <f>IF($A964="","",IFERROR(INDEX('[AQ_2022.xlsx]原始数据'!$C:$C,MATCH($A964,'[AQ_2022.xlsx]原始数据'!$A:$A,0)),""))</f>
        <v/>
      </c>
      <c r="J964">
        <f>IF($A964="","",IFERROR(INDEX('[AQ_2023.xlsx]原始数据'!$C:$C,MATCH($A964,'[AQ_2023.xlsx]原始数据'!$A:$A,0)),""))</f>
        <v/>
      </c>
      <c r="K964">
        <f>IF($A964="","",IFERROR(INDEX('[AQ_2024.xlsx]原始数据'!$C:$C,MATCH($A964,'[AQ_2024.xlsx]原始数据'!$A:$A,0)),""))</f>
        <v/>
      </c>
      <c r="L964">
        <f>IF($A964="","",IFERROR(INDEX('[AQ_2020.xlsx]原始数据'!$D:$D,MATCH($A964,'[AQ_2020.xlsx]原始数据'!$A:$A,0)),""))</f>
        <v/>
      </c>
      <c r="M964">
        <f>IF($A964="","",IFERROR(INDEX('[AQ_2021.xlsx]原始数据'!$D:$D,MATCH($A964,'[AQ_2021.xlsx]原始数据'!$A:$A,0)),""))</f>
        <v/>
      </c>
      <c r="N964">
        <f>IF($A964="","",IFERROR(INDEX('[AQ_2022.xlsx]原始数据'!$D:$D,MATCH($A964,'[AQ_2022.xlsx]原始数据'!$A:$A,0)),""))</f>
        <v/>
      </c>
      <c r="O964">
        <f>IF($A964="","",IFERROR(INDEX('[AQ_2023.xlsx]原始数据'!$D:$D,MATCH($A964,'[AQ_2023.xlsx]原始数据'!$A:$A,0)),""))</f>
        <v/>
      </c>
      <c r="P964">
        <f>IF($A964="","",IFERROR(INDEX('[AQ_2024.xlsx]原始数据'!$D:$D,MATCH($A964,'[AQ_2024.xlsx]原始数据'!$A:$A,0)),""))</f>
        <v/>
      </c>
      <c r="Q964">
        <f>IF($A964="","",IFERROR(INDEX('[AQ_2020.xlsx]原始数据'!$E:$E,MATCH($A964,'[AQ_2020.xlsx]原始数据'!$A:$A,0)),""))</f>
        <v/>
      </c>
      <c r="R964">
        <f>IF($A964="","",IFERROR(INDEX('[AQ_2021.xlsx]原始数据'!$E:$E,MATCH($A964,'[AQ_2021.xlsx]原始数据'!$A:$A,0)),""))</f>
        <v/>
      </c>
      <c r="S964">
        <f>IF($A964="","",IFERROR(INDEX('[AQ_2022.xlsx]原始数据'!$E:$E,MATCH($A964,'[AQ_2022.xlsx]原始数据'!$A:$A,0)),""))</f>
        <v/>
      </c>
      <c r="T964">
        <f>IF($A964="","",IFERROR(INDEX('[AQ_2023.xlsx]原始数据'!$E:$E,MATCH($A964,'[AQ_2023.xlsx]原始数据'!$A:$A,0)),""))</f>
        <v/>
      </c>
      <c r="U964">
        <f>IF($A964="","",IFERROR(INDEX('[AQ_2024.xlsx]原始数据'!$E:$E,MATCH($A964,'[AQ_2024.xlsx]原始数据'!$A:$A,0)),""))</f>
        <v/>
      </c>
      <c r="V964">
        <f>IF($A964="","",IFERROR(INDEX('[AQ_2020.xlsx]原始数据'!$F:$F,MATCH($A964,'[AQ_2020.xlsx]原始数据'!$A:$A,0)),""))</f>
        <v/>
      </c>
      <c r="W964">
        <f>IF($A964="","",IFERROR(INDEX('[AQ_2021.xlsx]原始数据'!$F:$F,MATCH($A964,'[AQ_2021.xlsx]原始数据'!$A:$A,0)),""))</f>
        <v/>
      </c>
      <c r="X964">
        <f>IF($A964="","",IFERROR(INDEX('[AQ_2022.xlsx]原始数据'!$F:$F,MATCH($A964,'[AQ_2022.xlsx]原始数据'!$A:$A,0)),""))</f>
        <v/>
      </c>
      <c r="Y964">
        <f>IF($A964="","",IFERROR(INDEX('[AQ_2023.xlsx]原始数据'!$F:$F,MATCH($A964,'[AQ_2023.xlsx]原始数据'!$A:$A,0)),""))</f>
        <v/>
      </c>
      <c r="Z964">
        <f>IF($A964="","",IFERROR(INDEX('[AQ_2024.xlsx]原始数据'!$F:$F,MATCH($A964,'[AQ_2024.xlsx]原始数据'!$A:$A,0)),""))</f>
        <v/>
      </c>
      <c r="AA964" s="2">
        <f>IFERROR(G964/B964,"")</f>
        <v/>
      </c>
      <c r="AB964" s="2">
        <f>IFERROR(H964/C964,"")</f>
        <v/>
      </c>
      <c r="AC964" s="2">
        <f>IFERROR(I964/D964,"")</f>
        <v/>
      </c>
      <c r="AD964" s="2">
        <f>IFERROR(J964/E964,"")</f>
        <v/>
      </c>
      <c r="AE964" s="2">
        <f>IFERROR(K964/F964,"")</f>
        <v/>
      </c>
      <c r="AF964" s="2">
        <f>IFERROR(L964/B964,"")</f>
        <v/>
      </c>
      <c r="AG964" s="2">
        <f>IFERROR(M964/C964,"")</f>
        <v/>
      </c>
      <c r="AH964" s="2">
        <f>IFERROR(N964/D964,"")</f>
        <v/>
      </c>
      <c r="AI964" s="2">
        <f>IFERROR(O964/E964,"")</f>
        <v/>
      </c>
      <c r="AJ964" s="2">
        <f>IFERROR(P964/F964,"")</f>
        <v/>
      </c>
      <c r="AK964" s="2">
        <f>IFERROR(Q964/B964,"")</f>
        <v/>
      </c>
      <c r="AL964" s="2">
        <f>IFERROR(R964/C964,"")</f>
        <v/>
      </c>
      <c r="AM964" s="2">
        <f>IFERROR(S964/D964,"")</f>
        <v/>
      </c>
      <c r="AN964" s="2">
        <f>IFERROR(T964/E964,"")</f>
        <v/>
      </c>
      <c r="AO964" s="2">
        <f>IFERROR(U964/F964,"")</f>
        <v/>
      </c>
    </row>
    <row r="965">
      <c r="B965">
        <f>IF($A965="","",IFERROR(INDEX('[AQ_2020.xlsx]原始数据'!$B:$B,MATCH($A965,'[AQ_2020.xlsx]原始数据'!$A:$A,0)),""))</f>
        <v/>
      </c>
      <c r="C965">
        <f>IF($A965="","",IFERROR(INDEX('[AQ_2021.xlsx]原始数据'!$B:$B,MATCH($A965,'[AQ_2021.xlsx]原始数据'!$A:$A,0)),""))</f>
        <v/>
      </c>
      <c r="D965">
        <f>IF($A965="","",IFERROR(INDEX('[AQ_2022.xlsx]原始数据'!$B:$B,MATCH($A965,'[AQ_2022.xlsx]原始数据'!$A:$A,0)),""))</f>
        <v/>
      </c>
      <c r="E965">
        <f>IF($A965="","",IFERROR(INDEX('[AQ_2023.xlsx]原始数据'!$B:$B,MATCH($A965,'[AQ_2023.xlsx]原始数据'!$A:$A,0)),""))</f>
        <v/>
      </c>
      <c r="F965">
        <f>IF($A965="","",IFERROR(INDEX('[AQ_2024.xlsx]原始数据'!$B:$B,MATCH($A965,'[AQ_2024.xlsx]原始数据'!$A:$A,0)),""))</f>
        <v/>
      </c>
      <c r="G965">
        <f>IF($A965="","",IFERROR(INDEX('[AQ_2020.xlsx]原始数据'!$C:$C,MATCH($A965,'[AQ_2020.xlsx]原始数据'!$A:$A,0)),""))</f>
        <v/>
      </c>
      <c r="H965">
        <f>IF($A965="","",IFERROR(INDEX('[AQ_2021.xlsx]原始数据'!$C:$C,MATCH($A965,'[AQ_2021.xlsx]原始数据'!$A:$A,0)),""))</f>
        <v/>
      </c>
      <c r="I965">
        <f>IF($A965="","",IFERROR(INDEX('[AQ_2022.xlsx]原始数据'!$C:$C,MATCH($A965,'[AQ_2022.xlsx]原始数据'!$A:$A,0)),""))</f>
        <v/>
      </c>
      <c r="J965">
        <f>IF($A965="","",IFERROR(INDEX('[AQ_2023.xlsx]原始数据'!$C:$C,MATCH($A965,'[AQ_2023.xlsx]原始数据'!$A:$A,0)),""))</f>
        <v/>
      </c>
      <c r="K965">
        <f>IF($A965="","",IFERROR(INDEX('[AQ_2024.xlsx]原始数据'!$C:$C,MATCH($A965,'[AQ_2024.xlsx]原始数据'!$A:$A,0)),""))</f>
        <v/>
      </c>
      <c r="L965">
        <f>IF($A965="","",IFERROR(INDEX('[AQ_2020.xlsx]原始数据'!$D:$D,MATCH($A965,'[AQ_2020.xlsx]原始数据'!$A:$A,0)),""))</f>
        <v/>
      </c>
      <c r="M965">
        <f>IF($A965="","",IFERROR(INDEX('[AQ_2021.xlsx]原始数据'!$D:$D,MATCH($A965,'[AQ_2021.xlsx]原始数据'!$A:$A,0)),""))</f>
        <v/>
      </c>
      <c r="N965">
        <f>IF($A965="","",IFERROR(INDEX('[AQ_2022.xlsx]原始数据'!$D:$D,MATCH($A965,'[AQ_2022.xlsx]原始数据'!$A:$A,0)),""))</f>
        <v/>
      </c>
      <c r="O965">
        <f>IF($A965="","",IFERROR(INDEX('[AQ_2023.xlsx]原始数据'!$D:$D,MATCH($A965,'[AQ_2023.xlsx]原始数据'!$A:$A,0)),""))</f>
        <v/>
      </c>
      <c r="P965">
        <f>IF($A965="","",IFERROR(INDEX('[AQ_2024.xlsx]原始数据'!$D:$D,MATCH($A965,'[AQ_2024.xlsx]原始数据'!$A:$A,0)),""))</f>
        <v/>
      </c>
      <c r="Q965">
        <f>IF($A965="","",IFERROR(INDEX('[AQ_2020.xlsx]原始数据'!$E:$E,MATCH($A965,'[AQ_2020.xlsx]原始数据'!$A:$A,0)),""))</f>
        <v/>
      </c>
      <c r="R965">
        <f>IF($A965="","",IFERROR(INDEX('[AQ_2021.xlsx]原始数据'!$E:$E,MATCH($A965,'[AQ_2021.xlsx]原始数据'!$A:$A,0)),""))</f>
        <v/>
      </c>
      <c r="S965">
        <f>IF($A965="","",IFERROR(INDEX('[AQ_2022.xlsx]原始数据'!$E:$E,MATCH($A965,'[AQ_2022.xlsx]原始数据'!$A:$A,0)),""))</f>
        <v/>
      </c>
      <c r="T965">
        <f>IF($A965="","",IFERROR(INDEX('[AQ_2023.xlsx]原始数据'!$E:$E,MATCH($A965,'[AQ_2023.xlsx]原始数据'!$A:$A,0)),""))</f>
        <v/>
      </c>
      <c r="U965">
        <f>IF($A965="","",IFERROR(INDEX('[AQ_2024.xlsx]原始数据'!$E:$E,MATCH($A965,'[AQ_2024.xlsx]原始数据'!$A:$A,0)),""))</f>
        <v/>
      </c>
      <c r="V965">
        <f>IF($A965="","",IFERROR(INDEX('[AQ_2020.xlsx]原始数据'!$F:$F,MATCH($A965,'[AQ_2020.xlsx]原始数据'!$A:$A,0)),""))</f>
        <v/>
      </c>
      <c r="W965">
        <f>IF($A965="","",IFERROR(INDEX('[AQ_2021.xlsx]原始数据'!$F:$F,MATCH($A965,'[AQ_2021.xlsx]原始数据'!$A:$A,0)),""))</f>
        <v/>
      </c>
      <c r="X965">
        <f>IF($A965="","",IFERROR(INDEX('[AQ_2022.xlsx]原始数据'!$F:$F,MATCH($A965,'[AQ_2022.xlsx]原始数据'!$A:$A,0)),""))</f>
        <v/>
      </c>
      <c r="Y965">
        <f>IF($A965="","",IFERROR(INDEX('[AQ_2023.xlsx]原始数据'!$F:$F,MATCH($A965,'[AQ_2023.xlsx]原始数据'!$A:$A,0)),""))</f>
        <v/>
      </c>
      <c r="Z965">
        <f>IF($A965="","",IFERROR(INDEX('[AQ_2024.xlsx]原始数据'!$F:$F,MATCH($A965,'[AQ_2024.xlsx]原始数据'!$A:$A,0)),""))</f>
        <v/>
      </c>
      <c r="AA965" s="2">
        <f>IFERROR(G965/B965,"")</f>
        <v/>
      </c>
      <c r="AB965" s="2">
        <f>IFERROR(H965/C965,"")</f>
        <v/>
      </c>
      <c r="AC965" s="2">
        <f>IFERROR(I965/D965,"")</f>
        <v/>
      </c>
      <c r="AD965" s="2">
        <f>IFERROR(J965/E965,"")</f>
        <v/>
      </c>
      <c r="AE965" s="2">
        <f>IFERROR(K965/F965,"")</f>
        <v/>
      </c>
      <c r="AF965" s="2">
        <f>IFERROR(L965/B965,"")</f>
        <v/>
      </c>
      <c r="AG965" s="2">
        <f>IFERROR(M965/C965,"")</f>
        <v/>
      </c>
      <c r="AH965" s="2">
        <f>IFERROR(N965/D965,"")</f>
        <v/>
      </c>
      <c r="AI965" s="2">
        <f>IFERROR(O965/E965,"")</f>
        <v/>
      </c>
      <c r="AJ965" s="2">
        <f>IFERROR(P965/F965,"")</f>
        <v/>
      </c>
      <c r="AK965" s="2">
        <f>IFERROR(Q965/B965,"")</f>
        <v/>
      </c>
      <c r="AL965" s="2">
        <f>IFERROR(R965/C965,"")</f>
        <v/>
      </c>
      <c r="AM965" s="2">
        <f>IFERROR(S965/D965,"")</f>
        <v/>
      </c>
      <c r="AN965" s="2">
        <f>IFERROR(T965/E965,"")</f>
        <v/>
      </c>
      <c r="AO965" s="2">
        <f>IFERROR(U965/F965,"")</f>
        <v/>
      </c>
    </row>
    <row r="966">
      <c r="B966">
        <f>IF($A966="","",IFERROR(INDEX('[AQ_2020.xlsx]原始数据'!$B:$B,MATCH($A966,'[AQ_2020.xlsx]原始数据'!$A:$A,0)),""))</f>
        <v/>
      </c>
      <c r="C966">
        <f>IF($A966="","",IFERROR(INDEX('[AQ_2021.xlsx]原始数据'!$B:$B,MATCH($A966,'[AQ_2021.xlsx]原始数据'!$A:$A,0)),""))</f>
        <v/>
      </c>
      <c r="D966">
        <f>IF($A966="","",IFERROR(INDEX('[AQ_2022.xlsx]原始数据'!$B:$B,MATCH($A966,'[AQ_2022.xlsx]原始数据'!$A:$A,0)),""))</f>
        <v/>
      </c>
      <c r="E966">
        <f>IF($A966="","",IFERROR(INDEX('[AQ_2023.xlsx]原始数据'!$B:$B,MATCH($A966,'[AQ_2023.xlsx]原始数据'!$A:$A,0)),""))</f>
        <v/>
      </c>
      <c r="F966">
        <f>IF($A966="","",IFERROR(INDEX('[AQ_2024.xlsx]原始数据'!$B:$B,MATCH($A966,'[AQ_2024.xlsx]原始数据'!$A:$A,0)),""))</f>
        <v/>
      </c>
      <c r="G966">
        <f>IF($A966="","",IFERROR(INDEX('[AQ_2020.xlsx]原始数据'!$C:$C,MATCH($A966,'[AQ_2020.xlsx]原始数据'!$A:$A,0)),""))</f>
        <v/>
      </c>
      <c r="H966">
        <f>IF($A966="","",IFERROR(INDEX('[AQ_2021.xlsx]原始数据'!$C:$C,MATCH($A966,'[AQ_2021.xlsx]原始数据'!$A:$A,0)),""))</f>
        <v/>
      </c>
      <c r="I966">
        <f>IF($A966="","",IFERROR(INDEX('[AQ_2022.xlsx]原始数据'!$C:$C,MATCH($A966,'[AQ_2022.xlsx]原始数据'!$A:$A,0)),""))</f>
        <v/>
      </c>
      <c r="J966">
        <f>IF($A966="","",IFERROR(INDEX('[AQ_2023.xlsx]原始数据'!$C:$C,MATCH($A966,'[AQ_2023.xlsx]原始数据'!$A:$A,0)),""))</f>
        <v/>
      </c>
      <c r="K966">
        <f>IF($A966="","",IFERROR(INDEX('[AQ_2024.xlsx]原始数据'!$C:$C,MATCH($A966,'[AQ_2024.xlsx]原始数据'!$A:$A,0)),""))</f>
        <v/>
      </c>
      <c r="L966">
        <f>IF($A966="","",IFERROR(INDEX('[AQ_2020.xlsx]原始数据'!$D:$D,MATCH($A966,'[AQ_2020.xlsx]原始数据'!$A:$A,0)),""))</f>
        <v/>
      </c>
      <c r="M966">
        <f>IF($A966="","",IFERROR(INDEX('[AQ_2021.xlsx]原始数据'!$D:$D,MATCH($A966,'[AQ_2021.xlsx]原始数据'!$A:$A,0)),""))</f>
        <v/>
      </c>
      <c r="N966">
        <f>IF($A966="","",IFERROR(INDEX('[AQ_2022.xlsx]原始数据'!$D:$D,MATCH($A966,'[AQ_2022.xlsx]原始数据'!$A:$A,0)),""))</f>
        <v/>
      </c>
      <c r="O966">
        <f>IF($A966="","",IFERROR(INDEX('[AQ_2023.xlsx]原始数据'!$D:$D,MATCH($A966,'[AQ_2023.xlsx]原始数据'!$A:$A,0)),""))</f>
        <v/>
      </c>
      <c r="P966">
        <f>IF($A966="","",IFERROR(INDEX('[AQ_2024.xlsx]原始数据'!$D:$D,MATCH($A966,'[AQ_2024.xlsx]原始数据'!$A:$A,0)),""))</f>
        <v/>
      </c>
      <c r="Q966">
        <f>IF($A966="","",IFERROR(INDEX('[AQ_2020.xlsx]原始数据'!$E:$E,MATCH($A966,'[AQ_2020.xlsx]原始数据'!$A:$A,0)),""))</f>
        <v/>
      </c>
      <c r="R966">
        <f>IF($A966="","",IFERROR(INDEX('[AQ_2021.xlsx]原始数据'!$E:$E,MATCH($A966,'[AQ_2021.xlsx]原始数据'!$A:$A,0)),""))</f>
        <v/>
      </c>
      <c r="S966">
        <f>IF($A966="","",IFERROR(INDEX('[AQ_2022.xlsx]原始数据'!$E:$E,MATCH($A966,'[AQ_2022.xlsx]原始数据'!$A:$A,0)),""))</f>
        <v/>
      </c>
      <c r="T966">
        <f>IF($A966="","",IFERROR(INDEX('[AQ_2023.xlsx]原始数据'!$E:$E,MATCH($A966,'[AQ_2023.xlsx]原始数据'!$A:$A,0)),""))</f>
        <v/>
      </c>
      <c r="U966">
        <f>IF($A966="","",IFERROR(INDEX('[AQ_2024.xlsx]原始数据'!$E:$E,MATCH($A966,'[AQ_2024.xlsx]原始数据'!$A:$A,0)),""))</f>
        <v/>
      </c>
      <c r="V966">
        <f>IF($A966="","",IFERROR(INDEX('[AQ_2020.xlsx]原始数据'!$F:$F,MATCH($A966,'[AQ_2020.xlsx]原始数据'!$A:$A,0)),""))</f>
        <v/>
      </c>
      <c r="W966">
        <f>IF($A966="","",IFERROR(INDEX('[AQ_2021.xlsx]原始数据'!$F:$F,MATCH($A966,'[AQ_2021.xlsx]原始数据'!$A:$A,0)),""))</f>
        <v/>
      </c>
      <c r="X966">
        <f>IF($A966="","",IFERROR(INDEX('[AQ_2022.xlsx]原始数据'!$F:$F,MATCH($A966,'[AQ_2022.xlsx]原始数据'!$A:$A,0)),""))</f>
        <v/>
      </c>
      <c r="Y966">
        <f>IF($A966="","",IFERROR(INDEX('[AQ_2023.xlsx]原始数据'!$F:$F,MATCH($A966,'[AQ_2023.xlsx]原始数据'!$A:$A,0)),""))</f>
        <v/>
      </c>
      <c r="Z966">
        <f>IF($A966="","",IFERROR(INDEX('[AQ_2024.xlsx]原始数据'!$F:$F,MATCH($A966,'[AQ_2024.xlsx]原始数据'!$A:$A,0)),""))</f>
        <v/>
      </c>
      <c r="AA966" s="2">
        <f>IFERROR(G966/B966,"")</f>
        <v/>
      </c>
      <c r="AB966" s="2">
        <f>IFERROR(H966/C966,"")</f>
        <v/>
      </c>
      <c r="AC966" s="2">
        <f>IFERROR(I966/D966,"")</f>
        <v/>
      </c>
      <c r="AD966" s="2">
        <f>IFERROR(J966/E966,"")</f>
        <v/>
      </c>
      <c r="AE966" s="2">
        <f>IFERROR(K966/F966,"")</f>
        <v/>
      </c>
      <c r="AF966" s="2">
        <f>IFERROR(L966/B966,"")</f>
        <v/>
      </c>
      <c r="AG966" s="2">
        <f>IFERROR(M966/C966,"")</f>
        <v/>
      </c>
      <c r="AH966" s="2">
        <f>IFERROR(N966/D966,"")</f>
        <v/>
      </c>
      <c r="AI966" s="2">
        <f>IFERROR(O966/E966,"")</f>
        <v/>
      </c>
      <c r="AJ966" s="2">
        <f>IFERROR(P966/F966,"")</f>
        <v/>
      </c>
      <c r="AK966" s="2">
        <f>IFERROR(Q966/B966,"")</f>
        <v/>
      </c>
      <c r="AL966" s="2">
        <f>IFERROR(R966/C966,"")</f>
        <v/>
      </c>
      <c r="AM966" s="2">
        <f>IFERROR(S966/D966,"")</f>
        <v/>
      </c>
      <c r="AN966" s="2">
        <f>IFERROR(T966/E966,"")</f>
        <v/>
      </c>
      <c r="AO966" s="2">
        <f>IFERROR(U966/F966,"")</f>
        <v/>
      </c>
    </row>
    <row r="967">
      <c r="B967">
        <f>IF($A967="","",IFERROR(INDEX('[AQ_2020.xlsx]原始数据'!$B:$B,MATCH($A967,'[AQ_2020.xlsx]原始数据'!$A:$A,0)),""))</f>
        <v/>
      </c>
      <c r="C967">
        <f>IF($A967="","",IFERROR(INDEX('[AQ_2021.xlsx]原始数据'!$B:$B,MATCH($A967,'[AQ_2021.xlsx]原始数据'!$A:$A,0)),""))</f>
        <v/>
      </c>
      <c r="D967">
        <f>IF($A967="","",IFERROR(INDEX('[AQ_2022.xlsx]原始数据'!$B:$B,MATCH($A967,'[AQ_2022.xlsx]原始数据'!$A:$A,0)),""))</f>
        <v/>
      </c>
      <c r="E967">
        <f>IF($A967="","",IFERROR(INDEX('[AQ_2023.xlsx]原始数据'!$B:$B,MATCH($A967,'[AQ_2023.xlsx]原始数据'!$A:$A,0)),""))</f>
        <v/>
      </c>
      <c r="F967">
        <f>IF($A967="","",IFERROR(INDEX('[AQ_2024.xlsx]原始数据'!$B:$B,MATCH($A967,'[AQ_2024.xlsx]原始数据'!$A:$A,0)),""))</f>
        <v/>
      </c>
      <c r="G967">
        <f>IF($A967="","",IFERROR(INDEX('[AQ_2020.xlsx]原始数据'!$C:$C,MATCH($A967,'[AQ_2020.xlsx]原始数据'!$A:$A,0)),""))</f>
        <v/>
      </c>
      <c r="H967">
        <f>IF($A967="","",IFERROR(INDEX('[AQ_2021.xlsx]原始数据'!$C:$C,MATCH($A967,'[AQ_2021.xlsx]原始数据'!$A:$A,0)),""))</f>
        <v/>
      </c>
      <c r="I967">
        <f>IF($A967="","",IFERROR(INDEX('[AQ_2022.xlsx]原始数据'!$C:$C,MATCH($A967,'[AQ_2022.xlsx]原始数据'!$A:$A,0)),""))</f>
        <v/>
      </c>
      <c r="J967">
        <f>IF($A967="","",IFERROR(INDEX('[AQ_2023.xlsx]原始数据'!$C:$C,MATCH($A967,'[AQ_2023.xlsx]原始数据'!$A:$A,0)),""))</f>
        <v/>
      </c>
      <c r="K967">
        <f>IF($A967="","",IFERROR(INDEX('[AQ_2024.xlsx]原始数据'!$C:$C,MATCH($A967,'[AQ_2024.xlsx]原始数据'!$A:$A,0)),""))</f>
        <v/>
      </c>
      <c r="L967">
        <f>IF($A967="","",IFERROR(INDEX('[AQ_2020.xlsx]原始数据'!$D:$D,MATCH($A967,'[AQ_2020.xlsx]原始数据'!$A:$A,0)),""))</f>
        <v/>
      </c>
      <c r="M967">
        <f>IF($A967="","",IFERROR(INDEX('[AQ_2021.xlsx]原始数据'!$D:$D,MATCH($A967,'[AQ_2021.xlsx]原始数据'!$A:$A,0)),""))</f>
        <v/>
      </c>
      <c r="N967">
        <f>IF($A967="","",IFERROR(INDEX('[AQ_2022.xlsx]原始数据'!$D:$D,MATCH($A967,'[AQ_2022.xlsx]原始数据'!$A:$A,0)),""))</f>
        <v/>
      </c>
      <c r="O967">
        <f>IF($A967="","",IFERROR(INDEX('[AQ_2023.xlsx]原始数据'!$D:$D,MATCH($A967,'[AQ_2023.xlsx]原始数据'!$A:$A,0)),""))</f>
        <v/>
      </c>
      <c r="P967">
        <f>IF($A967="","",IFERROR(INDEX('[AQ_2024.xlsx]原始数据'!$D:$D,MATCH($A967,'[AQ_2024.xlsx]原始数据'!$A:$A,0)),""))</f>
        <v/>
      </c>
      <c r="Q967">
        <f>IF($A967="","",IFERROR(INDEX('[AQ_2020.xlsx]原始数据'!$E:$E,MATCH($A967,'[AQ_2020.xlsx]原始数据'!$A:$A,0)),""))</f>
        <v/>
      </c>
      <c r="R967">
        <f>IF($A967="","",IFERROR(INDEX('[AQ_2021.xlsx]原始数据'!$E:$E,MATCH($A967,'[AQ_2021.xlsx]原始数据'!$A:$A,0)),""))</f>
        <v/>
      </c>
      <c r="S967">
        <f>IF($A967="","",IFERROR(INDEX('[AQ_2022.xlsx]原始数据'!$E:$E,MATCH($A967,'[AQ_2022.xlsx]原始数据'!$A:$A,0)),""))</f>
        <v/>
      </c>
      <c r="T967">
        <f>IF($A967="","",IFERROR(INDEX('[AQ_2023.xlsx]原始数据'!$E:$E,MATCH($A967,'[AQ_2023.xlsx]原始数据'!$A:$A,0)),""))</f>
        <v/>
      </c>
      <c r="U967">
        <f>IF($A967="","",IFERROR(INDEX('[AQ_2024.xlsx]原始数据'!$E:$E,MATCH($A967,'[AQ_2024.xlsx]原始数据'!$A:$A,0)),""))</f>
        <v/>
      </c>
      <c r="V967">
        <f>IF($A967="","",IFERROR(INDEX('[AQ_2020.xlsx]原始数据'!$F:$F,MATCH($A967,'[AQ_2020.xlsx]原始数据'!$A:$A,0)),""))</f>
        <v/>
      </c>
      <c r="W967">
        <f>IF($A967="","",IFERROR(INDEX('[AQ_2021.xlsx]原始数据'!$F:$F,MATCH($A967,'[AQ_2021.xlsx]原始数据'!$A:$A,0)),""))</f>
        <v/>
      </c>
      <c r="X967">
        <f>IF($A967="","",IFERROR(INDEX('[AQ_2022.xlsx]原始数据'!$F:$F,MATCH($A967,'[AQ_2022.xlsx]原始数据'!$A:$A,0)),""))</f>
        <v/>
      </c>
      <c r="Y967">
        <f>IF($A967="","",IFERROR(INDEX('[AQ_2023.xlsx]原始数据'!$F:$F,MATCH($A967,'[AQ_2023.xlsx]原始数据'!$A:$A,0)),""))</f>
        <v/>
      </c>
      <c r="Z967">
        <f>IF($A967="","",IFERROR(INDEX('[AQ_2024.xlsx]原始数据'!$F:$F,MATCH($A967,'[AQ_2024.xlsx]原始数据'!$A:$A,0)),""))</f>
        <v/>
      </c>
      <c r="AA967" s="2">
        <f>IFERROR(G967/B967,"")</f>
        <v/>
      </c>
      <c r="AB967" s="2">
        <f>IFERROR(H967/C967,"")</f>
        <v/>
      </c>
      <c r="AC967" s="2">
        <f>IFERROR(I967/D967,"")</f>
        <v/>
      </c>
      <c r="AD967" s="2">
        <f>IFERROR(J967/E967,"")</f>
        <v/>
      </c>
      <c r="AE967" s="2">
        <f>IFERROR(K967/F967,"")</f>
        <v/>
      </c>
      <c r="AF967" s="2">
        <f>IFERROR(L967/B967,"")</f>
        <v/>
      </c>
      <c r="AG967" s="2">
        <f>IFERROR(M967/C967,"")</f>
        <v/>
      </c>
      <c r="AH967" s="2">
        <f>IFERROR(N967/D967,"")</f>
        <v/>
      </c>
      <c r="AI967" s="2">
        <f>IFERROR(O967/E967,"")</f>
        <v/>
      </c>
      <c r="AJ967" s="2">
        <f>IFERROR(P967/F967,"")</f>
        <v/>
      </c>
      <c r="AK967" s="2">
        <f>IFERROR(Q967/B967,"")</f>
        <v/>
      </c>
      <c r="AL967" s="2">
        <f>IFERROR(R967/C967,"")</f>
        <v/>
      </c>
      <c r="AM967" s="2">
        <f>IFERROR(S967/D967,"")</f>
        <v/>
      </c>
      <c r="AN967" s="2">
        <f>IFERROR(T967/E967,"")</f>
        <v/>
      </c>
      <c r="AO967" s="2">
        <f>IFERROR(U967/F967,"")</f>
        <v/>
      </c>
    </row>
    <row r="968">
      <c r="B968">
        <f>IF($A968="","",IFERROR(INDEX('[AQ_2020.xlsx]原始数据'!$B:$B,MATCH($A968,'[AQ_2020.xlsx]原始数据'!$A:$A,0)),""))</f>
        <v/>
      </c>
      <c r="C968">
        <f>IF($A968="","",IFERROR(INDEX('[AQ_2021.xlsx]原始数据'!$B:$B,MATCH($A968,'[AQ_2021.xlsx]原始数据'!$A:$A,0)),""))</f>
        <v/>
      </c>
      <c r="D968">
        <f>IF($A968="","",IFERROR(INDEX('[AQ_2022.xlsx]原始数据'!$B:$B,MATCH($A968,'[AQ_2022.xlsx]原始数据'!$A:$A,0)),""))</f>
        <v/>
      </c>
      <c r="E968">
        <f>IF($A968="","",IFERROR(INDEX('[AQ_2023.xlsx]原始数据'!$B:$B,MATCH($A968,'[AQ_2023.xlsx]原始数据'!$A:$A,0)),""))</f>
        <v/>
      </c>
      <c r="F968">
        <f>IF($A968="","",IFERROR(INDEX('[AQ_2024.xlsx]原始数据'!$B:$B,MATCH($A968,'[AQ_2024.xlsx]原始数据'!$A:$A,0)),""))</f>
        <v/>
      </c>
      <c r="G968">
        <f>IF($A968="","",IFERROR(INDEX('[AQ_2020.xlsx]原始数据'!$C:$C,MATCH($A968,'[AQ_2020.xlsx]原始数据'!$A:$A,0)),""))</f>
        <v/>
      </c>
      <c r="H968">
        <f>IF($A968="","",IFERROR(INDEX('[AQ_2021.xlsx]原始数据'!$C:$C,MATCH($A968,'[AQ_2021.xlsx]原始数据'!$A:$A,0)),""))</f>
        <v/>
      </c>
      <c r="I968">
        <f>IF($A968="","",IFERROR(INDEX('[AQ_2022.xlsx]原始数据'!$C:$C,MATCH($A968,'[AQ_2022.xlsx]原始数据'!$A:$A,0)),""))</f>
        <v/>
      </c>
      <c r="J968">
        <f>IF($A968="","",IFERROR(INDEX('[AQ_2023.xlsx]原始数据'!$C:$C,MATCH($A968,'[AQ_2023.xlsx]原始数据'!$A:$A,0)),""))</f>
        <v/>
      </c>
      <c r="K968">
        <f>IF($A968="","",IFERROR(INDEX('[AQ_2024.xlsx]原始数据'!$C:$C,MATCH($A968,'[AQ_2024.xlsx]原始数据'!$A:$A,0)),""))</f>
        <v/>
      </c>
      <c r="L968">
        <f>IF($A968="","",IFERROR(INDEX('[AQ_2020.xlsx]原始数据'!$D:$D,MATCH($A968,'[AQ_2020.xlsx]原始数据'!$A:$A,0)),""))</f>
        <v/>
      </c>
      <c r="M968">
        <f>IF($A968="","",IFERROR(INDEX('[AQ_2021.xlsx]原始数据'!$D:$D,MATCH($A968,'[AQ_2021.xlsx]原始数据'!$A:$A,0)),""))</f>
        <v/>
      </c>
      <c r="N968">
        <f>IF($A968="","",IFERROR(INDEX('[AQ_2022.xlsx]原始数据'!$D:$D,MATCH($A968,'[AQ_2022.xlsx]原始数据'!$A:$A,0)),""))</f>
        <v/>
      </c>
      <c r="O968">
        <f>IF($A968="","",IFERROR(INDEX('[AQ_2023.xlsx]原始数据'!$D:$D,MATCH($A968,'[AQ_2023.xlsx]原始数据'!$A:$A,0)),""))</f>
        <v/>
      </c>
      <c r="P968">
        <f>IF($A968="","",IFERROR(INDEX('[AQ_2024.xlsx]原始数据'!$D:$D,MATCH($A968,'[AQ_2024.xlsx]原始数据'!$A:$A,0)),""))</f>
        <v/>
      </c>
      <c r="Q968">
        <f>IF($A968="","",IFERROR(INDEX('[AQ_2020.xlsx]原始数据'!$E:$E,MATCH($A968,'[AQ_2020.xlsx]原始数据'!$A:$A,0)),""))</f>
        <v/>
      </c>
      <c r="R968">
        <f>IF($A968="","",IFERROR(INDEX('[AQ_2021.xlsx]原始数据'!$E:$E,MATCH($A968,'[AQ_2021.xlsx]原始数据'!$A:$A,0)),""))</f>
        <v/>
      </c>
      <c r="S968">
        <f>IF($A968="","",IFERROR(INDEX('[AQ_2022.xlsx]原始数据'!$E:$E,MATCH($A968,'[AQ_2022.xlsx]原始数据'!$A:$A,0)),""))</f>
        <v/>
      </c>
      <c r="T968">
        <f>IF($A968="","",IFERROR(INDEX('[AQ_2023.xlsx]原始数据'!$E:$E,MATCH($A968,'[AQ_2023.xlsx]原始数据'!$A:$A,0)),""))</f>
        <v/>
      </c>
      <c r="U968">
        <f>IF($A968="","",IFERROR(INDEX('[AQ_2024.xlsx]原始数据'!$E:$E,MATCH($A968,'[AQ_2024.xlsx]原始数据'!$A:$A,0)),""))</f>
        <v/>
      </c>
      <c r="V968">
        <f>IF($A968="","",IFERROR(INDEX('[AQ_2020.xlsx]原始数据'!$F:$F,MATCH($A968,'[AQ_2020.xlsx]原始数据'!$A:$A,0)),""))</f>
        <v/>
      </c>
      <c r="W968">
        <f>IF($A968="","",IFERROR(INDEX('[AQ_2021.xlsx]原始数据'!$F:$F,MATCH($A968,'[AQ_2021.xlsx]原始数据'!$A:$A,0)),""))</f>
        <v/>
      </c>
      <c r="X968">
        <f>IF($A968="","",IFERROR(INDEX('[AQ_2022.xlsx]原始数据'!$F:$F,MATCH($A968,'[AQ_2022.xlsx]原始数据'!$A:$A,0)),""))</f>
        <v/>
      </c>
      <c r="Y968">
        <f>IF($A968="","",IFERROR(INDEX('[AQ_2023.xlsx]原始数据'!$F:$F,MATCH($A968,'[AQ_2023.xlsx]原始数据'!$A:$A,0)),""))</f>
        <v/>
      </c>
      <c r="Z968">
        <f>IF($A968="","",IFERROR(INDEX('[AQ_2024.xlsx]原始数据'!$F:$F,MATCH($A968,'[AQ_2024.xlsx]原始数据'!$A:$A,0)),""))</f>
        <v/>
      </c>
      <c r="AA968" s="2">
        <f>IFERROR(G968/B968,"")</f>
        <v/>
      </c>
      <c r="AB968" s="2">
        <f>IFERROR(H968/C968,"")</f>
        <v/>
      </c>
      <c r="AC968" s="2">
        <f>IFERROR(I968/D968,"")</f>
        <v/>
      </c>
      <c r="AD968" s="2">
        <f>IFERROR(J968/E968,"")</f>
        <v/>
      </c>
      <c r="AE968" s="2">
        <f>IFERROR(K968/F968,"")</f>
        <v/>
      </c>
      <c r="AF968" s="2">
        <f>IFERROR(L968/B968,"")</f>
        <v/>
      </c>
      <c r="AG968" s="2">
        <f>IFERROR(M968/C968,"")</f>
        <v/>
      </c>
      <c r="AH968" s="2">
        <f>IFERROR(N968/D968,"")</f>
        <v/>
      </c>
      <c r="AI968" s="2">
        <f>IFERROR(O968/E968,"")</f>
        <v/>
      </c>
      <c r="AJ968" s="2">
        <f>IFERROR(P968/F968,"")</f>
        <v/>
      </c>
      <c r="AK968" s="2">
        <f>IFERROR(Q968/B968,"")</f>
        <v/>
      </c>
      <c r="AL968" s="2">
        <f>IFERROR(R968/C968,"")</f>
        <v/>
      </c>
      <c r="AM968" s="2">
        <f>IFERROR(S968/D968,"")</f>
        <v/>
      </c>
      <c r="AN968" s="2">
        <f>IFERROR(T968/E968,"")</f>
        <v/>
      </c>
      <c r="AO968" s="2">
        <f>IFERROR(U968/F968,"")</f>
        <v/>
      </c>
    </row>
    <row r="969">
      <c r="B969">
        <f>IF($A969="","",IFERROR(INDEX('[AQ_2020.xlsx]原始数据'!$B:$B,MATCH($A969,'[AQ_2020.xlsx]原始数据'!$A:$A,0)),""))</f>
        <v/>
      </c>
      <c r="C969">
        <f>IF($A969="","",IFERROR(INDEX('[AQ_2021.xlsx]原始数据'!$B:$B,MATCH($A969,'[AQ_2021.xlsx]原始数据'!$A:$A,0)),""))</f>
        <v/>
      </c>
      <c r="D969">
        <f>IF($A969="","",IFERROR(INDEX('[AQ_2022.xlsx]原始数据'!$B:$B,MATCH($A969,'[AQ_2022.xlsx]原始数据'!$A:$A,0)),""))</f>
        <v/>
      </c>
      <c r="E969">
        <f>IF($A969="","",IFERROR(INDEX('[AQ_2023.xlsx]原始数据'!$B:$B,MATCH($A969,'[AQ_2023.xlsx]原始数据'!$A:$A,0)),""))</f>
        <v/>
      </c>
      <c r="F969">
        <f>IF($A969="","",IFERROR(INDEX('[AQ_2024.xlsx]原始数据'!$B:$B,MATCH($A969,'[AQ_2024.xlsx]原始数据'!$A:$A,0)),""))</f>
        <v/>
      </c>
      <c r="G969">
        <f>IF($A969="","",IFERROR(INDEX('[AQ_2020.xlsx]原始数据'!$C:$C,MATCH($A969,'[AQ_2020.xlsx]原始数据'!$A:$A,0)),""))</f>
        <v/>
      </c>
      <c r="H969">
        <f>IF($A969="","",IFERROR(INDEX('[AQ_2021.xlsx]原始数据'!$C:$C,MATCH($A969,'[AQ_2021.xlsx]原始数据'!$A:$A,0)),""))</f>
        <v/>
      </c>
      <c r="I969">
        <f>IF($A969="","",IFERROR(INDEX('[AQ_2022.xlsx]原始数据'!$C:$C,MATCH($A969,'[AQ_2022.xlsx]原始数据'!$A:$A,0)),""))</f>
        <v/>
      </c>
      <c r="J969">
        <f>IF($A969="","",IFERROR(INDEX('[AQ_2023.xlsx]原始数据'!$C:$C,MATCH($A969,'[AQ_2023.xlsx]原始数据'!$A:$A,0)),""))</f>
        <v/>
      </c>
      <c r="K969">
        <f>IF($A969="","",IFERROR(INDEX('[AQ_2024.xlsx]原始数据'!$C:$C,MATCH($A969,'[AQ_2024.xlsx]原始数据'!$A:$A,0)),""))</f>
        <v/>
      </c>
      <c r="L969">
        <f>IF($A969="","",IFERROR(INDEX('[AQ_2020.xlsx]原始数据'!$D:$D,MATCH($A969,'[AQ_2020.xlsx]原始数据'!$A:$A,0)),""))</f>
        <v/>
      </c>
      <c r="M969">
        <f>IF($A969="","",IFERROR(INDEX('[AQ_2021.xlsx]原始数据'!$D:$D,MATCH($A969,'[AQ_2021.xlsx]原始数据'!$A:$A,0)),""))</f>
        <v/>
      </c>
      <c r="N969">
        <f>IF($A969="","",IFERROR(INDEX('[AQ_2022.xlsx]原始数据'!$D:$D,MATCH($A969,'[AQ_2022.xlsx]原始数据'!$A:$A,0)),""))</f>
        <v/>
      </c>
      <c r="O969">
        <f>IF($A969="","",IFERROR(INDEX('[AQ_2023.xlsx]原始数据'!$D:$D,MATCH($A969,'[AQ_2023.xlsx]原始数据'!$A:$A,0)),""))</f>
        <v/>
      </c>
      <c r="P969">
        <f>IF($A969="","",IFERROR(INDEX('[AQ_2024.xlsx]原始数据'!$D:$D,MATCH($A969,'[AQ_2024.xlsx]原始数据'!$A:$A,0)),""))</f>
        <v/>
      </c>
      <c r="Q969">
        <f>IF($A969="","",IFERROR(INDEX('[AQ_2020.xlsx]原始数据'!$E:$E,MATCH($A969,'[AQ_2020.xlsx]原始数据'!$A:$A,0)),""))</f>
        <v/>
      </c>
      <c r="R969">
        <f>IF($A969="","",IFERROR(INDEX('[AQ_2021.xlsx]原始数据'!$E:$E,MATCH($A969,'[AQ_2021.xlsx]原始数据'!$A:$A,0)),""))</f>
        <v/>
      </c>
      <c r="S969">
        <f>IF($A969="","",IFERROR(INDEX('[AQ_2022.xlsx]原始数据'!$E:$E,MATCH($A969,'[AQ_2022.xlsx]原始数据'!$A:$A,0)),""))</f>
        <v/>
      </c>
      <c r="T969">
        <f>IF($A969="","",IFERROR(INDEX('[AQ_2023.xlsx]原始数据'!$E:$E,MATCH($A969,'[AQ_2023.xlsx]原始数据'!$A:$A,0)),""))</f>
        <v/>
      </c>
      <c r="U969">
        <f>IF($A969="","",IFERROR(INDEX('[AQ_2024.xlsx]原始数据'!$E:$E,MATCH($A969,'[AQ_2024.xlsx]原始数据'!$A:$A,0)),""))</f>
        <v/>
      </c>
      <c r="V969">
        <f>IF($A969="","",IFERROR(INDEX('[AQ_2020.xlsx]原始数据'!$F:$F,MATCH($A969,'[AQ_2020.xlsx]原始数据'!$A:$A,0)),""))</f>
        <v/>
      </c>
      <c r="W969">
        <f>IF($A969="","",IFERROR(INDEX('[AQ_2021.xlsx]原始数据'!$F:$F,MATCH($A969,'[AQ_2021.xlsx]原始数据'!$A:$A,0)),""))</f>
        <v/>
      </c>
      <c r="X969">
        <f>IF($A969="","",IFERROR(INDEX('[AQ_2022.xlsx]原始数据'!$F:$F,MATCH($A969,'[AQ_2022.xlsx]原始数据'!$A:$A,0)),""))</f>
        <v/>
      </c>
      <c r="Y969">
        <f>IF($A969="","",IFERROR(INDEX('[AQ_2023.xlsx]原始数据'!$F:$F,MATCH($A969,'[AQ_2023.xlsx]原始数据'!$A:$A,0)),""))</f>
        <v/>
      </c>
      <c r="Z969">
        <f>IF($A969="","",IFERROR(INDEX('[AQ_2024.xlsx]原始数据'!$F:$F,MATCH($A969,'[AQ_2024.xlsx]原始数据'!$A:$A,0)),""))</f>
        <v/>
      </c>
      <c r="AA969" s="2">
        <f>IFERROR(G969/B969,"")</f>
        <v/>
      </c>
      <c r="AB969" s="2">
        <f>IFERROR(H969/C969,"")</f>
        <v/>
      </c>
      <c r="AC969" s="2">
        <f>IFERROR(I969/D969,"")</f>
        <v/>
      </c>
      <c r="AD969" s="2">
        <f>IFERROR(J969/E969,"")</f>
        <v/>
      </c>
      <c r="AE969" s="2">
        <f>IFERROR(K969/F969,"")</f>
        <v/>
      </c>
      <c r="AF969" s="2">
        <f>IFERROR(L969/B969,"")</f>
        <v/>
      </c>
      <c r="AG969" s="2">
        <f>IFERROR(M969/C969,"")</f>
        <v/>
      </c>
      <c r="AH969" s="2">
        <f>IFERROR(N969/D969,"")</f>
        <v/>
      </c>
      <c r="AI969" s="2">
        <f>IFERROR(O969/E969,"")</f>
        <v/>
      </c>
      <c r="AJ969" s="2">
        <f>IFERROR(P969/F969,"")</f>
        <v/>
      </c>
      <c r="AK969" s="2">
        <f>IFERROR(Q969/B969,"")</f>
        <v/>
      </c>
      <c r="AL969" s="2">
        <f>IFERROR(R969/C969,"")</f>
        <v/>
      </c>
      <c r="AM969" s="2">
        <f>IFERROR(S969/D969,"")</f>
        <v/>
      </c>
      <c r="AN969" s="2">
        <f>IFERROR(T969/E969,"")</f>
        <v/>
      </c>
      <c r="AO969" s="2">
        <f>IFERROR(U969/F969,"")</f>
        <v/>
      </c>
    </row>
    <row r="970">
      <c r="B970">
        <f>IF($A970="","",IFERROR(INDEX('[AQ_2020.xlsx]原始数据'!$B:$B,MATCH($A970,'[AQ_2020.xlsx]原始数据'!$A:$A,0)),""))</f>
        <v/>
      </c>
      <c r="C970">
        <f>IF($A970="","",IFERROR(INDEX('[AQ_2021.xlsx]原始数据'!$B:$B,MATCH($A970,'[AQ_2021.xlsx]原始数据'!$A:$A,0)),""))</f>
        <v/>
      </c>
      <c r="D970">
        <f>IF($A970="","",IFERROR(INDEX('[AQ_2022.xlsx]原始数据'!$B:$B,MATCH($A970,'[AQ_2022.xlsx]原始数据'!$A:$A,0)),""))</f>
        <v/>
      </c>
      <c r="E970">
        <f>IF($A970="","",IFERROR(INDEX('[AQ_2023.xlsx]原始数据'!$B:$B,MATCH($A970,'[AQ_2023.xlsx]原始数据'!$A:$A,0)),""))</f>
        <v/>
      </c>
      <c r="F970">
        <f>IF($A970="","",IFERROR(INDEX('[AQ_2024.xlsx]原始数据'!$B:$B,MATCH($A970,'[AQ_2024.xlsx]原始数据'!$A:$A,0)),""))</f>
        <v/>
      </c>
      <c r="G970">
        <f>IF($A970="","",IFERROR(INDEX('[AQ_2020.xlsx]原始数据'!$C:$C,MATCH($A970,'[AQ_2020.xlsx]原始数据'!$A:$A,0)),""))</f>
        <v/>
      </c>
      <c r="H970">
        <f>IF($A970="","",IFERROR(INDEX('[AQ_2021.xlsx]原始数据'!$C:$C,MATCH($A970,'[AQ_2021.xlsx]原始数据'!$A:$A,0)),""))</f>
        <v/>
      </c>
      <c r="I970">
        <f>IF($A970="","",IFERROR(INDEX('[AQ_2022.xlsx]原始数据'!$C:$C,MATCH($A970,'[AQ_2022.xlsx]原始数据'!$A:$A,0)),""))</f>
        <v/>
      </c>
      <c r="J970">
        <f>IF($A970="","",IFERROR(INDEX('[AQ_2023.xlsx]原始数据'!$C:$C,MATCH($A970,'[AQ_2023.xlsx]原始数据'!$A:$A,0)),""))</f>
        <v/>
      </c>
      <c r="K970">
        <f>IF($A970="","",IFERROR(INDEX('[AQ_2024.xlsx]原始数据'!$C:$C,MATCH($A970,'[AQ_2024.xlsx]原始数据'!$A:$A,0)),""))</f>
        <v/>
      </c>
      <c r="L970">
        <f>IF($A970="","",IFERROR(INDEX('[AQ_2020.xlsx]原始数据'!$D:$D,MATCH($A970,'[AQ_2020.xlsx]原始数据'!$A:$A,0)),""))</f>
        <v/>
      </c>
      <c r="M970">
        <f>IF($A970="","",IFERROR(INDEX('[AQ_2021.xlsx]原始数据'!$D:$D,MATCH($A970,'[AQ_2021.xlsx]原始数据'!$A:$A,0)),""))</f>
        <v/>
      </c>
      <c r="N970">
        <f>IF($A970="","",IFERROR(INDEX('[AQ_2022.xlsx]原始数据'!$D:$D,MATCH($A970,'[AQ_2022.xlsx]原始数据'!$A:$A,0)),""))</f>
        <v/>
      </c>
      <c r="O970">
        <f>IF($A970="","",IFERROR(INDEX('[AQ_2023.xlsx]原始数据'!$D:$D,MATCH($A970,'[AQ_2023.xlsx]原始数据'!$A:$A,0)),""))</f>
        <v/>
      </c>
      <c r="P970">
        <f>IF($A970="","",IFERROR(INDEX('[AQ_2024.xlsx]原始数据'!$D:$D,MATCH($A970,'[AQ_2024.xlsx]原始数据'!$A:$A,0)),""))</f>
        <v/>
      </c>
      <c r="Q970">
        <f>IF($A970="","",IFERROR(INDEX('[AQ_2020.xlsx]原始数据'!$E:$E,MATCH($A970,'[AQ_2020.xlsx]原始数据'!$A:$A,0)),""))</f>
        <v/>
      </c>
      <c r="R970">
        <f>IF($A970="","",IFERROR(INDEX('[AQ_2021.xlsx]原始数据'!$E:$E,MATCH($A970,'[AQ_2021.xlsx]原始数据'!$A:$A,0)),""))</f>
        <v/>
      </c>
      <c r="S970">
        <f>IF($A970="","",IFERROR(INDEX('[AQ_2022.xlsx]原始数据'!$E:$E,MATCH($A970,'[AQ_2022.xlsx]原始数据'!$A:$A,0)),""))</f>
        <v/>
      </c>
      <c r="T970">
        <f>IF($A970="","",IFERROR(INDEX('[AQ_2023.xlsx]原始数据'!$E:$E,MATCH($A970,'[AQ_2023.xlsx]原始数据'!$A:$A,0)),""))</f>
        <v/>
      </c>
      <c r="U970">
        <f>IF($A970="","",IFERROR(INDEX('[AQ_2024.xlsx]原始数据'!$E:$E,MATCH($A970,'[AQ_2024.xlsx]原始数据'!$A:$A,0)),""))</f>
        <v/>
      </c>
      <c r="V970">
        <f>IF($A970="","",IFERROR(INDEX('[AQ_2020.xlsx]原始数据'!$F:$F,MATCH($A970,'[AQ_2020.xlsx]原始数据'!$A:$A,0)),""))</f>
        <v/>
      </c>
      <c r="W970">
        <f>IF($A970="","",IFERROR(INDEX('[AQ_2021.xlsx]原始数据'!$F:$F,MATCH($A970,'[AQ_2021.xlsx]原始数据'!$A:$A,0)),""))</f>
        <v/>
      </c>
      <c r="X970">
        <f>IF($A970="","",IFERROR(INDEX('[AQ_2022.xlsx]原始数据'!$F:$F,MATCH($A970,'[AQ_2022.xlsx]原始数据'!$A:$A,0)),""))</f>
        <v/>
      </c>
      <c r="Y970">
        <f>IF($A970="","",IFERROR(INDEX('[AQ_2023.xlsx]原始数据'!$F:$F,MATCH($A970,'[AQ_2023.xlsx]原始数据'!$A:$A,0)),""))</f>
        <v/>
      </c>
      <c r="Z970">
        <f>IF($A970="","",IFERROR(INDEX('[AQ_2024.xlsx]原始数据'!$F:$F,MATCH($A970,'[AQ_2024.xlsx]原始数据'!$A:$A,0)),""))</f>
        <v/>
      </c>
      <c r="AA970" s="2">
        <f>IFERROR(G970/B970,"")</f>
        <v/>
      </c>
      <c r="AB970" s="2">
        <f>IFERROR(H970/C970,"")</f>
        <v/>
      </c>
      <c r="AC970" s="2">
        <f>IFERROR(I970/D970,"")</f>
        <v/>
      </c>
      <c r="AD970" s="2">
        <f>IFERROR(J970/E970,"")</f>
        <v/>
      </c>
      <c r="AE970" s="2">
        <f>IFERROR(K970/F970,"")</f>
        <v/>
      </c>
      <c r="AF970" s="2">
        <f>IFERROR(L970/B970,"")</f>
        <v/>
      </c>
      <c r="AG970" s="2">
        <f>IFERROR(M970/C970,"")</f>
        <v/>
      </c>
      <c r="AH970" s="2">
        <f>IFERROR(N970/D970,"")</f>
        <v/>
      </c>
      <c r="AI970" s="2">
        <f>IFERROR(O970/E970,"")</f>
        <v/>
      </c>
      <c r="AJ970" s="2">
        <f>IFERROR(P970/F970,"")</f>
        <v/>
      </c>
      <c r="AK970" s="2">
        <f>IFERROR(Q970/B970,"")</f>
        <v/>
      </c>
      <c r="AL970" s="2">
        <f>IFERROR(R970/C970,"")</f>
        <v/>
      </c>
      <c r="AM970" s="2">
        <f>IFERROR(S970/D970,"")</f>
        <v/>
      </c>
      <c r="AN970" s="2">
        <f>IFERROR(T970/E970,"")</f>
        <v/>
      </c>
      <c r="AO970" s="2">
        <f>IFERROR(U970/F970,"")</f>
        <v/>
      </c>
    </row>
    <row r="971">
      <c r="B971">
        <f>IF($A971="","",IFERROR(INDEX('[AQ_2020.xlsx]原始数据'!$B:$B,MATCH($A971,'[AQ_2020.xlsx]原始数据'!$A:$A,0)),""))</f>
        <v/>
      </c>
      <c r="C971">
        <f>IF($A971="","",IFERROR(INDEX('[AQ_2021.xlsx]原始数据'!$B:$B,MATCH($A971,'[AQ_2021.xlsx]原始数据'!$A:$A,0)),""))</f>
        <v/>
      </c>
      <c r="D971">
        <f>IF($A971="","",IFERROR(INDEX('[AQ_2022.xlsx]原始数据'!$B:$B,MATCH($A971,'[AQ_2022.xlsx]原始数据'!$A:$A,0)),""))</f>
        <v/>
      </c>
      <c r="E971">
        <f>IF($A971="","",IFERROR(INDEX('[AQ_2023.xlsx]原始数据'!$B:$B,MATCH($A971,'[AQ_2023.xlsx]原始数据'!$A:$A,0)),""))</f>
        <v/>
      </c>
      <c r="F971">
        <f>IF($A971="","",IFERROR(INDEX('[AQ_2024.xlsx]原始数据'!$B:$B,MATCH($A971,'[AQ_2024.xlsx]原始数据'!$A:$A,0)),""))</f>
        <v/>
      </c>
      <c r="G971">
        <f>IF($A971="","",IFERROR(INDEX('[AQ_2020.xlsx]原始数据'!$C:$C,MATCH($A971,'[AQ_2020.xlsx]原始数据'!$A:$A,0)),""))</f>
        <v/>
      </c>
      <c r="H971">
        <f>IF($A971="","",IFERROR(INDEX('[AQ_2021.xlsx]原始数据'!$C:$C,MATCH($A971,'[AQ_2021.xlsx]原始数据'!$A:$A,0)),""))</f>
        <v/>
      </c>
      <c r="I971">
        <f>IF($A971="","",IFERROR(INDEX('[AQ_2022.xlsx]原始数据'!$C:$C,MATCH($A971,'[AQ_2022.xlsx]原始数据'!$A:$A,0)),""))</f>
        <v/>
      </c>
      <c r="J971">
        <f>IF($A971="","",IFERROR(INDEX('[AQ_2023.xlsx]原始数据'!$C:$C,MATCH($A971,'[AQ_2023.xlsx]原始数据'!$A:$A,0)),""))</f>
        <v/>
      </c>
      <c r="K971">
        <f>IF($A971="","",IFERROR(INDEX('[AQ_2024.xlsx]原始数据'!$C:$C,MATCH($A971,'[AQ_2024.xlsx]原始数据'!$A:$A,0)),""))</f>
        <v/>
      </c>
      <c r="L971">
        <f>IF($A971="","",IFERROR(INDEX('[AQ_2020.xlsx]原始数据'!$D:$D,MATCH($A971,'[AQ_2020.xlsx]原始数据'!$A:$A,0)),""))</f>
        <v/>
      </c>
      <c r="M971">
        <f>IF($A971="","",IFERROR(INDEX('[AQ_2021.xlsx]原始数据'!$D:$D,MATCH($A971,'[AQ_2021.xlsx]原始数据'!$A:$A,0)),""))</f>
        <v/>
      </c>
      <c r="N971">
        <f>IF($A971="","",IFERROR(INDEX('[AQ_2022.xlsx]原始数据'!$D:$D,MATCH($A971,'[AQ_2022.xlsx]原始数据'!$A:$A,0)),""))</f>
        <v/>
      </c>
      <c r="O971">
        <f>IF($A971="","",IFERROR(INDEX('[AQ_2023.xlsx]原始数据'!$D:$D,MATCH($A971,'[AQ_2023.xlsx]原始数据'!$A:$A,0)),""))</f>
        <v/>
      </c>
      <c r="P971">
        <f>IF($A971="","",IFERROR(INDEX('[AQ_2024.xlsx]原始数据'!$D:$D,MATCH($A971,'[AQ_2024.xlsx]原始数据'!$A:$A,0)),""))</f>
        <v/>
      </c>
      <c r="Q971">
        <f>IF($A971="","",IFERROR(INDEX('[AQ_2020.xlsx]原始数据'!$E:$E,MATCH($A971,'[AQ_2020.xlsx]原始数据'!$A:$A,0)),""))</f>
        <v/>
      </c>
      <c r="R971">
        <f>IF($A971="","",IFERROR(INDEX('[AQ_2021.xlsx]原始数据'!$E:$E,MATCH($A971,'[AQ_2021.xlsx]原始数据'!$A:$A,0)),""))</f>
        <v/>
      </c>
      <c r="S971">
        <f>IF($A971="","",IFERROR(INDEX('[AQ_2022.xlsx]原始数据'!$E:$E,MATCH($A971,'[AQ_2022.xlsx]原始数据'!$A:$A,0)),""))</f>
        <v/>
      </c>
      <c r="T971">
        <f>IF($A971="","",IFERROR(INDEX('[AQ_2023.xlsx]原始数据'!$E:$E,MATCH($A971,'[AQ_2023.xlsx]原始数据'!$A:$A,0)),""))</f>
        <v/>
      </c>
      <c r="U971">
        <f>IF($A971="","",IFERROR(INDEX('[AQ_2024.xlsx]原始数据'!$E:$E,MATCH($A971,'[AQ_2024.xlsx]原始数据'!$A:$A,0)),""))</f>
        <v/>
      </c>
      <c r="V971">
        <f>IF($A971="","",IFERROR(INDEX('[AQ_2020.xlsx]原始数据'!$F:$F,MATCH($A971,'[AQ_2020.xlsx]原始数据'!$A:$A,0)),""))</f>
        <v/>
      </c>
      <c r="W971">
        <f>IF($A971="","",IFERROR(INDEX('[AQ_2021.xlsx]原始数据'!$F:$F,MATCH($A971,'[AQ_2021.xlsx]原始数据'!$A:$A,0)),""))</f>
        <v/>
      </c>
      <c r="X971">
        <f>IF($A971="","",IFERROR(INDEX('[AQ_2022.xlsx]原始数据'!$F:$F,MATCH($A971,'[AQ_2022.xlsx]原始数据'!$A:$A,0)),""))</f>
        <v/>
      </c>
      <c r="Y971">
        <f>IF($A971="","",IFERROR(INDEX('[AQ_2023.xlsx]原始数据'!$F:$F,MATCH($A971,'[AQ_2023.xlsx]原始数据'!$A:$A,0)),""))</f>
        <v/>
      </c>
      <c r="Z971">
        <f>IF($A971="","",IFERROR(INDEX('[AQ_2024.xlsx]原始数据'!$F:$F,MATCH($A971,'[AQ_2024.xlsx]原始数据'!$A:$A,0)),""))</f>
        <v/>
      </c>
      <c r="AA971" s="2">
        <f>IFERROR(G971/B971,"")</f>
        <v/>
      </c>
      <c r="AB971" s="2">
        <f>IFERROR(H971/C971,"")</f>
        <v/>
      </c>
      <c r="AC971" s="2">
        <f>IFERROR(I971/D971,"")</f>
        <v/>
      </c>
      <c r="AD971" s="2">
        <f>IFERROR(J971/E971,"")</f>
        <v/>
      </c>
      <c r="AE971" s="2">
        <f>IFERROR(K971/F971,"")</f>
        <v/>
      </c>
      <c r="AF971" s="2">
        <f>IFERROR(L971/B971,"")</f>
        <v/>
      </c>
      <c r="AG971" s="2">
        <f>IFERROR(M971/C971,"")</f>
        <v/>
      </c>
      <c r="AH971" s="2">
        <f>IFERROR(N971/D971,"")</f>
        <v/>
      </c>
      <c r="AI971" s="2">
        <f>IFERROR(O971/E971,"")</f>
        <v/>
      </c>
      <c r="AJ971" s="2">
        <f>IFERROR(P971/F971,"")</f>
        <v/>
      </c>
      <c r="AK971" s="2">
        <f>IFERROR(Q971/B971,"")</f>
        <v/>
      </c>
      <c r="AL971" s="2">
        <f>IFERROR(R971/C971,"")</f>
        <v/>
      </c>
      <c r="AM971" s="2">
        <f>IFERROR(S971/D971,"")</f>
        <v/>
      </c>
      <c r="AN971" s="2">
        <f>IFERROR(T971/E971,"")</f>
        <v/>
      </c>
      <c r="AO971" s="2">
        <f>IFERROR(U971/F971,"")</f>
        <v/>
      </c>
    </row>
    <row r="972">
      <c r="B972">
        <f>IF($A972="","",IFERROR(INDEX('[AQ_2020.xlsx]原始数据'!$B:$B,MATCH($A972,'[AQ_2020.xlsx]原始数据'!$A:$A,0)),""))</f>
        <v/>
      </c>
      <c r="C972">
        <f>IF($A972="","",IFERROR(INDEX('[AQ_2021.xlsx]原始数据'!$B:$B,MATCH($A972,'[AQ_2021.xlsx]原始数据'!$A:$A,0)),""))</f>
        <v/>
      </c>
      <c r="D972">
        <f>IF($A972="","",IFERROR(INDEX('[AQ_2022.xlsx]原始数据'!$B:$B,MATCH($A972,'[AQ_2022.xlsx]原始数据'!$A:$A,0)),""))</f>
        <v/>
      </c>
      <c r="E972">
        <f>IF($A972="","",IFERROR(INDEX('[AQ_2023.xlsx]原始数据'!$B:$B,MATCH($A972,'[AQ_2023.xlsx]原始数据'!$A:$A,0)),""))</f>
        <v/>
      </c>
      <c r="F972">
        <f>IF($A972="","",IFERROR(INDEX('[AQ_2024.xlsx]原始数据'!$B:$B,MATCH($A972,'[AQ_2024.xlsx]原始数据'!$A:$A,0)),""))</f>
        <v/>
      </c>
      <c r="G972">
        <f>IF($A972="","",IFERROR(INDEX('[AQ_2020.xlsx]原始数据'!$C:$C,MATCH($A972,'[AQ_2020.xlsx]原始数据'!$A:$A,0)),""))</f>
        <v/>
      </c>
      <c r="H972">
        <f>IF($A972="","",IFERROR(INDEX('[AQ_2021.xlsx]原始数据'!$C:$C,MATCH($A972,'[AQ_2021.xlsx]原始数据'!$A:$A,0)),""))</f>
        <v/>
      </c>
      <c r="I972">
        <f>IF($A972="","",IFERROR(INDEX('[AQ_2022.xlsx]原始数据'!$C:$C,MATCH($A972,'[AQ_2022.xlsx]原始数据'!$A:$A,0)),""))</f>
        <v/>
      </c>
      <c r="J972">
        <f>IF($A972="","",IFERROR(INDEX('[AQ_2023.xlsx]原始数据'!$C:$C,MATCH($A972,'[AQ_2023.xlsx]原始数据'!$A:$A,0)),""))</f>
        <v/>
      </c>
      <c r="K972">
        <f>IF($A972="","",IFERROR(INDEX('[AQ_2024.xlsx]原始数据'!$C:$C,MATCH($A972,'[AQ_2024.xlsx]原始数据'!$A:$A,0)),""))</f>
        <v/>
      </c>
      <c r="L972">
        <f>IF($A972="","",IFERROR(INDEX('[AQ_2020.xlsx]原始数据'!$D:$D,MATCH($A972,'[AQ_2020.xlsx]原始数据'!$A:$A,0)),""))</f>
        <v/>
      </c>
      <c r="M972">
        <f>IF($A972="","",IFERROR(INDEX('[AQ_2021.xlsx]原始数据'!$D:$D,MATCH($A972,'[AQ_2021.xlsx]原始数据'!$A:$A,0)),""))</f>
        <v/>
      </c>
      <c r="N972">
        <f>IF($A972="","",IFERROR(INDEX('[AQ_2022.xlsx]原始数据'!$D:$D,MATCH($A972,'[AQ_2022.xlsx]原始数据'!$A:$A,0)),""))</f>
        <v/>
      </c>
      <c r="O972">
        <f>IF($A972="","",IFERROR(INDEX('[AQ_2023.xlsx]原始数据'!$D:$D,MATCH($A972,'[AQ_2023.xlsx]原始数据'!$A:$A,0)),""))</f>
        <v/>
      </c>
      <c r="P972">
        <f>IF($A972="","",IFERROR(INDEX('[AQ_2024.xlsx]原始数据'!$D:$D,MATCH($A972,'[AQ_2024.xlsx]原始数据'!$A:$A,0)),""))</f>
        <v/>
      </c>
      <c r="Q972">
        <f>IF($A972="","",IFERROR(INDEX('[AQ_2020.xlsx]原始数据'!$E:$E,MATCH($A972,'[AQ_2020.xlsx]原始数据'!$A:$A,0)),""))</f>
        <v/>
      </c>
      <c r="R972">
        <f>IF($A972="","",IFERROR(INDEX('[AQ_2021.xlsx]原始数据'!$E:$E,MATCH($A972,'[AQ_2021.xlsx]原始数据'!$A:$A,0)),""))</f>
        <v/>
      </c>
      <c r="S972">
        <f>IF($A972="","",IFERROR(INDEX('[AQ_2022.xlsx]原始数据'!$E:$E,MATCH($A972,'[AQ_2022.xlsx]原始数据'!$A:$A,0)),""))</f>
        <v/>
      </c>
      <c r="T972">
        <f>IF($A972="","",IFERROR(INDEX('[AQ_2023.xlsx]原始数据'!$E:$E,MATCH($A972,'[AQ_2023.xlsx]原始数据'!$A:$A,0)),""))</f>
        <v/>
      </c>
      <c r="U972">
        <f>IF($A972="","",IFERROR(INDEX('[AQ_2024.xlsx]原始数据'!$E:$E,MATCH($A972,'[AQ_2024.xlsx]原始数据'!$A:$A,0)),""))</f>
        <v/>
      </c>
      <c r="V972">
        <f>IF($A972="","",IFERROR(INDEX('[AQ_2020.xlsx]原始数据'!$F:$F,MATCH($A972,'[AQ_2020.xlsx]原始数据'!$A:$A,0)),""))</f>
        <v/>
      </c>
      <c r="W972">
        <f>IF($A972="","",IFERROR(INDEX('[AQ_2021.xlsx]原始数据'!$F:$F,MATCH($A972,'[AQ_2021.xlsx]原始数据'!$A:$A,0)),""))</f>
        <v/>
      </c>
      <c r="X972">
        <f>IF($A972="","",IFERROR(INDEX('[AQ_2022.xlsx]原始数据'!$F:$F,MATCH($A972,'[AQ_2022.xlsx]原始数据'!$A:$A,0)),""))</f>
        <v/>
      </c>
      <c r="Y972">
        <f>IF($A972="","",IFERROR(INDEX('[AQ_2023.xlsx]原始数据'!$F:$F,MATCH($A972,'[AQ_2023.xlsx]原始数据'!$A:$A,0)),""))</f>
        <v/>
      </c>
      <c r="Z972">
        <f>IF($A972="","",IFERROR(INDEX('[AQ_2024.xlsx]原始数据'!$F:$F,MATCH($A972,'[AQ_2024.xlsx]原始数据'!$A:$A,0)),""))</f>
        <v/>
      </c>
      <c r="AA972" s="2">
        <f>IFERROR(G972/B972,"")</f>
        <v/>
      </c>
      <c r="AB972" s="2">
        <f>IFERROR(H972/C972,"")</f>
        <v/>
      </c>
      <c r="AC972" s="2">
        <f>IFERROR(I972/D972,"")</f>
        <v/>
      </c>
      <c r="AD972" s="2">
        <f>IFERROR(J972/E972,"")</f>
        <v/>
      </c>
      <c r="AE972" s="2">
        <f>IFERROR(K972/F972,"")</f>
        <v/>
      </c>
      <c r="AF972" s="2">
        <f>IFERROR(L972/B972,"")</f>
        <v/>
      </c>
      <c r="AG972" s="2">
        <f>IFERROR(M972/C972,"")</f>
        <v/>
      </c>
      <c r="AH972" s="2">
        <f>IFERROR(N972/D972,"")</f>
        <v/>
      </c>
      <c r="AI972" s="2">
        <f>IFERROR(O972/E972,"")</f>
        <v/>
      </c>
      <c r="AJ972" s="2">
        <f>IFERROR(P972/F972,"")</f>
        <v/>
      </c>
      <c r="AK972" s="2">
        <f>IFERROR(Q972/B972,"")</f>
        <v/>
      </c>
      <c r="AL972" s="2">
        <f>IFERROR(R972/C972,"")</f>
        <v/>
      </c>
      <c r="AM972" s="2">
        <f>IFERROR(S972/D972,"")</f>
        <v/>
      </c>
      <c r="AN972" s="2">
        <f>IFERROR(T972/E972,"")</f>
        <v/>
      </c>
      <c r="AO972" s="2">
        <f>IFERROR(U972/F972,"")</f>
        <v/>
      </c>
    </row>
    <row r="973">
      <c r="B973">
        <f>IF($A973="","",IFERROR(INDEX('[AQ_2020.xlsx]原始数据'!$B:$B,MATCH($A973,'[AQ_2020.xlsx]原始数据'!$A:$A,0)),""))</f>
        <v/>
      </c>
      <c r="C973">
        <f>IF($A973="","",IFERROR(INDEX('[AQ_2021.xlsx]原始数据'!$B:$B,MATCH($A973,'[AQ_2021.xlsx]原始数据'!$A:$A,0)),""))</f>
        <v/>
      </c>
      <c r="D973">
        <f>IF($A973="","",IFERROR(INDEX('[AQ_2022.xlsx]原始数据'!$B:$B,MATCH($A973,'[AQ_2022.xlsx]原始数据'!$A:$A,0)),""))</f>
        <v/>
      </c>
      <c r="E973">
        <f>IF($A973="","",IFERROR(INDEX('[AQ_2023.xlsx]原始数据'!$B:$B,MATCH($A973,'[AQ_2023.xlsx]原始数据'!$A:$A,0)),""))</f>
        <v/>
      </c>
      <c r="F973">
        <f>IF($A973="","",IFERROR(INDEX('[AQ_2024.xlsx]原始数据'!$B:$B,MATCH($A973,'[AQ_2024.xlsx]原始数据'!$A:$A,0)),""))</f>
        <v/>
      </c>
      <c r="G973">
        <f>IF($A973="","",IFERROR(INDEX('[AQ_2020.xlsx]原始数据'!$C:$C,MATCH($A973,'[AQ_2020.xlsx]原始数据'!$A:$A,0)),""))</f>
        <v/>
      </c>
      <c r="H973">
        <f>IF($A973="","",IFERROR(INDEX('[AQ_2021.xlsx]原始数据'!$C:$C,MATCH($A973,'[AQ_2021.xlsx]原始数据'!$A:$A,0)),""))</f>
        <v/>
      </c>
      <c r="I973">
        <f>IF($A973="","",IFERROR(INDEX('[AQ_2022.xlsx]原始数据'!$C:$C,MATCH($A973,'[AQ_2022.xlsx]原始数据'!$A:$A,0)),""))</f>
        <v/>
      </c>
      <c r="J973">
        <f>IF($A973="","",IFERROR(INDEX('[AQ_2023.xlsx]原始数据'!$C:$C,MATCH($A973,'[AQ_2023.xlsx]原始数据'!$A:$A,0)),""))</f>
        <v/>
      </c>
      <c r="K973">
        <f>IF($A973="","",IFERROR(INDEX('[AQ_2024.xlsx]原始数据'!$C:$C,MATCH($A973,'[AQ_2024.xlsx]原始数据'!$A:$A,0)),""))</f>
        <v/>
      </c>
      <c r="L973">
        <f>IF($A973="","",IFERROR(INDEX('[AQ_2020.xlsx]原始数据'!$D:$D,MATCH($A973,'[AQ_2020.xlsx]原始数据'!$A:$A,0)),""))</f>
        <v/>
      </c>
      <c r="M973">
        <f>IF($A973="","",IFERROR(INDEX('[AQ_2021.xlsx]原始数据'!$D:$D,MATCH($A973,'[AQ_2021.xlsx]原始数据'!$A:$A,0)),""))</f>
        <v/>
      </c>
      <c r="N973">
        <f>IF($A973="","",IFERROR(INDEX('[AQ_2022.xlsx]原始数据'!$D:$D,MATCH($A973,'[AQ_2022.xlsx]原始数据'!$A:$A,0)),""))</f>
        <v/>
      </c>
      <c r="O973">
        <f>IF($A973="","",IFERROR(INDEX('[AQ_2023.xlsx]原始数据'!$D:$D,MATCH($A973,'[AQ_2023.xlsx]原始数据'!$A:$A,0)),""))</f>
        <v/>
      </c>
      <c r="P973">
        <f>IF($A973="","",IFERROR(INDEX('[AQ_2024.xlsx]原始数据'!$D:$D,MATCH($A973,'[AQ_2024.xlsx]原始数据'!$A:$A,0)),""))</f>
        <v/>
      </c>
      <c r="Q973">
        <f>IF($A973="","",IFERROR(INDEX('[AQ_2020.xlsx]原始数据'!$E:$E,MATCH($A973,'[AQ_2020.xlsx]原始数据'!$A:$A,0)),""))</f>
        <v/>
      </c>
      <c r="R973">
        <f>IF($A973="","",IFERROR(INDEX('[AQ_2021.xlsx]原始数据'!$E:$E,MATCH($A973,'[AQ_2021.xlsx]原始数据'!$A:$A,0)),""))</f>
        <v/>
      </c>
      <c r="S973">
        <f>IF($A973="","",IFERROR(INDEX('[AQ_2022.xlsx]原始数据'!$E:$E,MATCH($A973,'[AQ_2022.xlsx]原始数据'!$A:$A,0)),""))</f>
        <v/>
      </c>
      <c r="T973">
        <f>IF($A973="","",IFERROR(INDEX('[AQ_2023.xlsx]原始数据'!$E:$E,MATCH($A973,'[AQ_2023.xlsx]原始数据'!$A:$A,0)),""))</f>
        <v/>
      </c>
      <c r="U973">
        <f>IF($A973="","",IFERROR(INDEX('[AQ_2024.xlsx]原始数据'!$E:$E,MATCH($A973,'[AQ_2024.xlsx]原始数据'!$A:$A,0)),""))</f>
        <v/>
      </c>
      <c r="V973">
        <f>IF($A973="","",IFERROR(INDEX('[AQ_2020.xlsx]原始数据'!$F:$F,MATCH($A973,'[AQ_2020.xlsx]原始数据'!$A:$A,0)),""))</f>
        <v/>
      </c>
      <c r="W973">
        <f>IF($A973="","",IFERROR(INDEX('[AQ_2021.xlsx]原始数据'!$F:$F,MATCH($A973,'[AQ_2021.xlsx]原始数据'!$A:$A,0)),""))</f>
        <v/>
      </c>
      <c r="X973">
        <f>IF($A973="","",IFERROR(INDEX('[AQ_2022.xlsx]原始数据'!$F:$F,MATCH($A973,'[AQ_2022.xlsx]原始数据'!$A:$A,0)),""))</f>
        <v/>
      </c>
      <c r="Y973">
        <f>IF($A973="","",IFERROR(INDEX('[AQ_2023.xlsx]原始数据'!$F:$F,MATCH($A973,'[AQ_2023.xlsx]原始数据'!$A:$A,0)),""))</f>
        <v/>
      </c>
      <c r="Z973">
        <f>IF($A973="","",IFERROR(INDEX('[AQ_2024.xlsx]原始数据'!$F:$F,MATCH($A973,'[AQ_2024.xlsx]原始数据'!$A:$A,0)),""))</f>
        <v/>
      </c>
      <c r="AA973" s="2">
        <f>IFERROR(G973/B973,"")</f>
        <v/>
      </c>
      <c r="AB973" s="2">
        <f>IFERROR(H973/C973,"")</f>
        <v/>
      </c>
      <c r="AC973" s="2">
        <f>IFERROR(I973/D973,"")</f>
        <v/>
      </c>
      <c r="AD973" s="2">
        <f>IFERROR(J973/E973,"")</f>
        <v/>
      </c>
      <c r="AE973" s="2">
        <f>IFERROR(K973/F973,"")</f>
        <v/>
      </c>
      <c r="AF973" s="2">
        <f>IFERROR(L973/B973,"")</f>
        <v/>
      </c>
      <c r="AG973" s="2">
        <f>IFERROR(M973/C973,"")</f>
        <v/>
      </c>
      <c r="AH973" s="2">
        <f>IFERROR(N973/D973,"")</f>
        <v/>
      </c>
      <c r="AI973" s="2">
        <f>IFERROR(O973/E973,"")</f>
        <v/>
      </c>
      <c r="AJ973" s="2">
        <f>IFERROR(P973/F973,"")</f>
        <v/>
      </c>
      <c r="AK973" s="2">
        <f>IFERROR(Q973/B973,"")</f>
        <v/>
      </c>
      <c r="AL973" s="2">
        <f>IFERROR(R973/C973,"")</f>
        <v/>
      </c>
      <c r="AM973" s="2">
        <f>IFERROR(S973/D973,"")</f>
        <v/>
      </c>
      <c r="AN973" s="2">
        <f>IFERROR(T973/E973,"")</f>
        <v/>
      </c>
      <c r="AO973" s="2">
        <f>IFERROR(U973/F973,"")</f>
        <v/>
      </c>
    </row>
    <row r="974">
      <c r="B974">
        <f>IF($A974="","",IFERROR(INDEX('[AQ_2020.xlsx]原始数据'!$B:$B,MATCH($A974,'[AQ_2020.xlsx]原始数据'!$A:$A,0)),""))</f>
        <v/>
      </c>
      <c r="C974">
        <f>IF($A974="","",IFERROR(INDEX('[AQ_2021.xlsx]原始数据'!$B:$B,MATCH($A974,'[AQ_2021.xlsx]原始数据'!$A:$A,0)),""))</f>
        <v/>
      </c>
      <c r="D974">
        <f>IF($A974="","",IFERROR(INDEX('[AQ_2022.xlsx]原始数据'!$B:$B,MATCH($A974,'[AQ_2022.xlsx]原始数据'!$A:$A,0)),""))</f>
        <v/>
      </c>
      <c r="E974">
        <f>IF($A974="","",IFERROR(INDEX('[AQ_2023.xlsx]原始数据'!$B:$B,MATCH($A974,'[AQ_2023.xlsx]原始数据'!$A:$A,0)),""))</f>
        <v/>
      </c>
      <c r="F974">
        <f>IF($A974="","",IFERROR(INDEX('[AQ_2024.xlsx]原始数据'!$B:$B,MATCH($A974,'[AQ_2024.xlsx]原始数据'!$A:$A,0)),""))</f>
        <v/>
      </c>
      <c r="G974">
        <f>IF($A974="","",IFERROR(INDEX('[AQ_2020.xlsx]原始数据'!$C:$C,MATCH($A974,'[AQ_2020.xlsx]原始数据'!$A:$A,0)),""))</f>
        <v/>
      </c>
      <c r="H974">
        <f>IF($A974="","",IFERROR(INDEX('[AQ_2021.xlsx]原始数据'!$C:$C,MATCH($A974,'[AQ_2021.xlsx]原始数据'!$A:$A,0)),""))</f>
        <v/>
      </c>
      <c r="I974">
        <f>IF($A974="","",IFERROR(INDEX('[AQ_2022.xlsx]原始数据'!$C:$C,MATCH($A974,'[AQ_2022.xlsx]原始数据'!$A:$A,0)),""))</f>
        <v/>
      </c>
      <c r="J974">
        <f>IF($A974="","",IFERROR(INDEX('[AQ_2023.xlsx]原始数据'!$C:$C,MATCH($A974,'[AQ_2023.xlsx]原始数据'!$A:$A,0)),""))</f>
        <v/>
      </c>
      <c r="K974">
        <f>IF($A974="","",IFERROR(INDEX('[AQ_2024.xlsx]原始数据'!$C:$C,MATCH($A974,'[AQ_2024.xlsx]原始数据'!$A:$A,0)),""))</f>
        <v/>
      </c>
      <c r="L974">
        <f>IF($A974="","",IFERROR(INDEX('[AQ_2020.xlsx]原始数据'!$D:$D,MATCH($A974,'[AQ_2020.xlsx]原始数据'!$A:$A,0)),""))</f>
        <v/>
      </c>
      <c r="M974">
        <f>IF($A974="","",IFERROR(INDEX('[AQ_2021.xlsx]原始数据'!$D:$D,MATCH($A974,'[AQ_2021.xlsx]原始数据'!$A:$A,0)),""))</f>
        <v/>
      </c>
      <c r="N974">
        <f>IF($A974="","",IFERROR(INDEX('[AQ_2022.xlsx]原始数据'!$D:$D,MATCH($A974,'[AQ_2022.xlsx]原始数据'!$A:$A,0)),""))</f>
        <v/>
      </c>
      <c r="O974">
        <f>IF($A974="","",IFERROR(INDEX('[AQ_2023.xlsx]原始数据'!$D:$D,MATCH($A974,'[AQ_2023.xlsx]原始数据'!$A:$A,0)),""))</f>
        <v/>
      </c>
      <c r="P974">
        <f>IF($A974="","",IFERROR(INDEX('[AQ_2024.xlsx]原始数据'!$D:$D,MATCH($A974,'[AQ_2024.xlsx]原始数据'!$A:$A,0)),""))</f>
        <v/>
      </c>
      <c r="Q974">
        <f>IF($A974="","",IFERROR(INDEX('[AQ_2020.xlsx]原始数据'!$E:$E,MATCH($A974,'[AQ_2020.xlsx]原始数据'!$A:$A,0)),""))</f>
        <v/>
      </c>
      <c r="R974">
        <f>IF($A974="","",IFERROR(INDEX('[AQ_2021.xlsx]原始数据'!$E:$E,MATCH($A974,'[AQ_2021.xlsx]原始数据'!$A:$A,0)),""))</f>
        <v/>
      </c>
      <c r="S974">
        <f>IF($A974="","",IFERROR(INDEX('[AQ_2022.xlsx]原始数据'!$E:$E,MATCH($A974,'[AQ_2022.xlsx]原始数据'!$A:$A,0)),""))</f>
        <v/>
      </c>
      <c r="T974">
        <f>IF($A974="","",IFERROR(INDEX('[AQ_2023.xlsx]原始数据'!$E:$E,MATCH($A974,'[AQ_2023.xlsx]原始数据'!$A:$A,0)),""))</f>
        <v/>
      </c>
      <c r="U974">
        <f>IF($A974="","",IFERROR(INDEX('[AQ_2024.xlsx]原始数据'!$E:$E,MATCH($A974,'[AQ_2024.xlsx]原始数据'!$A:$A,0)),""))</f>
        <v/>
      </c>
      <c r="V974">
        <f>IF($A974="","",IFERROR(INDEX('[AQ_2020.xlsx]原始数据'!$F:$F,MATCH($A974,'[AQ_2020.xlsx]原始数据'!$A:$A,0)),""))</f>
        <v/>
      </c>
      <c r="W974">
        <f>IF($A974="","",IFERROR(INDEX('[AQ_2021.xlsx]原始数据'!$F:$F,MATCH($A974,'[AQ_2021.xlsx]原始数据'!$A:$A,0)),""))</f>
        <v/>
      </c>
      <c r="X974">
        <f>IF($A974="","",IFERROR(INDEX('[AQ_2022.xlsx]原始数据'!$F:$F,MATCH($A974,'[AQ_2022.xlsx]原始数据'!$A:$A,0)),""))</f>
        <v/>
      </c>
      <c r="Y974">
        <f>IF($A974="","",IFERROR(INDEX('[AQ_2023.xlsx]原始数据'!$F:$F,MATCH($A974,'[AQ_2023.xlsx]原始数据'!$A:$A,0)),""))</f>
        <v/>
      </c>
      <c r="Z974">
        <f>IF($A974="","",IFERROR(INDEX('[AQ_2024.xlsx]原始数据'!$F:$F,MATCH($A974,'[AQ_2024.xlsx]原始数据'!$A:$A,0)),""))</f>
        <v/>
      </c>
      <c r="AA974" s="2">
        <f>IFERROR(G974/B974,"")</f>
        <v/>
      </c>
      <c r="AB974" s="2">
        <f>IFERROR(H974/C974,"")</f>
        <v/>
      </c>
      <c r="AC974" s="2">
        <f>IFERROR(I974/D974,"")</f>
        <v/>
      </c>
      <c r="AD974" s="2">
        <f>IFERROR(J974/E974,"")</f>
        <v/>
      </c>
      <c r="AE974" s="2">
        <f>IFERROR(K974/F974,"")</f>
        <v/>
      </c>
      <c r="AF974" s="2">
        <f>IFERROR(L974/B974,"")</f>
        <v/>
      </c>
      <c r="AG974" s="2">
        <f>IFERROR(M974/C974,"")</f>
        <v/>
      </c>
      <c r="AH974" s="2">
        <f>IFERROR(N974/D974,"")</f>
        <v/>
      </c>
      <c r="AI974" s="2">
        <f>IFERROR(O974/E974,"")</f>
        <v/>
      </c>
      <c r="AJ974" s="2">
        <f>IFERROR(P974/F974,"")</f>
        <v/>
      </c>
      <c r="AK974" s="2">
        <f>IFERROR(Q974/B974,"")</f>
        <v/>
      </c>
      <c r="AL974" s="2">
        <f>IFERROR(R974/C974,"")</f>
        <v/>
      </c>
      <c r="AM974" s="2">
        <f>IFERROR(S974/D974,"")</f>
        <v/>
      </c>
      <c r="AN974" s="2">
        <f>IFERROR(T974/E974,"")</f>
        <v/>
      </c>
      <c r="AO974" s="2">
        <f>IFERROR(U974/F974,"")</f>
        <v/>
      </c>
    </row>
    <row r="975">
      <c r="B975">
        <f>IF($A975="","",IFERROR(INDEX('[AQ_2020.xlsx]原始数据'!$B:$B,MATCH($A975,'[AQ_2020.xlsx]原始数据'!$A:$A,0)),""))</f>
        <v/>
      </c>
      <c r="C975">
        <f>IF($A975="","",IFERROR(INDEX('[AQ_2021.xlsx]原始数据'!$B:$B,MATCH($A975,'[AQ_2021.xlsx]原始数据'!$A:$A,0)),""))</f>
        <v/>
      </c>
      <c r="D975">
        <f>IF($A975="","",IFERROR(INDEX('[AQ_2022.xlsx]原始数据'!$B:$B,MATCH($A975,'[AQ_2022.xlsx]原始数据'!$A:$A,0)),""))</f>
        <v/>
      </c>
      <c r="E975">
        <f>IF($A975="","",IFERROR(INDEX('[AQ_2023.xlsx]原始数据'!$B:$B,MATCH($A975,'[AQ_2023.xlsx]原始数据'!$A:$A,0)),""))</f>
        <v/>
      </c>
      <c r="F975">
        <f>IF($A975="","",IFERROR(INDEX('[AQ_2024.xlsx]原始数据'!$B:$B,MATCH($A975,'[AQ_2024.xlsx]原始数据'!$A:$A,0)),""))</f>
        <v/>
      </c>
      <c r="G975">
        <f>IF($A975="","",IFERROR(INDEX('[AQ_2020.xlsx]原始数据'!$C:$C,MATCH($A975,'[AQ_2020.xlsx]原始数据'!$A:$A,0)),""))</f>
        <v/>
      </c>
      <c r="H975">
        <f>IF($A975="","",IFERROR(INDEX('[AQ_2021.xlsx]原始数据'!$C:$C,MATCH($A975,'[AQ_2021.xlsx]原始数据'!$A:$A,0)),""))</f>
        <v/>
      </c>
      <c r="I975">
        <f>IF($A975="","",IFERROR(INDEX('[AQ_2022.xlsx]原始数据'!$C:$C,MATCH($A975,'[AQ_2022.xlsx]原始数据'!$A:$A,0)),""))</f>
        <v/>
      </c>
      <c r="J975">
        <f>IF($A975="","",IFERROR(INDEX('[AQ_2023.xlsx]原始数据'!$C:$C,MATCH($A975,'[AQ_2023.xlsx]原始数据'!$A:$A,0)),""))</f>
        <v/>
      </c>
      <c r="K975">
        <f>IF($A975="","",IFERROR(INDEX('[AQ_2024.xlsx]原始数据'!$C:$C,MATCH($A975,'[AQ_2024.xlsx]原始数据'!$A:$A,0)),""))</f>
        <v/>
      </c>
      <c r="L975">
        <f>IF($A975="","",IFERROR(INDEX('[AQ_2020.xlsx]原始数据'!$D:$D,MATCH($A975,'[AQ_2020.xlsx]原始数据'!$A:$A,0)),""))</f>
        <v/>
      </c>
      <c r="M975">
        <f>IF($A975="","",IFERROR(INDEX('[AQ_2021.xlsx]原始数据'!$D:$D,MATCH($A975,'[AQ_2021.xlsx]原始数据'!$A:$A,0)),""))</f>
        <v/>
      </c>
      <c r="N975">
        <f>IF($A975="","",IFERROR(INDEX('[AQ_2022.xlsx]原始数据'!$D:$D,MATCH($A975,'[AQ_2022.xlsx]原始数据'!$A:$A,0)),""))</f>
        <v/>
      </c>
      <c r="O975">
        <f>IF($A975="","",IFERROR(INDEX('[AQ_2023.xlsx]原始数据'!$D:$D,MATCH($A975,'[AQ_2023.xlsx]原始数据'!$A:$A,0)),""))</f>
        <v/>
      </c>
      <c r="P975">
        <f>IF($A975="","",IFERROR(INDEX('[AQ_2024.xlsx]原始数据'!$D:$D,MATCH($A975,'[AQ_2024.xlsx]原始数据'!$A:$A,0)),""))</f>
        <v/>
      </c>
      <c r="Q975">
        <f>IF($A975="","",IFERROR(INDEX('[AQ_2020.xlsx]原始数据'!$E:$E,MATCH($A975,'[AQ_2020.xlsx]原始数据'!$A:$A,0)),""))</f>
        <v/>
      </c>
      <c r="R975">
        <f>IF($A975="","",IFERROR(INDEX('[AQ_2021.xlsx]原始数据'!$E:$E,MATCH($A975,'[AQ_2021.xlsx]原始数据'!$A:$A,0)),""))</f>
        <v/>
      </c>
      <c r="S975">
        <f>IF($A975="","",IFERROR(INDEX('[AQ_2022.xlsx]原始数据'!$E:$E,MATCH($A975,'[AQ_2022.xlsx]原始数据'!$A:$A,0)),""))</f>
        <v/>
      </c>
      <c r="T975">
        <f>IF($A975="","",IFERROR(INDEX('[AQ_2023.xlsx]原始数据'!$E:$E,MATCH($A975,'[AQ_2023.xlsx]原始数据'!$A:$A,0)),""))</f>
        <v/>
      </c>
      <c r="U975">
        <f>IF($A975="","",IFERROR(INDEX('[AQ_2024.xlsx]原始数据'!$E:$E,MATCH($A975,'[AQ_2024.xlsx]原始数据'!$A:$A,0)),""))</f>
        <v/>
      </c>
      <c r="V975">
        <f>IF($A975="","",IFERROR(INDEX('[AQ_2020.xlsx]原始数据'!$F:$F,MATCH($A975,'[AQ_2020.xlsx]原始数据'!$A:$A,0)),""))</f>
        <v/>
      </c>
      <c r="W975">
        <f>IF($A975="","",IFERROR(INDEX('[AQ_2021.xlsx]原始数据'!$F:$F,MATCH($A975,'[AQ_2021.xlsx]原始数据'!$A:$A,0)),""))</f>
        <v/>
      </c>
      <c r="X975">
        <f>IF($A975="","",IFERROR(INDEX('[AQ_2022.xlsx]原始数据'!$F:$F,MATCH($A975,'[AQ_2022.xlsx]原始数据'!$A:$A,0)),""))</f>
        <v/>
      </c>
      <c r="Y975">
        <f>IF($A975="","",IFERROR(INDEX('[AQ_2023.xlsx]原始数据'!$F:$F,MATCH($A975,'[AQ_2023.xlsx]原始数据'!$A:$A,0)),""))</f>
        <v/>
      </c>
      <c r="Z975">
        <f>IF($A975="","",IFERROR(INDEX('[AQ_2024.xlsx]原始数据'!$F:$F,MATCH($A975,'[AQ_2024.xlsx]原始数据'!$A:$A,0)),""))</f>
        <v/>
      </c>
      <c r="AA975" s="2">
        <f>IFERROR(G975/B975,"")</f>
        <v/>
      </c>
      <c r="AB975" s="2">
        <f>IFERROR(H975/C975,"")</f>
        <v/>
      </c>
      <c r="AC975" s="2">
        <f>IFERROR(I975/D975,"")</f>
        <v/>
      </c>
      <c r="AD975" s="2">
        <f>IFERROR(J975/E975,"")</f>
        <v/>
      </c>
      <c r="AE975" s="2">
        <f>IFERROR(K975/F975,"")</f>
        <v/>
      </c>
      <c r="AF975" s="2">
        <f>IFERROR(L975/B975,"")</f>
        <v/>
      </c>
      <c r="AG975" s="2">
        <f>IFERROR(M975/C975,"")</f>
        <v/>
      </c>
      <c r="AH975" s="2">
        <f>IFERROR(N975/D975,"")</f>
        <v/>
      </c>
      <c r="AI975" s="2">
        <f>IFERROR(O975/E975,"")</f>
        <v/>
      </c>
      <c r="AJ975" s="2">
        <f>IFERROR(P975/F975,"")</f>
        <v/>
      </c>
      <c r="AK975" s="2">
        <f>IFERROR(Q975/B975,"")</f>
        <v/>
      </c>
      <c r="AL975" s="2">
        <f>IFERROR(R975/C975,"")</f>
        <v/>
      </c>
      <c r="AM975" s="2">
        <f>IFERROR(S975/D975,"")</f>
        <v/>
      </c>
      <c r="AN975" s="2">
        <f>IFERROR(T975/E975,"")</f>
        <v/>
      </c>
      <c r="AO975" s="2">
        <f>IFERROR(U975/F975,"")</f>
        <v/>
      </c>
    </row>
    <row r="976">
      <c r="B976">
        <f>IF($A976="","",IFERROR(INDEX('[AQ_2020.xlsx]原始数据'!$B:$B,MATCH($A976,'[AQ_2020.xlsx]原始数据'!$A:$A,0)),""))</f>
        <v/>
      </c>
      <c r="C976">
        <f>IF($A976="","",IFERROR(INDEX('[AQ_2021.xlsx]原始数据'!$B:$B,MATCH($A976,'[AQ_2021.xlsx]原始数据'!$A:$A,0)),""))</f>
        <v/>
      </c>
      <c r="D976">
        <f>IF($A976="","",IFERROR(INDEX('[AQ_2022.xlsx]原始数据'!$B:$B,MATCH($A976,'[AQ_2022.xlsx]原始数据'!$A:$A,0)),""))</f>
        <v/>
      </c>
      <c r="E976">
        <f>IF($A976="","",IFERROR(INDEX('[AQ_2023.xlsx]原始数据'!$B:$B,MATCH($A976,'[AQ_2023.xlsx]原始数据'!$A:$A,0)),""))</f>
        <v/>
      </c>
      <c r="F976">
        <f>IF($A976="","",IFERROR(INDEX('[AQ_2024.xlsx]原始数据'!$B:$B,MATCH($A976,'[AQ_2024.xlsx]原始数据'!$A:$A,0)),""))</f>
        <v/>
      </c>
      <c r="G976">
        <f>IF($A976="","",IFERROR(INDEX('[AQ_2020.xlsx]原始数据'!$C:$C,MATCH($A976,'[AQ_2020.xlsx]原始数据'!$A:$A,0)),""))</f>
        <v/>
      </c>
      <c r="H976">
        <f>IF($A976="","",IFERROR(INDEX('[AQ_2021.xlsx]原始数据'!$C:$C,MATCH($A976,'[AQ_2021.xlsx]原始数据'!$A:$A,0)),""))</f>
        <v/>
      </c>
      <c r="I976">
        <f>IF($A976="","",IFERROR(INDEX('[AQ_2022.xlsx]原始数据'!$C:$C,MATCH($A976,'[AQ_2022.xlsx]原始数据'!$A:$A,0)),""))</f>
        <v/>
      </c>
      <c r="J976">
        <f>IF($A976="","",IFERROR(INDEX('[AQ_2023.xlsx]原始数据'!$C:$C,MATCH($A976,'[AQ_2023.xlsx]原始数据'!$A:$A,0)),""))</f>
        <v/>
      </c>
      <c r="K976">
        <f>IF($A976="","",IFERROR(INDEX('[AQ_2024.xlsx]原始数据'!$C:$C,MATCH($A976,'[AQ_2024.xlsx]原始数据'!$A:$A,0)),""))</f>
        <v/>
      </c>
      <c r="L976">
        <f>IF($A976="","",IFERROR(INDEX('[AQ_2020.xlsx]原始数据'!$D:$D,MATCH($A976,'[AQ_2020.xlsx]原始数据'!$A:$A,0)),""))</f>
        <v/>
      </c>
      <c r="M976">
        <f>IF($A976="","",IFERROR(INDEX('[AQ_2021.xlsx]原始数据'!$D:$D,MATCH($A976,'[AQ_2021.xlsx]原始数据'!$A:$A,0)),""))</f>
        <v/>
      </c>
      <c r="N976">
        <f>IF($A976="","",IFERROR(INDEX('[AQ_2022.xlsx]原始数据'!$D:$D,MATCH($A976,'[AQ_2022.xlsx]原始数据'!$A:$A,0)),""))</f>
        <v/>
      </c>
      <c r="O976">
        <f>IF($A976="","",IFERROR(INDEX('[AQ_2023.xlsx]原始数据'!$D:$D,MATCH($A976,'[AQ_2023.xlsx]原始数据'!$A:$A,0)),""))</f>
        <v/>
      </c>
      <c r="P976">
        <f>IF($A976="","",IFERROR(INDEX('[AQ_2024.xlsx]原始数据'!$D:$D,MATCH($A976,'[AQ_2024.xlsx]原始数据'!$A:$A,0)),""))</f>
        <v/>
      </c>
      <c r="Q976">
        <f>IF($A976="","",IFERROR(INDEX('[AQ_2020.xlsx]原始数据'!$E:$E,MATCH($A976,'[AQ_2020.xlsx]原始数据'!$A:$A,0)),""))</f>
        <v/>
      </c>
      <c r="R976">
        <f>IF($A976="","",IFERROR(INDEX('[AQ_2021.xlsx]原始数据'!$E:$E,MATCH($A976,'[AQ_2021.xlsx]原始数据'!$A:$A,0)),""))</f>
        <v/>
      </c>
      <c r="S976">
        <f>IF($A976="","",IFERROR(INDEX('[AQ_2022.xlsx]原始数据'!$E:$E,MATCH($A976,'[AQ_2022.xlsx]原始数据'!$A:$A,0)),""))</f>
        <v/>
      </c>
      <c r="T976">
        <f>IF($A976="","",IFERROR(INDEX('[AQ_2023.xlsx]原始数据'!$E:$E,MATCH($A976,'[AQ_2023.xlsx]原始数据'!$A:$A,0)),""))</f>
        <v/>
      </c>
      <c r="U976">
        <f>IF($A976="","",IFERROR(INDEX('[AQ_2024.xlsx]原始数据'!$E:$E,MATCH($A976,'[AQ_2024.xlsx]原始数据'!$A:$A,0)),""))</f>
        <v/>
      </c>
      <c r="V976">
        <f>IF($A976="","",IFERROR(INDEX('[AQ_2020.xlsx]原始数据'!$F:$F,MATCH($A976,'[AQ_2020.xlsx]原始数据'!$A:$A,0)),""))</f>
        <v/>
      </c>
      <c r="W976">
        <f>IF($A976="","",IFERROR(INDEX('[AQ_2021.xlsx]原始数据'!$F:$F,MATCH($A976,'[AQ_2021.xlsx]原始数据'!$A:$A,0)),""))</f>
        <v/>
      </c>
      <c r="X976">
        <f>IF($A976="","",IFERROR(INDEX('[AQ_2022.xlsx]原始数据'!$F:$F,MATCH($A976,'[AQ_2022.xlsx]原始数据'!$A:$A,0)),""))</f>
        <v/>
      </c>
      <c r="Y976">
        <f>IF($A976="","",IFERROR(INDEX('[AQ_2023.xlsx]原始数据'!$F:$F,MATCH($A976,'[AQ_2023.xlsx]原始数据'!$A:$A,0)),""))</f>
        <v/>
      </c>
      <c r="Z976">
        <f>IF($A976="","",IFERROR(INDEX('[AQ_2024.xlsx]原始数据'!$F:$F,MATCH($A976,'[AQ_2024.xlsx]原始数据'!$A:$A,0)),""))</f>
        <v/>
      </c>
      <c r="AA976" s="2">
        <f>IFERROR(G976/B976,"")</f>
        <v/>
      </c>
      <c r="AB976" s="2">
        <f>IFERROR(H976/C976,"")</f>
        <v/>
      </c>
      <c r="AC976" s="2">
        <f>IFERROR(I976/D976,"")</f>
        <v/>
      </c>
      <c r="AD976" s="2">
        <f>IFERROR(J976/E976,"")</f>
        <v/>
      </c>
      <c r="AE976" s="2">
        <f>IFERROR(K976/F976,"")</f>
        <v/>
      </c>
      <c r="AF976" s="2">
        <f>IFERROR(L976/B976,"")</f>
        <v/>
      </c>
      <c r="AG976" s="2">
        <f>IFERROR(M976/C976,"")</f>
        <v/>
      </c>
      <c r="AH976" s="2">
        <f>IFERROR(N976/D976,"")</f>
        <v/>
      </c>
      <c r="AI976" s="2">
        <f>IFERROR(O976/E976,"")</f>
        <v/>
      </c>
      <c r="AJ976" s="2">
        <f>IFERROR(P976/F976,"")</f>
        <v/>
      </c>
      <c r="AK976" s="2">
        <f>IFERROR(Q976/B976,"")</f>
        <v/>
      </c>
      <c r="AL976" s="2">
        <f>IFERROR(R976/C976,"")</f>
        <v/>
      </c>
      <c r="AM976" s="2">
        <f>IFERROR(S976/D976,"")</f>
        <v/>
      </c>
      <c r="AN976" s="2">
        <f>IFERROR(T976/E976,"")</f>
        <v/>
      </c>
      <c r="AO976" s="2">
        <f>IFERROR(U976/F976,"")</f>
        <v/>
      </c>
    </row>
    <row r="977">
      <c r="B977">
        <f>IF($A977="","",IFERROR(INDEX('[AQ_2020.xlsx]原始数据'!$B:$B,MATCH($A977,'[AQ_2020.xlsx]原始数据'!$A:$A,0)),""))</f>
        <v/>
      </c>
      <c r="C977">
        <f>IF($A977="","",IFERROR(INDEX('[AQ_2021.xlsx]原始数据'!$B:$B,MATCH($A977,'[AQ_2021.xlsx]原始数据'!$A:$A,0)),""))</f>
        <v/>
      </c>
      <c r="D977">
        <f>IF($A977="","",IFERROR(INDEX('[AQ_2022.xlsx]原始数据'!$B:$B,MATCH($A977,'[AQ_2022.xlsx]原始数据'!$A:$A,0)),""))</f>
        <v/>
      </c>
      <c r="E977">
        <f>IF($A977="","",IFERROR(INDEX('[AQ_2023.xlsx]原始数据'!$B:$B,MATCH($A977,'[AQ_2023.xlsx]原始数据'!$A:$A,0)),""))</f>
        <v/>
      </c>
      <c r="F977">
        <f>IF($A977="","",IFERROR(INDEX('[AQ_2024.xlsx]原始数据'!$B:$B,MATCH($A977,'[AQ_2024.xlsx]原始数据'!$A:$A,0)),""))</f>
        <v/>
      </c>
      <c r="G977">
        <f>IF($A977="","",IFERROR(INDEX('[AQ_2020.xlsx]原始数据'!$C:$C,MATCH($A977,'[AQ_2020.xlsx]原始数据'!$A:$A,0)),""))</f>
        <v/>
      </c>
      <c r="H977">
        <f>IF($A977="","",IFERROR(INDEX('[AQ_2021.xlsx]原始数据'!$C:$C,MATCH($A977,'[AQ_2021.xlsx]原始数据'!$A:$A,0)),""))</f>
        <v/>
      </c>
      <c r="I977">
        <f>IF($A977="","",IFERROR(INDEX('[AQ_2022.xlsx]原始数据'!$C:$C,MATCH($A977,'[AQ_2022.xlsx]原始数据'!$A:$A,0)),""))</f>
        <v/>
      </c>
      <c r="J977">
        <f>IF($A977="","",IFERROR(INDEX('[AQ_2023.xlsx]原始数据'!$C:$C,MATCH($A977,'[AQ_2023.xlsx]原始数据'!$A:$A,0)),""))</f>
        <v/>
      </c>
      <c r="K977">
        <f>IF($A977="","",IFERROR(INDEX('[AQ_2024.xlsx]原始数据'!$C:$C,MATCH($A977,'[AQ_2024.xlsx]原始数据'!$A:$A,0)),""))</f>
        <v/>
      </c>
      <c r="L977">
        <f>IF($A977="","",IFERROR(INDEX('[AQ_2020.xlsx]原始数据'!$D:$D,MATCH($A977,'[AQ_2020.xlsx]原始数据'!$A:$A,0)),""))</f>
        <v/>
      </c>
      <c r="M977">
        <f>IF($A977="","",IFERROR(INDEX('[AQ_2021.xlsx]原始数据'!$D:$D,MATCH($A977,'[AQ_2021.xlsx]原始数据'!$A:$A,0)),""))</f>
        <v/>
      </c>
      <c r="N977">
        <f>IF($A977="","",IFERROR(INDEX('[AQ_2022.xlsx]原始数据'!$D:$D,MATCH($A977,'[AQ_2022.xlsx]原始数据'!$A:$A,0)),""))</f>
        <v/>
      </c>
      <c r="O977">
        <f>IF($A977="","",IFERROR(INDEX('[AQ_2023.xlsx]原始数据'!$D:$D,MATCH($A977,'[AQ_2023.xlsx]原始数据'!$A:$A,0)),""))</f>
        <v/>
      </c>
      <c r="P977">
        <f>IF($A977="","",IFERROR(INDEX('[AQ_2024.xlsx]原始数据'!$D:$D,MATCH($A977,'[AQ_2024.xlsx]原始数据'!$A:$A,0)),""))</f>
        <v/>
      </c>
      <c r="Q977">
        <f>IF($A977="","",IFERROR(INDEX('[AQ_2020.xlsx]原始数据'!$E:$E,MATCH($A977,'[AQ_2020.xlsx]原始数据'!$A:$A,0)),""))</f>
        <v/>
      </c>
      <c r="R977">
        <f>IF($A977="","",IFERROR(INDEX('[AQ_2021.xlsx]原始数据'!$E:$E,MATCH($A977,'[AQ_2021.xlsx]原始数据'!$A:$A,0)),""))</f>
        <v/>
      </c>
      <c r="S977">
        <f>IF($A977="","",IFERROR(INDEX('[AQ_2022.xlsx]原始数据'!$E:$E,MATCH($A977,'[AQ_2022.xlsx]原始数据'!$A:$A,0)),""))</f>
        <v/>
      </c>
      <c r="T977">
        <f>IF($A977="","",IFERROR(INDEX('[AQ_2023.xlsx]原始数据'!$E:$E,MATCH($A977,'[AQ_2023.xlsx]原始数据'!$A:$A,0)),""))</f>
        <v/>
      </c>
      <c r="U977">
        <f>IF($A977="","",IFERROR(INDEX('[AQ_2024.xlsx]原始数据'!$E:$E,MATCH($A977,'[AQ_2024.xlsx]原始数据'!$A:$A,0)),""))</f>
        <v/>
      </c>
      <c r="V977">
        <f>IF($A977="","",IFERROR(INDEX('[AQ_2020.xlsx]原始数据'!$F:$F,MATCH($A977,'[AQ_2020.xlsx]原始数据'!$A:$A,0)),""))</f>
        <v/>
      </c>
      <c r="W977">
        <f>IF($A977="","",IFERROR(INDEX('[AQ_2021.xlsx]原始数据'!$F:$F,MATCH($A977,'[AQ_2021.xlsx]原始数据'!$A:$A,0)),""))</f>
        <v/>
      </c>
      <c r="X977">
        <f>IF($A977="","",IFERROR(INDEX('[AQ_2022.xlsx]原始数据'!$F:$F,MATCH($A977,'[AQ_2022.xlsx]原始数据'!$A:$A,0)),""))</f>
        <v/>
      </c>
      <c r="Y977">
        <f>IF($A977="","",IFERROR(INDEX('[AQ_2023.xlsx]原始数据'!$F:$F,MATCH($A977,'[AQ_2023.xlsx]原始数据'!$A:$A,0)),""))</f>
        <v/>
      </c>
      <c r="Z977">
        <f>IF($A977="","",IFERROR(INDEX('[AQ_2024.xlsx]原始数据'!$F:$F,MATCH($A977,'[AQ_2024.xlsx]原始数据'!$A:$A,0)),""))</f>
        <v/>
      </c>
      <c r="AA977" s="2">
        <f>IFERROR(G977/B977,"")</f>
        <v/>
      </c>
      <c r="AB977" s="2">
        <f>IFERROR(H977/C977,"")</f>
        <v/>
      </c>
      <c r="AC977" s="2">
        <f>IFERROR(I977/D977,"")</f>
        <v/>
      </c>
      <c r="AD977" s="2">
        <f>IFERROR(J977/E977,"")</f>
        <v/>
      </c>
      <c r="AE977" s="2">
        <f>IFERROR(K977/F977,"")</f>
        <v/>
      </c>
      <c r="AF977" s="2">
        <f>IFERROR(L977/B977,"")</f>
        <v/>
      </c>
      <c r="AG977" s="2">
        <f>IFERROR(M977/C977,"")</f>
        <v/>
      </c>
      <c r="AH977" s="2">
        <f>IFERROR(N977/D977,"")</f>
        <v/>
      </c>
      <c r="AI977" s="2">
        <f>IFERROR(O977/E977,"")</f>
        <v/>
      </c>
      <c r="AJ977" s="2">
        <f>IFERROR(P977/F977,"")</f>
        <v/>
      </c>
      <c r="AK977" s="2">
        <f>IFERROR(Q977/B977,"")</f>
        <v/>
      </c>
      <c r="AL977" s="2">
        <f>IFERROR(R977/C977,"")</f>
        <v/>
      </c>
      <c r="AM977" s="2">
        <f>IFERROR(S977/D977,"")</f>
        <v/>
      </c>
      <c r="AN977" s="2">
        <f>IFERROR(T977/E977,"")</f>
        <v/>
      </c>
      <c r="AO977" s="2">
        <f>IFERROR(U977/F977,"")</f>
        <v/>
      </c>
    </row>
    <row r="978">
      <c r="B978">
        <f>IF($A978="","",IFERROR(INDEX('[AQ_2020.xlsx]原始数据'!$B:$B,MATCH($A978,'[AQ_2020.xlsx]原始数据'!$A:$A,0)),""))</f>
        <v/>
      </c>
      <c r="C978">
        <f>IF($A978="","",IFERROR(INDEX('[AQ_2021.xlsx]原始数据'!$B:$B,MATCH($A978,'[AQ_2021.xlsx]原始数据'!$A:$A,0)),""))</f>
        <v/>
      </c>
      <c r="D978">
        <f>IF($A978="","",IFERROR(INDEX('[AQ_2022.xlsx]原始数据'!$B:$B,MATCH($A978,'[AQ_2022.xlsx]原始数据'!$A:$A,0)),""))</f>
        <v/>
      </c>
      <c r="E978">
        <f>IF($A978="","",IFERROR(INDEX('[AQ_2023.xlsx]原始数据'!$B:$B,MATCH($A978,'[AQ_2023.xlsx]原始数据'!$A:$A,0)),""))</f>
        <v/>
      </c>
      <c r="F978">
        <f>IF($A978="","",IFERROR(INDEX('[AQ_2024.xlsx]原始数据'!$B:$B,MATCH($A978,'[AQ_2024.xlsx]原始数据'!$A:$A,0)),""))</f>
        <v/>
      </c>
      <c r="G978">
        <f>IF($A978="","",IFERROR(INDEX('[AQ_2020.xlsx]原始数据'!$C:$C,MATCH($A978,'[AQ_2020.xlsx]原始数据'!$A:$A,0)),""))</f>
        <v/>
      </c>
      <c r="H978">
        <f>IF($A978="","",IFERROR(INDEX('[AQ_2021.xlsx]原始数据'!$C:$C,MATCH($A978,'[AQ_2021.xlsx]原始数据'!$A:$A,0)),""))</f>
        <v/>
      </c>
      <c r="I978">
        <f>IF($A978="","",IFERROR(INDEX('[AQ_2022.xlsx]原始数据'!$C:$C,MATCH($A978,'[AQ_2022.xlsx]原始数据'!$A:$A,0)),""))</f>
        <v/>
      </c>
      <c r="J978">
        <f>IF($A978="","",IFERROR(INDEX('[AQ_2023.xlsx]原始数据'!$C:$C,MATCH($A978,'[AQ_2023.xlsx]原始数据'!$A:$A,0)),""))</f>
        <v/>
      </c>
      <c r="K978">
        <f>IF($A978="","",IFERROR(INDEX('[AQ_2024.xlsx]原始数据'!$C:$C,MATCH($A978,'[AQ_2024.xlsx]原始数据'!$A:$A,0)),""))</f>
        <v/>
      </c>
      <c r="L978">
        <f>IF($A978="","",IFERROR(INDEX('[AQ_2020.xlsx]原始数据'!$D:$D,MATCH($A978,'[AQ_2020.xlsx]原始数据'!$A:$A,0)),""))</f>
        <v/>
      </c>
      <c r="M978">
        <f>IF($A978="","",IFERROR(INDEX('[AQ_2021.xlsx]原始数据'!$D:$D,MATCH($A978,'[AQ_2021.xlsx]原始数据'!$A:$A,0)),""))</f>
        <v/>
      </c>
      <c r="N978">
        <f>IF($A978="","",IFERROR(INDEX('[AQ_2022.xlsx]原始数据'!$D:$D,MATCH($A978,'[AQ_2022.xlsx]原始数据'!$A:$A,0)),""))</f>
        <v/>
      </c>
      <c r="O978">
        <f>IF($A978="","",IFERROR(INDEX('[AQ_2023.xlsx]原始数据'!$D:$D,MATCH($A978,'[AQ_2023.xlsx]原始数据'!$A:$A,0)),""))</f>
        <v/>
      </c>
      <c r="P978">
        <f>IF($A978="","",IFERROR(INDEX('[AQ_2024.xlsx]原始数据'!$D:$D,MATCH($A978,'[AQ_2024.xlsx]原始数据'!$A:$A,0)),""))</f>
        <v/>
      </c>
      <c r="Q978">
        <f>IF($A978="","",IFERROR(INDEX('[AQ_2020.xlsx]原始数据'!$E:$E,MATCH($A978,'[AQ_2020.xlsx]原始数据'!$A:$A,0)),""))</f>
        <v/>
      </c>
      <c r="R978">
        <f>IF($A978="","",IFERROR(INDEX('[AQ_2021.xlsx]原始数据'!$E:$E,MATCH($A978,'[AQ_2021.xlsx]原始数据'!$A:$A,0)),""))</f>
        <v/>
      </c>
      <c r="S978">
        <f>IF($A978="","",IFERROR(INDEX('[AQ_2022.xlsx]原始数据'!$E:$E,MATCH($A978,'[AQ_2022.xlsx]原始数据'!$A:$A,0)),""))</f>
        <v/>
      </c>
      <c r="T978">
        <f>IF($A978="","",IFERROR(INDEX('[AQ_2023.xlsx]原始数据'!$E:$E,MATCH($A978,'[AQ_2023.xlsx]原始数据'!$A:$A,0)),""))</f>
        <v/>
      </c>
      <c r="U978">
        <f>IF($A978="","",IFERROR(INDEX('[AQ_2024.xlsx]原始数据'!$E:$E,MATCH($A978,'[AQ_2024.xlsx]原始数据'!$A:$A,0)),""))</f>
        <v/>
      </c>
      <c r="V978">
        <f>IF($A978="","",IFERROR(INDEX('[AQ_2020.xlsx]原始数据'!$F:$F,MATCH($A978,'[AQ_2020.xlsx]原始数据'!$A:$A,0)),""))</f>
        <v/>
      </c>
      <c r="W978">
        <f>IF($A978="","",IFERROR(INDEX('[AQ_2021.xlsx]原始数据'!$F:$F,MATCH($A978,'[AQ_2021.xlsx]原始数据'!$A:$A,0)),""))</f>
        <v/>
      </c>
      <c r="X978">
        <f>IF($A978="","",IFERROR(INDEX('[AQ_2022.xlsx]原始数据'!$F:$F,MATCH($A978,'[AQ_2022.xlsx]原始数据'!$A:$A,0)),""))</f>
        <v/>
      </c>
      <c r="Y978">
        <f>IF($A978="","",IFERROR(INDEX('[AQ_2023.xlsx]原始数据'!$F:$F,MATCH($A978,'[AQ_2023.xlsx]原始数据'!$A:$A,0)),""))</f>
        <v/>
      </c>
      <c r="Z978">
        <f>IF($A978="","",IFERROR(INDEX('[AQ_2024.xlsx]原始数据'!$F:$F,MATCH($A978,'[AQ_2024.xlsx]原始数据'!$A:$A,0)),""))</f>
        <v/>
      </c>
      <c r="AA978" s="2">
        <f>IFERROR(G978/B978,"")</f>
        <v/>
      </c>
      <c r="AB978" s="2">
        <f>IFERROR(H978/C978,"")</f>
        <v/>
      </c>
      <c r="AC978" s="2">
        <f>IFERROR(I978/D978,"")</f>
        <v/>
      </c>
      <c r="AD978" s="2">
        <f>IFERROR(J978/E978,"")</f>
        <v/>
      </c>
      <c r="AE978" s="2">
        <f>IFERROR(K978/F978,"")</f>
        <v/>
      </c>
      <c r="AF978" s="2">
        <f>IFERROR(L978/B978,"")</f>
        <v/>
      </c>
      <c r="AG978" s="2">
        <f>IFERROR(M978/C978,"")</f>
        <v/>
      </c>
      <c r="AH978" s="2">
        <f>IFERROR(N978/D978,"")</f>
        <v/>
      </c>
      <c r="AI978" s="2">
        <f>IFERROR(O978/E978,"")</f>
        <v/>
      </c>
      <c r="AJ978" s="2">
        <f>IFERROR(P978/F978,"")</f>
        <v/>
      </c>
      <c r="AK978" s="2">
        <f>IFERROR(Q978/B978,"")</f>
        <v/>
      </c>
      <c r="AL978" s="2">
        <f>IFERROR(R978/C978,"")</f>
        <v/>
      </c>
      <c r="AM978" s="2">
        <f>IFERROR(S978/D978,"")</f>
        <v/>
      </c>
      <c r="AN978" s="2">
        <f>IFERROR(T978/E978,"")</f>
        <v/>
      </c>
      <c r="AO978" s="2">
        <f>IFERROR(U978/F978,"")</f>
        <v/>
      </c>
    </row>
    <row r="979">
      <c r="B979">
        <f>IF($A979="","",IFERROR(INDEX('[AQ_2020.xlsx]原始数据'!$B:$B,MATCH($A979,'[AQ_2020.xlsx]原始数据'!$A:$A,0)),""))</f>
        <v/>
      </c>
      <c r="C979">
        <f>IF($A979="","",IFERROR(INDEX('[AQ_2021.xlsx]原始数据'!$B:$B,MATCH($A979,'[AQ_2021.xlsx]原始数据'!$A:$A,0)),""))</f>
        <v/>
      </c>
      <c r="D979">
        <f>IF($A979="","",IFERROR(INDEX('[AQ_2022.xlsx]原始数据'!$B:$B,MATCH($A979,'[AQ_2022.xlsx]原始数据'!$A:$A,0)),""))</f>
        <v/>
      </c>
      <c r="E979">
        <f>IF($A979="","",IFERROR(INDEX('[AQ_2023.xlsx]原始数据'!$B:$B,MATCH($A979,'[AQ_2023.xlsx]原始数据'!$A:$A,0)),""))</f>
        <v/>
      </c>
      <c r="F979">
        <f>IF($A979="","",IFERROR(INDEX('[AQ_2024.xlsx]原始数据'!$B:$B,MATCH($A979,'[AQ_2024.xlsx]原始数据'!$A:$A,0)),""))</f>
        <v/>
      </c>
      <c r="G979">
        <f>IF($A979="","",IFERROR(INDEX('[AQ_2020.xlsx]原始数据'!$C:$C,MATCH($A979,'[AQ_2020.xlsx]原始数据'!$A:$A,0)),""))</f>
        <v/>
      </c>
      <c r="H979">
        <f>IF($A979="","",IFERROR(INDEX('[AQ_2021.xlsx]原始数据'!$C:$C,MATCH($A979,'[AQ_2021.xlsx]原始数据'!$A:$A,0)),""))</f>
        <v/>
      </c>
      <c r="I979">
        <f>IF($A979="","",IFERROR(INDEX('[AQ_2022.xlsx]原始数据'!$C:$C,MATCH($A979,'[AQ_2022.xlsx]原始数据'!$A:$A,0)),""))</f>
        <v/>
      </c>
      <c r="J979">
        <f>IF($A979="","",IFERROR(INDEX('[AQ_2023.xlsx]原始数据'!$C:$C,MATCH($A979,'[AQ_2023.xlsx]原始数据'!$A:$A,0)),""))</f>
        <v/>
      </c>
      <c r="K979">
        <f>IF($A979="","",IFERROR(INDEX('[AQ_2024.xlsx]原始数据'!$C:$C,MATCH($A979,'[AQ_2024.xlsx]原始数据'!$A:$A,0)),""))</f>
        <v/>
      </c>
      <c r="L979">
        <f>IF($A979="","",IFERROR(INDEX('[AQ_2020.xlsx]原始数据'!$D:$D,MATCH($A979,'[AQ_2020.xlsx]原始数据'!$A:$A,0)),""))</f>
        <v/>
      </c>
      <c r="M979">
        <f>IF($A979="","",IFERROR(INDEX('[AQ_2021.xlsx]原始数据'!$D:$D,MATCH($A979,'[AQ_2021.xlsx]原始数据'!$A:$A,0)),""))</f>
        <v/>
      </c>
      <c r="N979">
        <f>IF($A979="","",IFERROR(INDEX('[AQ_2022.xlsx]原始数据'!$D:$D,MATCH($A979,'[AQ_2022.xlsx]原始数据'!$A:$A,0)),""))</f>
        <v/>
      </c>
      <c r="O979">
        <f>IF($A979="","",IFERROR(INDEX('[AQ_2023.xlsx]原始数据'!$D:$D,MATCH($A979,'[AQ_2023.xlsx]原始数据'!$A:$A,0)),""))</f>
        <v/>
      </c>
      <c r="P979">
        <f>IF($A979="","",IFERROR(INDEX('[AQ_2024.xlsx]原始数据'!$D:$D,MATCH($A979,'[AQ_2024.xlsx]原始数据'!$A:$A,0)),""))</f>
        <v/>
      </c>
      <c r="Q979">
        <f>IF($A979="","",IFERROR(INDEX('[AQ_2020.xlsx]原始数据'!$E:$E,MATCH($A979,'[AQ_2020.xlsx]原始数据'!$A:$A,0)),""))</f>
        <v/>
      </c>
      <c r="R979">
        <f>IF($A979="","",IFERROR(INDEX('[AQ_2021.xlsx]原始数据'!$E:$E,MATCH($A979,'[AQ_2021.xlsx]原始数据'!$A:$A,0)),""))</f>
        <v/>
      </c>
      <c r="S979">
        <f>IF($A979="","",IFERROR(INDEX('[AQ_2022.xlsx]原始数据'!$E:$E,MATCH($A979,'[AQ_2022.xlsx]原始数据'!$A:$A,0)),""))</f>
        <v/>
      </c>
      <c r="T979">
        <f>IF($A979="","",IFERROR(INDEX('[AQ_2023.xlsx]原始数据'!$E:$E,MATCH($A979,'[AQ_2023.xlsx]原始数据'!$A:$A,0)),""))</f>
        <v/>
      </c>
      <c r="U979">
        <f>IF($A979="","",IFERROR(INDEX('[AQ_2024.xlsx]原始数据'!$E:$E,MATCH($A979,'[AQ_2024.xlsx]原始数据'!$A:$A,0)),""))</f>
        <v/>
      </c>
      <c r="V979">
        <f>IF($A979="","",IFERROR(INDEX('[AQ_2020.xlsx]原始数据'!$F:$F,MATCH($A979,'[AQ_2020.xlsx]原始数据'!$A:$A,0)),""))</f>
        <v/>
      </c>
      <c r="W979">
        <f>IF($A979="","",IFERROR(INDEX('[AQ_2021.xlsx]原始数据'!$F:$F,MATCH($A979,'[AQ_2021.xlsx]原始数据'!$A:$A,0)),""))</f>
        <v/>
      </c>
      <c r="X979">
        <f>IF($A979="","",IFERROR(INDEX('[AQ_2022.xlsx]原始数据'!$F:$F,MATCH($A979,'[AQ_2022.xlsx]原始数据'!$A:$A,0)),""))</f>
        <v/>
      </c>
      <c r="Y979">
        <f>IF($A979="","",IFERROR(INDEX('[AQ_2023.xlsx]原始数据'!$F:$F,MATCH($A979,'[AQ_2023.xlsx]原始数据'!$A:$A,0)),""))</f>
        <v/>
      </c>
      <c r="Z979">
        <f>IF($A979="","",IFERROR(INDEX('[AQ_2024.xlsx]原始数据'!$F:$F,MATCH($A979,'[AQ_2024.xlsx]原始数据'!$A:$A,0)),""))</f>
        <v/>
      </c>
      <c r="AA979" s="2">
        <f>IFERROR(G979/B979,"")</f>
        <v/>
      </c>
      <c r="AB979" s="2">
        <f>IFERROR(H979/C979,"")</f>
        <v/>
      </c>
      <c r="AC979" s="2">
        <f>IFERROR(I979/D979,"")</f>
        <v/>
      </c>
      <c r="AD979" s="2">
        <f>IFERROR(J979/E979,"")</f>
        <v/>
      </c>
      <c r="AE979" s="2">
        <f>IFERROR(K979/F979,"")</f>
        <v/>
      </c>
      <c r="AF979" s="2">
        <f>IFERROR(L979/B979,"")</f>
        <v/>
      </c>
      <c r="AG979" s="2">
        <f>IFERROR(M979/C979,"")</f>
        <v/>
      </c>
      <c r="AH979" s="2">
        <f>IFERROR(N979/D979,"")</f>
        <v/>
      </c>
      <c r="AI979" s="2">
        <f>IFERROR(O979/E979,"")</f>
        <v/>
      </c>
      <c r="AJ979" s="2">
        <f>IFERROR(P979/F979,"")</f>
        <v/>
      </c>
      <c r="AK979" s="2">
        <f>IFERROR(Q979/B979,"")</f>
        <v/>
      </c>
      <c r="AL979" s="2">
        <f>IFERROR(R979/C979,"")</f>
        <v/>
      </c>
      <c r="AM979" s="2">
        <f>IFERROR(S979/D979,"")</f>
        <v/>
      </c>
      <c r="AN979" s="2">
        <f>IFERROR(T979/E979,"")</f>
        <v/>
      </c>
      <c r="AO979" s="2">
        <f>IFERROR(U979/F979,"")</f>
        <v/>
      </c>
    </row>
    <row r="980">
      <c r="B980">
        <f>IF($A980="","",IFERROR(INDEX('[AQ_2020.xlsx]原始数据'!$B:$B,MATCH($A980,'[AQ_2020.xlsx]原始数据'!$A:$A,0)),""))</f>
        <v/>
      </c>
      <c r="C980">
        <f>IF($A980="","",IFERROR(INDEX('[AQ_2021.xlsx]原始数据'!$B:$B,MATCH($A980,'[AQ_2021.xlsx]原始数据'!$A:$A,0)),""))</f>
        <v/>
      </c>
      <c r="D980">
        <f>IF($A980="","",IFERROR(INDEX('[AQ_2022.xlsx]原始数据'!$B:$B,MATCH($A980,'[AQ_2022.xlsx]原始数据'!$A:$A,0)),""))</f>
        <v/>
      </c>
      <c r="E980">
        <f>IF($A980="","",IFERROR(INDEX('[AQ_2023.xlsx]原始数据'!$B:$B,MATCH($A980,'[AQ_2023.xlsx]原始数据'!$A:$A,0)),""))</f>
        <v/>
      </c>
      <c r="F980">
        <f>IF($A980="","",IFERROR(INDEX('[AQ_2024.xlsx]原始数据'!$B:$B,MATCH($A980,'[AQ_2024.xlsx]原始数据'!$A:$A,0)),""))</f>
        <v/>
      </c>
      <c r="G980">
        <f>IF($A980="","",IFERROR(INDEX('[AQ_2020.xlsx]原始数据'!$C:$C,MATCH($A980,'[AQ_2020.xlsx]原始数据'!$A:$A,0)),""))</f>
        <v/>
      </c>
      <c r="H980">
        <f>IF($A980="","",IFERROR(INDEX('[AQ_2021.xlsx]原始数据'!$C:$C,MATCH($A980,'[AQ_2021.xlsx]原始数据'!$A:$A,0)),""))</f>
        <v/>
      </c>
      <c r="I980">
        <f>IF($A980="","",IFERROR(INDEX('[AQ_2022.xlsx]原始数据'!$C:$C,MATCH($A980,'[AQ_2022.xlsx]原始数据'!$A:$A,0)),""))</f>
        <v/>
      </c>
      <c r="J980">
        <f>IF($A980="","",IFERROR(INDEX('[AQ_2023.xlsx]原始数据'!$C:$C,MATCH($A980,'[AQ_2023.xlsx]原始数据'!$A:$A,0)),""))</f>
        <v/>
      </c>
      <c r="K980">
        <f>IF($A980="","",IFERROR(INDEX('[AQ_2024.xlsx]原始数据'!$C:$C,MATCH($A980,'[AQ_2024.xlsx]原始数据'!$A:$A,0)),""))</f>
        <v/>
      </c>
      <c r="L980">
        <f>IF($A980="","",IFERROR(INDEX('[AQ_2020.xlsx]原始数据'!$D:$D,MATCH($A980,'[AQ_2020.xlsx]原始数据'!$A:$A,0)),""))</f>
        <v/>
      </c>
      <c r="M980">
        <f>IF($A980="","",IFERROR(INDEX('[AQ_2021.xlsx]原始数据'!$D:$D,MATCH($A980,'[AQ_2021.xlsx]原始数据'!$A:$A,0)),""))</f>
        <v/>
      </c>
      <c r="N980">
        <f>IF($A980="","",IFERROR(INDEX('[AQ_2022.xlsx]原始数据'!$D:$D,MATCH($A980,'[AQ_2022.xlsx]原始数据'!$A:$A,0)),""))</f>
        <v/>
      </c>
      <c r="O980">
        <f>IF($A980="","",IFERROR(INDEX('[AQ_2023.xlsx]原始数据'!$D:$D,MATCH($A980,'[AQ_2023.xlsx]原始数据'!$A:$A,0)),""))</f>
        <v/>
      </c>
      <c r="P980">
        <f>IF($A980="","",IFERROR(INDEX('[AQ_2024.xlsx]原始数据'!$D:$D,MATCH($A980,'[AQ_2024.xlsx]原始数据'!$A:$A,0)),""))</f>
        <v/>
      </c>
      <c r="Q980">
        <f>IF($A980="","",IFERROR(INDEX('[AQ_2020.xlsx]原始数据'!$E:$E,MATCH($A980,'[AQ_2020.xlsx]原始数据'!$A:$A,0)),""))</f>
        <v/>
      </c>
      <c r="R980">
        <f>IF($A980="","",IFERROR(INDEX('[AQ_2021.xlsx]原始数据'!$E:$E,MATCH($A980,'[AQ_2021.xlsx]原始数据'!$A:$A,0)),""))</f>
        <v/>
      </c>
      <c r="S980">
        <f>IF($A980="","",IFERROR(INDEX('[AQ_2022.xlsx]原始数据'!$E:$E,MATCH($A980,'[AQ_2022.xlsx]原始数据'!$A:$A,0)),""))</f>
        <v/>
      </c>
      <c r="T980">
        <f>IF($A980="","",IFERROR(INDEX('[AQ_2023.xlsx]原始数据'!$E:$E,MATCH($A980,'[AQ_2023.xlsx]原始数据'!$A:$A,0)),""))</f>
        <v/>
      </c>
      <c r="U980">
        <f>IF($A980="","",IFERROR(INDEX('[AQ_2024.xlsx]原始数据'!$E:$E,MATCH($A980,'[AQ_2024.xlsx]原始数据'!$A:$A,0)),""))</f>
        <v/>
      </c>
      <c r="V980">
        <f>IF($A980="","",IFERROR(INDEX('[AQ_2020.xlsx]原始数据'!$F:$F,MATCH($A980,'[AQ_2020.xlsx]原始数据'!$A:$A,0)),""))</f>
        <v/>
      </c>
      <c r="W980">
        <f>IF($A980="","",IFERROR(INDEX('[AQ_2021.xlsx]原始数据'!$F:$F,MATCH($A980,'[AQ_2021.xlsx]原始数据'!$A:$A,0)),""))</f>
        <v/>
      </c>
      <c r="X980">
        <f>IF($A980="","",IFERROR(INDEX('[AQ_2022.xlsx]原始数据'!$F:$F,MATCH($A980,'[AQ_2022.xlsx]原始数据'!$A:$A,0)),""))</f>
        <v/>
      </c>
      <c r="Y980">
        <f>IF($A980="","",IFERROR(INDEX('[AQ_2023.xlsx]原始数据'!$F:$F,MATCH($A980,'[AQ_2023.xlsx]原始数据'!$A:$A,0)),""))</f>
        <v/>
      </c>
      <c r="Z980">
        <f>IF($A980="","",IFERROR(INDEX('[AQ_2024.xlsx]原始数据'!$F:$F,MATCH($A980,'[AQ_2024.xlsx]原始数据'!$A:$A,0)),""))</f>
        <v/>
      </c>
      <c r="AA980" s="2">
        <f>IFERROR(G980/B980,"")</f>
        <v/>
      </c>
      <c r="AB980" s="2">
        <f>IFERROR(H980/C980,"")</f>
        <v/>
      </c>
      <c r="AC980" s="2">
        <f>IFERROR(I980/D980,"")</f>
        <v/>
      </c>
      <c r="AD980" s="2">
        <f>IFERROR(J980/E980,"")</f>
        <v/>
      </c>
      <c r="AE980" s="2">
        <f>IFERROR(K980/F980,"")</f>
        <v/>
      </c>
      <c r="AF980" s="2">
        <f>IFERROR(L980/B980,"")</f>
        <v/>
      </c>
      <c r="AG980" s="2">
        <f>IFERROR(M980/C980,"")</f>
        <v/>
      </c>
      <c r="AH980" s="2">
        <f>IFERROR(N980/D980,"")</f>
        <v/>
      </c>
      <c r="AI980" s="2">
        <f>IFERROR(O980/E980,"")</f>
        <v/>
      </c>
      <c r="AJ980" s="2">
        <f>IFERROR(P980/F980,"")</f>
        <v/>
      </c>
      <c r="AK980" s="2">
        <f>IFERROR(Q980/B980,"")</f>
        <v/>
      </c>
      <c r="AL980" s="2">
        <f>IFERROR(R980/C980,"")</f>
        <v/>
      </c>
      <c r="AM980" s="2">
        <f>IFERROR(S980/D980,"")</f>
        <v/>
      </c>
      <c r="AN980" s="2">
        <f>IFERROR(T980/E980,"")</f>
        <v/>
      </c>
      <c r="AO980" s="2">
        <f>IFERROR(U980/F980,"")</f>
        <v/>
      </c>
    </row>
    <row r="981">
      <c r="B981">
        <f>IF($A981="","",IFERROR(INDEX('[AQ_2020.xlsx]原始数据'!$B:$B,MATCH($A981,'[AQ_2020.xlsx]原始数据'!$A:$A,0)),""))</f>
        <v/>
      </c>
      <c r="C981">
        <f>IF($A981="","",IFERROR(INDEX('[AQ_2021.xlsx]原始数据'!$B:$B,MATCH($A981,'[AQ_2021.xlsx]原始数据'!$A:$A,0)),""))</f>
        <v/>
      </c>
      <c r="D981">
        <f>IF($A981="","",IFERROR(INDEX('[AQ_2022.xlsx]原始数据'!$B:$B,MATCH($A981,'[AQ_2022.xlsx]原始数据'!$A:$A,0)),""))</f>
        <v/>
      </c>
      <c r="E981">
        <f>IF($A981="","",IFERROR(INDEX('[AQ_2023.xlsx]原始数据'!$B:$B,MATCH($A981,'[AQ_2023.xlsx]原始数据'!$A:$A,0)),""))</f>
        <v/>
      </c>
      <c r="F981">
        <f>IF($A981="","",IFERROR(INDEX('[AQ_2024.xlsx]原始数据'!$B:$B,MATCH($A981,'[AQ_2024.xlsx]原始数据'!$A:$A,0)),""))</f>
        <v/>
      </c>
      <c r="G981">
        <f>IF($A981="","",IFERROR(INDEX('[AQ_2020.xlsx]原始数据'!$C:$C,MATCH($A981,'[AQ_2020.xlsx]原始数据'!$A:$A,0)),""))</f>
        <v/>
      </c>
      <c r="H981">
        <f>IF($A981="","",IFERROR(INDEX('[AQ_2021.xlsx]原始数据'!$C:$C,MATCH($A981,'[AQ_2021.xlsx]原始数据'!$A:$A,0)),""))</f>
        <v/>
      </c>
      <c r="I981">
        <f>IF($A981="","",IFERROR(INDEX('[AQ_2022.xlsx]原始数据'!$C:$C,MATCH($A981,'[AQ_2022.xlsx]原始数据'!$A:$A,0)),""))</f>
        <v/>
      </c>
      <c r="J981">
        <f>IF($A981="","",IFERROR(INDEX('[AQ_2023.xlsx]原始数据'!$C:$C,MATCH($A981,'[AQ_2023.xlsx]原始数据'!$A:$A,0)),""))</f>
        <v/>
      </c>
      <c r="K981">
        <f>IF($A981="","",IFERROR(INDEX('[AQ_2024.xlsx]原始数据'!$C:$C,MATCH($A981,'[AQ_2024.xlsx]原始数据'!$A:$A,0)),""))</f>
        <v/>
      </c>
      <c r="L981">
        <f>IF($A981="","",IFERROR(INDEX('[AQ_2020.xlsx]原始数据'!$D:$D,MATCH($A981,'[AQ_2020.xlsx]原始数据'!$A:$A,0)),""))</f>
        <v/>
      </c>
      <c r="M981">
        <f>IF($A981="","",IFERROR(INDEX('[AQ_2021.xlsx]原始数据'!$D:$D,MATCH($A981,'[AQ_2021.xlsx]原始数据'!$A:$A,0)),""))</f>
        <v/>
      </c>
      <c r="N981">
        <f>IF($A981="","",IFERROR(INDEX('[AQ_2022.xlsx]原始数据'!$D:$D,MATCH($A981,'[AQ_2022.xlsx]原始数据'!$A:$A,0)),""))</f>
        <v/>
      </c>
      <c r="O981">
        <f>IF($A981="","",IFERROR(INDEX('[AQ_2023.xlsx]原始数据'!$D:$D,MATCH($A981,'[AQ_2023.xlsx]原始数据'!$A:$A,0)),""))</f>
        <v/>
      </c>
      <c r="P981">
        <f>IF($A981="","",IFERROR(INDEX('[AQ_2024.xlsx]原始数据'!$D:$D,MATCH($A981,'[AQ_2024.xlsx]原始数据'!$A:$A,0)),""))</f>
        <v/>
      </c>
      <c r="Q981">
        <f>IF($A981="","",IFERROR(INDEX('[AQ_2020.xlsx]原始数据'!$E:$E,MATCH($A981,'[AQ_2020.xlsx]原始数据'!$A:$A,0)),""))</f>
        <v/>
      </c>
      <c r="R981">
        <f>IF($A981="","",IFERROR(INDEX('[AQ_2021.xlsx]原始数据'!$E:$E,MATCH($A981,'[AQ_2021.xlsx]原始数据'!$A:$A,0)),""))</f>
        <v/>
      </c>
      <c r="S981">
        <f>IF($A981="","",IFERROR(INDEX('[AQ_2022.xlsx]原始数据'!$E:$E,MATCH($A981,'[AQ_2022.xlsx]原始数据'!$A:$A,0)),""))</f>
        <v/>
      </c>
      <c r="T981">
        <f>IF($A981="","",IFERROR(INDEX('[AQ_2023.xlsx]原始数据'!$E:$E,MATCH($A981,'[AQ_2023.xlsx]原始数据'!$A:$A,0)),""))</f>
        <v/>
      </c>
      <c r="U981">
        <f>IF($A981="","",IFERROR(INDEX('[AQ_2024.xlsx]原始数据'!$E:$E,MATCH($A981,'[AQ_2024.xlsx]原始数据'!$A:$A,0)),""))</f>
        <v/>
      </c>
      <c r="V981">
        <f>IF($A981="","",IFERROR(INDEX('[AQ_2020.xlsx]原始数据'!$F:$F,MATCH($A981,'[AQ_2020.xlsx]原始数据'!$A:$A,0)),""))</f>
        <v/>
      </c>
      <c r="W981">
        <f>IF($A981="","",IFERROR(INDEX('[AQ_2021.xlsx]原始数据'!$F:$F,MATCH($A981,'[AQ_2021.xlsx]原始数据'!$A:$A,0)),""))</f>
        <v/>
      </c>
      <c r="X981">
        <f>IF($A981="","",IFERROR(INDEX('[AQ_2022.xlsx]原始数据'!$F:$F,MATCH($A981,'[AQ_2022.xlsx]原始数据'!$A:$A,0)),""))</f>
        <v/>
      </c>
      <c r="Y981">
        <f>IF($A981="","",IFERROR(INDEX('[AQ_2023.xlsx]原始数据'!$F:$F,MATCH($A981,'[AQ_2023.xlsx]原始数据'!$A:$A,0)),""))</f>
        <v/>
      </c>
      <c r="Z981">
        <f>IF($A981="","",IFERROR(INDEX('[AQ_2024.xlsx]原始数据'!$F:$F,MATCH($A981,'[AQ_2024.xlsx]原始数据'!$A:$A,0)),""))</f>
        <v/>
      </c>
      <c r="AA981" s="2">
        <f>IFERROR(G981/B981,"")</f>
        <v/>
      </c>
      <c r="AB981" s="2">
        <f>IFERROR(H981/C981,"")</f>
        <v/>
      </c>
      <c r="AC981" s="2">
        <f>IFERROR(I981/D981,"")</f>
        <v/>
      </c>
      <c r="AD981" s="2">
        <f>IFERROR(J981/E981,"")</f>
        <v/>
      </c>
      <c r="AE981" s="2">
        <f>IFERROR(K981/F981,"")</f>
        <v/>
      </c>
      <c r="AF981" s="2">
        <f>IFERROR(L981/B981,"")</f>
        <v/>
      </c>
      <c r="AG981" s="2">
        <f>IFERROR(M981/C981,"")</f>
        <v/>
      </c>
      <c r="AH981" s="2">
        <f>IFERROR(N981/D981,"")</f>
        <v/>
      </c>
      <c r="AI981" s="2">
        <f>IFERROR(O981/E981,"")</f>
        <v/>
      </c>
      <c r="AJ981" s="2">
        <f>IFERROR(P981/F981,"")</f>
        <v/>
      </c>
      <c r="AK981" s="2">
        <f>IFERROR(Q981/B981,"")</f>
        <v/>
      </c>
      <c r="AL981" s="2">
        <f>IFERROR(R981/C981,"")</f>
        <v/>
      </c>
      <c r="AM981" s="2">
        <f>IFERROR(S981/D981,"")</f>
        <v/>
      </c>
      <c r="AN981" s="2">
        <f>IFERROR(T981/E981,"")</f>
        <v/>
      </c>
      <c r="AO981" s="2">
        <f>IFERROR(U981/F981,"")</f>
        <v/>
      </c>
    </row>
    <row r="982">
      <c r="B982">
        <f>IF($A982="","",IFERROR(INDEX('[AQ_2020.xlsx]原始数据'!$B:$B,MATCH($A982,'[AQ_2020.xlsx]原始数据'!$A:$A,0)),""))</f>
        <v/>
      </c>
      <c r="C982">
        <f>IF($A982="","",IFERROR(INDEX('[AQ_2021.xlsx]原始数据'!$B:$B,MATCH($A982,'[AQ_2021.xlsx]原始数据'!$A:$A,0)),""))</f>
        <v/>
      </c>
      <c r="D982">
        <f>IF($A982="","",IFERROR(INDEX('[AQ_2022.xlsx]原始数据'!$B:$B,MATCH($A982,'[AQ_2022.xlsx]原始数据'!$A:$A,0)),""))</f>
        <v/>
      </c>
      <c r="E982">
        <f>IF($A982="","",IFERROR(INDEX('[AQ_2023.xlsx]原始数据'!$B:$B,MATCH($A982,'[AQ_2023.xlsx]原始数据'!$A:$A,0)),""))</f>
        <v/>
      </c>
      <c r="F982">
        <f>IF($A982="","",IFERROR(INDEX('[AQ_2024.xlsx]原始数据'!$B:$B,MATCH($A982,'[AQ_2024.xlsx]原始数据'!$A:$A,0)),""))</f>
        <v/>
      </c>
      <c r="G982">
        <f>IF($A982="","",IFERROR(INDEX('[AQ_2020.xlsx]原始数据'!$C:$C,MATCH($A982,'[AQ_2020.xlsx]原始数据'!$A:$A,0)),""))</f>
        <v/>
      </c>
      <c r="H982">
        <f>IF($A982="","",IFERROR(INDEX('[AQ_2021.xlsx]原始数据'!$C:$C,MATCH($A982,'[AQ_2021.xlsx]原始数据'!$A:$A,0)),""))</f>
        <v/>
      </c>
      <c r="I982">
        <f>IF($A982="","",IFERROR(INDEX('[AQ_2022.xlsx]原始数据'!$C:$C,MATCH($A982,'[AQ_2022.xlsx]原始数据'!$A:$A,0)),""))</f>
        <v/>
      </c>
      <c r="J982">
        <f>IF($A982="","",IFERROR(INDEX('[AQ_2023.xlsx]原始数据'!$C:$C,MATCH($A982,'[AQ_2023.xlsx]原始数据'!$A:$A,0)),""))</f>
        <v/>
      </c>
      <c r="K982">
        <f>IF($A982="","",IFERROR(INDEX('[AQ_2024.xlsx]原始数据'!$C:$C,MATCH($A982,'[AQ_2024.xlsx]原始数据'!$A:$A,0)),""))</f>
        <v/>
      </c>
      <c r="L982">
        <f>IF($A982="","",IFERROR(INDEX('[AQ_2020.xlsx]原始数据'!$D:$D,MATCH($A982,'[AQ_2020.xlsx]原始数据'!$A:$A,0)),""))</f>
        <v/>
      </c>
      <c r="M982">
        <f>IF($A982="","",IFERROR(INDEX('[AQ_2021.xlsx]原始数据'!$D:$D,MATCH($A982,'[AQ_2021.xlsx]原始数据'!$A:$A,0)),""))</f>
        <v/>
      </c>
      <c r="N982">
        <f>IF($A982="","",IFERROR(INDEX('[AQ_2022.xlsx]原始数据'!$D:$D,MATCH($A982,'[AQ_2022.xlsx]原始数据'!$A:$A,0)),""))</f>
        <v/>
      </c>
      <c r="O982">
        <f>IF($A982="","",IFERROR(INDEX('[AQ_2023.xlsx]原始数据'!$D:$D,MATCH($A982,'[AQ_2023.xlsx]原始数据'!$A:$A,0)),""))</f>
        <v/>
      </c>
      <c r="P982">
        <f>IF($A982="","",IFERROR(INDEX('[AQ_2024.xlsx]原始数据'!$D:$D,MATCH($A982,'[AQ_2024.xlsx]原始数据'!$A:$A,0)),""))</f>
        <v/>
      </c>
      <c r="Q982">
        <f>IF($A982="","",IFERROR(INDEX('[AQ_2020.xlsx]原始数据'!$E:$E,MATCH($A982,'[AQ_2020.xlsx]原始数据'!$A:$A,0)),""))</f>
        <v/>
      </c>
      <c r="R982">
        <f>IF($A982="","",IFERROR(INDEX('[AQ_2021.xlsx]原始数据'!$E:$E,MATCH($A982,'[AQ_2021.xlsx]原始数据'!$A:$A,0)),""))</f>
        <v/>
      </c>
      <c r="S982">
        <f>IF($A982="","",IFERROR(INDEX('[AQ_2022.xlsx]原始数据'!$E:$E,MATCH($A982,'[AQ_2022.xlsx]原始数据'!$A:$A,0)),""))</f>
        <v/>
      </c>
      <c r="T982">
        <f>IF($A982="","",IFERROR(INDEX('[AQ_2023.xlsx]原始数据'!$E:$E,MATCH($A982,'[AQ_2023.xlsx]原始数据'!$A:$A,0)),""))</f>
        <v/>
      </c>
      <c r="U982">
        <f>IF($A982="","",IFERROR(INDEX('[AQ_2024.xlsx]原始数据'!$E:$E,MATCH($A982,'[AQ_2024.xlsx]原始数据'!$A:$A,0)),""))</f>
        <v/>
      </c>
      <c r="V982">
        <f>IF($A982="","",IFERROR(INDEX('[AQ_2020.xlsx]原始数据'!$F:$F,MATCH($A982,'[AQ_2020.xlsx]原始数据'!$A:$A,0)),""))</f>
        <v/>
      </c>
      <c r="W982">
        <f>IF($A982="","",IFERROR(INDEX('[AQ_2021.xlsx]原始数据'!$F:$F,MATCH($A982,'[AQ_2021.xlsx]原始数据'!$A:$A,0)),""))</f>
        <v/>
      </c>
      <c r="X982">
        <f>IF($A982="","",IFERROR(INDEX('[AQ_2022.xlsx]原始数据'!$F:$F,MATCH($A982,'[AQ_2022.xlsx]原始数据'!$A:$A,0)),""))</f>
        <v/>
      </c>
      <c r="Y982">
        <f>IF($A982="","",IFERROR(INDEX('[AQ_2023.xlsx]原始数据'!$F:$F,MATCH($A982,'[AQ_2023.xlsx]原始数据'!$A:$A,0)),""))</f>
        <v/>
      </c>
      <c r="Z982">
        <f>IF($A982="","",IFERROR(INDEX('[AQ_2024.xlsx]原始数据'!$F:$F,MATCH($A982,'[AQ_2024.xlsx]原始数据'!$A:$A,0)),""))</f>
        <v/>
      </c>
      <c r="AA982" s="2">
        <f>IFERROR(G982/B982,"")</f>
        <v/>
      </c>
      <c r="AB982" s="2">
        <f>IFERROR(H982/C982,"")</f>
        <v/>
      </c>
      <c r="AC982" s="2">
        <f>IFERROR(I982/D982,"")</f>
        <v/>
      </c>
      <c r="AD982" s="2">
        <f>IFERROR(J982/E982,"")</f>
        <v/>
      </c>
      <c r="AE982" s="2">
        <f>IFERROR(K982/F982,"")</f>
        <v/>
      </c>
      <c r="AF982" s="2">
        <f>IFERROR(L982/B982,"")</f>
        <v/>
      </c>
      <c r="AG982" s="2">
        <f>IFERROR(M982/C982,"")</f>
        <v/>
      </c>
      <c r="AH982" s="2">
        <f>IFERROR(N982/D982,"")</f>
        <v/>
      </c>
      <c r="AI982" s="2">
        <f>IFERROR(O982/E982,"")</f>
        <v/>
      </c>
      <c r="AJ982" s="2">
        <f>IFERROR(P982/F982,"")</f>
        <v/>
      </c>
      <c r="AK982" s="2">
        <f>IFERROR(Q982/B982,"")</f>
        <v/>
      </c>
      <c r="AL982" s="2">
        <f>IFERROR(R982/C982,"")</f>
        <v/>
      </c>
      <c r="AM982" s="2">
        <f>IFERROR(S982/D982,"")</f>
        <v/>
      </c>
      <c r="AN982" s="2">
        <f>IFERROR(T982/E982,"")</f>
        <v/>
      </c>
      <c r="AO982" s="2">
        <f>IFERROR(U982/F982,"")</f>
        <v/>
      </c>
    </row>
    <row r="983">
      <c r="B983">
        <f>IF($A983="","",IFERROR(INDEX('[AQ_2020.xlsx]原始数据'!$B:$B,MATCH($A983,'[AQ_2020.xlsx]原始数据'!$A:$A,0)),""))</f>
        <v/>
      </c>
      <c r="C983">
        <f>IF($A983="","",IFERROR(INDEX('[AQ_2021.xlsx]原始数据'!$B:$B,MATCH($A983,'[AQ_2021.xlsx]原始数据'!$A:$A,0)),""))</f>
        <v/>
      </c>
      <c r="D983">
        <f>IF($A983="","",IFERROR(INDEX('[AQ_2022.xlsx]原始数据'!$B:$B,MATCH($A983,'[AQ_2022.xlsx]原始数据'!$A:$A,0)),""))</f>
        <v/>
      </c>
      <c r="E983">
        <f>IF($A983="","",IFERROR(INDEX('[AQ_2023.xlsx]原始数据'!$B:$B,MATCH($A983,'[AQ_2023.xlsx]原始数据'!$A:$A,0)),""))</f>
        <v/>
      </c>
      <c r="F983">
        <f>IF($A983="","",IFERROR(INDEX('[AQ_2024.xlsx]原始数据'!$B:$B,MATCH($A983,'[AQ_2024.xlsx]原始数据'!$A:$A,0)),""))</f>
        <v/>
      </c>
      <c r="G983">
        <f>IF($A983="","",IFERROR(INDEX('[AQ_2020.xlsx]原始数据'!$C:$C,MATCH($A983,'[AQ_2020.xlsx]原始数据'!$A:$A,0)),""))</f>
        <v/>
      </c>
      <c r="H983">
        <f>IF($A983="","",IFERROR(INDEX('[AQ_2021.xlsx]原始数据'!$C:$C,MATCH($A983,'[AQ_2021.xlsx]原始数据'!$A:$A,0)),""))</f>
        <v/>
      </c>
      <c r="I983">
        <f>IF($A983="","",IFERROR(INDEX('[AQ_2022.xlsx]原始数据'!$C:$C,MATCH($A983,'[AQ_2022.xlsx]原始数据'!$A:$A,0)),""))</f>
        <v/>
      </c>
      <c r="J983">
        <f>IF($A983="","",IFERROR(INDEX('[AQ_2023.xlsx]原始数据'!$C:$C,MATCH($A983,'[AQ_2023.xlsx]原始数据'!$A:$A,0)),""))</f>
        <v/>
      </c>
      <c r="K983">
        <f>IF($A983="","",IFERROR(INDEX('[AQ_2024.xlsx]原始数据'!$C:$C,MATCH($A983,'[AQ_2024.xlsx]原始数据'!$A:$A,0)),""))</f>
        <v/>
      </c>
      <c r="L983">
        <f>IF($A983="","",IFERROR(INDEX('[AQ_2020.xlsx]原始数据'!$D:$D,MATCH($A983,'[AQ_2020.xlsx]原始数据'!$A:$A,0)),""))</f>
        <v/>
      </c>
      <c r="M983">
        <f>IF($A983="","",IFERROR(INDEX('[AQ_2021.xlsx]原始数据'!$D:$D,MATCH($A983,'[AQ_2021.xlsx]原始数据'!$A:$A,0)),""))</f>
        <v/>
      </c>
      <c r="N983">
        <f>IF($A983="","",IFERROR(INDEX('[AQ_2022.xlsx]原始数据'!$D:$D,MATCH($A983,'[AQ_2022.xlsx]原始数据'!$A:$A,0)),""))</f>
        <v/>
      </c>
      <c r="O983">
        <f>IF($A983="","",IFERROR(INDEX('[AQ_2023.xlsx]原始数据'!$D:$D,MATCH($A983,'[AQ_2023.xlsx]原始数据'!$A:$A,0)),""))</f>
        <v/>
      </c>
      <c r="P983">
        <f>IF($A983="","",IFERROR(INDEX('[AQ_2024.xlsx]原始数据'!$D:$D,MATCH($A983,'[AQ_2024.xlsx]原始数据'!$A:$A,0)),""))</f>
        <v/>
      </c>
      <c r="Q983">
        <f>IF($A983="","",IFERROR(INDEX('[AQ_2020.xlsx]原始数据'!$E:$E,MATCH($A983,'[AQ_2020.xlsx]原始数据'!$A:$A,0)),""))</f>
        <v/>
      </c>
      <c r="R983">
        <f>IF($A983="","",IFERROR(INDEX('[AQ_2021.xlsx]原始数据'!$E:$E,MATCH($A983,'[AQ_2021.xlsx]原始数据'!$A:$A,0)),""))</f>
        <v/>
      </c>
      <c r="S983">
        <f>IF($A983="","",IFERROR(INDEX('[AQ_2022.xlsx]原始数据'!$E:$E,MATCH($A983,'[AQ_2022.xlsx]原始数据'!$A:$A,0)),""))</f>
        <v/>
      </c>
      <c r="T983">
        <f>IF($A983="","",IFERROR(INDEX('[AQ_2023.xlsx]原始数据'!$E:$E,MATCH($A983,'[AQ_2023.xlsx]原始数据'!$A:$A,0)),""))</f>
        <v/>
      </c>
      <c r="U983">
        <f>IF($A983="","",IFERROR(INDEX('[AQ_2024.xlsx]原始数据'!$E:$E,MATCH($A983,'[AQ_2024.xlsx]原始数据'!$A:$A,0)),""))</f>
        <v/>
      </c>
      <c r="V983">
        <f>IF($A983="","",IFERROR(INDEX('[AQ_2020.xlsx]原始数据'!$F:$F,MATCH($A983,'[AQ_2020.xlsx]原始数据'!$A:$A,0)),""))</f>
        <v/>
      </c>
      <c r="W983">
        <f>IF($A983="","",IFERROR(INDEX('[AQ_2021.xlsx]原始数据'!$F:$F,MATCH($A983,'[AQ_2021.xlsx]原始数据'!$A:$A,0)),""))</f>
        <v/>
      </c>
      <c r="X983">
        <f>IF($A983="","",IFERROR(INDEX('[AQ_2022.xlsx]原始数据'!$F:$F,MATCH($A983,'[AQ_2022.xlsx]原始数据'!$A:$A,0)),""))</f>
        <v/>
      </c>
      <c r="Y983">
        <f>IF($A983="","",IFERROR(INDEX('[AQ_2023.xlsx]原始数据'!$F:$F,MATCH($A983,'[AQ_2023.xlsx]原始数据'!$A:$A,0)),""))</f>
        <v/>
      </c>
      <c r="Z983">
        <f>IF($A983="","",IFERROR(INDEX('[AQ_2024.xlsx]原始数据'!$F:$F,MATCH($A983,'[AQ_2024.xlsx]原始数据'!$A:$A,0)),""))</f>
        <v/>
      </c>
      <c r="AA983" s="2">
        <f>IFERROR(G983/B983,"")</f>
        <v/>
      </c>
      <c r="AB983" s="2">
        <f>IFERROR(H983/C983,"")</f>
        <v/>
      </c>
      <c r="AC983" s="2">
        <f>IFERROR(I983/D983,"")</f>
        <v/>
      </c>
      <c r="AD983" s="2">
        <f>IFERROR(J983/E983,"")</f>
        <v/>
      </c>
      <c r="AE983" s="2">
        <f>IFERROR(K983/F983,"")</f>
        <v/>
      </c>
      <c r="AF983" s="2">
        <f>IFERROR(L983/B983,"")</f>
        <v/>
      </c>
      <c r="AG983" s="2">
        <f>IFERROR(M983/C983,"")</f>
        <v/>
      </c>
      <c r="AH983" s="2">
        <f>IFERROR(N983/D983,"")</f>
        <v/>
      </c>
      <c r="AI983" s="2">
        <f>IFERROR(O983/E983,"")</f>
        <v/>
      </c>
      <c r="AJ983" s="2">
        <f>IFERROR(P983/F983,"")</f>
        <v/>
      </c>
      <c r="AK983" s="2">
        <f>IFERROR(Q983/B983,"")</f>
        <v/>
      </c>
      <c r="AL983" s="2">
        <f>IFERROR(R983/C983,"")</f>
        <v/>
      </c>
      <c r="AM983" s="2">
        <f>IFERROR(S983/D983,"")</f>
        <v/>
      </c>
      <c r="AN983" s="2">
        <f>IFERROR(T983/E983,"")</f>
        <v/>
      </c>
      <c r="AO983" s="2">
        <f>IFERROR(U983/F983,"")</f>
        <v/>
      </c>
    </row>
    <row r="984">
      <c r="B984">
        <f>IF($A984="","",IFERROR(INDEX('[AQ_2020.xlsx]原始数据'!$B:$B,MATCH($A984,'[AQ_2020.xlsx]原始数据'!$A:$A,0)),""))</f>
        <v/>
      </c>
      <c r="C984">
        <f>IF($A984="","",IFERROR(INDEX('[AQ_2021.xlsx]原始数据'!$B:$B,MATCH($A984,'[AQ_2021.xlsx]原始数据'!$A:$A,0)),""))</f>
        <v/>
      </c>
      <c r="D984">
        <f>IF($A984="","",IFERROR(INDEX('[AQ_2022.xlsx]原始数据'!$B:$B,MATCH($A984,'[AQ_2022.xlsx]原始数据'!$A:$A,0)),""))</f>
        <v/>
      </c>
      <c r="E984">
        <f>IF($A984="","",IFERROR(INDEX('[AQ_2023.xlsx]原始数据'!$B:$B,MATCH($A984,'[AQ_2023.xlsx]原始数据'!$A:$A,0)),""))</f>
        <v/>
      </c>
      <c r="F984">
        <f>IF($A984="","",IFERROR(INDEX('[AQ_2024.xlsx]原始数据'!$B:$B,MATCH($A984,'[AQ_2024.xlsx]原始数据'!$A:$A,0)),""))</f>
        <v/>
      </c>
      <c r="G984">
        <f>IF($A984="","",IFERROR(INDEX('[AQ_2020.xlsx]原始数据'!$C:$C,MATCH($A984,'[AQ_2020.xlsx]原始数据'!$A:$A,0)),""))</f>
        <v/>
      </c>
      <c r="H984">
        <f>IF($A984="","",IFERROR(INDEX('[AQ_2021.xlsx]原始数据'!$C:$C,MATCH($A984,'[AQ_2021.xlsx]原始数据'!$A:$A,0)),""))</f>
        <v/>
      </c>
      <c r="I984">
        <f>IF($A984="","",IFERROR(INDEX('[AQ_2022.xlsx]原始数据'!$C:$C,MATCH($A984,'[AQ_2022.xlsx]原始数据'!$A:$A,0)),""))</f>
        <v/>
      </c>
      <c r="J984">
        <f>IF($A984="","",IFERROR(INDEX('[AQ_2023.xlsx]原始数据'!$C:$C,MATCH($A984,'[AQ_2023.xlsx]原始数据'!$A:$A,0)),""))</f>
        <v/>
      </c>
      <c r="K984">
        <f>IF($A984="","",IFERROR(INDEX('[AQ_2024.xlsx]原始数据'!$C:$C,MATCH($A984,'[AQ_2024.xlsx]原始数据'!$A:$A,0)),""))</f>
        <v/>
      </c>
      <c r="L984">
        <f>IF($A984="","",IFERROR(INDEX('[AQ_2020.xlsx]原始数据'!$D:$D,MATCH($A984,'[AQ_2020.xlsx]原始数据'!$A:$A,0)),""))</f>
        <v/>
      </c>
      <c r="M984">
        <f>IF($A984="","",IFERROR(INDEX('[AQ_2021.xlsx]原始数据'!$D:$D,MATCH($A984,'[AQ_2021.xlsx]原始数据'!$A:$A,0)),""))</f>
        <v/>
      </c>
      <c r="N984">
        <f>IF($A984="","",IFERROR(INDEX('[AQ_2022.xlsx]原始数据'!$D:$D,MATCH($A984,'[AQ_2022.xlsx]原始数据'!$A:$A,0)),""))</f>
        <v/>
      </c>
      <c r="O984">
        <f>IF($A984="","",IFERROR(INDEX('[AQ_2023.xlsx]原始数据'!$D:$D,MATCH($A984,'[AQ_2023.xlsx]原始数据'!$A:$A,0)),""))</f>
        <v/>
      </c>
      <c r="P984">
        <f>IF($A984="","",IFERROR(INDEX('[AQ_2024.xlsx]原始数据'!$D:$D,MATCH($A984,'[AQ_2024.xlsx]原始数据'!$A:$A,0)),""))</f>
        <v/>
      </c>
      <c r="Q984">
        <f>IF($A984="","",IFERROR(INDEX('[AQ_2020.xlsx]原始数据'!$E:$E,MATCH($A984,'[AQ_2020.xlsx]原始数据'!$A:$A,0)),""))</f>
        <v/>
      </c>
      <c r="R984">
        <f>IF($A984="","",IFERROR(INDEX('[AQ_2021.xlsx]原始数据'!$E:$E,MATCH($A984,'[AQ_2021.xlsx]原始数据'!$A:$A,0)),""))</f>
        <v/>
      </c>
      <c r="S984">
        <f>IF($A984="","",IFERROR(INDEX('[AQ_2022.xlsx]原始数据'!$E:$E,MATCH($A984,'[AQ_2022.xlsx]原始数据'!$A:$A,0)),""))</f>
        <v/>
      </c>
      <c r="T984">
        <f>IF($A984="","",IFERROR(INDEX('[AQ_2023.xlsx]原始数据'!$E:$E,MATCH($A984,'[AQ_2023.xlsx]原始数据'!$A:$A,0)),""))</f>
        <v/>
      </c>
      <c r="U984">
        <f>IF($A984="","",IFERROR(INDEX('[AQ_2024.xlsx]原始数据'!$E:$E,MATCH($A984,'[AQ_2024.xlsx]原始数据'!$A:$A,0)),""))</f>
        <v/>
      </c>
      <c r="V984">
        <f>IF($A984="","",IFERROR(INDEX('[AQ_2020.xlsx]原始数据'!$F:$F,MATCH($A984,'[AQ_2020.xlsx]原始数据'!$A:$A,0)),""))</f>
        <v/>
      </c>
      <c r="W984">
        <f>IF($A984="","",IFERROR(INDEX('[AQ_2021.xlsx]原始数据'!$F:$F,MATCH($A984,'[AQ_2021.xlsx]原始数据'!$A:$A,0)),""))</f>
        <v/>
      </c>
      <c r="X984">
        <f>IF($A984="","",IFERROR(INDEX('[AQ_2022.xlsx]原始数据'!$F:$F,MATCH($A984,'[AQ_2022.xlsx]原始数据'!$A:$A,0)),""))</f>
        <v/>
      </c>
      <c r="Y984">
        <f>IF($A984="","",IFERROR(INDEX('[AQ_2023.xlsx]原始数据'!$F:$F,MATCH($A984,'[AQ_2023.xlsx]原始数据'!$A:$A,0)),""))</f>
        <v/>
      </c>
      <c r="Z984">
        <f>IF($A984="","",IFERROR(INDEX('[AQ_2024.xlsx]原始数据'!$F:$F,MATCH($A984,'[AQ_2024.xlsx]原始数据'!$A:$A,0)),""))</f>
        <v/>
      </c>
      <c r="AA984" s="2">
        <f>IFERROR(G984/B984,"")</f>
        <v/>
      </c>
      <c r="AB984" s="2">
        <f>IFERROR(H984/C984,"")</f>
        <v/>
      </c>
      <c r="AC984" s="2">
        <f>IFERROR(I984/D984,"")</f>
        <v/>
      </c>
      <c r="AD984" s="2">
        <f>IFERROR(J984/E984,"")</f>
        <v/>
      </c>
      <c r="AE984" s="2">
        <f>IFERROR(K984/F984,"")</f>
        <v/>
      </c>
      <c r="AF984" s="2">
        <f>IFERROR(L984/B984,"")</f>
        <v/>
      </c>
      <c r="AG984" s="2">
        <f>IFERROR(M984/C984,"")</f>
        <v/>
      </c>
      <c r="AH984" s="2">
        <f>IFERROR(N984/D984,"")</f>
        <v/>
      </c>
      <c r="AI984" s="2">
        <f>IFERROR(O984/E984,"")</f>
        <v/>
      </c>
      <c r="AJ984" s="2">
        <f>IFERROR(P984/F984,"")</f>
        <v/>
      </c>
      <c r="AK984" s="2">
        <f>IFERROR(Q984/B984,"")</f>
        <v/>
      </c>
      <c r="AL984" s="2">
        <f>IFERROR(R984/C984,"")</f>
        <v/>
      </c>
      <c r="AM984" s="2">
        <f>IFERROR(S984/D984,"")</f>
        <v/>
      </c>
      <c r="AN984" s="2">
        <f>IFERROR(T984/E984,"")</f>
        <v/>
      </c>
      <c r="AO984" s="2">
        <f>IFERROR(U984/F984,"")</f>
        <v/>
      </c>
    </row>
    <row r="985">
      <c r="B985">
        <f>IF($A985="","",IFERROR(INDEX('[AQ_2020.xlsx]原始数据'!$B:$B,MATCH($A985,'[AQ_2020.xlsx]原始数据'!$A:$A,0)),""))</f>
        <v/>
      </c>
      <c r="C985">
        <f>IF($A985="","",IFERROR(INDEX('[AQ_2021.xlsx]原始数据'!$B:$B,MATCH($A985,'[AQ_2021.xlsx]原始数据'!$A:$A,0)),""))</f>
        <v/>
      </c>
      <c r="D985">
        <f>IF($A985="","",IFERROR(INDEX('[AQ_2022.xlsx]原始数据'!$B:$B,MATCH($A985,'[AQ_2022.xlsx]原始数据'!$A:$A,0)),""))</f>
        <v/>
      </c>
      <c r="E985">
        <f>IF($A985="","",IFERROR(INDEX('[AQ_2023.xlsx]原始数据'!$B:$B,MATCH($A985,'[AQ_2023.xlsx]原始数据'!$A:$A,0)),""))</f>
        <v/>
      </c>
      <c r="F985">
        <f>IF($A985="","",IFERROR(INDEX('[AQ_2024.xlsx]原始数据'!$B:$B,MATCH($A985,'[AQ_2024.xlsx]原始数据'!$A:$A,0)),""))</f>
        <v/>
      </c>
      <c r="G985">
        <f>IF($A985="","",IFERROR(INDEX('[AQ_2020.xlsx]原始数据'!$C:$C,MATCH($A985,'[AQ_2020.xlsx]原始数据'!$A:$A,0)),""))</f>
        <v/>
      </c>
      <c r="H985">
        <f>IF($A985="","",IFERROR(INDEX('[AQ_2021.xlsx]原始数据'!$C:$C,MATCH($A985,'[AQ_2021.xlsx]原始数据'!$A:$A,0)),""))</f>
        <v/>
      </c>
      <c r="I985">
        <f>IF($A985="","",IFERROR(INDEX('[AQ_2022.xlsx]原始数据'!$C:$C,MATCH($A985,'[AQ_2022.xlsx]原始数据'!$A:$A,0)),""))</f>
        <v/>
      </c>
      <c r="J985">
        <f>IF($A985="","",IFERROR(INDEX('[AQ_2023.xlsx]原始数据'!$C:$C,MATCH($A985,'[AQ_2023.xlsx]原始数据'!$A:$A,0)),""))</f>
        <v/>
      </c>
      <c r="K985">
        <f>IF($A985="","",IFERROR(INDEX('[AQ_2024.xlsx]原始数据'!$C:$C,MATCH($A985,'[AQ_2024.xlsx]原始数据'!$A:$A,0)),""))</f>
        <v/>
      </c>
      <c r="L985">
        <f>IF($A985="","",IFERROR(INDEX('[AQ_2020.xlsx]原始数据'!$D:$D,MATCH($A985,'[AQ_2020.xlsx]原始数据'!$A:$A,0)),""))</f>
        <v/>
      </c>
      <c r="M985">
        <f>IF($A985="","",IFERROR(INDEX('[AQ_2021.xlsx]原始数据'!$D:$D,MATCH($A985,'[AQ_2021.xlsx]原始数据'!$A:$A,0)),""))</f>
        <v/>
      </c>
      <c r="N985">
        <f>IF($A985="","",IFERROR(INDEX('[AQ_2022.xlsx]原始数据'!$D:$D,MATCH($A985,'[AQ_2022.xlsx]原始数据'!$A:$A,0)),""))</f>
        <v/>
      </c>
      <c r="O985">
        <f>IF($A985="","",IFERROR(INDEX('[AQ_2023.xlsx]原始数据'!$D:$D,MATCH($A985,'[AQ_2023.xlsx]原始数据'!$A:$A,0)),""))</f>
        <v/>
      </c>
      <c r="P985">
        <f>IF($A985="","",IFERROR(INDEX('[AQ_2024.xlsx]原始数据'!$D:$D,MATCH($A985,'[AQ_2024.xlsx]原始数据'!$A:$A,0)),""))</f>
        <v/>
      </c>
      <c r="Q985">
        <f>IF($A985="","",IFERROR(INDEX('[AQ_2020.xlsx]原始数据'!$E:$E,MATCH($A985,'[AQ_2020.xlsx]原始数据'!$A:$A,0)),""))</f>
        <v/>
      </c>
      <c r="R985">
        <f>IF($A985="","",IFERROR(INDEX('[AQ_2021.xlsx]原始数据'!$E:$E,MATCH($A985,'[AQ_2021.xlsx]原始数据'!$A:$A,0)),""))</f>
        <v/>
      </c>
      <c r="S985">
        <f>IF($A985="","",IFERROR(INDEX('[AQ_2022.xlsx]原始数据'!$E:$E,MATCH($A985,'[AQ_2022.xlsx]原始数据'!$A:$A,0)),""))</f>
        <v/>
      </c>
      <c r="T985">
        <f>IF($A985="","",IFERROR(INDEX('[AQ_2023.xlsx]原始数据'!$E:$E,MATCH($A985,'[AQ_2023.xlsx]原始数据'!$A:$A,0)),""))</f>
        <v/>
      </c>
      <c r="U985">
        <f>IF($A985="","",IFERROR(INDEX('[AQ_2024.xlsx]原始数据'!$E:$E,MATCH($A985,'[AQ_2024.xlsx]原始数据'!$A:$A,0)),""))</f>
        <v/>
      </c>
      <c r="V985">
        <f>IF($A985="","",IFERROR(INDEX('[AQ_2020.xlsx]原始数据'!$F:$F,MATCH($A985,'[AQ_2020.xlsx]原始数据'!$A:$A,0)),""))</f>
        <v/>
      </c>
      <c r="W985">
        <f>IF($A985="","",IFERROR(INDEX('[AQ_2021.xlsx]原始数据'!$F:$F,MATCH($A985,'[AQ_2021.xlsx]原始数据'!$A:$A,0)),""))</f>
        <v/>
      </c>
      <c r="X985">
        <f>IF($A985="","",IFERROR(INDEX('[AQ_2022.xlsx]原始数据'!$F:$F,MATCH($A985,'[AQ_2022.xlsx]原始数据'!$A:$A,0)),""))</f>
        <v/>
      </c>
      <c r="Y985">
        <f>IF($A985="","",IFERROR(INDEX('[AQ_2023.xlsx]原始数据'!$F:$F,MATCH($A985,'[AQ_2023.xlsx]原始数据'!$A:$A,0)),""))</f>
        <v/>
      </c>
      <c r="Z985">
        <f>IF($A985="","",IFERROR(INDEX('[AQ_2024.xlsx]原始数据'!$F:$F,MATCH($A985,'[AQ_2024.xlsx]原始数据'!$A:$A,0)),""))</f>
        <v/>
      </c>
      <c r="AA985" s="2">
        <f>IFERROR(G985/B985,"")</f>
        <v/>
      </c>
      <c r="AB985" s="2">
        <f>IFERROR(H985/C985,"")</f>
        <v/>
      </c>
      <c r="AC985" s="2">
        <f>IFERROR(I985/D985,"")</f>
        <v/>
      </c>
      <c r="AD985" s="2">
        <f>IFERROR(J985/E985,"")</f>
        <v/>
      </c>
      <c r="AE985" s="2">
        <f>IFERROR(K985/F985,"")</f>
        <v/>
      </c>
      <c r="AF985" s="2">
        <f>IFERROR(L985/B985,"")</f>
        <v/>
      </c>
      <c r="AG985" s="2">
        <f>IFERROR(M985/C985,"")</f>
        <v/>
      </c>
      <c r="AH985" s="2">
        <f>IFERROR(N985/D985,"")</f>
        <v/>
      </c>
      <c r="AI985" s="2">
        <f>IFERROR(O985/E985,"")</f>
        <v/>
      </c>
      <c r="AJ985" s="2">
        <f>IFERROR(P985/F985,"")</f>
        <v/>
      </c>
      <c r="AK985" s="2">
        <f>IFERROR(Q985/B985,"")</f>
        <v/>
      </c>
      <c r="AL985" s="2">
        <f>IFERROR(R985/C985,"")</f>
        <v/>
      </c>
      <c r="AM985" s="2">
        <f>IFERROR(S985/D985,"")</f>
        <v/>
      </c>
      <c r="AN985" s="2">
        <f>IFERROR(T985/E985,"")</f>
        <v/>
      </c>
      <c r="AO985" s="2">
        <f>IFERROR(U985/F985,"")</f>
        <v/>
      </c>
    </row>
    <row r="986">
      <c r="B986">
        <f>IF($A986="","",IFERROR(INDEX('[AQ_2020.xlsx]原始数据'!$B:$B,MATCH($A986,'[AQ_2020.xlsx]原始数据'!$A:$A,0)),""))</f>
        <v/>
      </c>
      <c r="C986">
        <f>IF($A986="","",IFERROR(INDEX('[AQ_2021.xlsx]原始数据'!$B:$B,MATCH($A986,'[AQ_2021.xlsx]原始数据'!$A:$A,0)),""))</f>
        <v/>
      </c>
      <c r="D986">
        <f>IF($A986="","",IFERROR(INDEX('[AQ_2022.xlsx]原始数据'!$B:$B,MATCH($A986,'[AQ_2022.xlsx]原始数据'!$A:$A,0)),""))</f>
        <v/>
      </c>
      <c r="E986">
        <f>IF($A986="","",IFERROR(INDEX('[AQ_2023.xlsx]原始数据'!$B:$B,MATCH($A986,'[AQ_2023.xlsx]原始数据'!$A:$A,0)),""))</f>
        <v/>
      </c>
      <c r="F986">
        <f>IF($A986="","",IFERROR(INDEX('[AQ_2024.xlsx]原始数据'!$B:$B,MATCH($A986,'[AQ_2024.xlsx]原始数据'!$A:$A,0)),""))</f>
        <v/>
      </c>
      <c r="G986">
        <f>IF($A986="","",IFERROR(INDEX('[AQ_2020.xlsx]原始数据'!$C:$C,MATCH($A986,'[AQ_2020.xlsx]原始数据'!$A:$A,0)),""))</f>
        <v/>
      </c>
      <c r="H986">
        <f>IF($A986="","",IFERROR(INDEX('[AQ_2021.xlsx]原始数据'!$C:$C,MATCH($A986,'[AQ_2021.xlsx]原始数据'!$A:$A,0)),""))</f>
        <v/>
      </c>
      <c r="I986">
        <f>IF($A986="","",IFERROR(INDEX('[AQ_2022.xlsx]原始数据'!$C:$C,MATCH($A986,'[AQ_2022.xlsx]原始数据'!$A:$A,0)),""))</f>
        <v/>
      </c>
      <c r="J986">
        <f>IF($A986="","",IFERROR(INDEX('[AQ_2023.xlsx]原始数据'!$C:$C,MATCH($A986,'[AQ_2023.xlsx]原始数据'!$A:$A,0)),""))</f>
        <v/>
      </c>
      <c r="K986">
        <f>IF($A986="","",IFERROR(INDEX('[AQ_2024.xlsx]原始数据'!$C:$C,MATCH($A986,'[AQ_2024.xlsx]原始数据'!$A:$A,0)),""))</f>
        <v/>
      </c>
      <c r="L986">
        <f>IF($A986="","",IFERROR(INDEX('[AQ_2020.xlsx]原始数据'!$D:$D,MATCH($A986,'[AQ_2020.xlsx]原始数据'!$A:$A,0)),""))</f>
        <v/>
      </c>
      <c r="M986">
        <f>IF($A986="","",IFERROR(INDEX('[AQ_2021.xlsx]原始数据'!$D:$D,MATCH($A986,'[AQ_2021.xlsx]原始数据'!$A:$A,0)),""))</f>
        <v/>
      </c>
      <c r="N986">
        <f>IF($A986="","",IFERROR(INDEX('[AQ_2022.xlsx]原始数据'!$D:$D,MATCH($A986,'[AQ_2022.xlsx]原始数据'!$A:$A,0)),""))</f>
        <v/>
      </c>
      <c r="O986">
        <f>IF($A986="","",IFERROR(INDEX('[AQ_2023.xlsx]原始数据'!$D:$D,MATCH($A986,'[AQ_2023.xlsx]原始数据'!$A:$A,0)),""))</f>
        <v/>
      </c>
      <c r="P986">
        <f>IF($A986="","",IFERROR(INDEX('[AQ_2024.xlsx]原始数据'!$D:$D,MATCH($A986,'[AQ_2024.xlsx]原始数据'!$A:$A,0)),""))</f>
        <v/>
      </c>
      <c r="Q986">
        <f>IF($A986="","",IFERROR(INDEX('[AQ_2020.xlsx]原始数据'!$E:$E,MATCH($A986,'[AQ_2020.xlsx]原始数据'!$A:$A,0)),""))</f>
        <v/>
      </c>
      <c r="R986">
        <f>IF($A986="","",IFERROR(INDEX('[AQ_2021.xlsx]原始数据'!$E:$E,MATCH($A986,'[AQ_2021.xlsx]原始数据'!$A:$A,0)),""))</f>
        <v/>
      </c>
      <c r="S986">
        <f>IF($A986="","",IFERROR(INDEX('[AQ_2022.xlsx]原始数据'!$E:$E,MATCH($A986,'[AQ_2022.xlsx]原始数据'!$A:$A,0)),""))</f>
        <v/>
      </c>
      <c r="T986">
        <f>IF($A986="","",IFERROR(INDEX('[AQ_2023.xlsx]原始数据'!$E:$E,MATCH($A986,'[AQ_2023.xlsx]原始数据'!$A:$A,0)),""))</f>
        <v/>
      </c>
      <c r="U986">
        <f>IF($A986="","",IFERROR(INDEX('[AQ_2024.xlsx]原始数据'!$E:$E,MATCH($A986,'[AQ_2024.xlsx]原始数据'!$A:$A,0)),""))</f>
        <v/>
      </c>
      <c r="V986">
        <f>IF($A986="","",IFERROR(INDEX('[AQ_2020.xlsx]原始数据'!$F:$F,MATCH($A986,'[AQ_2020.xlsx]原始数据'!$A:$A,0)),""))</f>
        <v/>
      </c>
      <c r="W986">
        <f>IF($A986="","",IFERROR(INDEX('[AQ_2021.xlsx]原始数据'!$F:$F,MATCH($A986,'[AQ_2021.xlsx]原始数据'!$A:$A,0)),""))</f>
        <v/>
      </c>
      <c r="X986">
        <f>IF($A986="","",IFERROR(INDEX('[AQ_2022.xlsx]原始数据'!$F:$F,MATCH($A986,'[AQ_2022.xlsx]原始数据'!$A:$A,0)),""))</f>
        <v/>
      </c>
      <c r="Y986">
        <f>IF($A986="","",IFERROR(INDEX('[AQ_2023.xlsx]原始数据'!$F:$F,MATCH($A986,'[AQ_2023.xlsx]原始数据'!$A:$A,0)),""))</f>
        <v/>
      </c>
      <c r="Z986">
        <f>IF($A986="","",IFERROR(INDEX('[AQ_2024.xlsx]原始数据'!$F:$F,MATCH($A986,'[AQ_2024.xlsx]原始数据'!$A:$A,0)),""))</f>
        <v/>
      </c>
      <c r="AA986" s="2">
        <f>IFERROR(G986/B986,"")</f>
        <v/>
      </c>
      <c r="AB986" s="2">
        <f>IFERROR(H986/C986,"")</f>
        <v/>
      </c>
      <c r="AC986" s="2">
        <f>IFERROR(I986/D986,"")</f>
        <v/>
      </c>
      <c r="AD986" s="2">
        <f>IFERROR(J986/E986,"")</f>
        <v/>
      </c>
      <c r="AE986" s="2">
        <f>IFERROR(K986/F986,"")</f>
        <v/>
      </c>
      <c r="AF986" s="2">
        <f>IFERROR(L986/B986,"")</f>
        <v/>
      </c>
      <c r="AG986" s="2">
        <f>IFERROR(M986/C986,"")</f>
        <v/>
      </c>
      <c r="AH986" s="2">
        <f>IFERROR(N986/D986,"")</f>
        <v/>
      </c>
      <c r="AI986" s="2">
        <f>IFERROR(O986/E986,"")</f>
        <v/>
      </c>
      <c r="AJ986" s="2">
        <f>IFERROR(P986/F986,"")</f>
        <v/>
      </c>
      <c r="AK986" s="2">
        <f>IFERROR(Q986/B986,"")</f>
        <v/>
      </c>
      <c r="AL986" s="2">
        <f>IFERROR(R986/C986,"")</f>
        <v/>
      </c>
      <c r="AM986" s="2">
        <f>IFERROR(S986/D986,"")</f>
        <v/>
      </c>
      <c r="AN986" s="2">
        <f>IFERROR(T986/E986,"")</f>
        <v/>
      </c>
      <c r="AO986" s="2">
        <f>IFERROR(U986/F986,"")</f>
        <v/>
      </c>
    </row>
    <row r="987">
      <c r="B987">
        <f>IF($A987="","",IFERROR(INDEX('[AQ_2020.xlsx]原始数据'!$B:$B,MATCH($A987,'[AQ_2020.xlsx]原始数据'!$A:$A,0)),""))</f>
        <v/>
      </c>
      <c r="C987">
        <f>IF($A987="","",IFERROR(INDEX('[AQ_2021.xlsx]原始数据'!$B:$B,MATCH($A987,'[AQ_2021.xlsx]原始数据'!$A:$A,0)),""))</f>
        <v/>
      </c>
      <c r="D987">
        <f>IF($A987="","",IFERROR(INDEX('[AQ_2022.xlsx]原始数据'!$B:$B,MATCH($A987,'[AQ_2022.xlsx]原始数据'!$A:$A,0)),""))</f>
        <v/>
      </c>
      <c r="E987">
        <f>IF($A987="","",IFERROR(INDEX('[AQ_2023.xlsx]原始数据'!$B:$B,MATCH($A987,'[AQ_2023.xlsx]原始数据'!$A:$A,0)),""))</f>
        <v/>
      </c>
      <c r="F987">
        <f>IF($A987="","",IFERROR(INDEX('[AQ_2024.xlsx]原始数据'!$B:$B,MATCH($A987,'[AQ_2024.xlsx]原始数据'!$A:$A,0)),""))</f>
        <v/>
      </c>
      <c r="G987">
        <f>IF($A987="","",IFERROR(INDEX('[AQ_2020.xlsx]原始数据'!$C:$C,MATCH($A987,'[AQ_2020.xlsx]原始数据'!$A:$A,0)),""))</f>
        <v/>
      </c>
      <c r="H987">
        <f>IF($A987="","",IFERROR(INDEX('[AQ_2021.xlsx]原始数据'!$C:$C,MATCH($A987,'[AQ_2021.xlsx]原始数据'!$A:$A,0)),""))</f>
        <v/>
      </c>
      <c r="I987">
        <f>IF($A987="","",IFERROR(INDEX('[AQ_2022.xlsx]原始数据'!$C:$C,MATCH($A987,'[AQ_2022.xlsx]原始数据'!$A:$A,0)),""))</f>
        <v/>
      </c>
      <c r="J987">
        <f>IF($A987="","",IFERROR(INDEX('[AQ_2023.xlsx]原始数据'!$C:$C,MATCH($A987,'[AQ_2023.xlsx]原始数据'!$A:$A,0)),""))</f>
        <v/>
      </c>
      <c r="K987">
        <f>IF($A987="","",IFERROR(INDEX('[AQ_2024.xlsx]原始数据'!$C:$C,MATCH($A987,'[AQ_2024.xlsx]原始数据'!$A:$A,0)),""))</f>
        <v/>
      </c>
      <c r="L987">
        <f>IF($A987="","",IFERROR(INDEX('[AQ_2020.xlsx]原始数据'!$D:$D,MATCH($A987,'[AQ_2020.xlsx]原始数据'!$A:$A,0)),""))</f>
        <v/>
      </c>
      <c r="M987">
        <f>IF($A987="","",IFERROR(INDEX('[AQ_2021.xlsx]原始数据'!$D:$D,MATCH($A987,'[AQ_2021.xlsx]原始数据'!$A:$A,0)),""))</f>
        <v/>
      </c>
      <c r="N987">
        <f>IF($A987="","",IFERROR(INDEX('[AQ_2022.xlsx]原始数据'!$D:$D,MATCH($A987,'[AQ_2022.xlsx]原始数据'!$A:$A,0)),""))</f>
        <v/>
      </c>
      <c r="O987">
        <f>IF($A987="","",IFERROR(INDEX('[AQ_2023.xlsx]原始数据'!$D:$D,MATCH($A987,'[AQ_2023.xlsx]原始数据'!$A:$A,0)),""))</f>
        <v/>
      </c>
      <c r="P987">
        <f>IF($A987="","",IFERROR(INDEX('[AQ_2024.xlsx]原始数据'!$D:$D,MATCH($A987,'[AQ_2024.xlsx]原始数据'!$A:$A,0)),""))</f>
        <v/>
      </c>
      <c r="Q987">
        <f>IF($A987="","",IFERROR(INDEX('[AQ_2020.xlsx]原始数据'!$E:$E,MATCH($A987,'[AQ_2020.xlsx]原始数据'!$A:$A,0)),""))</f>
        <v/>
      </c>
      <c r="R987">
        <f>IF($A987="","",IFERROR(INDEX('[AQ_2021.xlsx]原始数据'!$E:$E,MATCH($A987,'[AQ_2021.xlsx]原始数据'!$A:$A,0)),""))</f>
        <v/>
      </c>
      <c r="S987">
        <f>IF($A987="","",IFERROR(INDEX('[AQ_2022.xlsx]原始数据'!$E:$E,MATCH($A987,'[AQ_2022.xlsx]原始数据'!$A:$A,0)),""))</f>
        <v/>
      </c>
      <c r="T987">
        <f>IF($A987="","",IFERROR(INDEX('[AQ_2023.xlsx]原始数据'!$E:$E,MATCH($A987,'[AQ_2023.xlsx]原始数据'!$A:$A,0)),""))</f>
        <v/>
      </c>
      <c r="U987">
        <f>IF($A987="","",IFERROR(INDEX('[AQ_2024.xlsx]原始数据'!$E:$E,MATCH($A987,'[AQ_2024.xlsx]原始数据'!$A:$A,0)),""))</f>
        <v/>
      </c>
      <c r="V987">
        <f>IF($A987="","",IFERROR(INDEX('[AQ_2020.xlsx]原始数据'!$F:$F,MATCH($A987,'[AQ_2020.xlsx]原始数据'!$A:$A,0)),""))</f>
        <v/>
      </c>
      <c r="W987">
        <f>IF($A987="","",IFERROR(INDEX('[AQ_2021.xlsx]原始数据'!$F:$F,MATCH($A987,'[AQ_2021.xlsx]原始数据'!$A:$A,0)),""))</f>
        <v/>
      </c>
      <c r="X987">
        <f>IF($A987="","",IFERROR(INDEX('[AQ_2022.xlsx]原始数据'!$F:$F,MATCH($A987,'[AQ_2022.xlsx]原始数据'!$A:$A,0)),""))</f>
        <v/>
      </c>
      <c r="Y987">
        <f>IF($A987="","",IFERROR(INDEX('[AQ_2023.xlsx]原始数据'!$F:$F,MATCH($A987,'[AQ_2023.xlsx]原始数据'!$A:$A,0)),""))</f>
        <v/>
      </c>
      <c r="Z987">
        <f>IF($A987="","",IFERROR(INDEX('[AQ_2024.xlsx]原始数据'!$F:$F,MATCH($A987,'[AQ_2024.xlsx]原始数据'!$A:$A,0)),""))</f>
        <v/>
      </c>
      <c r="AA987" s="2">
        <f>IFERROR(G987/B987,"")</f>
        <v/>
      </c>
      <c r="AB987" s="2">
        <f>IFERROR(H987/C987,"")</f>
        <v/>
      </c>
      <c r="AC987" s="2">
        <f>IFERROR(I987/D987,"")</f>
        <v/>
      </c>
      <c r="AD987" s="2">
        <f>IFERROR(J987/E987,"")</f>
        <v/>
      </c>
      <c r="AE987" s="2">
        <f>IFERROR(K987/F987,"")</f>
        <v/>
      </c>
      <c r="AF987" s="2">
        <f>IFERROR(L987/B987,"")</f>
        <v/>
      </c>
      <c r="AG987" s="2">
        <f>IFERROR(M987/C987,"")</f>
        <v/>
      </c>
      <c r="AH987" s="2">
        <f>IFERROR(N987/D987,"")</f>
        <v/>
      </c>
      <c r="AI987" s="2">
        <f>IFERROR(O987/E987,"")</f>
        <v/>
      </c>
      <c r="AJ987" s="2">
        <f>IFERROR(P987/F987,"")</f>
        <v/>
      </c>
      <c r="AK987" s="2">
        <f>IFERROR(Q987/B987,"")</f>
        <v/>
      </c>
      <c r="AL987" s="2">
        <f>IFERROR(R987/C987,"")</f>
        <v/>
      </c>
      <c r="AM987" s="2">
        <f>IFERROR(S987/D987,"")</f>
        <v/>
      </c>
      <c r="AN987" s="2">
        <f>IFERROR(T987/E987,"")</f>
        <v/>
      </c>
      <c r="AO987" s="2">
        <f>IFERROR(U987/F987,"")</f>
        <v/>
      </c>
    </row>
    <row r="988">
      <c r="B988">
        <f>IF($A988="","",IFERROR(INDEX('[AQ_2020.xlsx]原始数据'!$B:$B,MATCH($A988,'[AQ_2020.xlsx]原始数据'!$A:$A,0)),""))</f>
        <v/>
      </c>
      <c r="C988">
        <f>IF($A988="","",IFERROR(INDEX('[AQ_2021.xlsx]原始数据'!$B:$B,MATCH($A988,'[AQ_2021.xlsx]原始数据'!$A:$A,0)),""))</f>
        <v/>
      </c>
      <c r="D988">
        <f>IF($A988="","",IFERROR(INDEX('[AQ_2022.xlsx]原始数据'!$B:$B,MATCH($A988,'[AQ_2022.xlsx]原始数据'!$A:$A,0)),""))</f>
        <v/>
      </c>
      <c r="E988">
        <f>IF($A988="","",IFERROR(INDEX('[AQ_2023.xlsx]原始数据'!$B:$B,MATCH($A988,'[AQ_2023.xlsx]原始数据'!$A:$A,0)),""))</f>
        <v/>
      </c>
      <c r="F988">
        <f>IF($A988="","",IFERROR(INDEX('[AQ_2024.xlsx]原始数据'!$B:$B,MATCH($A988,'[AQ_2024.xlsx]原始数据'!$A:$A,0)),""))</f>
        <v/>
      </c>
      <c r="G988">
        <f>IF($A988="","",IFERROR(INDEX('[AQ_2020.xlsx]原始数据'!$C:$C,MATCH($A988,'[AQ_2020.xlsx]原始数据'!$A:$A,0)),""))</f>
        <v/>
      </c>
      <c r="H988">
        <f>IF($A988="","",IFERROR(INDEX('[AQ_2021.xlsx]原始数据'!$C:$C,MATCH($A988,'[AQ_2021.xlsx]原始数据'!$A:$A,0)),""))</f>
        <v/>
      </c>
      <c r="I988">
        <f>IF($A988="","",IFERROR(INDEX('[AQ_2022.xlsx]原始数据'!$C:$C,MATCH($A988,'[AQ_2022.xlsx]原始数据'!$A:$A,0)),""))</f>
        <v/>
      </c>
      <c r="J988">
        <f>IF($A988="","",IFERROR(INDEX('[AQ_2023.xlsx]原始数据'!$C:$C,MATCH($A988,'[AQ_2023.xlsx]原始数据'!$A:$A,0)),""))</f>
        <v/>
      </c>
      <c r="K988">
        <f>IF($A988="","",IFERROR(INDEX('[AQ_2024.xlsx]原始数据'!$C:$C,MATCH($A988,'[AQ_2024.xlsx]原始数据'!$A:$A,0)),""))</f>
        <v/>
      </c>
      <c r="L988">
        <f>IF($A988="","",IFERROR(INDEX('[AQ_2020.xlsx]原始数据'!$D:$D,MATCH($A988,'[AQ_2020.xlsx]原始数据'!$A:$A,0)),""))</f>
        <v/>
      </c>
      <c r="M988">
        <f>IF($A988="","",IFERROR(INDEX('[AQ_2021.xlsx]原始数据'!$D:$D,MATCH($A988,'[AQ_2021.xlsx]原始数据'!$A:$A,0)),""))</f>
        <v/>
      </c>
      <c r="N988">
        <f>IF($A988="","",IFERROR(INDEX('[AQ_2022.xlsx]原始数据'!$D:$D,MATCH($A988,'[AQ_2022.xlsx]原始数据'!$A:$A,0)),""))</f>
        <v/>
      </c>
      <c r="O988">
        <f>IF($A988="","",IFERROR(INDEX('[AQ_2023.xlsx]原始数据'!$D:$D,MATCH($A988,'[AQ_2023.xlsx]原始数据'!$A:$A,0)),""))</f>
        <v/>
      </c>
      <c r="P988">
        <f>IF($A988="","",IFERROR(INDEX('[AQ_2024.xlsx]原始数据'!$D:$D,MATCH($A988,'[AQ_2024.xlsx]原始数据'!$A:$A,0)),""))</f>
        <v/>
      </c>
      <c r="Q988">
        <f>IF($A988="","",IFERROR(INDEX('[AQ_2020.xlsx]原始数据'!$E:$E,MATCH($A988,'[AQ_2020.xlsx]原始数据'!$A:$A,0)),""))</f>
        <v/>
      </c>
      <c r="R988">
        <f>IF($A988="","",IFERROR(INDEX('[AQ_2021.xlsx]原始数据'!$E:$E,MATCH($A988,'[AQ_2021.xlsx]原始数据'!$A:$A,0)),""))</f>
        <v/>
      </c>
      <c r="S988">
        <f>IF($A988="","",IFERROR(INDEX('[AQ_2022.xlsx]原始数据'!$E:$E,MATCH($A988,'[AQ_2022.xlsx]原始数据'!$A:$A,0)),""))</f>
        <v/>
      </c>
      <c r="T988">
        <f>IF($A988="","",IFERROR(INDEX('[AQ_2023.xlsx]原始数据'!$E:$E,MATCH($A988,'[AQ_2023.xlsx]原始数据'!$A:$A,0)),""))</f>
        <v/>
      </c>
      <c r="U988">
        <f>IF($A988="","",IFERROR(INDEX('[AQ_2024.xlsx]原始数据'!$E:$E,MATCH($A988,'[AQ_2024.xlsx]原始数据'!$A:$A,0)),""))</f>
        <v/>
      </c>
      <c r="V988">
        <f>IF($A988="","",IFERROR(INDEX('[AQ_2020.xlsx]原始数据'!$F:$F,MATCH($A988,'[AQ_2020.xlsx]原始数据'!$A:$A,0)),""))</f>
        <v/>
      </c>
      <c r="W988">
        <f>IF($A988="","",IFERROR(INDEX('[AQ_2021.xlsx]原始数据'!$F:$F,MATCH($A988,'[AQ_2021.xlsx]原始数据'!$A:$A,0)),""))</f>
        <v/>
      </c>
      <c r="X988">
        <f>IF($A988="","",IFERROR(INDEX('[AQ_2022.xlsx]原始数据'!$F:$F,MATCH($A988,'[AQ_2022.xlsx]原始数据'!$A:$A,0)),""))</f>
        <v/>
      </c>
      <c r="Y988">
        <f>IF($A988="","",IFERROR(INDEX('[AQ_2023.xlsx]原始数据'!$F:$F,MATCH($A988,'[AQ_2023.xlsx]原始数据'!$A:$A,0)),""))</f>
        <v/>
      </c>
      <c r="Z988">
        <f>IF($A988="","",IFERROR(INDEX('[AQ_2024.xlsx]原始数据'!$F:$F,MATCH($A988,'[AQ_2024.xlsx]原始数据'!$A:$A,0)),""))</f>
        <v/>
      </c>
      <c r="AA988" s="2">
        <f>IFERROR(G988/B988,"")</f>
        <v/>
      </c>
      <c r="AB988" s="2">
        <f>IFERROR(H988/C988,"")</f>
        <v/>
      </c>
      <c r="AC988" s="2">
        <f>IFERROR(I988/D988,"")</f>
        <v/>
      </c>
      <c r="AD988" s="2">
        <f>IFERROR(J988/E988,"")</f>
        <v/>
      </c>
      <c r="AE988" s="2">
        <f>IFERROR(K988/F988,"")</f>
        <v/>
      </c>
      <c r="AF988" s="2">
        <f>IFERROR(L988/B988,"")</f>
        <v/>
      </c>
      <c r="AG988" s="2">
        <f>IFERROR(M988/C988,"")</f>
        <v/>
      </c>
      <c r="AH988" s="2">
        <f>IFERROR(N988/D988,"")</f>
        <v/>
      </c>
      <c r="AI988" s="2">
        <f>IFERROR(O988/E988,"")</f>
        <v/>
      </c>
      <c r="AJ988" s="2">
        <f>IFERROR(P988/F988,"")</f>
        <v/>
      </c>
      <c r="AK988" s="2">
        <f>IFERROR(Q988/B988,"")</f>
        <v/>
      </c>
      <c r="AL988" s="2">
        <f>IFERROR(R988/C988,"")</f>
        <v/>
      </c>
      <c r="AM988" s="2">
        <f>IFERROR(S988/D988,"")</f>
        <v/>
      </c>
      <c r="AN988" s="2">
        <f>IFERROR(T988/E988,"")</f>
        <v/>
      </c>
      <c r="AO988" s="2">
        <f>IFERROR(U988/F988,"")</f>
        <v/>
      </c>
    </row>
    <row r="989">
      <c r="B989">
        <f>IF($A989="","",IFERROR(INDEX('[AQ_2020.xlsx]原始数据'!$B:$B,MATCH($A989,'[AQ_2020.xlsx]原始数据'!$A:$A,0)),""))</f>
        <v/>
      </c>
      <c r="C989">
        <f>IF($A989="","",IFERROR(INDEX('[AQ_2021.xlsx]原始数据'!$B:$B,MATCH($A989,'[AQ_2021.xlsx]原始数据'!$A:$A,0)),""))</f>
        <v/>
      </c>
      <c r="D989">
        <f>IF($A989="","",IFERROR(INDEX('[AQ_2022.xlsx]原始数据'!$B:$B,MATCH($A989,'[AQ_2022.xlsx]原始数据'!$A:$A,0)),""))</f>
        <v/>
      </c>
      <c r="E989">
        <f>IF($A989="","",IFERROR(INDEX('[AQ_2023.xlsx]原始数据'!$B:$B,MATCH($A989,'[AQ_2023.xlsx]原始数据'!$A:$A,0)),""))</f>
        <v/>
      </c>
      <c r="F989">
        <f>IF($A989="","",IFERROR(INDEX('[AQ_2024.xlsx]原始数据'!$B:$B,MATCH($A989,'[AQ_2024.xlsx]原始数据'!$A:$A,0)),""))</f>
        <v/>
      </c>
      <c r="G989">
        <f>IF($A989="","",IFERROR(INDEX('[AQ_2020.xlsx]原始数据'!$C:$C,MATCH($A989,'[AQ_2020.xlsx]原始数据'!$A:$A,0)),""))</f>
        <v/>
      </c>
      <c r="H989">
        <f>IF($A989="","",IFERROR(INDEX('[AQ_2021.xlsx]原始数据'!$C:$C,MATCH($A989,'[AQ_2021.xlsx]原始数据'!$A:$A,0)),""))</f>
        <v/>
      </c>
      <c r="I989">
        <f>IF($A989="","",IFERROR(INDEX('[AQ_2022.xlsx]原始数据'!$C:$C,MATCH($A989,'[AQ_2022.xlsx]原始数据'!$A:$A,0)),""))</f>
        <v/>
      </c>
      <c r="J989">
        <f>IF($A989="","",IFERROR(INDEX('[AQ_2023.xlsx]原始数据'!$C:$C,MATCH($A989,'[AQ_2023.xlsx]原始数据'!$A:$A,0)),""))</f>
        <v/>
      </c>
      <c r="K989">
        <f>IF($A989="","",IFERROR(INDEX('[AQ_2024.xlsx]原始数据'!$C:$C,MATCH($A989,'[AQ_2024.xlsx]原始数据'!$A:$A,0)),""))</f>
        <v/>
      </c>
      <c r="L989">
        <f>IF($A989="","",IFERROR(INDEX('[AQ_2020.xlsx]原始数据'!$D:$D,MATCH($A989,'[AQ_2020.xlsx]原始数据'!$A:$A,0)),""))</f>
        <v/>
      </c>
      <c r="M989">
        <f>IF($A989="","",IFERROR(INDEX('[AQ_2021.xlsx]原始数据'!$D:$D,MATCH($A989,'[AQ_2021.xlsx]原始数据'!$A:$A,0)),""))</f>
        <v/>
      </c>
      <c r="N989">
        <f>IF($A989="","",IFERROR(INDEX('[AQ_2022.xlsx]原始数据'!$D:$D,MATCH($A989,'[AQ_2022.xlsx]原始数据'!$A:$A,0)),""))</f>
        <v/>
      </c>
      <c r="O989">
        <f>IF($A989="","",IFERROR(INDEX('[AQ_2023.xlsx]原始数据'!$D:$D,MATCH($A989,'[AQ_2023.xlsx]原始数据'!$A:$A,0)),""))</f>
        <v/>
      </c>
      <c r="P989">
        <f>IF($A989="","",IFERROR(INDEX('[AQ_2024.xlsx]原始数据'!$D:$D,MATCH($A989,'[AQ_2024.xlsx]原始数据'!$A:$A,0)),""))</f>
        <v/>
      </c>
      <c r="Q989">
        <f>IF($A989="","",IFERROR(INDEX('[AQ_2020.xlsx]原始数据'!$E:$E,MATCH($A989,'[AQ_2020.xlsx]原始数据'!$A:$A,0)),""))</f>
        <v/>
      </c>
      <c r="R989">
        <f>IF($A989="","",IFERROR(INDEX('[AQ_2021.xlsx]原始数据'!$E:$E,MATCH($A989,'[AQ_2021.xlsx]原始数据'!$A:$A,0)),""))</f>
        <v/>
      </c>
      <c r="S989">
        <f>IF($A989="","",IFERROR(INDEX('[AQ_2022.xlsx]原始数据'!$E:$E,MATCH($A989,'[AQ_2022.xlsx]原始数据'!$A:$A,0)),""))</f>
        <v/>
      </c>
      <c r="T989">
        <f>IF($A989="","",IFERROR(INDEX('[AQ_2023.xlsx]原始数据'!$E:$E,MATCH($A989,'[AQ_2023.xlsx]原始数据'!$A:$A,0)),""))</f>
        <v/>
      </c>
      <c r="U989">
        <f>IF($A989="","",IFERROR(INDEX('[AQ_2024.xlsx]原始数据'!$E:$E,MATCH($A989,'[AQ_2024.xlsx]原始数据'!$A:$A,0)),""))</f>
        <v/>
      </c>
      <c r="V989">
        <f>IF($A989="","",IFERROR(INDEX('[AQ_2020.xlsx]原始数据'!$F:$F,MATCH($A989,'[AQ_2020.xlsx]原始数据'!$A:$A,0)),""))</f>
        <v/>
      </c>
      <c r="W989">
        <f>IF($A989="","",IFERROR(INDEX('[AQ_2021.xlsx]原始数据'!$F:$F,MATCH($A989,'[AQ_2021.xlsx]原始数据'!$A:$A,0)),""))</f>
        <v/>
      </c>
      <c r="X989">
        <f>IF($A989="","",IFERROR(INDEX('[AQ_2022.xlsx]原始数据'!$F:$F,MATCH($A989,'[AQ_2022.xlsx]原始数据'!$A:$A,0)),""))</f>
        <v/>
      </c>
      <c r="Y989">
        <f>IF($A989="","",IFERROR(INDEX('[AQ_2023.xlsx]原始数据'!$F:$F,MATCH($A989,'[AQ_2023.xlsx]原始数据'!$A:$A,0)),""))</f>
        <v/>
      </c>
      <c r="Z989">
        <f>IF($A989="","",IFERROR(INDEX('[AQ_2024.xlsx]原始数据'!$F:$F,MATCH($A989,'[AQ_2024.xlsx]原始数据'!$A:$A,0)),""))</f>
        <v/>
      </c>
      <c r="AA989" s="2">
        <f>IFERROR(G989/B989,"")</f>
        <v/>
      </c>
      <c r="AB989" s="2">
        <f>IFERROR(H989/C989,"")</f>
        <v/>
      </c>
      <c r="AC989" s="2">
        <f>IFERROR(I989/D989,"")</f>
        <v/>
      </c>
      <c r="AD989" s="2">
        <f>IFERROR(J989/E989,"")</f>
        <v/>
      </c>
      <c r="AE989" s="2">
        <f>IFERROR(K989/F989,"")</f>
        <v/>
      </c>
      <c r="AF989" s="2">
        <f>IFERROR(L989/B989,"")</f>
        <v/>
      </c>
      <c r="AG989" s="2">
        <f>IFERROR(M989/C989,"")</f>
        <v/>
      </c>
      <c r="AH989" s="2">
        <f>IFERROR(N989/D989,"")</f>
        <v/>
      </c>
      <c r="AI989" s="2">
        <f>IFERROR(O989/E989,"")</f>
        <v/>
      </c>
      <c r="AJ989" s="2">
        <f>IFERROR(P989/F989,"")</f>
        <v/>
      </c>
      <c r="AK989" s="2">
        <f>IFERROR(Q989/B989,"")</f>
        <v/>
      </c>
      <c r="AL989" s="2">
        <f>IFERROR(R989/C989,"")</f>
        <v/>
      </c>
      <c r="AM989" s="2">
        <f>IFERROR(S989/D989,"")</f>
        <v/>
      </c>
      <c r="AN989" s="2">
        <f>IFERROR(T989/E989,"")</f>
        <v/>
      </c>
      <c r="AO989" s="2">
        <f>IFERROR(U989/F989,"")</f>
        <v/>
      </c>
    </row>
    <row r="990">
      <c r="B990">
        <f>IF($A990="","",IFERROR(INDEX('[AQ_2020.xlsx]原始数据'!$B:$B,MATCH($A990,'[AQ_2020.xlsx]原始数据'!$A:$A,0)),""))</f>
        <v/>
      </c>
      <c r="C990">
        <f>IF($A990="","",IFERROR(INDEX('[AQ_2021.xlsx]原始数据'!$B:$B,MATCH($A990,'[AQ_2021.xlsx]原始数据'!$A:$A,0)),""))</f>
        <v/>
      </c>
      <c r="D990">
        <f>IF($A990="","",IFERROR(INDEX('[AQ_2022.xlsx]原始数据'!$B:$B,MATCH($A990,'[AQ_2022.xlsx]原始数据'!$A:$A,0)),""))</f>
        <v/>
      </c>
      <c r="E990">
        <f>IF($A990="","",IFERROR(INDEX('[AQ_2023.xlsx]原始数据'!$B:$B,MATCH($A990,'[AQ_2023.xlsx]原始数据'!$A:$A,0)),""))</f>
        <v/>
      </c>
      <c r="F990">
        <f>IF($A990="","",IFERROR(INDEX('[AQ_2024.xlsx]原始数据'!$B:$B,MATCH($A990,'[AQ_2024.xlsx]原始数据'!$A:$A,0)),""))</f>
        <v/>
      </c>
      <c r="G990">
        <f>IF($A990="","",IFERROR(INDEX('[AQ_2020.xlsx]原始数据'!$C:$C,MATCH($A990,'[AQ_2020.xlsx]原始数据'!$A:$A,0)),""))</f>
        <v/>
      </c>
      <c r="H990">
        <f>IF($A990="","",IFERROR(INDEX('[AQ_2021.xlsx]原始数据'!$C:$C,MATCH($A990,'[AQ_2021.xlsx]原始数据'!$A:$A,0)),""))</f>
        <v/>
      </c>
      <c r="I990">
        <f>IF($A990="","",IFERROR(INDEX('[AQ_2022.xlsx]原始数据'!$C:$C,MATCH($A990,'[AQ_2022.xlsx]原始数据'!$A:$A,0)),""))</f>
        <v/>
      </c>
      <c r="J990">
        <f>IF($A990="","",IFERROR(INDEX('[AQ_2023.xlsx]原始数据'!$C:$C,MATCH($A990,'[AQ_2023.xlsx]原始数据'!$A:$A,0)),""))</f>
        <v/>
      </c>
      <c r="K990">
        <f>IF($A990="","",IFERROR(INDEX('[AQ_2024.xlsx]原始数据'!$C:$C,MATCH($A990,'[AQ_2024.xlsx]原始数据'!$A:$A,0)),""))</f>
        <v/>
      </c>
      <c r="L990">
        <f>IF($A990="","",IFERROR(INDEX('[AQ_2020.xlsx]原始数据'!$D:$D,MATCH($A990,'[AQ_2020.xlsx]原始数据'!$A:$A,0)),""))</f>
        <v/>
      </c>
      <c r="M990">
        <f>IF($A990="","",IFERROR(INDEX('[AQ_2021.xlsx]原始数据'!$D:$D,MATCH($A990,'[AQ_2021.xlsx]原始数据'!$A:$A,0)),""))</f>
        <v/>
      </c>
      <c r="N990">
        <f>IF($A990="","",IFERROR(INDEX('[AQ_2022.xlsx]原始数据'!$D:$D,MATCH($A990,'[AQ_2022.xlsx]原始数据'!$A:$A,0)),""))</f>
        <v/>
      </c>
      <c r="O990">
        <f>IF($A990="","",IFERROR(INDEX('[AQ_2023.xlsx]原始数据'!$D:$D,MATCH($A990,'[AQ_2023.xlsx]原始数据'!$A:$A,0)),""))</f>
        <v/>
      </c>
      <c r="P990">
        <f>IF($A990="","",IFERROR(INDEX('[AQ_2024.xlsx]原始数据'!$D:$D,MATCH($A990,'[AQ_2024.xlsx]原始数据'!$A:$A,0)),""))</f>
        <v/>
      </c>
      <c r="Q990">
        <f>IF($A990="","",IFERROR(INDEX('[AQ_2020.xlsx]原始数据'!$E:$E,MATCH($A990,'[AQ_2020.xlsx]原始数据'!$A:$A,0)),""))</f>
        <v/>
      </c>
      <c r="R990">
        <f>IF($A990="","",IFERROR(INDEX('[AQ_2021.xlsx]原始数据'!$E:$E,MATCH($A990,'[AQ_2021.xlsx]原始数据'!$A:$A,0)),""))</f>
        <v/>
      </c>
      <c r="S990">
        <f>IF($A990="","",IFERROR(INDEX('[AQ_2022.xlsx]原始数据'!$E:$E,MATCH($A990,'[AQ_2022.xlsx]原始数据'!$A:$A,0)),""))</f>
        <v/>
      </c>
      <c r="T990">
        <f>IF($A990="","",IFERROR(INDEX('[AQ_2023.xlsx]原始数据'!$E:$E,MATCH($A990,'[AQ_2023.xlsx]原始数据'!$A:$A,0)),""))</f>
        <v/>
      </c>
      <c r="U990">
        <f>IF($A990="","",IFERROR(INDEX('[AQ_2024.xlsx]原始数据'!$E:$E,MATCH($A990,'[AQ_2024.xlsx]原始数据'!$A:$A,0)),""))</f>
        <v/>
      </c>
      <c r="V990">
        <f>IF($A990="","",IFERROR(INDEX('[AQ_2020.xlsx]原始数据'!$F:$F,MATCH($A990,'[AQ_2020.xlsx]原始数据'!$A:$A,0)),""))</f>
        <v/>
      </c>
      <c r="W990">
        <f>IF($A990="","",IFERROR(INDEX('[AQ_2021.xlsx]原始数据'!$F:$F,MATCH($A990,'[AQ_2021.xlsx]原始数据'!$A:$A,0)),""))</f>
        <v/>
      </c>
      <c r="X990">
        <f>IF($A990="","",IFERROR(INDEX('[AQ_2022.xlsx]原始数据'!$F:$F,MATCH($A990,'[AQ_2022.xlsx]原始数据'!$A:$A,0)),""))</f>
        <v/>
      </c>
      <c r="Y990">
        <f>IF($A990="","",IFERROR(INDEX('[AQ_2023.xlsx]原始数据'!$F:$F,MATCH($A990,'[AQ_2023.xlsx]原始数据'!$A:$A,0)),""))</f>
        <v/>
      </c>
      <c r="Z990">
        <f>IF($A990="","",IFERROR(INDEX('[AQ_2024.xlsx]原始数据'!$F:$F,MATCH($A990,'[AQ_2024.xlsx]原始数据'!$A:$A,0)),""))</f>
        <v/>
      </c>
      <c r="AA990" s="2">
        <f>IFERROR(G990/B990,"")</f>
        <v/>
      </c>
      <c r="AB990" s="2">
        <f>IFERROR(H990/C990,"")</f>
        <v/>
      </c>
      <c r="AC990" s="2">
        <f>IFERROR(I990/D990,"")</f>
        <v/>
      </c>
      <c r="AD990" s="2">
        <f>IFERROR(J990/E990,"")</f>
        <v/>
      </c>
      <c r="AE990" s="2">
        <f>IFERROR(K990/F990,"")</f>
        <v/>
      </c>
      <c r="AF990" s="2">
        <f>IFERROR(L990/B990,"")</f>
        <v/>
      </c>
      <c r="AG990" s="2">
        <f>IFERROR(M990/C990,"")</f>
        <v/>
      </c>
      <c r="AH990" s="2">
        <f>IFERROR(N990/D990,"")</f>
        <v/>
      </c>
      <c r="AI990" s="2">
        <f>IFERROR(O990/E990,"")</f>
        <v/>
      </c>
      <c r="AJ990" s="2">
        <f>IFERROR(P990/F990,"")</f>
        <v/>
      </c>
      <c r="AK990" s="2">
        <f>IFERROR(Q990/B990,"")</f>
        <v/>
      </c>
      <c r="AL990" s="2">
        <f>IFERROR(R990/C990,"")</f>
        <v/>
      </c>
      <c r="AM990" s="2">
        <f>IFERROR(S990/D990,"")</f>
        <v/>
      </c>
      <c r="AN990" s="2">
        <f>IFERROR(T990/E990,"")</f>
        <v/>
      </c>
      <c r="AO990" s="2">
        <f>IFERROR(U990/F990,"")</f>
        <v/>
      </c>
    </row>
    <row r="991">
      <c r="B991">
        <f>IF($A991="","",IFERROR(INDEX('[AQ_2020.xlsx]原始数据'!$B:$B,MATCH($A991,'[AQ_2020.xlsx]原始数据'!$A:$A,0)),""))</f>
        <v/>
      </c>
      <c r="C991">
        <f>IF($A991="","",IFERROR(INDEX('[AQ_2021.xlsx]原始数据'!$B:$B,MATCH($A991,'[AQ_2021.xlsx]原始数据'!$A:$A,0)),""))</f>
        <v/>
      </c>
      <c r="D991">
        <f>IF($A991="","",IFERROR(INDEX('[AQ_2022.xlsx]原始数据'!$B:$B,MATCH($A991,'[AQ_2022.xlsx]原始数据'!$A:$A,0)),""))</f>
        <v/>
      </c>
      <c r="E991">
        <f>IF($A991="","",IFERROR(INDEX('[AQ_2023.xlsx]原始数据'!$B:$B,MATCH($A991,'[AQ_2023.xlsx]原始数据'!$A:$A,0)),""))</f>
        <v/>
      </c>
      <c r="F991">
        <f>IF($A991="","",IFERROR(INDEX('[AQ_2024.xlsx]原始数据'!$B:$B,MATCH($A991,'[AQ_2024.xlsx]原始数据'!$A:$A,0)),""))</f>
        <v/>
      </c>
      <c r="G991">
        <f>IF($A991="","",IFERROR(INDEX('[AQ_2020.xlsx]原始数据'!$C:$C,MATCH($A991,'[AQ_2020.xlsx]原始数据'!$A:$A,0)),""))</f>
        <v/>
      </c>
      <c r="H991">
        <f>IF($A991="","",IFERROR(INDEX('[AQ_2021.xlsx]原始数据'!$C:$C,MATCH($A991,'[AQ_2021.xlsx]原始数据'!$A:$A,0)),""))</f>
        <v/>
      </c>
      <c r="I991">
        <f>IF($A991="","",IFERROR(INDEX('[AQ_2022.xlsx]原始数据'!$C:$C,MATCH($A991,'[AQ_2022.xlsx]原始数据'!$A:$A,0)),""))</f>
        <v/>
      </c>
      <c r="J991">
        <f>IF($A991="","",IFERROR(INDEX('[AQ_2023.xlsx]原始数据'!$C:$C,MATCH($A991,'[AQ_2023.xlsx]原始数据'!$A:$A,0)),""))</f>
        <v/>
      </c>
      <c r="K991">
        <f>IF($A991="","",IFERROR(INDEX('[AQ_2024.xlsx]原始数据'!$C:$C,MATCH($A991,'[AQ_2024.xlsx]原始数据'!$A:$A,0)),""))</f>
        <v/>
      </c>
      <c r="L991">
        <f>IF($A991="","",IFERROR(INDEX('[AQ_2020.xlsx]原始数据'!$D:$D,MATCH($A991,'[AQ_2020.xlsx]原始数据'!$A:$A,0)),""))</f>
        <v/>
      </c>
      <c r="M991">
        <f>IF($A991="","",IFERROR(INDEX('[AQ_2021.xlsx]原始数据'!$D:$D,MATCH($A991,'[AQ_2021.xlsx]原始数据'!$A:$A,0)),""))</f>
        <v/>
      </c>
      <c r="N991">
        <f>IF($A991="","",IFERROR(INDEX('[AQ_2022.xlsx]原始数据'!$D:$D,MATCH($A991,'[AQ_2022.xlsx]原始数据'!$A:$A,0)),""))</f>
        <v/>
      </c>
      <c r="O991">
        <f>IF($A991="","",IFERROR(INDEX('[AQ_2023.xlsx]原始数据'!$D:$D,MATCH($A991,'[AQ_2023.xlsx]原始数据'!$A:$A,0)),""))</f>
        <v/>
      </c>
      <c r="P991">
        <f>IF($A991="","",IFERROR(INDEX('[AQ_2024.xlsx]原始数据'!$D:$D,MATCH($A991,'[AQ_2024.xlsx]原始数据'!$A:$A,0)),""))</f>
        <v/>
      </c>
      <c r="Q991">
        <f>IF($A991="","",IFERROR(INDEX('[AQ_2020.xlsx]原始数据'!$E:$E,MATCH($A991,'[AQ_2020.xlsx]原始数据'!$A:$A,0)),""))</f>
        <v/>
      </c>
      <c r="R991">
        <f>IF($A991="","",IFERROR(INDEX('[AQ_2021.xlsx]原始数据'!$E:$E,MATCH($A991,'[AQ_2021.xlsx]原始数据'!$A:$A,0)),""))</f>
        <v/>
      </c>
      <c r="S991">
        <f>IF($A991="","",IFERROR(INDEX('[AQ_2022.xlsx]原始数据'!$E:$E,MATCH($A991,'[AQ_2022.xlsx]原始数据'!$A:$A,0)),""))</f>
        <v/>
      </c>
      <c r="T991">
        <f>IF($A991="","",IFERROR(INDEX('[AQ_2023.xlsx]原始数据'!$E:$E,MATCH($A991,'[AQ_2023.xlsx]原始数据'!$A:$A,0)),""))</f>
        <v/>
      </c>
      <c r="U991">
        <f>IF($A991="","",IFERROR(INDEX('[AQ_2024.xlsx]原始数据'!$E:$E,MATCH($A991,'[AQ_2024.xlsx]原始数据'!$A:$A,0)),""))</f>
        <v/>
      </c>
      <c r="V991">
        <f>IF($A991="","",IFERROR(INDEX('[AQ_2020.xlsx]原始数据'!$F:$F,MATCH($A991,'[AQ_2020.xlsx]原始数据'!$A:$A,0)),""))</f>
        <v/>
      </c>
      <c r="W991">
        <f>IF($A991="","",IFERROR(INDEX('[AQ_2021.xlsx]原始数据'!$F:$F,MATCH($A991,'[AQ_2021.xlsx]原始数据'!$A:$A,0)),""))</f>
        <v/>
      </c>
      <c r="X991">
        <f>IF($A991="","",IFERROR(INDEX('[AQ_2022.xlsx]原始数据'!$F:$F,MATCH($A991,'[AQ_2022.xlsx]原始数据'!$A:$A,0)),""))</f>
        <v/>
      </c>
      <c r="Y991">
        <f>IF($A991="","",IFERROR(INDEX('[AQ_2023.xlsx]原始数据'!$F:$F,MATCH($A991,'[AQ_2023.xlsx]原始数据'!$A:$A,0)),""))</f>
        <v/>
      </c>
      <c r="Z991">
        <f>IF($A991="","",IFERROR(INDEX('[AQ_2024.xlsx]原始数据'!$F:$F,MATCH($A991,'[AQ_2024.xlsx]原始数据'!$A:$A,0)),""))</f>
        <v/>
      </c>
      <c r="AA991" s="2">
        <f>IFERROR(G991/B991,"")</f>
        <v/>
      </c>
      <c r="AB991" s="2">
        <f>IFERROR(H991/C991,"")</f>
        <v/>
      </c>
      <c r="AC991" s="2">
        <f>IFERROR(I991/D991,"")</f>
        <v/>
      </c>
      <c r="AD991" s="2">
        <f>IFERROR(J991/E991,"")</f>
        <v/>
      </c>
      <c r="AE991" s="2">
        <f>IFERROR(K991/F991,"")</f>
        <v/>
      </c>
      <c r="AF991" s="2">
        <f>IFERROR(L991/B991,"")</f>
        <v/>
      </c>
      <c r="AG991" s="2">
        <f>IFERROR(M991/C991,"")</f>
        <v/>
      </c>
      <c r="AH991" s="2">
        <f>IFERROR(N991/D991,"")</f>
        <v/>
      </c>
      <c r="AI991" s="2">
        <f>IFERROR(O991/E991,"")</f>
        <v/>
      </c>
      <c r="AJ991" s="2">
        <f>IFERROR(P991/F991,"")</f>
        <v/>
      </c>
      <c r="AK991" s="2">
        <f>IFERROR(Q991/B991,"")</f>
        <v/>
      </c>
      <c r="AL991" s="2">
        <f>IFERROR(R991/C991,"")</f>
        <v/>
      </c>
      <c r="AM991" s="2">
        <f>IFERROR(S991/D991,"")</f>
        <v/>
      </c>
      <c r="AN991" s="2">
        <f>IFERROR(T991/E991,"")</f>
        <v/>
      </c>
      <c r="AO991" s="2">
        <f>IFERROR(U991/F991,"")</f>
        <v/>
      </c>
    </row>
    <row r="992">
      <c r="B992">
        <f>IF($A992="","",IFERROR(INDEX('[AQ_2020.xlsx]原始数据'!$B:$B,MATCH($A992,'[AQ_2020.xlsx]原始数据'!$A:$A,0)),""))</f>
        <v/>
      </c>
      <c r="C992">
        <f>IF($A992="","",IFERROR(INDEX('[AQ_2021.xlsx]原始数据'!$B:$B,MATCH($A992,'[AQ_2021.xlsx]原始数据'!$A:$A,0)),""))</f>
        <v/>
      </c>
      <c r="D992">
        <f>IF($A992="","",IFERROR(INDEX('[AQ_2022.xlsx]原始数据'!$B:$B,MATCH($A992,'[AQ_2022.xlsx]原始数据'!$A:$A,0)),""))</f>
        <v/>
      </c>
      <c r="E992">
        <f>IF($A992="","",IFERROR(INDEX('[AQ_2023.xlsx]原始数据'!$B:$B,MATCH($A992,'[AQ_2023.xlsx]原始数据'!$A:$A,0)),""))</f>
        <v/>
      </c>
      <c r="F992">
        <f>IF($A992="","",IFERROR(INDEX('[AQ_2024.xlsx]原始数据'!$B:$B,MATCH($A992,'[AQ_2024.xlsx]原始数据'!$A:$A,0)),""))</f>
        <v/>
      </c>
      <c r="G992">
        <f>IF($A992="","",IFERROR(INDEX('[AQ_2020.xlsx]原始数据'!$C:$C,MATCH($A992,'[AQ_2020.xlsx]原始数据'!$A:$A,0)),""))</f>
        <v/>
      </c>
      <c r="H992">
        <f>IF($A992="","",IFERROR(INDEX('[AQ_2021.xlsx]原始数据'!$C:$C,MATCH($A992,'[AQ_2021.xlsx]原始数据'!$A:$A,0)),""))</f>
        <v/>
      </c>
      <c r="I992">
        <f>IF($A992="","",IFERROR(INDEX('[AQ_2022.xlsx]原始数据'!$C:$C,MATCH($A992,'[AQ_2022.xlsx]原始数据'!$A:$A,0)),""))</f>
        <v/>
      </c>
      <c r="J992">
        <f>IF($A992="","",IFERROR(INDEX('[AQ_2023.xlsx]原始数据'!$C:$C,MATCH($A992,'[AQ_2023.xlsx]原始数据'!$A:$A,0)),""))</f>
        <v/>
      </c>
      <c r="K992">
        <f>IF($A992="","",IFERROR(INDEX('[AQ_2024.xlsx]原始数据'!$C:$C,MATCH($A992,'[AQ_2024.xlsx]原始数据'!$A:$A,0)),""))</f>
        <v/>
      </c>
      <c r="L992">
        <f>IF($A992="","",IFERROR(INDEX('[AQ_2020.xlsx]原始数据'!$D:$D,MATCH($A992,'[AQ_2020.xlsx]原始数据'!$A:$A,0)),""))</f>
        <v/>
      </c>
      <c r="M992">
        <f>IF($A992="","",IFERROR(INDEX('[AQ_2021.xlsx]原始数据'!$D:$D,MATCH($A992,'[AQ_2021.xlsx]原始数据'!$A:$A,0)),""))</f>
        <v/>
      </c>
      <c r="N992">
        <f>IF($A992="","",IFERROR(INDEX('[AQ_2022.xlsx]原始数据'!$D:$D,MATCH($A992,'[AQ_2022.xlsx]原始数据'!$A:$A,0)),""))</f>
        <v/>
      </c>
      <c r="O992">
        <f>IF($A992="","",IFERROR(INDEX('[AQ_2023.xlsx]原始数据'!$D:$D,MATCH($A992,'[AQ_2023.xlsx]原始数据'!$A:$A,0)),""))</f>
        <v/>
      </c>
      <c r="P992">
        <f>IF($A992="","",IFERROR(INDEX('[AQ_2024.xlsx]原始数据'!$D:$D,MATCH($A992,'[AQ_2024.xlsx]原始数据'!$A:$A,0)),""))</f>
        <v/>
      </c>
      <c r="Q992">
        <f>IF($A992="","",IFERROR(INDEX('[AQ_2020.xlsx]原始数据'!$E:$E,MATCH($A992,'[AQ_2020.xlsx]原始数据'!$A:$A,0)),""))</f>
        <v/>
      </c>
      <c r="R992">
        <f>IF($A992="","",IFERROR(INDEX('[AQ_2021.xlsx]原始数据'!$E:$E,MATCH($A992,'[AQ_2021.xlsx]原始数据'!$A:$A,0)),""))</f>
        <v/>
      </c>
      <c r="S992">
        <f>IF($A992="","",IFERROR(INDEX('[AQ_2022.xlsx]原始数据'!$E:$E,MATCH($A992,'[AQ_2022.xlsx]原始数据'!$A:$A,0)),""))</f>
        <v/>
      </c>
      <c r="T992">
        <f>IF($A992="","",IFERROR(INDEX('[AQ_2023.xlsx]原始数据'!$E:$E,MATCH($A992,'[AQ_2023.xlsx]原始数据'!$A:$A,0)),""))</f>
        <v/>
      </c>
      <c r="U992">
        <f>IF($A992="","",IFERROR(INDEX('[AQ_2024.xlsx]原始数据'!$E:$E,MATCH($A992,'[AQ_2024.xlsx]原始数据'!$A:$A,0)),""))</f>
        <v/>
      </c>
      <c r="V992">
        <f>IF($A992="","",IFERROR(INDEX('[AQ_2020.xlsx]原始数据'!$F:$F,MATCH($A992,'[AQ_2020.xlsx]原始数据'!$A:$A,0)),""))</f>
        <v/>
      </c>
      <c r="W992">
        <f>IF($A992="","",IFERROR(INDEX('[AQ_2021.xlsx]原始数据'!$F:$F,MATCH($A992,'[AQ_2021.xlsx]原始数据'!$A:$A,0)),""))</f>
        <v/>
      </c>
      <c r="X992">
        <f>IF($A992="","",IFERROR(INDEX('[AQ_2022.xlsx]原始数据'!$F:$F,MATCH($A992,'[AQ_2022.xlsx]原始数据'!$A:$A,0)),""))</f>
        <v/>
      </c>
      <c r="Y992">
        <f>IF($A992="","",IFERROR(INDEX('[AQ_2023.xlsx]原始数据'!$F:$F,MATCH($A992,'[AQ_2023.xlsx]原始数据'!$A:$A,0)),""))</f>
        <v/>
      </c>
      <c r="Z992">
        <f>IF($A992="","",IFERROR(INDEX('[AQ_2024.xlsx]原始数据'!$F:$F,MATCH($A992,'[AQ_2024.xlsx]原始数据'!$A:$A,0)),""))</f>
        <v/>
      </c>
      <c r="AA992" s="2">
        <f>IFERROR(G992/B992,"")</f>
        <v/>
      </c>
      <c r="AB992" s="2">
        <f>IFERROR(H992/C992,"")</f>
        <v/>
      </c>
      <c r="AC992" s="2">
        <f>IFERROR(I992/D992,"")</f>
        <v/>
      </c>
      <c r="AD992" s="2">
        <f>IFERROR(J992/E992,"")</f>
        <v/>
      </c>
      <c r="AE992" s="2">
        <f>IFERROR(K992/F992,"")</f>
        <v/>
      </c>
      <c r="AF992" s="2">
        <f>IFERROR(L992/B992,"")</f>
        <v/>
      </c>
      <c r="AG992" s="2">
        <f>IFERROR(M992/C992,"")</f>
        <v/>
      </c>
      <c r="AH992" s="2">
        <f>IFERROR(N992/D992,"")</f>
        <v/>
      </c>
      <c r="AI992" s="2">
        <f>IFERROR(O992/E992,"")</f>
        <v/>
      </c>
      <c r="AJ992" s="2">
        <f>IFERROR(P992/F992,"")</f>
        <v/>
      </c>
      <c r="AK992" s="2">
        <f>IFERROR(Q992/B992,"")</f>
        <v/>
      </c>
      <c r="AL992" s="2">
        <f>IFERROR(R992/C992,"")</f>
        <v/>
      </c>
      <c r="AM992" s="2">
        <f>IFERROR(S992/D992,"")</f>
        <v/>
      </c>
      <c r="AN992" s="2">
        <f>IFERROR(T992/E992,"")</f>
        <v/>
      </c>
      <c r="AO992" s="2">
        <f>IFERROR(U992/F992,"")</f>
        <v/>
      </c>
    </row>
    <row r="993">
      <c r="B993">
        <f>IF($A993="","",IFERROR(INDEX('[AQ_2020.xlsx]原始数据'!$B:$B,MATCH($A993,'[AQ_2020.xlsx]原始数据'!$A:$A,0)),""))</f>
        <v/>
      </c>
      <c r="C993">
        <f>IF($A993="","",IFERROR(INDEX('[AQ_2021.xlsx]原始数据'!$B:$B,MATCH($A993,'[AQ_2021.xlsx]原始数据'!$A:$A,0)),""))</f>
        <v/>
      </c>
      <c r="D993">
        <f>IF($A993="","",IFERROR(INDEX('[AQ_2022.xlsx]原始数据'!$B:$B,MATCH($A993,'[AQ_2022.xlsx]原始数据'!$A:$A,0)),""))</f>
        <v/>
      </c>
      <c r="E993">
        <f>IF($A993="","",IFERROR(INDEX('[AQ_2023.xlsx]原始数据'!$B:$B,MATCH($A993,'[AQ_2023.xlsx]原始数据'!$A:$A,0)),""))</f>
        <v/>
      </c>
      <c r="F993">
        <f>IF($A993="","",IFERROR(INDEX('[AQ_2024.xlsx]原始数据'!$B:$B,MATCH($A993,'[AQ_2024.xlsx]原始数据'!$A:$A,0)),""))</f>
        <v/>
      </c>
      <c r="G993">
        <f>IF($A993="","",IFERROR(INDEX('[AQ_2020.xlsx]原始数据'!$C:$C,MATCH($A993,'[AQ_2020.xlsx]原始数据'!$A:$A,0)),""))</f>
        <v/>
      </c>
      <c r="H993">
        <f>IF($A993="","",IFERROR(INDEX('[AQ_2021.xlsx]原始数据'!$C:$C,MATCH($A993,'[AQ_2021.xlsx]原始数据'!$A:$A,0)),""))</f>
        <v/>
      </c>
      <c r="I993">
        <f>IF($A993="","",IFERROR(INDEX('[AQ_2022.xlsx]原始数据'!$C:$C,MATCH($A993,'[AQ_2022.xlsx]原始数据'!$A:$A,0)),""))</f>
        <v/>
      </c>
      <c r="J993">
        <f>IF($A993="","",IFERROR(INDEX('[AQ_2023.xlsx]原始数据'!$C:$C,MATCH($A993,'[AQ_2023.xlsx]原始数据'!$A:$A,0)),""))</f>
        <v/>
      </c>
      <c r="K993">
        <f>IF($A993="","",IFERROR(INDEX('[AQ_2024.xlsx]原始数据'!$C:$C,MATCH($A993,'[AQ_2024.xlsx]原始数据'!$A:$A,0)),""))</f>
        <v/>
      </c>
      <c r="L993">
        <f>IF($A993="","",IFERROR(INDEX('[AQ_2020.xlsx]原始数据'!$D:$D,MATCH($A993,'[AQ_2020.xlsx]原始数据'!$A:$A,0)),""))</f>
        <v/>
      </c>
      <c r="M993">
        <f>IF($A993="","",IFERROR(INDEX('[AQ_2021.xlsx]原始数据'!$D:$D,MATCH($A993,'[AQ_2021.xlsx]原始数据'!$A:$A,0)),""))</f>
        <v/>
      </c>
      <c r="N993">
        <f>IF($A993="","",IFERROR(INDEX('[AQ_2022.xlsx]原始数据'!$D:$D,MATCH($A993,'[AQ_2022.xlsx]原始数据'!$A:$A,0)),""))</f>
        <v/>
      </c>
      <c r="O993">
        <f>IF($A993="","",IFERROR(INDEX('[AQ_2023.xlsx]原始数据'!$D:$D,MATCH($A993,'[AQ_2023.xlsx]原始数据'!$A:$A,0)),""))</f>
        <v/>
      </c>
      <c r="P993">
        <f>IF($A993="","",IFERROR(INDEX('[AQ_2024.xlsx]原始数据'!$D:$D,MATCH($A993,'[AQ_2024.xlsx]原始数据'!$A:$A,0)),""))</f>
        <v/>
      </c>
      <c r="Q993">
        <f>IF($A993="","",IFERROR(INDEX('[AQ_2020.xlsx]原始数据'!$E:$E,MATCH($A993,'[AQ_2020.xlsx]原始数据'!$A:$A,0)),""))</f>
        <v/>
      </c>
      <c r="R993">
        <f>IF($A993="","",IFERROR(INDEX('[AQ_2021.xlsx]原始数据'!$E:$E,MATCH($A993,'[AQ_2021.xlsx]原始数据'!$A:$A,0)),""))</f>
        <v/>
      </c>
      <c r="S993">
        <f>IF($A993="","",IFERROR(INDEX('[AQ_2022.xlsx]原始数据'!$E:$E,MATCH($A993,'[AQ_2022.xlsx]原始数据'!$A:$A,0)),""))</f>
        <v/>
      </c>
      <c r="T993">
        <f>IF($A993="","",IFERROR(INDEX('[AQ_2023.xlsx]原始数据'!$E:$E,MATCH($A993,'[AQ_2023.xlsx]原始数据'!$A:$A,0)),""))</f>
        <v/>
      </c>
      <c r="U993">
        <f>IF($A993="","",IFERROR(INDEX('[AQ_2024.xlsx]原始数据'!$E:$E,MATCH($A993,'[AQ_2024.xlsx]原始数据'!$A:$A,0)),""))</f>
        <v/>
      </c>
      <c r="V993">
        <f>IF($A993="","",IFERROR(INDEX('[AQ_2020.xlsx]原始数据'!$F:$F,MATCH($A993,'[AQ_2020.xlsx]原始数据'!$A:$A,0)),""))</f>
        <v/>
      </c>
      <c r="W993">
        <f>IF($A993="","",IFERROR(INDEX('[AQ_2021.xlsx]原始数据'!$F:$F,MATCH($A993,'[AQ_2021.xlsx]原始数据'!$A:$A,0)),""))</f>
        <v/>
      </c>
      <c r="X993">
        <f>IF($A993="","",IFERROR(INDEX('[AQ_2022.xlsx]原始数据'!$F:$F,MATCH($A993,'[AQ_2022.xlsx]原始数据'!$A:$A,0)),""))</f>
        <v/>
      </c>
      <c r="Y993">
        <f>IF($A993="","",IFERROR(INDEX('[AQ_2023.xlsx]原始数据'!$F:$F,MATCH($A993,'[AQ_2023.xlsx]原始数据'!$A:$A,0)),""))</f>
        <v/>
      </c>
      <c r="Z993">
        <f>IF($A993="","",IFERROR(INDEX('[AQ_2024.xlsx]原始数据'!$F:$F,MATCH($A993,'[AQ_2024.xlsx]原始数据'!$A:$A,0)),""))</f>
        <v/>
      </c>
      <c r="AA993" s="2">
        <f>IFERROR(G993/B993,"")</f>
        <v/>
      </c>
      <c r="AB993" s="2">
        <f>IFERROR(H993/C993,"")</f>
        <v/>
      </c>
      <c r="AC993" s="2">
        <f>IFERROR(I993/D993,"")</f>
        <v/>
      </c>
      <c r="AD993" s="2">
        <f>IFERROR(J993/E993,"")</f>
        <v/>
      </c>
      <c r="AE993" s="2">
        <f>IFERROR(K993/F993,"")</f>
        <v/>
      </c>
      <c r="AF993" s="2">
        <f>IFERROR(L993/B993,"")</f>
        <v/>
      </c>
      <c r="AG993" s="2">
        <f>IFERROR(M993/C993,"")</f>
        <v/>
      </c>
      <c r="AH993" s="2">
        <f>IFERROR(N993/D993,"")</f>
        <v/>
      </c>
      <c r="AI993" s="2">
        <f>IFERROR(O993/E993,"")</f>
        <v/>
      </c>
      <c r="AJ993" s="2">
        <f>IFERROR(P993/F993,"")</f>
        <v/>
      </c>
      <c r="AK993" s="2">
        <f>IFERROR(Q993/B993,"")</f>
        <v/>
      </c>
      <c r="AL993" s="2">
        <f>IFERROR(R993/C993,"")</f>
        <v/>
      </c>
      <c r="AM993" s="2">
        <f>IFERROR(S993/D993,"")</f>
        <v/>
      </c>
      <c r="AN993" s="2">
        <f>IFERROR(T993/E993,"")</f>
        <v/>
      </c>
      <c r="AO993" s="2">
        <f>IFERROR(U993/F993,"")</f>
        <v/>
      </c>
    </row>
    <row r="994">
      <c r="B994">
        <f>IF($A994="","",IFERROR(INDEX('[AQ_2020.xlsx]原始数据'!$B:$B,MATCH($A994,'[AQ_2020.xlsx]原始数据'!$A:$A,0)),""))</f>
        <v/>
      </c>
      <c r="C994">
        <f>IF($A994="","",IFERROR(INDEX('[AQ_2021.xlsx]原始数据'!$B:$B,MATCH($A994,'[AQ_2021.xlsx]原始数据'!$A:$A,0)),""))</f>
        <v/>
      </c>
      <c r="D994">
        <f>IF($A994="","",IFERROR(INDEX('[AQ_2022.xlsx]原始数据'!$B:$B,MATCH($A994,'[AQ_2022.xlsx]原始数据'!$A:$A,0)),""))</f>
        <v/>
      </c>
      <c r="E994">
        <f>IF($A994="","",IFERROR(INDEX('[AQ_2023.xlsx]原始数据'!$B:$B,MATCH($A994,'[AQ_2023.xlsx]原始数据'!$A:$A,0)),""))</f>
        <v/>
      </c>
      <c r="F994">
        <f>IF($A994="","",IFERROR(INDEX('[AQ_2024.xlsx]原始数据'!$B:$B,MATCH($A994,'[AQ_2024.xlsx]原始数据'!$A:$A,0)),""))</f>
        <v/>
      </c>
      <c r="G994">
        <f>IF($A994="","",IFERROR(INDEX('[AQ_2020.xlsx]原始数据'!$C:$C,MATCH($A994,'[AQ_2020.xlsx]原始数据'!$A:$A,0)),""))</f>
        <v/>
      </c>
      <c r="H994">
        <f>IF($A994="","",IFERROR(INDEX('[AQ_2021.xlsx]原始数据'!$C:$C,MATCH($A994,'[AQ_2021.xlsx]原始数据'!$A:$A,0)),""))</f>
        <v/>
      </c>
      <c r="I994">
        <f>IF($A994="","",IFERROR(INDEX('[AQ_2022.xlsx]原始数据'!$C:$C,MATCH($A994,'[AQ_2022.xlsx]原始数据'!$A:$A,0)),""))</f>
        <v/>
      </c>
      <c r="J994">
        <f>IF($A994="","",IFERROR(INDEX('[AQ_2023.xlsx]原始数据'!$C:$C,MATCH($A994,'[AQ_2023.xlsx]原始数据'!$A:$A,0)),""))</f>
        <v/>
      </c>
      <c r="K994">
        <f>IF($A994="","",IFERROR(INDEX('[AQ_2024.xlsx]原始数据'!$C:$C,MATCH($A994,'[AQ_2024.xlsx]原始数据'!$A:$A,0)),""))</f>
        <v/>
      </c>
      <c r="L994">
        <f>IF($A994="","",IFERROR(INDEX('[AQ_2020.xlsx]原始数据'!$D:$D,MATCH($A994,'[AQ_2020.xlsx]原始数据'!$A:$A,0)),""))</f>
        <v/>
      </c>
      <c r="M994">
        <f>IF($A994="","",IFERROR(INDEX('[AQ_2021.xlsx]原始数据'!$D:$D,MATCH($A994,'[AQ_2021.xlsx]原始数据'!$A:$A,0)),""))</f>
        <v/>
      </c>
      <c r="N994">
        <f>IF($A994="","",IFERROR(INDEX('[AQ_2022.xlsx]原始数据'!$D:$D,MATCH($A994,'[AQ_2022.xlsx]原始数据'!$A:$A,0)),""))</f>
        <v/>
      </c>
      <c r="O994">
        <f>IF($A994="","",IFERROR(INDEX('[AQ_2023.xlsx]原始数据'!$D:$D,MATCH($A994,'[AQ_2023.xlsx]原始数据'!$A:$A,0)),""))</f>
        <v/>
      </c>
      <c r="P994">
        <f>IF($A994="","",IFERROR(INDEX('[AQ_2024.xlsx]原始数据'!$D:$D,MATCH($A994,'[AQ_2024.xlsx]原始数据'!$A:$A,0)),""))</f>
        <v/>
      </c>
      <c r="Q994">
        <f>IF($A994="","",IFERROR(INDEX('[AQ_2020.xlsx]原始数据'!$E:$E,MATCH($A994,'[AQ_2020.xlsx]原始数据'!$A:$A,0)),""))</f>
        <v/>
      </c>
      <c r="R994">
        <f>IF($A994="","",IFERROR(INDEX('[AQ_2021.xlsx]原始数据'!$E:$E,MATCH($A994,'[AQ_2021.xlsx]原始数据'!$A:$A,0)),""))</f>
        <v/>
      </c>
      <c r="S994">
        <f>IF($A994="","",IFERROR(INDEX('[AQ_2022.xlsx]原始数据'!$E:$E,MATCH($A994,'[AQ_2022.xlsx]原始数据'!$A:$A,0)),""))</f>
        <v/>
      </c>
      <c r="T994">
        <f>IF($A994="","",IFERROR(INDEX('[AQ_2023.xlsx]原始数据'!$E:$E,MATCH($A994,'[AQ_2023.xlsx]原始数据'!$A:$A,0)),""))</f>
        <v/>
      </c>
      <c r="U994">
        <f>IF($A994="","",IFERROR(INDEX('[AQ_2024.xlsx]原始数据'!$E:$E,MATCH($A994,'[AQ_2024.xlsx]原始数据'!$A:$A,0)),""))</f>
        <v/>
      </c>
      <c r="V994">
        <f>IF($A994="","",IFERROR(INDEX('[AQ_2020.xlsx]原始数据'!$F:$F,MATCH($A994,'[AQ_2020.xlsx]原始数据'!$A:$A,0)),""))</f>
        <v/>
      </c>
      <c r="W994">
        <f>IF($A994="","",IFERROR(INDEX('[AQ_2021.xlsx]原始数据'!$F:$F,MATCH($A994,'[AQ_2021.xlsx]原始数据'!$A:$A,0)),""))</f>
        <v/>
      </c>
      <c r="X994">
        <f>IF($A994="","",IFERROR(INDEX('[AQ_2022.xlsx]原始数据'!$F:$F,MATCH($A994,'[AQ_2022.xlsx]原始数据'!$A:$A,0)),""))</f>
        <v/>
      </c>
      <c r="Y994">
        <f>IF($A994="","",IFERROR(INDEX('[AQ_2023.xlsx]原始数据'!$F:$F,MATCH($A994,'[AQ_2023.xlsx]原始数据'!$A:$A,0)),""))</f>
        <v/>
      </c>
      <c r="Z994">
        <f>IF($A994="","",IFERROR(INDEX('[AQ_2024.xlsx]原始数据'!$F:$F,MATCH($A994,'[AQ_2024.xlsx]原始数据'!$A:$A,0)),""))</f>
        <v/>
      </c>
      <c r="AA994" s="2">
        <f>IFERROR(G994/B994,"")</f>
        <v/>
      </c>
      <c r="AB994" s="2">
        <f>IFERROR(H994/C994,"")</f>
        <v/>
      </c>
      <c r="AC994" s="2">
        <f>IFERROR(I994/D994,"")</f>
        <v/>
      </c>
      <c r="AD994" s="2">
        <f>IFERROR(J994/E994,"")</f>
        <v/>
      </c>
      <c r="AE994" s="2">
        <f>IFERROR(K994/F994,"")</f>
        <v/>
      </c>
      <c r="AF994" s="2">
        <f>IFERROR(L994/B994,"")</f>
        <v/>
      </c>
      <c r="AG994" s="2">
        <f>IFERROR(M994/C994,"")</f>
        <v/>
      </c>
      <c r="AH994" s="2">
        <f>IFERROR(N994/D994,"")</f>
        <v/>
      </c>
      <c r="AI994" s="2">
        <f>IFERROR(O994/E994,"")</f>
        <v/>
      </c>
      <c r="AJ994" s="2">
        <f>IFERROR(P994/F994,"")</f>
        <v/>
      </c>
      <c r="AK994" s="2">
        <f>IFERROR(Q994/B994,"")</f>
        <v/>
      </c>
      <c r="AL994" s="2">
        <f>IFERROR(R994/C994,"")</f>
        <v/>
      </c>
      <c r="AM994" s="2">
        <f>IFERROR(S994/D994,"")</f>
        <v/>
      </c>
      <c r="AN994" s="2">
        <f>IFERROR(T994/E994,"")</f>
        <v/>
      </c>
      <c r="AO994" s="2">
        <f>IFERROR(U994/F994,"")</f>
        <v/>
      </c>
    </row>
    <row r="995">
      <c r="B995">
        <f>IF($A995="","",IFERROR(INDEX('[AQ_2020.xlsx]原始数据'!$B:$B,MATCH($A995,'[AQ_2020.xlsx]原始数据'!$A:$A,0)),""))</f>
        <v/>
      </c>
      <c r="C995">
        <f>IF($A995="","",IFERROR(INDEX('[AQ_2021.xlsx]原始数据'!$B:$B,MATCH($A995,'[AQ_2021.xlsx]原始数据'!$A:$A,0)),""))</f>
        <v/>
      </c>
      <c r="D995">
        <f>IF($A995="","",IFERROR(INDEX('[AQ_2022.xlsx]原始数据'!$B:$B,MATCH($A995,'[AQ_2022.xlsx]原始数据'!$A:$A,0)),""))</f>
        <v/>
      </c>
      <c r="E995">
        <f>IF($A995="","",IFERROR(INDEX('[AQ_2023.xlsx]原始数据'!$B:$B,MATCH($A995,'[AQ_2023.xlsx]原始数据'!$A:$A,0)),""))</f>
        <v/>
      </c>
      <c r="F995">
        <f>IF($A995="","",IFERROR(INDEX('[AQ_2024.xlsx]原始数据'!$B:$B,MATCH($A995,'[AQ_2024.xlsx]原始数据'!$A:$A,0)),""))</f>
        <v/>
      </c>
      <c r="G995">
        <f>IF($A995="","",IFERROR(INDEX('[AQ_2020.xlsx]原始数据'!$C:$C,MATCH($A995,'[AQ_2020.xlsx]原始数据'!$A:$A,0)),""))</f>
        <v/>
      </c>
      <c r="H995">
        <f>IF($A995="","",IFERROR(INDEX('[AQ_2021.xlsx]原始数据'!$C:$C,MATCH($A995,'[AQ_2021.xlsx]原始数据'!$A:$A,0)),""))</f>
        <v/>
      </c>
      <c r="I995">
        <f>IF($A995="","",IFERROR(INDEX('[AQ_2022.xlsx]原始数据'!$C:$C,MATCH($A995,'[AQ_2022.xlsx]原始数据'!$A:$A,0)),""))</f>
        <v/>
      </c>
      <c r="J995">
        <f>IF($A995="","",IFERROR(INDEX('[AQ_2023.xlsx]原始数据'!$C:$C,MATCH($A995,'[AQ_2023.xlsx]原始数据'!$A:$A,0)),""))</f>
        <v/>
      </c>
      <c r="K995">
        <f>IF($A995="","",IFERROR(INDEX('[AQ_2024.xlsx]原始数据'!$C:$C,MATCH($A995,'[AQ_2024.xlsx]原始数据'!$A:$A,0)),""))</f>
        <v/>
      </c>
      <c r="L995">
        <f>IF($A995="","",IFERROR(INDEX('[AQ_2020.xlsx]原始数据'!$D:$D,MATCH($A995,'[AQ_2020.xlsx]原始数据'!$A:$A,0)),""))</f>
        <v/>
      </c>
      <c r="M995">
        <f>IF($A995="","",IFERROR(INDEX('[AQ_2021.xlsx]原始数据'!$D:$D,MATCH($A995,'[AQ_2021.xlsx]原始数据'!$A:$A,0)),""))</f>
        <v/>
      </c>
      <c r="N995">
        <f>IF($A995="","",IFERROR(INDEX('[AQ_2022.xlsx]原始数据'!$D:$D,MATCH($A995,'[AQ_2022.xlsx]原始数据'!$A:$A,0)),""))</f>
        <v/>
      </c>
      <c r="O995">
        <f>IF($A995="","",IFERROR(INDEX('[AQ_2023.xlsx]原始数据'!$D:$D,MATCH($A995,'[AQ_2023.xlsx]原始数据'!$A:$A,0)),""))</f>
        <v/>
      </c>
      <c r="P995">
        <f>IF($A995="","",IFERROR(INDEX('[AQ_2024.xlsx]原始数据'!$D:$D,MATCH($A995,'[AQ_2024.xlsx]原始数据'!$A:$A,0)),""))</f>
        <v/>
      </c>
      <c r="Q995">
        <f>IF($A995="","",IFERROR(INDEX('[AQ_2020.xlsx]原始数据'!$E:$E,MATCH($A995,'[AQ_2020.xlsx]原始数据'!$A:$A,0)),""))</f>
        <v/>
      </c>
      <c r="R995">
        <f>IF($A995="","",IFERROR(INDEX('[AQ_2021.xlsx]原始数据'!$E:$E,MATCH($A995,'[AQ_2021.xlsx]原始数据'!$A:$A,0)),""))</f>
        <v/>
      </c>
      <c r="S995">
        <f>IF($A995="","",IFERROR(INDEX('[AQ_2022.xlsx]原始数据'!$E:$E,MATCH($A995,'[AQ_2022.xlsx]原始数据'!$A:$A,0)),""))</f>
        <v/>
      </c>
      <c r="T995">
        <f>IF($A995="","",IFERROR(INDEX('[AQ_2023.xlsx]原始数据'!$E:$E,MATCH($A995,'[AQ_2023.xlsx]原始数据'!$A:$A,0)),""))</f>
        <v/>
      </c>
      <c r="U995">
        <f>IF($A995="","",IFERROR(INDEX('[AQ_2024.xlsx]原始数据'!$E:$E,MATCH($A995,'[AQ_2024.xlsx]原始数据'!$A:$A,0)),""))</f>
        <v/>
      </c>
      <c r="V995">
        <f>IF($A995="","",IFERROR(INDEX('[AQ_2020.xlsx]原始数据'!$F:$F,MATCH($A995,'[AQ_2020.xlsx]原始数据'!$A:$A,0)),""))</f>
        <v/>
      </c>
      <c r="W995">
        <f>IF($A995="","",IFERROR(INDEX('[AQ_2021.xlsx]原始数据'!$F:$F,MATCH($A995,'[AQ_2021.xlsx]原始数据'!$A:$A,0)),""))</f>
        <v/>
      </c>
      <c r="X995">
        <f>IF($A995="","",IFERROR(INDEX('[AQ_2022.xlsx]原始数据'!$F:$F,MATCH($A995,'[AQ_2022.xlsx]原始数据'!$A:$A,0)),""))</f>
        <v/>
      </c>
      <c r="Y995">
        <f>IF($A995="","",IFERROR(INDEX('[AQ_2023.xlsx]原始数据'!$F:$F,MATCH($A995,'[AQ_2023.xlsx]原始数据'!$A:$A,0)),""))</f>
        <v/>
      </c>
      <c r="Z995">
        <f>IF($A995="","",IFERROR(INDEX('[AQ_2024.xlsx]原始数据'!$F:$F,MATCH($A995,'[AQ_2024.xlsx]原始数据'!$A:$A,0)),""))</f>
        <v/>
      </c>
      <c r="AA995" s="2">
        <f>IFERROR(G995/B995,"")</f>
        <v/>
      </c>
      <c r="AB995" s="2">
        <f>IFERROR(H995/C995,"")</f>
        <v/>
      </c>
      <c r="AC995" s="2">
        <f>IFERROR(I995/D995,"")</f>
        <v/>
      </c>
      <c r="AD995" s="2">
        <f>IFERROR(J995/E995,"")</f>
        <v/>
      </c>
      <c r="AE995" s="2">
        <f>IFERROR(K995/F995,"")</f>
        <v/>
      </c>
      <c r="AF995" s="2">
        <f>IFERROR(L995/B995,"")</f>
        <v/>
      </c>
      <c r="AG995" s="2">
        <f>IFERROR(M995/C995,"")</f>
        <v/>
      </c>
      <c r="AH995" s="2">
        <f>IFERROR(N995/D995,"")</f>
        <v/>
      </c>
      <c r="AI995" s="2">
        <f>IFERROR(O995/E995,"")</f>
        <v/>
      </c>
      <c r="AJ995" s="2">
        <f>IFERROR(P995/F995,"")</f>
        <v/>
      </c>
      <c r="AK995" s="2">
        <f>IFERROR(Q995/B995,"")</f>
        <v/>
      </c>
      <c r="AL995" s="2">
        <f>IFERROR(R995/C995,"")</f>
        <v/>
      </c>
      <c r="AM995" s="2">
        <f>IFERROR(S995/D995,"")</f>
        <v/>
      </c>
      <c r="AN995" s="2">
        <f>IFERROR(T995/E995,"")</f>
        <v/>
      </c>
      <c r="AO995" s="2">
        <f>IFERROR(U995/F995,"")</f>
        <v/>
      </c>
    </row>
    <row r="996">
      <c r="B996">
        <f>IF($A996="","",IFERROR(INDEX('[AQ_2020.xlsx]原始数据'!$B:$B,MATCH($A996,'[AQ_2020.xlsx]原始数据'!$A:$A,0)),""))</f>
        <v/>
      </c>
      <c r="C996">
        <f>IF($A996="","",IFERROR(INDEX('[AQ_2021.xlsx]原始数据'!$B:$B,MATCH($A996,'[AQ_2021.xlsx]原始数据'!$A:$A,0)),""))</f>
        <v/>
      </c>
      <c r="D996">
        <f>IF($A996="","",IFERROR(INDEX('[AQ_2022.xlsx]原始数据'!$B:$B,MATCH($A996,'[AQ_2022.xlsx]原始数据'!$A:$A,0)),""))</f>
        <v/>
      </c>
      <c r="E996">
        <f>IF($A996="","",IFERROR(INDEX('[AQ_2023.xlsx]原始数据'!$B:$B,MATCH($A996,'[AQ_2023.xlsx]原始数据'!$A:$A,0)),""))</f>
        <v/>
      </c>
      <c r="F996">
        <f>IF($A996="","",IFERROR(INDEX('[AQ_2024.xlsx]原始数据'!$B:$B,MATCH($A996,'[AQ_2024.xlsx]原始数据'!$A:$A,0)),""))</f>
        <v/>
      </c>
      <c r="G996">
        <f>IF($A996="","",IFERROR(INDEX('[AQ_2020.xlsx]原始数据'!$C:$C,MATCH($A996,'[AQ_2020.xlsx]原始数据'!$A:$A,0)),""))</f>
        <v/>
      </c>
      <c r="H996">
        <f>IF($A996="","",IFERROR(INDEX('[AQ_2021.xlsx]原始数据'!$C:$C,MATCH($A996,'[AQ_2021.xlsx]原始数据'!$A:$A,0)),""))</f>
        <v/>
      </c>
      <c r="I996">
        <f>IF($A996="","",IFERROR(INDEX('[AQ_2022.xlsx]原始数据'!$C:$C,MATCH($A996,'[AQ_2022.xlsx]原始数据'!$A:$A,0)),""))</f>
        <v/>
      </c>
      <c r="J996">
        <f>IF($A996="","",IFERROR(INDEX('[AQ_2023.xlsx]原始数据'!$C:$C,MATCH($A996,'[AQ_2023.xlsx]原始数据'!$A:$A,0)),""))</f>
        <v/>
      </c>
      <c r="K996">
        <f>IF($A996="","",IFERROR(INDEX('[AQ_2024.xlsx]原始数据'!$C:$C,MATCH($A996,'[AQ_2024.xlsx]原始数据'!$A:$A,0)),""))</f>
        <v/>
      </c>
      <c r="L996">
        <f>IF($A996="","",IFERROR(INDEX('[AQ_2020.xlsx]原始数据'!$D:$D,MATCH($A996,'[AQ_2020.xlsx]原始数据'!$A:$A,0)),""))</f>
        <v/>
      </c>
      <c r="M996">
        <f>IF($A996="","",IFERROR(INDEX('[AQ_2021.xlsx]原始数据'!$D:$D,MATCH($A996,'[AQ_2021.xlsx]原始数据'!$A:$A,0)),""))</f>
        <v/>
      </c>
      <c r="N996">
        <f>IF($A996="","",IFERROR(INDEX('[AQ_2022.xlsx]原始数据'!$D:$D,MATCH($A996,'[AQ_2022.xlsx]原始数据'!$A:$A,0)),""))</f>
        <v/>
      </c>
      <c r="O996">
        <f>IF($A996="","",IFERROR(INDEX('[AQ_2023.xlsx]原始数据'!$D:$D,MATCH($A996,'[AQ_2023.xlsx]原始数据'!$A:$A,0)),""))</f>
        <v/>
      </c>
      <c r="P996">
        <f>IF($A996="","",IFERROR(INDEX('[AQ_2024.xlsx]原始数据'!$D:$D,MATCH($A996,'[AQ_2024.xlsx]原始数据'!$A:$A,0)),""))</f>
        <v/>
      </c>
      <c r="Q996">
        <f>IF($A996="","",IFERROR(INDEX('[AQ_2020.xlsx]原始数据'!$E:$E,MATCH($A996,'[AQ_2020.xlsx]原始数据'!$A:$A,0)),""))</f>
        <v/>
      </c>
      <c r="R996">
        <f>IF($A996="","",IFERROR(INDEX('[AQ_2021.xlsx]原始数据'!$E:$E,MATCH($A996,'[AQ_2021.xlsx]原始数据'!$A:$A,0)),""))</f>
        <v/>
      </c>
      <c r="S996">
        <f>IF($A996="","",IFERROR(INDEX('[AQ_2022.xlsx]原始数据'!$E:$E,MATCH($A996,'[AQ_2022.xlsx]原始数据'!$A:$A,0)),""))</f>
        <v/>
      </c>
      <c r="T996">
        <f>IF($A996="","",IFERROR(INDEX('[AQ_2023.xlsx]原始数据'!$E:$E,MATCH($A996,'[AQ_2023.xlsx]原始数据'!$A:$A,0)),""))</f>
        <v/>
      </c>
      <c r="U996">
        <f>IF($A996="","",IFERROR(INDEX('[AQ_2024.xlsx]原始数据'!$E:$E,MATCH($A996,'[AQ_2024.xlsx]原始数据'!$A:$A,0)),""))</f>
        <v/>
      </c>
      <c r="V996">
        <f>IF($A996="","",IFERROR(INDEX('[AQ_2020.xlsx]原始数据'!$F:$F,MATCH($A996,'[AQ_2020.xlsx]原始数据'!$A:$A,0)),""))</f>
        <v/>
      </c>
      <c r="W996">
        <f>IF($A996="","",IFERROR(INDEX('[AQ_2021.xlsx]原始数据'!$F:$F,MATCH($A996,'[AQ_2021.xlsx]原始数据'!$A:$A,0)),""))</f>
        <v/>
      </c>
      <c r="X996">
        <f>IF($A996="","",IFERROR(INDEX('[AQ_2022.xlsx]原始数据'!$F:$F,MATCH($A996,'[AQ_2022.xlsx]原始数据'!$A:$A,0)),""))</f>
        <v/>
      </c>
      <c r="Y996">
        <f>IF($A996="","",IFERROR(INDEX('[AQ_2023.xlsx]原始数据'!$F:$F,MATCH($A996,'[AQ_2023.xlsx]原始数据'!$A:$A,0)),""))</f>
        <v/>
      </c>
      <c r="Z996">
        <f>IF($A996="","",IFERROR(INDEX('[AQ_2024.xlsx]原始数据'!$F:$F,MATCH($A996,'[AQ_2024.xlsx]原始数据'!$A:$A,0)),""))</f>
        <v/>
      </c>
      <c r="AA996" s="2">
        <f>IFERROR(G996/B996,"")</f>
        <v/>
      </c>
      <c r="AB996" s="2">
        <f>IFERROR(H996/C996,"")</f>
        <v/>
      </c>
      <c r="AC996" s="2">
        <f>IFERROR(I996/D996,"")</f>
        <v/>
      </c>
      <c r="AD996" s="2">
        <f>IFERROR(J996/E996,"")</f>
        <v/>
      </c>
      <c r="AE996" s="2">
        <f>IFERROR(K996/F996,"")</f>
        <v/>
      </c>
      <c r="AF996" s="2">
        <f>IFERROR(L996/B996,"")</f>
        <v/>
      </c>
      <c r="AG996" s="2">
        <f>IFERROR(M996/C996,"")</f>
        <v/>
      </c>
      <c r="AH996" s="2">
        <f>IFERROR(N996/D996,"")</f>
        <v/>
      </c>
      <c r="AI996" s="2">
        <f>IFERROR(O996/E996,"")</f>
        <v/>
      </c>
      <c r="AJ996" s="2">
        <f>IFERROR(P996/F996,"")</f>
        <v/>
      </c>
      <c r="AK996" s="2">
        <f>IFERROR(Q996/B996,"")</f>
        <v/>
      </c>
      <c r="AL996" s="2">
        <f>IFERROR(R996/C996,"")</f>
        <v/>
      </c>
      <c r="AM996" s="2">
        <f>IFERROR(S996/D996,"")</f>
        <v/>
      </c>
      <c r="AN996" s="2">
        <f>IFERROR(T996/E996,"")</f>
        <v/>
      </c>
      <c r="AO996" s="2">
        <f>IFERROR(U996/F996,"")</f>
        <v/>
      </c>
    </row>
    <row r="997">
      <c r="B997">
        <f>IF($A997="","",IFERROR(INDEX('[AQ_2020.xlsx]原始数据'!$B:$B,MATCH($A997,'[AQ_2020.xlsx]原始数据'!$A:$A,0)),""))</f>
        <v/>
      </c>
      <c r="C997">
        <f>IF($A997="","",IFERROR(INDEX('[AQ_2021.xlsx]原始数据'!$B:$B,MATCH($A997,'[AQ_2021.xlsx]原始数据'!$A:$A,0)),""))</f>
        <v/>
      </c>
      <c r="D997">
        <f>IF($A997="","",IFERROR(INDEX('[AQ_2022.xlsx]原始数据'!$B:$B,MATCH($A997,'[AQ_2022.xlsx]原始数据'!$A:$A,0)),""))</f>
        <v/>
      </c>
      <c r="E997">
        <f>IF($A997="","",IFERROR(INDEX('[AQ_2023.xlsx]原始数据'!$B:$B,MATCH($A997,'[AQ_2023.xlsx]原始数据'!$A:$A,0)),""))</f>
        <v/>
      </c>
      <c r="F997">
        <f>IF($A997="","",IFERROR(INDEX('[AQ_2024.xlsx]原始数据'!$B:$B,MATCH($A997,'[AQ_2024.xlsx]原始数据'!$A:$A,0)),""))</f>
        <v/>
      </c>
      <c r="G997">
        <f>IF($A997="","",IFERROR(INDEX('[AQ_2020.xlsx]原始数据'!$C:$C,MATCH($A997,'[AQ_2020.xlsx]原始数据'!$A:$A,0)),""))</f>
        <v/>
      </c>
      <c r="H997">
        <f>IF($A997="","",IFERROR(INDEX('[AQ_2021.xlsx]原始数据'!$C:$C,MATCH($A997,'[AQ_2021.xlsx]原始数据'!$A:$A,0)),""))</f>
        <v/>
      </c>
      <c r="I997">
        <f>IF($A997="","",IFERROR(INDEX('[AQ_2022.xlsx]原始数据'!$C:$C,MATCH($A997,'[AQ_2022.xlsx]原始数据'!$A:$A,0)),""))</f>
        <v/>
      </c>
      <c r="J997">
        <f>IF($A997="","",IFERROR(INDEX('[AQ_2023.xlsx]原始数据'!$C:$C,MATCH($A997,'[AQ_2023.xlsx]原始数据'!$A:$A,0)),""))</f>
        <v/>
      </c>
      <c r="K997">
        <f>IF($A997="","",IFERROR(INDEX('[AQ_2024.xlsx]原始数据'!$C:$C,MATCH($A997,'[AQ_2024.xlsx]原始数据'!$A:$A,0)),""))</f>
        <v/>
      </c>
      <c r="L997">
        <f>IF($A997="","",IFERROR(INDEX('[AQ_2020.xlsx]原始数据'!$D:$D,MATCH($A997,'[AQ_2020.xlsx]原始数据'!$A:$A,0)),""))</f>
        <v/>
      </c>
      <c r="M997">
        <f>IF($A997="","",IFERROR(INDEX('[AQ_2021.xlsx]原始数据'!$D:$D,MATCH($A997,'[AQ_2021.xlsx]原始数据'!$A:$A,0)),""))</f>
        <v/>
      </c>
      <c r="N997">
        <f>IF($A997="","",IFERROR(INDEX('[AQ_2022.xlsx]原始数据'!$D:$D,MATCH($A997,'[AQ_2022.xlsx]原始数据'!$A:$A,0)),""))</f>
        <v/>
      </c>
      <c r="O997">
        <f>IF($A997="","",IFERROR(INDEX('[AQ_2023.xlsx]原始数据'!$D:$D,MATCH($A997,'[AQ_2023.xlsx]原始数据'!$A:$A,0)),""))</f>
        <v/>
      </c>
      <c r="P997">
        <f>IF($A997="","",IFERROR(INDEX('[AQ_2024.xlsx]原始数据'!$D:$D,MATCH($A997,'[AQ_2024.xlsx]原始数据'!$A:$A,0)),""))</f>
        <v/>
      </c>
      <c r="Q997">
        <f>IF($A997="","",IFERROR(INDEX('[AQ_2020.xlsx]原始数据'!$E:$E,MATCH($A997,'[AQ_2020.xlsx]原始数据'!$A:$A,0)),""))</f>
        <v/>
      </c>
      <c r="R997">
        <f>IF($A997="","",IFERROR(INDEX('[AQ_2021.xlsx]原始数据'!$E:$E,MATCH($A997,'[AQ_2021.xlsx]原始数据'!$A:$A,0)),""))</f>
        <v/>
      </c>
      <c r="S997">
        <f>IF($A997="","",IFERROR(INDEX('[AQ_2022.xlsx]原始数据'!$E:$E,MATCH($A997,'[AQ_2022.xlsx]原始数据'!$A:$A,0)),""))</f>
        <v/>
      </c>
      <c r="T997">
        <f>IF($A997="","",IFERROR(INDEX('[AQ_2023.xlsx]原始数据'!$E:$E,MATCH($A997,'[AQ_2023.xlsx]原始数据'!$A:$A,0)),""))</f>
        <v/>
      </c>
      <c r="U997">
        <f>IF($A997="","",IFERROR(INDEX('[AQ_2024.xlsx]原始数据'!$E:$E,MATCH($A997,'[AQ_2024.xlsx]原始数据'!$A:$A,0)),""))</f>
        <v/>
      </c>
      <c r="V997">
        <f>IF($A997="","",IFERROR(INDEX('[AQ_2020.xlsx]原始数据'!$F:$F,MATCH($A997,'[AQ_2020.xlsx]原始数据'!$A:$A,0)),""))</f>
        <v/>
      </c>
      <c r="W997">
        <f>IF($A997="","",IFERROR(INDEX('[AQ_2021.xlsx]原始数据'!$F:$F,MATCH($A997,'[AQ_2021.xlsx]原始数据'!$A:$A,0)),""))</f>
        <v/>
      </c>
      <c r="X997">
        <f>IF($A997="","",IFERROR(INDEX('[AQ_2022.xlsx]原始数据'!$F:$F,MATCH($A997,'[AQ_2022.xlsx]原始数据'!$A:$A,0)),""))</f>
        <v/>
      </c>
      <c r="Y997">
        <f>IF($A997="","",IFERROR(INDEX('[AQ_2023.xlsx]原始数据'!$F:$F,MATCH($A997,'[AQ_2023.xlsx]原始数据'!$A:$A,0)),""))</f>
        <v/>
      </c>
      <c r="Z997">
        <f>IF($A997="","",IFERROR(INDEX('[AQ_2024.xlsx]原始数据'!$F:$F,MATCH($A997,'[AQ_2024.xlsx]原始数据'!$A:$A,0)),""))</f>
        <v/>
      </c>
      <c r="AA997" s="2">
        <f>IFERROR(G997/B997,"")</f>
        <v/>
      </c>
      <c r="AB997" s="2">
        <f>IFERROR(H997/C997,"")</f>
        <v/>
      </c>
      <c r="AC997" s="2">
        <f>IFERROR(I997/D997,"")</f>
        <v/>
      </c>
      <c r="AD997" s="2">
        <f>IFERROR(J997/E997,"")</f>
        <v/>
      </c>
      <c r="AE997" s="2">
        <f>IFERROR(K997/F997,"")</f>
        <v/>
      </c>
      <c r="AF997" s="2">
        <f>IFERROR(L997/B997,"")</f>
        <v/>
      </c>
      <c r="AG997" s="2">
        <f>IFERROR(M997/C997,"")</f>
        <v/>
      </c>
      <c r="AH997" s="2">
        <f>IFERROR(N997/D997,"")</f>
        <v/>
      </c>
      <c r="AI997" s="2">
        <f>IFERROR(O997/E997,"")</f>
        <v/>
      </c>
      <c r="AJ997" s="2">
        <f>IFERROR(P997/F997,"")</f>
        <v/>
      </c>
      <c r="AK997" s="2">
        <f>IFERROR(Q997/B997,"")</f>
        <v/>
      </c>
      <c r="AL997" s="2">
        <f>IFERROR(R997/C997,"")</f>
        <v/>
      </c>
      <c r="AM997" s="2">
        <f>IFERROR(S997/D997,"")</f>
        <v/>
      </c>
      <c r="AN997" s="2">
        <f>IFERROR(T997/E997,"")</f>
        <v/>
      </c>
      <c r="AO997" s="2">
        <f>IFERROR(U997/F997,"")</f>
        <v/>
      </c>
    </row>
    <row r="998">
      <c r="B998">
        <f>IF($A998="","",IFERROR(INDEX('[AQ_2020.xlsx]原始数据'!$B:$B,MATCH($A998,'[AQ_2020.xlsx]原始数据'!$A:$A,0)),""))</f>
        <v/>
      </c>
      <c r="C998">
        <f>IF($A998="","",IFERROR(INDEX('[AQ_2021.xlsx]原始数据'!$B:$B,MATCH($A998,'[AQ_2021.xlsx]原始数据'!$A:$A,0)),""))</f>
        <v/>
      </c>
      <c r="D998">
        <f>IF($A998="","",IFERROR(INDEX('[AQ_2022.xlsx]原始数据'!$B:$B,MATCH($A998,'[AQ_2022.xlsx]原始数据'!$A:$A,0)),""))</f>
        <v/>
      </c>
      <c r="E998">
        <f>IF($A998="","",IFERROR(INDEX('[AQ_2023.xlsx]原始数据'!$B:$B,MATCH($A998,'[AQ_2023.xlsx]原始数据'!$A:$A,0)),""))</f>
        <v/>
      </c>
      <c r="F998">
        <f>IF($A998="","",IFERROR(INDEX('[AQ_2024.xlsx]原始数据'!$B:$B,MATCH($A998,'[AQ_2024.xlsx]原始数据'!$A:$A,0)),""))</f>
        <v/>
      </c>
      <c r="G998">
        <f>IF($A998="","",IFERROR(INDEX('[AQ_2020.xlsx]原始数据'!$C:$C,MATCH($A998,'[AQ_2020.xlsx]原始数据'!$A:$A,0)),""))</f>
        <v/>
      </c>
      <c r="H998">
        <f>IF($A998="","",IFERROR(INDEX('[AQ_2021.xlsx]原始数据'!$C:$C,MATCH($A998,'[AQ_2021.xlsx]原始数据'!$A:$A,0)),""))</f>
        <v/>
      </c>
      <c r="I998">
        <f>IF($A998="","",IFERROR(INDEX('[AQ_2022.xlsx]原始数据'!$C:$C,MATCH($A998,'[AQ_2022.xlsx]原始数据'!$A:$A,0)),""))</f>
        <v/>
      </c>
      <c r="J998">
        <f>IF($A998="","",IFERROR(INDEX('[AQ_2023.xlsx]原始数据'!$C:$C,MATCH($A998,'[AQ_2023.xlsx]原始数据'!$A:$A,0)),""))</f>
        <v/>
      </c>
      <c r="K998">
        <f>IF($A998="","",IFERROR(INDEX('[AQ_2024.xlsx]原始数据'!$C:$C,MATCH($A998,'[AQ_2024.xlsx]原始数据'!$A:$A,0)),""))</f>
        <v/>
      </c>
      <c r="L998">
        <f>IF($A998="","",IFERROR(INDEX('[AQ_2020.xlsx]原始数据'!$D:$D,MATCH($A998,'[AQ_2020.xlsx]原始数据'!$A:$A,0)),""))</f>
        <v/>
      </c>
      <c r="M998">
        <f>IF($A998="","",IFERROR(INDEX('[AQ_2021.xlsx]原始数据'!$D:$D,MATCH($A998,'[AQ_2021.xlsx]原始数据'!$A:$A,0)),""))</f>
        <v/>
      </c>
      <c r="N998">
        <f>IF($A998="","",IFERROR(INDEX('[AQ_2022.xlsx]原始数据'!$D:$D,MATCH($A998,'[AQ_2022.xlsx]原始数据'!$A:$A,0)),""))</f>
        <v/>
      </c>
      <c r="O998">
        <f>IF($A998="","",IFERROR(INDEX('[AQ_2023.xlsx]原始数据'!$D:$D,MATCH($A998,'[AQ_2023.xlsx]原始数据'!$A:$A,0)),""))</f>
        <v/>
      </c>
      <c r="P998">
        <f>IF($A998="","",IFERROR(INDEX('[AQ_2024.xlsx]原始数据'!$D:$D,MATCH($A998,'[AQ_2024.xlsx]原始数据'!$A:$A,0)),""))</f>
        <v/>
      </c>
      <c r="Q998">
        <f>IF($A998="","",IFERROR(INDEX('[AQ_2020.xlsx]原始数据'!$E:$E,MATCH($A998,'[AQ_2020.xlsx]原始数据'!$A:$A,0)),""))</f>
        <v/>
      </c>
      <c r="R998">
        <f>IF($A998="","",IFERROR(INDEX('[AQ_2021.xlsx]原始数据'!$E:$E,MATCH($A998,'[AQ_2021.xlsx]原始数据'!$A:$A,0)),""))</f>
        <v/>
      </c>
      <c r="S998">
        <f>IF($A998="","",IFERROR(INDEX('[AQ_2022.xlsx]原始数据'!$E:$E,MATCH($A998,'[AQ_2022.xlsx]原始数据'!$A:$A,0)),""))</f>
        <v/>
      </c>
      <c r="T998">
        <f>IF($A998="","",IFERROR(INDEX('[AQ_2023.xlsx]原始数据'!$E:$E,MATCH($A998,'[AQ_2023.xlsx]原始数据'!$A:$A,0)),""))</f>
        <v/>
      </c>
      <c r="U998">
        <f>IF($A998="","",IFERROR(INDEX('[AQ_2024.xlsx]原始数据'!$E:$E,MATCH($A998,'[AQ_2024.xlsx]原始数据'!$A:$A,0)),""))</f>
        <v/>
      </c>
      <c r="V998">
        <f>IF($A998="","",IFERROR(INDEX('[AQ_2020.xlsx]原始数据'!$F:$F,MATCH($A998,'[AQ_2020.xlsx]原始数据'!$A:$A,0)),""))</f>
        <v/>
      </c>
      <c r="W998">
        <f>IF($A998="","",IFERROR(INDEX('[AQ_2021.xlsx]原始数据'!$F:$F,MATCH($A998,'[AQ_2021.xlsx]原始数据'!$A:$A,0)),""))</f>
        <v/>
      </c>
      <c r="X998">
        <f>IF($A998="","",IFERROR(INDEX('[AQ_2022.xlsx]原始数据'!$F:$F,MATCH($A998,'[AQ_2022.xlsx]原始数据'!$A:$A,0)),""))</f>
        <v/>
      </c>
      <c r="Y998">
        <f>IF($A998="","",IFERROR(INDEX('[AQ_2023.xlsx]原始数据'!$F:$F,MATCH($A998,'[AQ_2023.xlsx]原始数据'!$A:$A,0)),""))</f>
        <v/>
      </c>
      <c r="Z998">
        <f>IF($A998="","",IFERROR(INDEX('[AQ_2024.xlsx]原始数据'!$F:$F,MATCH($A998,'[AQ_2024.xlsx]原始数据'!$A:$A,0)),""))</f>
        <v/>
      </c>
      <c r="AA998" s="2">
        <f>IFERROR(G998/B998,"")</f>
        <v/>
      </c>
      <c r="AB998" s="2">
        <f>IFERROR(H998/C998,"")</f>
        <v/>
      </c>
      <c r="AC998" s="2">
        <f>IFERROR(I998/D998,"")</f>
        <v/>
      </c>
      <c r="AD998" s="2">
        <f>IFERROR(J998/E998,"")</f>
        <v/>
      </c>
      <c r="AE998" s="2">
        <f>IFERROR(K998/F998,"")</f>
        <v/>
      </c>
      <c r="AF998" s="2">
        <f>IFERROR(L998/B998,"")</f>
        <v/>
      </c>
      <c r="AG998" s="2">
        <f>IFERROR(M998/C998,"")</f>
        <v/>
      </c>
      <c r="AH998" s="2">
        <f>IFERROR(N998/D998,"")</f>
        <v/>
      </c>
      <c r="AI998" s="2">
        <f>IFERROR(O998/E998,"")</f>
        <v/>
      </c>
      <c r="AJ998" s="2">
        <f>IFERROR(P998/F998,"")</f>
        <v/>
      </c>
      <c r="AK998" s="2">
        <f>IFERROR(Q998/B998,"")</f>
        <v/>
      </c>
      <c r="AL998" s="2">
        <f>IFERROR(R998/C998,"")</f>
        <v/>
      </c>
      <c r="AM998" s="2">
        <f>IFERROR(S998/D998,"")</f>
        <v/>
      </c>
      <c r="AN998" s="2">
        <f>IFERROR(T998/E998,"")</f>
        <v/>
      </c>
      <c r="AO998" s="2">
        <f>IFERROR(U998/F998,"")</f>
        <v/>
      </c>
    </row>
    <row r="999">
      <c r="B999">
        <f>IF($A999="","",IFERROR(INDEX('[AQ_2020.xlsx]原始数据'!$B:$B,MATCH($A999,'[AQ_2020.xlsx]原始数据'!$A:$A,0)),""))</f>
        <v/>
      </c>
      <c r="C999">
        <f>IF($A999="","",IFERROR(INDEX('[AQ_2021.xlsx]原始数据'!$B:$B,MATCH($A999,'[AQ_2021.xlsx]原始数据'!$A:$A,0)),""))</f>
        <v/>
      </c>
      <c r="D999">
        <f>IF($A999="","",IFERROR(INDEX('[AQ_2022.xlsx]原始数据'!$B:$B,MATCH($A999,'[AQ_2022.xlsx]原始数据'!$A:$A,0)),""))</f>
        <v/>
      </c>
      <c r="E999">
        <f>IF($A999="","",IFERROR(INDEX('[AQ_2023.xlsx]原始数据'!$B:$B,MATCH($A999,'[AQ_2023.xlsx]原始数据'!$A:$A,0)),""))</f>
        <v/>
      </c>
      <c r="F999">
        <f>IF($A999="","",IFERROR(INDEX('[AQ_2024.xlsx]原始数据'!$B:$B,MATCH($A999,'[AQ_2024.xlsx]原始数据'!$A:$A,0)),""))</f>
        <v/>
      </c>
      <c r="G999">
        <f>IF($A999="","",IFERROR(INDEX('[AQ_2020.xlsx]原始数据'!$C:$C,MATCH($A999,'[AQ_2020.xlsx]原始数据'!$A:$A,0)),""))</f>
        <v/>
      </c>
      <c r="H999">
        <f>IF($A999="","",IFERROR(INDEX('[AQ_2021.xlsx]原始数据'!$C:$C,MATCH($A999,'[AQ_2021.xlsx]原始数据'!$A:$A,0)),""))</f>
        <v/>
      </c>
      <c r="I999">
        <f>IF($A999="","",IFERROR(INDEX('[AQ_2022.xlsx]原始数据'!$C:$C,MATCH($A999,'[AQ_2022.xlsx]原始数据'!$A:$A,0)),""))</f>
        <v/>
      </c>
      <c r="J999">
        <f>IF($A999="","",IFERROR(INDEX('[AQ_2023.xlsx]原始数据'!$C:$C,MATCH($A999,'[AQ_2023.xlsx]原始数据'!$A:$A,0)),""))</f>
        <v/>
      </c>
      <c r="K999">
        <f>IF($A999="","",IFERROR(INDEX('[AQ_2024.xlsx]原始数据'!$C:$C,MATCH($A999,'[AQ_2024.xlsx]原始数据'!$A:$A,0)),""))</f>
        <v/>
      </c>
      <c r="L999">
        <f>IF($A999="","",IFERROR(INDEX('[AQ_2020.xlsx]原始数据'!$D:$D,MATCH($A999,'[AQ_2020.xlsx]原始数据'!$A:$A,0)),""))</f>
        <v/>
      </c>
      <c r="M999">
        <f>IF($A999="","",IFERROR(INDEX('[AQ_2021.xlsx]原始数据'!$D:$D,MATCH($A999,'[AQ_2021.xlsx]原始数据'!$A:$A,0)),""))</f>
        <v/>
      </c>
      <c r="N999">
        <f>IF($A999="","",IFERROR(INDEX('[AQ_2022.xlsx]原始数据'!$D:$D,MATCH($A999,'[AQ_2022.xlsx]原始数据'!$A:$A,0)),""))</f>
        <v/>
      </c>
      <c r="O999">
        <f>IF($A999="","",IFERROR(INDEX('[AQ_2023.xlsx]原始数据'!$D:$D,MATCH($A999,'[AQ_2023.xlsx]原始数据'!$A:$A,0)),""))</f>
        <v/>
      </c>
      <c r="P999">
        <f>IF($A999="","",IFERROR(INDEX('[AQ_2024.xlsx]原始数据'!$D:$D,MATCH($A999,'[AQ_2024.xlsx]原始数据'!$A:$A,0)),""))</f>
        <v/>
      </c>
      <c r="Q999">
        <f>IF($A999="","",IFERROR(INDEX('[AQ_2020.xlsx]原始数据'!$E:$E,MATCH($A999,'[AQ_2020.xlsx]原始数据'!$A:$A,0)),""))</f>
        <v/>
      </c>
      <c r="R999">
        <f>IF($A999="","",IFERROR(INDEX('[AQ_2021.xlsx]原始数据'!$E:$E,MATCH($A999,'[AQ_2021.xlsx]原始数据'!$A:$A,0)),""))</f>
        <v/>
      </c>
      <c r="S999">
        <f>IF($A999="","",IFERROR(INDEX('[AQ_2022.xlsx]原始数据'!$E:$E,MATCH($A999,'[AQ_2022.xlsx]原始数据'!$A:$A,0)),""))</f>
        <v/>
      </c>
      <c r="T999">
        <f>IF($A999="","",IFERROR(INDEX('[AQ_2023.xlsx]原始数据'!$E:$E,MATCH($A999,'[AQ_2023.xlsx]原始数据'!$A:$A,0)),""))</f>
        <v/>
      </c>
      <c r="U999">
        <f>IF($A999="","",IFERROR(INDEX('[AQ_2024.xlsx]原始数据'!$E:$E,MATCH($A999,'[AQ_2024.xlsx]原始数据'!$A:$A,0)),""))</f>
        <v/>
      </c>
      <c r="V999">
        <f>IF($A999="","",IFERROR(INDEX('[AQ_2020.xlsx]原始数据'!$F:$F,MATCH($A999,'[AQ_2020.xlsx]原始数据'!$A:$A,0)),""))</f>
        <v/>
      </c>
      <c r="W999">
        <f>IF($A999="","",IFERROR(INDEX('[AQ_2021.xlsx]原始数据'!$F:$F,MATCH($A999,'[AQ_2021.xlsx]原始数据'!$A:$A,0)),""))</f>
        <v/>
      </c>
      <c r="X999">
        <f>IF($A999="","",IFERROR(INDEX('[AQ_2022.xlsx]原始数据'!$F:$F,MATCH($A999,'[AQ_2022.xlsx]原始数据'!$A:$A,0)),""))</f>
        <v/>
      </c>
      <c r="Y999">
        <f>IF($A999="","",IFERROR(INDEX('[AQ_2023.xlsx]原始数据'!$F:$F,MATCH($A999,'[AQ_2023.xlsx]原始数据'!$A:$A,0)),""))</f>
        <v/>
      </c>
      <c r="Z999">
        <f>IF($A999="","",IFERROR(INDEX('[AQ_2024.xlsx]原始数据'!$F:$F,MATCH($A999,'[AQ_2024.xlsx]原始数据'!$A:$A,0)),""))</f>
        <v/>
      </c>
      <c r="AA999" s="2">
        <f>IFERROR(G999/B999,"")</f>
        <v/>
      </c>
      <c r="AB999" s="2">
        <f>IFERROR(H999/C999,"")</f>
        <v/>
      </c>
      <c r="AC999" s="2">
        <f>IFERROR(I999/D999,"")</f>
        <v/>
      </c>
      <c r="AD999" s="2">
        <f>IFERROR(J999/E999,"")</f>
        <v/>
      </c>
      <c r="AE999" s="2">
        <f>IFERROR(K999/F999,"")</f>
        <v/>
      </c>
      <c r="AF999" s="2">
        <f>IFERROR(L999/B999,"")</f>
        <v/>
      </c>
      <c r="AG999" s="2">
        <f>IFERROR(M999/C999,"")</f>
        <v/>
      </c>
      <c r="AH999" s="2">
        <f>IFERROR(N999/D999,"")</f>
        <v/>
      </c>
      <c r="AI999" s="2">
        <f>IFERROR(O999/E999,"")</f>
        <v/>
      </c>
      <c r="AJ999" s="2">
        <f>IFERROR(P999/F999,"")</f>
        <v/>
      </c>
      <c r="AK999" s="2">
        <f>IFERROR(Q999/B999,"")</f>
        <v/>
      </c>
      <c r="AL999" s="2">
        <f>IFERROR(R999/C999,"")</f>
        <v/>
      </c>
      <c r="AM999" s="2">
        <f>IFERROR(S999/D999,"")</f>
        <v/>
      </c>
      <c r="AN999" s="2">
        <f>IFERROR(T999/E999,"")</f>
        <v/>
      </c>
      <c r="AO999" s="2">
        <f>IFERROR(U999/F999,"")</f>
        <v/>
      </c>
    </row>
    <row r="1000">
      <c r="B1000">
        <f>IF($A1000="","",IFERROR(INDEX('[AQ_2020.xlsx]原始数据'!$B:$B,MATCH($A1000,'[AQ_2020.xlsx]原始数据'!$A:$A,0)),""))</f>
        <v/>
      </c>
      <c r="C1000">
        <f>IF($A1000="","",IFERROR(INDEX('[AQ_2021.xlsx]原始数据'!$B:$B,MATCH($A1000,'[AQ_2021.xlsx]原始数据'!$A:$A,0)),""))</f>
        <v/>
      </c>
      <c r="D1000">
        <f>IF($A1000="","",IFERROR(INDEX('[AQ_2022.xlsx]原始数据'!$B:$B,MATCH($A1000,'[AQ_2022.xlsx]原始数据'!$A:$A,0)),""))</f>
        <v/>
      </c>
      <c r="E1000">
        <f>IF($A1000="","",IFERROR(INDEX('[AQ_2023.xlsx]原始数据'!$B:$B,MATCH($A1000,'[AQ_2023.xlsx]原始数据'!$A:$A,0)),""))</f>
        <v/>
      </c>
      <c r="F1000">
        <f>IF($A1000="","",IFERROR(INDEX('[AQ_2024.xlsx]原始数据'!$B:$B,MATCH($A1000,'[AQ_2024.xlsx]原始数据'!$A:$A,0)),""))</f>
        <v/>
      </c>
      <c r="G1000">
        <f>IF($A1000="","",IFERROR(INDEX('[AQ_2020.xlsx]原始数据'!$C:$C,MATCH($A1000,'[AQ_2020.xlsx]原始数据'!$A:$A,0)),""))</f>
        <v/>
      </c>
      <c r="H1000">
        <f>IF($A1000="","",IFERROR(INDEX('[AQ_2021.xlsx]原始数据'!$C:$C,MATCH($A1000,'[AQ_2021.xlsx]原始数据'!$A:$A,0)),""))</f>
        <v/>
      </c>
      <c r="I1000">
        <f>IF($A1000="","",IFERROR(INDEX('[AQ_2022.xlsx]原始数据'!$C:$C,MATCH($A1000,'[AQ_2022.xlsx]原始数据'!$A:$A,0)),""))</f>
        <v/>
      </c>
      <c r="J1000">
        <f>IF($A1000="","",IFERROR(INDEX('[AQ_2023.xlsx]原始数据'!$C:$C,MATCH($A1000,'[AQ_2023.xlsx]原始数据'!$A:$A,0)),""))</f>
        <v/>
      </c>
      <c r="K1000">
        <f>IF($A1000="","",IFERROR(INDEX('[AQ_2024.xlsx]原始数据'!$C:$C,MATCH($A1000,'[AQ_2024.xlsx]原始数据'!$A:$A,0)),""))</f>
        <v/>
      </c>
      <c r="L1000">
        <f>IF($A1000="","",IFERROR(INDEX('[AQ_2020.xlsx]原始数据'!$D:$D,MATCH($A1000,'[AQ_2020.xlsx]原始数据'!$A:$A,0)),""))</f>
        <v/>
      </c>
      <c r="M1000">
        <f>IF($A1000="","",IFERROR(INDEX('[AQ_2021.xlsx]原始数据'!$D:$D,MATCH($A1000,'[AQ_2021.xlsx]原始数据'!$A:$A,0)),""))</f>
        <v/>
      </c>
      <c r="N1000">
        <f>IF($A1000="","",IFERROR(INDEX('[AQ_2022.xlsx]原始数据'!$D:$D,MATCH($A1000,'[AQ_2022.xlsx]原始数据'!$A:$A,0)),""))</f>
        <v/>
      </c>
      <c r="O1000">
        <f>IF($A1000="","",IFERROR(INDEX('[AQ_2023.xlsx]原始数据'!$D:$D,MATCH($A1000,'[AQ_2023.xlsx]原始数据'!$A:$A,0)),""))</f>
        <v/>
      </c>
      <c r="P1000">
        <f>IF($A1000="","",IFERROR(INDEX('[AQ_2024.xlsx]原始数据'!$D:$D,MATCH($A1000,'[AQ_2024.xlsx]原始数据'!$A:$A,0)),""))</f>
        <v/>
      </c>
      <c r="Q1000">
        <f>IF($A1000="","",IFERROR(INDEX('[AQ_2020.xlsx]原始数据'!$E:$E,MATCH($A1000,'[AQ_2020.xlsx]原始数据'!$A:$A,0)),""))</f>
        <v/>
      </c>
      <c r="R1000">
        <f>IF($A1000="","",IFERROR(INDEX('[AQ_2021.xlsx]原始数据'!$E:$E,MATCH($A1000,'[AQ_2021.xlsx]原始数据'!$A:$A,0)),""))</f>
        <v/>
      </c>
      <c r="S1000">
        <f>IF($A1000="","",IFERROR(INDEX('[AQ_2022.xlsx]原始数据'!$E:$E,MATCH($A1000,'[AQ_2022.xlsx]原始数据'!$A:$A,0)),""))</f>
        <v/>
      </c>
      <c r="T1000">
        <f>IF($A1000="","",IFERROR(INDEX('[AQ_2023.xlsx]原始数据'!$E:$E,MATCH($A1000,'[AQ_2023.xlsx]原始数据'!$A:$A,0)),""))</f>
        <v/>
      </c>
      <c r="U1000">
        <f>IF($A1000="","",IFERROR(INDEX('[AQ_2024.xlsx]原始数据'!$E:$E,MATCH($A1000,'[AQ_2024.xlsx]原始数据'!$A:$A,0)),""))</f>
        <v/>
      </c>
      <c r="V1000">
        <f>IF($A1000="","",IFERROR(INDEX('[AQ_2020.xlsx]原始数据'!$F:$F,MATCH($A1000,'[AQ_2020.xlsx]原始数据'!$A:$A,0)),""))</f>
        <v/>
      </c>
      <c r="W1000">
        <f>IF($A1000="","",IFERROR(INDEX('[AQ_2021.xlsx]原始数据'!$F:$F,MATCH($A1000,'[AQ_2021.xlsx]原始数据'!$A:$A,0)),""))</f>
        <v/>
      </c>
      <c r="X1000">
        <f>IF($A1000="","",IFERROR(INDEX('[AQ_2022.xlsx]原始数据'!$F:$F,MATCH($A1000,'[AQ_2022.xlsx]原始数据'!$A:$A,0)),""))</f>
        <v/>
      </c>
      <c r="Y1000">
        <f>IF($A1000="","",IFERROR(INDEX('[AQ_2023.xlsx]原始数据'!$F:$F,MATCH($A1000,'[AQ_2023.xlsx]原始数据'!$A:$A,0)),""))</f>
        <v/>
      </c>
      <c r="Z1000">
        <f>IF($A1000="","",IFERROR(INDEX('[AQ_2024.xlsx]原始数据'!$F:$F,MATCH($A1000,'[AQ_2024.xlsx]原始数据'!$A:$A,0)),""))</f>
        <v/>
      </c>
      <c r="AA1000" s="2">
        <f>IFERROR(G1000/B1000,"")</f>
        <v/>
      </c>
      <c r="AB1000" s="2">
        <f>IFERROR(H1000/C1000,"")</f>
        <v/>
      </c>
      <c r="AC1000" s="2">
        <f>IFERROR(I1000/D1000,"")</f>
        <v/>
      </c>
      <c r="AD1000" s="2">
        <f>IFERROR(J1000/E1000,"")</f>
        <v/>
      </c>
      <c r="AE1000" s="2">
        <f>IFERROR(K1000/F1000,"")</f>
        <v/>
      </c>
      <c r="AF1000" s="2">
        <f>IFERROR(L1000/B1000,"")</f>
        <v/>
      </c>
      <c r="AG1000" s="2">
        <f>IFERROR(M1000/C1000,"")</f>
        <v/>
      </c>
      <c r="AH1000" s="2">
        <f>IFERROR(N1000/D1000,"")</f>
        <v/>
      </c>
      <c r="AI1000" s="2">
        <f>IFERROR(O1000/E1000,"")</f>
        <v/>
      </c>
      <c r="AJ1000" s="2">
        <f>IFERROR(P1000/F1000,"")</f>
        <v/>
      </c>
      <c r="AK1000" s="2">
        <f>IFERROR(Q1000/B1000,"")</f>
        <v/>
      </c>
      <c r="AL1000" s="2">
        <f>IFERROR(R1000/C1000,"")</f>
        <v/>
      </c>
      <c r="AM1000" s="2">
        <f>IFERROR(S1000/D1000,"")</f>
        <v/>
      </c>
      <c r="AN1000" s="2">
        <f>IFERROR(T1000/E1000,"")</f>
        <v/>
      </c>
      <c r="AO1000" s="2">
        <f>IFERROR(U1000/F1000,"")</f>
        <v/>
      </c>
    </row>
    <row r="1001">
      <c r="B1001">
        <f>IF($A1001="","",IFERROR(INDEX('[AQ_2020.xlsx]原始数据'!$B:$B,MATCH($A1001,'[AQ_2020.xlsx]原始数据'!$A:$A,0)),""))</f>
        <v/>
      </c>
      <c r="C1001">
        <f>IF($A1001="","",IFERROR(INDEX('[AQ_2021.xlsx]原始数据'!$B:$B,MATCH($A1001,'[AQ_2021.xlsx]原始数据'!$A:$A,0)),""))</f>
        <v/>
      </c>
      <c r="D1001">
        <f>IF($A1001="","",IFERROR(INDEX('[AQ_2022.xlsx]原始数据'!$B:$B,MATCH($A1001,'[AQ_2022.xlsx]原始数据'!$A:$A,0)),""))</f>
        <v/>
      </c>
      <c r="E1001">
        <f>IF($A1001="","",IFERROR(INDEX('[AQ_2023.xlsx]原始数据'!$B:$B,MATCH($A1001,'[AQ_2023.xlsx]原始数据'!$A:$A,0)),""))</f>
        <v/>
      </c>
      <c r="F1001">
        <f>IF($A1001="","",IFERROR(INDEX('[AQ_2024.xlsx]原始数据'!$B:$B,MATCH($A1001,'[AQ_2024.xlsx]原始数据'!$A:$A,0)),""))</f>
        <v/>
      </c>
      <c r="G1001">
        <f>IF($A1001="","",IFERROR(INDEX('[AQ_2020.xlsx]原始数据'!$C:$C,MATCH($A1001,'[AQ_2020.xlsx]原始数据'!$A:$A,0)),""))</f>
        <v/>
      </c>
      <c r="H1001">
        <f>IF($A1001="","",IFERROR(INDEX('[AQ_2021.xlsx]原始数据'!$C:$C,MATCH($A1001,'[AQ_2021.xlsx]原始数据'!$A:$A,0)),""))</f>
        <v/>
      </c>
      <c r="I1001">
        <f>IF($A1001="","",IFERROR(INDEX('[AQ_2022.xlsx]原始数据'!$C:$C,MATCH($A1001,'[AQ_2022.xlsx]原始数据'!$A:$A,0)),""))</f>
        <v/>
      </c>
      <c r="J1001">
        <f>IF($A1001="","",IFERROR(INDEX('[AQ_2023.xlsx]原始数据'!$C:$C,MATCH($A1001,'[AQ_2023.xlsx]原始数据'!$A:$A,0)),""))</f>
        <v/>
      </c>
      <c r="K1001">
        <f>IF($A1001="","",IFERROR(INDEX('[AQ_2024.xlsx]原始数据'!$C:$C,MATCH($A1001,'[AQ_2024.xlsx]原始数据'!$A:$A,0)),""))</f>
        <v/>
      </c>
      <c r="L1001">
        <f>IF($A1001="","",IFERROR(INDEX('[AQ_2020.xlsx]原始数据'!$D:$D,MATCH($A1001,'[AQ_2020.xlsx]原始数据'!$A:$A,0)),""))</f>
        <v/>
      </c>
      <c r="M1001">
        <f>IF($A1001="","",IFERROR(INDEX('[AQ_2021.xlsx]原始数据'!$D:$D,MATCH($A1001,'[AQ_2021.xlsx]原始数据'!$A:$A,0)),""))</f>
        <v/>
      </c>
      <c r="N1001">
        <f>IF($A1001="","",IFERROR(INDEX('[AQ_2022.xlsx]原始数据'!$D:$D,MATCH($A1001,'[AQ_2022.xlsx]原始数据'!$A:$A,0)),""))</f>
        <v/>
      </c>
      <c r="O1001">
        <f>IF($A1001="","",IFERROR(INDEX('[AQ_2023.xlsx]原始数据'!$D:$D,MATCH($A1001,'[AQ_2023.xlsx]原始数据'!$A:$A,0)),""))</f>
        <v/>
      </c>
      <c r="P1001">
        <f>IF($A1001="","",IFERROR(INDEX('[AQ_2024.xlsx]原始数据'!$D:$D,MATCH($A1001,'[AQ_2024.xlsx]原始数据'!$A:$A,0)),""))</f>
        <v/>
      </c>
      <c r="Q1001">
        <f>IF($A1001="","",IFERROR(INDEX('[AQ_2020.xlsx]原始数据'!$E:$E,MATCH($A1001,'[AQ_2020.xlsx]原始数据'!$A:$A,0)),""))</f>
        <v/>
      </c>
      <c r="R1001">
        <f>IF($A1001="","",IFERROR(INDEX('[AQ_2021.xlsx]原始数据'!$E:$E,MATCH($A1001,'[AQ_2021.xlsx]原始数据'!$A:$A,0)),""))</f>
        <v/>
      </c>
      <c r="S1001">
        <f>IF($A1001="","",IFERROR(INDEX('[AQ_2022.xlsx]原始数据'!$E:$E,MATCH($A1001,'[AQ_2022.xlsx]原始数据'!$A:$A,0)),""))</f>
        <v/>
      </c>
      <c r="T1001">
        <f>IF($A1001="","",IFERROR(INDEX('[AQ_2023.xlsx]原始数据'!$E:$E,MATCH($A1001,'[AQ_2023.xlsx]原始数据'!$A:$A,0)),""))</f>
        <v/>
      </c>
      <c r="U1001">
        <f>IF($A1001="","",IFERROR(INDEX('[AQ_2024.xlsx]原始数据'!$E:$E,MATCH($A1001,'[AQ_2024.xlsx]原始数据'!$A:$A,0)),""))</f>
        <v/>
      </c>
      <c r="V1001">
        <f>IF($A1001="","",IFERROR(INDEX('[AQ_2020.xlsx]原始数据'!$F:$F,MATCH($A1001,'[AQ_2020.xlsx]原始数据'!$A:$A,0)),""))</f>
        <v/>
      </c>
      <c r="W1001">
        <f>IF($A1001="","",IFERROR(INDEX('[AQ_2021.xlsx]原始数据'!$F:$F,MATCH($A1001,'[AQ_2021.xlsx]原始数据'!$A:$A,0)),""))</f>
        <v/>
      </c>
      <c r="X1001">
        <f>IF($A1001="","",IFERROR(INDEX('[AQ_2022.xlsx]原始数据'!$F:$F,MATCH($A1001,'[AQ_2022.xlsx]原始数据'!$A:$A,0)),""))</f>
        <v/>
      </c>
      <c r="Y1001">
        <f>IF($A1001="","",IFERROR(INDEX('[AQ_2023.xlsx]原始数据'!$F:$F,MATCH($A1001,'[AQ_2023.xlsx]原始数据'!$A:$A,0)),""))</f>
        <v/>
      </c>
      <c r="Z1001">
        <f>IF($A1001="","",IFERROR(INDEX('[AQ_2024.xlsx]原始数据'!$F:$F,MATCH($A1001,'[AQ_2024.xlsx]原始数据'!$A:$A,0)),""))</f>
        <v/>
      </c>
      <c r="AA1001" s="2">
        <f>IFERROR(G1001/B1001,"")</f>
        <v/>
      </c>
      <c r="AB1001" s="2">
        <f>IFERROR(H1001/C1001,"")</f>
        <v/>
      </c>
      <c r="AC1001" s="2">
        <f>IFERROR(I1001/D1001,"")</f>
        <v/>
      </c>
      <c r="AD1001" s="2">
        <f>IFERROR(J1001/E1001,"")</f>
        <v/>
      </c>
      <c r="AE1001" s="2">
        <f>IFERROR(K1001/F1001,"")</f>
        <v/>
      </c>
      <c r="AF1001" s="2">
        <f>IFERROR(L1001/B1001,"")</f>
        <v/>
      </c>
      <c r="AG1001" s="2">
        <f>IFERROR(M1001/C1001,"")</f>
        <v/>
      </c>
      <c r="AH1001" s="2">
        <f>IFERROR(N1001/D1001,"")</f>
        <v/>
      </c>
      <c r="AI1001" s="2">
        <f>IFERROR(O1001/E1001,"")</f>
        <v/>
      </c>
      <c r="AJ1001" s="2">
        <f>IFERROR(P1001/F1001,"")</f>
        <v/>
      </c>
      <c r="AK1001" s="2">
        <f>IFERROR(Q1001/B1001,"")</f>
        <v/>
      </c>
      <c r="AL1001" s="2">
        <f>IFERROR(R1001/C1001,"")</f>
        <v/>
      </c>
      <c r="AM1001" s="2">
        <f>IFERROR(S1001/D1001,"")</f>
        <v/>
      </c>
      <c r="AN1001" s="2">
        <f>IFERROR(T1001/E1001,"")</f>
        <v/>
      </c>
      <c r="AO1001" s="2">
        <f>IFERROR(U1001/F1001,"")</f>
        <v/>
      </c>
    </row>
    <row r="1002">
      <c r="B1002">
        <f>IF($A1002="","",IFERROR(INDEX('[AQ_2020.xlsx]原始数据'!$B:$B,MATCH($A1002,'[AQ_2020.xlsx]原始数据'!$A:$A,0)),""))</f>
        <v/>
      </c>
      <c r="C1002">
        <f>IF($A1002="","",IFERROR(INDEX('[AQ_2021.xlsx]原始数据'!$B:$B,MATCH($A1002,'[AQ_2021.xlsx]原始数据'!$A:$A,0)),""))</f>
        <v/>
      </c>
      <c r="D1002">
        <f>IF($A1002="","",IFERROR(INDEX('[AQ_2022.xlsx]原始数据'!$B:$B,MATCH($A1002,'[AQ_2022.xlsx]原始数据'!$A:$A,0)),""))</f>
        <v/>
      </c>
      <c r="E1002">
        <f>IF($A1002="","",IFERROR(INDEX('[AQ_2023.xlsx]原始数据'!$B:$B,MATCH($A1002,'[AQ_2023.xlsx]原始数据'!$A:$A,0)),""))</f>
        <v/>
      </c>
      <c r="F1002">
        <f>IF($A1002="","",IFERROR(INDEX('[AQ_2024.xlsx]原始数据'!$B:$B,MATCH($A1002,'[AQ_2024.xlsx]原始数据'!$A:$A,0)),""))</f>
        <v/>
      </c>
      <c r="G1002">
        <f>IF($A1002="","",IFERROR(INDEX('[AQ_2020.xlsx]原始数据'!$C:$C,MATCH($A1002,'[AQ_2020.xlsx]原始数据'!$A:$A,0)),""))</f>
        <v/>
      </c>
      <c r="H1002">
        <f>IF($A1002="","",IFERROR(INDEX('[AQ_2021.xlsx]原始数据'!$C:$C,MATCH($A1002,'[AQ_2021.xlsx]原始数据'!$A:$A,0)),""))</f>
        <v/>
      </c>
      <c r="I1002">
        <f>IF($A1002="","",IFERROR(INDEX('[AQ_2022.xlsx]原始数据'!$C:$C,MATCH($A1002,'[AQ_2022.xlsx]原始数据'!$A:$A,0)),""))</f>
        <v/>
      </c>
      <c r="J1002">
        <f>IF($A1002="","",IFERROR(INDEX('[AQ_2023.xlsx]原始数据'!$C:$C,MATCH($A1002,'[AQ_2023.xlsx]原始数据'!$A:$A,0)),""))</f>
        <v/>
      </c>
      <c r="K1002">
        <f>IF($A1002="","",IFERROR(INDEX('[AQ_2024.xlsx]原始数据'!$C:$C,MATCH($A1002,'[AQ_2024.xlsx]原始数据'!$A:$A,0)),""))</f>
        <v/>
      </c>
      <c r="L1002">
        <f>IF($A1002="","",IFERROR(INDEX('[AQ_2020.xlsx]原始数据'!$D:$D,MATCH($A1002,'[AQ_2020.xlsx]原始数据'!$A:$A,0)),""))</f>
        <v/>
      </c>
      <c r="M1002">
        <f>IF($A1002="","",IFERROR(INDEX('[AQ_2021.xlsx]原始数据'!$D:$D,MATCH($A1002,'[AQ_2021.xlsx]原始数据'!$A:$A,0)),""))</f>
        <v/>
      </c>
      <c r="N1002">
        <f>IF($A1002="","",IFERROR(INDEX('[AQ_2022.xlsx]原始数据'!$D:$D,MATCH($A1002,'[AQ_2022.xlsx]原始数据'!$A:$A,0)),""))</f>
        <v/>
      </c>
      <c r="O1002">
        <f>IF($A1002="","",IFERROR(INDEX('[AQ_2023.xlsx]原始数据'!$D:$D,MATCH($A1002,'[AQ_2023.xlsx]原始数据'!$A:$A,0)),""))</f>
        <v/>
      </c>
      <c r="P1002">
        <f>IF($A1002="","",IFERROR(INDEX('[AQ_2024.xlsx]原始数据'!$D:$D,MATCH($A1002,'[AQ_2024.xlsx]原始数据'!$A:$A,0)),""))</f>
        <v/>
      </c>
      <c r="Q1002">
        <f>IF($A1002="","",IFERROR(INDEX('[AQ_2020.xlsx]原始数据'!$E:$E,MATCH($A1002,'[AQ_2020.xlsx]原始数据'!$A:$A,0)),""))</f>
        <v/>
      </c>
      <c r="R1002">
        <f>IF($A1002="","",IFERROR(INDEX('[AQ_2021.xlsx]原始数据'!$E:$E,MATCH($A1002,'[AQ_2021.xlsx]原始数据'!$A:$A,0)),""))</f>
        <v/>
      </c>
      <c r="S1002">
        <f>IF($A1002="","",IFERROR(INDEX('[AQ_2022.xlsx]原始数据'!$E:$E,MATCH($A1002,'[AQ_2022.xlsx]原始数据'!$A:$A,0)),""))</f>
        <v/>
      </c>
      <c r="T1002">
        <f>IF($A1002="","",IFERROR(INDEX('[AQ_2023.xlsx]原始数据'!$E:$E,MATCH($A1002,'[AQ_2023.xlsx]原始数据'!$A:$A,0)),""))</f>
        <v/>
      </c>
      <c r="U1002">
        <f>IF($A1002="","",IFERROR(INDEX('[AQ_2024.xlsx]原始数据'!$E:$E,MATCH($A1002,'[AQ_2024.xlsx]原始数据'!$A:$A,0)),""))</f>
        <v/>
      </c>
      <c r="V1002">
        <f>IF($A1002="","",IFERROR(INDEX('[AQ_2020.xlsx]原始数据'!$F:$F,MATCH($A1002,'[AQ_2020.xlsx]原始数据'!$A:$A,0)),""))</f>
        <v/>
      </c>
      <c r="W1002">
        <f>IF($A1002="","",IFERROR(INDEX('[AQ_2021.xlsx]原始数据'!$F:$F,MATCH($A1002,'[AQ_2021.xlsx]原始数据'!$A:$A,0)),""))</f>
        <v/>
      </c>
      <c r="X1002">
        <f>IF($A1002="","",IFERROR(INDEX('[AQ_2022.xlsx]原始数据'!$F:$F,MATCH($A1002,'[AQ_2022.xlsx]原始数据'!$A:$A,0)),""))</f>
        <v/>
      </c>
      <c r="Y1002">
        <f>IF($A1002="","",IFERROR(INDEX('[AQ_2023.xlsx]原始数据'!$F:$F,MATCH($A1002,'[AQ_2023.xlsx]原始数据'!$A:$A,0)),""))</f>
        <v/>
      </c>
      <c r="Z1002">
        <f>IF($A1002="","",IFERROR(INDEX('[AQ_2024.xlsx]原始数据'!$F:$F,MATCH($A1002,'[AQ_2024.xlsx]原始数据'!$A:$A,0)),""))</f>
        <v/>
      </c>
      <c r="AA1002" s="2">
        <f>IFERROR(G1002/B1002,"")</f>
        <v/>
      </c>
      <c r="AB1002" s="2">
        <f>IFERROR(H1002/C1002,"")</f>
        <v/>
      </c>
      <c r="AC1002" s="2">
        <f>IFERROR(I1002/D1002,"")</f>
        <v/>
      </c>
      <c r="AD1002" s="2">
        <f>IFERROR(J1002/E1002,"")</f>
        <v/>
      </c>
      <c r="AE1002" s="2">
        <f>IFERROR(K1002/F1002,"")</f>
        <v/>
      </c>
      <c r="AF1002" s="2">
        <f>IFERROR(L1002/B1002,"")</f>
        <v/>
      </c>
      <c r="AG1002" s="2">
        <f>IFERROR(M1002/C1002,"")</f>
        <v/>
      </c>
      <c r="AH1002" s="2">
        <f>IFERROR(N1002/D1002,"")</f>
        <v/>
      </c>
      <c r="AI1002" s="2">
        <f>IFERROR(O1002/E1002,"")</f>
        <v/>
      </c>
      <c r="AJ1002" s="2">
        <f>IFERROR(P1002/F1002,"")</f>
        <v/>
      </c>
      <c r="AK1002" s="2">
        <f>IFERROR(Q1002/B1002,"")</f>
        <v/>
      </c>
      <c r="AL1002" s="2">
        <f>IFERROR(R1002/C1002,"")</f>
        <v/>
      </c>
      <c r="AM1002" s="2">
        <f>IFERROR(S1002/D1002,"")</f>
        <v/>
      </c>
      <c r="AN1002" s="2">
        <f>IFERROR(T1002/E1002,"")</f>
        <v/>
      </c>
      <c r="AO1002" s="2">
        <f>IFERROR(U1002/F1002,"")</f>
        <v/>
      </c>
    </row>
  </sheetData>
  <mergeCells count="8">
    <mergeCell ref="V1:Z1"/>
    <mergeCell ref="Q1:U1"/>
    <mergeCell ref="AF1:AJ1"/>
    <mergeCell ref="L1:P1"/>
    <mergeCell ref="AA1:AE1"/>
    <mergeCell ref="G1:K1"/>
    <mergeCell ref="AK1:AO1"/>
    <mergeCell ref="B1:F1"/>
  </mergeCells>
  <dataValidations count="1">
    <dataValidation sqref="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showDropDown="1" showInputMessage="0" showErrorMessage="0" allowBlank="1" type="list">
      <formula1>=辅助!$G$2:$G$5001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t="inlineStr">
        <is>
          <t>指标/年份</t>
        </is>
      </c>
      <c r="B1" t="inlineStr">
        <is>
          <t>2020</t>
        </is>
      </c>
      <c r="C1" t="inlineStr">
        <is>
          <t>2021</t>
        </is>
      </c>
      <c r="D1" t="inlineStr">
        <is>
          <t>2022</t>
        </is>
      </c>
      <c r="E1" t="inlineStr">
        <is>
          <t>2023</t>
        </is>
      </c>
      <c r="F1" t="inlineStr">
        <is>
          <t>2024</t>
        </is>
      </c>
    </row>
    <row r="2">
      <c r="A2" t="inlineStr">
        <is>
          <t>贷款总额-合计</t>
        </is>
      </c>
      <c r="B2">
        <f>SUM('汇总_兼容版'!$B$3:$B$1002)</f>
        <v/>
      </c>
      <c r="C2">
        <f>SUM('汇总_兼容版'!$C$3:$C$1002)</f>
        <v/>
      </c>
      <c r="D2">
        <f>SUM('汇总_兼容版'!$D$3:$D$1002)</f>
        <v/>
      </c>
      <c r="E2">
        <f>SUM('汇总_兼容版'!$E$3:$E$1002)</f>
        <v/>
      </c>
      <c r="F2">
        <f>SUM('汇总_兼容版'!$F$3:$F$1002)</f>
        <v/>
      </c>
    </row>
    <row r="3">
      <c r="A3" t="inlineStr">
        <is>
          <t>逾期-合计</t>
        </is>
      </c>
      <c r="B3">
        <f>SUM('汇总_兼容版'!$G$3:$G$1002)</f>
        <v/>
      </c>
      <c r="C3">
        <f>SUM('汇总_兼容版'!$H$3:$H$1002)</f>
        <v/>
      </c>
      <c r="D3">
        <f>SUM('汇总_兼容版'!$I$3:$I$1002)</f>
        <v/>
      </c>
      <c r="E3">
        <f>SUM('汇总_兼容版'!$J$3:$J$1002)</f>
        <v/>
      </c>
      <c r="F3">
        <f>SUM('汇总_兼容版'!$K$3:$K$1002)</f>
        <v/>
      </c>
    </row>
    <row r="4">
      <c r="A4" t="inlineStr">
        <is>
          <t>不良-合计</t>
        </is>
      </c>
      <c r="B4">
        <f>SUM('汇总_兼容版'!$L$3:$L$1002)</f>
        <v/>
      </c>
      <c r="C4">
        <f>SUM('汇总_兼容版'!$M$3:$M$1002)</f>
        <v/>
      </c>
      <c r="D4">
        <f>SUM('汇总_兼容版'!$N$3:$N$1002)</f>
        <v/>
      </c>
      <c r="E4">
        <f>SUM('汇总_兼容版'!$O$3:$O$1002)</f>
        <v/>
      </c>
      <c r="F4">
        <f>SUM('汇总_兼容版'!$P$3:$P$1002)</f>
        <v/>
      </c>
    </row>
    <row r="5">
      <c r="A5" t="inlineStr">
        <is>
          <t>关注-合计</t>
        </is>
      </c>
      <c r="B5">
        <f>SUM('汇总_兼容版'!$Q$3:$Q$1002)</f>
        <v/>
      </c>
      <c r="C5">
        <f>SUM('汇总_兼容版'!$R$3:$R$1002)</f>
        <v/>
      </c>
      <c r="D5">
        <f>SUM('汇总_兼容版'!$S$3:$S$1002)</f>
        <v/>
      </c>
      <c r="E5">
        <f>SUM('汇总_兼容版'!$T$3:$T$1002)</f>
        <v/>
      </c>
      <c r="F5">
        <f>SUM('汇总_兼容版'!$U$3:$U$1002)</f>
        <v/>
      </c>
    </row>
    <row r="6">
      <c r="A6" t="inlineStr">
        <is>
          <t>新发生不良-合计</t>
        </is>
      </c>
      <c r="B6">
        <f>SUM('汇总_兼容版'!$V$3:$V$1002)</f>
        <v/>
      </c>
      <c r="C6">
        <f>SUM('汇总_兼容版'!$W$3:$W$1002)</f>
        <v/>
      </c>
      <c r="D6">
        <f>SUM('汇总_兼容版'!$X$3:$X$1002)</f>
        <v/>
      </c>
      <c r="E6">
        <f>SUM('汇总_兼容版'!$Y$3:$Y$1002)</f>
        <v/>
      </c>
      <c r="F6">
        <f>SUM('汇总_兼容版'!$Z$3:$Z$1002)</f>
        <v/>
      </c>
    </row>
    <row r="7">
      <c r="A7" t="inlineStr">
        <is>
          <t>逾期率-合计</t>
        </is>
      </c>
      <c r="B7" s="2">
        <f>IFERROR(SUM('汇总_兼容版'!$G$3:$G$1002)/SUM('汇总_兼容版'!$B$3:$B$1002),"")</f>
        <v/>
      </c>
      <c r="C7" s="2">
        <f>IFERROR(SUM('汇总_兼容版'!$H$3:$H$1002)/SUM('汇总_兼容版'!$C$3:$C$1002),"")</f>
        <v/>
      </c>
      <c r="D7" s="2">
        <f>IFERROR(SUM('汇总_兼容版'!$I$3:$I$1002)/SUM('汇总_兼容版'!$D$3:$D$1002),"")</f>
        <v/>
      </c>
      <c r="E7" s="2">
        <f>IFERROR(SUM('汇总_兼容版'!$J$3:$J$1002)/SUM('汇总_兼容版'!$E$3:$E$1002),"")</f>
        <v/>
      </c>
      <c r="F7" s="2">
        <f>IFERROR(SUM('汇总_兼容版'!$K$3:$K$1002)/SUM('汇总_兼容版'!$F$3:$F$1002),"")</f>
        <v/>
      </c>
    </row>
    <row r="8">
      <c r="A8" t="inlineStr">
        <is>
          <t>不良率-合计</t>
        </is>
      </c>
      <c r="B8" s="2">
        <f>IFERROR(SUM('汇总_兼容版'!$L$3:$L$1002)/SUM('汇总_兼容版'!$B$3:$B$1002),"")</f>
        <v/>
      </c>
      <c r="C8" s="2">
        <f>IFERROR(SUM('汇总_兼容版'!$M$3:$M$1002)/SUM('汇总_兼容版'!$C$3:$C$1002),"")</f>
        <v/>
      </c>
      <c r="D8" s="2">
        <f>IFERROR(SUM('汇总_兼容版'!$N$3:$N$1002)/SUM('汇总_兼容版'!$D$3:$D$1002),"")</f>
        <v/>
      </c>
      <c r="E8" s="2">
        <f>IFERROR(SUM('汇总_兼容版'!$O$3:$O$1002)/SUM('汇总_兼容版'!$E$3:$E$1002),"")</f>
        <v/>
      </c>
      <c r="F8" s="2">
        <f>IFERROR(SUM('汇总_兼容版'!$P$3:$P$1002)/SUM('汇总_兼容版'!$F$3:$F$1002),"")</f>
        <v/>
      </c>
    </row>
    <row r="9">
      <c r="A9" t="inlineStr">
        <is>
          <t>关注率-合计</t>
        </is>
      </c>
      <c r="B9" s="2">
        <f>IFERROR(SUM('汇总_兼容版'!$Q$3:$Q$1002)/SUM('汇总_兼容版'!$B$3:$B$1002),"")</f>
        <v/>
      </c>
      <c r="C9" s="2">
        <f>IFERROR(SUM('汇总_兼容版'!$R$3:$R$1002)/SUM('汇总_兼容版'!$C$3:$C$1002),"")</f>
        <v/>
      </c>
      <c r="D9" s="2">
        <f>IFERROR(SUM('汇总_兼容版'!$S$3:$S$1002)/SUM('汇总_兼容版'!$D$3:$D$1002),"")</f>
        <v/>
      </c>
      <c r="E9" s="2">
        <f>IFERROR(SUM('汇总_兼容版'!$T$3:$T$1002)/SUM('汇总_兼容版'!$E$3:$E$1002),"")</f>
        <v/>
      </c>
      <c r="F9" s="2">
        <f>IFERROR(SUM('汇总_兼容版'!$U$3:$U$1002)/SUM('汇总_兼容版'!$F$3:$F$1002),"")</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5001"/>
  <sheetViews>
    <sheetView workbookViewId="0">
      <selection activeCell="A1" sqref="A1"/>
    </sheetView>
  </sheetViews>
  <sheetFormatPr baseColWidth="8" defaultRowHeight="15"/>
  <sheetData>
    <row r="1">
      <c r="A1" t="inlineStr">
        <is>
          <t>2020年_银行</t>
        </is>
      </c>
      <c r="B1" t="inlineStr">
        <is>
          <t>2021年_银行</t>
        </is>
      </c>
      <c r="C1" t="inlineStr">
        <is>
          <t>2022年_银行</t>
        </is>
      </c>
      <c r="D1" t="inlineStr">
        <is>
          <t>2023年_银行</t>
        </is>
      </c>
      <c r="E1" t="inlineStr">
        <is>
          <t>2024年_银行</t>
        </is>
      </c>
      <c r="G1" t="inlineStr">
        <is>
          <t>合并银行</t>
        </is>
      </c>
    </row>
    <row r="2">
      <c r="A2">
        <f>IFERROR(INDEX('[AQ_2020.xlsx]原始数据'!$A:$A,ROW(A1)+1),"")</f>
        <v/>
      </c>
      <c r="B2">
        <f>IFERROR(INDEX('[AQ_2021.xlsx]原始数据'!$A:$A,ROW(A1)+1),"")</f>
        <v/>
      </c>
      <c r="C2">
        <f>IFERROR(INDEX('[AQ_2022.xlsx]原始数据'!$A:$A,ROW(A1)+1),"")</f>
        <v/>
      </c>
      <c r="D2">
        <f>IFERROR(INDEX('[AQ_2023.xlsx]原始数据'!$A:$A,ROW(A1)+1),"")</f>
        <v/>
      </c>
      <c r="E2">
        <f>IFERROR(INDEX('[AQ_2024.xlsx]原始数据'!$A:$A,ROW(A1)+1),"")</f>
        <v/>
      </c>
      <c r="G2">
        <f>IF(1&lt;=1000,INDEX($A$2:$A$1001,1),IF(1&lt;=2000,INDEX($B$2:$B$1001,-999),IF(1&lt;=3000,INDEX($C$2:$C$1001,-1999),IF(1&lt;=4000,INDEX($D$2:$D$1001,-2999),IF(1&lt;=5000,INDEX($E$2:$E$1001,-3999),"")))))</f>
        <v/>
      </c>
    </row>
    <row r="3">
      <c r="A3">
        <f>IFERROR(INDEX('[AQ_2020.xlsx]原始数据'!$A:$A,ROW(A1)+2),"")</f>
        <v/>
      </c>
      <c r="B3">
        <f>IFERROR(INDEX('[AQ_2021.xlsx]原始数据'!$A:$A,ROW(A1)+2),"")</f>
        <v/>
      </c>
      <c r="C3">
        <f>IFERROR(INDEX('[AQ_2022.xlsx]原始数据'!$A:$A,ROW(A1)+2),"")</f>
        <v/>
      </c>
      <c r="D3">
        <f>IFERROR(INDEX('[AQ_2023.xlsx]原始数据'!$A:$A,ROW(A1)+2),"")</f>
        <v/>
      </c>
      <c r="E3">
        <f>IFERROR(INDEX('[AQ_2024.xlsx]原始数据'!$A:$A,ROW(A1)+2),"")</f>
        <v/>
      </c>
      <c r="G3">
        <f>IF(2&lt;=1000,INDEX($A$2:$A$1001,2),IF(2&lt;=2000,INDEX($B$2:$B$1001,-998),IF(2&lt;=3000,INDEX($C$2:$C$1001,-1998),IF(2&lt;=4000,INDEX($D$2:$D$1001,-2998),IF(2&lt;=5000,INDEX($E$2:$E$1001,-3998),"")))))</f>
        <v/>
      </c>
    </row>
    <row r="4">
      <c r="A4">
        <f>IFERROR(INDEX('[AQ_2020.xlsx]原始数据'!$A:$A,ROW(A1)+3),"")</f>
        <v/>
      </c>
      <c r="B4">
        <f>IFERROR(INDEX('[AQ_2021.xlsx]原始数据'!$A:$A,ROW(A1)+3),"")</f>
        <v/>
      </c>
      <c r="C4">
        <f>IFERROR(INDEX('[AQ_2022.xlsx]原始数据'!$A:$A,ROW(A1)+3),"")</f>
        <v/>
      </c>
      <c r="D4">
        <f>IFERROR(INDEX('[AQ_2023.xlsx]原始数据'!$A:$A,ROW(A1)+3),"")</f>
        <v/>
      </c>
      <c r="E4">
        <f>IFERROR(INDEX('[AQ_2024.xlsx]原始数据'!$A:$A,ROW(A1)+3),"")</f>
        <v/>
      </c>
      <c r="G4">
        <f>IF(3&lt;=1000,INDEX($A$2:$A$1001,3),IF(3&lt;=2000,INDEX($B$2:$B$1001,-997),IF(3&lt;=3000,INDEX($C$2:$C$1001,-1997),IF(3&lt;=4000,INDEX($D$2:$D$1001,-2997),IF(3&lt;=5000,INDEX($E$2:$E$1001,-3997),"")))))</f>
        <v/>
      </c>
    </row>
    <row r="5">
      <c r="A5">
        <f>IFERROR(INDEX('[AQ_2020.xlsx]原始数据'!$A:$A,ROW(A1)+4),"")</f>
        <v/>
      </c>
      <c r="B5">
        <f>IFERROR(INDEX('[AQ_2021.xlsx]原始数据'!$A:$A,ROW(A1)+4),"")</f>
        <v/>
      </c>
      <c r="C5">
        <f>IFERROR(INDEX('[AQ_2022.xlsx]原始数据'!$A:$A,ROW(A1)+4),"")</f>
        <v/>
      </c>
      <c r="D5">
        <f>IFERROR(INDEX('[AQ_2023.xlsx]原始数据'!$A:$A,ROW(A1)+4),"")</f>
        <v/>
      </c>
      <c r="E5">
        <f>IFERROR(INDEX('[AQ_2024.xlsx]原始数据'!$A:$A,ROW(A1)+4),"")</f>
        <v/>
      </c>
      <c r="G5">
        <f>IF(4&lt;=1000,INDEX($A$2:$A$1001,4),IF(4&lt;=2000,INDEX($B$2:$B$1001,-996),IF(4&lt;=3000,INDEX($C$2:$C$1001,-1996),IF(4&lt;=4000,INDEX($D$2:$D$1001,-2996),IF(4&lt;=5000,INDEX($E$2:$E$1001,-3996),"")))))</f>
        <v/>
      </c>
    </row>
    <row r="6">
      <c r="A6">
        <f>IFERROR(INDEX('[AQ_2020.xlsx]原始数据'!$A:$A,ROW(A1)+5),"")</f>
        <v/>
      </c>
      <c r="B6">
        <f>IFERROR(INDEX('[AQ_2021.xlsx]原始数据'!$A:$A,ROW(A1)+5),"")</f>
        <v/>
      </c>
      <c r="C6">
        <f>IFERROR(INDEX('[AQ_2022.xlsx]原始数据'!$A:$A,ROW(A1)+5),"")</f>
        <v/>
      </c>
      <c r="D6">
        <f>IFERROR(INDEX('[AQ_2023.xlsx]原始数据'!$A:$A,ROW(A1)+5),"")</f>
        <v/>
      </c>
      <c r="E6">
        <f>IFERROR(INDEX('[AQ_2024.xlsx]原始数据'!$A:$A,ROW(A1)+5),"")</f>
        <v/>
      </c>
      <c r="G6">
        <f>IF(5&lt;=1000,INDEX($A$2:$A$1001,5),IF(5&lt;=2000,INDEX($B$2:$B$1001,-995),IF(5&lt;=3000,INDEX($C$2:$C$1001,-1995),IF(5&lt;=4000,INDEX($D$2:$D$1001,-2995),IF(5&lt;=5000,INDEX($E$2:$E$1001,-3995),"")))))</f>
        <v/>
      </c>
    </row>
    <row r="7">
      <c r="A7">
        <f>IFERROR(INDEX('[AQ_2020.xlsx]原始数据'!$A:$A,ROW(A1)+6),"")</f>
        <v/>
      </c>
      <c r="B7">
        <f>IFERROR(INDEX('[AQ_2021.xlsx]原始数据'!$A:$A,ROW(A1)+6),"")</f>
        <v/>
      </c>
      <c r="C7">
        <f>IFERROR(INDEX('[AQ_2022.xlsx]原始数据'!$A:$A,ROW(A1)+6),"")</f>
        <v/>
      </c>
      <c r="D7">
        <f>IFERROR(INDEX('[AQ_2023.xlsx]原始数据'!$A:$A,ROW(A1)+6),"")</f>
        <v/>
      </c>
      <c r="E7">
        <f>IFERROR(INDEX('[AQ_2024.xlsx]原始数据'!$A:$A,ROW(A1)+6),"")</f>
        <v/>
      </c>
      <c r="G7">
        <f>IF(6&lt;=1000,INDEX($A$2:$A$1001,6),IF(6&lt;=2000,INDEX($B$2:$B$1001,-994),IF(6&lt;=3000,INDEX($C$2:$C$1001,-1994),IF(6&lt;=4000,INDEX($D$2:$D$1001,-2994),IF(6&lt;=5000,INDEX($E$2:$E$1001,-3994),"")))))</f>
        <v/>
      </c>
    </row>
    <row r="8">
      <c r="A8">
        <f>IFERROR(INDEX('[AQ_2020.xlsx]原始数据'!$A:$A,ROW(A1)+7),"")</f>
        <v/>
      </c>
      <c r="B8">
        <f>IFERROR(INDEX('[AQ_2021.xlsx]原始数据'!$A:$A,ROW(A1)+7),"")</f>
        <v/>
      </c>
      <c r="C8">
        <f>IFERROR(INDEX('[AQ_2022.xlsx]原始数据'!$A:$A,ROW(A1)+7),"")</f>
        <v/>
      </c>
      <c r="D8">
        <f>IFERROR(INDEX('[AQ_2023.xlsx]原始数据'!$A:$A,ROW(A1)+7),"")</f>
        <v/>
      </c>
      <c r="E8">
        <f>IFERROR(INDEX('[AQ_2024.xlsx]原始数据'!$A:$A,ROW(A1)+7),"")</f>
        <v/>
      </c>
      <c r="G8">
        <f>IF(7&lt;=1000,INDEX($A$2:$A$1001,7),IF(7&lt;=2000,INDEX($B$2:$B$1001,-993),IF(7&lt;=3000,INDEX($C$2:$C$1001,-1993),IF(7&lt;=4000,INDEX($D$2:$D$1001,-2993),IF(7&lt;=5000,INDEX($E$2:$E$1001,-3993),"")))))</f>
        <v/>
      </c>
    </row>
    <row r="9">
      <c r="A9">
        <f>IFERROR(INDEX('[AQ_2020.xlsx]原始数据'!$A:$A,ROW(A1)+8),"")</f>
        <v/>
      </c>
      <c r="B9">
        <f>IFERROR(INDEX('[AQ_2021.xlsx]原始数据'!$A:$A,ROW(A1)+8),"")</f>
        <v/>
      </c>
      <c r="C9">
        <f>IFERROR(INDEX('[AQ_2022.xlsx]原始数据'!$A:$A,ROW(A1)+8),"")</f>
        <v/>
      </c>
      <c r="D9">
        <f>IFERROR(INDEX('[AQ_2023.xlsx]原始数据'!$A:$A,ROW(A1)+8),"")</f>
        <v/>
      </c>
      <c r="E9">
        <f>IFERROR(INDEX('[AQ_2024.xlsx]原始数据'!$A:$A,ROW(A1)+8),"")</f>
        <v/>
      </c>
      <c r="G9">
        <f>IF(8&lt;=1000,INDEX($A$2:$A$1001,8),IF(8&lt;=2000,INDEX($B$2:$B$1001,-992),IF(8&lt;=3000,INDEX($C$2:$C$1001,-1992),IF(8&lt;=4000,INDEX($D$2:$D$1001,-2992),IF(8&lt;=5000,INDEX($E$2:$E$1001,-3992),"")))))</f>
        <v/>
      </c>
    </row>
    <row r="10">
      <c r="A10">
        <f>IFERROR(INDEX('[AQ_2020.xlsx]原始数据'!$A:$A,ROW(A1)+9),"")</f>
        <v/>
      </c>
      <c r="B10">
        <f>IFERROR(INDEX('[AQ_2021.xlsx]原始数据'!$A:$A,ROW(A1)+9),"")</f>
        <v/>
      </c>
      <c r="C10">
        <f>IFERROR(INDEX('[AQ_2022.xlsx]原始数据'!$A:$A,ROW(A1)+9),"")</f>
        <v/>
      </c>
      <c r="D10">
        <f>IFERROR(INDEX('[AQ_2023.xlsx]原始数据'!$A:$A,ROW(A1)+9),"")</f>
        <v/>
      </c>
      <c r="E10">
        <f>IFERROR(INDEX('[AQ_2024.xlsx]原始数据'!$A:$A,ROW(A1)+9),"")</f>
        <v/>
      </c>
      <c r="G10">
        <f>IF(9&lt;=1000,INDEX($A$2:$A$1001,9),IF(9&lt;=2000,INDEX($B$2:$B$1001,-991),IF(9&lt;=3000,INDEX($C$2:$C$1001,-1991),IF(9&lt;=4000,INDEX($D$2:$D$1001,-2991),IF(9&lt;=5000,INDEX($E$2:$E$1001,-3991),"")))))</f>
        <v/>
      </c>
    </row>
    <row r="11">
      <c r="A11">
        <f>IFERROR(INDEX('[AQ_2020.xlsx]原始数据'!$A:$A,ROW(A1)+10),"")</f>
        <v/>
      </c>
      <c r="B11">
        <f>IFERROR(INDEX('[AQ_2021.xlsx]原始数据'!$A:$A,ROW(A1)+10),"")</f>
        <v/>
      </c>
      <c r="C11">
        <f>IFERROR(INDEX('[AQ_2022.xlsx]原始数据'!$A:$A,ROW(A1)+10),"")</f>
        <v/>
      </c>
      <c r="D11">
        <f>IFERROR(INDEX('[AQ_2023.xlsx]原始数据'!$A:$A,ROW(A1)+10),"")</f>
        <v/>
      </c>
      <c r="E11">
        <f>IFERROR(INDEX('[AQ_2024.xlsx]原始数据'!$A:$A,ROW(A1)+10),"")</f>
        <v/>
      </c>
      <c r="G11">
        <f>IF(10&lt;=1000,INDEX($A$2:$A$1001,10),IF(10&lt;=2000,INDEX($B$2:$B$1001,-990),IF(10&lt;=3000,INDEX($C$2:$C$1001,-1990),IF(10&lt;=4000,INDEX($D$2:$D$1001,-2990),IF(10&lt;=5000,INDEX($E$2:$E$1001,-3990),"")))))</f>
        <v/>
      </c>
    </row>
    <row r="12">
      <c r="A12">
        <f>IFERROR(INDEX('[AQ_2020.xlsx]原始数据'!$A:$A,ROW(A1)+11),"")</f>
        <v/>
      </c>
      <c r="B12">
        <f>IFERROR(INDEX('[AQ_2021.xlsx]原始数据'!$A:$A,ROW(A1)+11),"")</f>
        <v/>
      </c>
      <c r="C12">
        <f>IFERROR(INDEX('[AQ_2022.xlsx]原始数据'!$A:$A,ROW(A1)+11),"")</f>
        <v/>
      </c>
      <c r="D12">
        <f>IFERROR(INDEX('[AQ_2023.xlsx]原始数据'!$A:$A,ROW(A1)+11),"")</f>
        <v/>
      </c>
      <c r="E12">
        <f>IFERROR(INDEX('[AQ_2024.xlsx]原始数据'!$A:$A,ROW(A1)+11),"")</f>
        <v/>
      </c>
      <c r="G12">
        <f>IF(11&lt;=1000,INDEX($A$2:$A$1001,11),IF(11&lt;=2000,INDEX($B$2:$B$1001,-989),IF(11&lt;=3000,INDEX($C$2:$C$1001,-1989),IF(11&lt;=4000,INDEX($D$2:$D$1001,-2989),IF(11&lt;=5000,INDEX($E$2:$E$1001,-3989),"")))))</f>
        <v/>
      </c>
    </row>
    <row r="13">
      <c r="A13">
        <f>IFERROR(INDEX('[AQ_2020.xlsx]原始数据'!$A:$A,ROW(A1)+12),"")</f>
        <v/>
      </c>
      <c r="B13">
        <f>IFERROR(INDEX('[AQ_2021.xlsx]原始数据'!$A:$A,ROW(A1)+12),"")</f>
        <v/>
      </c>
      <c r="C13">
        <f>IFERROR(INDEX('[AQ_2022.xlsx]原始数据'!$A:$A,ROW(A1)+12),"")</f>
        <v/>
      </c>
      <c r="D13">
        <f>IFERROR(INDEX('[AQ_2023.xlsx]原始数据'!$A:$A,ROW(A1)+12),"")</f>
        <v/>
      </c>
      <c r="E13">
        <f>IFERROR(INDEX('[AQ_2024.xlsx]原始数据'!$A:$A,ROW(A1)+12),"")</f>
        <v/>
      </c>
      <c r="G13">
        <f>IF(12&lt;=1000,INDEX($A$2:$A$1001,12),IF(12&lt;=2000,INDEX($B$2:$B$1001,-988),IF(12&lt;=3000,INDEX($C$2:$C$1001,-1988),IF(12&lt;=4000,INDEX($D$2:$D$1001,-2988),IF(12&lt;=5000,INDEX($E$2:$E$1001,-3988),"")))))</f>
        <v/>
      </c>
    </row>
    <row r="14">
      <c r="A14">
        <f>IFERROR(INDEX('[AQ_2020.xlsx]原始数据'!$A:$A,ROW(A1)+13),"")</f>
        <v/>
      </c>
      <c r="B14">
        <f>IFERROR(INDEX('[AQ_2021.xlsx]原始数据'!$A:$A,ROW(A1)+13),"")</f>
        <v/>
      </c>
      <c r="C14">
        <f>IFERROR(INDEX('[AQ_2022.xlsx]原始数据'!$A:$A,ROW(A1)+13),"")</f>
        <v/>
      </c>
      <c r="D14">
        <f>IFERROR(INDEX('[AQ_2023.xlsx]原始数据'!$A:$A,ROW(A1)+13),"")</f>
        <v/>
      </c>
      <c r="E14">
        <f>IFERROR(INDEX('[AQ_2024.xlsx]原始数据'!$A:$A,ROW(A1)+13),"")</f>
        <v/>
      </c>
      <c r="G14">
        <f>IF(13&lt;=1000,INDEX($A$2:$A$1001,13),IF(13&lt;=2000,INDEX($B$2:$B$1001,-987),IF(13&lt;=3000,INDEX($C$2:$C$1001,-1987),IF(13&lt;=4000,INDEX($D$2:$D$1001,-2987),IF(13&lt;=5000,INDEX($E$2:$E$1001,-3987),"")))))</f>
        <v/>
      </c>
    </row>
    <row r="15">
      <c r="A15">
        <f>IFERROR(INDEX('[AQ_2020.xlsx]原始数据'!$A:$A,ROW(A1)+14),"")</f>
        <v/>
      </c>
      <c r="B15">
        <f>IFERROR(INDEX('[AQ_2021.xlsx]原始数据'!$A:$A,ROW(A1)+14),"")</f>
        <v/>
      </c>
      <c r="C15">
        <f>IFERROR(INDEX('[AQ_2022.xlsx]原始数据'!$A:$A,ROW(A1)+14),"")</f>
        <v/>
      </c>
      <c r="D15">
        <f>IFERROR(INDEX('[AQ_2023.xlsx]原始数据'!$A:$A,ROW(A1)+14),"")</f>
        <v/>
      </c>
      <c r="E15">
        <f>IFERROR(INDEX('[AQ_2024.xlsx]原始数据'!$A:$A,ROW(A1)+14),"")</f>
        <v/>
      </c>
      <c r="G15">
        <f>IF(14&lt;=1000,INDEX($A$2:$A$1001,14),IF(14&lt;=2000,INDEX($B$2:$B$1001,-986),IF(14&lt;=3000,INDEX($C$2:$C$1001,-1986),IF(14&lt;=4000,INDEX($D$2:$D$1001,-2986),IF(14&lt;=5000,INDEX($E$2:$E$1001,-3986),"")))))</f>
        <v/>
      </c>
    </row>
    <row r="16">
      <c r="A16">
        <f>IFERROR(INDEX('[AQ_2020.xlsx]原始数据'!$A:$A,ROW(A1)+15),"")</f>
        <v/>
      </c>
      <c r="B16">
        <f>IFERROR(INDEX('[AQ_2021.xlsx]原始数据'!$A:$A,ROW(A1)+15),"")</f>
        <v/>
      </c>
      <c r="C16">
        <f>IFERROR(INDEX('[AQ_2022.xlsx]原始数据'!$A:$A,ROW(A1)+15),"")</f>
        <v/>
      </c>
      <c r="D16">
        <f>IFERROR(INDEX('[AQ_2023.xlsx]原始数据'!$A:$A,ROW(A1)+15),"")</f>
        <v/>
      </c>
      <c r="E16">
        <f>IFERROR(INDEX('[AQ_2024.xlsx]原始数据'!$A:$A,ROW(A1)+15),"")</f>
        <v/>
      </c>
      <c r="G16">
        <f>IF(15&lt;=1000,INDEX($A$2:$A$1001,15),IF(15&lt;=2000,INDEX($B$2:$B$1001,-985),IF(15&lt;=3000,INDEX($C$2:$C$1001,-1985),IF(15&lt;=4000,INDEX($D$2:$D$1001,-2985),IF(15&lt;=5000,INDEX($E$2:$E$1001,-3985),"")))))</f>
        <v/>
      </c>
    </row>
    <row r="17">
      <c r="A17">
        <f>IFERROR(INDEX('[AQ_2020.xlsx]原始数据'!$A:$A,ROW(A1)+16),"")</f>
        <v/>
      </c>
      <c r="B17">
        <f>IFERROR(INDEX('[AQ_2021.xlsx]原始数据'!$A:$A,ROW(A1)+16),"")</f>
        <v/>
      </c>
      <c r="C17">
        <f>IFERROR(INDEX('[AQ_2022.xlsx]原始数据'!$A:$A,ROW(A1)+16),"")</f>
        <v/>
      </c>
      <c r="D17">
        <f>IFERROR(INDEX('[AQ_2023.xlsx]原始数据'!$A:$A,ROW(A1)+16),"")</f>
        <v/>
      </c>
      <c r="E17">
        <f>IFERROR(INDEX('[AQ_2024.xlsx]原始数据'!$A:$A,ROW(A1)+16),"")</f>
        <v/>
      </c>
      <c r="G17">
        <f>IF(16&lt;=1000,INDEX($A$2:$A$1001,16),IF(16&lt;=2000,INDEX($B$2:$B$1001,-984),IF(16&lt;=3000,INDEX($C$2:$C$1001,-1984),IF(16&lt;=4000,INDEX($D$2:$D$1001,-2984),IF(16&lt;=5000,INDEX($E$2:$E$1001,-3984),"")))))</f>
        <v/>
      </c>
    </row>
    <row r="18">
      <c r="A18">
        <f>IFERROR(INDEX('[AQ_2020.xlsx]原始数据'!$A:$A,ROW(A1)+17),"")</f>
        <v/>
      </c>
      <c r="B18">
        <f>IFERROR(INDEX('[AQ_2021.xlsx]原始数据'!$A:$A,ROW(A1)+17),"")</f>
        <v/>
      </c>
      <c r="C18">
        <f>IFERROR(INDEX('[AQ_2022.xlsx]原始数据'!$A:$A,ROW(A1)+17),"")</f>
        <v/>
      </c>
      <c r="D18">
        <f>IFERROR(INDEX('[AQ_2023.xlsx]原始数据'!$A:$A,ROW(A1)+17),"")</f>
        <v/>
      </c>
      <c r="E18">
        <f>IFERROR(INDEX('[AQ_2024.xlsx]原始数据'!$A:$A,ROW(A1)+17),"")</f>
        <v/>
      </c>
      <c r="G18">
        <f>IF(17&lt;=1000,INDEX($A$2:$A$1001,17),IF(17&lt;=2000,INDEX($B$2:$B$1001,-983),IF(17&lt;=3000,INDEX($C$2:$C$1001,-1983),IF(17&lt;=4000,INDEX($D$2:$D$1001,-2983),IF(17&lt;=5000,INDEX($E$2:$E$1001,-3983),"")))))</f>
        <v/>
      </c>
    </row>
    <row r="19">
      <c r="A19">
        <f>IFERROR(INDEX('[AQ_2020.xlsx]原始数据'!$A:$A,ROW(A1)+18),"")</f>
        <v/>
      </c>
      <c r="B19">
        <f>IFERROR(INDEX('[AQ_2021.xlsx]原始数据'!$A:$A,ROW(A1)+18),"")</f>
        <v/>
      </c>
      <c r="C19">
        <f>IFERROR(INDEX('[AQ_2022.xlsx]原始数据'!$A:$A,ROW(A1)+18),"")</f>
        <v/>
      </c>
      <c r="D19">
        <f>IFERROR(INDEX('[AQ_2023.xlsx]原始数据'!$A:$A,ROW(A1)+18),"")</f>
        <v/>
      </c>
      <c r="E19">
        <f>IFERROR(INDEX('[AQ_2024.xlsx]原始数据'!$A:$A,ROW(A1)+18),"")</f>
        <v/>
      </c>
      <c r="G19">
        <f>IF(18&lt;=1000,INDEX($A$2:$A$1001,18),IF(18&lt;=2000,INDEX($B$2:$B$1001,-982),IF(18&lt;=3000,INDEX($C$2:$C$1001,-1982),IF(18&lt;=4000,INDEX($D$2:$D$1001,-2982),IF(18&lt;=5000,INDEX($E$2:$E$1001,-3982),"")))))</f>
        <v/>
      </c>
    </row>
    <row r="20">
      <c r="A20">
        <f>IFERROR(INDEX('[AQ_2020.xlsx]原始数据'!$A:$A,ROW(A1)+19),"")</f>
        <v/>
      </c>
      <c r="B20">
        <f>IFERROR(INDEX('[AQ_2021.xlsx]原始数据'!$A:$A,ROW(A1)+19),"")</f>
        <v/>
      </c>
      <c r="C20">
        <f>IFERROR(INDEX('[AQ_2022.xlsx]原始数据'!$A:$A,ROW(A1)+19),"")</f>
        <v/>
      </c>
      <c r="D20">
        <f>IFERROR(INDEX('[AQ_2023.xlsx]原始数据'!$A:$A,ROW(A1)+19),"")</f>
        <v/>
      </c>
      <c r="E20">
        <f>IFERROR(INDEX('[AQ_2024.xlsx]原始数据'!$A:$A,ROW(A1)+19),"")</f>
        <v/>
      </c>
      <c r="G20">
        <f>IF(19&lt;=1000,INDEX($A$2:$A$1001,19),IF(19&lt;=2000,INDEX($B$2:$B$1001,-981),IF(19&lt;=3000,INDEX($C$2:$C$1001,-1981),IF(19&lt;=4000,INDEX($D$2:$D$1001,-2981),IF(19&lt;=5000,INDEX($E$2:$E$1001,-3981),"")))))</f>
        <v/>
      </c>
    </row>
    <row r="21">
      <c r="A21">
        <f>IFERROR(INDEX('[AQ_2020.xlsx]原始数据'!$A:$A,ROW(A1)+20),"")</f>
        <v/>
      </c>
      <c r="B21">
        <f>IFERROR(INDEX('[AQ_2021.xlsx]原始数据'!$A:$A,ROW(A1)+20),"")</f>
        <v/>
      </c>
      <c r="C21">
        <f>IFERROR(INDEX('[AQ_2022.xlsx]原始数据'!$A:$A,ROW(A1)+20),"")</f>
        <v/>
      </c>
      <c r="D21">
        <f>IFERROR(INDEX('[AQ_2023.xlsx]原始数据'!$A:$A,ROW(A1)+20),"")</f>
        <v/>
      </c>
      <c r="E21">
        <f>IFERROR(INDEX('[AQ_2024.xlsx]原始数据'!$A:$A,ROW(A1)+20),"")</f>
        <v/>
      </c>
      <c r="G21">
        <f>IF(20&lt;=1000,INDEX($A$2:$A$1001,20),IF(20&lt;=2000,INDEX($B$2:$B$1001,-980),IF(20&lt;=3000,INDEX($C$2:$C$1001,-1980),IF(20&lt;=4000,INDEX($D$2:$D$1001,-2980),IF(20&lt;=5000,INDEX($E$2:$E$1001,-3980),"")))))</f>
        <v/>
      </c>
    </row>
    <row r="22">
      <c r="A22">
        <f>IFERROR(INDEX('[AQ_2020.xlsx]原始数据'!$A:$A,ROW(A1)+21),"")</f>
        <v/>
      </c>
      <c r="B22">
        <f>IFERROR(INDEX('[AQ_2021.xlsx]原始数据'!$A:$A,ROW(A1)+21),"")</f>
        <v/>
      </c>
      <c r="C22">
        <f>IFERROR(INDEX('[AQ_2022.xlsx]原始数据'!$A:$A,ROW(A1)+21),"")</f>
        <v/>
      </c>
      <c r="D22">
        <f>IFERROR(INDEX('[AQ_2023.xlsx]原始数据'!$A:$A,ROW(A1)+21),"")</f>
        <v/>
      </c>
      <c r="E22">
        <f>IFERROR(INDEX('[AQ_2024.xlsx]原始数据'!$A:$A,ROW(A1)+21),"")</f>
        <v/>
      </c>
      <c r="G22">
        <f>IF(21&lt;=1000,INDEX($A$2:$A$1001,21),IF(21&lt;=2000,INDEX($B$2:$B$1001,-979),IF(21&lt;=3000,INDEX($C$2:$C$1001,-1979),IF(21&lt;=4000,INDEX($D$2:$D$1001,-2979),IF(21&lt;=5000,INDEX($E$2:$E$1001,-3979),"")))))</f>
        <v/>
      </c>
    </row>
    <row r="23">
      <c r="A23">
        <f>IFERROR(INDEX('[AQ_2020.xlsx]原始数据'!$A:$A,ROW(A1)+22),"")</f>
        <v/>
      </c>
      <c r="B23">
        <f>IFERROR(INDEX('[AQ_2021.xlsx]原始数据'!$A:$A,ROW(A1)+22),"")</f>
        <v/>
      </c>
      <c r="C23">
        <f>IFERROR(INDEX('[AQ_2022.xlsx]原始数据'!$A:$A,ROW(A1)+22),"")</f>
        <v/>
      </c>
      <c r="D23">
        <f>IFERROR(INDEX('[AQ_2023.xlsx]原始数据'!$A:$A,ROW(A1)+22),"")</f>
        <v/>
      </c>
      <c r="E23">
        <f>IFERROR(INDEX('[AQ_2024.xlsx]原始数据'!$A:$A,ROW(A1)+22),"")</f>
        <v/>
      </c>
      <c r="G23">
        <f>IF(22&lt;=1000,INDEX($A$2:$A$1001,22),IF(22&lt;=2000,INDEX($B$2:$B$1001,-978),IF(22&lt;=3000,INDEX($C$2:$C$1001,-1978),IF(22&lt;=4000,INDEX($D$2:$D$1001,-2978),IF(22&lt;=5000,INDEX($E$2:$E$1001,-3978),"")))))</f>
        <v/>
      </c>
    </row>
    <row r="24">
      <c r="A24">
        <f>IFERROR(INDEX('[AQ_2020.xlsx]原始数据'!$A:$A,ROW(A1)+23),"")</f>
        <v/>
      </c>
      <c r="B24">
        <f>IFERROR(INDEX('[AQ_2021.xlsx]原始数据'!$A:$A,ROW(A1)+23),"")</f>
        <v/>
      </c>
      <c r="C24">
        <f>IFERROR(INDEX('[AQ_2022.xlsx]原始数据'!$A:$A,ROW(A1)+23),"")</f>
        <v/>
      </c>
      <c r="D24">
        <f>IFERROR(INDEX('[AQ_2023.xlsx]原始数据'!$A:$A,ROW(A1)+23),"")</f>
        <v/>
      </c>
      <c r="E24">
        <f>IFERROR(INDEX('[AQ_2024.xlsx]原始数据'!$A:$A,ROW(A1)+23),"")</f>
        <v/>
      </c>
      <c r="G24">
        <f>IF(23&lt;=1000,INDEX($A$2:$A$1001,23),IF(23&lt;=2000,INDEX($B$2:$B$1001,-977),IF(23&lt;=3000,INDEX($C$2:$C$1001,-1977),IF(23&lt;=4000,INDEX($D$2:$D$1001,-2977),IF(23&lt;=5000,INDEX($E$2:$E$1001,-3977),"")))))</f>
        <v/>
      </c>
    </row>
    <row r="25">
      <c r="A25">
        <f>IFERROR(INDEX('[AQ_2020.xlsx]原始数据'!$A:$A,ROW(A1)+24),"")</f>
        <v/>
      </c>
      <c r="B25">
        <f>IFERROR(INDEX('[AQ_2021.xlsx]原始数据'!$A:$A,ROW(A1)+24),"")</f>
        <v/>
      </c>
      <c r="C25">
        <f>IFERROR(INDEX('[AQ_2022.xlsx]原始数据'!$A:$A,ROW(A1)+24),"")</f>
        <v/>
      </c>
      <c r="D25">
        <f>IFERROR(INDEX('[AQ_2023.xlsx]原始数据'!$A:$A,ROW(A1)+24),"")</f>
        <v/>
      </c>
      <c r="E25">
        <f>IFERROR(INDEX('[AQ_2024.xlsx]原始数据'!$A:$A,ROW(A1)+24),"")</f>
        <v/>
      </c>
      <c r="G25">
        <f>IF(24&lt;=1000,INDEX($A$2:$A$1001,24),IF(24&lt;=2000,INDEX($B$2:$B$1001,-976),IF(24&lt;=3000,INDEX($C$2:$C$1001,-1976),IF(24&lt;=4000,INDEX($D$2:$D$1001,-2976),IF(24&lt;=5000,INDEX($E$2:$E$1001,-3976),"")))))</f>
        <v/>
      </c>
    </row>
    <row r="26">
      <c r="A26">
        <f>IFERROR(INDEX('[AQ_2020.xlsx]原始数据'!$A:$A,ROW(A1)+25),"")</f>
        <v/>
      </c>
      <c r="B26">
        <f>IFERROR(INDEX('[AQ_2021.xlsx]原始数据'!$A:$A,ROW(A1)+25),"")</f>
        <v/>
      </c>
      <c r="C26">
        <f>IFERROR(INDEX('[AQ_2022.xlsx]原始数据'!$A:$A,ROW(A1)+25),"")</f>
        <v/>
      </c>
      <c r="D26">
        <f>IFERROR(INDEX('[AQ_2023.xlsx]原始数据'!$A:$A,ROW(A1)+25),"")</f>
        <v/>
      </c>
      <c r="E26">
        <f>IFERROR(INDEX('[AQ_2024.xlsx]原始数据'!$A:$A,ROW(A1)+25),"")</f>
        <v/>
      </c>
      <c r="G26">
        <f>IF(25&lt;=1000,INDEX($A$2:$A$1001,25),IF(25&lt;=2000,INDEX($B$2:$B$1001,-975),IF(25&lt;=3000,INDEX($C$2:$C$1001,-1975),IF(25&lt;=4000,INDEX($D$2:$D$1001,-2975),IF(25&lt;=5000,INDEX($E$2:$E$1001,-3975),"")))))</f>
        <v/>
      </c>
    </row>
    <row r="27">
      <c r="A27">
        <f>IFERROR(INDEX('[AQ_2020.xlsx]原始数据'!$A:$A,ROW(A1)+26),"")</f>
        <v/>
      </c>
      <c r="B27">
        <f>IFERROR(INDEX('[AQ_2021.xlsx]原始数据'!$A:$A,ROW(A1)+26),"")</f>
        <v/>
      </c>
      <c r="C27">
        <f>IFERROR(INDEX('[AQ_2022.xlsx]原始数据'!$A:$A,ROW(A1)+26),"")</f>
        <v/>
      </c>
      <c r="D27">
        <f>IFERROR(INDEX('[AQ_2023.xlsx]原始数据'!$A:$A,ROW(A1)+26),"")</f>
        <v/>
      </c>
      <c r="E27">
        <f>IFERROR(INDEX('[AQ_2024.xlsx]原始数据'!$A:$A,ROW(A1)+26),"")</f>
        <v/>
      </c>
      <c r="G27">
        <f>IF(26&lt;=1000,INDEX($A$2:$A$1001,26),IF(26&lt;=2000,INDEX($B$2:$B$1001,-974),IF(26&lt;=3000,INDEX($C$2:$C$1001,-1974),IF(26&lt;=4000,INDEX($D$2:$D$1001,-2974),IF(26&lt;=5000,INDEX($E$2:$E$1001,-3974),"")))))</f>
        <v/>
      </c>
    </row>
    <row r="28">
      <c r="A28">
        <f>IFERROR(INDEX('[AQ_2020.xlsx]原始数据'!$A:$A,ROW(A1)+27),"")</f>
        <v/>
      </c>
      <c r="B28">
        <f>IFERROR(INDEX('[AQ_2021.xlsx]原始数据'!$A:$A,ROW(A1)+27),"")</f>
        <v/>
      </c>
      <c r="C28">
        <f>IFERROR(INDEX('[AQ_2022.xlsx]原始数据'!$A:$A,ROW(A1)+27),"")</f>
        <v/>
      </c>
      <c r="D28">
        <f>IFERROR(INDEX('[AQ_2023.xlsx]原始数据'!$A:$A,ROW(A1)+27),"")</f>
        <v/>
      </c>
      <c r="E28">
        <f>IFERROR(INDEX('[AQ_2024.xlsx]原始数据'!$A:$A,ROW(A1)+27),"")</f>
        <v/>
      </c>
      <c r="G28">
        <f>IF(27&lt;=1000,INDEX($A$2:$A$1001,27),IF(27&lt;=2000,INDEX($B$2:$B$1001,-973),IF(27&lt;=3000,INDEX($C$2:$C$1001,-1973),IF(27&lt;=4000,INDEX($D$2:$D$1001,-2973),IF(27&lt;=5000,INDEX($E$2:$E$1001,-3973),"")))))</f>
        <v/>
      </c>
    </row>
    <row r="29">
      <c r="A29">
        <f>IFERROR(INDEX('[AQ_2020.xlsx]原始数据'!$A:$A,ROW(A1)+28),"")</f>
        <v/>
      </c>
      <c r="B29">
        <f>IFERROR(INDEX('[AQ_2021.xlsx]原始数据'!$A:$A,ROW(A1)+28),"")</f>
        <v/>
      </c>
      <c r="C29">
        <f>IFERROR(INDEX('[AQ_2022.xlsx]原始数据'!$A:$A,ROW(A1)+28),"")</f>
        <v/>
      </c>
      <c r="D29">
        <f>IFERROR(INDEX('[AQ_2023.xlsx]原始数据'!$A:$A,ROW(A1)+28),"")</f>
        <v/>
      </c>
      <c r="E29">
        <f>IFERROR(INDEX('[AQ_2024.xlsx]原始数据'!$A:$A,ROW(A1)+28),"")</f>
        <v/>
      </c>
      <c r="G29">
        <f>IF(28&lt;=1000,INDEX($A$2:$A$1001,28),IF(28&lt;=2000,INDEX($B$2:$B$1001,-972),IF(28&lt;=3000,INDEX($C$2:$C$1001,-1972),IF(28&lt;=4000,INDEX($D$2:$D$1001,-2972),IF(28&lt;=5000,INDEX($E$2:$E$1001,-3972),"")))))</f>
        <v/>
      </c>
    </row>
    <row r="30">
      <c r="A30">
        <f>IFERROR(INDEX('[AQ_2020.xlsx]原始数据'!$A:$A,ROW(A1)+29),"")</f>
        <v/>
      </c>
      <c r="B30">
        <f>IFERROR(INDEX('[AQ_2021.xlsx]原始数据'!$A:$A,ROW(A1)+29),"")</f>
        <v/>
      </c>
      <c r="C30">
        <f>IFERROR(INDEX('[AQ_2022.xlsx]原始数据'!$A:$A,ROW(A1)+29),"")</f>
        <v/>
      </c>
      <c r="D30">
        <f>IFERROR(INDEX('[AQ_2023.xlsx]原始数据'!$A:$A,ROW(A1)+29),"")</f>
        <v/>
      </c>
      <c r="E30">
        <f>IFERROR(INDEX('[AQ_2024.xlsx]原始数据'!$A:$A,ROW(A1)+29),"")</f>
        <v/>
      </c>
      <c r="G30">
        <f>IF(29&lt;=1000,INDEX($A$2:$A$1001,29),IF(29&lt;=2000,INDEX($B$2:$B$1001,-971),IF(29&lt;=3000,INDEX($C$2:$C$1001,-1971),IF(29&lt;=4000,INDEX($D$2:$D$1001,-2971),IF(29&lt;=5000,INDEX($E$2:$E$1001,-3971),"")))))</f>
        <v/>
      </c>
    </row>
    <row r="31">
      <c r="A31">
        <f>IFERROR(INDEX('[AQ_2020.xlsx]原始数据'!$A:$A,ROW(A1)+30),"")</f>
        <v/>
      </c>
      <c r="B31">
        <f>IFERROR(INDEX('[AQ_2021.xlsx]原始数据'!$A:$A,ROW(A1)+30),"")</f>
        <v/>
      </c>
      <c r="C31">
        <f>IFERROR(INDEX('[AQ_2022.xlsx]原始数据'!$A:$A,ROW(A1)+30),"")</f>
        <v/>
      </c>
      <c r="D31">
        <f>IFERROR(INDEX('[AQ_2023.xlsx]原始数据'!$A:$A,ROW(A1)+30),"")</f>
        <v/>
      </c>
      <c r="E31">
        <f>IFERROR(INDEX('[AQ_2024.xlsx]原始数据'!$A:$A,ROW(A1)+30),"")</f>
        <v/>
      </c>
      <c r="G31">
        <f>IF(30&lt;=1000,INDEX($A$2:$A$1001,30),IF(30&lt;=2000,INDEX($B$2:$B$1001,-970),IF(30&lt;=3000,INDEX($C$2:$C$1001,-1970),IF(30&lt;=4000,INDEX($D$2:$D$1001,-2970),IF(30&lt;=5000,INDEX($E$2:$E$1001,-3970),"")))))</f>
        <v/>
      </c>
    </row>
    <row r="32">
      <c r="A32">
        <f>IFERROR(INDEX('[AQ_2020.xlsx]原始数据'!$A:$A,ROW(A1)+31),"")</f>
        <v/>
      </c>
      <c r="B32">
        <f>IFERROR(INDEX('[AQ_2021.xlsx]原始数据'!$A:$A,ROW(A1)+31),"")</f>
        <v/>
      </c>
      <c r="C32">
        <f>IFERROR(INDEX('[AQ_2022.xlsx]原始数据'!$A:$A,ROW(A1)+31),"")</f>
        <v/>
      </c>
      <c r="D32">
        <f>IFERROR(INDEX('[AQ_2023.xlsx]原始数据'!$A:$A,ROW(A1)+31),"")</f>
        <v/>
      </c>
      <c r="E32">
        <f>IFERROR(INDEX('[AQ_2024.xlsx]原始数据'!$A:$A,ROW(A1)+31),"")</f>
        <v/>
      </c>
      <c r="G32">
        <f>IF(31&lt;=1000,INDEX($A$2:$A$1001,31),IF(31&lt;=2000,INDEX($B$2:$B$1001,-969),IF(31&lt;=3000,INDEX($C$2:$C$1001,-1969),IF(31&lt;=4000,INDEX($D$2:$D$1001,-2969),IF(31&lt;=5000,INDEX($E$2:$E$1001,-3969),"")))))</f>
        <v/>
      </c>
    </row>
    <row r="33">
      <c r="A33">
        <f>IFERROR(INDEX('[AQ_2020.xlsx]原始数据'!$A:$A,ROW(A1)+32),"")</f>
        <v/>
      </c>
      <c r="B33">
        <f>IFERROR(INDEX('[AQ_2021.xlsx]原始数据'!$A:$A,ROW(A1)+32),"")</f>
        <v/>
      </c>
      <c r="C33">
        <f>IFERROR(INDEX('[AQ_2022.xlsx]原始数据'!$A:$A,ROW(A1)+32),"")</f>
        <v/>
      </c>
      <c r="D33">
        <f>IFERROR(INDEX('[AQ_2023.xlsx]原始数据'!$A:$A,ROW(A1)+32),"")</f>
        <v/>
      </c>
      <c r="E33">
        <f>IFERROR(INDEX('[AQ_2024.xlsx]原始数据'!$A:$A,ROW(A1)+32),"")</f>
        <v/>
      </c>
      <c r="G33">
        <f>IF(32&lt;=1000,INDEX($A$2:$A$1001,32),IF(32&lt;=2000,INDEX($B$2:$B$1001,-968),IF(32&lt;=3000,INDEX($C$2:$C$1001,-1968),IF(32&lt;=4000,INDEX($D$2:$D$1001,-2968),IF(32&lt;=5000,INDEX($E$2:$E$1001,-3968),"")))))</f>
        <v/>
      </c>
    </row>
    <row r="34">
      <c r="A34">
        <f>IFERROR(INDEX('[AQ_2020.xlsx]原始数据'!$A:$A,ROW(A1)+33),"")</f>
        <v/>
      </c>
      <c r="B34">
        <f>IFERROR(INDEX('[AQ_2021.xlsx]原始数据'!$A:$A,ROW(A1)+33),"")</f>
        <v/>
      </c>
      <c r="C34">
        <f>IFERROR(INDEX('[AQ_2022.xlsx]原始数据'!$A:$A,ROW(A1)+33),"")</f>
        <v/>
      </c>
      <c r="D34">
        <f>IFERROR(INDEX('[AQ_2023.xlsx]原始数据'!$A:$A,ROW(A1)+33),"")</f>
        <v/>
      </c>
      <c r="E34">
        <f>IFERROR(INDEX('[AQ_2024.xlsx]原始数据'!$A:$A,ROW(A1)+33),"")</f>
        <v/>
      </c>
      <c r="G34">
        <f>IF(33&lt;=1000,INDEX($A$2:$A$1001,33),IF(33&lt;=2000,INDEX($B$2:$B$1001,-967),IF(33&lt;=3000,INDEX($C$2:$C$1001,-1967),IF(33&lt;=4000,INDEX($D$2:$D$1001,-2967),IF(33&lt;=5000,INDEX($E$2:$E$1001,-3967),"")))))</f>
        <v/>
      </c>
    </row>
    <row r="35">
      <c r="A35">
        <f>IFERROR(INDEX('[AQ_2020.xlsx]原始数据'!$A:$A,ROW(A1)+34),"")</f>
        <v/>
      </c>
      <c r="B35">
        <f>IFERROR(INDEX('[AQ_2021.xlsx]原始数据'!$A:$A,ROW(A1)+34),"")</f>
        <v/>
      </c>
      <c r="C35">
        <f>IFERROR(INDEX('[AQ_2022.xlsx]原始数据'!$A:$A,ROW(A1)+34),"")</f>
        <v/>
      </c>
      <c r="D35">
        <f>IFERROR(INDEX('[AQ_2023.xlsx]原始数据'!$A:$A,ROW(A1)+34),"")</f>
        <v/>
      </c>
      <c r="E35">
        <f>IFERROR(INDEX('[AQ_2024.xlsx]原始数据'!$A:$A,ROW(A1)+34),"")</f>
        <v/>
      </c>
      <c r="G35">
        <f>IF(34&lt;=1000,INDEX($A$2:$A$1001,34),IF(34&lt;=2000,INDEX($B$2:$B$1001,-966),IF(34&lt;=3000,INDEX($C$2:$C$1001,-1966),IF(34&lt;=4000,INDEX($D$2:$D$1001,-2966),IF(34&lt;=5000,INDEX($E$2:$E$1001,-3966),"")))))</f>
        <v/>
      </c>
    </row>
    <row r="36">
      <c r="A36">
        <f>IFERROR(INDEX('[AQ_2020.xlsx]原始数据'!$A:$A,ROW(A1)+35),"")</f>
        <v/>
      </c>
      <c r="B36">
        <f>IFERROR(INDEX('[AQ_2021.xlsx]原始数据'!$A:$A,ROW(A1)+35),"")</f>
        <v/>
      </c>
      <c r="C36">
        <f>IFERROR(INDEX('[AQ_2022.xlsx]原始数据'!$A:$A,ROW(A1)+35),"")</f>
        <v/>
      </c>
      <c r="D36">
        <f>IFERROR(INDEX('[AQ_2023.xlsx]原始数据'!$A:$A,ROW(A1)+35),"")</f>
        <v/>
      </c>
      <c r="E36">
        <f>IFERROR(INDEX('[AQ_2024.xlsx]原始数据'!$A:$A,ROW(A1)+35),"")</f>
        <v/>
      </c>
      <c r="G36">
        <f>IF(35&lt;=1000,INDEX($A$2:$A$1001,35),IF(35&lt;=2000,INDEX($B$2:$B$1001,-965),IF(35&lt;=3000,INDEX($C$2:$C$1001,-1965),IF(35&lt;=4000,INDEX($D$2:$D$1001,-2965),IF(35&lt;=5000,INDEX($E$2:$E$1001,-3965),"")))))</f>
        <v/>
      </c>
    </row>
    <row r="37">
      <c r="A37">
        <f>IFERROR(INDEX('[AQ_2020.xlsx]原始数据'!$A:$A,ROW(A1)+36),"")</f>
        <v/>
      </c>
      <c r="B37">
        <f>IFERROR(INDEX('[AQ_2021.xlsx]原始数据'!$A:$A,ROW(A1)+36),"")</f>
        <v/>
      </c>
      <c r="C37">
        <f>IFERROR(INDEX('[AQ_2022.xlsx]原始数据'!$A:$A,ROW(A1)+36),"")</f>
        <v/>
      </c>
      <c r="D37">
        <f>IFERROR(INDEX('[AQ_2023.xlsx]原始数据'!$A:$A,ROW(A1)+36),"")</f>
        <v/>
      </c>
      <c r="E37">
        <f>IFERROR(INDEX('[AQ_2024.xlsx]原始数据'!$A:$A,ROW(A1)+36),"")</f>
        <v/>
      </c>
      <c r="G37">
        <f>IF(36&lt;=1000,INDEX($A$2:$A$1001,36),IF(36&lt;=2000,INDEX($B$2:$B$1001,-964),IF(36&lt;=3000,INDEX($C$2:$C$1001,-1964),IF(36&lt;=4000,INDEX($D$2:$D$1001,-2964),IF(36&lt;=5000,INDEX($E$2:$E$1001,-3964),"")))))</f>
        <v/>
      </c>
    </row>
    <row r="38">
      <c r="A38">
        <f>IFERROR(INDEX('[AQ_2020.xlsx]原始数据'!$A:$A,ROW(A1)+37),"")</f>
        <v/>
      </c>
      <c r="B38">
        <f>IFERROR(INDEX('[AQ_2021.xlsx]原始数据'!$A:$A,ROW(A1)+37),"")</f>
        <v/>
      </c>
      <c r="C38">
        <f>IFERROR(INDEX('[AQ_2022.xlsx]原始数据'!$A:$A,ROW(A1)+37),"")</f>
        <v/>
      </c>
      <c r="D38">
        <f>IFERROR(INDEX('[AQ_2023.xlsx]原始数据'!$A:$A,ROW(A1)+37),"")</f>
        <v/>
      </c>
      <c r="E38">
        <f>IFERROR(INDEX('[AQ_2024.xlsx]原始数据'!$A:$A,ROW(A1)+37),"")</f>
        <v/>
      </c>
      <c r="G38">
        <f>IF(37&lt;=1000,INDEX($A$2:$A$1001,37),IF(37&lt;=2000,INDEX($B$2:$B$1001,-963),IF(37&lt;=3000,INDEX($C$2:$C$1001,-1963),IF(37&lt;=4000,INDEX($D$2:$D$1001,-2963),IF(37&lt;=5000,INDEX($E$2:$E$1001,-3963),"")))))</f>
        <v/>
      </c>
    </row>
    <row r="39">
      <c r="A39">
        <f>IFERROR(INDEX('[AQ_2020.xlsx]原始数据'!$A:$A,ROW(A1)+38),"")</f>
        <v/>
      </c>
      <c r="B39">
        <f>IFERROR(INDEX('[AQ_2021.xlsx]原始数据'!$A:$A,ROW(A1)+38),"")</f>
        <v/>
      </c>
      <c r="C39">
        <f>IFERROR(INDEX('[AQ_2022.xlsx]原始数据'!$A:$A,ROW(A1)+38),"")</f>
        <v/>
      </c>
      <c r="D39">
        <f>IFERROR(INDEX('[AQ_2023.xlsx]原始数据'!$A:$A,ROW(A1)+38),"")</f>
        <v/>
      </c>
      <c r="E39">
        <f>IFERROR(INDEX('[AQ_2024.xlsx]原始数据'!$A:$A,ROW(A1)+38),"")</f>
        <v/>
      </c>
      <c r="G39">
        <f>IF(38&lt;=1000,INDEX($A$2:$A$1001,38),IF(38&lt;=2000,INDEX($B$2:$B$1001,-962),IF(38&lt;=3000,INDEX($C$2:$C$1001,-1962),IF(38&lt;=4000,INDEX($D$2:$D$1001,-2962),IF(38&lt;=5000,INDEX($E$2:$E$1001,-3962),"")))))</f>
        <v/>
      </c>
    </row>
    <row r="40">
      <c r="A40">
        <f>IFERROR(INDEX('[AQ_2020.xlsx]原始数据'!$A:$A,ROW(A1)+39),"")</f>
        <v/>
      </c>
      <c r="B40">
        <f>IFERROR(INDEX('[AQ_2021.xlsx]原始数据'!$A:$A,ROW(A1)+39),"")</f>
        <v/>
      </c>
      <c r="C40">
        <f>IFERROR(INDEX('[AQ_2022.xlsx]原始数据'!$A:$A,ROW(A1)+39),"")</f>
        <v/>
      </c>
      <c r="D40">
        <f>IFERROR(INDEX('[AQ_2023.xlsx]原始数据'!$A:$A,ROW(A1)+39),"")</f>
        <v/>
      </c>
      <c r="E40">
        <f>IFERROR(INDEX('[AQ_2024.xlsx]原始数据'!$A:$A,ROW(A1)+39),"")</f>
        <v/>
      </c>
      <c r="G40">
        <f>IF(39&lt;=1000,INDEX($A$2:$A$1001,39),IF(39&lt;=2000,INDEX($B$2:$B$1001,-961),IF(39&lt;=3000,INDEX($C$2:$C$1001,-1961),IF(39&lt;=4000,INDEX($D$2:$D$1001,-2961),IF(39&lt;=5000,INDEX($E$2:$E$1001,-3961),"")))))</f>
        <v/>
      </c>
    </row>
    <row r="41">
      <c r="A41">
        <f>IFERROR(INDEX('[AQ_2020.xlsx]原始数据'!$A:$A,ROW(A1)+40),"")</f>
        <v/>
      </c>
      <c r="B41">
        <f>IFERROR(INDEX('[AQ_2021.xlsx]原始数据'!$A:$A,ROW(A1)+40),"")</f>
        <v/>
      </c>
      <c r="C41">
        <f>IFERROR(INDEX('[AQ_2022.xlsx]原始数据'!$A:$A,ROW(A1)+40),"")</f>
        <v/>
      </c>
      <c r="D41">
        <f>IFERROR(INDEX('[AQ_2023.xlsx]原始数据'!$A:$A,ROW(A1)+40),"")</f>
        <v/>
      </c>
      <c r="E41">
        <f>IFERROR(INDEX('[AQ_2024.xlsx]原始数据'!$A:$A,ROW(A1)+40),"")</f>
        <v/>
      </c>
      <c r="G41">
        <f>IF(40&lt;=1000,INDEX($A$2:$A$1001,40),IF(40&lt;=2000,INDEX($B$2:$B$1001,-960),IF(40&lt;=3000,INDEX($C$2:$C$1001,-1960),IF(40&lt;=4000,INDEX($D$2:$D$1001,-2960),IF(40&lt;=5000,INDEX($E$2:$E$1001,-3960),"")))))</f>
        <v/>
      </c>
    </row>
    <row r="42">
      <c r="A42">
        <f>IFERROR(INDEX('[AQ_2020.xlsx]原始数据'!$A:$A,ROW(A1)+41),"")</f>
        <v/>
      </c>
      <c r="B42">
        <f>IFERROR(INDEX('[AQ_2021.xlsx]原始数据'!$A:$A,ROW(A1)+41),"")</f>
        <v/>
      </c>
      <c r="C42">
        <f>IFERROR(INDEX('[AQ_2022.xlsx]原始数据'!$A:$A,ROW(A1)+41),"")</f>
        <v/>
      </c>
      <c r="D42">
        <f>IFERROR(INDEX('[AQ_2023.xlsx]原始数据'!$A:$A,ROW(A1)+41),"")</f>
        <v/>
      </c>
      <c r="E42">
        <f>IFERROR(INDEX('[AQ_2024.xlsx]原始数据'!$A:$A,ROW(A1)+41),"")</f>
        <v/>
      </c>
      <c r="G42">
        <f>IF(41&lt;=1000,INDEX($A$2:$A$1001,41),IF(41&lt;=2000,INDEX($B$2:$B$1001,-959),IF(41&lt;=3000,INDEX($C$2:$C$1001,-1959),IF(41&lt;=4000,INDEX($D$2:$D$1001,-2959),IF(41&lt;=5000,INDEX($E$2:$E$1001,-3959),"")))))</f>
        <v/>
      </c>
    </row>
    <row r="43">
      <c r="A43">
        <f>IFERROR(INDEX('[AQ_2020.xlsx]原始数据'!$A:$A,ROW(A1)+42),"")</f>
        <v/>
      </c>
      <c r="B43">
        <f>IFERROR(INDEX('[AQ_2021.xlsx]原始数据'!$A:$A,ROW(A1)+42),"")</f>
        <v/>
      </c>
      <c r="C43">
        <f>IFERROR(INDEX('[AQ_2022.xlsx]原始数据'!$A:$A,ROW(A1)+42),"")</f>
        <v/>
      </c>
      <c r="D43">
        <f>IFERROR(INDEX('[AQ_2023.xlsx]原始数据'!$A:$A,ROW(A1)+42),"")</f>
        <v/>
      </c>
      <c r="E43">
        <f>IFERROR(INDEX('[AQ_2024.xlsx]原始数据'!$A:$A,ROW(A1)+42),"")</f>
        <v/>
      </c>
      <c r="G43">
        <f>IF(42&lt;=1000,INDEX($A$2:$A$1001,42),IF(42&lt;=2000,INDEX($B$2:$B$1001,-958),IF(42&lt;=3000,INDEX($C$2:$C$1001,-1958),IF(42&lt;=4000,INDEX($D$2:$D$1001,-2958),IF(42&lt;=5000,INDEX($E$2:$E$1001,-3958),"")))))</f>
        <v/>
      </c>
    </row>
    <row r="44">
      <c r="A44">
        <f>IFERROR(INDEX('[AQ_2020.xlsx]原始数据'!$A:$A,ROW(A1)+43),"")</f>
        <v/>
      </c>
      <c r="B44">
        <f>IFERROR(INDEX('[AQ_2021.xlsx]原始数据'!$A:$A,ROW(A1)+43),"")</f>
        <v/>
      </c>
      <c r="C44">
        <f>IFERROR(INDEX('[AQ_2022.xlsx]原始数据'!$A:$A,ROW(A1)+43),"")</f>
        <v/>
      </c>
      <c r="D44">
        <f>IFERROR(INDEX('[AQ_2023.xlsx]原始数据'!$A:$A,ROW(A1)+43),"")</f>
        <v/>
      </c>
      <c r="E44">
        <f>IFERROR(INDEX('[AQ_2024.xlsx]原始数据'!$A:$A,ROW(A1)+43),"")</f>
        <v/>
      </c>
      <c r="G44">
        <f>IF(43&lt;=1000,INDEX($A$2:$A$1001,43),IF(43&lt;=2000,INDEX($B$2:$B$1001,-957),IF(43&lt;=3000,INDEX($C$2:$C$1001,-1957),IF(43&lt;=4000,INDEX($D$2:$D$1001,-2957),IF(43&lt;=5000,INDEX($E$2:$E$1001,-3957),"")))))</f>
        <v/>
      </c>
    </row>
    <row r="45">
      <c r="A45">
        <f>IFERROR(INDEX('[AQ_2020.xlsx]原始数据'!$A:$A,ROW(A1)+44),"")</f>
        <v/>
      </c>
      <c r="B45">
        <f>IFERROR(INDEX('[AQ_2021.xlsx]原始数据'!$A:$A,ROW(A1)+44),"")</f>
        <v/>
      </c>
      <c r="C45">
        <f>IFERROR(INDEX('[AQ_2022.xlsx]原始数据'!$A:$A,ROW(A1)+44),"")</f>
        <v/>
      </c>
      <c r="D45">
        <f>IFERROR(INDEX('[AQ_2023.xlsx]原始数据'!$A:$A,ROW(A1)+44),"")</f>
        <v/>
      </c>
      <c r="E45">
        <f>IFERROR(INDEX('[AQ_2024.xlsx]原始数据'!$A:$A,ROW(A1)+44),"")</f>
        <v/>
      </c>
      <c r="G45">
        <f>IF(44&lt;=1000,INDEX($A$2:$A$1001,44),IF(44&lt;=2000,INDEX($B$2:$B$1001,-956),IF(44&lt;=3000,INDEX($C$2:$C$1001,-1956),IF(44&lt;=4000,INDEX($D$2:$D$1001,-2956),IF(44&lt;=5000,INDEX($E$2:$E$1001,-3956),"")))))</f>
        <v/>
      </c>
    </row>
    <row r="46">
      <c r="A46">
        <f>IFERROR(INDEX('[AQ_2020.xlsx]原始数据'!$A:$A,ROW(A1)+45),"")</f>
        <v/>
      </c>
      <c r="B46">
        <f>IFERROR(INDEX('[AQ_2021.xlsx]原始数据'!$A:$A,ROW(A1)+45),"")</f>
        <v/>
      </c>
      <c r="C46">
        <f>IFERROR(INDEX('[AQ_2022.xlsx]原始数据'!$A:$A,ROW(A1)+45),"")</f>
        <v/>
      </c>
      <c r="D46">
        <f>IFERROR(INDEX('[AQ_2023.xlsx]原始数据'!$A:$A,ROW(A1)+45),"")</f>
        <v/>
      </c>
      <c r="E46">
        <f>IFERROR(INDEX('[AQ_2024.xlsx]原始数据'!$A:$A,ROW(A1)+45),"")</f>
        <v/>
      </c>
      <c r="G46">
        <f>IF(45&lt;=1000,INDEX($A$2:$A$1001,45),IF(45&lt;=2000,INDEX($B$2:$B$1001,-955),IF(45&lt;=3000,INDEX($C$2:$C$1001,-1955),IF(45&lt;=4000,INDEX($D$2:$D$1001,-2955),IF(45&lt;=5000,INDEX($E$2:$E$1001,-3955),"")))))</f>
        <v/>
      </c>
    </row>
    <row r="47">
      <c r="A47">
        <f>IFERROR(INDEX('[AQ_2020.xlsx]原始数据'!$A:$A,ROW(A1)+46),"")</f>
        <v/>
      </c>
      <c r="B47">
        <f>IFERROR(INDEX('[AQ_2021.xlsx]原始数据'!$A:$A,ROW(A1)+46),"")</f>
        <v/>
      </c>
      <c r="C47">
        <f>IFERROR(INDEX('[AQ_2022.xlsx]原始数据'!$A:$A,ROW(A1)+46),"")</f>
        <v/>
      </c>
      <c r="D47">
        <f>IFERROR(INDEX('[AQ_2023.xlsx]原始数据'!$A:$A,ROW(A1)+46),"")</f>
        <v/>
      </c>
      <c r="E47">
        <f>IFERROR(INDEX('[AQ_2024.xlsx]原始数据'!$A:$A,ROW(A1)+46),"")</f>
        <v/>
      </c>
      <c r="G47">
        <f>IF(46&lt;=1000,INDEX($A$2:$A$1001,46),IF(46&lt;=2000,INDEX($B$2:$B$1001,-954),IF(46&lt;=3000,INDEX($C$2:$C$1001,-1954),IF(46&lt;=4000,INDEX($D$2:$D$1001,-2954),IF(46&lt;=5000,INDEX($E$2:$E$1001,-3954),"")))))</f>
        <v/>
      </c>
    </row>
    <row r="48">
      <c r="A48">
        <f>IFERROR(INDEX('[AQ_2020.xlsx]原始数据'!$A:$A,ROW(A1)+47),"")</f>
        <v/>
      </c>
      <c r="B48">
        <f>IFERROR(INDEX('[AQ_2021.xlsx]原始数据'!$A:$A,ROW(A1)+47),"")</f>
        <v/>
      </c>
      <c r="C48">
        <f>IFERROR(INDEX('[AQ_2022.xlsx]原始数据'!$A:$A,ROW(A1)+47),"")</f>
        <v/>
      </c>
      <c r="D48">
        <f>IFERROR(INDEX('[AQ_2023.xlsx]原始数据'!$A:$A,ROW(A1)+47),"")</f>
        <v/>
      </c>
      <c r="E48">
        <f>IFERROR(INDEX('[AQ_2024.xlsx]原始数据'!$A:$A,ROW(A1)+47),"")</f>
        <v/>
      </c>
      <c r="G48">
        <f>IF(47&lt;=1000,INDEX($A$2:$A$1001,47),IF(47&lt;=2000,INDEX($B$2:$B$1001,-953),IF(47&lt;=3000,INDEX($C$2:$C$1001,-1953),IF(47&lt;=4000,INDEX($D$2:$D$1001,-2953),IF(47&lt;=5000,INDEX($E$2:$E$1001,-3953),"")))))</f>
        <v/>
      </c>
    </row>
    <row r="49">
      <c r="A49">
        <f>IFERROR(INDEX('[AQ_2020.xlsx]原始数据'!$A:$A,ROW(A1)+48),"")</f>
        <v/>
      </c>
      <c r="B49">
        <f>IFERROR(INDEX('[AQ_2021.xlsx]原始数据'!$A:$A,ROW(A1)+48),"")</f>
        <v/>
      </c>
      <c r="C49">
        <f>IFERROR(INDEX('[AQ_2022.xlsx]原始数据'!$A:$A,ROW(A1)+48),"")</f>
        <v/>
      </c>
      <c r="D49">
        <f>IFERROR(INDEX('[AQ_2023.xlsx]原始数据'!$A:$A,ROW(A1)+48),"")</f>
        <v/>
      </c>
      <c r="E49">
        <f>IFERROR(INDEX('[AQ_2024.xlsx]原始数据'!$A:$A,ROW(A1)+48),"")</f>
        <v/>
      </c>
      <c r="G49">
        <f>IF(48&lt;=1000,INDEX($A$2:$A$1001,48),IF(48&lt;=2000,INDEX($B$2:$B$1001,-952),IF(48&lt;=3000,INDEX($C$2:$C$1001,-1952),IF(48&lt;=4000,INDEX($D$2:$D$1001,-2952),IF(48&lt;=5000,INDEX($E$2:$E$1001,-3952),"")))))</f>
        <v/>
      </c>
    </row>
    <row r="50">
      <c r="A50">
        <f>IFERROR(INDEX('[AQ_2020.xlsx]原始数据'!$A:$A,ROW(A1)+49),"")</f>
        <v/>
      </c>
      <c r="B50">
        <f>IFERROR(INDEX('[AQ_2021.xlsx]原始数据'!$A:$A,ROW(A1)+49),"")</f>
        <v/>
      </c>
      <c r="C50">
        <f>IFERROR(INDEX('[AQ_2022.xlsx]原始数据'!$A:$A,ROW(A1)+49),"")</f>
        <v/>
      </c>
      <c r="D50">
        <f>IFERROR(INDEX('[AQ_2023.xlsx]原始数据'!$A:$A,ROW(A1)+49),"")</f>
        <v/>
      </c>
      <c r="E50">
        <f>IFERROR(INDEX('[AQ_2024.xlsx]原始数据'!$A:$A,ROW(A1)+49),"")</f>
        <v/>
      </c>
      <c r="G50">
        <f>IF(49&lt;=1000,INDEX($A$2:$A$1001,49),IF(49&lt;=2000,INDEX($B$2:$B$1001,-951),IF(49&lt;=3000,INDEX($C$2:$C$1001,-1951),IF(49&lt;=4000,INDEX($D$2:$D$1001,-2951),IF(49&lt;=5000,INDEX($E$2:$E$1001,-3951),"")))))</f>
        <v/>
      </c>
    </row>
    <row r="51">
      <c r="A51">
        <f>IFERROR(INDEX('[AQ_2020.xlsx]原始数据'!$A:$A,ROW(A1)+50),"")</f>
        <v/>
      </c>
      <c r="B51">
        <f>IFERROR(INDEX('[AQ_2021.xlsx]原始数据'!$A:$A,ROW(A1)+50),"")</f>
        <v/>
      </c>
      <c r="C51">
        <f>IFERROR(INDEX('[AQ_2022.xlsx]原始数据'!$A:$A,ROW(A1)+50),"")</f>
        <v/>
      </c>
      <c r="D51">
        <f>IFERROR(INDEX('[AQ_2023.xlsx]原始数据'!$A:$A,ROW(A1)+50),"")</f>
        <v/>
      </c>
      <c r="E51">
        <f>IFERROR(INDEX('[AQ_2024.xlsx]原始数据'!$A:$A,ROW(A1)+50),"")</f>
        <v/>
      </c>
      <c r="G51">
        <f>IF(50&lt;=1000,INDEX($A$2:$A$1001,50),IF(50&lt;=2000,INDEX($B$2:$B$1001,-950),IF(50&lt;=3000,INDEX($C$2:$C$1001,-1950),IF(50&lt;=4000,INDEX($D$2:$D$1001,-2950),IF(50&lt;=5000,INDEX($E$2:$E$1001,-3950),"")))))</f>
        <v/>
      </c>
    </row>
    <row r="52">
      <c r="A52">
        <f>IFERROR(INDEX('[AQ_2020.xlsx]原始数据'!$A:$A,ROW(A1)+51),"")</f>
        <v/>
      </c>
      <c r="B52">
        <f>IFERROR(INDEX('[AQ_2021.xlsx]原始数据'!$A:$A,ROW(A1)+51),"")</f>
        <v/>
      </c>
      <c r="C52">
        <f>IFERROR(INDEX('[AQ_2022.xlsx]原始数据'!$A:$A,ROW(A1)+51),"")</f>
        <v/>
      </c>
      <c r="D52">
        <f>IFERROR(INDEX('[AQ_2023.xlsx]原始数据'!$A:$A,ROW(A1)+51),"")</f>
        <v/>
      </c>
      <c r="E52">
        <f>IFERROR(INDEX('[AQ_2024.xlsx]原始数据'!$A:$A,ROW(A1)+51),"")</f>
        <v/>
      </c>
      <c r="G52">
        <f>IF(51&lt;=1000,INDEX($A$2:$A$1001,51),IF(51&lt;=2000,INDEX($B$2:$B$1001,-949),IF(51&lt;=3000,INDEX($C$2:$C$1001,-1949),IF(51&lt;=4000,INDEX($D$2:$D$1001,-2949),IF(51&lt;=5000,INDEX($E$2:$E$1001,-3949),"")))))</f>
        <v/>
      </c>
    </row>
    <row r="53">
      <c r="A53">
        <f>IFERROR(INDEX('[AQ_2020.xlsx]原始数据'!$A:$A,ROW(A1)+52),"")</f>
        <v/>
      </c>
      <c r="B53">
        <f>IFERROR(INDEX('[AQ_2021.xlsx]原始数据'!$A:$A,ROW(A1)+52),"")</f>
        <v/>
      </c>
      <c r="C53">
        <f>IFERROR(INDEX('[AQ_2022.xlsx]原始数据'!$A:$A,ROW(A1)+52),"")</f>
        <v/>
      </c>
      <c r="D53">
        <f>IFERROR(INDEX('[AQ_2023.xlsx]原始数据'!$A:$A,ROW(A1)+52),"")</f>
        <v/>
      </c>
      <c r="E53">
        <f>IFERROR(INDEX('[AQ_2024.xlsx]原始数据'!$A:$A,ROW(A1)+52),"")</f>
        <v/>
      </c>
      <c r="G53">
        <f>IF(52&lt;=1000,INDEX($A$2:$A$1001,52),IF(52&lt;=2000,INDEX($B$2:$B$1001,-948),IF(52&lt;=3000,INDEX($C$2:$C$1001,-1948),IF(52&lt;=4000,INDEX($D$2:$D$1001,-2948),IF(52&lt;=5000,INDEX($E$2:$E$1001,-3948),"")))))</f>
        <v/>
      </c>
    </row>
    <row r="54">
      <c r="A54">
        <f>IFERROR(INDEX('[AQ_2020.xlsx]原始数据'!$A:$A,ROW(A1)+53),"")</f>
        <v/>
      </c>
      <c r="B54">
        <f>IFERROR(INDEX('[AQ_2021.xlsx]原始数据'!$A:$A,ROW(A1)+53),"")</f>
        <v/>
      </c>
      <c r="C54">
        <f>IFERROR(INDEX('[AQ_2022.xlsx]原始数据'!$A:$A,ROW(A1)+53),"")</f>
        <v/>
      </c>
      <c r="D54">
        <f>IFERROR(INDEX('[AQ_2023.xlsx]原始数据'!$A:$A,ROW(A1)+53),"")</f>
        <v/>
      </c>
      <c r="E54">
        <f>IFERROR(INDEX('[AQ_2024.xlsx]原始数据'!$A:$A,ROW(A1)+53),"")</f>
        <v/>
      </c>
      <c r="G54">
        <f>IF(53&lt;=1000,INDEX($A$2:$A$1001,53),IF(53&lt;=2000,INDEX($B$2:$B$1001,-947),IF(53&lt;=3000,INDEX($C$2:$C$1001,-1947),IF(53&lt;=4000,INDEX($D$2:$D$1001,-2947),IF(53&lt;=5000,INDEX($E$2:$E$1001,-3947),"")))))</f>
        <v/>
      </c>
    </row>
    <row r="55">
      <c r="A55">
        <f>IFERROR(INDEX('[AQ_2020.xlsx]原始数据'!$A:$A,ROW(A1)+54),"")</f>
        <v/>
      </c>
      <c r="B55">
        <f>IFERROR(INDEX('[AQ_2021.xlsx]原始数据'!$A:$A,ROW(A1)+54),"")</f>
        <v/>
      </c>
      <c r="C55">
        <f>IFERROR(INDEX('[AQ_2022.xlsx]原始数据'!$A:$A,ROW(A1)+54),"")</f>
        <v/>
      </c>
      <c r="D55">
        <f>IFERROR(INDEX('[AQ_2023.xlsx]原始数据'!$A:$A,ROW(A1)+54),"")</f>
        <v/>
      </c>
      <c r="E55">
        <f>IFERROR(INDEX('[AQ_2024.xlsx]原始数据'!$A:$A,ROW(A1)+54),"")</f>
        <v/>
      </c>
      <c r="G55">
        <f>IF(54&lt;=1000,INDEX($A$2:$A$1001,54),IF(54&lt;=2000,INDEX($B$2:$B$1001,-946),IF(54&lt;=3000,INDEX($C$2:$C$1001,-1946),IF(54&lt;=4000,INDEX($D$2:$D$1001,-2946),IF(54&lt;=5000,INDEX($E$2:$E$1001,-3946),"")))))</f>
        <v/>
      </c>
    </row>
    <row r="56">
      <c r="A56">
        <f>IFERROR(INDEX('[AQ_2020.xlsx]原始数据'!$A:$A,ROW(A1)+55),"")</f>
        <v/>
      </c>
      <c r="B56">
        <f>IFERROR(INDEX('[AQ_2021.xlsx]原始数据'!$A:$A,ROW(A1)+55),"")</f>
        <v/>
      </c>
      <c r="C56">
        <f>IFERROR(INDEX('[AQ_2022.xlsx]原始数据'!$A:$A,ROW(A1)+55),"")</f>
        <v/>
      </c>
      <c r="D56">
        <f>IFERROR(INDEX('[AQ_2023.xlsx]原始数据'!$A:$A,ROW(A1)+55),"")</f>
        <v/>
      </c>
      <c r="E56">
        <f>IFERROR(INDEX('[AQ_2024.xlsx]原始数据'!$A:$A,ROW(A1)+55),"")</f>
        <v/>
      </c>
      <c r="G56">
        <f>IF(55&lt;=1000,INDEX($A$2:$A$1001,55),IF(55&lt;=2000,INDEX($B$2:$B$1001,-945),IF(55&lt;=3000,INDEX($C$2:$C$1001,-1945),IF(55&lt;=4000,INDEX($D$2:$D$1001,-2945),IF(55&lt;=5000,INDEX($E$2:$E$1001,-3945),"")))))</f>
        <v/>
      </c>
    </row>
    <row r="57">
      <c r="A57">
        <f>IFERROR(INDEX('[AQ_2020.xlsx]原始数据'!$A:$A,ROW(A1)+56),"")</f>
        <v/>
      </c>
      <c r="B57">
        <f>IFERROR(INDEX('[AQ_2021.xlsx]原始数据'!$A:$A,ROW(A1)+56),"")</f>
        <v/>
      </c>
      <c r="C57">
        <f>IFERROR(INDEX('[AQ_2022.xlsx]原始数据'!$A:$A,ROW(A1)+56),"")</f>
        <v/>
      </c>
      <c r="D57">
        <f>IFERROR(INDEX('[AQ_2023.xlsx]原始数据'!$A:$A,ROW(A1)+56),"")</f>
        <v/>
      </c>
      <c r="E57">
        <f>IFERROR(INDEX('[AQ_2024.xlsx]原始数据'!$A:$A,ROW(A1)+56),"")</f>
        <v/>
      </c>
      <c r="G57">
        <f>IF(56&lt;=1000,INDEX($A$2:$A$1001,56),IF(56&lt;=2000,INDEX($B$2:$B$1001,-944),IF(56&lt;=3000,INDEX($C$2:$C$1001,-1944),IF(56&lt;=4000,INDEX($D$2:$D$1001,-2944),IF(56&lt;=5000,INDEX($E$2:$E$1001,-3944),"")))))</f>
        <v/>
      </c>
    </row>
    <row r="58">
      <c r="A58">
        <f>IFERROR(INDEX('[AQ_2020.xlsx]原始数据'!$A:$A,ROW(A1)+57),"")</f>
        <v/>
      </c>
      <c r="B58">
        <f>IFERROR(INDEX('[AQ_2021.xlsx]原始数据'!$A:$A,ROW(A1)+57),"")</f>
        <v/>
      </c>
      <c r="C58">
        <f>IFERROR(INDEX('[AQ_2022.xlsx]原始数据'!$A:$A,ROW(A1)+57),"")</f>
        <v/>
      </c>
      <c r="D58">
        <f>IFERROR(INDEX('[AQ_2023.xlsx]原始数据'!$A:$A,ROW(A1)+57),"")</f>
        <v/>
      </c>
      <c r="E58">
        <f>IFERROR(INDEX('[AQ_2024.xlsx]原始数据'!$A:$A,ROW(A1)+57),"")</f>
        <v/>
      </c>
      <c r="G58">
        <f>IF(57&lt;=1000,INDEX($A$2:$A$1001,57),IF(57&lt;=2000,INDEX($B$2:$B$1001,-943),IF(57&lt;=3000,INDEX($C$2:$C$1001,-1943),IF(57&lt;=4000,INDEX($D$2:$D$1001,-2943),IF(57&lt;=5000,INDEX($E$2:$E$1001,-3943),"")))))</f>
        <v/>
      </c>
    </row>
    <row r="59">
      <c r="A59">
        <f>IFERROR(INDEX('[AQ_2020.xlsx]原始数据'!$A:$A,ROW(A1)+58),"")</f>
        <v/>
      </c>
      <c r="B59">
        <f>IFERROR(INDEX('[AQ_2021.xlsx]原始数据'!$A:$A,ROW(A1)+58),"")</f>
        <v/>
      </c>
      <c r="C59">
        <f>IFERROR(INDEX('[AQ_2022.xlsx]原始数据'!$A:$A,ROW(A1)+58),"")</f>
        <v/>
      </c>
      <c r="D59">
        <f>IFERROR(INDEX('[AQ_2023.xlsx]原始数据'!$A:$A,ROW(A1)+58),"")</f>
        <v/>
      </c>
      <c r="E59">
        <f>IFERROR(INDEX('[AQ_2024.xlsx]原始数据'!$A:$A,ROW(A1)+58),"")</f>
        <v/>
      </c>
      <c r="G59">
        <f>IF(58&lt;=1000,INDEX($A$2:$A$1001,58),IF(58&lt;=2000,INDEX($B$2:$B$1001,-942),IF(58&lt;=3000,INDEX($C$2:$C$1001,-1942),IF(58&lt;=4000,INDEX($D$2:$D$1001,-2942),IF(58&lt;=5000,INDEX($E$2:$E$1001,-3942),"")))))</f>
        <v/>
      </c>
    </row>
    <row r="60">
      <c r="A60">
        <f>IFERROR(INDEX('[AQ_2020.xlsx]原始数据'!$A:$A,ROW(A1)+59),"")</f>
        <v/>
      </c>
      <c r="B60">
        <f>IFERROR(INDEX('[AQ_2021.xlsx]原始数据'!$A:$A,ROW(A1)+59),"")</f>
        <v/>
      </c>
      <c r="C60">
        <f>IFERROR(INDEX('[AQ_2022.xlsx]原始数据'!$A:$A,ROW(A1)+59),"")</f>
        <v/>
      </c>
      <c r="D60">
        <f>IFERROR(INDEX('[AQ_2023.xlsx]原始数据'!$A:$A,ROW(A1)+59),"")</f>
        <v/>
      </c>
      <c r="E60">
        <f>IFERROR(INDEX('[AQ_2024.xlsx]原始数据'!$A:$A,ROW(A1)+59),"")</f>
        <v/>
      </c>
      <c r="G60">
        <f>IF(59&lt;=1000,INDEX($A$2:$A$1001,59),IF(59&lt;=2000,INDEX($B$2:$B$1001,-941),IF(59&lt;=3000,INDEX($C$2:$C$1001,-1941),IF(59&lt;=4000,INDEX($D$2:$D$1001,-2941),IF(59&lt;=5000,INDEX($E$2:$E$1001,-3941),"")))))</f>
        <v/>
      </c>
    </row>
    <row r="61">
      <c r="A61">
        <f>IFERROR(INDEX('[AQ_2020.xlsx]原始数据'!$A:$A,ROW(A1)+60),"")</f>
        <v/>
      </c>
      <c r="B61">
        <f>IFERROR(INDEX('[AQ_2021.xlsx]原始数据'!$A:$A,ROW(A1)+60),"")</f>
        <v/>
      </c>
      <c r="C61">
        <f>IFERROR(INDEX('[AQ_2022.xlsx]原始数据'!$A:$A,ROW(A1)+60),"")</f>
        <v/>
      </c>
      <c r="D61">
        <f>IFERROR(INDEX('[AQ_2023.xlsx]原始数据'!$A:$A,ROW(A1)+60),"")</f>
        <v/>
      </c>
      <c r="E61">
        <f>IFERROR(INDEX('[AQ_2024.xlsx]原始数据'!$A:$A,ROW(A1)+60),"")</f>
        <v/>
      </c>
      <c r="G61">
        <f>IF(60&lt;=1000,INDEX($A$2:$A$1001,60),IF(60&lt;=2000,INDEX($B$2:$B$1001,-940),IF(60&lt;=3000,INDEX($C$2:$C$1001,-1940),IF(60&lt;=4000,INDEX($D$2:$D$1001,-2940),IF(60&lt;=5000,INDEX($E$2:$E$1001,-3940),"")))))</f>
        <v/>
      </c>
    </row>
    <row r="62">
      <c r="A62">
        <f>IFERROR(INDEX('[AQ_2020.xlsx]原始数据'!$A:$A,ROW(A1)+61),"")</f>
        <v/>
      </c>
      <c r="B62">
        <f>IFERROR(INDEX('[AQ_2021.xlsx]原始数据'!$A:$A,ROW(A1)+61),"")</f>
        <v/>
      </c>
      <c r="C62">
        <f>IFERROR(INDEX('[AQ_2022.xlsx]原始数据'!$A:$A,ROW(A1)+61),"")</f>
        <v/>
      </c>
      <c r="D62">
        <f>IFERROR(INDEX('[AQ_2023.xlsx]原始数据'!$A:$A,ROW(A1)+61),"")</f>
        <v/>
      </c>
      <c r="E62">
        <f>IFERROR(INDEX('[AQ_2024.xlsx]原始数据'!$A:$A,ROW(A1)+61),"")</f>
        <v/>
      </c>
      <c r="G62">
        <f>IF(61&lt;=1000,INDEX($A$2:$A$1001,61),IF(61&lt;=2000,INDEX($B$2:$B$1001,-939),IF(61&lt;=3000,INDEX($C$2:$C$1001,-1939),IF(61&lt;=4000,INDEX($D$2:$D$1001,-2939),IF(61&lt;=5000,INDEX($E$2:$E$1001,-3939),"")))))</f>
        <v/>
      </c>
    </row>
    <row r="63">
      <c r="A63">
        <f>IFERROR(INDEX('[AQ_2020.xlsx]原始数据'!$A:$A,ROW(A1)+62),"")</f>
        <v/>
      </c>
      <c r="B63">
        <f>IFERROR(INDEX('[AQ_2021.xlsx]原始数据'!$A:$A,ROW(A1)+62),"")</f>
        <v/>
      </c>
      <c r="C63">
        <f>IFERROR(INDEX('[AQ_2022.xlsx]原始数据'!$A:$A,ROW(A1)+62),"")</f>
        <v/>
      </c>
      <c r="D63">
        <f>IFERROR(INDEX('[AQ_2023.xlsx]原始数据'!$A:$A,ROW(A1)+62),"")</f>
        <v/>
      </c>
      <c r="E63">
        <f>IFERROR(INDEX('[AQ_2024.xlsx]原始数据'!$A:$A,ROW(A1)+62),"")</f>
        <v/>
      </c>
      <c r="G63">
        <f>IF(62&lt;=1000,INDEX($A$2:$A$1001,62),IF(62&lt;=2000,INDEX($B$2:$B$1001,-938),IF(62&lt;=3000,INDEX($C$2:$C$1001,-1938),IF(62&lt;=4000,INDEX($D$2:$D$1001,-2938),IF(62&lt;=5000,INDEX($E$2:$E$1001,-3938),"")))))</f>
        <v/>
      </c>
    </row>
    <row r="64">
      <c r="A64">
        <f>IFERROR(INDEX('[AQ_2020.xlsx]原始数据'!$A:$A,ROW(A1)+63),"")</f>
        <v/>
      </c>
      <c r="B64">
        <f>IFERROR(INDEX('[AQ_2021.xlsx]原始数据'!$A:$A,ROW(A1)+63),"")</f>
        <v/>
      </c>
      <c r="C64">
        <f>IFERROR(INDEX('[AQ_2022.xlsx]原始数据'!$A:$A,ROW(A1)+63),"")</f>
        <v/>
      </c>
      <c r="D64">
        <f>IFERROR(INDEX('[AQ_2023.xlsx]原始数据'!$A:$A,ROW(A1)+63),"")</f>
        <v/>
      </c>
      <c r="E64">
        <f>IFERROR(INDEX('[AQ_2024.xlsx]原始数据'!$A:$A,ROW(A1)+63),"")</f>
        <v/>
      </c>
      <c r="G64">
        <f>IF(63&lt;=1000,INDEX($A$2:$A$1001,63),IF(63&lt;=2000,INDEX($B$2:$B$1001,-937),IF(63&lt;=3000,INDEX($C$2:$C$1001,-1937),IF(63&lt;=4000,INDEX($D$2:$D$1001,-2937),IF(63&lt;=5000,INDEX($E$2:$E$1001,-3937),"")))))</f>
        <v/>
      </c>
    </row>
    <row r="65">
      <c r="A65">
        <f>IFERROR(INDEX('[AQ_2020.xlsx]原始数据'!$A:$A,ROW(A1)+64),"")</f>
        <v/>
      </c>
      <c r="B65">
        <f>IFERROR(INDEX('[AQ_2021.xlsx]原始数据'!$A:$A,ROW(A1)+64),"")</f>
        <v/>
      </c>
      <c r="C65">
        <f>IFERROR(INDEX('[AQ_2022.xlsx]原始数据'!$A:$A,ROW(A1)+64),"")</f>
        <v/>
      </c>
      <c r="D65">
        <f>IFERROR(INDEX('[AQ_2023.xlsx]原始数据'!$A:$A,ROW(A1)+64),"")</f>
        <v/>
      </c>
      <c r="E65">
        <f>IFERROR(INDEX('[AQ_2024.xlsx]原始数据'!$A:$A,ROW(A1)+64),"")</f>
        <v/>
      </c>
      <c r="G65">
        <f>IF(64&lt;=1000,INDEX($A$2:$A$1001,64),IF(64&lt;=2000,INDEX($B$2:$B$1001,-936),IF(64&lt;=3000,INDEX($C$2:$C$1001,-1936),IF(64&lt;=4000,INDEX($D$2:$D$1001,-2936),IF(64&lt;=5000,INDEX($E$2:$E$1001,-3936),"")))))</f>
        <v/>
      </c>
    </row>
    <row r="66">
      <c r="A66">
        <f>IFERROR(INDEX('[AQ_2020.xlsx]原始数据'!$A:$A,ROW(A1)+65),"")</f>
        <v/>
      </c>
      <c r="B66">
        <f>IFERROR(INDEX('[AQ_2021.xlsx]原始数据'!$A:$A,ROW(A1)+65),"")</f>
        <v/>
      </c>
      <c r="C66">
        <f>IFERROR(INDEX('[AQ_2022.xlsx]原始数据'!$A:$A,ROW(A1)+65),"")</f>
        <v/>
      </c>
      <c r="D66">
        <f>IFERROR(INDEX('[AQ_2023.xlsx]原始数据'!$A:$A,ROW(A1)+65),"")</f>
        <v/>
      </c>
      <c r="E66">
        <f>IFERROR(INDEX('[AQ_2024.xlsx]原始数据'!$A:$A,ROW(A1)+65),"")</f>
        <v/>
      </c>
      <c r="G66">
        <f>IF(65&lt;=1000,INDEX($A$2:$A$1001,65),IF(65&lt;=2000,INDEX($B$2:$B$1001,-935),IF(65&lt;=3000,INDEX($C$2:$C$1001,-1935),IF(65&lt;=4000,INDEX($D$2:$D$1001,-2935),IF(65&lt;=5000,INDEX($E$2:$E$1001,-3935),"")))))</f>
        <v/>
      </c>
    </row>
    <row r="67">
      <c r="A67">
        <f>IFERROR(INDEX('[AQ_2020.xlsx]原始数据'!$A:$A,ROW(A1)+66),"")</f>
        <v/>
      </c>
      <c r="B67">
        <f>IFERROR(INDEX('[AQ_2021.xlsx]原始数据'!$A:$A,ROW(A1)+66),"")</f>
        <v/>
      </c>
      <c r="C67">
        <f>IFERROR(INDEX('[AQ_2022.xlsx]原始数据'!$A:$A,ROW(A1)+66),"")</f>
        <v/>
      </c>
      <c r="D67">
        <f>IFERROR(INDEX('[AQ_2023.xlsx]原始数据'!$A:$A,ROW(A1)+66),"")</f>
        <v/>
      </c>
      <c r="E67">
        <f>IFERROR(INDEX('[AQ_2024.xlsx]原始数据'!$A:$A,ROW(A1)+66),"")</f>
        <v/>
      </c>
      <c r="G67">
        <f>IF(66&lt;=1000,INDEX($A$2:$A$1001,66),IF(66&lt;=2000,INDEX($B$2:$B$1001,-934),IF(66&lt;=3000,INDEX($C$2:$C$1001,-1934),IF(66&lt;=4000,INDEX($D$2:$D$1001,-2934),IF(66&lt;=5000,INDEX($E$2:$E$1001,-3934),"")))))</f>
        <v/>
      </c>
    </row>
    <row r="68">
      <c r="A68">
        <f>IFERROR(INDEX('[AQ_2020.xlsx]原始数据'!$A:$A,ROW(A1)+67),"")</f>
        <v/>
      </c>
      <c r="B68">
        <f>IFERROR(INDEX('[AQ_2021.xlsx]原始数据'!$A:$A,ROW(A1)+67),"")</f>
        <v/>
      </c>
      <c r="C68">
        <f>IFERROR(INDEX('[AQ_2022.xlsx]原始数据'!$A:$A,ROW(A1)+67),"")</f>
        <v/>
      </c>
      <c r="D68">
        <f>IFERROR(INDEX('[AQ_2023.xlsx]原始数据'!$A:$A,ROW(A1)+67),"")</f>
        <v/>
      </c>
      <c r="E68">
        <f>IFERROR(INDEX('[AQ_2024.xlsx]原始数据'!$A:$A,ROW(A1)+67),"")</f>
        <v/>
      </c>
      <c r="G68">
        <f>IF(67&lt;=1000,INDEX($A$2:$A$1001,67),IF(67&lt;=2000,INDEX($B$2:$B$1001,-933),IF(67&lt;=3000,INDEX($C$2:$C$1001,-1933),IF(67&lt;=4000,INDEX($D$2:$D$1001,-2933),IF(67&lt;=5000,INDEX($E$2:$E$1001,-3933),"")))))</f>
        <v/>
      </c>
    </row>
    <row r="69">
      <c r="A69">
        <f>IFERROR(INDEX('[AQ_2020.xlsx]原始数据'!$A:$A,ROW(A1)+68),"")</f>
        <v/>
      </c>
      <c r="B69">
        <f>IFERROR(INDEX('[AQ_2021.xlsx]原始数据'!$A:$A,ROW(A1)+68),"")</f>
        <v/>
      </c>
      <c r="C69">
        <f>IFERROR(INDEX('[AQ_2022.xlsx]原始数据'!$A:$A,ROW(A1)+68),"")</f>
        <v/>
      </c>
      <c r="D69">
        <f>IFERROR(INDEX('[AQ_2023.xlsx]原始数据'!$A:$A,ROW(A1)+68),"")</f>
        <v/>
      </c>
      <c r="E69">
        <f>IFERROR(INDEX('[AQ_2024.xlsx]原始数据'!$A:$A,ROW(A1)+68),"")</f>
        <v/>
      </c>
      <c r="G69">
        <f>IF(68&lt;=1000,INDEX($A$2:$A$1001,68),IF(68&lt;=2000,INDEX($B$2:$B$1001,-932),IF(68&lt;=3000,INDEX($C$2:$C$1001,-1932),IF(68&lt;=4000,INDEX($D$2:$D$1001,-2932),IF(68&lt;=5000,INDEX($E$2:$E$1001,-3932),"")))))</f>
        <v/>
      </c>
    </row>
    <row r="70">
      <c r="A70">
        <f>IFERROR(INDEX('[AQ_2020.xlsx]原始数据'!$A:$A,ROW(A1)+69),"")</f>
        <v/>
      </c>
      <c r="B70">
        <f>IFERROR(INDEX('[AQ_2021.xlsx]原始数据'!$A:$A,ROW(A1)+69),"")</f>
        <v/>
      </c>
      <c r="C70">
        <f>IFERROR(INDEX('[AQ_2022.xlsx]原始数据'!$A:$A,ROW(A1)+69),"")</f>
        <v/>
      </c>
      <c r="D70">
        <f>IFERROR(INDEX('[AQ_2023.xlsx]原始数据'!$A:$A,ROW(A1)+69),"")</f>
        <v/>
      </c>
      <c r="E70">
        <f>IFERROR(INDEX('[AQ_2024.xlsx]原始数据'!$A:$A,ROW(A1)+69),"")</f>
        <v/>
      </c>
      <c r="G70">
        <f>IF(69&lt;=1000,INDEX($A$2:$A$1001,69),IF(69&lt;=2000,INDEX($B$2:$B$1001,-931),IF(69&lt;=3000,INDEX($C$2:$C$1001,-1931),IF(69&lt;=4000,INDEX($D$2:$D$1001,-2931),IF(69&lt;=5000,INDEX($E$2:$E$1001,-3931),"")))))</f>
        <v/>
      </c>
    </row>
    <row r="71">
      <c r="A71">
        <f>IFERROR(INDEX('[AQ_2020.xlsx]原始数据'!$A:$A,ROW(A1)+70),"")</f>
        <v/>
      </c>
      <c r="B71">
        <f>IFERROR(INDEX('[AQ_2021.xlsx]原始数据'!$A:$A,ROW(A1)+70),"")</f>
        <v/>
      </c>
      <c r="C71">
        <f>IFERROR(INDEX('[AQ_2022.xlsx]原始数据'!$A:$A,ROW(A1)+70),"")</f>
        <v/>
      </c>
      <c r="D71">
        <f>IFERROR(INDEX('[AQ_2023.xlsx]原始数据'!$A:$A,ROW(A1)+70),"")</f>
        <v/>
      </c>
      <c r="E71">
        <f>IFERROR(INDEX('[AQ_2024.xlsx]原始数据'!$A:$A,ROW(A1)+70),"")</f>
        <v/>
      </c>
      <c r="G71">
        <f>IF(70&lt;=1000,INDEX($A$2:$A$1001,70),IF(70&lt;=2000,INDEX($B$2:$B$1001,-930),IF(70&lt;=3000,INDEX($C$2:$C$1001,-1930),IF(70&lt;=4000,INDEX($D$2:$D$1001,-2930),IF(70&lt;=5000,INDEX($E$2:$E$1001,-3930),"")))))</f>
        <v/>
      </c>
    </row>
    <row r="72">
      <c r="A72">
        <f>IFERROR(INDEX('[AQ_2020.xlsx]原始数据'!$A:$A,ROW(A1)+71),"")</f>
        <v/>
      </c>
      <c r="B72">
        <f>IFERROR(INDEX('[AQ_2021.xlsx]原始数据'!$A:$A,ROW(A1)+71),"")</f>
        <v/>
      </c>
      <c r="C72">
        <f>IFERROR(INDEX('[AQ_2022.xlsx]原始数据'!$A:$A,ROW(A1)+71),"")</f>
        <v/>
      </c>
      <c r="D72">
        <f>IFERROR(INDEX('[AQ_2023.xlsx]原始数据'!$A:$A,ROW(A1)+71),"")</f>
        <v/>
      </c>
      <c r="E72">
        <f>IFERROR(INDEX('[AQ_2024.xlsx]原始数据'!$A:$A,ROW(A1)+71),"")</f>
        <v/>
      </c>
      <c r="G72">
        <f>IF(71&lt;=1000,INDEX($A$2:$A$1001,71),IF(71&lt;=2000,INDEX($B$2:$B$1001,-929),IF(71&lt;=3000,INDEX($C$2:$C$1001,-1929),IF(71&lt;=4000,INDEX($D$2:$D$1001,-2929),IF(71&lt;=5000,INDEX($E$2:$E$1001,-3929),"")))))</f>
        <v/>
      </c>
    </row>
    <row r="73">
      <c r="A73">
        <f>IFERROR(INDEX('[AQ_2020.xlsx]原始数据'!$A:$A,ROW(A1)+72),"")</f>
        <v/>
      </c>
      <c r="B73">
        <f>IFERROR(INDEX('[AQ_2021.xlsx]原始数据'!$A:$A,ROW(A1)+72),"")</f>
        <v/>
      </c>
      <c r="C73">
        <f>IFERROR(INDEX('[AQ_2022.xlsx]原始数据'!$A:$A,ROW(A1)+72),"")</f>
        <v/>
      </c>
      <c r="D73">
        <f>IFERROR(INDEX('[AQ_2023.xlsx]原始数据'!$A:$A,ROW(A1)+72),"")</f>
        <v/>
      </c>
      <c r="E73">
        <f>IFERROR(INDEX('[AQ_2024.xlsx]原始数据'!$A:$A,ROW(A1)+72),"")</f>
        <v/>
      </c>
      <c r="G73">
        <f>IF(72&lt;=1000,INDEX($A$2:$A$1001,72),IF(72&lt;=2000,INDEX($B$2:$B$1001,-928),IF(72&lt;=3000,INDEX($C$2:$C$1001,-1928),IF(72&lt;=4000,INDEX($D$2:$D$1001,-2928),IF(72&lt;=5000,INDEX($E$2:$E$1001,-3928),"")))))</f>
        <v/>
      </c>
    </row>
    <row r="74">
      <c r="A74">
        <f>IFERROR(INDEX('[AQ_2020.xlsx]原始数据'!$A:$A,ROW(A1)+73),"")</f>
        <v/>
      </c>
      <c r="B74">
        <f>IFERROR(INDEX('[AQ_2021.xlsx]原始数据'!$A:$A,ROW(A1)+73),"")</f>
        <v/>
      </c>
      <c r="C74">
        <f>IFERROR(INDEX('[AQ_2022.xlsx]原始数据'!$A:$A,ROW(A1)+73),"")</f>
        <v/>
      </c>
      <c r="D74">
        <f>IFERROR(INDEX('[AQ_2023.xlsx]原始数据'!$A:$A,ROW(A1)+73),"")</f>
        <v/>
      </c>
      <c r="E74">
        <f>IFERROR(INDEX('[AQ_2024.xlsx]原始数据'!$A:$A,ROW(A1)+73),"")</f>
        <v/>
      </c>
      <c r="G74">
        <f>IF(73&lt;=1000,INDEX($A$2:$A$1001,73),IF(73&lt;=2000,INDEX($B$2:$B$1001,-927),IF(73&lt;=3000,INDEX($C$2:$C$1001,-1927),IF(73&lt;=4000,INDEX($D$2:$D$1001,-2927),IF(73&lt;=5000,INDEX($E$2:$E$1001,-3927),"")))))</f>
        <v/>
      </c>
    </row>
    <row r="75">
      <c r="A75">
        <f>IFERROR(INDEX('[AQ_2020.xlsx]原始数据'!$A:$A,ROW(A1)+74),"")</f>
        <v/>
      </c>
      <c r="B75">
        <f>IFERROR(INDEX('[AQ_2021.xlsx]原始数据'!$A:$A,ROW(A1)+74),"")</f>
        <v/>
      </c>
      <c r="C75">
        <f>IFERROR(INDEX('[AQ_2022.xlsx]原始数据'!$A:$A,ROW(A1)+74),"")</f>
        <v/>
      </c>
      <c r="D75">
        <f>IFERROR(INDEX('[AQ_2023.xlsx]原始数据'!$A:$A,ROW(A1)+74),"")</f>
        <v/>
      </c>
      <c r="E75">
        <f>IFERROR(INDEX('[AQ_2024.xlsx]原始数据'!$A:$A,ROW(A1)+74),"")</f>
        <v/>
      </c>
      <c r="G75">
        <f>IF(74&lt;=1000,INDEX($A$2:$A$1001,74),IF(74&lt;=2000,INDEX($B$2:$B$1001,-926),IF(74&lt;=3000,INDEX($C$2:$C$1001,-1926),IF(74&lt;=4000,INDEX($D$2:$D$1001,-2926),IF(74&lt;=5000,INDEX($E$2:$E$1001,-3926),"")))))</f>
        <v/>
      </c>
    </row>
    <row r="76">
      <c r="A76">
        <f>IFERROR(INDEX('[AQ_2020.xlsx]原始数据'!$A:$A,ROW(A1)+75),"")</f>
        <v/>
      </c>
      <c r="B76">
        <f>IFERROR(INDEX('[AQ_2021.xlsx]原始数据'!$A:$A,ROW(A1)+75),"")</f>
        <v/>
      </c>
      <c r="C76">
        <f>IFERROR(INDEX('[AQ_2022.xlsx]原始数据'!$A:$A,ROW(A1)+75),"")</f>
        <v/>
      </c>
      <c r="D76">
        <f>IFERROR(INDEX('[AQ_2023.xlsx]原始数据'!$A:$A,ROW(A1)+75),"")</f>
        <v/>
      </c>
      <c r="E76">
        <f>IFERROR(INDEX('[AQ_2024.xlsx]原始数据'!$A:$A,ROW(A1)+75),"")</f>
        <v/>
      </c>
      <c r="G76">
        <f>IF(75&lt;=1000,INDEX($A$2:$A$1001,75),IF(75&lt;=2000,INDEX($B$2:$B$1001,-925),IF(75&lt;=3000,INDEX($C$2:$C$1001,-1925),IF(75&lt;=4000,INDEX($D$2:$D$1001,-2925),IF(75&lt;=5000,INDEX($E$2:$E$1001,-3925),"")))))</f>
        <v/>
      </c>
    </row>
    <row r="77">
      <c r="A77">
        <f>IFERROR(INDEX('[AQ_2020.xlsx]原始数据'!$A:$A,ROW(A1)+76),"")</f>
        <v/>
      </c>
      <c r="B77">
        <f>IFERROR(INDEX('[AQ_2021.xlsx]原始数据'!$A:$A,ROW(A1)+76),"")</f>
        <v/>
      </c>
      <c r="C77">
        <f>IFERROR(INDEX('[AQ_2022.xlsx]原始数据'!$A:$A,ROW(A1)+76),"")</f>
        <v/>
      </c>
      <c r="D77">
        <f>IFERROR(INDEX('[AQ_2023.xlsx]原始数据'!$A:$A,ROW(A1)+76),"")</f>
        <v/>
      </c>
      <c r="E77">
        <f>IFERROR(INDEX('[AQ_2024.xlsx]原始数据'!$A:$A,ROW(A1)+76),"")</f>
        <v/>
      </c>
      <c r="G77">
        <f>IF(76&lt;=1000,INDEX($A$2:$A$1001,76),IF(76&lt;=2000,INDEX($B$2:$B$1001,-924),IF(76&lt;=3000,INDEX($C$2:$C$1001,-1924),IF(76&lt;=4000,INDEX($D$2:$D$1001,-2924),IF(76&lt;=5000,INDEX($E$2:$E$1001,-3924),"")))))</f>
        <v/>
      </c>
    </row>
    <row r="78">
      <c r="A78">
        <f>IFERROR(INDEX('[AQ_2020.xlsx]原始数据'!$A:$A,ROW(A1)+77),"")</f>
        <v/>
      </c>
      <c r="B78">
        <f>IFERROR(INDEX('[AQ_2021.xlsx]原始数据'!$A:$A,ROW(A1)+77),"")</f>
        <v/>
      </c>
      <c r="C78">
        <f>IFERROR(INDEX('[AQ_2022.xlsx]原始数据'!$A:$A,ROW(A1)+77),"")</f>
        <v/>
      </c>
      <c r="D78">
        <f>IFERROR(INDEX('[AQ_2023.xlsx]原始数据'!$A:$A,ROW(A1)+77),"")</f>
        <v/>
      </c>
      <c r="E78">
        <f>IFERROR(INDEX('[AQ_2024.xlsx]原始数据'!$A:$A,ROW(A1)+77),"")</f>
        <v/>
      </c>
      <c r="G78">
        <f>IF(77&lt;=1000,INDEX($A$2:$A$1001,77),IF(77&lt;=2000,INDEX($B$2:$B$1001,-923),IF(77&lt;=3000,INDEX($C$2:$C$1001,-1923),IF(77&lt;=4000,INDEX($D$2:$D$1001,-2923),IF(77&lt;=5000,INDEX($E$2:$E$1001,-3923),"")))))</f>
        <v/>
      </c>
    </row>
    <row r="79">
      <c r="A79">
        <f>IFERROR(INDEX('[AQ_2020.xlsx]原始数据'!$A:$A,ROW(A1)+78),"")</f>
        <v/>
      </c>
      <c r="B79">
        <f>IFERROR(INDEX('[AQ_2021.xlsx]原始数据'!$A:$A,ROW(A1)+78),"")</f>
        <v/>
      </c>
      <c r="C79">
        <f>IFERROR(INDEX('[AQ_2022.xlsx]原始数据'!$A:$A,ROW(A1)+78),"")</f>
        <v/>
      </c>
      <c r="D79">
        <f>IFERROR(INDEX('[AQ_2023.xlsx]原始数据'!$A:$A,ROW(A1)+78),"")</f>
        <v/>
      </c>
      <c r="E79">
        <f>IFERROR(INDEX('[AQ_2024.xlsx]原始数据'!$A:$A,ROW(A1)+78),"")</f>
        <v/>
      </c>
      <c r="G79">
        <f>IF(78&lt;=1000,INDEX($A$2:$A$1001,78),IF(78&lt;=2000,INDEX($B$2:$B$1001,-922),IF(78&lt;=3000,INDEX($C$2:$C$1001,-1922),IF(78&lt;=4000,INDEX($D$2:$D$1001,-2922),IF(78&lt;=5000,INDEX($E$2:$E$1001,-3922),"")))))</f>
        <v/>
      </c>
    </row>
    <row r="80">
      <c r="A80">
        <f>IFERROR(INDEX('[AQ_2020.xlsx]原始数据'!$A:$A,ROW(A1)+79),"")</f>
        <v/>
      </c>
      <c r="B80">
        <f>IFERROR(INDEX('[AQ_2021.xlsx]原始数据'!$A:$A,ROW(A1)+79),"")</f>
        <v/>
      </c>
      <c r="C80">
        <f>IFERROR(INDEX('[AQ_2022.xlsx]原始数据'!$A:$A,ROW(A1)+79),"")</f>
        <v/>
      </c>
      <c r="D80">
        <f>IFERROR(INDEX('[AQ_2023.xlsx]原始数据'!$A:$A,ROW(A1)+79),"")</f>
        <v/>
      </c>
      <c r="E80">
        <f>IFERROR(INDEX('[AQ_2024.xlsx]原始数据'!$A:$A,ROW(A1)+79),"")</f>
        <v/>
      </c>
      <c r="G80">
        <f>IF(79&lt;=1000,INDEX($A$2:$A$1001,79),IF(79&lt;=2000,INDEX($B$2:$B$1001,-921),IF(79&lt;=3000,INDEX($C$2:$C$1001,-1921),IF(79&lt;=4000,INDEX($D$2:$D$1001,-2921),IF(79&lt;=5000,INDEX($E$2:$E$1001,-3921),"")))))</f>
        <v/>
      </c>
    </row>
    <row r="81">
      <c r="A81">
        <f>IFERROR(INDEX('[AQ_2020.xlsx]原始数据'!$A:$A,ROW(A1)+80),"")</f>
        <v/>
      </c>
      <c r="B81">
        <f>IFERROR(INDEX('[AQ_2021.xlsx]原始数据'!$A:$A,ROW(A1)+80),"")</f>
        <v/>
      </c>
      <c r="C81">
        <f>IFERROR(INDEX('[AQ_2022.xlsx]原始数据'!$A:$A,ROW(A1)+80),"")</f>
        <v/>
      </c>
      <c r="D81">
        <f>IFERROR(INDEX('[AQ_2023.xlsx]原始数据'!$A:$A,ROW(A1)+80),"")</f>
        <v/>
      </c>
      <c r="E81">
        <f>IFERROR(INDEX('[AQ_2024.xlsx]原始数据'!$A:$A,ROW(A1)+80),"")</f>
        <v/>
      </c>
      <c r="G81">
        <f>IF(80&lt;=1000,INDEX($A$2:$A$1001,80),IF(80&lt;=2000,INDEX($B$2:$B$1001,-920),IF(80&lt;=3000,INDEX($C$2:$C$1001,-1920),IF(80&lt;=4000,INDEX($D$2:$D$1001,-2920),IF(80&lt;=5000,INDEX($E$2:$E$1001,-3920),"")))))</f>
        <v/>
      </c>
    </row>
    <row r="82">
      <c r="A82">
        <f>IFERROR(INDEX('[AQ_2020.xlsx]原始数据'!$A:$A,ROW(A1)+81),"")</f>
        <v/>
      </c>
      <c r="B82">
        <f>IFERROR(INDEX('[AQ_2021.xlsx]原始数据'!$A:$A,ROW(A1)+81),"")</f>
        <v/>
      </c>
      <c r="C82">
        <f>IFERROR(INDEX('[AQ_2022.xlsx]原始数据'!$A:$A,ROW(A1)+81),"")</f>
        <v/>
      </c>
      <c r="D82">
        <f>IFERROR(INDEX('[AQ_2023.xlsx]原始数据'!$A:$A,ROW(A1)+81),"")</f>
        <v/>
      </c>
      <c r="E82">
        <f>IFERROR(INDEX('[AQ_2024.xlsx]原始数据'!$A:$A,ROW(A1)+81),"")</f>
        <v/>
      </c>
      <c r="G82">
        <f>IF(81&lt;=1000,INDEX($A$2:$A$1001,81),IF(81&lt;=2000,INDEX($B$2:$B$1001,-919),IF(81&lt;=3000,INDEX($C$2:$C$1001,-1919),IF(81&lt;=4000,INDEX($D$2:$D$1001,-2919),IF(81&lt;=5000,INDEX($E$2:$E$1001,-3919),"")))))</f>
        <v/>
      </c>
    </row>
    <row r="83">
      <c r="A83">
        <f>IFERROR(INDEX('[AQ_2020.xlsx]原始数据'!$A:$A,ROW(A1)+82),"")</f>
        <v/>
      </c>
      <c r="B83">
        <f>IFERROR(INDEX('[AQ_2021.xlsx]原始数据'!$A:$A,ROW(A1)+82),"")</f>
        <v/>
      </c>
      <c r="C83">
        <f>IFERROR(INDEX('[AQ_2022.xlsx]原始数据'!$A:$A,ROW(A1)+82),"")</f>
        <v/>
      </c>
      <c r="D83">
        <f>IFERROR(INDEX('[AQ_2023.xlsx]原始数据'!$A:$A,ROW(A1)+82),"")</f>
        <v/>
      </c>
      <c r="E83">
        <f>IFERROR(INDEX('[AQ_2024.xlsx]原始数据'!$A:$A,ROW(A1)+82),"")</f>
        <v/>
      </c>
      <c r="G83">
        <f>IF(82&lt;=1000,INDEX($A$2:$A$1001,82),IF(82&lt;=2000,INDEX($B$2:$B$1001,-918),IF(82&lt;=3000,INDEX($C$2:$C$1001,-1918),IF(82&lt;=4000,INDEX($D$2:$D$1001,-2918),IF(82&lt;=5000,INDEX($E$2:$E$1001,-3918),"")))))</f>
        <v/>
      </c>
    </row>
    <row r="84">
      <c r="A84">
        <f>IFERROR(INDEX('[AQ_2020.xlsx]原始数据'!$A:$A,ROW(A1)+83),"")</f>
        <v/>
      </c>
      <c r="B84">
        <f>IFERROR(INDEX('[AQ_2021.xlsx]原始数据'!$A:$A,ROW(A1)+83),"")</f>
        <v/>
      </c>
      <c r="C84">
        <f>IFERROR(INDEX('[AQ_2022.xlsx]原始数据'!$A:$A,ROW(A1)+83),"")</f>
        <v/>
      </c>
      <c r="D84">
        <f>IFERROR(INDEX('[AQ_2023.xlsx]原始数据'!$A:$A,ROW(A1)+83),"")</f>
        <v/>
      </c>
      <c r="E84">
        <f>IFERROR(INDEX('[AQ_2024.xlsx]原始数据'!$A:$A,ROW(A1)+83),"")</f>
        <v/>
      </c>
      <c r="G84">
        <f>IF(83&lt;=1000,INDEX($A$2:$A$1001,83),IF(83&lt;=2000,INDEX($B$2:$B$1001,-917),IF(83&lt;=3000,INDEX($C$2:$C$1001,-1917),IF(83&lt;=4000,INDEX($D$2:$D$1001,-2917),IF(83&lt;=5000,INDEX($E$2:$E$1001,-3917),"")))))</f>
        <v/>
      </c>
    </row>
    <row r="85">
      <c r="A85">
        <f>IFERROR(INDEX('[AQ_2020.xlsx]原始数据'!$A:$A,ROW(A1)+84),"")</f>
        <v/>
      </c>
      <c r="B85">
        <f>IFERROR(INDEX('[AQ_2021.xlsx]原始数据'!$A:$A,ROW(A1)+84),"")</f>
        <v/>
      </c>
      <c r="C85">
        <f>IFERROR(INDEX('[AQ_2022.xlsx]原始数据'!$A:$A,ROW(A1)+84),"")</f>
        <v/>
      </c>
      <c r="D85">
        <f>IFERROR(INDEX('[AQ_2023.xlsx]原始数据'!$A:$A,ROW(A1)+84),"")</f>
        <v/>
      </c>
      <c r="E85">
        <f>IFERROR(INDEX('[AQ_2024.xlsx]原始数据'!$A:$A,ROW(A1)+84),"")</f>
        <v/>
      </c>
      <c r="G85">
        <f>IF(84&lt;=1000,INDEX($A$2:$A$1001,84),IF(84&lt;=2000,INDEX($B$2:$B$1001,-916),IF(84&lt;=3000,INDEX($C$2:$C$1001,-1916),IF(84&lt;=4000,INDEX($D$2:$D$1001,-2916),IF(84&lt;=5000,INDEX($E$2:$E$1001,-3916),"")))))</f>
        <v/>
      </c>
    </row>
    <row r="86">
      <c r="A86">
        <f>IFERROR(INDEX('[AQ_2020.xlsx]原始数据'!$A:$A,ROW(A1)+85),"")</f>
        <v/>
      </c>
      <c r="B86">
        <f>IFERROR(INDEX('[AQ_2021.xlsx]原始数据'!$A:$A,ROW(A1)+85),"")</f>
        <v/>
      </c>
      <c r="C86">
        <f>IFERROR(INDEX('[AQ_2022.xlsx]原始数据'!$A:$A,ROW(A1)+85),"")</f>
        <v/>
      </c>
      <c r="D86">
        <f>IFERROR(INDEX('[AQ_2023.xlsx]原始数据'!$A:$A,ROW(A1)+85),"")</f>
        <v/>
      </c>
      <c r="E86">
        <f>IFERROR(INDEX('[AQ_2024.xlsx]原始数据'!$A:$A,ROW(A1)+85),"")</f>
        <v/>
      </c>
      <c r="G86">
        <f>IF(85&lt;=1000,INDEX($A$2:$A$1001,85),IF(85&lt;=2000,INDEX($B$2:$B$1001,-915),IF(85&lt;=3000,INDEX($C$2:$C$1001,-1915),IF(85&lt;=4000,INDEX($D$2:$D$1001,-2915),IF(85&lt;=5000,INDEX($E$2:$E$1001,-3915),"")))))</f>
        <v/>
      </c>
    </row>
    <row r="87">
      <c r="A87">
        <f>IFERROR(INDEX('[AQ_2020.xlsx]原始数据'!$A:$A,ROW(A1)+86),"")</f>
        <v/>
      </c>
      <c r="B87">
        <f>IFERROR(INDEX('[AQ_2021.xlsx]原始数据'!$A:$A,ROW(A1)+86),"")</f>
        <v/>
      </c>
      <c r="C87">
        <f>IFERROR(INDEX('[AQ_2022.xlsx]原始数据'!$A:$A,ROW(A1)+86),"")</f>
        <v/>
      </c>
      <c r="D87">
        <f>IFERROR(INDEX('[AQ_2023.xlsx]原始数据'!$A:$A,ROW(A1)+86),"")</f>
        <v/>
      </c>
      <c r="E87">
        <f>IFERROR(INDEX('[AQ_2024.xlsx]原始数据'!$A:$A,ROW(A1)+86),"")</f>
        <v/>
      </c>
      <c r="G87">
        <f>IF(86&lt;=1000,INDEX($A$2:$A$1001,86),IF(86&lt;=2000,INDEX($B$2:$B$1001,-914),IF(86&lt;=3000,INDEX($C$2:$C$1001,-1914),IF(86&lt;=4000,INDEX($D$2:$D$1001,-2914),IF(86&lt;=5000,INDEX($E$2:$E$1001,-3914),"")))))</f>
        <v/>
      </c>
    </row>
    <row r="88">
      <c r="A88">
        <f>IFERROR(INDEX('[AQ_2020.xlsx]原始数据'!$A:$A,ROW(A1)+87),"")</f>
        <v/>
      </c>
      <c r="B88">
        <f>IFERROR(INDEX('[AQ_2021.xlsx]原始数据'!$A:$A,ROW(A1)+87),"")</f>
        <v/>
      </c>
      <c r="C88">
        <f>IFERROR(INDEX('[AQ_2022.xlsx]原始数据'!$A:$A,ROW(A1)+87),"")</f>
        <v/>
      </c>
      <c r="D88">
        <f>IFERROR(INDEX('[AQ_2023.xlsx]原始数据'!$A:$A,ROW(A1)+87),"")</f>
        <v/>
      </c>
      <c r="E88">
        <f>IFERROR(INDEX('[AQ_2024.xlsx]原始数据'!$A:$A,ROW(A1)+87),"")</f>
        <v/>
      </c>
      <c r="G88">
        <f>IF(87&lt;=1000,INDEX($A$2:$A$1001,87),IF(87&lt;=2000,INDEX($B$2:$B$1001,-913),IF(87&lt;=3000,INDEX($C$2:$C$1001,-1913),IF(87&lt;=4000,INDEX($D$2:$D$1001,-2913),IF(87&lt;=5000,INDEX($E$2:$E$1001,-3913),"")))))</f>
        <v/>
      </c>
    </row>
    <row r="89">
      <c r="A89">
        <f>IFERROR(INDEX('[AQ_2020.xlsx]原始数据'!$A:$A,ROW(A1)+88),"")</f>
        <v/>
      </c>
      <c r="B89">
        <f>IFERROR(INDEX('[AQ_2021.xlsx]原始数据'!$A:$A,ROW(A1)+88),"")</f>
        <v/>
      </c>
      <c r="C89">
        <f>IFERROR(INDEX('[AQ_2022.xlsx]原始数据'!$A:$A,ROW(A1)+88),"")</f>
        <v/>
      </c>
      <c r="D89">
        <f>IFERROR(INDEX('[AQ_2023.xlsx]原始数据'!$A:$A,ROW(A1)+88),"")</f>
        <v/>
      </c>
      <c r="E89">
        <f>IFERROR(INDEX('[AQ_2024.xlsx]原始数据'!$A:$A,ROW(A1)+88),"")</f>
        <v/>
      </c>
      <c r="G89">
        <f>IF(88&lt;=1000,INDEX($A$2:$A$1001,88),IF(88&lt;=2000,INDEX($B$2:$B$1001,-912),IF(88&lt;=3000,INDEX($C$2:$C$1001,-1912),IF(88&lt;=4000,INDEX($D$2:$D$1001,-2912),IF(88&lt;=5000,INDEX($E$2:$E$1001,-3912),"")))))</f>
        <v/>
      </c>
    </row>
    <row r="90">
      <c r="A90">
        <f>IFERROR(INDEX('[AQ_2020.xlsx]原始数据'!$A:$A,ROW(A1)+89),"")</f>
        <v/>
      </c>
      <c r="B90">
        <f>IFERROR(INDEX('[AQ_2021.xlsx]原始数据'!$A:$A,ROW(A1)+89),"")</f>
        <v/>
      </c>
      <c r="C90">
        <f>IFERROR(INDEX('[AQ_2022.xlsx]原始数据'!$A:$A,ROW(A1)+89),"")</f>
        <v/>
      </c>
      <c r="D90">
        <f>IFERROR(INDEX('[AQ_2023.xlsx]原始数据'!$A:$A,ROW(A1)+89),"")</f>
        <v/>
      </c>
      <c r="E90">
        <f>IFERROR(INDEX('[AQ_2024.xlsx]原始数据'!$A:$A,ROW(A1)+89),"")</f>
        <v/>
      </c>
      <c r="G90">
        <f>IF(89&lt;=1000,INDEX($A$2:$A$1001,89),IF(89&lt;=2000,INDEX($B$2:$B$1001,-911),IF(89&lt;=3000,INDEX($C$2:$C$1001,-1911),IF(89&lt;=4000,INDEX($D$2:$D$1001,-2911),IF(89&lt;=5000,INDEX($E$2:$E$1001,-3911),"")))))</f>
        <v/>
      </c>
    </row>
    <row r="91">
      <c r="A91">
        <f>IFERROR(INDEX('[AQ_2020.xlsx]原始数据'!$A:$A,ROW(A1)+90),"")</f>
        <v/>
      </c>
      <c r="B91">
        <f>IFERROR(INDEX('[AQ_2021.xlsx]原始数据'!$A:$A,ROW(A1)+90),"")</f>
        <v/>
      </c>
      <c r="C91">
        <f>IFERROR(INDEX('[AQ_2022.xlsx]原始数据'!$A:$A,ROW(A1)+90),"")</f>
        <v/>
      </c>
      <c r="D91">
        <f>IFERROR(INDEX('[AQ_2023.xlsx]原始数据'!$A:$A,ROW(A1)+90),"")</f>
        <v/>
      </c>
      <c r="E91">
        <f>IFERROR(INDEX('[AQ_2024.xlsx]原始数据'!$A:$A,ROW(A1)+90),"")</f>
        <v/>
      </c>
      <c r="G91">
        <f>IF(90&lt;=1000,INDEX($A$2:$A$1001,90),IF(90&lt;=2000,INDEX($B$2:$B$1001,-910),IF(90&lt;=3000,INDEX($C$2:$C$1001,-1910),IF(90&lt;=4000,INDEX($D$2:$D$1001,-2910),IF(90&lt;=5000,INDEX($E$2:$E$1001,-3910),"")))))</f>
        <v/>
      </c>
    </row>
    <row r="92">
      <c r="A92">
        <f>IFERROR(INDEX('[AQ_2020.xlsx]原始数据'!$A:$A,ROW(A1)+91),"")</f>
        <v/>
      </c>
      <c r="B92">
        <f>IFERROR(INDEX('[AQ_2021.xlsx]原始数据'!$A:$A,ROW(A1)+91),"")</f>
        <v/>
      </c>
      <c r="C92">
        <f>IFERROR(INDEX('[AQ_2022.xlsx]原始数据'!$A:$A,ROW(A1)+91),"")</f>
        <v/>
      </c>
      <c r="D92">
        <f>IFERROR(INDEX('[AQ_2023.xlsx]原始数据'!$A:$A,ROW(A1)+91),"")</f>
        <v/>
      </c>
      <c r="E92">
        <f>IFERROR(INDEX('[AQ_2024.xlsx]原始数据'!$A:$A,ROW(A1)+91),"")</f>
        <v/>
      </c>
      <c r="G92">
        <f>IF(91&lt;=1000,INDEX($A$2:$A$1001,91),IF(91&lt;=2000,INDEX($B$2:$B$1001,-909),IF(91&lt;=3000,INDEX($C$2:$C$1001,-1909),IF(91&lt;=4000,INDEX($D$2:$D$1001,-2909),IF(91&lt;=5000,INDEX($E$2:$E$1001,-3909),"")))))</f>
        <v/>
      </c>
    </row>
    <row r="93">
      <c r="A93">
        <f>IFERROR(INDEX('[AQ_2020.xlsx]原始数据'!$A:$A,ROW(A1)+92),"")</f>
        <v/>
      </c>
      <c r="B93">
        <f>IFERROR(INDEX('[AQ_2021.xlsx]原始数据'!$A:$A,ROW(A1)+92),"")</f>
        <v/>
      </c>
      <c r="C93">
        <f>IFERROR(INDEX('[AQ_2022.xlsx]原始数据'!$A:$A,ROW(A1)+92),"")</f>
        <v/>
      </c>
      <c r="D93">
        <f>IFERROR(INDEX('[AQ_2023.xlsx]原始数据'!$A:$A,ROW(A1)+92),"")</f>
        <v/>
      </c>
      <c r="E93">
        <f>IFERROR(INDEX('[AQ_2024.xlsx]原始数据'!$A:$A,ROW(A1)+92),"")</f>
        <v/>
      </c>
      <c r="G93">
        <f>IF(92&lt;=1000,INDEX($A$2:$A$1001,92),IF(92&lt;=2000,INDEX($B$2:$B$1001,-908),IF(92&lt;=3000,INDEX($C$2:$C$1001,-1908),IF(92&lt;=4000,INDEX($D$2:$D$1001,-2908),IF(92&lt;=5000,INDEX($E$2:$E$1001,-3908),"")))))</f>
        <v/>
      </c>
    </row>
    <row r="94">
      <c r="A94">
        <f>IFERROR(INDEX('[AQ_2020.xlsx]原始数据'!$A:$A,ROW(A1)+93),"")</f>
        <v/>
      </c>
      <c r="B94">
        <f>IFERROR(INDEX('[AQ_2021.xlsx]原始数据'!$A:$A,ROW(A1)+93),"")</f>
        <v/>
      </c>
      <c r="C94">
        <f>IFERROR(INDEX('[AQ_2022.xlsx]原始数据'!$A:$A,ROW(A1)+93),"")</f>
        <v/>
      </c>
      <c r="D94">
        <f>IFERROR(INDEX('[AQ_2023.xlsx]原始数据'!$A:$A,ROW(A1)+93),"")</f>
        <v/>
      </c>
      <c r="E94">
        <f>IFERROR(INDEX('[AQ_2024.xlsx]原始数据'!$A:$A,ROW(A1)+93),"")</f>
        <v/>
      </c>
      <c r="G94">
        <f>IF(93&lt;=1000,INDEX($A$2:$A$1001,93),IF(93&lt;=2000,INDEX($B$2:$B$1001,-907),IF(93&lt;=3000,INDEX($C$2:$C$1001,-1907),IF(93&lt;=4000,INDEX($D$2:$D$1001,-2907),IF(93&lt;=5000,INDEX($E$2:$E$1001,-3907),"")))))</f>
        <v/>
      </c>
    </row>
    <row r="95">
      <c r="A95">
        <f>IFERROR(INDEX('[AQ_2020.xlsx]原始数据'!$A:$A,ROW(A1)+94),"")</f>
        <v/>
      </c>
      <c r="B95">
        <f>IFERROR(INDEX('[AQ_2021.xlsx]原始数据'!$A:$A,ROW(A1)+94),"")</f>
        <v/>
      </c>
      <c r="C95">
        <f>IFERROR(INDEX('[AQ_2022.xlsx]原始数据'!$A:$A,ROW(A1)+94),"")</f>
        <v/>
      </c>
      <c r="D95">
        <f>IFERROR(INDEX('[AQ_2023.xlsx]原始数据'!$A:$A,ROW(A1)+94),"")</f>
        <v/>
      </c>
      <c r="E95">
        <f>IFERROR(INDEX('[AQ_2024.xlsx]原始数据'!$A:$A,ROW(A1)+94),"")</f>
        <v/>
      </c>
      <c r="G95">
        <f>IF(94&lt;=1000,INDEX($A$2:$A$1001,94),IF(94&lt;=2000,INDEX($B$2:$B$1001,-906),IF(94&lt;=3000,INDEX($C$2:$C$1001,-1906),IF(94&lt;=4000,INDEX($D$2:$D$1001,-2906),IF(94&lt;=5000,INDEX($E$2:$E$1001,-3906),"")))))</f>
        <v/>
      </c>
    </row>
    <row r="96">
      <c r="A96">
        <f>IFERROR(INDEX('[AQ_2020.xlsx]原始数据'!$A:$A,ROW(A1)+95),"")</f>
        <v/>
      </c>
      <c r="B96">
        <f>IFERROR(INDEX('[AQ_2021.xlsx]原始数据'!$A:$A,ROW(A1)+95),"")</f>
        <v/>
      </c>
      <c r="C96">
        <f>IFERROR(INDEX('[AQ_2022.xlsx]原始数据'!$A:$A,ROW(A1)+95),"")</f>
        <v/>
      </c>
      <c r="D96">
        <f>IFERROR(INDEX('[AQ_2023.xlsx]原始数据'!$A:$A,ROW(A1)+95),"")</f>
        <v/>
      </c>
      <c r="E96">
        <f>IFERROR(INDEX('[AQ_2024.xlsx]原始数据'!$A:$A,ROW(A1)+95),"")</f>
        <v/>
      </c>
      <c r="G96">
        <f>IF(95&lt;=1000,INDEX($A$2:$A$1001,95),IF(95&lt;=2000,INDEX($B$2:$B$1001,-905),IF(95&lt;=3000,INDEX($C$2:$C$1001,-1905),IF(95&lt;=4000,INDEX($D$2:$D$1001,-2905),IF(95&lt;=5000,INDEX($E$2:$E$1001,-3905),"")))))</f>
        <v/>
      </c>
    </row>
    <row r="97">
      <c r="A97">
        <f>IFERROR(INDEX('[AQ_2020.xlsx]原始数据'!$A:$A,ROW(A1)+96),"")</f>
        <v/>
      </c>
      <c r="B97">
        <f>IFERROR(INDEX('[AQ_2021.xlsx]原始数据'!$A:$A,ROW(A1)+96),"")</f>
        <v/>
      </c>
      <c r="C97">
        <f>IFERROR(INDEX('[AQ_2022.xlsx]原始数据'!$A:$A,ROW(A1)+96),"")</f>
        <v/>
      </c>
      <c r="D97">
        <f>IFERROR(INDEX('[AQ_2023.xlsx]原始数据'!$A:$A,ROW(A1)+96),"")</f>
        <v/>
      </c>
      <c r="E97">
        <f>IFERROR(INDEX('[AQ_2024.xlsx]原始数据'!$A:$A,ROW(A1)+96),"")</f>
        <v/>
      </c>
      <c r="G97">
        <f>IF(96&lt;=1000,INDEX($A$2:$A$1001,96),IF(96&lt;=2000,INDEX($B$2:$B$1001,-904),IF(96&lt;=3000,INDEX($C$2:$C$1001,-1904),IF(96&lt;=4000,INDEX($D$2:$D$1001,-2904),IF(96&lt;=5000,INDEX($E$2:$E$1001,-3904),"")))))</f>
        <v/>
      </c>
    </row>
    <row r="98">
      <c r="A98">
        <f>IFERROR(INDEX('[AQ_2020.xlsx]原始数据'!$A:$A,ROW(A1)+97),"")</f>
        <v/>
      </c>
      <c r="B98">
        <f>IFERROR(INDEX('[AQ_2021.xlsx]原始数据'!$A:$A,ROW(A1)+97),"")</f>
        <v/>
      </c>
      <c r="C98">
        <f>IFERROR(INDEX('[AQ_2022.xlsx]原始数据'!$A:$A,ROW(A1)+97),"")</f>
        <v/>
      </c>
      <c r="D98">
        <f>IFERROR(INDEX('[AQ_2023.xlsx]原始数据'!$A:$A,ROW(A1)+97),"")</f>
        <v/>
      </c>
      <c r="E98">
        <f>IFERROR(INDEX('[AQ_2024.xlsx]原始数据'!$A:$A,ROW(A1)+97),"")</f>
        <v/>
      </c>
      <c r="G98">
        <f>IF(97&lt;=1000,INDEX($A$2:$A$1001,97),IF(97&lt;=2000,INDEX($B$2:$B$1001,-903),IF(97&lt;=3000,INDEX($C$2:$C$1001,-1903),IF(97&lt;=4000,INDEX($D$2:$D$1001,-2903),IF(97&lt;=5000,INDEX($E$2:$E$1001,-3903),"")))))</f>
        <v/>
      </c>
    </row>
    <row r="99">
      <c r="A99">
        <f>IFERROR(INDEX('[AQ_2020.xlsx]原始数据'!$A:$A,ROW(A1)+98),"")</f>
        <v/>
      </c>
      <c r="B99">
        <f>IFERROR(INDEX('[AQ_2021.xlsx]原始数据'!$A:$A,ROW(A1)+98),"")</f>
        <v/>
      </c>
      <c r="C99">
        <f>IFERROR(INDEX('[AQ_2022.xlsx]原始数据'!$A:$A,ROW(A1)+98),"")</f>
        <v/>
      </c>
      <c r="D99">
        <f>IFERROR(INDEX('[AQ_2023.xlsx]原始数据'!$A:$A,ROW(A1)+98),"")</f>
        <v/>
      </c>
      <c r="E99">
        <f>IFERROR(INDEX('[AQ_2024.xlsx]原始数据'!$A:$A,ROW(A1)+98),"")</f>
        <v/>
      </c>
      <c r="G99">
        <f>IF(98&lt;=1000,INDEX($A$2:$A$1001,98),IF(98&lt;=2000,INDEX($B$2:$B$1001,-902),IF(98&lt;=3000,INDEX($C$2:$C$1001,-1902),IF(98&lt;=4000,INDEX($D$2:$D$1001,-2902),IF(98&lt;=5000,INDEX($E$2:$E$1001,-3902),"")))))</f>
        <v/>
      </c>
    </row>
    <row r="100">
      <c r="A100">
        <f>IFERROR(INDEX('[AQ_2020.xlsx]原始数据'!$A:$A,ROW(A1)+99),"")</f>
        <v/>
      </c>
      <c r="B100">
        <f>IFERROR(INDEX('[AQ_2021.xlsx]原始数据'!$A:$A,ROW(A1)+99),"")</f>
        <v/>
      </c>
      <c r="C100">
        <f>IFERROR(INDEX('[AQ_2022.xlsx]原始数据'!$A:$A,ROW(A1)+99),"")</f>
        <v/>
      </c>
      <c r="D100">
        <f>IFERROR(INDEX('[AQ_2023.xlsx]原始数据'!$A:$A,ROW(A1)+99),"")</f>
        <v/>
      </c>
      <c r="E100">
        <f>IFERROR(INDEX('[AQ_2024.xlsx]原始数据'!$A:$A,ROW(A1)+99),"")</f>
        <v/>
      </c>
      <c r="G100">
        <f>IF(99&lt;=1000,INDEX($A$2:$A$1001,99),IF(99&lt;=2000,INDEX($B$2:$B$1001,-901),IF(99&lt;=3000,INDEX($C$2:$C$1001,-1901),IF(99&lt;=4000,INDEX($D$2:$D$1001,-2901),IF(99&lt;=5000,INDEX($E$2:$E$1001,-3901),"")))))</f>
        <v/>
      </c>
    </row>
    <row r="101">
      <c r="A101">
        <f>IFERROR(INDEX('[AQ_2020.xlsx]原始数据'!$A:$A,ROW(A1)+100),"")</f>
        <v/>
      </c>
      <c r="B101">
        <f>IFERROR(INDEX('[AQ_2021.xlsx]原始数据'!$A:$A,ROW(A1)+100),"")</f>
        <v/>
      </c>
      <c r="C101">
        <f>IFERROR(INDEX('[AQ_2022.xlsx]原始数据'!$A:$A,ROW(A1)+100),"")</f>
        <v/>
      </c>
      <c r="D101">
        <f>IFERROR(INDEX('[AQ_2023.xlsx]原始数据'!$A:$A,ROW(A1)+100),"")</f>
        <v/>
      </c>
      <c r="E101">
        <f>IFERROR(INDEX('[AQ_2024.xlsx]原始数据'!$A:$A,ROW(A1)+100),"")</f>
        <v/>
      </c>
      <c r="G101">
        <f>IF(100&lt;=1000,INDEX($A$2:$A$1001,100),IF(100&lt;=2000,INDEX($B$2:$B$1001,-900),IF(100&lt;=3000,INDEX($C$2:$C$1001,-1900),IF(100&lt;=4000,INDEX($D$2:$D$1001,-2900),IF(100&lt;=5000,INDEX($E$2:$E$1001,-3900),"")))))</f>
        <v/>
      </c>
    </row>
    <row r="102">
      <c r="A102">
        <f>IFERROR(INDEX('[AQ_2020.xlsx]原始数据'!$A:$A,ROW(A1)+101),"")</f>
        <v/>
      </c>
      <c r="B102">
        <f>IFERROR(INDEX('[AQ_2021.xlsx]原始数据'!$A:$A,ROW(A1)+101),"")</f>
        <v/>
      </c>
      <c r="C102">
        <f>IFERROR(INDEX('[AQ_2022.xlsx]原始数据'!$A:$A,ROW(A1)+101),"")</f>
        <v/>
      </c>
      <c r="D102">
        <f>IFERROR(INDEX('[AQ_2023.xlsx]原始数据'!$A:$A,ROW(A1)+101),"")</f>
        <v/>
      </c>
      <c r="E102">
        <f>IFERROR(INDEX('[AQ_2024.xlsx]原始数据'!$A:$A,ROW(A1)+101),"")</f>
        <v/>
      </c>
      <c r="G102">
        <f>IF(101&lt;=1000,INDEX($A$2:$A$1001,101),IF(101&lt;=2000,INDEX($B$2:$B$1001,-899),IF(101&lt;=3000,INDEX($C$2:$C$1001,-1899),IF(101&lt;=4000,INDEX($D$2:$D$1001,-2899),IF(101&lt;=5000,INDEX($E$2:$E$1001,-3899),"")))))</f>
        <v/>
      </c>
    </row>
    <row r="103">
      <c r="A103">
        <f>IFERROR(INDEX('[AQ_2020.xlsx]原始数据'!$A:$A,ROW(A1)+102),"")</f>
        <v/>
      </c>
      <c r="B103">
        <f>IFERROR(INDEX('[AQ_2021.xlsx]原始数据'!$A:$A,ROW(A1)+102),"")</f>
        <v/>
      </c>
      <c r="C103">
        <f>IFERROR(INDEX('[AQ_2022.xlsx]原始数据'!$A:$A,ROW(A1)+102),"")</f>
        <v/>
      </c>
      <c r="D103">
        <f>IFERROR(INDEX('[AQ_2023.xlsx]原始数据'!$A:$A,ROW(A1)+102),"")</f>
        <v/>
      </c>
      <c r="E103">
        <f>IFERROR(INDEX('[AQ_2024.xlsx]原始数据'!$A:$A,ROW(A1)+102),"")</f>
        <v/>
      </c>
      <c r="G103">
        <f>IF(102&lt;=1000,INDEX($A$2:$A$1001,102),IF(102&lt;=2000,INDEX($B$2:$B$1001,-898),IF(102&lt;=3000,INDEX($C$2:$C$1001,-1898),IF(102&lt;=4000,INDEX($D$2:$D$1001,-2898),IF(102&lt;=5000,INDEX($E$2:$E$1001,-3898),"")))))</f>
        <v/>
      </c>
    </row>
    <row r="104">
      <c r="A104">
        <f>IFERROR(INDEX('[AQ_2020.xlsx]原始数据'!$A:$A,ROW(A1)+103),"")</f>
        <v/>
      </c>
      <c r="B104">
        <f>IFERROR(INDEX('[AQ_2021.xlsx]原始数据'!$A:$A,ROW(A1)+103),"")</f>
        <v/>
      </c>
      <c r="C104">
        <f>IFERROR(INDEX('[AQ_2022.xlsx]原始数据'!$A:$A,ROW(A1)+103),"")</f>
        <v/>
      </c>
      <c r="D104">
        <f>IFERROR(INDEX('[AQ_2023.xlsx]原始数据'!$A:$A,ROW(A1)+103),"")</f>
        <v/>
      </c>
      <c r="E104">
        <f>IFERROR(INDEX('[AQ_2024.xlsx]原始数据'!$A:$A,ROW(A1)+103),"")</f>
        <v/>
      </c>
      <c r="G104">
        <f>IF(103&lt;=1000,INDEX($A$2:$A$1001,103),IF(103&lt;=2000,INDEX($B$2:$B$1001,-897),IF(103&lt;=3000,INDEX($C$2:$C$1001,-1897),IF(103&lt;=4000,INDEX($D$2:$D$1001,-2897),IF(103&lt;=5000,INDEX($E$2:$E$1001,-3897),"")))))</f>
        <v/>
      </c>
    </row>
    <row r="105">
      <c r="A105">
        <f>IFERROR(INDEX('[AQ_2020.xlsx]原始数据'!$A:$A,ROW(A1)+104),"")</f>
        <v/>
      </c>
      <c r="B105">
        <f>IFERROR(INDEX('[AQ_2021.xlsx]原始数据'!$A:$A,ROW(A1)+104),"")</f>
        <v/>
      </c>
      <c r="C105">
        <f>IFERROR(INDEX('[AQ_2022.xlsx]原始数据'!$A:$A,ROW(A1)+104),"")</f>
        <v/>
      </c>
      <c r="D105">
        <f>IFERROR(INDEX('[AQ_2023.xlsx]原始数据'!$A:$A,ROW(A1)+104),"")</f>
        <v/>
      </c>
      <c r="E105">
        <f>IFERROR(INDEX('[AQ_2024.xlsx]原始数据'!$A:$A,ROW(A1)+104),"")</f>
        <v/>
      </c>
      <c r="G105">
        <f>IF(104&lt;=1000,INDEX($A$2:$A$1001,104),IF(104&lt;=2000,INDEX($B$2:$B$1001,-896),IF(104&lt;=3000,INDEX($C$2:$C$1001,-1896),IF(104&lt;=4000,INDEX($D$2:$D$1001,-2896),IF(104&lt;=5000,INDEX($E$2:$E$1001,-3896),"")))))</f>
        <v/>
      </c>
    </row>
    <row r="106">
      <c r="A106">
        <f>IFERROR(INDEX('[AQ_2020.xlsx]原始数据'!$A:$A,ROW(A1)+105),"")</f>
        <v/>
      </c>
      <c r="B106">
        <f>IFERROR(INDEX('[AQ_2021.xlsx]原始数据'!$A:$A,ROW(A1)+105),"")</f>
        <v/>
      </c>
      <c r="C106">
        <f>IFERROR(INDEX('[AQ_2022.xlsx]原始数据'!$A:$A,ROW(A1)+105),"")</f>
        <v/>
      </c>
      <c r="D106">
        <f>IFERROR(INDEX('[AQ_2023.xlsx]原始数据'!$A:$A,ROW(A1)+105),"")</f>
        <v/>
      </c>
      <c r="E106">
        <f>IFERROR(INDEX('[AQ_2024.xlsx]原始数据'!$A:$A,ROW(A1)+105),"")</f>
        <v/>
      </c>
      <c r="G106">
        <f>IF(105&lt;=1000,INDEX($A$2:$A$1001,105),IF(105&lt;=2000,INDEX($B$2:$B$1001,-895),IF(105&lt;=3000,INDEX($C$2:$C$1001,-1895),IF(105&lt;=4000,INDEX($D$2:$D$1001,-2895),IF(105&lt;=5000,INDEX($E$2:$E$1001,-3895),"")))))</f>
        <v/>
      </c>
    </row>
    <row r="107">
      <c r="A107">
        <f>IFERROR(INDEX('[AQ_2020.xlsx]原始数据'!$A:$A,ROW(A1)+106),"")</f>
        <v/>
      </c>
      <c r="B107">
        <f>IFERROR(INDEX('[AQ_2021.xlsx]原始数据'!$A:$A,ROW(A1)+106),"")</f>
        <v/>
      </c>
      <c r="C107">
        <f>IFERROR(INDEX('[AQ_2022.xlsx]原始数据'!$A:$A,ROW(A1)+106),"")</f>
        <v/>
      </c>
      <c r="D107">
        <f>IFERROR(INDEX('[AQ_2023.xlsx]原始数据'!$A:$A,ROW(A1)+106),"")</f>
        <v/>
      </c>
      <c r="E107">
        <f>IFERROR(INDEX('[AQ_2024.xlsx]原始数据'!$A:$A,ROW(A1)+106),"")</f>
        <v/>
      </c>
      <c r="G107">
        <f>IF(106&lt;=1000,INDEX($A$2:$A$1001,106),IF(106&lt;=2000,INDEX($B$2:$B$1001,-894),IF(106&lt;=3000,INDEX($C$2:$C$1001,-1894),IF(106&lt;=4000,INDEX($D$2:$D$1001,-2894),IF(106&lt;=5000,INDEX($E$2:$E$1001,-3894),"")))))</f>
        <v/>
      </c>
    </row>
    <row r="108">
      <c r="A108">
        <f>IFERROR(INDEX('[AQ_2020.xlsx]原始数据'!$A:$A,ROW(A1)+107),"")</f>
        <v/>
      </c>
      <c r="B108">
        <f>IFERROR(INDEX('[AQ_2021.xlsx]原始数据'!$A:$A,ROW(A1)+107),"")</f>
        <v/>
      </c>
      <c r="C108">
        <f>IFERROR(INDEX('[AQ_2022.xlsx]原始数据'!$A:$A,ROW(A1)+107),"")</f>
        <v/>
      </c>
      <c r="D108">
        <f>IFERROR(INDEX('[AQ_2023.xlsx]原始数据'!$A:$A,ROW(A1)+107),"")</f>
        <v/>
      </c>
      <c r="E108">
        <f>IFERROR(INDEX('[AQ_2024.xlsx]原始数据'!$A:$A,ROW(A1)+107),"")</f>
        <v/>
      </c>
      <c r="G108">
        <f>IF(107&lt;=1000,INDEX($A$2:$A$1001,107),IF(107&lt;=2000,INDEX($B$2:$B$1001,-893),IF(107&lt;=3000,INDEX($C$2:$C$1001,-1893),IF(107&lt;=4000,INDEX($D$2:$D$1001,-2893),IF(107&lt;=5000,INDEX($E$2:$E$1001,-3893),"")))))</f>
        <v/>
      </c>
    </row>
    <row r="109">
      <c r="A109">
        <f>IFERROR(INDEX('[AQ_2020.xlsx]原始数据'!$A:$A,ROW(A1)+108),"")</f>
        <v/>
      </c>
      <c r="B109">
        <f>IFERROR(INDEX('[AQ_2021.xlsx]原始数据'!$A:$A,ROW(A1)+108),"")</f>
        <v/>
      </c>
      <c r="C109">
        <f>IFERROR(INDEX('[AQ_2022.xlsx]原始数据'!$A:$A,ROW(A1)+108),"")</f>
        <v/>
      </c>
      <c r="D109">
        <f>IFERROR(INDEX('[AQ_2023.xlsx]原始数据'!$A:$A,ROW(A1)+108),"")</f>
        <v/>
      </c>
      <c r="E109">
        <f>IFERROR(INDEX('[AQ_2024.xlsx]原始数据'!$A:$A,ROW(A1)+108),"")</f>
        <v/>
      </c>
      <c r="G109">
        <f>IF(108&lt;=1000,INDEX($A$2:$A$1001,108),IF(108&lt;=2000,INDEX($B$2:$B$1001,-892),IF(108&lt;=3000,INDEX($C$2:$C$1001,-1892),IF(108&lt;=4000,INDEX($D$2:$D$1001,-2892),IF(108&lt;=5000,INDEX($E$2:$E$1001,-3892),"")))))</f>
        <v/>
      </c>
    </row>
    <row r="110">
      <c r="A110">
        <f>IFERROR(INDEX('[AQ_2020.xlsx]原始数据'!$A:$A,ROW(A1)+109),"")</f>
        <v/>
      </c>
      <c r="B110">
        <f>IFERROR(INDEX('[AQ_2021.xlsx]原始数据'!$A:$A,ROW(A1)+109),"")</f>
        <v/>
      </c>
      <c r="C110">
        <f>IFERROR(INDEX('[AQ_2022.xlsx]原始数据'!$A:$A,ROW(A1)+109),"")</f>
        <v/>
      </c>
      <c r="D110">
        <f>IFERROR(INDEX('[AQ_2023.xlsx]原始数据'!$A:$A,ROW(A1)+109),"")</f>
        <v/>
      </c>
      <c r="E110">
        <f>IFERROR(INDEX('[AQ_2024.xlsx]原始数据'!$A:$A,ROW(A1)+109),"")</f>
        <v/>
      </c>
      <c r="G110">
        <f>IF(109&lt;=1000,INDEX($A$2:$A$1001,109),IF(109&lt;=2000,INDEX($B$2:$B$1001,-891),IF(109&lt;=3000,INDEX($C$2:$C$1001,-1891),IF(109&lt;=4000,INDEX($D$2:$D$1001,-2891),IF(109&lt;=5000,INDEX($E$2:$E$1001,-3891),"")))))</f>
        <v/>
      </c>
    </row>
    <row r="111">
      <c r="A111">
        <f>IFERROR(INDEX('[AQ_2020.xlsx]原始数据'!$A:$A,ROW(A1)+110),"")</f>
        <v/>
      </c>
      <c r="B111">
        <f>IFERROR(INDEX('[AQ_2021.xlsx]原始数据'!$A:$A,ROW(A1)+110),"")</f>
        <v/>
      </c>
      <c r="C111">
        <f>IFERROR(INDEX('[AQ_2022.xlsx]原始数据'!$A:$A,ROW(A1)+110),"")</f>
        <v/>
      </c>
      <c r="D111">
        <f>IFERROR(INDEX('[AQ_2023.xlsx]原始数据'!$A:$A,ROW(A1)+110),"")</f>
        <v/>
      </c>
      <c r="E111">
        <f>IFERROR(INDEX('[AQ_2024.xlsx]原始数据'!$A:$A,ROW(A1)+110),"")</f>
        <v/>
      </c>
      <c r="G111">
        <f>IF(110&lt;=1000,INDEX($A$2:$A$1001,110),IF(110&lt;=2000,INDEX($B$2:$B$1001,-890),IF(110&lt;=3000,INDEX($C$2:$C$1001,-1890),IF(110&lt;=4000,INDEX($D$2:$D$1001,-2890),IF(110&lt;=5000,INDEX($E$2:$E$1001,-3890),"")))))</f>
        <v/>
      </c>
    </row>
    <row r="112">
      <c r="A112">
        <f>IFERROR(INDEX('[AQ_2020.xlsx]原始数据'!$A:$A,ROW(A1)+111),"")</f>
        <v/>
      </c>
      <c r="B112">
        <f>IFERROR(INDEX('[AQ_2021.xlsx]原始数据'!$A:$A,ROW(A1)+111),"")</f>
        <v/>
      </c>
      <c r="C112">
        <f>IFERROR(INDEX('[AQ_2022.xlsx]原始数据'!$A:$A,ROW(A1)+111),"")</f>
        <v/>
      </c>
      <c r="D112">
        <f>IFERROR(INDEX('[AQ_2023.xlsx]原始数据'!$A:$A,ROW(A1)+111),"")</f>
        <v/>
      </c>
      <c r="E112">
        <f>IFERROR(INDEX('[AQ_2024.xlsx]原始数据'!$A:$A,ROW(A1)+111),"")</f>
        <v/>
      </c>
      <c r="G112">
        <f>IF(111&lt;=1000,INDEX($A$2:$A$1001,111),IF(111&lt;=2000,INDEX($B$2:$B$1001,-889),IF(111&lt;=3000,INDEX($C$2:$C$1001,-1889),IF(111&lt;=4000,INDEX($D$2:$D$1001,-2889),IF(111&lt;=5000,INDEX($E$2:$E$1001,-3889),"")))))</f>
        <v/>
      </c>
    </row>
    <row r="113">
      <c r="A113">
        <f>IFERROR(INDEX('[AQ_2020.xlsx]原始数据'!$A:$A,ROW(A1)+112),"")</f>
        <v/>
      </c>
      <c r="B113">
        <f>IFERROR(INDEX('[AQ_2021.xlsx]原始数据'!$A:$A,ROW(A1)+112),"")</f>
        <v/>
      </c>
      <c r="C113">
        <f>IFERROR(INDEX('[AQ_2022.xlsx]原始数据'!$A:$A,ROW(A1)+112),"")</f>
        <v/>
      </c>
      <c r="D113">
        <f>IFERROR(INDEX('[AQ_2023.xlsx]原始数据'!$A:$A,ROW(A1)+112),"")</f>
        <v/>
      </c>
      <c r="E113">
        <f>IFERROR(INDEX('[AQ_2024.xlsx]原始数据'!$A:$A,ROW(A1)+112),"")</f>
        <v/>
      </c>
      <c r="G113">
        <f>IF(112&lt;=1000,INDEX($A$2:$A$1001,112),IF(112&lt;=2000,INDEX($B$2:$B$1001,-888),IF(112&lt;=3000,INDEX($C$2:$C$1001,-1888),IF(112&lt;=4000,INDEX($D$2:$D$1001,-2888),IF(112&lt;=5000,INDEX($E$2:$E$1001,-3888),"")))))</f>
        <v/>
      </c>
    </row>
    <row r="114">
      <c r="A114">
        <f>IFERROR(INDEX('[AQ_2020.xlsx]原始数据'!$A:$A,ROW(A1)+113),"")</f>
        <v/>
      </c>
      <c r="B114">
        <f>IFERROR(INDEX('[AQ_2021.xlsx]原始数据'!$A:$A,ROW(A1)+113),"")</f>
        <v/>
      </c>
      <c r="C114">
        <f>IFERROR(INDEX('[AQ_2022.xlsx]原始数据'!$A:$A,ROW(A1)+113),"")</f>
        <v/>
      </c>
      <c r="D114">
        <f>IFERROR(INDEX('[AQ_2023.xlsx]原始数据'!$A:$A,ROW(A1)+113),"")</f>
        <v/>
      </c>
      <c r="E114">
        <f>IFERROR(INDEX('[AQ_2024.xlsx]原始数据'!$A:$A,ROW(A1)+113),"")</f>
        <v/>
      </c>
      <c r="G114">
        <f>IF(113&lt;=1000,INDEX($A$2:$A$1001,113),IF(113&lt;=2000,INDEX($B$2:$B$1001,-887),IF(113&lt;=3000,INDEX($C$2:$C$1001,-1887),IF(113&lt;=4000,INDEX($D$2:$D$1001,-2887),IF(113&lt;=5000,INDEX($E$2:$E$1001,-3887),"")))))</f>
        <v/>
      </c>
    </row>
    <row r="115">
      <c r="A115">
        <f>IFERROR(INDEX('[AQ_2020.xlsx]原始数据'!$A:$A,ROW(A1)+114),"")</f>
        <v/>
      </c>
      <c r="B115">
        <f>IFERROR(INDEX('[AQ_2021.xlsx]原始数据'!$A:$A,ROW(A1)+114),"")</f>
        <v/>
      </c>
      <c r="C115">
        <f>IFERROR(INDEX('[AQ_2022.xlsx]原始数据'!$A:$A,ROW(A1)+114),"")</f>
        <v/>
      </c>
      <c r="D115">
        <f>IFERROR(INDEX('[AQ_2023.xlsx]原始数据'!$A:$A,ROW(A1)+114),"")</f>
        <v/>
      </c>
      <c r="E115">
        <f>IFERROR(INDEX('[AQ_2024.xlsx]原始数据'!$A:$A,ROW(A1)+114),"")</f>
        <v/>
      </c>
      <c r="G115">
        <f>IF(114&lt;=1000,INDEX($A$2:$A$1001,114),IF(114&lt;=2000,INDEX($B$2:$B$1001,-886),IF(114&lt;=3000,INDEX($C$2:$C$1001,-1886),IF(114&lt;=4000,INDEX($D$2:$D$1001,-2886),IF(114&lt;=5000,INDEX($E$2:$E$1001,-3886),"")))))</f>
        <v/>
      </c>
    </row>
    <row r="116">
      <c r="A116">
        <f>IFERROR(INDEX('[AQ_2020.xlsx]原始数据'!$A:$A,ROW(A1)+115),"")</f>
        <v/>
      </c>
      <c r="B116">
        <f>IFERROR(INDEX('[AQ_2021.xlsx]原始数据'!$A:$A,ROW(A1)+115),"")</f>
        <v/>
      </c>
      <c r="C116">
        <f>IFERROR(INDEX('[AQ_2022.xlsx]原始数据'!$A:$A,ROW(A1)+115),"")</f>
        <v/>
      </c>
      <c r="D116">
        <f>IFERROR(INDEX('[AQ_2023.xlsx]原始数据'!$A:$A,ROW(A1)+115),"")</f>
        <v/>
      </c>
      <c r="E116">
        <f>IFERROR(INDEX('[AQ_2024.xlsx]原始数据'!$A:$A,ROW(A1)+115),"")</f>
        <v/>
      </c>
      <c r="G116">
        <f>IF(115&lt;=1000,INDEX($A$2:$A$1001,115),IF(115&lt;=2000,INDEX($B$2:$B$1001,-885),IF(115&lt;=3000,INDEX($C$2:$C$1001,-1885),IF(115&lt;=4000,INDEX($D$2:$D$1001,-2885),IF(115&lt;=5000,INDEX($E$2:$E$1001,-3885),"")))))</f>
        <v/>
      </c>
    </row>
    <row r="117">
      <c r="A117">
        <f>IFERROR(INDEX('[AQ_2020.xlsx]原始数据'!$A:$A,ROW(A1)+116),"")</f>
        <v/>
      </c>
      <c r="B117">
        <f>IFERROR(INDEX('[AQ_2021.xlsx]原始数据'!$A:$A,ROW(A1)+116),"")</f>
        <v/>
      </c>
      <c r="C117">
        <f>IFERROR(INDEX('[AQ_2022.xlsx]原始数据'!$A:$A,ROW(A1)+116),"")</f>
        <v/>
      </c>
      <c r="D117">
        <f>IFERROR(INDEX('[AQ_2023.xlsx]原始数据'!$A:$A,ROW(A1)+116),"")</f>
        <v/>
      </c>
      <c r="E117">
        <f>IFERROR(INDEX('[AQ_2024.xlsx]原始数据'!$A:$A,ROW(A1)+116),"")</f>
        <v/>
      </c>
      <c r="G117">
        <f>IF(116&lt;=1000,INDEX($A$2:$A$1001,116),IF(116&lt;=2000,INDEX($B$2:$B$1001,-884),IF(116&lt;=3000,INDEX($C$2:$C$1001,-1884),IF(116&lt;=4000,INDEX($D$2:$D$1001,-2884),IF(116&lt;=5000,INDEX($E$2:$E$1001,-3884),"")))))</f>
        <v/>
      </c>
    </row>
    <row r="118">
      <c r="A118">
        <f>IFERROR(INDEX('[AQ_2020.xlsx]原始数据'!$A:$A,ROW(A1)+117),"")</f>
        <v/>
      </c>
      <c r="B118">
        <f>IFERROR(INDEX('[AQ_2021.xlsx]原始数据'!$A:$A,ROW(A1)+117),"")</f>
        <v/>
      </c>
      <c r="C118">
        <f>IFERROR(INDEX('[AQ_2022.xlsx]原始数据'!$A:$A,ROW(A1)+117),"")</f>
        <v/>
      </c>
      <c r="D118">
        <f>IFERROR(INDEX('[AQ_2023.xlsx]原始数据'!$A:$A,ROW(A1)+117),"")</f>
        <v/>
      </c>
      <c r="E118">
        <f>IFERROR(INDEX('[AQ_2024.xlsx]原始数据'!$A:$A,ROW(A1)+117),"")</f>
        <v/>
      </c>
      <c r="G118">
        <f>IF(117&lt;=1000,INDEX($A$2:$A$1001,117),IF(117&lt;=2000,INDEX($B$2:$B$1001,-883),IF(117&lt;=3000,INDEX($C$2:$C$1001,-1883),IF(117&lt;=4000,INDEX($D$2:$D$1001,-2883),IF(117&lt;=5000,INDEX($E$2:$E$1001,-3883),"")))))</f>
        <v/>
      </c>
    </row>
    <row r="119">
      <c r="A119">
        <f>IFERROR(INDEX('[AQ_2020.xlsx]原始数据'!$A:$A,ROW(A1)+118),"")</f>
        <v/>
      </c>
      <c r="B119">
        <f>IFERROR(INDEX('[AQ_2021.xlsx]原始数据'!$A:$A,ROW(A1)+118),"")</f>
        <v/>
      </c>
      <c r="C119">
        <f>IFERROR(INDEX('[AQ_2022.xlsx]原始数据'!$A:$A,ROW(A1)+118),"")</f>
        <v/>
      </c>
      <c r="D119">
        <f>IFERROR(INDEX('[AQ_2023.xlsx]原始数据'!$A:$A,ROW(A1)+118),"")</f>
        <v/>
      </c>
      <c r="E119">
        <f>IFERROR(INDEX('[AQ_2024.xlsx]原始数据'!$A:$A,ROW(A1)+118),"")</f>
        <v/>
      </c>
      <c r="G119">
        <f>IF(118&lt;=1000,INDEX($A$2:$A$1001,118),IF(118&lt;=2000,INDEX($B$2:$B$1001,-882),IF(118&lt;=3000,INDEX($C$2:$C$1001,-1882),IF(118&lt;=4000,INDEX($D$2:$D$1001,-2882),IF(118&lt;=5000,INDEX($E$2:$E$1001,-3882),"")))))</f>
        <v/>
      </c>
    </row>
    <row r="120">
      <c r="A120">
        <f>IFERROR(INDEX('[AQ_2020.xlsx]原始数据'!$A:$A,ROW(A1)+119),"")</f>
        <v/>
      </c>
      <c r="B120">
        <f>IFERROR(INDEX('[AQ_2021.xlsx]原始数据'!$A:$A,ROW(A1)+119),"")</f>
        <v/>
      </c>
      <c r="C120">
        <f>IFERROR(INDEX('[AQ_2022.xlsx]原始数据'!$A:$A,ROW(A1)+119),"")</f>
        <v/>
      </c>
      <c r="D120">
        <f>IFERROR(INDEX('[AQ_2023.xlsx]原始数据'!$A:$A,ROW(A1)+119),"")</f>
        <v/>
      </c>
      <c r="E120">
        <f>IFERROR(INDEX('[AQ_2024.xlsx]原始数据'!$A:$A,ROW(A1)+119),"")</f>
        <v/>
      </c>
      <c r="G120">
        <f>IF(119&lt;=1000,INDEX($A$2:$A$1001,119),IF(119&lt;=2000,INDEX($B$2:$B$1001,-881),IF(119&lt;=3000,INDEX($C$2:$C$1001,-1881),IF(119&lt;=4000,INDEX($D$2:$D$1001,-2881),IF(119&lt;=5000,INDEX($E$2:$E$1001,-3881),"")))))</f>
        <v/>
      </c>
    </row>
    <row r="121">
      <c r="A121">
        <f>IFERROR(INDEX('[AQ_2020.xlsx]原始数据'!$A:$A,ROW(A1)+120),"")</f>
        <v/>
      </c>
      <c r="B121">
        <f>IFERROR(INDEX('[AQ_2021.xlsx]原始数据'!$A:$A,ROW(A1)+120),"")</f>
        <v/>
      </c>
      <c r="C121">
        <f>IFERROR(INDEX('[AQ_2022.xlsx]原始数据'!$A:$A,ROW(A1)+120),"")</f>
        <v/>
      </c>
      <c r="D121">
        <f>IFERROR(INDEX('[AQ_2023.xlsx]原始数据'!$A:$A,ROW(A1)+120),"")</f>
        <v/>
      </c>
      <c r="E121">
        <f>IFERROR(INDEX('[AQ_2024.xlsx]原始数据'!$A:$A,ROW(A1)+120),"")</f>
        <v/>
      </c>
      <c r="G121">
        <f>IF(120&lt;=1000,INDEX($A$2:$A$1001,120),IF(120&lt;=2000,INDEX($B$2:$B$1001,-880),IF(120&lt;=3000,INDEX($C$2:$C$1001,-1880),IF(120&lt;=4000,INDEX($D$2:$D$1001,-2880),IF(120&lt;=5000,INDEX($E$2:$E$1001,-3880),"")))))</f>
        <v/>
      </c>
    </row>
    <row r="122">
      <c r="A122">
        <f>IFERROR(INDEX('[AQ_2020.xlsx]原始数据'!$A:$A,ROW(A1)+121),"")</f>
        <v/>
      </c>
      <c r="B122">
        <f>IFERROR(INDEX('[AQ_2021.xlsx]原始数据'!$A:$A,ROW(A1)+121),"")</f>
        <v/>
      </c>
      <c r="C122">
        <f>IFERROR(INDEX('[AQ_2022.xlsx]原始数据'!$A:$A,ROW(A1)+121),"")</f>
        <v/>
      </c>
      <c r="D122">
        <f>IFERROR(INDEX('[AQ_2023.xlsx]原始数据'!$A:$A,ROW(A1)+121),"")</f>
        <v/>
      </c>
      <c r="E122">
        <f>IFERROR(INDEX('[AQ_2024.xlsx]原始数据'!$A:$A,ROW(A1)+121),"")</f>
        <v/>
      </c>
      <c r="G122">
        <f>IF(121&lt;=1000,INDEX($A$2:$A$1001,121),IF(121&lt;=2000,INDEX($B$2:$B$1001,-879),IF(121&lt;=3000,INDEX($C$2:$C$1001,-1879),IF(121&lt;=4000,INDEX($D$2:$D$1001,-2879),IF(121&lt;=5000,INDEX($E$2:$E$1001,-3879),"")))))</f>
        <v/>
      </c>
    </row>
    <row r="123">
      <c r="A123">
        <f>IFERROR(INDEX('[AQ_2020.xlsx]原始数据'!$A:$A,ROW(A1)+122),"")</f>
        <v/>
      </c>
      <c r="B123">
        <f>IFERROR(INDEX('[AQ_2021.xlsx]原始数据'!$A:$A,ROW(A1)+122),"")</f>
        <v/>
      </c>
      <c r="C123">
        <f>IFERROR(INDEX('[AQ_2022.xlsx]原始数据'!$A:$A,ROW(A1)+122),"")</f>
        <v/>
      </c>
      <c r="D123">
        <f>IFERROR(INDEX('[AQ_2023.xlsx]原始数据'!$A:$A,ROW(A1)+122),"")</f>
        <v/>
      </c>
      <c r="E123">
        <f>IFERROR(INDEX('[AQ_2024.xlsx]原始数据'!$A:$A,ROW(A1)+122),"")</f>
        <v/>
      </c>
      <c r="G123">
        <f>IF(122&lt;=1000,INDEX($A$2:$A$1001,122),IF(122&lt;=2000,INDEX($B$2:$B$1001,-878),IF(122&lt;=3000,INDEX($C$2:$C$1001,-1878),IF(122&lt;=4000,INDEX($D$2:$D$1001,-2878),IF(122&lt;=5000,INDEX($E$2:$E$1001,-3878),"")))))</f>
        <v/>
      </c>
    </row>
    <row r="124">
      <c r="A124">
        <f>IFERROR(INDEX('[AQ_2020.xlsx]原始数据'!$A:$A,ROW(A1)+123),"")</f>
        <v/>
      </c>
      <c r="B124">
        <f>IFERROR(INDEX('[AQ_2021.xlsx]原始数据'!$A:$A,ROW(A1)+123),"")</f>
        <v/>
      </c>
      <c r="C124">
        <f>IFERROR(INDEX('[AQ_2022.xlsx]原始数据'!$A:$A,ROW(A1)+123),"")</f>
        <v/>
      </c>
      <c r="D124">
        <f>IFERROR(INDEX('[AQ_2023.xlsx]原始数据'!$A:$A,ROW(A1)+123),"")</f>
        <v/>
      </c>
      <c r="E124">
        <f>IFERROR(INDEX('[AQ_2024.xlsx]原始数据'!$A:$A,ROW(A1)+123),"")</f>
        <v/>
      </c>
      <c r="G124">
        <f>IF(123&lt;=1000,INDEX($A$2:$A$1001,123),IF(123&lt;=2000,INDEX($B$2:$B$1001,-877),IF(123&lt;=3000,INDEX($C$2:$C$1001,-1877),IF(123&lt;=4000,INDEX($D$2:$D$1001,-2877),IF(123&lt;=5000,INDEX($E$2:$E$1001,-3877),"")))))</f>
        <v/>
      </c>
    </row>
    <row r="125">
      <c r="A125">
        <f>IFERROR(INDEX('[AQ_2020.xlsx]原始数据'!$A:$A,ROW(A1)+124),"")</f>
        <v/>
      </c>
      <c r="B125">
        <f>IFERROR(INDEX('[AQ_2021.xlsx]原始数据'!$A:$A,ROW(A1)+124),"")</f>
        <v/>
      </c>
      <c r="C125">
        <f>IFERROR(INDEX('[AQ_2022.xlsx]原始数据'!$A:$A,ROW(A1)+124),"")</f>
        <v/>
      </c>
      <c r="D125">
        <f>IFERROR(INDEX('[AQ_2023.xlsx]原始数据'!$A:$A,ROW(A1)+124),"")</f>
        <v/>
      </c>
      <c r="E125">
        <f>IFERROR(INDEX('[AQ_2024.xlsx]原始数据'!$A:$A,ROW(A1)+124),"")</f>
        <v/>
      </c>
      <c r="G125">
        <f>IF(124&lt;=1000,INDEX($A$2:$A$1001,124),IF(124&lt;=2000,INDEX($B$2:$B$1001,-876),IF(124&lt;=3000,INDEX($C$2:$C$1001,-1876),IF(124&lt;=4000,INDEX($D$2:$D$1001,-2876),IF(124&lt;=5000,INDEX($E$2:$E$1001,-3876),"")))))</f>
        <v/>
      </c>
    </row>
    <row r="126">
      <c r="A126">
        <f>IFERROR(INDEX('[AQ_2020.xlsx]原始数据'!$A:$A,ROW(A1)+125),"")</f>
        <v/>
      </c>
      <c r="B126">
        <f>IFERROR(INDEX('[AQ_2021.xlsx]原始数据'!$A:$A,ROW(A1)+125),"")</f>
        <v/>
      </c>
      <c r="C126">
        <f>IFERROR(INDEX('[AQ_2022.xlsx]原始数据'!$A:$A,ROW(A1)+125),"")</f>
        <v/>
      </c>
      <c r="D126">
        <f>IFERROR(INDEX('[AQ_2023.xlsx]原始数据'!$A:$A,ROW(A1)+125),"")</f>
        <v/>
      </c>
      <c r="E126">
        <f>IFERROR(INDEX('[AQ_2024.xlsx]原始数据'!$A:$A,ROW(A1)+125),"")</f>
        <v/>
      </c>
      <c r="G126">
        <f>IF(125&lt;=1000,INDEX($A$2:$A$1001,125),IF(125&lt;=2000,INDEX($B$2:$B$1001,-875),IF(125&lt;=3000,INDEX($C$2:$C$1001,-1875),IF(125&lt;=4000,INDEX($D$2:$D$1001,-2875),IF(125&lt;=5000,INDEX($E$2:$E$1001,-3875),"")))))</f>
        <v/>
      </c>
    </row>
    <row r="127">
      <c r="A127">
        <f>IFERROR(INDEX('[AQ_2020.xlsx]原始数据'!$A:$A,ROW(A1)+126),"")</f>
        <v/>
      </c>
      <c r="B127">
        <f>IFERROR(INDEX('[AQ_2021.xlsx]原始数据'!$A:$A,ROW(A1)+126),"")</f>
        <v/>
      </c>
      <c r="C127">
        <f>IFERROR(INDEX('[AQ_2022.xlsx]原始数据'!$A:$A,ROW(A1)+126),"")</f>
        <v/>
      </c>
      <c r="D127">
        <f>IFERROR(INDEX('[AQ_2023.xlsx]原始数据'!$A:$A,ROW(A1)+126),"")</f>
        <v/>
      </c>
      <c r="E127">
        <f>IFERROR(INDEX('[AQ_2024.xlsx]原始数据'!$A:$A,ROW(A1)+126),"")</f>
        <v/>
      </c>
      <c r="G127">
        <f>IF(126&lt;=1000,INDEX($A$2:$A$1001,126),IF(126&lt;=2000,INDEX($B$2:$B$1001,-874),IF(126&lt;=3000,INDEX($C$2:$C$1001,-1874),IF(126&lt;=4000,INDEX($D$2:$D$1001,-2874),IF(126&lt;=5000,INDEX($E$2:$E$1001,-3874),"")))))</f>
        <v/>
      </c>
    </row>
    <row r="128">
      <c r="A128">
        <f>IFERROR(INDEX('[AQ_2020.xlsx]原始数据'!$A:$A,ROW(A1)+127),"")</f>
        <v/>
      </c>
      <c r="B128">
        <f>IFERROR(INDEX('[AQ_2021.xlsx]原始数据'!$A:$A,ROW(A1)+127),"")</f>
        <v/>
      </c>
      <c r="C128">
        <f>IFERROR(INDEX('[AQ_2022.xlsx]原始数据'!$A:$A,ROW(A1)+127),"")</f>
        <v/>
      </c>
      <c r="D128">
        <f>IFERROR(INDEX('[AQ_2023.xlsx]原始数据'!$A:$A,ROW(A1)+127),"")</f>
        <v/>
      </c>
      <c r="E128">
        <f>IFERROR(INDEX('[AQ_2024.xlsx]原始数据'!$A:$A,ROW(A1)+127),"")</f>
        <v/>
      </c>
      <c r="G128">
        <f>IF(127&lt;=1000,INDEX($A$2:$A$1001,127),IF(127&lt;=2000,INDEX($B$2:$B$1001,-873),IF(127&lt;=3000,INDEX($C$2:$C$1001,-1873),IF(127&lt;=4000,INDEX($D$2:$D$1001,-2873),IF(127&lt;=5000,INDEX($E$2:$E$1001,-3873),"")))))</f>
        <v/>
      </c>
    </row>
    <row r="129">
      <c r="A129">
        <f>IFERROR(INDEX('[AQ_2020.xlsx]原始数据'!$A:$A,ROW(A1)+128),"")</f>
        <v/>
      </c>
      <c r="B129">
        <f>IFERROR(INDEX('[AQ_2021.xlsx]原始数据'!$A:$A,ROW(A1)+128),"")</f>
        <v/>
      </c>
      <c r="C129">
        <f>IFERROR(INDEX('[AQ_2022.xlsx]原始数据'!$A:$A,ROW(A1)+128),"")</f>
        <v/>
      </c>
      <c r="D129">
        <f>IFERROR(INDEX('[AQ_2023.xlsx]原始数据'!$A:$A,ROW(A1)+128),"")</f>
        <v/>
      </c>
      <c r="E129">
        <f>IFERROR(INDEX('[AQ_2024.xlsx]原始数据'!$A:$A,ROW(A1)+128),"")</f>
        <v/>
      </c>
      <c r="G129">
        <f>IF(128&lt;=1000,INDEX($A$2:$A$1001,128),IF(128&lt;=2000,INDEX($B$2:$B$1001,-872),IF(128&lt;=3000,INDEX($C$2:$C$1001,-1872),IF(128&lt;=4000,INDEX($D$2:$D$1001,-2872),IF(128&lt;=5000,INDEX($E$2:$E$1001,-3872),"")))))</f>
        <v/>
      </c>
    </row>
    <row r="130">
      <c r="A130">
        <f>IFERROR(INDEX('[AQ_2020.xlsx]原始数据'!$A:$A,ROW(A1)+129),"")</f>
        <v/>
      </c>
      <c r="B130">
        <f>IFERROR(INDEX('[AQ_2021.xlsx]原始数据'!$A:$A,ROW(A1)+129),"")</f>
        <v/>
      </c>
      <c r="C130">
        <f>IFERROR(INDEX('[AQ_2022.xlsx]原始数据'!$A:$A,ROW(A1)+129),"")</f>
        <v/>
      </c>
      <c r="D130">
        <f>IFERROR(INDEX('[AQ_2023.xlsx]原始数据'!$A:$A,ROW(A1)+129),"")</f>
        <v/>
      </c>
      <c r="E130">
        <f>IFERROR(INDEX('[AQ_2024.xlsx]原始数据'!$A:$A,ROW(A1)+129),"")</f>
        <v/>
      </c>
      <c r="G130">
        <f>IF(129&lt;=1000,INDEX($A$2:$A$1001,129),IF(129&lt;=2000,INDEX($B$2:$B$1001,-871),IF(129&lt;=3000,INDEX($C$2:$C$1001,-1871),IF(129&lt;=4000,INDEX($D$2:$D$1001,-2871),IF(129&lt;=5000,INDEX($E$2:$E$1001,-3871),"")))))</f>
        <v/>
      </c>
    </row>
    <row r="131">
      <c r="A131">
        <f>IFERROR(INDEX('[AQ_2020.xlsx]原始数据'!$A:$A,ROW(A1)+130),"")</f>
        <v/>
      </c>
      <c r="B131">
        <f>IFERROR(INDEX('[AQ_2021.xlsx]原始数据'!$A:$A,ROW(A1)+130),"")</f>
        <v/>
      </c>
      <c r="C131">
        <f>IFERROR(INDEX('[AQ_2022.xlsx]原始数据'!$A:$A,ROW(A1)+130),"")</f>
        <v/>
      </c>
      <c r="D131">
        <f>IFERROR(INDEX('[AQ_2023.xlsx]原始数据'!$A:$A,ROW(A1)+130),"")</f>
        <v/>
      </c>
      <c r="E131">
        <f>IFERROR(INDEX('[AQ_2024.xlsx]原始数据'!$A:$A,ROW(A1)+130),"")</f>
        <v/>
      </c>
      <c r="G131">
        <f>IF(130&lt;=1000,INDEX($A$2:$A$1001,130),IF(130&lt;=2000,INDEX($B$2:$B$1001,-870),IF(130&lt;=3000,INDEX($C$2:$C$1001,-1870),IF(130&lt;=4000,INDEX($D$2:$D$1001,-2870),IF(130&lt;=5000,INDEX($E$2:$E$1001,-3870),"")))))</f>
        <v/>
      </c>
    </row>
    <row r="132">
      <c r="A132">
        <f>IFERROR(INDEX('[AQ_2020.xlsx]原始数据'!$A:$A,ROW(A1)+131),"")</f>
        <v/>
      </c>
      <c r="B132">
        <f>IFERROR(INDEX('[AQ_2021.xlsx]原始数据'!$A:$A,ROW(A1)+131),"")</f>
        <v/>
      </c>
      <c r="C132">
        <f>IFERROR(INDEX('[AQ_2022.xlsx]原始数据'!$A:$A,ROW(A1)+131),"")</f>
        <v/>
      </c>
      <c r="D132">
        <f>IFERROR(INDEX('[AQ_2023.xlsx]原始数据'!$A:$A,ROW(A1)+131),"")</f>
        <v/>
      </c>
      <c r="E132">
        <f>IFERROR(INDEX('[AQ_2024.xlsx]原始数据'!$A:$A,ROW(A1)+131),"")</f>
        <v/>
      </c>
      <c r="G132">
        <f>IF(131&lt;=1000,INDEX($A$2:$A$1001,131),IF(131&lt;=2000,INDEX($B$2:$B$1001,-869),IF(131&lt;=3000,INDEX($C$2:$C$1001,-1869),IF(131&lt;=4000,INDEX($D$2:$D$1001,-2869),IF(131&lt;=5000,INDEX($E$2:$E$1001,-3869),"")))))</f>
        <v/>
      </c>
    </row>
    <row r="133">
      <c r="A133">
        <f>IFERROR(INDEX('[AQ_2020.xlsx]原始数据'!$A:$A,ROW(A1)+132),"")</f>
        <v/>
      </c>
      <c r="B133">
        <f>IFERROR(INDEX('[AQ_2021.xlsx]原始数据'!$A:$A,ROW(A1)+132),"")</f>
        <v/>
      </c>
      <c r="C133">
        <f>IFERROR(INDEX('[AQ_2022.xlsx]原始数据'!$A:$A,ROW(A1)+132),"")</f>
        <v/>
      </c>
      <c r="D133">
        <f>IFERROR(INDEX('[AQ_2023.xlsx]原始数据'!$A:$A,ROW(A1)+132),"")</f>
        <v/>
      </c>
      <c r="E133">
        <f>IFERROR(INDEX('[AQ_2024.xlsx]原始数据'!$A:$A,ROW(A1)+132),"")</f>
        <v/>
      </c>
      <c r="G133">
        <f>IF(132&lt;=1000,INDEX($A$2:$A$1001,132),IF(132&lt;=2000,INDEX($B$2:$B$1001,-868),IF(132&lt;=3000,INDEX($C$2:$C$1001,-1868),IF(132&lt;=4000,INDEX($D$2:$D$1001,-2868),IF(132&lt;=5000,INDEX($E$2:$E$1001,-3868),"")))))</f>
        <v/>
      </c>
    </row>
    <row r="134">
      <c r="A134">
        <f>IFERROR(INDEX('[AQ_2020.xlsx]原始数据'!$A:$A,ROW(A1)+133),"")</f>
        <v/>
      </c>
      <c r="B134">
        <f>IFERROR(INDEX('[AQ_2021.xlsx]原始数据'!$A:$A,ROW(A1)+133),"")</f>
        <v/>
      </c>
      <c r="C134">
        <f>IFERROR(INDEX('[AQ_2022.xlsx]原始数据'!$A:$A,ROW(A1)+133),"")</f>
        <v/>
      </c>
      <c r="D134">
        <f>IFERROR(INDEX('[AQ_2023.xlsx]原始数据'!$A:$A,ROW(A1)+133),"")</f>
        <v/>
      </c>
      <c r="E134">
        <f>IFERROR(INDEX('[AQ_2024.xlsx]原始数据'!$A:$A,ROW(A1)+133),"")</f>
        <v/>
      </c>
      <c r="G134">
        <f>IF(133&lt;=1000,INDEX($A$2:$A$1001,133),IF(133&lt;=2000,INDEX($B$2:$B$1001,-867),IF(133&lt;=3000,INDEX($C$2:$C$1001,-1867),IF(133&lt;=4000,INDEX($D$2:$D$1001,-2867),IF(133&lt;=5000,INDEX($E$2:$E$1001,-3867),"")))))</f>
        <v/>
      </c>
    </row>
    <row r="135">
      <c r="A135">
        <f>IFERROR(INDEX('[AQ_2020.xlsx]原始数据'!$A:$A,ROW(A1)+134),"")</f>
        <v/>
      </c>
      <c r="B135">
        <f>IFERROR(INDEX('[AQ_2021.xlsx]原始数据'!$A:$A,ROW(A1)+134),"")</f>
        <v/>
      </c>
      <c r="C135">
        <f>IFERROR(INDEX('[AQ_2022.xlsx]原始数据'!$A:$A,ROW(A1)+134),"")</f>
        <v/>
      </c>
      <c r="D135">
        <f>IFERROR(INDEX('[AQ_2023.xlsx]原始数据'!$A:$A,ROW(A1)+134),"")</f>
        <v/>
      </c>
      <c r="E135">
        <f>IFERROR(INDEX('[AQ_2024.xlsx]原始数据'!$A:$A,ROW(A1)+134),"")</f>
        <v/>
      </c>
      <c r="G135">
        <f>IF(134&lt;=1000,INDEX($A$2:$A$1001,134),IF(134&lt;=2000,INDEX($B$2:$B$1001,-866),IF(134&lt;=3000,INDEX($C$2:$C$1001,-1866),IF(134&lt;=4000,INDEX($D$2:$D$1001,-2866),IF(134&lt;=5000,INDEX($E$2:$E$1001,-3866),"")))))</f>
        <v/>
      </c>
    </row>
    <row r="136">
      <c r="A136">
        <f>IFERROR(INDEX('[AQ_2020.xlsx]原始数据'!$A:$A,ROW(A1)+135),"")</f>
        <v/>
      </c>
      <c r="B136">
        <f>IFERROR(INDEX('[AQ_2021.xlsx]原始数据'!$A:$A,ROW(A1)+135),"")</f>
        <v/>
      </c>
      <c r="C136">
        <f>IFERROR(INDEX('[AQ_2022.xlsx]原始数据'!$A:$A,ROW(A1)+135),"")</f>
        <v/>
      </c>
      <c r="D136">
        <f>IFERROR(INDEX('[AQ_2023.xlsx]原始数据'!$A:$A,ROW(A1)+135),"")</f>
        <v/>
      </c>
      <c r="E136">
        <f>IFERROR(INDEX('[AQ_2024.xlsx]原始数据'!$A:$A,ROW(A1)+135),"")</f>
        <v/>
      </c>
      <c r="G136">
        <f>IF(135&lt;=1000,INDEX($A$2:$A$1001,135),IF(135&lt;=2000,INDEX($B$2:$B$1001,-865),IF(135&lt;=3000,INDEX($C$2:$C$1001,-1865),IF(135&lt;=4000,INDEX($D$2:$D$1001,-2865),IF(135&lt;=5000,INDEX($E$2:$E$1001,-3865),"")))))</f>
        <v/>
      </c>
    </row>
    <row r="137">
      <c r="A137">
        <f>IFERROR(INDEX('[AQ_2020.xlsx]原始数据'!$A:$A,ROW(A1)+136),"")</f>
        <v/>
      </c>
      <c r="B137">
        <f>IFERROR(INDEX('[AQ_2021.xlsx]原始数据'!$A:$A,ROW(A1)+136),"")</f>
        <v/>
      </c>
      <c r="C137">
        <f>IFERROR(INDEX('[AQ_2022.xlsx]原始数据'!$A:$A,ROW(A1)+136),"")</f>
        <v/>
      </c>
      <c r="D137">
        <f>IFERROR(INDEX('[AQ_2023.xlsx]原始数据'!$A:$A,ROW(A1)+136),"")</f>
        <v/>
      </c>
      <c r="E137">
        <f>IFERROR(INDEX('[AQ_2024.xlsx]原始数据'!$A:$A,ROW(A1)+136),"")</f>
        <v/>
      </c>
      <c r="G137">
        <f>IF(136&lt;=1000,INDEX($A$2:$A$1001,136),IF(136&lt;=2000,INDEX($B$2:$B$1001,-864),IF(136&lt;=3000,INDEX($C$2:$C$1001,-1864),IF(136&lt;=4000,INDEX($D$2:$D$1001,-2864),IF(136&lt;=5000,INDEX($E$2:$E$1001,-3864),"")))))</f>
        <v/>
      </c>
    </row>
    <row r="138">
      <c r="A138">
        <f>IFERROR(INDEX('[AQ_2020.xlsx]原始数据'!$A:$A,ROW(A1)+137),"")</f>
        <v/>
      </c>
      <c r="B138">
        <f>IFERROR(INDEX('[AQ_2021.xlsx]原始数据'!$A:$A,ROW(A1)+137),"")</f>
        <v/>
      </c>
      <c r="C138">
        <f>IFERROR(INDEX('[AQ_2022.xlsx]原始数据'!$A:$A,ROW(A1)+137),"")</f>
        <v/>
      </c>
      <c r="D138">
        <f>IFERROR(INDEX('[AQ_2023.xlsx]原始数据'!$A:$A,ROW(A1)+137),"")</f>
        <v/>
      </c>
      <c r="E138">
        <f>IFERROR(INDEX('[AQ_2024.xlsx]原始数据'!$A:$A,ROW(A1)+137),"")</f>
        <v/>
      </c>
      <c r="G138">
        <f>IF(137&lt;=1000,INDEX($A$2:$A$1001,137),IF(137&lt;=2000,INDEX($B$2:$B$1001,-863),IF(137&lt;=3000,INDEX($C$2:$C$1001,-1863),IF(137&lt;=4000,INDEX($D$2:$D$1001,-2863),IF(137&lt;=5000,INDEX($E$2:$E$1001,-3863),"")))))</f>
        <v/>
      </c>
    </row>
    <row r="139">
      <c r="A139">
        <f>IFERROR(INDEX('[AQ_2020.xlsx]原始数据'!$A:$A,ROW(A1)+138),"")</f>
        <v/>
      </c>
      <c r="B139">
        <f>IFERROR(INDEX('[AQ_2021.xlsx]原始数据'!$A:$A,ROW(A1)+138),"")</f>
        <v/>
      </c>
      <c r="C139">
        <f>IFERROR(INDEX('[AQ_2022.xlsx]原始数据'!$A:$A,ROW(A1)+138),"")</f>
        <v/>
      </c>
      <c r="D139">
        <f>IFERROR(INDEX('[AQ_2023.xlsx]原始数据'!$A:$A,ROW(A1)+138),"")</f>
        <v/>
      </c>
      <c r="E139">
        <f>IFERROR(INDEX('[AQ_2024.xlsx]原始数据'!$A:$A,ROW(A1)+138),"")</f>
        <v/>
      </c>
      <c r="G139">
        <f>IF(138&lt;=1000,INDEX($A$2:$A$1001,138),IF(138&lt;=2000,INDEX($B$2:$B$1001,-862),IF(138&lt;=3000,INDEX($C$2:$C$1001,-1862),IF(138&lt;=4000,INDEX($D$2:$D$1001,-2862),IF(138&lt;=5000,INDEX($E$2:$E$1001,-3862),"")))))</f>
        <v/>
      </c>
    </row>
    <row r="140">
      <c r="A140">
        <f>IFERROR(INDEX('[AQ_2020.xlsx]原始数据'!$A:$A,ROW(A1)+139),"")</f>
        <v/>
      </c>
      <c r="B140">
        <f>IFERROR(INDEX('[AQ_2021.xlsx]原始数据'!$A:$A,ROW(A1)+139),"")</f>
        <v/>
      </c>
      <c r="C140">
        <f>IFERROR(INDEX('[AQ_2022.xlsx]原始数据'!$A:$A,ROW(A1)+139),"")</f>
        <v/>
      </c>
      <c r="D140">
        <f>IFERROR(INDEX('[AQ_2023.xlsx]原始数据'!$A:$A,ROW(A1)+139),"")</f>
        <v/>
      </c>
      <c r="E140">
        <f>IFERROR(INDEX('[AQ_2024.xlsx]原始数据'!$A:$A,ROW(A1)+139),"")</f>
        <v/>
      </c>
      <c r="G140">
        <f>IF(139&lt;=1000,INDEX($A$2:$A$1001,139),IF(139&lt;=2000,INDEX($B$2:$B$1001,-861),IF(139&lt;=3000,INDEX($C$2:$C$1001,-1861),IF(139&lt;=4000,INDEX($D$2:$D$1001,-2861),IF(139&lt;=5000,INDEX($E$2:$E$1001,-3861),"")))))</f>
        <v/>
      </c>
    </row>
    <row r="141">
      <c r="A141">
        <f>IFERROR(INDEX('[AQ_2020.xlsx]原始数据'!$A:$A,ROW(A1)+140),"")</f>
        <v/>
      </c>
      <c r="B141">
        <f>IFERROR(INDEX('[AQ_2021.xlsx]原始数据'!$A:$A,ROW(A1)+140),"")</f>
        <v/>
      </c>
      <c r="C141">
        <f>IFERROR(INDEX('[AQ_2022.xlsx]原始数据'!$A:$A,ROW(A1)+140),"")</f>
        <v/>
      </c>
      <c r="D141">
        <f>IFERROR(INDEX('[AQ_2023.xlsx]原始数据'!$A:$A,ROW(A1)+140),"")</f>
        <v/>
      </c>
      <c r="E141">
        <f>IFERROR(INDEX('[AQ_2024.xlsx]原始数据'!$A:$A,ROW(A1)+140),"")</f>
        <v/>
      </c>
      <c r="G141">
        <f>IF(140&lt;=1000,INDEX($A$2:$A$1001,140),IF(140&lt;=2000,INDEX($B$2:$B$1001,-860),IF(140&lt;=3000,INDEX($C$2:$C$1001,-1860),IF(140&lt;=4000,INDEX($D$2:$D$1001,-2860),IF(140&lt;=5000,INDEX($E$2:$E$1001,-3860),"")))))</f>
        <v/>
      </c>
    </row>
    <row r="142">
      <c r="A142">
        <f>IFERROR(INDEX('[AQ_2020.xlsx]原始数据'!$A:$A,ROW(A1)+141),"")</f>
        <v/>
      </c>
      <c r="B142">
        <f>IFERROR(INDEX('[AQ_2021.xlsx]原始数据'!$A:$A,ROW(A1)+141),"")</f>
        <v/>
      </c>
      <c r="C142">
        <f>IFERROR(INDEX('[AQ_2022.xlsx]原始数据'!$A:$A,ROW(A1)+141),"")</f>
        <v/>
      </c>
      <c r="D142">
        <f>IFERROR(INDEX('[AQ_2023.xlsx]原始数据'!$A:$A,ROW(A1)+141),"")</f>
        <v/>
      </c>
      <c r="E142">
        <f>IFERROR(INDEX('[AQ_2024.xlsx]原始数据'!$A:$A,ROW(A1)+141),"")</f>
        <v/>
      </c>
      <c r="G142">
        <f>IF(141&lt;=1000,INDEX($A$2:$A$1001,141),IF(141&lt;=2000,INDEX($B$2:$B$1001,-859),IF(141&lt;=3000,INDEX($C$2:$C$1001,-1859),IF(141&lt;=4000,INDEX($D$2:$D$1001,-2859),IF(141&lt;=5000,INDEX($E$2:$E$1001,-3859),"")))))</f>
        <v/>
      </c>
    </row>
    <row r="143">
      <c r="A143">
        <f>IFERROR(INDEX('[AQ_2020.xlsx]原始数据'!$A:$A,ROW(A1)+142),"")</f>
        <v/>
      </c>
      <c r="B143">
        <f>IFERROR(INDEX('[AQ_2021.xlsx]原始数据'!$A:$A,ROW(A1)+142),"")</f>
        <v/>
      </c>
      <c r="C143">
        <f>IFERROR(INDEX('[AQ_2022.xlsx]原始数据'!$A:$A,ROW(A1)+142),"")</f>
        <v/>
      </c>
      <c r="D143">
        <f>IFERROR(INDEX('[AQ_2023.xlsx]原始数据'!$A:$A,ROW(A1)+142),"")</f>
        <v/>
      </c>
      <c r="E143">
        <f>IFERROR(INDEX('[AQ_2024.xlsx]原始数据'!$A:$A,ROW(A1)+142),"")</f>
        <v/>
      </c>
      <c r="G143">
        <f>IF(142&lt;=1000,INDEX($A$2:$A$1001,142),IF(142&lt;=2000,INDEX($B$2:$B$1001,-858),IF(142&lt;=3000,INDEX($C$2:$C$1001,-1858),IF(142&lt;=4000,INDEX($D$2:$D$1001,-2858),IF(142&lt;=5000,INDEX($E$2:$E$1001,-3858),"")))))</f>
        <v/>
      </c>
    </row>
    <row r="144">
      <c r="A144">
        <f>IFERROR(INDEX('[AQ_2020.xlsx]原始数据'!$A:$A,ROW(A1)+143),"")</f>
        <v/>
      </c>
      <c r="B144">
        <f>IFERROR(INDEX('[AQ_2021.xlsx]原始数据'!$A:$A,ROW(A1)+143),"")</f>
        <v/>
      </c>
      <c r="C144">
        <f>IFERROR(INDEX('[AQ_2022.xlsx]原始数据'!$A:$A,ROW(A1)+143),"")</f>
        <v/>
      </c>
      <c r="D144">
        <f>IFERROR(INDEX('[AQ_2023.xlsx]原始数据'!$A:$A,ROW(A1)+143),"")</f>
        <v/>
      </c>
      <c r="E144">
        <f>IFERROR(INDEX('[AQ_2024.xlsx]原始数据'!$A:$A,ROW(A1)+143),"")</f>
        <v/>
      </c>
      <c r="G144">
        <f>IF(143&lt;=1000,INDEX($A$2:$A$1001,143),IF(143&lt;=2000,INDEX($B$2:$B$1001,-857),IF(143&lt;=3000,INDEX($C$2:$C$1001,-1857),IF(143&lt;=4000,INDEX($D$2:$D$1001,-2857),IF(143&lt;=5000,INDEX($E$2:$E$1001,-3857),"")))))</f>
        <v/>
      </c>
    </row>
    <row r="145">
      <c r="A145">
        <f>IFERROR(INDEX('[AQ_2020.xlsx]原始数据'!$A:$A,ROW(A1)+144),"")</f>
        <v/>
      </c>
      <c r="B145">
        <f>IFERROR(INDEX('[AQ_2021.xlsx]原始数据'!$A:$A,ROW(A1)+144),"")</f>
        <v/>
      </c>
      <c r="C145">
        <f>IFERROR(INDEX('[AQ_2022.xlsx]原始数据'!$A:$A,ROW(A1)+144),"")</f>
        <v/>
      </c>
      <c r="D145">
        <f>IFERROR(INDEX('[AQ_2023.xlsx]原始数据'!$A:$A,ROW(A1)+144),"")</f>
        <v/>
      </c>
      <c r="E145">
        <f>IFERROR(INDEX('[AQ_2024.xlsx]原始数据'!$A:$A,ROW(A1)+144),"")</f>
        <v/>
      </c>
      <c r="G145">
        <f>IF(144&lt;=1000,INDEX($A$2:$A$1001,144),IF(144&lt;=2000,INDEX($B$2:$B$1001,-856),IF(144&lt;=3000,INDEX($C$2:$C$1001,-1856),IF(144&lt;=4000,INDEX($D$2:$D$1001,-2856),IF(144&lt;=5000,INDEX($E$2:$E$1001,-3856),"")))))</f>
        <v/>
      </c>
    </row>
    <row r="146">
      <c r="A146">
        <f>IFERROR(INDEX('[AQ_2020.xlsx]原始数据'!$A:$A,ROW(A1)+145),"")</f>
        <v/>
      </c>
      <c r="B146">
        <f>IFERROR(INDEX('[AQ_2021.xlsx]原始数据'!$A:$A,ROW(A1)+145),"")</f>
        <v/>
      </c>
      <c r="C146">
        <f>IFERROR(INDEX('[AQ_2022.xlsx]原始数据'!$A:$A,ROW(A1)+145),"")</f>
        <v/>
      </c>
      <c r="D146">
        <f>IFERROR(INDEX('[AQ_2023.xlsx]原始数据'!$A:$A,ROW(A1)+145),"")</f>
        <v/>
      </c>
      <c r="E146">
        <f>IFERROR(INDEX('[AQ_2024.xlsx]原始数据'!$A:$A,ROW(A1)+145),"")</f>
        <v/>
      </c>
      <c r="G146">
        <f>IF(145&lt;=1000,INDEX($A$2:$A$1001,145),IF(145&lt;=2000,INDEX($B$2:$B$1001,-855),IF(145&lt;=3000,INDEX($C$2:$C$1001,-1855),IF(145&lt;=4000,INDEX($D$2:$D$1001,-2855),IF(145&lt;=5000,INDEX($E$2:$E$1001,-3855),"")))))</f>
        <v/>
      </c>
    </row>
    <row r="147">
      <c r="A147">
        <f>IFERROR(INDEX('[AQ_2020.xlsx]原始数据'!$A:$A,ROW(A1)+146),"")</f>
        <v/>
      </c>
      <c r="B147">
        <f>IFERROR(INDEX('[AQ_2021.xlsx]原始数据'!$A:$A,ROW(A1)+146),"")</f>
        <v/>
      </c>
      <c r="C147">
        <f>IFERROR(INDEX('[AQ_2022.xlsx]原始数据'!$A:$A,ROW(A1)+146),"")</f>
        <v/>
      </c>
      <c r="D147">
        <f>IFERROR(INDEX('[AQ_2023.xlsx]原始数据'!$A:$A,ROW(A1)+146),"")</f>
        <v/>
      </c>
      <c r="E147">
        <f>IFERROR(INDEX('[AQ_2024.xlsx]原始数据'!$A:$A,ROW(A1)+146),"")</f>
        <v/>
      </c>
      <c r="G147">
        <f>IF(146&lt;=1000,INDEX($A$2:$A$1001,146),IF(146&lt;=2000,INDEX($B$2:$B$1001,-854),IF(146&lt;=3000,INDEX($C$2:$C$1001,-1854),IF(146&lt;=4000,INDEX($D$2:$D$1001,-2854),IF(146&lt;=5000,INDEX($E$2:$E$1001,-3854),"")))))</f>
        <v/>
      </c>
    </row>
    <row r="148">
      <c r="A148">
        <f>IFERROR(INDEX('[AQ_2020.xlsx]原始数据'!$A:$A,ROW(A1)+147),"")</f>
        <v/>
      </c>
      <c r="B148">
        <f>IFERROR(INDEX('[AQ_2021.xlsx]原始数据'!$A:$A,ROW(A1)+147),"")</f>
        <v/>
      </c>
      <c r="C148">
        <f>IFERROR(INDEX('[AQ_2022.xlsx]原始数据'!$A:$A,ROW(A1)+147),"")</f>
        <v/>
      </c>
      <c r="D148">
        <f>IFERROR(INDEX('[AQ_2023.xlsx]原始数据'!$A:$A,ROW(A1)+147),"")</f>
        <v/>
      </c>
      <c r="E148">
        <f>IFERROR(INDEX('[AQ_2024.xlsx]原始数据'!$A:$A,ROW(A1)+147),"")</f>
        <v/>
      </c>
      <c r="G148">
        <f>IF(147&lt;=1000,INDEX($A$2:$A$1001,147),IF(147&lt;=2000,INDEX($B$2:$B$1001,-853),IF(147&lt;=3000,INDEX($C$2:$C$1001,-1853),IF(147&lt;=4000,INDEX($D$2:$D$1001,-2853),IF(147&lt;=5000,INDEX($E$2:$E$1001,-3853),"")))))</f>
        <v/>
      </c>
    </row>
    <row r="149">
      <c r="A149">
        <f>IFERROR(INDEX('[AQ_2020.xlsx]原始数据'!$A:$A,ROW(A1)+148),"")</f>
        <v/>
      </c>
      <c r="B149">
        <f>IFERROR(INDEX('[AQ_2021.xlsx]原始数据'!$A:$A,ROW(A1)+148),"")</f>
        <v/>
      </c>
      <c r="C149">
        <f>IFERROR(INDEX('[AQ_2022.xlsx]原始数据'!$A:$A,ROW(A1)+148),"")</f>
        <v/>
      </c>
      <c r="D149">
        <f>IFERROR(INDEX('[AQ_2023.xlsx]原始数据'!$A:$A,ROW(A1)+148),"")</f>
        <v/>
      </c>
      <c r="E149">
        <f>IFERROR(INDEX('[AQ_2024.xlsx]原始数据'!$A:$A,ROW(A1)+148),"")</f>
        <v/>
      </c>
      <c r="G149">
        <f>IF(148&lt;=1000,INDEX($A$2:$A$1001,148),IF(148&lt;=2000,INDEX($B$2:$B$1001,-852),IF(148&lt;=3000,INDEX($C$2:$C$1001,-1852),IF(148&lt;=4000,INDEX($D$2:$D$1001,-2852),IF(148&lt;=5000,INDEX($E$2:$E$1001,-3852),"")))))</f>
        <v/>
      </c>
    </row>
    <row r="150">
      <c r="A150">
        <f>IFERROR(INDEX('[AQ_2020.xlsx]原始数据'!$A:$A,ROW(A1)+149),"")</f>
        <v/>
      </c>
      <c r="B150">
        <f>IFERROR(INDEX('[AQ_2021.xlsx]原始数据'!$A:$A,ROW(A1)+149),"")</f>
        <v/>
      </c>
      <c r="C150">
        <f>IFERROR(INDEX('[AQ_2022.xlsx]原始数据'!$A:$A,ROW(A1)+149),"")</f>
        <v/>
      </c>
      <c r="D150">
        <f>IFERROR(INDEX('[AQ_2023.xlsx]原始数据'!$A:$A,ROW(A1)+149),"")</f>
        <v/>
      </c>
      <c r="E150">
        <f>IFERROR(INDEX('[AQ_2024.xlsx]原始数据'!$A:$A,ROW(A1)+149),"")</f>
        <v/>
      </c>
      <c r="G150">
        <f>IF(149&lt;=1000,INDEX($A$2:$A$1001,149),IF(149&lt;=2000,INDEX($B$2:$B$1001,-851),IF(149&lt;=3000,INDEX($C$2:$C$1001,-1851),IF(149&lt;=4000,INDEX($D$2:$D$1001,-2851),IF(149&lt;=5000,INDEX($E$2:$E$1001,-3851),"")))))</f>
        <v/>
      </c>
    </row>
    <row r="151">
      <c r="A151">
        <f>IFERROR(INDEX('[AQ_2020.xlsx]原始数据'!$A:$A,ROW(A1)+150),"")</f>
        <v/>
      </c>
      <c r="B151">
        <f>IFERROR(INDEX('[AQ_2021.xlsx]原始数据'!$A:$A,ROW(A1)+150),"")</f>
        <v/>
      </c>
      <c r="C151">
        <f>IFERROR(INDEX('[AQ_2022.xlsx]原始数据'!$A:$A,ROW(A1)+150),"")</f>
        <v/>
      </c>
      <c r="D151">
        <f>IFERROR(INDEX('[AQ_2023.xlsx]原始数据'!$A:$A,ROW(A1)+150),"")</f>
        <v/>
      </c>
      <c r="E151">
        <f>IFERROR(INDEX('[AQ_2024.xlsx]原始数据'!$A:$A,ROW(A1)+150),"")</f>
        <v/>
      </c>
      <c r="G151">
        <f>IF(150&lt;=1000,INDEX($A$2:$A$1001,150),IF(150&lt;=2000,INDEX($B$2:$B$1001,-850),IF(150&lt;=3000,INDEX($C$2:$C$1001,-1850),IF(150&lt;=4000,INDEX($D$2:$D$1001,-2850),IF(150&lt;=5000,INDEX($E$2:$E$1001,-3850),"")))))</f>
        <v/>
      </c>
    </row>
    <row r="152">
      <c r="A152">
        <f>IFERROR(INDEX('[AQ_2020.xlsx]原始数据'!$A:$A,ROW(A1)+151),"")</f>
        <v/>
      </c>
      <c r="B152">
        <f>IFERROR(INDEX('[AQ_2021.xlsx]原始数据'!$A:$A,ROW(A1)+151),"")</f>
        <v/>
      </c>
      <c r="C152">
        <f>IFERROR(INDEX('[AQ_2022.xlsx]原始数据'!$A:$A,ROW(A1)+151),"")</f>
        <v/>
      </c>
      <c r="D152">
        <f>IFERROR(INDEX('[AQ_2023.xlsx]原始数据'!$A:$A,ROW(A1)+151),"")</f>
        <v/>
      </c>
      <c r="E152">
        <f>IFERROR(INDEX('[AQ_2024.xlsx]原始数据'!$A:$A,ROW(A1)+151),"")</f>
        <v/>
      </c>
      <c r="G152">
        <f>IF(151&lt;=1000,INDEX($A$2:$A$1001,151),IF(151&lt;=2000,INDEX($B$2:$B$1001,-849),IF(151&lt;=3000,INDEX($C$2:$C$1001,-1849),IF(151&lt;=4000,INDEX($D$2:$D$1001,-2849),IF(151&lt;=5000,INDEX($E$2:$E$1001,-3849),"")))))</f>
        <v/>
      </c>
    </row>
    <row r="153">
      <c r="A153">
        <f>IFERROR(INDEX('[AQ_2020.xlsx]原始数据'!$A:$A,ROW(A1)+152),"")</f>
        <v/>
      </c>
      <c r="B153">
        <f>IFERROR(INDEX('[AQ_2021.xlsx]原始数据'!$A:$A,ROW(A1)+152),"")</f>
        <v/>
      </c>
      <c r="C153">
        <f>IFERROR(INDEX('[AQ_2022.xlsx]原始数据'!$A:$A,ROW(A1)+152),"")</f>
        <v/>
      </c>
      <c r="D153">
        <f>IFERROR(INDEX('[AQ_2023.xlsx]原始数据'!$A:$A,ROW(A1)+152),"")</f>
        <v/>
      </c>
      <c r="E153">
        <f>IFERROR(INDEX('[AQ_2024.xlsx]原始数据'!$A:$A,ROW(A1)+152),"")</f>
        <v/>
      </c>
      <c r="G153">
        <f>IF(152&lt;=1000,INDEX($A$2:$A$1001,152),IF(152&lt;=2000,INDEX($B$2:$B$1001,-848),IF(152&lt;=3000,INDEX($C$2:$C$1001,-1848),IF(152&lt;=4000,INDEX($D$2:$D$1001,-2848),IF(152&lt;=5000,INDEX($E$2:$E$1001,-3848),"")))))</f>
        <v/>
      </c>
    </row>
    <row r="154">
      <c r="A154">
        <f>IFERROR(INDEX('[AQ_2020.xlsx]原始数据'!$A:$A,ROW(A1)+153),"")</f>
        <v/>
      </c>
      <c r="B154">
        <f>IFERROR(INDEX('[AQ_2021.xlsx]原始数据'!$A:$A,ROW(A1)+153),"")</f>
        <v/>
      </c>
      <c r="C154">
        <f>IFERROR(INDEX('[AQ_2022.xlsx]原始数据'!$A:$A,ROW(A1)+153),"")</f>
        <v/>
      </c>
      <c r="D154">
        <f>IFERROR(INDEX('[AQ_2023.xlsx]原始数据'!$A:$A,ROW(A1)+153),"")</f>
        <v/>
      </c>
      <c r="E154">
        <f>IFERROR(INDEX('[AQ_2024.xlsx]原始数据'!$A:$A,ROW(A1)+153),"")</f>
        <v/>
      </c>
      <c r="G154">
        <f>IF(153&lt;=1000,INDEX($A$2:$A$1001,153),IF(153&lt;=2000,INDEX($B$2:$B$1001,-847),IF(153&lt;=3000,INDEX($C$2:$C$1001,-1847),IF(153&lt;=4000,INDEX($D$2:$D$1001,-2847),IF(153&lt;=5000,INDEX($E$2:$E$1001,-3847),"")))))</f>
        <v/>
      </c>
    </row>
    <row r="155">
      <c r="A155">
        <f>IFERROR(INDEX('[AQ_2020.xlsx]原始数据'!$A:$A,ROW(A1)+154),"")</f>
        <v/>
      </c>
      <c r="B155">
        <f>IFERROR(INDEX('[AQ_2021.xlsx]原始数据'!$A:$A,ROW(A1)+154),"")</f>
        <v/>
      </c>
      <c r="C155">
        <f>IFERROR(INDEX('[AQ_2022.xlsx]原始数据'!$A:$A,ROW(A1)+154),"")</f>
        <v/>
      </c>
      <c r="D155">
        <f>IFERROR(INDEX('[AQ_2023.xlsx]原始数据'!$A:$A,ROW(A1)+154),"")</f>
        <v/>
      </c>
      <c r="E155">
        <f>IFERROR(INDEX('[AQ_2024.xlsx]原始数据'!$A:$A,ROW(A1)+154),"")</f>
        <v/>
      </c>
      <c r="G155">
        <f>IF(154&lt;=1000,INDEX($A$2:$A$1001,154),IF(154&lt;=2000,INDEX($B$2:$B$1001,-846),IF(154&lt;=3000,INDEX($C$2:$C$1001,-1846),IF(154&lt;=4000,INDEX($D$2:$D$1001,-2846),IF(154&lt;=5000,INDEX($E$2:$E$1001,-3846),"")))))</f>
        <v/>
      </c>
    </row>
    <row r="156">
      <c r="A156">
        <f>IFERROR(INDEX('[AQ_2020.xlsx]原始数据'!$A:$A,ROW(A1)+155),"")</f>
        <v/>
      </c>
      <c r="B156">
        <f>IFERROR(INDEX('[AQ_2021.xlsx]原始数据'!$A:$A,ROW(A1)+155),"")</f>
        <v/>
      </c>
      <c r="C156">
        <f>IFERROR(INDEX('[AQ_2022.xlsx]原始数据'!$A:$A,ROW(A1)+155),"")</f>
        <v/>
      </c>
      <c r="D156">
        <f>IFERROR(INDEX('[AQ_2023.xlsx]原始数据'!$A:$A,ROW(A1)+155),"")</f>
        <v/>
      </c>
      <c r="E156">
        <f>IFERROR(INDEX('[AQ_2024.xlsx]原始数据'!$A:$A,ROW(A1)+155),"")</f>
        <v/>
      </c>
      <c r="G156">
        <f>IF(155&lt;=1000,INDEX($A$2:$A$1001,155),IF(155&lt;=2000,INDEX($B$2:$B$1001,-845),IF(155&lt;=3000,INDEX($C$2:$C$1001,-1845),IF(155&lt;=4000,INDEX($D$2:$D$1001,-2845),IF(155&lt;=5000,INDEX($E$2:$E$1001,-3845),"")))))</f>
        <v/>
      </c>
    </row>
    <row r="157">
      <c r="A157">
        <f>IFERROR(INDEX('[AQ_2020.xlsx]原始数据'!$A:$A,ROW(A1)+156),"")</f>
        <v/>
      </c>
      <c r="B157">
        <f>IFERROR(INDEX('[AQ_2021.xlsx]原始数据'!$A:$A,ROW(A1)+156),"")</f>
        <v/>
      </c>
      <c r="C157">
        <f>IFERROR(INDEX('[AQ_2022.xlsx]原始数据'!$A:$A,ROW(A1)+156),"")</f>
        <v/>
      </c>
      <c r="D157">
        <f>IFERROR(INDEX('[AQ_2023.xlsx]原始数据'!$A:$A,ROW(A1)+156),"")</f>
        <v/>
      </c>
      <c r="E157">
        <f>IFERROR(INDEX('[AQ_2024.xlsx]原始数据'!$A:$A,ROW(A1)+156),"")</f>
        <v/>
      </c>
      <c r="G157">
        <f>IF(156&lt;=1000,INDEX($A$2:$A$1001,156),IF(156&lt;=2000,INDEX($B$2:$B$1001,-844),IF(156&lt;=3000,INDEX($C$2:$C$1001,-1844),IF(156&lt;=4000,INDEX($D$2:$D$1001,-2844),IF(156&lt;=5000,INDEX($E$2:$E$1001,-3844),"")))))</f>
        <v/>
      </c>
    </row>
    <row r="158">
      <c r="A158">
        <f>IFERROR(INDEX('[AQ_2020.xlsx]原始数据'!$A:$A,ROW(A1)+157),"")</f>
        <v/>
      </c>
      <c r="B158">
        <f>IFERROR(INDEX('[AQ_2021.xlsx]原始数据'!$A:$A,ROW(A1)+157),"")</f>
        <v/>
      </c>
      <c r="C158">
        <f>IFERROR(INDEX('[AQ_2022.xlsx]原始数据'!$A:$A,ROW(A1)+157),"")</f>
        <v/>
      </c>
      <c r="D158">
        <f>IFERROR(INDEX('[AQ_2023.xlsx]原始数据'!$A:$A,ROW(A1)+157),"")</f>
        <v/>
      </c>
      <c r="E158">
        <f>IFERROR(INDEX('[AQ_2024.xlsx]原始数据'!$A:$A,ROW(A1)+157),"")</f>
        <v/>
      </c>
      <c r="G158">
        <f>IF(157&lt;=1000,INDEX($A$2:$A$1001,157),IF(157&lt;=2000,INDEX($B$2:$B$1001,-843),IF(157&lt;=3000,INDEX($C$2:$C$1001,-1843),IF(157&lt;=4000,INDEX($D$2:$D$1001,-2843),IF(157&lt;=5000,INDEX($E$2:$E$1001,-3843),"")))))</f>
        <v/>
      </c>
    </row>
    <row r="159">
      <c r="A159">
        <f>IFERROR(INDEX('[AQ_2020.xlsx]原始数据'!$A:$A,ROW(A1)+158),"")</f>
        <v/>
      </c>
      <c r="B159">
        <f>IFERROR(INDEX('[AQ_2021.xlsx]原始数据'!$A:$A,ROW(A1)+158),"")</f>
        <v/>
      </c>
      <c r="C159">
        <f>IFERROR(INDEX('[AQ_2022.xlsx]原始数据'!$A:$A,ROW(A1)+158),"")</f>
        <v/>
      </c>
      <c r="D159">
        <f>IFERROR(INDEX('[AQ_2023.xlsx]原始数据'!$A:$A,ROW(A1)+158),"")</f>
        <v/>
      </c>
      <c r="E159">
        <f>IFERROR(INDEX('[AQ_2024.xlsx]原始数据'!$A:$A,ROW(A1)+158),"")</f>
        <v/>
      </c>
      <c r="G159">
        <f>IF(158&lt;=1000,INDEX($A$2:$A$1001,158),IF(158&lt;=2000,INDEX($B$2:$B$1001,-842),IF(158&lt;=3000,INDEX($C$2:$C$1001,-1842),IF(158&lt;=4000,INDEX($D$2:$D$1001,-2842),IF(158&lt;=5000,INDEX($E$2:$E$1001,-3842),"")))))</f>
        <v/>
      </c>
    </row>
    <row r="160">
      <c r="A160">
        <f>IFERROR(INDEX('[AQ_2020.xlsx]原始数据'!$A:$A,ROW(A1)+159),"")</f>
        <v/>
      </c>
      <c r="B160">
        <f>IFERROR(INDEX('[AQ_2021.xlsx]原始数据'!$A:$A,ROW(A1)+159),"")</f>
        <v/>
      </c>
      <c r="C160">
        <f>IFERROR(INDEX('[AQ_2022.xlsx]原始数据'!$A:$A,ROW(A1)+159),"")</f>
        <v/>
      </c>
      <c r="D160">
        <f>IFERROR(INDEX('[AQ_2023.xlsx]原始数据'!$A:$A,ROW(A1)+159),"")</f>
        <v/>
      </c>
      <c r="E160">
        <f>IFERROR(INDEX('[AQ_2024.xlsx]原始数据'!$A:$A,ROW(A1)+159),"")</f>
        <v/>
      </c>
      <c r="G160">
        <f>IF(159&lt;=1000,INDEX($A$2:$A$1001,159),IF(159&lt;=2000,INDEX($B$2:$B$1001,-841),IF(159&lt;=3000,INDEX($C$2:$C$1001,-1841),IF(159&lt;=4000,INDEX($D$2:$D$1001,-2841),IF(159&lt;=5000,INDEX($E$2:$E$1001,-3841),"")))))</f>
        <v/>
      </c>
    </row>
    <row r="161">
      <c r="A161">
        <f>IFERROR(INDEX('[AQ_2020.xlsx]原始数据'!$A:$A,ROW(A1)+160),"")</f>
        <v/>
      </c>
      <c r="B161">
        <f>IFERROR(INDEX('[AQ_2021.xlsx]原始数据'!$A:$A,ROW(A1)+160),"")</f>
        <v/>
      </c>
      <c r="C161">
        <f>IFERROR(INDEX('[AQ_2022.xlsx]原始数据'!$A:$A,ROW(A1)+160),"")</f>
        <v/>
      </c>
      <c r="D161">
        <f>IFERROR(INDEX('[AQ_2023.xlsx]原始数据'!$A:$A,ROW(A1)+160),"")</f>
        <v/>
      </c>
      <c r="E161">
        <f>IFERROR(INDEX('[AQ_2024.xlsx]原始数据'!$A:$A,ROW(A1)+160),"")</f>
        <v/>
      </c>
      <c r="G161">
        <f>IF(160&lt;=1000,INDEX($A$2:$A$1001,160),IF(160&lt;=2000,INDEX($B$2:$B$1001,-840),IF(160&lt;=3000,INDEX($C$2:$C$1001,-1840),IF(160&lt;=4000,INDEX($D$2:$D$1001,-2840),IF(160&lt;=5000,INDEX($E$2:$E$1001,-3840),"")))))</f>
        <v/>
      </c>
    </row>
    <row r="162">
      <c r="A162">
        <f>IFERROR(INDEX('[AQ_2020.xlsx]原始数据'!$A:$A,ROW(A1)+161),"")</f>
        <v/>
      </c>
      <c r="B162">
        <f>IFERROR(INDEX('[AQ_2021.xlsx]原始数据'!$A:$A,ROW(A1)+161),"")</f>
        <v/>
      </c>
      <c r="C162">
        <f>IFERROR(INDEX('[AQ_2022.xlsx]原始数据'!$A:$A,ROW(A1)+161),"")</f>
        <v/>
      </c>
      <c r="D162">
        <f>IFERROR(INDEX('[AQ_2023.xlsx]原始数据'!$A:$A,ROW(A1)+161),"")</f>
        <v/>
      </c>
      <c r="E162">
        <f>IFERROR(INDEX('[AQ_2024.xlsx]原始数据'!$A:$A,ROW(A1)+161),"")</f>
        <v/>
      </c>
      <c r="G162">
        <f>IF(161&lt;=1000,INDEX($A$2:$A$1001,161),IF(161&lt;=2000,INDEX($B$2:$B$1001,-839),IF(161&lt;=3000,INDEX($C$2:$C$1001,-1839),IF(161&lt;=4000,INDEX($D$2:$D$1001,-2839),IF(161&lt;=5000,INDEX($E$2:$E$1001,-3839),"")))))</f>
        <v/>
      </c>
    </row>
    <row r="163">
      <c r="A163">
        <f>IFERROR(INDEX('[AQ_2020.xlsx]原始数据'!$A:$A,ROW(A1)+162),"")</f>
        <v/>
      </c>
      <c r="B163">
        <f>IFERROR(INDEX('[AQ_2021.xlsx]原始数据'!$A:$A,ROW(A1)+162),"")</f>
        <v/>
      </c>
      <c r="C163">
        <f>IFERROR(INDEX('[AQ_2022.xlsx]原始数据'!$A:$A,ROW(A1)+162),"")</f>
        <v/>
      </c>
      <c r="D163">
        <f>IFERROR(INDEX('[AQ_2023.xlsx]原始数据'!$A:$A,ROW(A1)+162),"")</f>
        <v/>
      </c>
      <c r="E163">
        <f>IFERROR(INDEX('[AQ_2024.xlsx]原始数据'!$A:$A,ROW(A1)+162),"")</f>
        <v/>
      </c>
      <c r="G163">
        <f>IF(162&lt;=1000,INDEX($A$2:$A$1001,162),IF(162&lt;=2000,INDEX($B$2:$B$1001,-838),IF(162&lt;=3000,INDEX($C$2:$C$1001,-1838),IF(162&lt;=4000,INDEX($D$2:$D$1001,-2838),IF(162&lt;=5000,INDEX($E$2:$E$1001,-3838),"")))))</f>
        <v/>
      </c>
    </row>
    <row r="164">
      <c r="A164">
        <f>IFERROR(INDEX('[AQ_2020.xlsx]原始数据'!$A:$A,ROW(A1)+163),"")</f>
        <v/>
      </c>
      <c r="B164">
        <f>IFERROR(INDEX('[AQ_2021.xlsx]原始数据'!$A:$A,ROW(A1)+163),"")</f>
        <v/>
      </c>
      <c r="C164">
        <f>IFERROR(INDEX('[AQ_2022.xlsx]原始数据'!$A:$A,ROW(A1)+163),"")</f>
        <v/>
      </c>
      <c r="D164">
        <f>IFERROR(INDEX('[AQ_2023.xlsx]原始数据'!$A:$A,ROW(A1)+163),"")</f>
        <v/>
      </c>
      <c r="E164">
        <f>IFERROR(INDEX('[AQ_2024.xlsx]原始数据'!$A:$A,ROW(A1)+163),"")</f>
        <v/>
      </c>
      <c r="G164">
        <f>IF(163&lt;=1000,INDEX($A$2:$A$1001,163),IF(163&lt;=2000,INDEX($B$2:$B$1001,-837),IF(163&lt;=3000,INDEX($C$2:$C$1001,-1837),IF(163&lt;=4000,INDEX($D$2:$D$1001,-2837),IF(163&lt;=5000,INDEX($E$2:$E$1001,-3837),"")))))</f>
        <v/>
      </c>
    </row>
    <row r="165">
      <c r="A165">
        <f>IFERROR(INDEX('[AQ_2020.xlsx]原始数据'!$A:$A,ROW(A1)+164),"")</f>
        <v/>
      </c>
      <c r="B165">
        <f>IFERROR(INDEX('[AQ_2021.xlsx]原始数据'!$A:$A,ROW(A1)+164),"")</f>
        <v/>
      </c>
      <c r="C165">
        <f>IFERROR(INDEX('[AQ_2022.xlsx]原始数据'!$A:$A,ROW(A1)+164),"")</f>
        <v/>
      </c>
      <c r="D165">
        <f>IFERROR(INDEX('[AQ_2023.xlsx]原始数据'!$A:$A,ROW(A1)+164),"")</f>
        <v/>
      </c>
      <c r="E165">
        <f>IFERROR(INDEX('[AQ_2024.xlsx]原始数据'!$A:$A,ROW(A1)+164),"")</f>
        <v/>
      </c>
      <c r="G165">
        <f>IF(164&lt;=1000,INDEX($A$2:$A$1001,164),IF(164&lt;=2000,INDEX($B$2:$B$1001,-836),IF(164&lt;=3000,INDEX($C$2:$C$1001,-1836),IF(164&lt;=4000,INDEX($D$2:$D$1001,-2836),IF(164&lt;=5000,INDEX($E$2:$E$1001,-3836),"")))))</f>
        <v/>
      </c>
    </row>
    <row r="166">
      <c r="A166">
        <f>IFERROR(INDEX('[AQ_2020.xlsx]原始数据'!$A:$A,ROW(A1)+165),"")</f>
        <v/>
      </c>
      <c r="B166">
        <f>IFERROR(INDEX('[AQ_2021.xlsx]原始数据'!$A:$A,ROW(A1)+165),"")</f>
        <v/>
      </c>
      <c r="C166">
        <f>IFERROR(INDEX('[AQ_2022.xlsx]原始数据'!$A:$A,ROW(A1)+165),"")</f>
        <v/>
      </c>
      <c r="D166">
        <f>IFERROR(INDEX('[AQ_2023.xlsx]原始数据'!$A:$A,ROW(A1)+165),"")</f>
        <v/>
      </c>
      <c r="E166">
        <f>IFERROR(INDEX('[AQ_2024.xlsx]原始数据'!$A:$A,ROW(A1)+165),"")</f>
        <v/>
      </c>
      <c r="G166">
        <f>IF(165&lt;=1000,INDEX($A$2:$A$1001,165),IF(165&lt;=2000,INDEX($B$2:$B$1001,-835),IF(165&lt;=3000,INDEX($C$2:$C$1001,-1835),IF(165&lt;=4000,INDEX($D$2:$D$1001,-2835),IF(165&lt;=5000,INDEX($E$2:$E$1001,-3835),"")))))</f>
        <v/>
      </c>
    </row>
    <row r="167">
      <c r="A167">
        <f>IFERROR(INDEX('[AQ_2020.xlsx]原始数据'!$A:$A,ROW(A1)+166),"")</f>
        <v/>
      </c>
      <c r="B167">
        <f>IFERROR(INDEX('[AQ_2021.xlsx]原始数据'!$A:$A,ROW(A1)+166),"")</f>
        <v/>
      </c>
      <c r="C167">
        <f>IFERROR(INDEX('[AQ_2022.xlsx]原始数据'!$A:$A,ROW(A1)+166),"")</f>
        <v/>
      </c>
      <c r="D167">
        <f>IFERROR(INDEX('[AQ_2023.xlsx]原始数据'!$A:$A,ROW(A1)+166),"")</f>
        <v/>
      </c>
      <c r="E167">
        <f>IFERROR(INDEX('[AQ_2024.xlsx]原始数据'!$A:$A,ROW(A1)+166),"")</f>
        <v/>
      </c>
      <c r="G167">
        <f>IF(166&lt;=1000,INDEX($A$2:$A$1001,166),IF(166&lt;=2000,INDEX($B$2:$B$1001,-834),IF(166&lt;=3000,INDEX($C$2:$C$1001,-1834),IF(166&lt;=4000,INDEX($D$2:$D$1001,-2834),IF(166&lt;=5000,INDEX($E$2:$E$1001,-3834),"")))))</f>
        <v/>
      </c>
    </row>
    <row r="168">
      <c r="A168">
        <f>IFERROR(INDEX('[AQ_2020.xlsx]原始数据'!$A:$A,ROW(A1)+167),"")</f>
        <v/>
      </c>
      <c r="B168">
        <f>IFERROR(INDEX('[AQ_2021.xlsx]原始数据'!$A:$A,ROW(A1)+167),"")</f>
        <v/>
      </c>
      <c r="C168">
        <f>IFERROR(INDEX('[AQ_2022.xlsx]原始数据'!$A:$A,ROW(A1)+167),"")</f>
        <v/>
      </c>
      <c r="D168">
        <f>IFERROR(INDEX('[AQ_2023.xlsx]原始数据'!$A:$A,ROW(A1)+167),"")</f>
        <v/>
      </c>
      <c r="E168">
        <f>IFERROR(INDEX('[AQ_2024.xlsx]原始数据'!$A:$A,ROW(A1)+167),"")</f>
        <v/>
      </c>
      <c r="G168">
        <f>IF(167&lt;=1000,INDEX($A$2:$A$1001,167),IF(167&lt;=2000,INDEX($B$2:$B$1001,-833),IF(167&lt;=3000,INDEX($C$2:$C$1001,-1833),IF(167&lt;=4000,INDEX($D$2:$D$1001,-2833),IF(167&lt;=5000,INDEX($E$2:$E$1001,-3833),"")))))</f>
        <v/>
      </c>
    </row>
    <row r="169">
      <c r="A169">
        <f>IFERROR(INDEX('[AQ_2020.xlsx]原始数据'!$A:$A,ROW(A1)+168),"")</f>
        <v/>
      </c>
      <c r="B169">
        <f>IFERROR(INDEX('[AQ_2021.xlsx]原始数据'!$A:$A,ROW(A1)+168),"")</f>
        <v/>
      </c>
      <c r="C169">
        <f>IFERROR(INDEX('[AQ_2022.xlsx]原始数据'!$A:$A,ROW(A1)+168),"")</f>
        <v/>
      </c>
      <c r="D169">
        <f>IFERROR(INDEX('[AQ_2023.xlsx]原始数据'!$A:$A,ROW(A1)+168),"")</f>
        <v/>
      </c>
      <c r="E169">
        <f>IFERROR(INDEX('[AQ_2024.xlsx]原始数据'!$A:$A,ROW(A1)+168),"")</f>
        <v/>
      </c>
      <c r="G169">
        <f>IF(168&lt;=1000,INDEX($A$2:$A$1001,168),IF(168&lt;=2000,INDEX($B$2:$B$1001,-832),IF(168&lt;=3000,INDEX($C$2:$C$1001,-1832),IF(168&lt;=4000,INDEX($D$2:$D$1001,-2832),IF(168&lt;=5000,INDEX($E$2:$E$1001,-3832),"")))))</f>
        <v/>
      </c>
    </row>
    <row r="170">
      <c r="A170">
        <f>IFERROR(INDEX('[AQ_2020.xlsx]原始数据'!$A:$A,ROW(A1)+169),"")</f>
        <v/>
      </c>
      <c r="B170">
        <f>IFERROR(INDEX('[AQ_2021.xlsx]原始数据'!$A:$A,ROW(A1)+169),"")</f>
        <v/>
      </c>
      <c r="C170">
        <f>IFERROR(INDEX('[AQ_2022.xlsx]原始数据'!$A:$A,ROW(A1)+169),"")</f>
        <v/>
      </c>
      <c r="D170">
        <f>IFERROR(INDEX('[AQ_2023.xlsx]原始数据'!$A:$A,ROW(A1)+169),"")</f>
        <v/>
      </c>
      <c r="E170">
        <f>IFERROR(INDEX('[AQ_2024.xlsx]原始数据'!$A:$A,ROW(A1)+169),"")</f>
        <v/>
      </c>
      <c r="G170">
        <f>IF(169&lt;=1000,INDEX($A$2:$A$1001,169),IF(169&lt;=2000,INDEX($B$2:$B$1001,-831),IF(169&lt;=3000,INDEX($C$2:$C$1001,-1831),IF(169&lt;=4000,INDEX($D$2:$D$1001,-2831),IF(169&lt;=5000,INDEX($E$2:$E$1001,-3831),"")))))</f>
        <v/>
      </c>
    </row>
    <row r="171">
      <c r="A171">
        <f>IFERROR(INDEX('[AQ_2020.xlsx]原始数据'!$A:$A,ROW(A1)+170),"")</f>
        <v/>
      </c>
      <c r="B171">
        <f>IFERROR(INDEX('[AQ_2021.xlsx]原始数据'!$A:$A,ROW(A1)+170),"")</f>
        <v/>
      </c>
      <c r="C171">
        <f>IFERROR(INDEX('[AQ_2022.xlsx]原始数据'!$A:$A,ROW(A1)+170),"")</f>
        <v/>
      </c>
      <c r="D171">
        <f>IFERROR(INDEX('[AQ_2023.xlsx]原始数据'!$A:$A,ROW(A1)+170),"")</f>
        <v/>
      </c>
      <c r="E171">
        <f>IFERROR(INDEX('[AQ_2024.xlsx]原始数据'!$A:$A,ROW(A1)+170),"")</f>
        <v/>
      </c>
      <c r="G171">
        <f>IF(170&lt;=1000,INDEX($A$2:$A$1001,170),IF(170&lt;=2000,INDEX($B$2:$B$1001,-830),IF(170&lt;=3000,INDEX($C$2:$C$1001,-1830),IF(170&lt;=4000,INDEX($D$2:$D$1001,-2830),IF(170&lt;=5000,INDEX($E$2:$E$1001,-3830),"")))))</f>
        <v/>
      </c>
    </row>
    <row r="172">
      <c r="A172">
        <f>IFERROR(INDEX('[AQ_2020.xlsx]原始数据'!$A:$A,ROW(A1)+171),"")</f>
        <v/>
      </c>
      <c r="B172">
        <f>IFERROR(INDEX('[AQ_2021.xlsx]原始数据'!$A:$A,ROW(A1)+171),"")</f>
        <v/>
      </c>
      <c r="C172">
        <f>IFERROR(INDEX('[AQ_2022.xlsx]原始数据'!$A:$A,ROW(A1)+171),"")</f>
        <v/>
      </c>
      <c r="D172">
        <f>IFERROR(INDEX('[AQ_2023.xlsx]原始数据'!$A:$A,ROW(A1)+171),"")</f>
        <v/>
      </c>
      <c r="E172">
        <f>IFERROR(INDEX('[AQ_2024.xlsx]原始数据'!$A:$A,ROW(A1)+171),"")</f>
        <v/>
      </c>
      <c r="G172">
        <f>IF(171&lt;=1000,INDEX($A$2:$A$1001,171),IF(171&lt;=2000,INDEX($B$2:$B$1001,-829),IF(171&lt;=3000,INDEX($C$2:$C$1001,-1829),IF(171&lt;=4000,INDEX($D$2:$D$1001,-2829),IF(171&lt;=5000,INDEX($E$2:$E$1001,-3829),"")))))</f>
        <v/>
      </c>
    </row>
    <row r="173">
      <c r="A173">
        <f>IFERROR(INDEX('[AQ_2020.xlsx]原始数据'!$A:$A,ROW(A1)+172),"")</f>
        <v/>
      </c>
      <c r="B173">
        <f>IFERROR(INDEX('[AQ_2021.xlsx]原始数据'!$A:$A,ROW(A1)+172),"")</f>
        <v/>
      </c>
      <c r="C173">
        <f>IFERROR(INDEX('[AQ_2022.xlsx]原始数据'!$A:$A,ROW(A1)+172),"")</f>
        <v/>
      </c>
      <c r="D173">
        <f>IFERROR(INDEX('[AQ_2023.xlsx]原始数据'!$A:$A,ROW(A1)+172),"")</f>
        <v/>
      </c>
      <c r="E173">
        <f>IFERROR(INDEX('[AQ_2024.xlsx]原始数据'!$A:$A,ROW(A1)+172),"")</f>
        <v/>
      </c>
      <c r="G173">
        <f>IF(172&lt;=1000,INDEX($A$2:$A$1001,172),IF(172&lt;=2000,INDEX($B$2:$B$1001,-828),IF(172&lt;=3000,INDEX($C$2:$C$1001,-1828),IF(172&lt;=4000,INDEX($D$2:$D$1001,-2828),IF(172&lt;=5000,INDEX($E$2:$E$1001,-3828),"")))))</f>
        <v/>
      </c>
    </row>
    <row r="174">
      <c r="A174">
        <f>IFERROR(INDEX('[AQ_2020.xlsx]原始数据'!$A:$A,ROW(A1)+173),"")</f>
        <v/>
      </c>
      <c r="B174">
        <f>IFERROR(INDEX('[AQ_2021.xlsx]原始数据'!$A:$A,ROW(A1)+173),"")</f>
        <v/>
      </c>
      <c r="C174">
        <f>IFERROR(INDEX('[AQ_2022.xlsx]原始数据'!$A:$A,ROW(A1)+173),"")</f>
        <v/>
      </c>
      <c r="D174">
        <f>IFERROR(INDEX('[AQ_2023.xlsx]原始数据'!$A:$A,ROW(A1)+173),"")</f>
        <v/>
      </c>
      <c r="E174">
        <f>IFERROR(INDEX('[AQ_2024.xlsx]原始数据'!$A:$A,ROW(A1)+173),"")</f>
        <v/>
      </c>
      <c r="G174">
        <f>IF(173&lt;=1000,INDEX($A$2:$A$1001,173),IF(173&lt;=2000,INDEX($B$2:$B$1001,-827),IF(173&lt;=3000,INDEX($C$2:$C$1001,-1827),IF(173&lt;=4000,INDEX($D$2:$D$1001,-2827),IF(173&lt;=5000,INDEX($E$2:$E$1001,-3827),"")))))</f>
        <v/>
      </c>
    </row>
    <row r="175">
      <c r="A175">
        <f>IFERROR(INDEX('[AQ_2020.xlsx]原始数据'!$A:$A,ROW(A1)+174),"")</f>
        <v/>
      </c>
      <c r="B175">
        <f>IFERROR(INDEX('[AQ_2021.xlsx]原始数据'!$A:$A,ROW(A1)+174),"")</f>
        <v/>
      </c>
      <c r="C175">
        <f>IFERROR(INDEX('[AQ_2022.xlsx]原始数据'!$A:$A,ROW(A1)+174),"")</f>
        <v/>
      </c>
      <c r="D175">
        <f>IFERROR(INDEX('[AQ_2023.xlsx]原始数据'!$A:$A,ROW(A1)+174),"")</f>
        <v/>
      </c>
      <c r="E175">
        <f>IFERROR(INDEX('[AQ_2024.xlsx]原始数据'!$A:$A,ROW(A1)+174),"")</f>
        <v/>
      </c>
      <c r="G175">
        <f>IF(174&lt;=1000,INDEX($A$2:$A$1001,174),IF(174&lt;=2000,INDEX($B$2:$B$1001,-826),IF(174&lt;=3000,INDEX($C$2:$C$1001,-1826),IF(174&lt;=4000,INDEX($D$2:$D$1001,-2826),IF(174&lt;=5000,INDEX($E$2:$E$1001,-3826),"")))))</f>
        <v/>
      </c>
    </row>
    <row r="176">
      <c r="A176">
        <f>IFERROR(INDEX('[AQ_2020.xlsx]原始数据'!$A:$A,ROW(A1)+175),"")</f>
        <v/>
      </c>
      <c r="B176">
        <f>IFERROR(INDEX('[AQ_2021.xlsx]原始数据'!$A:$A,ROW(A1)+175),"")</f>
        <v/>
      </c>
      <c r="C176">
        <f>IFERROR(INDEX('[AQ_2022.xlsx]原始数据'!$A:$A,ROW(A1)+175),"")</f>
        <v/>
      </c>
      <c r="D176">
        <f>IFERROR(INDEX('[AQ_2023.xlsx]原始数据'!$A:$A,ROW(A1)+175),"")</f>
        <v/>
      </c>
      <c r="E176">
        <f>IFERROR(INDEX('[AQ_2024.xlsx]原始数据'!$A:$A,ROW(A1)+175),"")</f>
        <v/>
      </c>
      <c r="G176">
        <f>IF(175&lt;=1000,INDEX($A$2:$A$1001,175),IF(175&lt;=2000,INDEX($B$2:$B$1001,-825),IF(175&lt;=3000,INDEX($C$2:$C$1001,-1825),IF(175&lt;=4000,INDEX($D$2:$D$1001,-2825),IF(175&lt;=5000,INDEX($E$2:$E$1001,-3825),"")))))</f>
        <v/>
      </c>
    </row>
    <row r="177">
      <c r="A177">
        <f>IFERROR(INDEX('[AQ_2020.xlsx]原始数据'!$A:$A,ROW(A1)+176),"")</f>
        <v/>
      </c>
      <c r="B177">
        <f>IFERROR(INDEX('[AQ_2021.xlsx]原始数据'!$A:$A,ROW(A1)+176),"")</f>
        <v/>
      </c>
      <c r="C177">
        <f>IFERROR(INDEX('[AQ_2022.xlsx]原始数据'!$A:$A,ROW(A1)+176),"")</f>
        <v/>
      </c>
      <c r="D177">
        <f>IFERROR(INDEX('[AQ_2023.xlsx]原始数据'!$A:$A,ROW(A1)+176),"")</f>
        <v/>
      </c>
      <c r="E177">
        <f>IFERROR(INDEX('[AQ_2024.xlsx]原始数据'!$A:$A,ROW(A1)+176),"")</f>
        <v/>
      </c>
      <c r="G177">
        <f>IF(176&lt;=1000,INDEX($A$2:$A$1001,176),IF(176&lt;=2000,INDEX($B$2:$B$1001,-824),IF(176&lt;=3000,INDEX($C$2:$C$1001,-1824),IF(176&lt;=4000,INDEX($D$2:$D$1001,-2824),IF(176&lt;=5000,INDEX($E$2:$E$1001,-3824),"")))))</f>
        <v/>
      </c>
    </row>
    <row r="178">
      <c r="A178">
        <f>IFERROR(INDEX('[AQ_2020.xlsx]原始数据'!$A:$A,ROW(A1)+177),"")</f>
        <v/>
      </c>
      <c r="B178">
        <f>IFERROR(INDEX('[AQ_2021.xlsx]原始数据'!$A:$A,ROW(A1)+177),"")</f>
        <v/>
      </c>
      <c r="C178">
        <f>IFERROR(INDEX('[AQ_2022.xlsx]原始数据'!$A:$A,ROW(A1)+177),"")</f>
        <v/>
      </c>
      <c r="D178">
        <f>IFERROR(INDEX('[AQ_2023.xlsx]原始数据'!$A:$A,ROW(A1)+177),"")</f>
        <v/>
      </c>
      <c r="E178">
        <f>IFERROR(INDEX('[AQ_2024.xlsx]原始数据'!$A:$A,ROW(A1)+177),"")</f>
        <v/>
      </c>
      <c r="G178">
        <f>IF(177&lt;=1000,INDEX($A$2:$A$1001,177),IF(177&lt;=2000,INDEX($B$2:$B$1001,-823),IF(177&lt;=3000,INDEX($C$2:$C$1001,-1823),IF(177&lt;=4000,INDEX($D$2:$D$1001,-2823),IF(177&lt;=5000,INDEX($E$2:$E$1001,-3823),"")))))</f>
        <v/>
      </c>
    </row>
    <row r="179">
      <c r="A179">
        <f>IFERROR(INDEX('[AQ_2020.xlsx]原始数据'!$A:$A,ROW(A1)+178),"")</f>
        <v/>
      </c>
      <c r="B179">
        <f>IFERROR(INDEX('[AQ_2021.xlsx]原始数据'!$A:$A,ROW(A1)+178),"")</f>
        <v/>
      </c>
      <c r="C179">
        <f>IFERROR(INDEX('[AQ_2022.xlsx]原始数据'!$A:$A,ROW(A1)+178),"")</f>
        <v/>
      </c>
      <c r="D179">
        <f>IFERROR(INDEX('[AQ_2023.xlsx]原始数据'!$A:$A,ROW(A1)+178),"")</f>
        <v/>
      </c>
      <c r="E179">
        <f>IFERROR(INDEX('[AQ_2024.xlsx]原始数据'!$A:$A,ROW(A1)+178),"")</f>
        <v/>
      </c>
      <c r="G179">
        <f>IF(178&lt;=1000,INDEX($A$2:$A$1001,178),IF(178&lt;=2000,INDEX($B$2:$B$1001,-822),IF(178&lt;=3000,INDEX($C$2:$C$1001,-1822),IF(178&lt;=4000,INDEX($D$2:$D$1001,-2822),IF(178&lt;=5000,INDEX($E$2:$E$1001,-3822),"")))))</f>
        <v/>
      </c>
    </row>
    <row r="180">
      <c r="A180">
        <f>IFERROR(INDEX('[AQ_2020.xlsx]原始数据'!$A:$A,ROW(A1)+179),"")</f>
        <v/>
      </c>
      <c r="B180">
        <f>IFERROR(INDEX('[AQ_2021.xlsx]原始数据'!$A:$A,ROW(A1)+179),"")</f>
        <v/>
      </c>
      <c r="C180">
        <f>IFERROR(INDEX('[AQ_2022.xlsx]原始数据'!$A:$A,ROW(A1)+179),"")</f>
        <v/>
      </c>
      <c r="D180">
        <f>IFERROR(INDEX('[AQ_2023.xlsx]原始数据'!$A:$A,ROW(A1)+179),"")</f>
        <v/>
      </c>
      <c r="E180">
        <f>IFERROR(INDEX('[AQ_2024.xlsx]原始数据'!$A:$A,ROW(A1)+179),"")</f>
        <v/>
      </c>
      <c r="G180">
        <f>IF(179&lt;=1000,INDEX($A$2:$A$1001,179),IF(179&lt;=2000,INDEX($B$2:$B$1001,-821),IF(179&lt;=3000,INDEX($C$2:$C$1001,-1821),IF(179&lt;=4000,INDEX($D$2:$D$1001,-2821),IF(179&lt;=5000,INDEX($E$2:$E$1001,-3821),"")))))</f>
        <v/>
      </c>
    </row>
    <row r="181">
      <c r="A181">
        <f>IFERROR(INDEX('[AQ_2020.xlsx]原始数据'!$A:$A,ROW(A1)+180),"")</f>
        <v/>
      </c>
      <c r="B181">
        <f>IFERROR(INDEX('[AQ_2021.xlsx]原始数据'!$A:$A,ROW(A1)+180),"")</f>
        <v/>
      </c>
      <c r="C181">
        <f>IFERROR(INDEX('[AQ_2022.xlsx]原始数据'!$A:$A,ROW(A1)+180),"")</f>
        <v/>
      </c>
      <c r="D181">
        <f>IFERROR(INDEX('[AQ_2023.xlsx]原始数据'!$A:$A,ROW(A1)+180),"")</f>
        <v/>
      </c>
      <c r="E181">
        <f>IFERROR(INDEX('[AQ_2024.xlsx]原始数据'!$A:$A,ROW(A1)+180),"")</f>
        <v/>
      </c>
      <c r="G181">
        <f>IF(180&lt;=1000,INDEX($A$2:$A$1001,180),IF(180&lt;=2000,INDEX($B$2:$B$1001,-820),IF(180&lt;=3000,INDEX($C$2:$C$1001,-1820),IF(180&lt;=4000,INDEX($D$2:$D$1001,-2820),IF(180&lt;=5000,INDEX($E$2:$E$1001,-3820),"")))))</f>
        <v/>
      </c>
    </row>
    <row r="182">
      <c r="A182">
        <f>IFERROR(INDEX('[AQ_2020.xlsx]原始数据'!$A:$A,ROW(A1)+181),"")</f>
        <v/>
      </c>
      <c r="B182">
        <f>IFERROR(INDEX('[AQ_2021.xlsx]原始数据'!$A:$A,ROW(A1)+181),"")</f>
        <v/>
      </c>
      <c r="C182">
        <f>IFERROR(INDEX('[AQ_2022.xlsx]原始数据'!$A:$A,ROW(A1)+181),"")</f>
        <v/>
      </c>
      <c r="D182">
        <f>IFERROR(INDEX('[AQ_2023.xlsx]原始数据'!$A:$A,ROW(A1)+181),"")</f>
        <v/>
      </c>
      <c r="E182">
        <f>IFERROR(INDEX('[AQ_2024.xlsx]原始数据'!$A:$A,ROW(A1)+181),"")</f>
        <v/>
      </c>
      <c r="G182">
        <f>IF(181&lt;=1000,INDEX($A$2:$A$1001,181),IF(181&lt;=2000,INDEX($B$2:$B$1001,-819),IF(181&lt;=3000,INDEX($C$2:$C$1001,-1819),IF(181&lt;=4000,INDEX($D$2:$D$1001,-2819),IF(181&lt;=5000,INDEX($E$2:$E$1001,-3819),"")))))</f>
        <v/>
      </c>
    </row>
    <row r="183">
      <c r="A183">
        <f>IFERROR(INDEX('[AQ_2020.xlsx]原始数据'!$A:$A,ROW(A1)+182),"")</f>
        <v/>
      </c>
      <c r="B183">
        <f>IFERROR(INDEX('[AQ_2021.xlsx]原始数据'!$A:$A,ROW(A1)+182),"")</f>
        <v/>
      </c>
      <c r="C183">
        <f>IFERROR(INDEX('[AQ_2022.xlsx]原始数据'!$A:$A,ROW(A1)+182),"")</f>
        <v/>
      </c>
      <c r="D183">
        <f>IFERROR(INDEX('[AQ_2023.xlsx]原始数据'!$A:$A,ROW(A1)+182),"")</f>
        <v/>
      </c>
      <c r="E183">
        <f>IFERROR(INDEX('[AQ_2024.xlsx]原始数据'!$A:$A,ROW(A1)+182),"")</f>
        <v/>
      </c>
      <c r="G183">
        <f>IF(182&lt;=1000,INDEX($A$2:$A$1001,182),IF(182&lt;=2000,INDEX($B$2:$B$1001,-818),IF(182&lt;=3000,INDEX($C$2:$C$1001,-1818),IF(182&lt;=4000,INDEX($D$2:$D$1001,-2818),IF(182&lt;=5000,INDEX($E$2:$E$1001,-3818),"")))))</f>
        <v/>
      </c>
    </row>
    <row r="184">
      <c r="A184">
        <f>IFERROR(INDEX('[AQ_2020.xlsx]原始数据'!$A:$A,ROW(A1)+183),"")</f>
        <v/>
      </c>
      <c r="B184">
        <f>IFERROR(INDEX('[AQ_2021.xlsx]原始数据'!$A:$A,ROW(A1)+183),"")</f>
        <v/>
      </c>
      <c r="C184">
        <f>IFERROR(INDEX('[AQ_2022.xlsx]原始数据'!$A:$A,ROW(A1)+183),"")</f>
        <v/>
      </c>
      <c r="D184">
        <f>IFERROR(INDEX('[AQ_2023.xlsx]原始数据'!$A:$A,ROW(A1)+183),"")</f>
        <v/>
      </c>
      <c r="E184">
        <f>IFERROR(INDEX('[AQ_2024.xlsx]原始数据'!$A:$A,ROW(A1)+183),"")</f>
        <v/>
      </c>
      <c r="G184">
        <f>IF(183&lt;=1000,INDEX($A$2:$A$1001,183),IF(183&lt;=2000,INDEX($B$2:$B$1001,-817),IF(183&lt;=3000,INDEX($C$2:$C$1001,-1817),IF(183&lt;=4000,INDEX($D$2:$D$1001,-2817),IF(183&lt;=5000,INDEX($E$2:$E$1001,-3817),"")))))</f>
        <v/>
      </c>
    </row>
    <row r="185">
      <c r="A185">
        <f>IFERROR(INDEX('[AQ_2020.xlsx]原始数据'!$A:$A,ROW(A1)+184),"")</f>
        <v/>
      </c>
      <c r="B185">
        <f>IFERROR(INDEX('[AQ_2021.xlsx]原始数据'!$A:$A,ROW(A1)+184),"")</f>
        <v/>
      </c>
      <c r="C185">
        <f>IFERROR(INDEX('[AQ_2022.xlsx]原始数据'!$A:$A,ROW(A1)+184),"")</f>
        <v/>
      </c>
      <c r="D185">
        <f>IFERROR(INDEX('[AQ_2023.xlsx]原始数据'!$A:$A,ROW(A1)+184),"")</f>
        <v/>
      </c>
      <c r="E185">
        <f>IFERROR(INDEX('[AQ_2024.xlsx]原始数据'!$A:$A,ROW(A1)+184),"")</f>
        <v/>
      </c>
      <c r="G185">
        <f>IF(184&lt;=1000,INDEX($A$2:$A$1001,184),IF(184&lt;=2000,INDEX($B$2:$B$1001,-816),IF(184&lt;=3000,INDEX($C$2:$C$1001,-1816),IF(184&lt;=4000,INDEX($D$2:$D$1001,-2816),IF(184&lt;=5000,INDEX($E$2:$E$1001,-3816),"")))))</f>
        <v/>
      </c>
    </row>
    <row r="186">
      <c r="A186">
        <f>IFERROR(INDEX('[AQ_2020.xlsx]原始数据'!$A:$A,ROW(A1)+185),"")</f>
        <v/>
      </c>
      <c r="B186">
        <f>IFERROR(INDEX('[AQ_2021.xlsx]原始数据'!$A:$A,ROW(A1)+185),"")</f>
        <v/>
      </c>
      <c r="C186">
        <f>IFERROR(INDEX('[AQ_2022.xlsx]原始数据'!$A:$A,ROW(A1)+185),"")</f>
        <v/>
      </c>
      <c r="D186">
        <f>IFERROR(INDEX('[AQ_2023.xlsx]原始数据'!$A:$A,ROW(A1)+185),"")</f>
        <v/>
      </c>
      <c r="E186">
        <f>IFERROR(INDEX('[AQ_2024.xlsx]原始数据'!$A:$A,ROW(A1)+185),"")</f>
        <v/>
      </c>
      <c r="G186">
        <f>IF(185&lt;=1000,INDEX($A$2:$A$1001,185),IF(185&lt;=2000,INDEX($B$2:$B$1001,-815),IF(185&lt;=3000,INDEX($C$2:$C$1001,-1815),IF(185&lt;=4000,INDEX($D$2:$D$1001,-2815),IF(185&lt;=5000,INDEX($E$2:$E$1001,-3815),"")))))</f>
        <v/>
      </c>
    </row>
    <row r="187">
      <c r="A187">
        <f>IFERROR(INDEX('[AQ_2020.xlsx]原始数据'!$A:$A,ROW(A1)+186),"")</f>
        <v/>
      </c>
      <c r="B187">
        <f>IFERROR(INDEX('[AQ_2021.xlsx]原始数据'!$A:$A,ROW(A1)+186),"")</f>
        <v/>
      </c>
      <c r="C187">
        <f>IFERROR(INDEX('[AQ_2022.xlsx]原始数据'!$A:$A,ROW(A1)+186),"")</f>
        <v/>
      </c>
      <c r="D187">
        <f>IFERROR(INDEX('[AQ_2023.xlsx]原始数据'!$A:$A,ROW(A1)+186),"")</f>
        <v/>
      </c>
      <c r="E187">
        <f>IFERROR(INDEX('[AQ_2024.xlsx]原始数据'!$A:$A,ROW(A1)+186),"")</f>
        <v/>
      </c>
      <c r="G187">
        <f>IF(186&lt;=1000,INDEX($A$2:$A$1001,186),IF(186&lt;=2000,INDEX($B$2:$B$1001,-814),IF(186&lt;=3000,INDEX($C$2:$C$1001,-1814),IF(186&lt;=4000,INDEX($D$2:$D$1001,-2814),IF(186&lt;=5000,INDEX($E$2:$E$1001,-3814),"")))))</f>
        <v/>
      </c>
    </row>
    <row r="188">
      <c r="A188">
        <f>IFERROR(INDEX('[AQ_2020.xlsx]原始数据'!$A:$A,ROW(A1)+187),"")</f>
        <v/>
      </c>
      <c r="B188">
        <f>IFERROR(INDEX('[AQ_2021.xlsx]原始数据'!$A:$A,ROW(A1)+187),"")</f>
        <v/>
      </c>
      <c r="C188">
        <f>IFERROR(INDEX('[AQ_2022.xlsx]原始数据'!$A:$A,ROW(A1)+187),"")</f>
        <v/>
      </c>
      <c r="D188">
        <f>IFERROR(INDEX('[AQ_2023.xlsx]原始数据'!$A:$A,ROW(A1)+187),"")</f>
        <v/>
      </c>
      <c r="E188">
        <f>IFERROR(INDEX('[AQ_2024.xlsx]原始数据'!$A:$A,ROW(A1)+187),"")</f>
        <v/>
      </c>
      <c r="G188">
        <f>IF(187&lt;=1000,INDEX($A$2:$A$1001,187),IF(187&lt;=2000,INDEX($B$2:$B$1001,-813),IF(187&lt;=3000,INDEX($C$2:$C$1001,-1813),IF(187&lt;=4000,INDEX($D$2:$D$1001,-2813),IF(187&lt;=5000,INDEX($E$2:$E$1001,-3813),"")))))</f>
        <v/>
      </c>
    </row>
    <row r="189">
      <c r="A189">
        <f>IFERROR(INDEX('[AQ_2020.xlsx]原始数据'!$A:$A,ROW(A1)+188),"")</f>
        <v/>
      </c>
      <c r="B189">
        <f>IFERROR(INDEX('[AQ_2021.xlsx]原始数据'!$A:$A,ROW(A1)+188),"")</f>
        <v/>
      </c>
      <c r="C189">
        <f>IFERROR(INDEX('[AQ_2022.xlsx]原始数据'!$A:$A,ROW(A1)+188),"")</f>
        <v/>
      </c>
      <c r="D189">
        <f>IFERROR(INDEX('[AQ_2023.xlsx]原始数据'!$A:$A,ROW(A1)+188),"")</f>
        <v/>
      </c>
      <c r="E189">
        <f>IFERROR(INDEX('[AQ_2024.xlsx]原始数据'!$A:$A,ROW(A1)+188),"")</f>
        <v/>
      </c>
      <c r="G189">
        <f>IF(188&lt;=1000,INDEX($A$2:$A$1001,188),IF(188&lt;=2000,INDEX($B$2:$B$1001,-812),IF(188&lt;=3000,INDEX($C$2:$C$1001,-1812),IF(188&lt;=4000,INDEX($D$2:$D$1001,-2812),IF(188&lt;=5000,INDEX($E$2:$E$1001,-3812),"")))))</f>
        <v/>
      </c>
    </row>
    <row r="190">
      <c r="A190">
        <f>IFERROR(INDEX('[AQ_2020.xlsx]原始数据'!$A:$A,ROW(A1)+189),"")</f>
        <v/>
      </c>
      <c r="B190">
        <f>IFERROR(INDEX('[AQ_2021.xlsx]原始数据'!$A:$A,ROW(A1)+189),"")</f>
        <v/>
      </c>
      <c r="C190">
        <f>IFERROR(INDEX('[AQ_2022.xlsx]原始数据'!$A:$A,ROW(A1)+189),"")</f>
        <v/>
      </c>
      <c r="D190">
        <f>IFERROR(INDEX('[AQ_2023.xlsx]原始数据'!$A:$A,ROW(A1)+189),"")</f>
        <v/>
      </c>
      <c r="E190">
        <f>IFERROR(INDEX('[AQ_2024.xlsx]原始数据'!$A:$A,ROW(A1)+189),"")</f>
        <v/>
      </c>
      <c r="G190">
        <f>IF(189&lt;=1000,INDEX($A$2:$A$1001,189),IF(189&lt;=2000,INDEX($B$2:$B$1001,-811),IF(189&lt;=3000,INDEX($C$2:$C$1001,-1811),IF(189&lt;=4000,INDEX($D$2:$D$1001,-2811),IF(189&lt;=5000,INDEX($E$2:$E$1001,-3811),"")))))</f>
        <v/>
      </c>
    </row>
    <row r="191">
      <c r="A191">
        <f>IFERROR(INDEX('[AQ_2020.xlsx]原始数据'!$A:$A,ROW(A1)+190),"")</f>
        <v/>
      </c>
      <c r="B191">
        <f>IFERROR(INDEX('[AQ_2021.xlsx]原始数据'!$A:$A,ROW(A1)+190),"")</f>
        <v/>
      </c>
      <c r="C191">
        <f>IFERROR(INDEX('[AQ_2022.xlsx]原始数据'!$A:$A,ROW(A1)+190),"")</f>
        <v/>
      </c>
      <c r="D191">
        <f>IFERROR(INDEX('[AQ_2023.xlsx]原始数据'!$A:$A,ROW(A1)+190),"")</f>
        <v/>
      </c>
      <c r="E191">
        <f>IFERROR(INDEX('[AQ_2024.xlsx]原始数据'!$A:$A,ROW(A1)+190),"")</f>
        <v/>
      </c>
      <c r="G191">
        <f>IF(190&lt;=1000,INDEX($A$2:$A$1001,190),IF(190&lt;=2000,INDEX($B$2:$B$1001,-810),IF(190&lt;=3000,INDEX($C$2:$C$1001,-1810),IF(190&lt;=4000,INDEX($D$2:$D$1001,-2810),IF(190&lt;=5000,INDEX($E$2:$E$1001,-3810),"")))))</f>
        <v/>
      </c>
    </row>
    <row r="192">
      <c r="A192">
        <f>IFERROR(INDEX('[AQ_2020.xlsx]原始数据'!$A:$A,ROW(A1)+191),"")</f>
        <v/>
      </c>
      <c r="B192">
        <f>IFERROR(INDEX('[AQ_2021.xlsx]原始数据'!$A:$A,ROW(A1)+191),"")</f>
        <v/>
      </c>
      <c r="C192">
        <f>IFERROR(INDEX('[AQ_2022.xlsx]原始数据'!$A:$A,ROW(A1)+191),"")</f>
        <v/>
      </c>
      <c r="D192">
        <f>IFERROR(INDEX('[AQ_2023.xlsx]原始数据'!$A:$A,ROW(A1)+191),"")</f>
        <v/>
      </c>
      <c r="E192">
        <f>IFERROR(INDEX('[AQ_2024.xlsx]原始数据'!$A:$A,ROW(A1)+191),"")</f>
        <v/>
      </c>
      <c r="G192">
        <f>IF(191&lt;=1000,INDEX($A$2:$A$1001,191),IF(191&lt;=2000,INDEX($B$2:$B$1001,-809),IF(191&lt;=3000,INDEX($C$2:$C$1001,-1809),IF(191&lt;=4000,INDEX($D$2:$D$1001,-2809),IF(191&lt;=5000,INDEX($E$2:$E$1001,-3809),"")))))</f>
        <v/>
      </c>
    </row>
    <row r="193">
      <c r="A193">
        <f>IFERROR(INDEX('[AQ_2020.xlsx]原始数据'!$A:$A,ROW(A1)+192),"")</f>
        <v/>
      </c>
      <c r="B193">
        <f>IFERROR(INDEX('[AQ_2021.xlsx]原始数据'!$A:$A,ROW(A1)+192),"")</f>
        <v/>
      </c>
      <c r="C193">
        <f>IFERROR(INDEX('[AQ_2022.xlsx]原始数据'!$A:$A,ROW(A1)+192),"")</f>
        <v/>
      </c>
      <c r="D193">
        <f>IFERROR(INDEX('[AQ_2023.xlsx]原始数据'!$A:$A,ROW(A1)+192),"")</f>
        <v/>
      </c>
      <c r="E193">
        <f>IFERROR(INDEX('[AQ_2024.xlsx]原始数据'!$A:$A,ROW(A1)+192),"")</f>
        <v/>
      </c>
      <c r="G193">
        <f>IF(192&lt;=1000,INDEX($A$2:$A$1001,192),IF(192&lt;=2000,INDEX($B$2:$B$1001,-808),IF(192&lt;=3000,INDEX($C$2:$C$1001,-1808),IF(192&lt;=4000,INDEX($D$2:$D$1001,-2808),IF(192&lt;=5000,INDEX($E$2:$E$1001,-3808),"")))))</f>
        <v/>
      </c>
    </row>
    <row r="194">
      <c r="A194">
        <f>IFERROR(INDEX('[AQ_2020.xlsx]原始数据'!$A:$A,ROW(A1)+193),"")</f>
        <v/>
      </c>
      <c r="B194">
        <f>IFERROR(INDEX('[AQ_2021.xlsx]原始数据'!$A:$A,ROW(A1)+193),"")</f>
        <v/>
      </c>
      <c r="C194">
        <f>IFERROR(INDEX('[AQ_2022.xlsx]原始数据'!$A:$A,ROW(A1)+193),"")</f>
        <v/>
      </c>
      <c r="D194">
        <f>IFERROR(INDEX('[AQ_2023.xlsx]原始数据'!$A:$A,ROW(A1)+193),"")</f>
        <v/>
      </c>
      <c r="E194">
        <f>IFERROR(INDEX('[AQ_2024.xlsx]原始数据'!$A:$A,ROW(A1)+193),"")</f>
        <v/>
      </c>
      <c r="G194">
        <f>IF(193&lt;=1000,INDEX($A$2:$A$1001,193),IF(193&lt;=2000,INDEX($B$2:$B$1001,-807),IF(193&lt;=3000,INDEX($C$2:$C$1001,-1807),IF(193&lt;=4000,INDEX($D$2:$D$1001,-2807),IF(193&lt;=5000,INDEX($E$2:$E$1001,-3807),"")))))</f>
        <v/>
      </c>
    </row>
    <row r="195">
      <c r="A195">
        <f>IFERROR(INDEX('[AQ_2020.xlsx]原始数据'!$A:$A,ROW(A1)+194),"")</f>
        <v/>
      </c>
      <c r="B195">
        <f>IFERROR(INDEX('[AQ_2021.xlsx]原始数据'!$A:$A,ROW(A1)+194),"")</f>
        <v/>
      </c>
      <c r="C195">
        <f>IFERROR(INDEX('[AQ_2022.xlsx]原始数据'!$A:$A,ROW(A1)+194),"")</f>
        <v/>
      </c>
      <c r="D195">
        <f>IFERROR(INDEX('[AQ_2023.xlsx]原始数据'!$A:$A,ROW(A1)+194),"")</f>
        <v/>
      </c>
      <c r="E195">
        <f>IFERROR(INDEX('[AQ_2024.xlsx]原始数据'!$A:$A,ROW(A1)+194),"")</f>
        <v/>
      </c>
      <c r="G195">
        <f>IF(194&lt;=1000,INDEX($A$2:$A$1001,194),IF(194&lt;=2000,INDEX($B$2:$B$1001,-806),IF(194&lt;=3000,INDEX($C$2:$C$1001,-1806),IF(194&lt;=4000,INDEX($D$2:$D$1001,-2806),IF(194&lt;=5000,INDEX($E$2:$E$1001,-3806),"")))))</f>
        <v/>
      </c>
    </row>
    <row r="196">
      <c r="A196">
        <f>IFERROR(INDEX('[AQ_2020.xlsx]原始数据'!$A:$A,ROW(A1)+195),"")</f>
        <v/>
      </c>
      <c r="B196">
        <f>IFERROR(INDEX('[AQ_2021.xlsx]原始数据'!$A:$A,ROW(A1)+195),"")</f>
        <v/>
      </c>
      <c r="C196">
        <f>IFERROR(INDEX('[AQ_2022.xlsx]原始数据'!$A:$A,ROW(A1)+195),"")</f>
        <v/>
      </c>
      <c r="D196">
        <f>IFERROR(INDEX('[AQ_2023.xlsx]原始数据'!$A:$A,ROW(A1)+195),"")</f>
        <v/>
      </c>
      <c r="E196">
        <f>IFERROR(INDEX('[AQ_2024.xlsx]原始数据'!$A:$A,ROW(A1)+195),"")</f>
        <v/>
      </c>
      <c r="G196">
        <f>IF(195&lt;=1000,INDEX($A$2:$A$1001,195),IF(195&lt;=2000,INDEX($B$2:$B$1001,-805),IF(195&lt;=3000,INDEX($C$2:$C$1001,-1805),IF(195&lt;=4000,INDEX($D$2:$D$1001,-2805),IF(195&lt;=5000,INDEX($E$2:$E$1001,-3805),"")))))</f>
        <v/>
      </c>
    </row>
    <row r="197">
      <c r="A197">
        <f>IFERROR(INDEX('[AQ_2020.xlsx]原始数据'!$A:$A,ROW(A1)+196),"")</f>
        <v/>
      </c>
      <c r="B197">
        <f>IFERROR(INDEX('[AQ_2021.xlsx]原始数据'!$A:$A,ROW(A1)+196),"")</f>
        <v/>
      </c>
      <c r="C197">
        <f>IFERROR(INDEX('[AQ_2022.xlsx]原始数据'!$A:$A,ROW(A1)+196),"")</f>
        <v/>
      </c>
      <c r="D197">
        <f>IFERROR(INDEX('[AQ_2023.xlsx]原始数据'!$A:$A,ROW(A1)+196),"")</f>
        <v/>
      </c>
      <c r="E197">
        <f>IFERROR(INDEX('[AQ_2024.xlsx]原始数据'!$A:$A,ROW(A1)+196),"")</f>
        <v/>
      </c>
      <c r="G197">
        <f>IF(196&lt;=1000,INDEX($A$2:$A$1001,196),IF(196&lt;=2000,INDEX($B$2:$B$1001,-804),IF(196&lt;=3000,INDEX($C$2:$C$1001,-1804),IF(196&lt;=4000,INDEX($D$2:$D$1001,-2804),IF(196&lt;=5000,INDEX($E$2:$E$1001,-3804),"")))))</f>
        <v/>
      </c>
    </row>
    <row r="198">
      <c r="A198">
        <f>IFERROR(INDEX('[AQ_2020.xlsx]原始数据'!$A:$A,ROW(A1)+197),"")</f>
        <v/>
      </c>
      <c r="B198">
        <f>IFERROR(INDEX('[AQ_2021.xlsx]原始数据'!$A:$A,ROW(A1)+197),"")</f>
        <v/>
      </c>
      <c r="C198">
        <f>IFERROR(INDEX('[AQ_2022.xlsx]原始数据'!$A:$A,ROW(A1)+197),"")</f>
        <v/>
      </c>
      <c r="D198">
        <f>IFERROR(INDEX('[AQ_2023.xlsx]原始数据'!$A:$A,ROW(A1)+197),"")</f>
        <v/>
      </c>
      <c r="E198">
        <f>IFERROR(INDEX('[AQ_2024.xlsx]原始数据'!$A:$A,ROW(A1)+197),"")</f>
        <v/>
      </c>
      <c r="G198">
        <f>IF(197&lt;=1000,INDEX($A$2:$A$1001,197),IF(197&lt;=2000,INDEX($B$2:$B$1001,-803),IF(197&lt;=3000,INDEX($C$2:$C$1001,-1803),IF(197&lt;=4000,INDEX($D$2:$D$1001,-2803),IF(197&lt;=5000,INDEX($E$2:$E$1001,-3803),"")))))</f>
        <v/>
      </c>
    </row>
    <row r="199">
      <c r="A199">
        <f>IFERROR(INDEX('[AQ_2020.xlsx]原始数据'!$A:$A,ROW(A1)+198),"")</f>
        <v/>
      </c>
      <c r="B199">
        <f>IFERROR(INDEX('[AQ_2021.xlsx]原始数据'!$A:$A,ROW(A1)+198),"")</f>
        <v/>
      </c>
      <c r="C199">
        <f>IFERROR(INDEX('[AQ_2022.xlsx]原始数据'!$A:$A,ROW(A1)+198),"")</f>
        <v/>
      </c>
      <c r="D199">
        <f>IFERROR(INDEX('[AQ_2023.xlsx]原始数据'!$A:$A,ROW(A1)+198),"")</f>
        <v/>
      </c>
      <c r="E199">
        <f>IFERROR(INDEX('[AQ_2024.xlsx]原始数据'!$A:$A,ROW(A1)+198),"")</f>
        <v/>
      </c>
      <c r="G199">
        <f>IF(198&lt;=1000,INDEX($A$2:$A$1001,198),IF(198&lt;=2000,INDEX($B$2:$B$1001,-802),IF(198&lt;=3000,INDEX($C$2:$C$1001,-1802),IF(198&lt;=4000,INDEX($D$2:$D$1001,-2802),IF(198&lt;=5000,INDEX($E$2:$E$1001,-3802),"")))))</f>
        <v/>
      </c>
    </row>
    <row r="200">
      <c r="A200">
        <f>IFERROR(INDEX('[AQ_2020.xlsx]原始数据'!$A:$A,ROW(A1)+199),"")</f>
        <v/>
      </c>
      <c r="B200">
        <f>IFERROR(INDEX('[AQ_2021.xlsx]原始数据'!$A:$A,ROW(A1)+199),"")</f>
        <v/>
      </c>
      <c r="C200">
        <f>IFERROR(INDEX('[AQ_2022.xlsx]原始数据'!$A:$A,ROW(A1)+199),"")</f>
        <v/>
      </c>
      <c r="D200">
        <f>IFERROR(INDEX('[AQ_2023.xlsx]原始数据'!$A:$A,ROW(A1)+199),"")</f>
        <v/>
      </c>
      <c r="E200">
        <f>IFERROR(INDEX('[AQ_2024.xlsx]原始数据'!$A:$A,ROW(A1)+199),"")</f>
        <v/>
      </c>
      <c r="G200">
        <f>IF(199&lt;=1000,INDEX($A$2:$A$1001,199),IF(199&lt;=2000,INDEX($B$2:$B$1001,-801),IF(199&lt;=3000,INDEX($C$2:$C$1001,-1801),IF(199&lt;=4000,INDEX($D$2:$D$1001,-2801),IF(199&lt;=5000,INDEX($E$2:$E$1001,-3801),"")))))</f>
        <v/>
      </c>
    </row>
    <row r="201">
      <c r="A201">
        <f>IFERROR(INDEX('[AQ_2020.xlsx]原始数据'!$A:$A,ROW(A1)+200),"")</f>
        <v/>
      </c>
      <c r="B201">
        <f>IFERROR(INDEX('[AQ_2021.xlsx]原始数据'!$A:$A,ROW(A1)+200),"")</f>
        <v/>
      </c>
      <c r="C201">
        <f>IFERROR(INDEX('[AQ_2022.xlsx]原始数据'!$A:$A,ROW(A1)+200),"")</f>
        <v/>
      </c>
      <c r="D201">
        <f>IFERROR(INDEX('[AQ_2023.xlsx]原始数据'!$A:$A,ROW(A1)+200),"")</f>
        <v/>
      </c>
      <c r="E201">
        <f>IFERROR(INDEX('[AQ_2024.xlsx]原始数据'!$A:$A,ROW(A1)+200),"")</f>
        <v/>
      </c>
      <c r="G201">
        <f>IF(200&lt;=1000,INDEX($A$2:$A$1001,200),IF(200&lt;=2000,INDEX($B$2:$B$1001,-800),IF(200&lt;=3000,INDEX($C$2:$C$1001,-1800),IF(200&lt;=4000,INDEX($D$2:$D$1001,-2800),IF(200&lt;=5000,INDEX($E$2:$E$1001,-3800),"")))))</f>
        <v/>
      </c>
    </row>
    <row r="202">
      <c r="A202">
        <f>IFERROR(INDEX('[AQ_2020.xlsx]原始数据'!$A:$A,ROW(A1)+201),"")</f>
        <v/>
      </c>
      <c r="B202">
        <f>IFERROR(INDEX('[AQ_2021.xlsx]原始数据'!$A:$A,ROW(A1)+201),"")</f>
        <v/>
      </c>
      <c r="C202">
        <f>IFERROR(INDEX('[AQ_2022.xlsx]原始数据'!$A:$A,ROW(A1)+201),"")</f>
        <v/>
      </c>
      <c r="D202">
        <f>IFERROR(INDEX('[AQ_2023.xlsx]原始数据'!$A:$A,ROW(A1)+201),"")</f>
        <v/>
      </c>
      <c r="E202">
        <f>IFERROR(INDEX('[AQ_2024.xlsx]原始数据'!$A:$A,ROW(A1)+201),"")</f>
        <v/>
      </c>
      <c r="G202">
        <f>IF(201&lt;=1000,INDEX($A$2:$A$1001,201),IF(201&lt;=2000,INDEX($B$2:$B$1001,-799),IF(201&lt;=3000,INDEX($C$2:$C$1001,-1799),IF(201&lt;=4000,INDEX($D$2:$D$1001,-2799),IF(201&lt;=5000,INDEX($E$2:$E$1001,-3799),"")))))</f>
        <v/>
      </c>
    </row>
    <row r="203">
      <c r="A203">
        <f>IFERROR(INDEX('[AQ_2020.xlsx]原始数据'!$A:$A,ROW(A1)+202),"")</f>
        <v/>
      </c>
      <c r="B203">
        <f>IFERROR(INDEX('[AQ_2021.xlsx]原始数据'!$A:$A,ROW(A1)+202),"")</f>
        <v/>
      </c>
      <c r="C203">
        <f>IFERROR(INDEX('[AQ_2022.xlsx]原始数据'!$A:$A,ROW(A1)+202),"")</f>
        <v/>
      </c>
      <c r="D203">
        <f>IFERROR(INDEX('[AQ_2023.xlsx]原始数据'!$A:$A,ROW(A1)+202),"")</f>
        <v/>
      </c>
      <c r="E203">
        <f>IFERROR(INDEX('[AQ_2024.xlsx]原始数据'!$A:$A,ROW(A1)+202),"")</f>
        <v/>
      </c>
      <c r="G203">
        <f>IF(202&lt;=1000,INDEX($A$2:$A$1001,202),IF(202&lt;=2000,INDEX($B$2:$B$1001,-798),IF(202&lt;=3000,INDEX($C$2:$C$1001,-1798),IF(202&lt;=4000,INDEX($D$2:$D$1001,-2798),IF(202&lt;=5000,INDEX($E$2:$E$1001,-3798),"")))))</f>
        <v/>
      </c>
    </row>
    <row r="204">
      <c r="A204">
        <f>IFERROR(INDEX('[AQ_2020.xlsx]原始数据'!$A:$A,ROW(A1)+203),"")</f>
        <v/>
      </c>
      <c r="B204">
        <f>IFERROR(INDEX('[AQ_2021.xlsx]原始数据'!$A:$A,ROW(A1)+203),"")</f>
        <v/>
      </c>
      <c r="C204">
        <f>IFERROR(INDEX('[AQ_2022.xlsx]原始数据'!$A:$A,ROW(A1)+203),"")</f>
        <v/>
      </c>
      <c r="D204">
        <f>IFERROR(INDEX('[AQ_2023.xlsx]原始数据'!$A:$A,ROW(A1)+203),"")</f>
        <v/>
      </c>
      <c r="E204">
        <f>IFERROR(INDEX('[AQ_2024.xlsx]原始数据'!$A:$A,ROW(A1)+203),"")</f>
        <v/>
      </c>
      <c r="G204">
        <f>IF(203&lt;=1000,INDEX($A$2:$A$1001,203),IF(203&lt;=2000,INDEX($B$2:$B$1001,-797),IF(203&lt;=3000,INDEX($C$2:$C$1001,-1797),IF(203&lt;=4000,INDEX($D$2:$D$1001,-2797),IF(203&lt;=5000,INDEX($E$2:$E$1001,-3797),"")))))</f>
        <v/>
      </c>
    </row>
    <row r="205">
      <c r="A205">
        <f>IFERROR(INDEX('[AQ_2020.xlsx]原始数据'!$A:$A,ROW(A1)+204),"")</f>
        <v/>
      </c>
      <c r="B205">
        <f>IFERROR(INDEX('[AQ_2021.xlsx]原始数据'!$A:$A,ROW(A1)+204),"")</f>
        <v/>
      </c>
      <c r="C205">
        <f>IFERROR(INDEX('[AQ_2022.xlsx]原始数据'!$A:$A,ROW(A1)+204),"")</f>
        <v/>
      </c>
      <c r="D205">
        <f>IFERROR(INDEX('[AQ_2023.xlsx]原始数据'!$A:$A,ROW(A1)+204),"")</f>
        <v/>
      </c>
      <c r="E205">
        <f>IFERROR(INDEX('[AQ_2024.xlsx]原始数据'!$A:$A,ROW(A1)+204),"")</f>
        <v/>
      </c>
      <c r="G205">
        <f>IF(204&lt;=1000,INDEX($A$2:$A$1001,204),IF(204&lt;=2000,INDEX($B$2:$B$1001,-796),IF(204&lt;=3000,INDEX($C$2:$C$1001,-1796),IF(204&lt;=4000,INDEX($D$2:$D$1001,-2796),IF(204&lt;=5000,INDEX($E$2:$E$1001,-3796),"")))))</f>
        <v/>
      </c>
    </row>
    <row r="206">
      <c r="A206">
        <f>IFERROR(INDEX('[AQ_2020.xlsx]原始数据'!$A:$A,ROW(A1)+205),"")</f>
        <v/>
      </c>
      <c r="B206">
        <f>IFERROR(INDEX('[AQ_2021.xlsx]原始数据'!$A:$A,ROW(A1)+205),"")</f>
        <v/>
      </c>
      <c r="C206">
        <f>IFERROR(INDEX('[AQ_2022.xlsx]原始数据'!$A:$A,ROW(A1)+205),"")</f>
        <v/>
      </c>
      <c r="D206">
        <f>IFERROR(INDEX('[AQ_2023.xlsx]原始数据'!$A:$A,ROW(A1)+205),"")</f>
        <v/>
      </c>
      <c r="E206">
        <f>IFERROR(INDEX('[AQ_2024.xlsx]原始数据'!$A:$A,ROW(A1)+205),"")</f>
        <v/>
      </c>
      <c r="G206">
        <f>IF(205&lt;=1000,INDEX($A$2:$A$1001,205),IF(205&lt;=2000,INDEX($B$2:$B$1001,-795),IF(205&lt;=3000,INDEX($C$2:$C$1001,-1795),IF(205&lt;=4000,INDEX($D$2:$D$1001,-2795),IF(205&lt;=5000,INDEX($E$2:$E$1001,-3795),"")))))</f>
        <v/>
      </c>
    </row>
    <row r="207">
      <c r="A207">
        <f>IFERROR(INDEX('[AQ_2020.xlsx]原始数据'!$A:$A,ROW(A1)+206),"")</f>
        <v/>
      </c>
      <c r="B207">
        <f>IFERROR(INDEX('[AQ_2021.xlsx]原始数据'!$A:$A,ROW(A1)+206),"")</f>
        <v/>
      </c>
      <c r="C207">
        <f>IFERROR(INDEX('[AQ_2022.xlsx]原始数据'!$A:$A,ROW(A1)+206),"")</f>
        <v/>
      </c>
      <c r="D207">
        <f>IFERROR(INDEX('[AQ_2023.xlsx]原始数据'!$A:$A,ROW(A1)+206),"")</f>
        <v/>
      </c>
      <c r="E207">
        <f>IFERROR(INDEX('[AQ_2024.xlsx]原始数据'!$A:$A,ROW(A1)+206),"")</f>
        <v/>
      </c>
      <c r="G207">
        <f>IF(206&lt;=1000,INDEX($A$2:$A$1001,206),IF(206&lt;=2000,INDEX($B$2:$B$1001,-794),IF(206&lt;=3000,INDEX($C$2:$C$1001,-1794),IF(206&lt;=4000,INDEX($D$2:$D$1001,-2794),IF(206&lt;=5000,INDEX($E$2:$E$1001,-3794),"")))))</f>
        <v/>
      </c>
    </row>
    <row r="208">
      <c r="A208">
        <f>IFERROR(INDEX('[AQ_2020.xlsx]原始数据'!$A:$A,ROW(A1)+207),"")</f>
        <v/>
      </c>
      <c r="B208">
        <f>IFERROR(INDEX('[AQ_2021.xlsx]原始数据'!$A:$A,ROW(A1)+207),"")</f>
        <v/>
      </c>
      <c r="C208">
        <f>IFERROR(INDEX('[AQ_2022.xlsx]原始数据'!$A:$A,ROW(A1)+207),"")</f>
        <v/>
      </c>
      <c r="D208">
        <f>IFERROR(INDEX('[AQ_2023.xlsx]原始数据'!$A:$A,ROW(A1)+207),"")</f>
        <v/>
      </c>
      <c r="E208">
        <f>IFERROR(INDEX('[AQ_2024.xlsx]原始数据'!$A:$A,ROW(A1)+207),"")</f>
        <v/>
      </c>
      <c r="G208">
        <f>IF(207&lt;=1000,INDEX($A$2:$A$1001,207),IF(207&lt;=2000,INDEX($B$2:$B$1001,-793),IF(207&lt;=3000,INDEX($C$2:$C$1001,-1793),IF(207&lt;=4000,INDEX($D$2:$D$1001,-2793),IF(207&lt;=5000,INDEX($E$2:$E$1001,-3793),"")))))</f>
        <v/>
      </c>
    </row>
    <row r="209">
      <c r="A209">
        <f>IFERROR(INDEX('[AQ_2020.xlsx]原始数据'!$A:$A,ROW(A1)+208),"")</f>
        <v/>
      </c>
      <c r="B209">
        <f>IFERROR(INDEX('[AQ_2021.xlsx]原始数据'!$A:$A,ROW(A1)+208),"")</f>
        <v/>
      </c>
      <c r="C209">
        <f>IFERROR(INDEX('[AQ_2022.xlsx]原始数据'!$A:$A,ROW(A1)+208),"")</f>
        <v/>
      </c>
      <c r="D209">
        <f>IFERROR(INDEX('[AQ_2023.xlsx]原始数据'!$A:$A,ROW(A1)+208),"")</f>
        <v/>
      </c>
      <c r="E209">
        <f>IFERROR(INDEX('[AQ_2024.xlsx]原始数据'!$A:$A,ROW(A1)+208),"")</f>
        <v/>
      </c>
      <c r="G209">
        <f>IF(208&lt;=1000,INDEX($A$2:$A$1001,208),IF(208&lt;=2000,INDEX($B$2:$B$1001,-792),IF(208&lt;=3000,INDEX($C$2:$C$1001,-1792),IF(208&lt;=4000,INDEX($D$2:$D$1001,-2792),IF(208&lt;=5000,INDEX($E$2:$E$1001,-3792),"")))))</f>
        <v/>
      </c>
    </row>
    <row r="210">
      <c r="A210">
        <f>IFERROR(INDEX('[AQ_2020.xlsx]原始数据'!$A:$A,ROW(A1)+209),"")</f>
        <v/>
      </c>
      <c r="B210">
        <f>IFERROR(INDEX('[AQ_2021.xlsx]原始数据'!$A:$A,ROW(A1)+209),"")</f>
        <v/>
      </c>
      <c r="C210">
        <f>IFERROR(INDEX('[AQ_2022.xlsx]原始数据'!$A:$A,ROW(A1)+209),"")</f>
        <v/>
      </c>
      <c r="D210">
        <f>IFERROR(INDEX('[AQ_2023.xlsx]原始数据'!$A:$A,ROW(A1)+209),"")</f>
        <v/>
      </c>
      <c r="E210">
        <f>IFERROR(INDEX('[AQ_2024.xlsx]原始数据'!$A:$A,ROW(A1)+209),"")</f>
        <v/>
      </c>
      <c r="G210">
        <f>IF(209&lt;=1000,INDEX($A$2:$A$1001,209),IF(209&lt;=2000,INDEX($B$2:$B$1001,-791),IF(209&lt;=3000,INDEX($C$2:$C$1001,-1791),IF(209&lt;=4000,INDEX($D$2:$D$1001,-2791),IF(209&lt;=5000,INDEX($E$2:$E$1001,-3791),"")))))</f>
        <v/>
      </c>
    </row>
    <row r="211">
      <c r="A211">
        <f>IFERROR(INDEX('[AQ_2020.xlsx]原始数据'!$A:$A,ROW(A1)+210),"")</f>
        <v/>
      </c>
      <c r="B211">
        <f>IFERROR(INDEX('[AQ_2021.xlsx]原始数据'!$A:$A,ROW(A1)+210),"")</f>
        <v/>
      </c>
      <c r="C211">
        <f>IFERROR(INDEX('[AQ_2022.xlsx]原始数据'!$A:$A,ROW(A1)+210),"")</f>
        <v/>
      </c>
      <c r="D211">
        <f>IFERROR(INDEX('[AQ_2023.xlsx]原始数据'!$A:$A,ROW(A1)+210),"")</f>
        <v/>
      </c>
      <c r="E211">
        <f>IFERROR(INDEX('[AQ_2024.xlsx]原始数据'!$A:$A,ROW(A1)+210),"")</f>
        <v/>
      </c>
      <c r="G211">
        <f>IF(210&lt;=1000,INDEX($A$2:$A$1001,210),IF(210&lt;=2000,INDEX($B$2:$B$1001,-790),IF(210&lt;=3000,INDEX($C$2:$C$1001,-1790),IF(210&lt;=4000,INDEX($D$2:$D$1001,-2790),IF(210&lt;=5000,INDEX($E$2:$E$1001,-3790),"")))))</f>
        <v/>
      </c>
    </row>
    <row r="212">
      <c r="A212">
        <f>IFERROR(INDEX('[AQ_2020.xlsx]原始数据'!$A:$A,ROW(A1)+211),"")</f>
        <v/>
      </c>
      <c r="B212">
        <f>IFERROR(INDEX('[AQ_2021.xlsx]原始数据'!$A:$A,ROW(A1)+211),"")</f>
        <v/>
      </c>
      <c r="C212">
        <f>IFERROR(INDEX('[AQ_2022.xlsx]原始数据'!$A:$A,ROW(A1)+211),"")</f>
        <v/>
      </c>
      <c r="D212">
        <f>IFERROR(INDEX('[AQ_2023.xlsx]原始数据'!$A:$A,ROW(A1)+211),"")</f>
        <v/>
      </c>
      <c r="E212">
        <f>IFERROR(INDEX('[AQ_2024.xlsx]原始数据'!$A:$A,ROW(A1)+211),"")</f>
        <v/>
      </c>
      <c r="G212">
        <f>IF(211&lt;=1000,INDEX($A$2:$A$1001,211),IF(211&lt;=2000,INDEX($B$2:$B$1001,-789),IF(211&lt;=3000,INDEX($C$2:$C$1001,-1789),IF(211&lt;=4000,INDEX($D$2:$D$1001,-2789),IF(211&lt;=5000,INDEX($E$2:$E$1001,-3789),"")))))</f>
        <v/>
      </c>
    </row>
    <row r="213">
      <c r="A213">
        <f>IFERROR(INDEX('[AQ_2020.xlsx]原始数据'!$A:$A,ROW(A1)+212),"")</f>
        <v/>
      </c>
      <c r="B213">
        <f>IFERROR(INDEX('[AQ_2021.xlsx]原始数据'!$A:$A,ROW(A1)+212),"")</f>
        <v/>
      </c>
      <c r="C213">
        <f>IFERROR(INDEX('[AQ_2022.xlsx]原始数据'!$A:$A,ROW(A1)+212),"")</f>
        <v/>
      </c>
      <c r="D213">
        <f>IFERROR(INDEX('[AQ_2023.xlsx]原始数据'!$A:$A,ROW(A1)+212),"")</f>
        <v/>
      </c>
      <c r="E213">
        <f>IFERROR(INDEX('[AQ_2024.xlsx]原始数据'!$A:$A,ROW(A1)+212),"")</f>
        <v/>
      </c>
      <c r="G213">
        <f>IF(212&lt;=1000,INDEX($A$2:$A$1001,212),IF(212&lt;=2000,INDEX($B$2:$B$1001,-788),IF(212&lt;=3000,INDEX($C$2:$C$1001,-1788),IF(212&lt;=4000,INDEX($D$2:$D$1001,-2788),IF(212&lt;=5000,INDEX($E$2:$E$1001,-3788),"")))))</f>
        <v/>
      </c>
    </row>
    <row r="214">
      <c r="A214">
        <f>IFERROR(INDEX('[AQ_2020.xlsx]原始数据'!$A:$A,ROW(A1)+213),"")</f>
        <v/>
      </c>
      <c r="B214">
        <f>IFERROR(INDEX('[AQ_2021.xlsx]原始数据'!$A:$A,ROW(A1)+213),"")</f>
        <v/>
      </c>
      <c r="C214">
        <f>IFERROR(INDEX('[AQ_2022.xlsx]原始数据'!$A:$A,ROW(A1)+213),"")</f>
        <v/>
      </c>
      <c r="D214">
        <f>IFERROR(INDEX('[AQ_2023.xlsx]原始数据'!$A:$A,ROW(A1)+213),"")</f>
        <v/>
      </c>
      <c r="E214">
        <f>IFERROR(INDEX('[AQ_2024.xlsx]原始数据'!$A:$A,ROW(A1)+213),"")</f>
        <v/>
      </c>
      <c r="G214">
        <f>IF(213&lt;=1000,INDEX($A$2:$A$1001,213),IF(213&lt;=2000,INDEX($B$2:$B$1001,-787),IF(213&lt;=3000,INDEX($C$2:$C$1001,-1787),IF(213&lt;=4000,INDEX($D$2:$D$1001,-2787),IF(213&lt;=5000,INDEX($E$2:$E$1001,-3787),"")))))</f>
        <v/>
      </c>
    </row>
    <row r="215">
      <c r="A215">
        <f>IFERROR(INDEX('[AQ_2020.xlsx]原始数据'!$A:$A,ROW(A1)+214),"")</f>
        <v/>
      </c>
      <c r="B215">
        <f>IFERROR(INDEX('[AQ_2021.xlsx]原始数据'!$A:$A,ROW(A1)+214),"")</f>
        <v/>
      </c>
      <c r="C215">
        <f>IFERROR(INDEX('[AQ_2022.xlsx]原始数据'!$A:$A,ROW(A1)+214),"")</f>
        <v/>
      </c>
      <c r="D215">
        <f>IFERROR(INDEX('[AQ_2023.xlsx]原始数据'!$A:$A,ROW(A1)+214),"")</f>
        <v/>
      </c>
      <c r="E215">
        <f>IFERROR(INDEX('[AQ_2024.xlsx]原始数据'!$A:$A,ROW(A1)+214),"")</f>
        <v/>
      </c>
      <c r="G215">
        <f>IF(214&lt;=1000,INDEX($A$2:$A$1001,214),IF(214&lt;=2000,INDEX($B$2:$B$1001,-786),IF(214&lt;=3000,INDEX($C$2:$C$1001,-1786),IF(214&lt;=4000,INDEX($D$2:$D$1001,-2786),IF(214&lt;=5000,INDEX($E$2:$E$1001,-3786),"")))))</f>
        <v/>
      </c>
    </row>
    <row r="216">
      <c r="A216">
        <f>IFERROR(INDEX('[AQ_2020.xlsx]原始数据'!$A:$A,ROW(A1)+215),"")</f>
        <v/>
      </c>
      <c r="B216">
        <f>IFERROR(INDEX('[AQ_2021.xlsx]原始数据'!$A:$A,ROW(A1)+215),"")</f>
        <v/>
      </c>
      <c r="C216">
        <f>IFERROR(INDEX('[AQ_2022.xlsx]原始数据'!$A:$A,ROW(A1)+215),"")</f>
        <v/>
      </c>
      <c r="D216">
        <f>IFERROR(INDEX('[AQ_2023.xlsx]原始数据'!$A:$A,ROW(A1)+215),"")</f>
        <v/>
      </c>
      <c r="E216">
        <f>IFERROR(INDEX('[AQ_2024.xlsx]原始数据'!$A:$A,ROW(A1)+215),"")</f>
        <v/>
      </c>
      <c r="G216">
        <f>IF(215&lt;=1000,INDEX($A$2:$A$1001,215),IF(215&lt;=2000,INDEX($B$2:$B$1001,-785),IF(215&lt;=3000,INDEX($C$2:$C$1001,-1785),IF(215&lt;=4000,INDEX($D$2:$D$1001,-2785),IF(215&lt;=5000,INDEX($E$2:$E$1001,-3785),"")))))</f>
        <v/>
      </c>
    </row>
    <row r="217">
      <c r="A217">
        <f>IFERROR(INDEX('[AQ_2020.xlsx]原始数据'!$A:$A,ROW(A1)+216),"")</f>
        <v/>
      </c>
      <c r="B217">
        <f>IFERROR(INDEX('[AQ_2021.xlsx]原始数据'!$A:$A,ROW(A1)+216),"")</f>
        <v/>
      </c>
      <c r="C217">
        <f>IFERROR(INDEX('[AQ_2022.xlsx]原始数据'!$A:$A,ROW(A1)+216),"")</f>
        <v/>
      </c>
      <c r="D217">
        <f>IFERROR(INDEX('[AQ_2023.xlsx]原始数据'!$A:$A,ROW(A1)+216),"")</f>
        <v/>
      </c>
      <c r="E217">
        <f>IFERROR(INDEX('[AQ_2024.xlsx]原始数据'!$A:$A,ROW(A1)+216),"")</f>
        <v/>
      </c>
      <c r="G217">
        <f>IF(216&lt;=1000,INDEX($A$2:$A$1001,216),IF(216&lt;=2000,INDEX($B$2:$B$1001,-784),IF(216&lt;=3000,INDEX($C$2:$C$1001,-1784),IF(216&lt;=4000,INDEX($D$2:$D$1001,-2784),IF(216&lt;=5000,INDEX($E$2:$E$1001,-3784),"")))))</f>
        <v/>
      </c>
    </row>
    <row r="218">
      <c r="A218">
        <f>IFERROR(INDEX('[AQ_2020.xlsx]原始数据'!$A:$A,ROW(A1)+217),"")</f>
        <v/>
      </c>
      <c r="B218">
        <f>IFERROR(INDEX('[AQ_2021.xlsx]原始数据'!$A:$A,ROW(A1)+217),"")</f>
        <v/>
      </c>
      <c r="C218">
        <f>IFERROR(INDEX('[AQ_2022.xlsx]原始数据'!$A:$A,ROW(A1)+217),"")</f>
        <v/>
      </c>
      <c r="D218">
        <f>IFERROR(INDEX('[AQ_2023.xlsx]原始数据'!$A:$A,ROW(A1)+217),"")</f>
        <v/>
      </c>
      <c r="E218">
        <f>IFERROR(INDEX('[AQ_2024.xlsx]原始数据'!$A:$A,ROW(A1)+217),"")</f>
        <v/>
      </c>
      <c r="G218">
        <f>IF(217&lt;=1000,INDEX($A$2:$A$1001,217),IF(217&lt;=2000,INDEX($B$2:$B$1001,-783),IF(217&lt;=3000,INDEX($C$2:$C$1001,-1783),IF(217&lt;=4000,INDEX($D$2:$D$1001,-2783),IF(217&lt;=5000,INDEX($E$2:$E$1001,-3783),"")))))</f>
        <v/>
      </c>
    </row>
    <row r="219">
      <c r="A219">
        <f>IFERROR(INDEX('[AQ_2020.xlsx]原始数据'!$A:$A,ROW(A1)+218),"")</f>
        <v/>
      </c>
      <c r="B219">
        <f>IFERROR(INDEX('[AQ_2021.xlsx]原始数据'!$A:$A,ROW(A1)+218),"")</f>
        <v/>
      </c>
      <c r="C219">
        <f>IFERROR(INDEX('[AQ_2022.xlsx]原始数据'!$A:$A,ROW(A1)+218),"")</f>
        <v/>
      </c>
      <c r="D219">
        <f>IFERROR(INDEX('[AQ_2023.xlsx]原始数据'!$A:$A,ROW(A1)+218),"")</f>
        <v/>
      </c>
      <c r="E219">
        <f>IFERROR(INDEX('[AQ_2024.xlsx]原始数据'!$A:$A,ROW(A1)+218),"")</f>
        <v/>
      </c>
      <c r="G219">
        <f>IF(218&lt;=1000,INDEX($A$2:$A$1001,218),IF(218&lt;=2000,INDEX($B$2:$B$1001,-782),IF(218&lt;=3000,INDEX($C$2:$C$1001,-1782),IF(218&lt;=4000,INDEX($D$2:$D$1001,-2782),IF(218&lt;=5000,INDEX($E$2:$E$1001,-3782),"")))))</f>
        <v/>
      </c>
    </row>
    <row r="220">
      <c r="A220">
        <f>IFERROR(INDEX('[AQ_2020.xlsx]原始数据'!$A:$A,ROW(A1)+219),"")</f>
        <v/>
      </c>
      <c r="B220">
        <f>IFERROR(INDEX('[AQ_2021.xlsx]原始数据'!$A:$A,ROW(A1)+219),"")</f>
        <v/>
      </c>
      <c r="C220">
        <f>IFERROR(INDEX('[AQ_2022.xlsx]原始数据'!$A:$A,ROW(A1)+219),"")</f>
        <v/>
      </c>
      <c r="D220">
        <f>IFERROR(INDEX('[AQ_2023.xlsx]原始数据'!$A:$A,ROW(A1)+219),"")</f>
        <v/>
      </c>
      <c r="E220">
        <f>IFERROR(INDEX('[AQ_2024.xlsx]原始数据'!$A:$A,ROW(A1)+219),"")</f>
        <v/>
      </c>
      <c r="G220">
        <f>IF(219&lt;=1000,INDEX($A$2:$A$1001,219),IF(219&lt;=2000,INDEX($B$2:$B$1001,-781),IF(219&lt;=3000,INDEX($C$2:$C$1001,-1781),IF(219&lt;=4000,INDEX($D$2:$D$1001,-2781),IF(219&lt;=5000,INDEX($E$2:$E$1001,-3781),"")))))</f>
        <v/>
      </c>
    </row>
    <row r="221">
      <c r="A221">
        <f>IFERROR(INDEX('[AQ_2020.xlsx]原始数据'!$A:$A,ROW(A1)+220),"")</f>
        <v/>
      </c>
      <c r="B221">
        <f>IFERROR(INDEX('[AQ_2021.xlsx]原始数据'!$A:$A,ROW(A1)+220),"")</f>
        <v/>
      </c>
      <c r="C221">
        <f>IFERROR(INDEX('[AQ_2022.xlsx]原始数据'!$A:$A,ROW(A1)+220),"")</f>
        <v/>
      </c>
      <c r="D221">
        <f>IFERROR(INDEX('[AQ_2023.xlsx]原始数据'!$A:$A,ROW(A1)+220),"")</f>
        <v/>
      </c>
      <c r="E221">
        <f>IFERROR(INDEX('[AQ_2024.xlsx]原始数据'!$A:$A,ROW(A1)+220),"")</f>
        <v/>
      </c>
      <c r="G221">
        <f>IF(220&lt;=1000,INDEX($A$2:$A$1001,220),IF(220&lt;=2000,INDEX($B$2:$B$1001,-780),IF(220&lt;=3000,INDEX($C$2:$C$1001,-1780),IF(220&lt;=4000,INDEX($D$2:$D$1001,-2780),IF(220&lt;=5000,INDEX($E$2:$E$1001,-3780),"")))))</f>
        <v/>
      </c>
    </row>
    <row r="222">
      <c r="A222">
        <f>IFERROR(INDEX('[AQ_2020.xlsx]原始数据'!$A:$A,ROW(A1)+221),"")</f>
        <v/>
      </c>
      <c r="B222">
        <f>IFERROR(INDEX('[AQ_2021.xlsx]原始数据'!$A:$A,ROW(A1)+221),"")</f>
        <v/>
      </c>
      <c r="C222">
        <f>IFERROR(INDEX('[AQ_2022.xlsx]原始数据'!$A:$A,ROW(A1)+221),"")</f>
        <v/>
      </c>
      <c r="D222">
        <f>IFERROR(INDEX('[AQ_2023.xlsx]原始数据'!$A:$A,ROW(A1)+221),"")</f>
        <v/>
      </c>
      <c r="E222">
        <f>IFERROR(INDEX('[AQ_2024.xlsx]原始数据'!$A:$A,ROW(A1)+221),"")</f>
        <v/>
      </c>
      <c r="G222">
        <f>IF(221&lt;=1000,INDEX($A$2:$A$1001,221),IF(221&lt;=2000,INDEX($B$2:$B$1001,-779),IF(221&lt;=3000,INDEX($C$2:$C$1001,-1779),IF(221&lt;=4000,INDEX($D$2:$D$1001,-2779),IF(221&lt;=5000,INDEX($E$2:$E$1001,-3779),"")))))</f>
        <v/>
      </c>
    </row>
    <row r="223">
      <c r="A223">
        <f>IFERROR(INDEX('[AQ_2020.xlsx]原始数据'!$A:$A,ROW(A1)+222),"")</f>
        <v/>
      </c>
      <c r="B223">
        <f>IFERROR(INDEX('[AQ_2021.xlsx]原始数据'!$A:$A,ROW(A1)+222),"")</f>
        <v/>
      </c>
      <c r="C223">
        <f>IFERROR(INDEX('[AQ_2022.xlsx]原始数据'!$A:$A,ROW(A1)+222),"")</f>
        <v/>
      </c>
      <c r="D223">
        <f>IFERROR(INDEX('[AQ_2023.xlsx]原始数据'!$A:$A,ROW(A1)+222),"")</f>
        <v/>
      </c>
      <c r="E223">
        <f>IFERROR(INDEX('[AQ_2024.xlsx]原始数据'!$A:$A,ROW(A1)+222),"")</f>
        <v/>
      </c>
      <c r="G223">
        <f>IF(222&lt;=1000,INDEX($A$2:$A$1001,222),IF(222&lt;=2000,INDEX($B$2:$B$1001,-778),IF(222&lt;=3000,INDEX($C$2:$C$1001,-1778),IF(222&lt;=4000,INDEX($D$2:$D$1001,-2778),IF(222&lt;=5000,INDEX($E$2:$E$1001,-3778),"")))))</f>
        <v/>
      </c>
    </row>
    <row r="224">
      <c r="A224">
        <f>IFERROR(INDEX('[AQ_2020.xlsx]原始数据'!$A:$A,ROW(A1)+223),"")</f>
        <v/>
      </c>
      <c r="B224">
        <f>IFERROR(INDEX('[AQ_2021.xlsx]原始数据'!$A:$A,ROW(A1)+223),"")</f>
        <v/>
      </c>
      <c r="C224">
        <f>IFERROR(INDEX('[AQ_2022.xlsx]原始数据'!$A:$A,ROW(A1)+223),"")</f>
        <v/>
      </c>
      <c r="D224">
        <f>IFERROR(INDEX('[AQ_2023.xlsx]原始数据'!$A:$A,ROW(A1)+223),"")</f>
        <v/>
      </c>
      <c r="E224">
        <f>IFERROR(INDEX('[AQ_2024.xlsx]原始数据'!$A:$A,ROW(A1)+223),"")</f>
        <v/>
      </c>
      <c r="G224">
        <f>IF(223&lt;=1000,INDEX($A$2:$A$1001,223),IF(223&lt;=2000,INDEX($B$2:$B$1001,-777),IF(223&lt;=3000,INDEX($C$2:$C$1001,-1777),IF(223&lt;=4000,INDEX($D$2:$D$1001,-2777),IF(223&lt;=5000,INDEX($E$2:$E$1001,-3777),"")))))</f>
        <v/>
      </c>
    </row>
    <row r="225">
      <c r="A225">
        <f>IFERROR(INDEX('[AQ_2020.xlsx]原始数据'!$A:$A,ROW(A1)+224),"")</f>
        <v/>
      </c>
      <c r="B225">
        <f>IFERROR(INDEX('[AQ_2021.xlsx]原始数据'!$A:$A,ROW(A1)+224),"")</f>
        <v/>
      </c>
      <c r="C225">
        <f>IFERROR(INDEX('[AQ_2022.xlsx]原始数据'!$A:$A,ROW(A1)+224),"")</f>
        <v/>
      </c>
      <c r="D225">
        <f>IFERROR(INDEX('[AQ_2023.xlsx]原始数据'!$A:$A,ROW(A1)+224),"")</f>
        <v/>
      </c>
      <c r="E225">
        <f>IFERROR(INDEX('[AQ_2024.xlsx]原始数据'!$A:$A,ROW(A1)+224),"")</f>
        <v/>
      </c>
      <c r="G225">
        <f>IF(224&lt;=1000,INDEX($A$2:$A$1001,224),IF(224&lt;=2000,INDEX($B$2:$B$1001,-776),IF(224&lt;=3000,INDEX($C$2:$C$1001,-1776),IF(224&lt;=4000,INDEX($D$2:$D$1001,-2776),IF(224&lt;=5000,INDEX($E$2:$E$1001,-3776),"")))))</f>
        <v/>
      </c>
    </row>
    <row r="226">
      <c r="A226">
        <f>IFERROR(INDEX('[AQ_2020.xlsx]原始数据'!$A:$A,ROW(A1)+225),"")</f>
        <v/>
      </c>
      <c r="B226">
        <f>IFERROR(INDEX('[AQ_2021.xlsx]原始数据'!$A:$A,ROW(A1)+225),"")</f>
        <v/>
      </c>
      <c r="C226">
        <f>IFERROR(INDEX('[AQ_2022.xlsx]原始数据'!$A:$A,ROW(A1)+225),"")</f>
        <v/>
      </c>
      <c r="D226">
        <f>IFERROR(INDEX('[AQ_2023.xlsx]原始数据'!$A:$A,ROW(A1)+225),"")</f>
        <v/>
      </c>
      <c r="E226">
        <f>IFERROR(INDEX('[AQ_2024.xlsx]原始数据'!$A:$A,ROW(A1)+225),"")</f>
        <v/>
      </c>
      <c r="G226">
        <f>IF(225&lt;=1000,INDEX($A$2:$A$1001,225),IF(225&lt;=2000,INDEX($B$2:$B$1001,-775),IF(225&lt;=3000,INDEX($C$2:$C$1001,-1775),IF(225&lt;=4000,INDEX($D$2:$D$1001,-2775),IF(225&lt;=5000,INDEX($E$2:$E$1001,-3775),"")))))</f>
        <v/>
      </c>
    </row>
    <row r="227">
      <c r="A227">
        <f>IFERROR(INDEX('[AQ_2020.xlsx]原始数据'!$A:$A,ROW(A1)+226),"")</f>
        <v/>
      </c>
      <c r="B227">
        <f>IFERROR(INDEX('[AQ_2021.xlsx]原始数据'!$A:$A,ROW(A1)+226),"")</f>
        <v/>
      </c>
      <c r="C227">
        <f>IFERROR(INDEX('[AQ_2022.xlsx]原始数据'!$A:$A,ROW(A1)+226),"")</f>
        <v/>
      </c>
      <c r="D227">
        <f>IFERROR(INDEX('[AQ_2023.xlsx]原始数据'!$A:$A,ROW(A1)+226),"")</f>
        <v/>
      </c>
      <c r="E227">
        <f>IFERROR(INDEX('[AQ_2024.xlsx]原始数据'!$A:$A,ROW(A1)+226),"")</f>
        <v/>
      </c>
      <c r="G227">
        <f>IF(226&lt;=1000,INDEX($A$2:$A$1001,226),IF(226&lt;=2000,INDEX($B$2:$B$1001,-774),IF(226&lt;=3000,INDEX($C$2:$C$1001,-1774),IF(226&lt;=4000,INDEX($D$2:$D$1001,-2774),IF(226&lt;=5000,INDEX($E$2:$E$1001,-3774),"")))))</f>
        <v/>
      </c>
    </row>
    <row r="228">
      <c r="A228">
        <f>IFERROR(INDEX('[AQ_2020.xlsx]原始数据'!$A:$A,ROW(A1)+227),"")</f>
        <v/>
      </c>
      <c r="B228">
        <f>IFERROR(INDEX('[AQ_2021.xlsx]原始数据'!$A:$A,ROW(A1)+227),"")</f>
        <v/>
      </c>
      <c r="C228">
        <f>IFERROR(INDEX('[AQ_2022.xlsx]原始数据'!$A:$A,ROW(A1)+227),"")</f>
        <v/>
      </c>
      <c r="D228">
        <f>IFERROR(INDEX('[AQ_2023.xlsx]原始数据'!$A:$A,ROW(A1)+227),"")</f>
        <v/>
      </c>
      <c r="E228">
        <f>IFERROR(INDEX('[AQ_2024.xlsx]原始数据'!$A:$A,ROW(A1)+227),"")</f>
        <v/>
      </c>
      <c r="G228">
        <f>IF(227&lt;=1000,INDEX($A$2:$A$1001,227),IF(227&lt;=2000,INDEX($B$2:$B$1001,-773),IF(227&lt;=3000,INDEX($C$2:$C$1001,-1773),IF(227&lt;=4000,INDEX($D$2:$D$1001,-2773),IF(227&lt;=5000,INDEX($E$2:$E$1001,-3773),"")))))</f>
        <v/>
      </c>
    </row>
    <row r="229">
      <c r="A229">
        <f>IFERROR(INDEX('[AQ_2020.xlsx]原始数据'!$A:$A,ROW(A1)+228),"")</f>
        <v/>
      </c>
      <c r="B229">
        <f>IFERROR(INDEX('[AQ_2021.xlsx]原始数据'!$A:$A,ROW(A1)+228),"")</f>
        <v/>
      </c>
      <c r="C229">
        <f>IFERROR(INDEX('[AQ_2022.xlsx]原始数据'!$A:$A,ROW(A1)+228),"")</f>
        <v/>
      </c>
      <c r="D229">
        <f>IFERROR(INDEX('[AQ_2023.xlsx]原始数据'!$A:$A,ROW(A1)+228),"")</f>
        <v/>
      </c>
      <c r="E229">
        <f>IFERROR(INDEX('[AQ_2024.xlsx]原始数据'!$A:$A,ROW(A1)+228),"")</f>
        <v/>
      </c>
      <c r="G229">
        <f>IF(228&lt;=1000,INDEX($A$2:$A$1001,228),IF(228&lt;=2000,INDEX($B$2:$B$1001,-772),IF(228&lt;=3000,INDEX($C$2:$C$1001,-1772),IF(228&lt;=4000,INDEX($D$2:$D$1001,-2772),IF(228&lt;=5000,INDEX($E$2:$E$1001,-3772),"")))))</f>
        <v/>
      </c>
    </row>
    <row r="230">
      <c r="A230">
        <f>IFERROR(INDEX('[AQ_2020.xlsx]原始数据'!$A:$A,ROW(A1)+229),"")</f>
        <v/>
      </c>
      <c r="B230">
        <f>IFERROR(INDEX('[AQ_2021.xlsx]原始数据'!$A:$A,ROW(A1)+229),"")</f>
        <v/>
      </c>
      <c r="C230">
        <f>IFERROR(INDEX('[AQ_2022.xlsx]原始数据'!$A:$A,ROW(A1)+229),"")</f>
        <v/>
      </c>
      <c r="D230">
        <f>IFERROR(INDEX('[AQ_2023.xlsx]原始数据'!$A:$A,ROW(A1)+229),"")</f>
        <v/>
      </c>
      <c r="E230">
        <f>IFERROR(INDEX('[AQ_2024.xlsx]原始数据'!$A:$A,ROW(A1)+229),"")</f>
        <v/>
      </c>
      <c r="G230">
        <f>IF(229&lt;=1000,INDEX($A$2:$A$1001,229),IF(229&lt;=2000,INDEX($B$2:$B$1001,-771),IF(229&lt;=3000,INDEX($C$2:$C$1001,-1771),IF(229&lt;=4000,INDEX($D$2:$D$1001,-2771),IF(229&lt;=5000,INDEX($E$2:$E$1001,-3771),"")))))</f>
        <v/>
      </c>
    </row>
    <row r="231">
      <c r="A231">
        <f>IFERROR(INDEX('[AQ_2020.xlsx]原始数据'!$A:$A,ROW(A1)+230),"")</f>
        <v/>
      </c>
      <c r="B231">
        <f>IFERROR(INDEX('[AQ_2021.xlsx]原始数据'!$A:$A,ROW(A1)+230),"")</f>
        <v/>
      </c>
      <c r="C231">
        <f>IFERROR(INDEX('[AQ_2022.xlsx]原始数据'!$A:$A,ROW(A1)+230),"")</f>
        <v/>
      </c>
      <c r="D231">
        <f>IFERROR(INDEX('[AQ_2023.xlsx]原始数据'!$A:$A,ROW(A1)+230),"")</f>
        <v/>
      </c>
      <c r="E231">
        <f>IFERROR(INDEX('[AQ_2024.xlsx]原始数据'!$A:$A,ROW(A1)+230),"")</f>
        <v/>
      </c>
      <c r="G231">
        <f>IF(230&lt;=1000,INDEX($A$2:$A$1001,230),IF(230&lt;=2000,INDEX($B$2:$B$1001,-770),IF(230&lt;=3000,INDEX($C$2:$C$1001,-1770),IF(230&lt;=4000,INDEX($D$2:$D$1001,-2770),IF(230&lt;=5000,INDEX($E$2:$E$1001,-3770),"")))))</f>
        <v/>
      </c>
    </row>
    <row r="232">
      <c r="A232">
        <f>IFERROR(INDEX('[AQ_2020.xlsx]原始数据'!$A:$A,ROW(A1)+231),"")</f>
        <v/>
      </c>
      <c r="B232">
        <f>IFERROR(INDEX('[AQ_2021.xlsx]原始数据'!$A:$A,ROW(A1)+231),"")</f>
        <v/>
      </c>
      <c r="C232">
        <f>IFERROR(INDEX('[AQ_2022.xlsx]原始数据'!$A:$A,ROW(A1)+231),"")</f>
        <v/>
      </c>
      <c r="D232">
        <f>IFERROR(INDEX('[AQ_2023.xlsx]原始数据'!$A:$A,ROW(A1)+231),"")</f>
        <v/>
      </c>
      <c r="E232">
        <f>IFERROR(INDEX('[AQ_2024.xlsx]原始数据'!$A:$A,ROW(A1)+231),"")</f>
        <v/>
      </c>
      <c r="G232">
        <f>IF(231&lt;=1000,INDEX($A$2:$A$1001,231),IF(231&lt;=2000,INDEX($B$2:$B$1001,-769),IF(231&lt;=3000,INDEX($C$2:$C$1001,-1769),IF(231&lt;=4000,INDEX($D$2:$D$1001,-2769),IF(231&lt;=5000,INDEX($E$2:$E$1001,-3769),"")))))</f>
        <v/>
      </c>
    </row>
    <row r="233">
      <c r="A233">
        <f>IFERROR(INDEX('[AQ_2020.xlsx]原始数据'!$A:$A,ROW(A1)+232),"")</f>
        <v/>
      </c>
      <c r="B233">
        <f>IFERROR(INDEX('[AQ_2021.xlsx]原始数据'!$A:$A,ROW(A1)+232),"")</f>
        <v/>
      </c>
      <c r="C233">
        <f>IFERROR(INDEX('[AQ_2022.xlsx]原始数据'!$A:$A,ROW(A1)+232),"")</f>
        <v/>
      </c>
      <c r="D233">
        <f>IFERROR(INDEX('[AQ_2023.xlsx]原始数据'!$A:$A,ROW(A1)+232),"")</f>
        <v/>
      </c>
      <c r="E233">
        <f>IFERROR(INDEX('[AQ_2024.xlsx]原始数据'!$A:$A,ROW(A1)+232),"")</f>
        <v/>
      </c>
      <c r="G233">
        <f>IF(232&lt;=1000,INDEX($A$2:$A$1001,232),IF(232&lt;=2000,INDEX($B$2:$B$1001,-768),IF(232&lt;=3000,INDEX($C$2:$C$1001,-1768),IF(232&lt;=4000,INDEX($D$2:$D$1001,-2768),IF(232&lt;=5000,INDEX($E$2:$E$1001,-3768),"")))))</f>
        <v/>
      </c>
    </row>
    <row r="234">
      <c r="A234">
        <f>IFERROR(INDEX('[AQ_2020.xlsx]原始数据'!$A:$A,ROW(A1)+233),"")</f>
        <v/>
      </c>
      <c r="B234">
        <f>IFERROR(INDEX('[AQ_2021.xlsx]原始数据'!$A:$A,ROW(A1)+233),"")</f>
        <v/>
      </c>
      <c r="C234">
        <f>IFERROR(INDEX('[AQ_2022.xlsx]原始数据'!$A:$A,ROW(A1)+233),"")</f>
        <v/>
      </c>
      <c r="D234">
        <f>IFERROR(INDEX('[AQ_2023.xlsx]原始数据'!$A:$A,ROW(A1)+233),"")</f>
        <v/>
      </c>
      <c r="E234">
        <f>IFERROR(INDEX('[AQ_2024.xlsx]原始数据'!$A:$A,ROW(A1)+233),"")</f>
        <v/>
      </c>
      <c r="G234">
        <f>IF(233&lt;=1000,INDEX($A$2:$A$1001,233),IF(233&lt;=2000,INDEX($B$2:$B$1001,-767),IF(233&lt;=3000,INDEX($C$2:$C$1001,-1767),IF(233&lt;=4000,INDEX($D$2:$D$1001,-2767),IF(233&lt;=5000,INDEX($E$2:$E$1001,-3767),"")))))</f>
        <v/>
      </c>
    </row>
    <row r="235">
      <c r="A235">
        <f>IFERROR(INDEX('[AQ_2020.xlsx]原始数据'!$A:$A,ROW(A1)+234),"")</f>
        <v/>
      </c>
      <c r="B235">
        <f>IFERROR(INDEX('[AQ_2021.xlsx]原始数据'!$A:$A,ROW(A1)+234),"")</f>
        <v/>
      </c>
      <c r="C235">
        <f>IFERROR(INDEX('[AQ_2022.xlsx]原始数据'!$A:$A,ROW(A1)+234),"")</f>
        <v/>
      </c>
      <c r="D235">
        <f>IFERROR(INDEX('[AQ_2023.xlsx]原始数据'!$A:$A,ROW(A1)+234),"")</f>
        <v/>
      </c>
      <c r="E235">
        <f>IFERROR(INDEX('[AQ_2024.xlsx]原始数据'!$A:$A,ROW(A1)+234),"")</f>
        <v/>
      </c>
      <c r="G235">
        <f>IF(234&lt;=1000,INDEX($A$2:$A$1001,234),IF(234&lt;=2000,INDEX($B$2:$B$1001,-766),IF(234&lt;=3000,INDEX($C$2:$C$1001,-1766),IF(234&lt;=4000,INDEX($D$2:$D$1001,-2766),IF(234&lt;=5000,INDEX($E$2:$E$1001,-3766),"")))))</f>
        <v/>
      </c>
    </row>
    <row r="236">
      <c r="A236">
        <f>IFERROR(INDEX('[AQ_2020.xlsx]原始数据'!$A:$A,ROW(A1)+235),"")</f>
        <v/>
      </c>
      <c r="B236">
        <f>IFERROR(INDEX('[AQ_2021.xlsx]原始数据'!$A:$A,ROW(A1)+235),"")</f>
        <v/>
      </c>
      <c r="C236">
        <f>IFERROR(INDEX('[AQ_2022.xlsx]原始数据'!$A:$A,ROW(A1)+235),"")</f>
        <v/>
      </c>
      <c r="D236">
        <f>IFERROR(INDEX('[AQ_2023.xlsx]原始数据'!$A:$A,ROW(A1)+235),"")</f>
        <v/>
      </c>
      <c r="E236">
        <f>IFERROR(INDEX('[AQ_2024.xlsx]原始数据'!$A:$A,ROW(A1)+235),"")</f>
        <v/>
      </c>
      <c r="G236">
        <f>IF(235&lt;=1000,INDEX($A$2:$A$1001,235),IF(235&lt;=2000,INDEX($B$2:$B$1001,-765),IF(235&lt;=3000,INDEX($C$2:$C$1001,-1765),IF(235&lt;=4000,INDEX($D$2:$D$1001,-2765),IF(235&lt;=5000,INDEX($E$2:$E$1001,-3765),"")))))</f>
        <v/>
      </c>
    </row>
    <row r="237">
      <c r="A237">
        <f>IFERROR(INDEX('[AQ_2020.xlsx]原始数据'!$A:$A,ROW(A1)+236),"")</f>
        <v/>
      </c>
      <c r="B237">
        <f>IFERROR(INDEX('[AQ_2021.xlsx]原始数据'!$A:$A,ROW(A1)+236),"")</f>
        <v/>
      </c>
      <c r="C237">
        <f>IFERROR(INDEX('[AQ_2022.xlsx]原始数据'!$A:$A,ROW(A1)+236),"")</f>
        <v/>
      </c>
      <c r="D237">
        <f>IFERROR(INDEX('[AQ_2023.xlsx]原始数据'!$A:$A,ROW(A1)+236),"")</f>
        <v/>
      </c>
      <c r="E237">
        <f>IFERROR(INDEX('[AQ_2024.xlsx]原始数据'!$A:$A,ROW(A1)+236),"")</f>
        <v/>
      </c>
      <c r="G237">
        <f>IF(236&lt;=1000,INDEX($A$2:$A$1001,236),IF(236&lt;=2000,INDEX($B$2:$B$1001,-764),IF(236&lt;=3000,INDEX($C$2:$C$1001,-1764),IF(236&lt;=4000,INDEX($D$2:$D$1001,-2764),IF(236&lt;=5000,INDEX($E$2:$E$1001,-3764),"")))))</f>
        <v/>
      </c>
    </row>
    <row r="238">
      <c r="A238">
        <f>IFERROR(INDEX('[AQ_2020.xlsx]原始数据'!$A:$A,ROW(A1)+237),"")</f>
        <v/>
      </c>
      <c r="B238">
        <f>IFERROR(INDEX('[AQ_2021.xlsx]原始数据'!$A:$A,ROW(A1)+237),"")</f>
        <v/>
      </c>
      <c r="C238">
        <f>IFERROR(INDEX('[AQ_2022.xlsx]原始数据'!$A:$A,ROW(A1)+237),"")</f>
        <v/>
      </c>
      <c r="D238">
        <f>IFERROR(INDEX('[AQ_2023.xlsx]原始数据'!$A:$A,ROW(A1)+237),"")</f>
        <v/>
      </c>
      <c r="E238">
        <f>IFERROR(INDEX('[AQ_2024.xlsx]原始数据'!$A:$A,ROW(A1)+237),"")</f>
        <v/>
      </c>
      <c r="G238">
        <f>IF(237&lt;=1000,INDEX($A$2:$A$1001,237),IF(237&lt;=2000,INDEX($B$2:$B$1001,-763),IF(237&lt;=3000,INDEX($C$2:$C$1001,-1763),IF(237&lt;=4000,INDEX($D$2:$D$1001,-2763),IF(237&lt;=5000,INDEX($E$2:$E$1001,-3763),"")))))</f>
        <v/>
      </c>
    </row>
    <row r="239">
      <c r="A239">
        <f>IFERROR(INDEX('[AQ_2020.xlsx]原始数据'!$A:$A,ROW(A1)+238),"")</f>
        <v/>
      </c>
      <c r="B239">
        <f>IFERROR(INDEX('[AQ_2021.xlsx]原始数据'!$A:$A,ROW(A1)+238),"")</f>
        <v/>
      </c>
      <c r="C239">
        <f>IFERROR(INDEX('[AQ_2022.xlsx]原始数据'!$A:$A,ROW(A1)+238),"")</f>
        <v/>
      </c>
      <c r="D239">
        <f>IFERROR(INDEX('[AQ_2023.xlsx]原始数据'!$A:$A,ROW(A1)+238),"")</f>
        <v/>
      </c>
      <c r="E239">
        <f>IFERROR(INDEX('[AQ_2024.xlsx]原始数据'!$A:$A,ROW(A1)+238),"")</f>
        <v/>
      </c>
      <c r="G239">
        <f>IF(238&lt;=1000,INDEX($A$2:$A$1001,238),IF(238&lt;=2000,INDEX($B$2:$B$1001,-762),IF(238&lt;=3000,INDEX($C$2:$C$1001,-1762),IF(238&lt;=4000,INDEX($D$2:$D$1001,-2762),IF(238&lt;=5000,INDEX($E$2:$E$1001,-3762),"")))))</f>
        <v/>
      </c>
    </row>
    <row r="240">
      <c r="A240">
        <f>IFERROR(INDEX('[AQ_2020.xlsx]原始数据'!$A:$A,ROW(A1)+239),"")</f>
        <v/>
      </c>
      <c r="B240">
        <f>IFERROR(INDEX('[AQ_2021.xlsx]原始数据'!$A:$A,ROW(A1)+239),"")</f>
        <v/>
      </c>
      <c r="C240">
        <f>IFERROR(INDEX('[AQ_2022.xlsx]原始数据'!$A:$A,ROW(A1)+239),"")</f>
        <v/>
      </c>
      <c r="D240">
        <f>IFERROR(INDEX('[AQ_2023.xlsx]原始数据'!$A:$A,ROW(A1)+239),"")</f>
        <v/>
      </c>
      <c r="E240">
        <f>IFERROR(INDEX('[AQ_2024.xlsx]原始数据'!$A:$A,ROW(A1)+239),"")</f>
        <v/>
      </c>
      <c r="G240">
        <f>IF(239&lt;=1000,INDEX($A$2:$A$1001,239),IF(239&lt;=2000,INDEX($B$2:$B$1001,-761),IF(239&lt;=3000,INDEX($C$2:$C$1001,-1761),IF(239&lt;=4000,INDEX($D$2:$D$1001,-2761),IF(239&lt;=5000,INDEX($E$2:$E$1001,-3761),"")))))</f>
        <v/>
      </c>
    </row>
    <row r="241">
      <c r="A241">
        <f>IFERROR(INDEX('[AQ_2020.xlsx]原始数据'!$A:$A,ROW(A1)+240),"")</f>
        <v/>
      </c>
      <c r="B241">
        <f>IFERROR(INDEX('[AQ_2021.xlsx]原始数据'!$A:$A,ROW(A1)+240),"")</f>
        <v/>
      </c>
      <c r="C241">
        <f>IFERROR(INDEX('[AQ_2022.xlsx]原始数据'!$A:$A,ROW(A1)+240),"")</f>
        <v/>
      </c>
      <c r="D241">
        <f>IFERROR(INDEX('[AQ_2023.xlsx]原始数据'!$A:$A,ROW(A1)+240),"")</f>
        <v/>
      </c>
      <c r="E241">
        <f>IFERROR(INDEX('[AQ_2024.xlsx]原始数据'!$A:$A,ROW(A1)+240),"")</f>
        <v/>
      </c>
      <c r="G241">
        <f>IF(240&lt;=1000,INDEX($A$2:$A$1001,240),IF(240&lt;=2000,INDEX($B$2:$B$1001,-760),IF(240&lt;=3000,INDEX($C$2:$C$1001,-1760),IF(240&lt;=4000,INDEX($D$2:$D$1001,-2760),IF(240&lt;=5000,INDEX($E$2:$E$1001,-3760),"")))))</f>
        <v/>
      </c>
    </row>
    <row r="242">
      <c r="A242">
        <f>IFERROR(INDEX('[AQ_2020.xlsx]原始数据'!$A:$A,ROW(A1)+241),"")</f>
        <v/>
      </c>
      <c r="B242">
        <f>IFERROR(INDEX('[AQ_2021.xlsx]原始数据'!$A:$A,ROW(A1)+241),"")</f>
        <v/>
      </c>
      <c r="C242">
        <f>IFERROR(INDEX('[AQ_2022.xlsx]原始数据'!$A:$A,ROW(A1)+241),"")</f>
        <v/>
      </c>
      <c r="D242">
        <f>IFERROR(INDEX('[AQ_2023.xlsx]原始数据'!$A:$A,ROW(A1)+241),"")</f>
        <v/>
      </c>
      <c r="E242">
        <f>IFERROR(INDEX('[AQ_2024.xlsx]原始数据'!$A:$A,ROW(A1)+241),"")</f>
        <v/>
      </c>
      <c r="G242">
        <f>IF(241&lt;=1000,INDEX($A$2:$A$1001,241),IF(241&lt;=2000,INDEX($B$2:$B$1001,-759),IF(241&lt;=3000,INDEX($C$2:$C$1001,-1759),IF(241&lt;=4000,INDEX($D$2:$D$1001,-2759),IF(241&lt;=5000,INDEX($E$2:$E$1001,-3759),"")))))</f>
        <v/>
      </c>
    </row>
    <row r="243">
      <c r="A243">
        <f>IFERROR(INDEX('[AQ_2020.xlsx]原始数据'!$A:$A,ROW(A1)+242),"")</f>
        <v/>
      </c>
      <c r="B243">
        <f>IFERROR(INDEX('[AQ_2021.xlsx]原始数据'!$A:$A,ROW(A1)+242),"")</f>
        <v/>
      </c>
      <c r="C243">
        <f>IFERROR(INDEX('[AQ_2022.xlsx]原始数据'!$A:$A,ROW(A1)+242),"")</f>
        <v/>
      </c>
      <c r="D243">
        <f>IFERROR(INDEX('[AQ_2023.xlsx]原始数据'!$A:$A,ROW(A1)+242),"")</f>
        <v/>
      </c>
      <c r="E243">
        <f>IFERROR(INDEX('[AQ_2024.xlsx]原始数据'!$A:$A,ROW(A1)+242),"")</f>
        <v/>
      </c>
      <c r="G243">
        <f>IF(242&lt;=1000,INDEX($A$2:$A$1001,242),IF(242&lt;=2000,INDEX($B$2:$B$1001,-758),IF(242&lt;=3000,INDEX($C$2:$C$1001,-1758),IF(242&lt;=4000,INDEX($D$2:$D$1001,-2758),IF(242&lt;=5000,INDEX($E$2:$E$1001,-3758),"")))))</f>
        <v/>
      </c>
    </row>
    <row r="244">
      <c r="A244">
        <f>IFERROR(INDEX('[AQ_2020.xlsx]原始数据'!$A:$A,ROW(A1)+243),"")</f>
        <v/>
      </c>
      <c r="B244">
        <f>IFERROR(INDEX('[AQ_2021.xlsx]原始数据'!$A:$A,ROW(A1)+243),"")</f>
        <v/>
      </c>
      <c r="C244">
        <f>IFERROR(INDEX('[AQ_2022.xlsx]原始数据'!$A:$A,ROW(A1)+243),"")</f>
        <v/>
      </c>
      <c r="D244">
        <f>IFERROR(INDEX('[AQ_2023.xlsx]原始数据'!$A:$A,ROW(A1)+243),"")</f>
        <v/>
      </c>
      <c r="E244">
        <f>IFERROR(INDEX('[AQ_2024.xlsx]原始数据'!$A:$A,ROW(A1)+243),"")</f>
        <v/>
      </c>
      <c r="G244">
        <f>IF(243&lt;=1000,INDEX($A$2:$A$1001,243),IF(243&lt;=2000,INDEX($B$2:$B$1001,-757),IF(243&lt;=3000,INDEX($C$2:$C$1001,-1757),IF(243&lt;=4000,INDEX($D$2:$D$1001,-2757),IF(243&lt;=5000,INDEX($E$2:$E$1001,-3757),"")))))</f>
        <v/>
      </c>
    </row>
    <row r="245">
      <c r="A245">
        <f>IFERROR(INDEX('[AQ_2020.xlsx]原始数据'!$A:$A,ROW(A1)+244),"")</f>
        <v/>
      </c>
      <c r="B245">
        <f>IFERROR(INDEX('[AQ_2021.xlsx]原始数据'!$A:$A,ROW(A1)+244),"")</f>
        <v/>
      </c>
      <c r="C245">
        <f>IFERROR(INDEX('[AQ_2022.xlsx]原始数据'!$A:$A,ROW(A1)+244),"")</f>
        <v/>
      </c>
      <c r="D245">
        <f>IFERROR(INDEX('[AQ_2023.xlsx]原始数据'!$A:$A,ROW(A1)+244),"")</f>
        <v/>
      </c>
      <c r="E245">
        <f>IFERROR(INDEX('[AQ_2024.xlsx]原始数据'!$A:$A,ROW(A1)+244),"")</f>
        <v/>
      </c>
      <c r="G245">
        <f>IF(244&lt;=1000,INDEX($A$2:$A$1001,244),IF(244&lt;=2000,INDEX($B$2:$B$1001,-756),IF(244&lt;=3000,INDEX($C$2:$C$1001,-1756),IF(244&lt;=4000,INDEX($D$2:$D$1001,-2756),IF(244&lt;=5000,INDEX($E$2:$E$1001,-3756),"")))))</f>
        <v/>
      </c>
    </row>
    <row r="246">
      <c r="A246">
        <f>IFERROR(INDEX('[AQ_2020.xlsx]原始数据'!$A:$A,ROW(A1)+245),"")</f>
        <v/>
      </c>
      <c r="B246">
        <f>IFERROR(INDEX('[AQ_2021.xlsx]原始数据'!$A:$A,ROW(A1)+245),"")</f>
        <v/>
      </c>
      <c r="C246">
        <f>IFERROR(INDEX('[AQ_2022.xlsx]原始数据'!$A:$A,ROW(A1)+245),"")</f>
        <v/>
      </c>
      <c r="D246">
        <f>IFERROR(INDEX('[AQ_2023.xlsx]原始数据'!$A:$A,ROW(A1)+245),"")</f>
        <v/>
      </c>
      <c r="E246">
        <f>IFERROR(INDEX('[AQ_2024.xlsx]原始数据'!$A:$A,ROW(A1)+245),"")</f>
        <v/>
      </c>
      <c r="G246">
        <f>IF(245&lt;=1000,INDEX($A$2:$A$1001,245),IF(245&lt;=2000,INDEX($B$2:$B$1001,-755),IF(245&lt;=3000,INDEX($C$2:$C$1001,-1755),IF(245&lt;=4000,INDEX($D$2:$D$1001,-2755),IF(245&lt;=5000,INDEX($E$2:$E$1001,-3755),"")))))</f>
        <v/>
      </c>
    </row>
    <row r="247">
      <c r="A247">
        <f>IFERROR(INDEX('[AQ_2020.xlsx]原始数据'!$A:$A,ROW(A1)+246),"")</f>
        <v/>
      </c>
      <c r="B247">
        <f>IFERROR(INDEX('[AQ_2021.xlsx]原始数据'!$A:$A,ROW(A1)+246),"")</f>
        <v/>
      </c>
      <c r="C247">
        <f>IFERROR(INDEX('[AQ_2022.xlsx]原始数据'!$A:$A,ROW(A1)+246),"")</f>
        <v/>
      </c>
      <c r="D247">
        <f>IFERROR(INDEX('[AQ_2023.xlsx]原始数据'!$A:$A,ROW(A1)+246),"")</f>
        <v/>
      </c>
      <c r="E247">
        <f>IFERROR(INDEX('[AQ_2024.xlsx]原始数据'!$A:$A,ROW(A1)+246),"")</f>
        <v/>
      </c>
      <c r="G247">
        <f>IF(246&lt;=1000,INDEX($A$2:$A$1001,246),IF(246&lt;=2000,INDEX($B$2:$B$1001,-754),IF(246&lt;=3000,INDEX($C$2:$C$1001,-1754),IF(246&lt;=4000,INDEX($D$2:$D$1001,-2754),IF(246&lt;=5000,INDEX($E$2:$E$1001,-3754),"")))))</f>
        <v/>
      </c>
    </row>
    <row r="248">
      <c r="A248">
        <f>IFERROR(INDEX('[AQ_2020.xlsx]原始数据'!$A:$A,ROW(A1)+247),"")</f>
        <v/>
      </c>
      <c r="B248">
        <f>IFERROR(INDEX('[AQ_2021.xlsx]原始数据'!$A:$A,ROW(A1)+247),"")</f>
        <v/>
      </c>
      <c r="C248">
        <f>IFERROR(INDEX('[AQ_2022.xlsx]原始数据'!$A:$A,ROW(A1)+247),"")</f>
        <v/>
      </c>
      <c r="D248">
        <f>IFERROR(INDEX('[AQ_2023.xlsx]原始数据'!$A:$A,ROW(A1)+247),"")</f>
        <v/>
      </c>
      <c r="E248">
        <f>IFERROR(INDEX('[AQ_2024.xlsx]原始数据'!$A:$A,ROW(A1)+247),"")</f>
        <v/>
      </c>
      <c r="G248">
        <f>IF(247&lt;=1000,INDEX($A$2:$A$1001,247),IF(247&lt;=2000,INDEX($B$2:$B$1001,-753),IF(247&lt;=3000,INDEX($C$2:$C$1001,-1753),IF(247&lt;=4000,INDEX($D$2:$D$1001,-2753),IF(247&lt;=5000,INDEX($E$2:$E$1001,-3753),"")))))</f>
        <v/>
      </c>
    </row>
    <row r="249">
      <c r="A249">
        <f>IFERROR(INDEX('[AQ_2020.xlsx]原始数据'!$A:$A,ROW(A1)+248),"")</f>
        <v/>
      </c>
      <c r="B249">
        <f>IFERROR(INDEX('[AQ_2021.xlsx]原始数据'!$A:$A,ROW(A1)+248),"")</f>
        <v/>
      </c>
      <c r="C249">
        <f>IFERROR(INDEX('[AQ_2022.xlsx]原始数据'!$A:$A,ROW(A1)+248),"")</f>
        <v/>
      </c>
      <c r="D249">
        <f>IFERROR(INDEX('[AQ_2023.xlsx]原始数据'!$A:$A,ROW(A1)+248),"")</f>
        <v/>
      </c>
      <c r="E249">
        <f>IFERROR(INDEX('[AQ_2024.xlsx]原始数据'!$A:$A,ROW(A1)+248),"")</f>
        <v/>
      </c>
      <c r="G249">
        <f>IF(248&lt;=1000,INDEX($A$2:$A$1001,248),IF(248&lt;=2000,INDEX($B$2:$B$1001,-752),IF(248&lt;=3000,INDEX($C$2:$C$1001,-1752),IF(248&lt;=4000,INDEX($D$2:$D$1001,-2752),IF(248&lt;=5000,INDEX($E$2:$E$1001,-3752),"")))))</f>
        <v/>
      </c>
    </row>
    <row r="250">
      <c r="A250">
        <f>IFERROR(INDEX('[AQ_2020.xlsx]原始数据'!$A:$A,ROW(A1)+249),"")</f>
        <v/>
      </c>
      <c r="B250">
        <f>IFERROR(INDEX('[AQ_2021.xlsx]原始数据'!$A:$A,ROW(A1)+249),"")</f>
        <v/>
      </c>
      <c r="C250">
        <f>IFERROR(INDEX('[AQ_2022.xlsx]原始数据'!$A:$A,ROW(A1)+249),"")</f>
        <v/>
      </c>
      <c r="D250">
        <f>IFERROR(INDEX('[AQ_2023.xlsx]原始数据'!$A:$A,ROW(A1)+249),"")</f>
        <v/>
      </c>
      <c r="E250">
        <f>IFERROR(INDEX('[AQ_2024.xlsx]原始数据'!$A:$A,ROW(A1)+249),"")</f>
        <v/>
      </c>
      <c r="G250">
        <f>IF(249&lt;=1000,INDEX($A$2:$A$1001,249),IF(249&lt;=2000,INDEX($B$2:$B$1001,-751),IF(249&lt;=3000,INDEX($C$2:$C$1001,-1751),IF(249&lt;=4000,INDEX($D$2:$D$1001,-2751),IF(249&lt;=5000,INDEX($E$2:$E$1001,-3751),"")))))</f>
        <v/>
      </c>
    </row>
    <row r="251">
      <c r="A251">
        <f>IFERROR(INDEX('[AQ_2020.xlsx]原始数据'!$A:$A,ROW(A1)+250),"")</f>
        <v/>
      </c>
      <c r="B251">
        <f>IFERROR(INDEX('[AQ_2021.xlsx]原始数据'!$A:$A,ROW(A1)+250),"")</f>
        <v/>
      </c>
      <c r="C251">
        <f>IFERROR(INDEX('[AQ_2022.xlsx]原始数据'!$A:$A,ROW(A1)+250),"")</f>
        <v/>
      </c>
      <c r="D251">
        <f>IFERROR(INDEX('[AQ_2023.xlsx]原始数据'!$A:$A,ROW(A1)+250),"")</f>
        <v/>
      </c>
      <c r="E251">
        <f>IFERROR(INDEX('[AQ_2024.xlsx]原始数据'!$A:$A,ROW(A1)+250),"")</f>
        <v/>
      </c>
      <c r="G251">
        <f>IF(250&lt;=1000,INDEX($A$2:$A$1001,250),IF(250&lt;=2000,INDEX($B$2:$B$1001,-750),IF(250&lt;=3000,INDEX($C$2:$C$1001,-1750),IF(250&lt;=4000,INDEX($D$2:$D$1001,-2750),IF(250&lt;=5000,INDEX($E$2:$E$1001,-3750),"")))))</f>
        <v/>
      </c>
    </row>
    <row r="252">
      <c r="A252">
        <f>IFERROR(INDEX('[AQ_2020.xlsx]原始数据'!$A:$A,ROW(A1)+251),"")</f>
        <v/>
      </c>
      <c r="B252">
        <f>IFERROR(INDEX('[AQ_2021.xlsx]原始数据'!$A:$A,ROW(A1)+251),"")</f>
        <v/>
      </c>
      <c r="C252">
        <f>IFERROR(INDEX('[AQ_2022.xlsx]原始数据'!$A:$A,ROW(A1)+251),"")</f>
        <v/>
      </c>
      <c r="D252">
        <f>IFERROR(INDEX('[AQ_2023.xlsx]原始数据'!$A:$A,ROW(A1)+251),"")</f>
        <v/>
      </c>
      <c r="E252">
        <f>IFERROR(INDEX('[AQ_2024.xlsx]原始数据'!$A:$A,ROW(A1)+251),"")</f>
        <v/>
      </c>
      <c r="G252">
        <f>IF(251&lt;=1000,INDEX($A$2:$A$1001,251),IF(251&lt;=2000,INDEX($B$2:$B$1001,-749),IF(251&lt;=3000,INDEX($C$2:$C$1001,-1749),IF(251&lt;=4000,INDEX($D$2:$D$1001,-2749),IF(251&lt;=5000,INDEX($E$2:$E$1001,-3749),"")))))</f>
        <v/>
      </c>
    </row>
    <row r="253">
      <c r="A253">
        <f>IFERROR(INDEX('[AQ_2020.xlsx]原始数据'!$A:$A,ROW(A1)+252),"")</f>
        <v/>
      </c>
      <c r="B253">
        <f>IFERROR(INDEX('[AQ_2021.xlsx]原始数据'!$A:$A,ROW(A1)+252),"")</f>
        <v/>
      </c>
      <c r="C253">
        <f>IFERROR(INDEX('[AQ_2022.xlsx]原始数据'!$A:$A,ROW(A1)+252),"")</f>
        <v/>
      </c>
      <c r="D253">
        <f>IFERROR(INDEX('[AQ_2023.xlsx]原始数据'!$A:$A,ROW(A1)+252),"")</f>
        <v/>
      </c>
      <c r="E253">
        <f>IFERROR(INDEX('[AQ_2024.xlsx]原始数据'!$A:$A,ROW(A1)+252),"")</f>
        <v/>
      </c>
      <c r="G253">
        <f>IF(252&lt;=1000,INDEX($A$2:$A$1001,252),IF(252&lt;=2000,INDEX($B$2:$B$1001,-748),IF(252&lt;=3000,INDEX($C$2:$C$1001,-1748),IF(252&lt;=4000,INDEX($D$2:$D$1001,-2748),IF(252&lt;=5000,INDEX($E$2:$E$1001,-3748),"")))))</f>
        <v/>
      </c>
    </row>
    <row r="254">
      <c r="A254">
        <f>IFERROR(INDEX('[AQ_2020.xlsx]原始数据'!$A:$A,ROW(A1)+253),"")</f>
        <v/>
      </c>
      <c r="B254">
        <f>IFERROR(INDEX('[AQ_2021.xlsx]原始数据'!$A:$A,ROW(A1)+253),"")</f>
        <v/>
      </c>
      <c r="C254">
        <f>IFERROR(INDEX('[AQ_2022.xlsx]原始数据'!$A:$A,ROW(A1)+253),"")</f>
        <v/>
      </c>
      <c r="D254">
        <f>IFERROR(INDEX('[AQ_2023.xlsx]原始数据'!$A:$A,ROW(A1)+253),"")</f>
        <v/>
      </c>
      <c r="E254">
        <f>IFERROR(INDEX('[AQ_2024.xlsx]原始数据'!$A:$A,ROW(A1)+253),"")</f>
        <v/>
      </c>
      <c r="G254">
        <f>IF(253&lt;=1000,INDEX($A$2:$A$1001,253),IF(253&lt;=2000,INDEX($B$2:$B$1001,-747),IF(253&lt;=3000,INDEX($C$2:$C$1001,-1747),IF(253&lt;=4000,INDEX($D$2:$D$1001,-2747),IF(253&lt;=5000,INDEX($E$2:$E$1001,-3747),"")))))</f>
        <v/>
      </c>
    </row>
    <row r="255">
      <c r="A255">
        <f>IFERROR(INDEX('[AQ_2020.xlsx]原始数据'!$A:$A,ROW(A1)+254),"")</f>
        <v/>
      </c>
      <c r="B255">
        <f>IFERROR(INDEX('[AQ_2021.xlsx]原始数据'!$A:$A,ROW(A1)+254),"")</f>
        <v/>
      </c>
      <c r="C255">
        <f>IFERROR(INDEX('[AQ_2022.xlsx]原始数据'!$A:$A,ROW(A1)+254),"")</f>
        <v/>
      </c>
      <c r="D255">
        <f>IFERROR(INDEX('[AQ_2023.xlsx]原始数据'!$A:$A,ROW(A1)+254),"")</f>
        <v/>
      </c>
      <c r="E255">
        <f>IFERROR(INDEX('[AQ_2024.xlsx]原始数据'!$A:$A,ROW(A1)+254),"")</f>
        <v/>
      </c>
      <c r="G255">
        <f>IF(254&lt;=1000,INDEX($A$2:$A$1001,254),IF(254&lt;=2000,INDEX($B$2:$B$1001,-746),IF(254&lt;=3000,INDEX($C$2:$C$1001,-1746),IF(254&lt;=4000,INDEX($D$2:$D$1001,-2746),IF(254&lt;=5000,INDEX($E$2:$E$1001,-3746),"")))))</f>
        <v/>
      </c>
    </row>
    <row r="256">
      <c r="A256">
        <f>IFERROR(INDEX('[AQ_2020.xlsx]原始数据'!$A:$A,ROW(A1)+255),"")</f>
        <v/>
      </c>
      <c r="B256">
        <f>IFERROR(INDEX('[AQ_2021.xlsx]原始数据'!$A:$A,ROW(A1)+255),"")</f>
        <v/>
      </c>
      <c r="C256">
        <f>IFERROR(INDEX('[AQ_2022.xlsx]原始数据'!$A:$A,ROW(A1)+255),"")</f>
        <v/>
      </c>
      <c r="D256">
        <f>IFERROR(INDEX('[AQ_2023.xlsx]原始数据'!$A:$A,ROW(A1)+255),"")</f>
        <v/>
      </c>
      <c r="E256">
        <f>IFERROR(INDEX('[AQ_2024.xlsx]原始数据'!$A:$A,ROW(A1)+255),"")</f>
        <v/>
      </c>
      <c r="G256">
        <f>IF(255&lt;=1000,INDEX($A$2:$A$1001,255),IF(255&lt;=2000,INDEX($B$2:$B$1001,-745),IF(255&lt;=3000,INDEX($C$2:$C$1001,-1745),IF(255&lt;=4000,INDEX($D$2:$D$1001,-2745),IF(255&lt;=5000,INDEX($E$2:$E$1001,-3745),"")))))</f>
        <v/>
      </c>
    </row>
    <row r="257">
      <c r="A257">
        <f>IFERROR(INDEX('[AQ_2020.xlsx]原始数据'!$A:$A,ROW(A1)+256),"")</f>
        <v/>
      </c>
      <c r="B257">
        <f>IFERROR(INDEX('[AQ_2021.xlsx]原始数据'!$A:$A,ROW(A1)+256),"")</f>
        <v/>
      </c>
      <c r="C257">
        <f>IFERROR(INDEX('[AQ_2022.xlsx]原始数据'!$A:$A,ROW(A1)+256),"")</f>
        <v/>
      </c>
      <c r="D257">
        <f>IFERROR(INDEX('[AQ_2023.xlsx]原始数据'!$A:$A,ROW(A1)+256),"")</f>
        <v/>
      </c>
      <c r="E257">
        <f>IFERROR(INDEX('[AQ_2024.xlsx]原始数据'!$A:$A,ROW(A1)+256),"")</f>
        <v/>
      </c>
      <c r="G257">
        <f>IF(256&lt;=1000,INDEX($A$2:$A$1001,256),IF(256&lt;=2000,INDEX($B$2:$B$1001,-744),IF(256&lt;=3000,INDEX($C$2:$C$1001,-1744),IF(256&lt;=4000,INDEX($D$2:$D$1001,-2744),IF(256&lt;=5000,INDEX($E$2:$E$1001,-3744),"")))))</f>
        <v/>
      </c>
    </row>
    <row r="258">
      <c r="A258">
        <f>IFERROR(INDEX('[AQ_2020.xlsx]原始数据'!$A:$A,ROW(A1)+257),"")</f>
        <v/>
      </c>
      <c r="B258">
        <f>IFERROR(INDEX('[AQ_2021.xlsx]原始数据'!$A:$A,ROW(A1)+257),"")</f>
        <v/>
      </c>
      <c r="C258">
        <f>IFERROR(INDEX('[AQ_2022.xlsx]原始数据'!$A:$A,ROW(A1)+257),"")</f>
        <v/>
      </c>
      <c r="D258">
        <f>IFERROR(INDEX('[AQ_2023.xlsx]原始数据'!$A:$A,ROW(A1)+257),"")</f>
        <v/>
      </c>
      <c r="E258">
        <f>IFERROR(INDEX('[AQ_2024.xlsx]原始数据'!$A:$A,ROW(A1)+257),"")</f>
        <v/>
      </c>
      <c r="G258">
        <f>IF(257&lt;=1000,INDEX($A$2:$A$1001,257),IF(257&lt;=2000,INDEX($B$2:$B$1001,-743),IF(257&lt;=3000,INDEX($C$2:$C$1001,-1743),IF(257&lt;=4000,INDEX($D$2:$D$1001,-2743),IF(257&lt;=5000,INDEX($E$2:$E$1001,-3743),"")))))</f>
        <v/>
      </c>
    </row>
    <row r="259">
      <c r="A259">
        <f>IFERROR(INDEX('[AQ_2020.xlsx]原始数据'!$A:$A,ROW(A1)+258),"")</f>
        <v/>
      </c>
      <c r="B259">
        <f>IFERROR(INDEX('[AQ_2021.xlsx]原始数据'!$A:$A,ROW(A1)+258),"")</f>
        <v/>
      </c>
      <c r="C259">
        <f>IFERROR(INDEX('[AQ_2022.xlsx]原始数据'!$A:$A,ROW(A1)+258),"")</f>
        <v/>
      </c>
      <c r="D259">
        <f>IFERROR(INDEX('[AQ_2023.xlsx]原始数据'!$A:$A,ROW(A1)+258),"")</f>
        <v/>
      </c>
      <c r="E259">
        <f>IFERROR(INDEX('[AQ_2024.xlsx]原始数据'!$A:$A,ROW(A1)+258),"")</f>
        <v/>
      </c>
      <c r="G259">
        <f>IF(258&lt;=1000,INDEX($A$2:$A$1001,258),IF(258&lt;=2000,INDEX($B$2:$B$1001,-742),IF(258&lt;=3000,INDEX($C$2:$C$1001,-1742),IF(258&lt;=4000,INDEX($D$2:$D$1001,-2742),IF(258&lt;=5000,INDEX($E$2:$E$1001,-3742),"")))))</f>
        <v/>
      </c>
    </row>
    <row r="260">
      <c r="A260">
        <f>IFERROR(INDEX('[AQ_2020.xlsx]原始数据'!$A:$A,ROW(A1)+259),"")</f>
        <v/>
      </c>
      <c r="B260">
        <f>IFERROR(INDEX('[AQ_2021.xlsx]原始数据'!$A:$A,ROW(A1)+259),"")</f>
        <v/>
      </c>
      <c r="C260">
        <f>IFERROR(INDEX('[AQ_2022.xlsx]原始数据'!$A:$A,ROW(A1)+259),"")</f>
        <v/>
      </c>
      <c r="D260">
        <f>IFERROR(INDEX('[AQ_2023.xlsx]原始数据'!$A:$A,ROW(A1)+259),"")</f>
        <v/>
      </c>
      <c r="E260">
        <f>IFERROR(INDEX('[AQ_2024.xlsx]原始数据'!$A:$A,ROW(A1)+259),"")</f>
        <v/>
      </c>
      <c r="G260">
        <f>IF(259&lt;=1000,INDEX($A$2:$A$1001,259),IF(259&lt;=2000,INDEX($B$2:$B$1001,-741),IF(259&lt;=3000,INDEX($C$2:$C$1001,-1741),IF(259&lt;=4000,INDEX($D$2:$D$1001,-2741),IF(259&lt;=5000,INDEX($E$2:$E$1001,-3741),"")))))</f>
        <v/>
      </c>
    </row>
    <row r="261">
      <c r="A261">
        <f>IFERROR(INDEX('[AQ_2020.xlsx]原始数据'!$A:$A,ROW(A1)+260),"")</f>
        <v/>
      </c>
      <c r="B261">
        <f>IFERROR(INDEX('[AQ_2021.xlsx]原始数据'!$A:$A,ROW(A1)+260),"")</f>
        <v/>
      </c>
      <c r="C261">
        <f>IFERROR(INDEX('[AQ_2022.xlsx]原始数据'!$A:$A,ROW(A1)+260),"")</f>
        <v/>
      </c>
      <c r="D261">
        <f>IFERROR(INDEX('[AQ_2023.xlsx]原始数据'!$A:$A,ROW(A1)+260),"")</f>
        <v/>
      </c>
      <c r="E261">
        <f>IFERROR(INDEX('[AQ_2024.xlsx]原始数据'!$A:$A,ROW(A1)+260),"")</f>
        <v/>
      </c>
      <c r="G261">
        <f>IF(260&lt;=1000,INDEX($A$2:$A$1001,260),IF(260&lt;=2000,INDEX($B$2:$B$1001,-740),IF(260&lt;=3000,INDEX($C$2:$C$1001,-1740),IF(260&lt;=4000,INDEX($D$2:$D$1001,-2740),IF(260&lt;=5000,INDEX($E$2:$E$1001,-3740),"")))))</f>
        <v/>
      </c>
    </row>
    <row r="262">
      <c r="A262">
        <f>IFERROR(INDEX('[AQ_2020.xlsx]原始数据'!$A:$A,ROW(A1)+261),"")</f>
        <v/>
      </c>
      <c r="B262">
        <f>IFERROR(INDEX('[AQ_2021.xlsx]原始数据'!$A:$A,ROW(A1)+261),"")</f>
        <v/>
      </c>
      <c r="C262">
        <f>IFERROR(INDEX('[AQ_2022.xlsx]原始数据'!$A:$A,ROW(A1)+261),"")</f>
        <v/>
      </c>
      <c r="D262">
        <f>IFERROR(INDEX('[AQ_2023.xlsx]原始数据'!$A:$A,ROW(A1)+261),"")</f>
        <v/>
      </c>
      <c r="E262">
        <f>IFERROR(INDEX('[AQ_2024.xlsx]原始数据'!$A:$A,ROW(A1)+261),"")</f>
        <v/>
      </c>
      <c r="G262">
        <f>IF(261&lt;=1000,INDEX($A$2:$A$1001,261),IF(261&lt;=2000,INDEX($B$2:$B$1001,-739),IF(261&lt;=3000,INDEX($C$2:$C$1001,-1739),IF(261&lt;=4000,INDEX($D$2:$D$1001,-2739),IF(261&lt;=5000,INDEX($E$2:$E$1001,-3739),"")))))</f>
        <v/>
      </c>
    </row>
    <row r="263">
      <c r="A263">
        <f>IFERROR(INDEX('[AQ_2020.xlsx]原始数据'!$A:$A,ROW(A1)+262),"")</f>
        <v/>
      </c>
      <c r="B263">
        <f>IFERROR(INDEX('[AQ_2021.xlsx]原始数据'!$A:$A,ROW(A1)+262),"")</f>
        <v/>
      </c>
      <c r="C263">
        <f>IFERROR(INDEX('[AQ_2022.xlsx]原始数据'!$A:$A,ROW(A1)+262),"")</f>
        <v/>
      </c>
      <c r="D263">
        <f>IFERROR(INDEX('[AQ_2023.xlsx]原始数据'!$A:$A,ROW(A1)+262),"")</f>
        <v/>
      </c>
      <c r="E263">
        <f>IFERROR(INDEX('[AQ_2024.xlsx]原始数据'!$A:$A,ROW(A1)+262),"")</f>
        <v/>
      </c>
      <c r="G263">
        <f>IF(262&lt;=1000,INDEX($A$2:$A$1001,262),IF(262&lt;=2000,INDEX($B$2:$B$1001,-738),IF(262&lt;=3000,INDEX($C$2:$C$1001,-1738),IF(262&lt;=4000,INDEX($D$2:$D$1001,-2738),IF(262&lt;=5000,INDEX($E$2:$E$1001,-3738),"")))))</f>
        <v/>
      </c>
    </row>
    <row r="264">
      <c r="A264">
        <f>IFERROR(INDEX('[AQ_2020.xlsx]原始数据'!$A:$A,ROW(A1)+263),"")</f>
        <v/>
      </c>
      <c r="B264">
        <f>IFERROR(INDEX('[AQ_2021.xlsx]原始数据'!$A:$A,ROW(A1)+263),"")</f>
        <v/>
      </c>
      <c r="C264">
        <f>IFERROR(INDEX('[AQ_2022.xlsx]原始数据'!$A:$A,ROW(A1)+263),"")</f>
        <v/>
      </c>
      <c r="D264">
        <f>IFERROR(INDEX('[AQ_2023.xlsx]原始数据'!$A:$A,ROW(A1)+263),"")</f>
        <v/>
      </c>
      <c r="E264">
        <f>IFERROR(INDEX('[AQ_2024.xlsx]原始数据'!$A:$A,ROW(A1)+263),"")</f>
        <v/>
      </c>
      <c r="G264">
        <f>IF(263&lt;=1000,INDEX($A$2:$A$1001,263),IF(263&lt;=2000,INDEX($B$2:$B$1001,-737),IF(263&lt;=3000,INDEX($C$2:$C$1001,-1737),IF(263&lt;=4000,INDEX($D$2:$D$1001,-2737),IF(263&lt;=5000,INDEX($E$2:$E$1001,-3737),"")))))</f>
        <v/>
      </c>
    </row>
    <row r="265">
      <c r="A265">
        <f>IFERROR(INDEX('[AQ_2020.xlsx]原始数据'!$A:$A,ROW(A1)+264),"")</f>
        <v/>
      </c>
      <c r="B265">
        <f>IFERROR(INDEX('[AQ_2021.xlsx]原始数据'!$A:$A,ROW(A1)+264),"")</f>
        <v/>
      </c>
      <c r="C265">
        <f>IFERROR(INDEX('[AQ_2022.xlsx]原始数据'!$A:$A,ROW(A1)+264),"")</f>
        <v/>
      </c>
      <c r="D265">
        <f>IFERROR(INDEX('[AQ_2023.xlsx]原始数据'!$A:$A,ROW(A1)+264),"")</f>
        <v/>
      </c>
      <c r="E265">
        <f>IFERROR(INDEX('[AQ_2024.xlsx]原始数据'!$A:$A,ROW(A1)+264),"")</f>
        <v/>
      </c>
      <c r="G265">
        <f>IF(264&lt;=1000,INDEX($A$2:$A$1001,264),IF(264&lt;=2000,INDEX($B$2:$B$1001,-736),IF(264&lt;=3000,INDEX($C$2:$C$1001,-1736),IF(264&lt;=4000,INDEX($D$2:$D$1001,-2736),IF(264&lt;=5000,INDEX($E$2:$E$1001,-3736),"")))))</f>
        <v/>
      </c>
    </row>
    <row r="266">
      <c r="A266">
        <f>IFERROR(INDEX('[AQ_2020.xlsx]原始数据'!$A:$A,ROW(A1)+265),"")</f>
        <v/>
      </c>
      <c r="B266">
        <f>IFERROR(INDEX('[AQ_2021.xlsx]原始数据'!$A:$A,ROW(A1)+265),"")</f>
        <v/>
      </c>
      <c r="C266">
        <f>IFERROR(INDEX('[AQ_2022.xlsx]原始数据'!$A:$A,ROW(A1)+265),"")</f>
        <v/>
      </c>
      <c r="D266">
        <f>IFERROR(INDEX('[AQ_2023.xlsx]原始数据'!$A:$A,ROW(A1)+265),"")</f>
        <v/>
      </c>
      <c r="E266">
        <f>IFERROR(INDEX('[AQ_2024.xlsx]原始数据'!$A:$A,ROW(A1)+265),"")</f>
        <v/>
      </c>
      <c r="G266">
        <f>IF(265&lt;=1000,INDEX($A$2:$A$1001,265),IF(265&lt;=2000,INDEX($B$2:$B$1001,-735),IF(265&lt;=3000,INDEX($C$2:$C$1001,-1735),IF(265&lt;=4000,INDEX($D$2:$D$1001,-2735),IF(265&lt;=5000,INDEX($E$2:$E$1001,-3735),"")))))</f>
        <v/>
      </c>
    </row>
    <row r="267">
      <c r="A267">
        <f>IFERROR(INDEX('[AQ_2020.xlsx]原始数据'!$A:$A,ROW(A1)+266),"")</f>
        <v/>
      </c>
      <c r="B267">
        <f>IFERROR(INDEX('[AQ_2021.xlsx]原始数据'!$A:$A,ROW(A1)+266),"")</f>
        <v/>
      </c>
      <c r="C267">
        <f>IFERROR(INDEX('[AQ_2022.xlsx]原始数据'!$A:$A,ROW(A1)+266),"")</f>
        <v/>
      </c>
      <c r="D267">
        <f>IFERROR(INDEX('[AQ_2023.xlsx]原始数据'!$A:$A,ROW(A1)+266),"")</f>
        <v/>
      </c>
      <c r="E267">
        <f>IFERROR(INDEX('[AQ_2024.xlsx]原始数据'!$A:$A,ROW(A1)+266),"")</f>
        <v/>
      </c>
      <c r="G267">
        <f>IF(266&lt;=1000,INDEX($A$2:$A$1001,266),IF(266&lt;=2000,INDEX($B$2:$B$1001,-734),IF(266&lt;=3000,INDEX($C$2:$C$1001,-1734),IF(266&lt;=4000,INDEX($D$2:$D$1001,-2734),IF(266&lt;=5000,INDEX($E$2:$E$1001,-3734),"")))))</f>
        <v/>
      </c>
    </row>
    <row r="268">
      <c r="A268">
        <f>IFERROR(INDEX('[AQ_2020.xlsx]原始数据'!$A:$A,ROW(A1)+267),"")</f>
        <v/>
      </c>
      <c r="B268">
        <f>IFERROR(INDEX('[AQ_2021.xlsx]原始数据'!$A:$A,ROW(A1)+267),"")</f>
        <v/>
      </c>
      <c r="C268">
        <f>IFERROR(INDEX('[AQ_2022.xlsx]原始数据'!$A:$A,ROW(A1)+267),"")</f>
        <v/>
      </c>
      <c r="D268">
        <f>IFERROR(INDEX('[AQ_2023.xlsx]原始数据'!$A:$A,ROW(A1)+267),"")</f>
        <v/>
      </c>
      <c r="E268">
        <f>IFERROR(INDEX('[AQ_2024.xlsx]原始数据'!$A:$A,ROW(A1)+267),"")</f>
        <v/>
      </c>
      <c r="G268">
        <f>IF(267&lt;=1000,INDEX($A$2:$A$1001,267),IF(267&lt;=2000,INDEX($B$2:$B$1001,-733),IF(267&lt;=3000,INDEX($C$2:$C$1001,-1733),IF(267&lt;=4000,INDEX($D$2:$D$1001,-2733),IF(267&lt;=5000,INDEX($E$2:$E$1001,-3733),"")))))</f>
        <v/>
      </c>
    </row>
    <row r="269">
      <c r="A269">
        <f>IFERROR(INDEX('[AQ_2020.xlsx]原始数据'!$A:$A,ROW(A1)+268),"")</f>
        <v/>
      </c>
      <c r="B269">
        <f>IFERROR(INDEX('[AQ_2021.xlsx]原始数据'!$A:$A,ROW(A1)+268),"")</f>
        <v/>
      </c>
      <c r="C269">
        <f>IFERROR(INDEX('[AQ_2022.xlsx]原始数据'!$A:$A,ROW(A1)+268),"")</f>
        <v/>
      </c>
      <c r="D269">
        <f>IFERROR(INDEX('[AQ_2023.xlsx]原始数据'!$A:$A,ROW(A1)+268),"")</f>
        <v/>
      </c>
      <c r="E269">
        <f>IFERROR(INDEX('[AQ_2024.xlsx]原始数据'!$A:$A,ROW(A1)+268),"")</f>
        <v/>
      </c>
      <c r="G269">
        <f>IF(268&lt;=1000,INDEX($A$2:$A$1001,268),IF(268&lt;=2000,INDEX($B$2:$B$1001,-732),IF(268&lt;=3000,INDEX($C$2:$C$1001,-1732),IF(268&lt;=4000,INDEX($D$2:$D$1001,-2732),IF(268&lt;=5000,INDEX($E$2:$E$1001,-3732),"")))))</f>
        <v/>
      </c>
    </row>
    <row r="270">
      <c r="A270">
        <f>IFERROR(INDEX('[AQ_2020.xlsx]原始数据'!$A:$A,ROW(A1)+269),"")</f>
        <v/>
      </c>
      <c r="B270">
        <f>IFERROR(INDEX('[AQ_2021.xlsx]原始数据'!$A:$A,ROW(A1)+269),"")</f>
        <v/>
      </c>
      <c r="C270">
        <f>IFERROR(INDEX('[AQ_2022.xlsx]原始数据'!$A:$A,ROW(A1)+269),"")</f>
        <v/>
      </c>
      <c r="D270">
        <f>IFERROR(INDEX('[AQ_2023.xlsx]原始数据'!$A:$A,ROW(A1)+269),"")</f>
        <v/>
      </c>
      <c r="E270">
        <f>IFERROR(INDEX('[AQ_2024.xlsx]原始数据'!$A:$A,ROW(A1)+269),"")</f>
        <v/>
      </c>
      <c r="G270">
        <f>IF(269&lt;=1000,INDEX($A$2:$A$1001,269),IF(269&lt;=2000,INDEX($B$2:$B$1001,-731),IF(269&lt;=3000,INDEX($C$2:$C$1001,-1731),IF(269&lt;=4000,INDEX($D$2:$D$1001,-2731),IF(269&lt;=5000,INDEX($E$2:$E$1001,-3731),"")))))</f>
        <v/>
      </c>
    </row>
    <row r="271">
      <c r="A271">
        <f>IFERROR(INDEX('[AQ_2020.xlsx]原始数据'!$A:$A,ROW(A1)+270),"")</f>
        <v/>
      </c>
      <c r="B271">
        <f>IFERROR(INDEX('[AQ_2021.xlsx]原始数据'!$A:$A,ROW(A1)+270),"")</f>
        <v/>
      </c>
      <c r="C271">
        <f>IFERROR(INDEX('[AQ_2022.xlsx]原始数据'!$A:$A,ROW(A1)+270),"")</f>
        <v/>
      </c>
      <c r="D271">
        <f>IFERROR(INDEX('[AQ_2023.xlsx]原始数据'!$A:$A,ROW(A1)+270),"")</f>
        <v/>
      </c>
      <c r="E271">
        <f>IFERROR(INDEX('[AQ_2024.xlsx]原始数据'!$A:$A,ROW(A1)+270),"")</f>
        <v/>
      </c>
      <c r="G271">
        <f>IF(270&lt;=1000,INDEX($A$2:$A$1001,270),IF(270&lt;=2000,INDEX($B$2:$B$1001,-730),IF(270&lt;=3000,INDEX($C$2:$C$1001,-1730),IF(270&lt;=4000,INDEX($D$2:$D$1001,-2730),IF(270&lt;=5000,INDEX($E$2:$E$1001,-3730),"")))))</f>
        <v/>
      </c>
    </row>
    <row r="272">
      <c r="A272">
        <f>IFERROR(INDEX('[AQ_2020.xlsx]原始数据'!$A:$A,ROW(A1)+271),"")</f>
        <v/>
      </c>
      <c r="B272">
        <f>IFERROR(INDEX('[AQ_2021.xlsx]原始数据'!$A:$A,ROW(A1)+271),"")</f>
        <v/>
      </c>
      <c r="C272">
        <f>IFERROR(INDEX('[AQ_2022.xlsx]原始数据'!$A:$A,ROW(A1)+271),"")</f>
        <v/>
      </c>
      <c r="D272">
        <f>IFERROR(INDEX('[AQ_2023.xlsx]原始数据'!$A:$A,ROW(A1)+271),"")</f>
        <v/>
      </c>
      <c r="E272">
        <f>IFERROR(INDEX('[AQ_2024.xlsx]原始数据'!$A:$A,ROW(A1)+271),"")</f>
        <v/>
      </c>
      <c r="G272">
        <f>IF(271&lt;=1000,INDEX($A$2:$A$1001,271),IF(271&lt;=2000,INDEX($B$2:$B$1001,-729),IF(271&lt;=3000,INDEX($C$2:$C$1001,-1729),IF(271&lt;=4000,INDEX($D$2:$D$1001,-2729),IF(271&lt;=5000,INDEX($E$2:$E$1001,-3729),"")))))</f>
        <v/>
      </c>
    </row>
    <row r="273">
      <c r="A273">
        <f>IFERROR(INDEX('[AQ_2020.xlsx]原始数据'!$A:$A,ROW(A1)+272),"")</f>
        <v/>
      </c>
      <c r="B273">
        <f>IFERROR(INDEX('[AQ_2021.xlsx]原始数据'!$A:$A,ROW(A1)+272),"")</f>
        <v/>
      </c>
      <c r="C273">
        <f>IFERROR(INDEX('[AQ_2022.xlsx]原始数据'!$A:$A,ROW(A1)+272),"")</f>
        <v/>
      </c>
      <c r="D273">
        <f>IFERROR(INDEX('[AQ_2023.xlsx]原始数据'!$A:$A,ROW(A1)+272),"")</f>
        <v/>
      </c>
      <c r="E273">
        <f>IFERROR(INDEX('[AQ_2024.xlsx]原始数据'!$A:$A,ROW(A1)+272),"")</f>
        <v/>
      </c>
      <c r="G273">
        <f>IF(272&lt;=1000,INDEX($A$2:$A$1001,272),IF(272&lt;=2000,INDEX($B$2:$B$1001,-728),IF(272&lt;=3000,INDEX($C$2:$C$1001,-1728),IF(272&lt;=4000,INDEX($D$2:$D$1001,-2728),IF(272&lt;=5000,INDEX($E$2:$E$1001,-3728),"")))))</f>
        <v/>
      </c>
    </row>
    <row r="274">
      <c r="A274">
        <f>IFERROR(INDEX('[AQ_2020.xlsx]原始数据'!$A:$A,ROW(A1)+273),"")</f>
        <v/>
      </c>
      <c r="B274">
        <f>IFERROR(INDEX('[AQ_2021.xlsx]原始数据'!$A:$A,ROW(A1)+273),"")</f>
        <v/>
      </c>
      <c r="C274">
        <f>IFERROR(INDEX('[AQ_2022.xlsx]原始数据'!$A:$A,ROW(A1)+273),"")</f>
        <v/>
      </c>
      <c r="D274">
        <f>IFERROR(INDEX('[AQ_2023.xlsx]原始数据'!$A:$A,ROW(A1)+273),"")</f>
        <v/>
      </c>
      <c r="E274">
        <f>IFERROR(INDEX('[AQ_2024.xlsx]原始数据'!$A:$A,ROW(A1)+273),"")</f>
        <v/>
      </c>
      <c r="G274">
        <f>IF(273&lt;=1000,INDEX($A$2:$A$1001,273),IF(273&lt;=2000,INDEX($B$2:$B$1001,-727),IF(273&lt;=3000,INDEX($C$2:$C$1001,-1727),IF(273&lt;=4000,INDEX($D$2:$D$1001,-2727),IF(273&lt;=5000,INDEX($E$2:$E$1001,-3727),"")))))</f>
        <v/>
      </c>
    </row>
    <row r="275">
      <c r="A275">
        <f>IFERROR(INDEX('[AQ_2020.xlsx]原始数据'!$A:$A,ROW(A1)+274),"")</f>
        <v/>
      </c>
      <c r="B275">
        <f>IFERROR(INDEX('[AQ_2021.xlsx]原始数据'!$A:$A,ROW(A1)+274),"")</f>
        <v/>
      </c>
      <c r="C275">
        <f>IFERROR(INDEX('[AQ_2022.xlsx]原始数据'!$A:$A,ROW(A1)+274),"")</f>
        <v/>
      </c>
      <c r="D275">
        <f>IFERROR(INDEX('[AQ_2023.xlsx]原始数据'!$A:$A,ROW(A1)+274),"")</f>
        <v/>
      </c>
      <c r="E275">
        <f>IFERROR(INDEX('[AQ_2024.xlsx]原始数据'!$A:$A,ROW(A1)+274),"")</f>
        <v/>
      </c>
      <c r="G275">
        <f>IF(274&lt;=1000,INDEX($A$2:$A$1001,274),IF(274&lt;=2000,INDEX($B$2:$B$1001,-726),IF(274&lt;=3000,INDEX($C$2:$C$1001,-1726),IF(274&lt;=4000,INDEX($D$2:$D$1001,-2726),IF(274&lt;=5000,INDEX($E$2:$E$1001,-3726),"")))))</f>
        <v/>
      </c>
    </row>
    <row r="276">
      <c r="A276">
        <f>IFERROR(INDEX('[AQ_2020.xlsx]原始数据'!$A:$A,ROW(A1)+275),"")</f>
        <v/>
      </c>
      <c r="B276">
        <f>IFERROR(INDEX('[AQ_2021.xlsx]原始数据'!$A:$A,ROW(A1)+275),"")</f>
        <v/>
      </c>
      <c r="C276">
        <f>IFERROR(INDEX('[AQ_2022.xlsx]原始数据'!$A:$A,ROW(A1)+275),"")</f>
        <v/>
      </c>
      <c r="D276">
        <f>IFERROR(INDEX('[AQ_2023.xlsx]原始数据'!$A:$A,ROW(A1)+275),"")</f>
        <v/>
      </c>
      <c r="E276">
        <f>IFERROR(INDEX('[AQ_2024.xlsx]原始数据'!$A:$A,ROW(A1)+275),"")</f>
        <v/>
      </c>
      <c r="G276">
        <f>IF(275&lt;=1000,INDEX($A$2:$A$1001,275),IF(275&lt;=2000,INDEX($B$2:$B$1001,-725),IF(275&lt;=3000,INDEX($C$2:$C$1001,-1725),IF(275&lt;=4000,INDEX($D$2:$D$1001,-2725),IF(275&lt;=5000,INDEX($E$2:$E$1001,-3725),"")))))</f>
        <v/>
      </c>
    </row>
    <row r="277">
      <c r="A277">
        <f>IFERROR(INDEX('[AQ_2020.xlsx]原始数据'!$A:$A,ROW(A1)+276),"")</f>
        <v/>
      </c>
      <c r="B277">
        <f>IFERROR(INDEX('[AQ_2021.xlsx]原始数据'!$A:$A,ROW(A1)+276),"")</f>
        <v/>
      </c>
      <c r="C277">
        <f>IFERROR(INDEX('[AQ_2022.xlsx]原始数据'!$A:$A,ROW(A1)+276),"")</f>
        <v/>
      </c>
      <c r="D277">
        <f>IFERROR(INDEX('[AQ_2023.xlsx]原始数据'!$A:$A,ROW(A1)+276),"")</f>
        <v/>
      </c>
      <c r="E277">
        <f>IFERROR(INDEX('[AQ_2024.xlsx]原始数据'!$A:$A,ROW(A1)+276),"")</f>
        <v/>
      </c>
      <c r="G277">
        <f>IF(276&lt;=1000,INDEX($A$2:$A$1001,276),IF(276&lt;=2000,INDEX($B$2:$B$1001,-724),IF(276&lt;=3000,INDEX($C$2:$C$1001,-1724),IF(276&lt;=4000,INDEX($D$2:$D$1001,-2724),IF(276&lt;=5000,INDEX($E$2:$E$1001,-3724),"")))))</f>
        <v/>
      </c>
    </row>
    <row r="278">
      <c r="A278">
        <f>IFERROR(INDEX('[AQ_2020.xlsx]原始数据'!$A:$A,ROW(A1)+277),"")</f>
        <v/>
      </c>
      <c r="B278">
        <f>IFERROR(INDEX('[AQ_2021.xlsx]原始数据'!$A:$A,ROW(A1)+277),"")</f>
        <v/>
      </c>
      <c r="C278">
        <f>IFERROR(INDEX('[AQ_2022.xlsx]原始数据'!$A:$A,ROW(A1)+277),"")</f>
        <v/>
      </c>
      <c r="D278">
        <f>IFERROR(INDEX('[AQ_2023.xlsx]原始数据'!$A:$A,ROW(A1)+277),"")</f>
        <v/>
      </c>
      <c r="E278">
        <f>IFERROR(INDEX('[AQ_2024.xlsx]原始数据'!$A:$A,ROW(A1)+277),"")</f>
        <v/>
      </c>
      <c r="G278">
        <f>IF(277&lt;=1000,INDEX($A$2:$A$1001,277),IF(277&lt;=2000,INDEX($B$2:$B$1001,-723),IF(277&lt;=3000,INDEX($C$2:$C$1001,-1723),IF(277&lt;=4000,INDEX($D$2:$D$1001,-2723),IF(277&lt;=5000,INDEX($E$2:$E$1001,-3723),"")))))</f>
        <v/>
      </c>
    </row>
    <row r="279">
      <c r="A279">
        <f>IFERROR(INDEX('[AQ_2020.xlsx]原始数据'!$A:$A,ROW(A1)+278),"")</f>
        <v/>
      </c>
      <c r="B279">
        <f>IFERROR(INDEX('[AQ_2021.xlsx]原始数据'!$A:$A,ROW(A1)+278),"")</f>
        <v/>
      </c>
      <c r="C279">
        <f>IFERROR(INDEX('[AQ_2022.xlsx]原始数据'!$A:$A,ROW(A1)+278),"")</f>
        <v/>
      </c>
      <c r="D279">
        <f>IFERROR(INDEX('[AQ_2023.xlsx]原始数据'!$A:$A,ROW(A1)+278),"")</f>
        <v/>
      </c>
      <c r="E279">
        <f>IFERROR(INDEX('[AQ_2024.xlsx]原始数据'!$A:$A,ROW(A1)+278),"")</f>
        <v/>
      </c>
      <c r="G279">
        <f>IF(278&lt;=1000,INDEX($A$2:$A$1001,278),IF(278&lt;=2000,INDEX($B$2:$B$1001,-722),IF(278&lt;=3000,INDEX($C$2:$C$1001,-1722),IF(278&lt;=4000,INDEX($D$2:$D$1001,-2722),IF(278&lt;=5000,INDEX($E$2:$E$1001,-3722),"")))))</f>
        <v/>
      </c>
    </row>
    <row r="280">
      <c r="A280">
        <f>IFERROR(INDEX('[AQ_2020.xlsx]原始数据'!$A:$A,ROW(A1)+279),"")</f>
        <v/>
      </c>
      <c r="B280">
        <f>IFERROR(INDEX('[AQ_2021.xlsx]原始数据'!$A:$A,ROW(A1)+279),"")</f>
        <v/>
      </c>
      <c r="C280">
        <f>IFERROR(INDEX('[AQ_2022.xlsx]原始数据'!$A:$A,ROW(A1)+279),"")</f>
        <v/>
      </c>
      <c r="D280">
        <f>IFERROR(INDEX('[AQ_2023.xlsx]原始数据'!$A:$A,ROW(A1)+279),"")</f>
        <v/>
      </c>
      <c r="E280">
        <f>IFERROR(INDEX('[AQ_2024.xlsx]原始数据'!$A:$A,ROW(A1)+279),"")</f>
        <v/>
      </c>
      <c r="G280">
        <f>IF(279&lt;=1000,INDEX($A$2:$A$1001,279),IF(279&lt;=2000,INDEX($B$2:$B$1001,-721),IF(279&lt;=3000,INDEX($C$2:$C$1001,-1721),IF(279&lt;=4000,INDEX($D$2:$D$1001,-2721),IF(279&lt;=5000,INDEX($E$2:$E$1001,-3721),"")))))</f>
        <v/>
      </c>
    </row>
    <row r="281">
      <c r="A281">
        <f>IFERROR(INDEX('[AQ_2020.xlsx]原始数据'!$A:$A,ROW(A1)+280),"")</f>
        <v/>
      </c>
      <c r="B281">
        <f>IFERROR(INDEX('[AQ_2021.xlsx]原始数据'!$A:$A,ROW(A1)+280),"")</f>
        <v/>
      </c>
      <c r="C281">
        <f>IFERROR(INDEX('[AQ_2022.xlsx]原始数据'!$A:$A,ROW(A1)+280),"")</f>
        <v/>
      </c>
      <c r="D281">
        <f>IFERROR(INDEX('[AQ_2023.xlsx]原始数据'!$A:$A,ROW(A1)+280),"")</f>
        <v/>
      </c>
      <c r="E281">
        <f>IFERROR(INDEX('[AQ_2024.xlsx]原始数据'!$A:$A,ROW(A1)+280),"")</f>
        <v/>
      </c>
      <c r="G281">
        <f>IF(280&lt;=1000,INDEX($A$2:$A$1001,280),IF(280&lt;=2000,INDEX($B$2:$B$1001,-720),IF(280&lt;=3000,INDEX($C$2:$C$1001,-1720),IF(280&lt;=4000,INDEX($D$2:$D$1001,-2720),IF(280&lt;=5000,INDEX($E$2:$E$1001,-3720),"")))))</f>
        <v/>
      </c>
    </row>
    <row r="282">
      <c r="A282">
        <f>IFERROR(INDEX('[AQ_2020.xlsx]原始数据'!$A:$A,ROW(A1)+281),"")</f>
        <v/>
      </c>
      <c r="B282">
        <f>IFERROR(INDEX('[AQ_2021.xlsx]原始数据'!$A:$A,ROW(A1)+281),"")</f>
        <v/>
      </c>
      <c r="C282">
        <f>IFERROR(INDEX('[AQ_2022.xlsx]原始数据'!$A:$A,ROW(A1)+281),"")</f>
        <v/>
      </c>
      <c r="D282">
        <f>IFERROR(INDEX('[AQ_2023.xlsx]原始数据'!$A:$A,ROW(A1)+281),"")</f>
        <v/>
      </c>
      <c r="E282">
        <f>IFERROR(INDEX('[AQ_2024.xlsx]原始数据'!$A:$A,ROW(A1)+281),"")</f>
        <v/>
      </c>
      <c r="G282">
        <f>IF(281&lt;=1000,INDEX($A$2:$A$1001,281),IF(281&lt;=2000,INDEX($B$2:$B$1001,-719),IF(281&lt;=3000,INDEX($C$2:$C$1001,-1719),IF(281&lt;=4000,INDEX($D$2:$D$1001,-2719),IF(281&lt;=5000,INDEX($E$2:$E$1001,-3719),"")))))</f>
        <v/>
      </c>
    </row>
    <row r="283">
      <c r="A283">
        <f>IFERROR(INDEX('[AQ_2020.xlsx]原始数据'!$A:$A,ROW(A1)+282),"")</f>
        <v/>
      </c>
      <c r="B283">
        <f>IFERROR(INDEX('[AQ_2021.xlsx]原始数据'!$A:$A,ROW(A1)+282),"")</f>
        <v/>
      </c>
      <c r="C283">
        <f>IFERROR(INDEX('[AQ_2022.xlsx]原始数据'!$A:$A,ROW(A1)+282),"")</f>
        <v/>
      </c>
      <c r="D283">
        <f>IFERROR(INDEX('[AQ_2023.xlsx]原始数据'!$A:$A,ROW(A1)+282),"")</f>
        <v/>
      </c>
      <c r="E283">
        <f>IFERROR(INDEX('[AQ_2024.xlsx]原始数据'!$A:$A,ROW(A1)+282),"")</f>
        <v/>
      </c>
      <c r="G283">
        <f>IF(282&lt;=1000,INDEX($A$2:$A$1001,282),IF(282&lt;=2000,INDEX($B$2:$B$1001,-718),IF(282&lt;=3000,INDEX($C$2:$C$1001,-1718),IF(282&lt;=4000,INDEX($D$2:$D$1001,-2718),IF(282&lt;=5000,INDEX($E$2:$E$1001,-3718),"")))))</f>
        <v/>
      </c>
    </row>
    <row r="284">
      <c r="A284">
        <f>IFERROR(INDEX('[AQ_2020.xlsx]原始数据'!$A:$A,ROW(A1)+283),"")</f>
        <v/>
      </c>
      <c r="B284">
        <f>IFERROR(INDEX('[AQ_2021.xlsx]原始数据'!$A:$A,ROW(A1)+283),"")</f>
        <v/>
      </c>
      <c r="C284">
        <f>IFERROR(INDEX('[AQ_2022.xlsx]原始数据'!$A:$A,ROW(A1)+283),"")</f>
        <v/>
      </c>
      <c r="D284">
        <f>IFERROR(INDEX('[AQ_2023.xlsx]原始数据'!$A:$A,ROW(A1)+283),"")</f>
        <v/>
      </c>
      <c r="E284">
        <f>IFERROR(INDEX('[AQ_2024.xlsx]原始数据'!$A:$A,ROW(A1)+283),"")</f>
        <v/>
      </c>
      <c r="G284">
        <f>IF(283&lt;=1000,INDEX($A$2:$A$1001,283),IF(283&lt;=2000,INDEX($B$2:$B$1001,-717),IF(283&lt;=3000,INDEX($C$2:$C$1001,-1717),IF(283&lt;=4000,INDEX($D$2:$D$1001,-2717),IF(283&lt;=5000,INDEX($E$2:$E$1001,-3717),"")))))</f>
        <v/>
      </c>
    </row>
    <row r="285">
      <c r="A285">
        <f>IFERROR(INDEX('[AQ_2020.xlsx]原始数据'!$A:$A,ROW(A1)+284),"")</f>
        <v/>
      </c>
      <c r="B285">
        <f>IFERROR(INDEX('[AQ_2021.xlsx]原始数据'!$A:$A,ROW(A1)+284),"")</f>
        <v/>
      </c>
      <c r="C285">
        <f>IFERROR(INDEX('[AQ_2022.xlsx]原始数据'!$A:$A,ROW(A1)+284),"")</f>
        <v/>
      </c>
      <c r="D285">
        <f>IFERROR(INDEX('[AQ_2023.xlsx]原始数据'!$A:$A,ROW(A1)+284),"")</f>
        <v/>
      </c>
      <c r="E285">
        <f>IFERROR(INDEX('[AQ_2024.xlsx]原始数据'!$A:$A,ROW(A1)+284),"")</f>
        <v/>
      </c>
      <c r="G285">
        <f>IF(284&lt;=1000,INDEX($A$2:$A$1001,284),IF(284&lt;=2000,INDEX($B$2:$B$1001,-716),IF(284&lt;=3000,INDEX($C$2:$C$1001,-1716),IF(284&lt;=4000,INDEX($D$2:$D$1001,-2716),IF(284&lt;=5000,INDEX($E$2:$E$1001,-3716),"")))))</f>
        <v/>
      </c>
    </row>
    <row r="286">
      <c r="A286">
        <f>IFERROR(INDEX('[AQ_2020.xlsx]原始数据'!$A:$A,ROW(A1)+285),"")</f>
        <v/>
      </c>
      <c r="B286">
        <f>IFERROR(INDEX('[AQ_2021.xlsx]原始数据'!$A:$A,ROW(A1)+285),"")</f>
        <v/>
      </c>
      <c r="C286">
        <f>IFERROR(INDEX('[AQ_2022.xlsx]原始数据'!$A:$A,ROW(A1)+285),"")</f>
        <v/>
      </c>
      <c r="D286">
        <f>IFERROR(INDEX('[AQ_2023.xlsx]原始数据'!$A:$A,ROW(A1)+285),"")</f>
        <v/>
      </c>
      <c r="E286">
        <f>IFERROR(INDEX('[AQ_2024.xlsx]原始数据'!$A:$A,ROW(A1)+285),"")</f>
        <v/>
      </c>
      <c r="G286">
        <f>IF(285&lt;=1000,INDEX($A$2:$A$1001,285),IF(285&lt;=2000,INDEX($B$2:$B$1001,-715),IF(285&lt;=3000,INDEX($C$2:$C$1001,-1715),IF(285&lt;=4000,INDEX($D$2:$D$1001,-2715),IF(285&lt;=5000,INDEX($E$2:$E$1001,-3715),"")))))</f>
        <v/>
      </c>
    </row>
    <row r="287">
      <c r="A287">
        <f>IFERROR(INDEX('[AQ_2020.xlsx]原始数据'!$A:$A,ROW(A1)+286),"")</f>
        <v/>
      </c>
      <c r="B287">
        <f>IFERROR(INDEX('[AQ_2021.xlsx]原始数据'!$A:$A,ROW(A1)+286),"")</f>
        <v/>
      </c>
      <c r="C287">
        <f>IFERROR(INDEX('[AQ_2022.xlsx]原始数据'!$A:$A,ROW(A1)+286),"")</f>
        <v/>
      </c>
      <c r="D287">
        <f>IFERROR(INDEX('[AQ_2023.xlsx]原始数据'!$A:$A,ROW(A1)+286),"")</f>
        <v/>
      </c>
      <c r="E287">
        <f>IFERROR(INDEX('[AQ_2024.xlsx]原始数据'!$A:$A,ROW(A1)+286),"")</f>
        <v/>
      </c>
      <c r="G287">
        <f>IF(286&lt;=1000,INDEX($A$2:$A$1001,286),IF(286&lt;=2000,INDEX($B$2:$B$1001,-714),IF(286&lt;=3000,INDEX($C$2:$C$1001,-1714),IF(286&lt;=4000,INDEX($D$2:$D$1001,-2714),IF(286&lt;=5000,INDEX($E$2:$E$1001,-3714),"")))))</f>
        <v/>
      </c>
    </row>
    <row r="288">
      <c r="A288">
        <f>IFERROR(INDEX('[AQ_2020.xlsx]原始数据'!$A:$A,ROW(A1)+287),"")</f>
        <v/>
      </c>
      <c r="B288">
        <f>IFERROR(INDEX('[AQ_2021.xlsx]原始数据'!$A:$A,ROW(A1)+287),"")</f>
        <v/>
      </c>
      <c r="C288">
        <f>IFERROR(INDEX('[AQ_2022.xlsx]原始数据'!$A:$A,ROW(A1)+287),"")</f>
        <v/>
      </c>
      <c r="D288">
        <f>IFERROR(INDEX('[AQ_2023.xlsx]原始数据'!$A:$A,ROW(A1)+287),"")</f>
        <v/>
      </c>
      <c r="E288">
        <f>IFERROR(INDEX('[AQ_2024.xlsx]原始数据'!$A:$A,ROW(A1)+287),"")</f>
        <v/>
      </c>
      <c r="G288">
        <f>IF(287&lt;=1000,INDEX($A$2:$A$1001,287),IF(287&lt;=2000,INDEX($B$2:$B$1001,-713),IF(287&lt;=3000,INDEX($C$2:$C$1001,-1713),IF(287&lt;=4000,INDEX($D$2:$D$1001,-2713),IF(287&lt;=5000,INDEX($E$2:$E$1001,-3713),"")))))</f>
        <v/>
      </c>
    </row>
    <row r="289">
      <c r="A289">
        <f>IFERROR(INDEX('[AQ_2020.xlsx]原始数据'!$A:$A,ROW(A1)+288),"")</f>
        <v/>
      </c>
      <c r="B289">
        <f>IFERROR(INDEX('[AQ_2021.xlsx]原始数据'!$A:$A,ROW(A1)+288),"")</f>
        <v/>
      </c>
      <c r="C289">
        <f>IFERROR(INDEX('[AQ_2022.xlsx]原始数据'!$A:$A,ROW(A1)+288),"")</f>
        <v/>
      </c>
      <c r="D289">
        <f>IFERROR(INDEX('[AQ_2023.xlsx]原始数据'!$A:$A,ROW(A1)+288),"")</f>
        <v/>
      </c>
      <c r="E289">
        <f>IFERROR(INDEX('[AQ_2024.xlsx]原始数据'!$A:$A,ROW(A1)+288),"")</f>
        <v/>
      </c>
      <c r="G289">
        <f>IF(288&lt;=1000,INDEX($A$2:$A$1001,288),IF(288&lt;=2000,INDEX($B$2:$B$1001,-712),IF(288&lt;=3000,INDEX($C$2:$C$1001,-1712),IF(288&lt;=4000,INDEX($D$2:$D$1001,-2712),IF(288&lt;=5000,INDEX($E$2:$E$1001,-3712),"")))))</f>
        <v/>
      </c>
    </row>
    <row r="290">
      <c r="A290">
        <f>IFERROR(INDEX('[AQ_2020.xlsx]原始数据'!$A:$A,ROW(A1)+289),"")</f>
        <v/>
      </c>
      <c r="B290">
        <f>IFERROR(INDEX('[AQ_2021.xlsx]原始数据'!$A:$A,ROW(A1)+289),"")</f>
        <v/>
      </c>
      <c r="C290">
        <f>IFERROR(INDEX('[AQ_2022.xlsx]原始数据'!$A:$A,ROW(A1)+289),"")</f>
        <v/>
      </c>
      <c r="D290">
        <f>IFERROR(INDEX('[AQ_2023.xlsx]原始数据'!$A:$A,ROW(A1)+289),"")</f>
        <v/>
      </c>
      <c r="E290">
        <f>IFERROR(INDEX('[AQ_2024.xlsx]原始数据'!$A:$A,ROW(A1)+289),"")</f>
        <v/>
      </c>
      <c r="G290">
        <f>IF(289&lt;=1000,INDEX($A$2:$A$1001,289),IF(289&lt;=2000,INDEX($B$2:$B$1001,-711),IF(289&lt;=3000,INDEX($C$2:$C$1001,-1711),IF(289&lt;=4000,INDEX($D$2:$D$1001,-2711),IF(289&lt;=5000,INDEX($E$2:$E$1001,-3711),"")))))</f>
        <v/>
      </c>
    </row>
    <row r="291">
      <c r="A291">
        <f>IFERROR(INDEX('[AQ_2020.xlsx]原始数据'!$A:$A,ROW(A1)+290),"")</f>
        <v/>
      </c>
      <c r="B291">
        <f>IFERROR(INDEX('[AQ_2021.xlsx]原始数据'!$A:$A,ROW(A1)+290),"")</f>
        <v/>
      </c>
      <c r="C291">
        <f>IFERROR(INDEX('[AQ_2022.xlsx]原始数据'!$A:$A,ROW(A1)+290),"")</f>
        <v/>
      </c>
      <c r="D291">
        <f>IFERROR(INDEX('[AQ_2023.xlsx]原始数据'!$A:$A,ROW(A1)+290),"")</f>
        <v/>
      </c>
      <c r="E291">
        <f>IFERROR(INDEX('[AQ_2024.xlsx]原始数据'!$A:$A,ROW(A1)+290),"")</f>
        <v/>
      </c>
      <c r="G291">
        <f>IF(290&lt;=1000,INDEX($A$2:$A$1001,290),IF(290&lt;=2000,INDEX($B$2:$B$1001,-710),IF(290&lt;=3000,INDEX($C$2:$C$1001,-1710),IF(290&lt;=4000,INDEX($D$2:$D$1001,-2710),IF(290&lt;=5000,INDEX($E$2:$E$1001,-3710),"")))))</f>
        <v/>
      </c>
    </row>
    <row r="292">
      <c r="A292">
        <f>IFERROR(INDEX('[AQ_2020.xlsx]原始数据'!$A:$A,ROW(A1)+291),"")</f>
        <v/>
      </c>
      <c r="B292">
        <f>IFERROR(INDEX('[AQ_2021.xlsx]原始数据'!$A:$A,ROW(A1)+291),"")</f>
        <v/>
      </c>
      <c r="C292">
        <f>IFERROR(INDEX('[AQ_2022.xlsx]原始数据'!$A:$A,ROW(A1)+291),"")</f>
        <v/>
      </c>
      <c r="D292">
        <f>IFERROR(INDEX('[AQ_2023.xlsx]原始数据'!$A:$A,ROW(A1)+291),"")</f>
        <v/>
      </c>
      <c r="E292">
        <f>IFERROR(INDEX('[AQ_2024.xlsx]原始数据'!$A:$A,ROW(A1)+291),"")</f>
        <v/>
      </c>
      <c r="G292">
        <f>IF(291&lt;=1000,INDEX($A$2:$A$1001,291),IF(291&lt;=2000,INDEX($B$2:$B$1001,-709),IF(291&lt;=3000,INDEX($C$2:$C$1001,-1709),IF(291&lt;=4000,INDEX($D$2:$D$1001,-2709),IF(291&lt;=5000,INDEX($E$2:$E$1001,-3709),"")))))</f>
        <v/>
      </c>
    </row>
    <row r="293">
      <c r="A293">
        <f>IFERROR(INDEX('[AQ_2020.xlsx]原始数据'!$A:$A,ROW(A1)+292),"")</f>
        <v/>
      </c>
      <c r="B293">
        <f>IFERROR(INDEX('[AQ_2021.xlsx]原始数据'!$A:$A,ROW(A1)+292),"")</f>
        <v/>
      </c>
      <c r="C293">
        <f>IFERROR(INDEX('[AQ_2022.xlsx]原始数据'!$A:$A,ROW(A1)+292),"")</f>
        <v/>
      </c>
      <c r="D293">
        <f>IFERROR(INDEX('[AQ_2023.xlsx]原始数据'!$A:$A,ROW(A1)+292),"")</f>
        <v/>
      </c>
      <c r="E293">
        <f>IFERROR(INDEX('[AQ_2024.xlsx]原始数据'!$A:$A,ROW(A1)+292),"")</f>
        <v/>
      </c>
      <c r="G293">
        <f>IF(292&lt;=1000,INDEX($A$2:$A$1001,292),IF(292&lt;=2000,INDEX($B$2:$B$1001,-708),IF(292&lt;=3000,INDEX($C$2:$C$1001,-1708),IF(292&lt;=4000,INDEX($D$2:$D$1001,-2708),IF(292&lt;=5000,INDEX($E$2:$E$1001,-3708),"")))))</f>
        <v/>
      </c>
    </row>
    <row r="294">
      <c r="A294">
        <f>IFERROR(INDEX('[AQ_2020.xlsx]原始数据'!$A:$A,ROW(A1)+293),"")</f>
        <v/>
      </c>
      <c r="B294">
        <f>IFERROR(INDEX('[AQ_2021.xlsx]原始数据'!$A:$A,ROW(A1)+293),"")</f>
        <v/>
      </c>
      <c r="C294">
        <f>IFERROR(INDEX('[AQ_2022.xlsx]原始数据'!$A:$A,ROW(A1)+293),"")</f>
        <v/>
      </c>
      <c r="D294">
        <f>IFERROR(INDEX('[AQ_2023.xlsx]原始数据'!$A:$A,ROW(A1)+293),"")</f>
        <v/>
      </c>
      <c r="E294">
        <f>IFERROR(INDEX('[AQ_2024.xlsx]原始数据'!$A:$A,ROW(A1)+293),"")</f>
        <v/>
      </c>
      <c r="G294">
        <f>IF(293&lt;=1000,INDEX($A$2:$A$1001,293),IF(293&lt;=2000,INDEX($B$2:$B$1001,-707),IF(293&lt;=3000,INDEX($C$2:$C$1001,-1707),IF(293&lt;=4000,INDEX($D$2:$D$1001,-2707),IF(293&lt;=5000,INDEX($E$2:$E$1001,-3707),"")))))</f>
        <v/>
      </c>
    </row>
    <row r="295">
      <c r="A295">
        <f>IFERROR(INDEX('[AQ_2020.xlsx]原始数据'!$A:$A,ROW(A1)+294),"")</f>
        <v/>
      </c>
      <c r="B295">
        <f>IFERROR(INDEX('[AQ_2021.xlsx]原始数据'!$A:$A,ROW(A1)+294),"")</f>
        <v/>
      </c>
      <c r="C295">
        <f>IFERROR(INDEX('[AQ_2022.xlsx]原始数据'!$A:$A,ROW(A1)+294),"")</f>
        <v/>
      </c>
      <c r="D295">
        <f>IFERROR(INDEX('[AQ_2023.xlsx]原始数据'!$A:$A,ROW(A1)+294),"")</f>
        <v/>
      </c>
      <c r="E295">
        <f>IFERROR(INDEX('[AQ_2024.xlsx]原始数据'!$A:$A,ROW(A1)+294),"")</f>
        <v/>
      </c>
      <c r="G295">
        <f>IF(294&lt;=1000,INDEX($A$2:$A$1001,294),IF(294&lt;=2000,INDEX($B$2:$B$1001,-706),IF(294&lt;=3000,INDEX($C$2:$C$1001,-1706),IF(294&lt;=4000,INDEX($D$2:$D$1001,-2706),IF(294&lt;=5000,INDEX($E$2:$E$1001,-3706),"")))))</f>
        <v/>
      </c>
    </row>
    <row r="296">
      <c r="A296">
        <f>IFERROR(INDEX('[AQ_2020.xlsx]原始数据'!$A:$A,ROW(A1)+295),"")</f>
        <v/>
      </c>
      <c r="B296">
        <f>IFERROR(INDEX('[AQ_2021.xlsx]原始数据'!$A:$A,ROW(A1)+295),"")</f>
        <v/>
      </c>
      <c r="C296">
        <f>IFERROR(INDEX('[AQ_2022.xlsx]原始数据'!$A:$A,ROW(A1)+295),"")</f>
        <v/>
      </c>
      <c r="D296">
        <f>IFERROR(INDEX('[AQ_2023.xlsx]原始数据'!$A:$A,ROW(A1)+295),"")</f>
        <v/>
      </c>
      <c r="E296">
        <f>IFERROR(INDEX('[AQ_2024.xlsx]原始数据'!$A:$A,ROW(A1)+295),"")</f>
        <v/>
      </c>
      <c r="G296">
        <f>IF(295&lt;=1000,INDEX($A$2:$A$1001,295),IF(295&lt;=2000,INDEX($B$2:$B$1001,-705),IF(295&lt;=3000,INDEX($C$2:$C$1001,-1705),IF(295&lt;=4000,INDEX($D$2:$D$1001,-2705),IF(295&lt;=5000,INDEX($E$2:$E$1001,-3705),"")))))</f>
        <v/>
      </c>
    </row>
    <row r="297">
      <c r="A297">
        <f>IFERROR(INDEX('[AQ_2020.xlsx]原始数据'!$A:$A,ROW(A1)+296),"")</f>
        <v/>
      </c>
      <c r="B297">
        <f>IFERROR(INDEX('[AQ_2021.xlsx]原始数据'!$A:$A,ROW(A1)+296),"")</f>
        <v/>
      </c>
      <c r="C297">
        <f>IFERROR(INDEX('[AQ_2022.xlsx]原始数据'!$A:$A,ROW(A1)+296),"")</f>
        <v/>
      </c>
      <c r="D297">
        <f>IFERROR(INDEX('[AQ_2023.xlsx]原始数据'!$A:$A,ROW(A1)+296),"")</f>
        <v/>
      </c>
      <c r="E297">
        <f>IFERROR(INDEX('[AQ_2024.xlsx]原始数据'!$A:$A,ROW(A1)+296),"")</f>
        <v/>
      </c>
      <c r="G297">
        <f>IF(296&lt;=1000,INDEX($A$2:$A$1001,296),IF(296&lt;=2000,INDEX($B$2:$B$1001,-704),IF(296&lt;=3000,INDEX($C$2:$C$1001,-1704),IF(296&lt;=4000,INDEX($D$2:$D$1001,-2704),IF(296&lt;=5000,INDEX($E$2:$E$1001,-3704),"")))))</f>
        <v/>
      </c>
    </row>
    <row r="298">
      <c r="A298">
        <f>IFERROR(INDEX('[AQ_2020.xlsx]原始数据'!$A:$A,ROW(A1)+297),"")</f>
        <v/>
      </c>
      <c r="B298">
        <f>IFERROR(INDEX('[AQ_2021.xlsx]原始数据'!$A:$A,ROW(A1)+297),"")</f>
        <v/>
      </c>
      <c r="C298">
        <f>IFERROR(INDEX('[AQ_2022.xlsx]原始数据'!$A:$A,ROW(A1)+297),"")</f>
        <v/>
      </c>
      <c r="D298">
        <f>IFERROR(INDEX('[AQ_2023.xlsx]原始数据'!$A:$A,ROW(A1)+297),"")</f>
        <v/>
      </c>
      <c r="E298">
        <f>IFERROR(INDEX('[AQ_2024.xlsx]原始数据'!$A:$A,ROW(A1)+297),"")</f>
        <v/>
      </c>
      <c r="G298">
        <f>IF(297&lt;=1000,INDEX($A$2:$A$1001,297),IF(297&lt;=2000,INDEX($B$2:$B$1001,-703),IF(297&lt;=3000,INDEX($C$2:$C$1001,-1703),IF(297&lt;=4000,INDEX($D$2:$D$1001,-2703),IF(297&lt;=5000,INDEX($E$2:$E$1001,-3703),"")))))</f>
        <v/>
      </c>
    </row>
    <row r="299">
      <c r="A299">
        <f>IFERROR(INDEX('[AQ_2020.xlsx]原始数据'!$A:$A,ROW(A1)+298),"")</f>
        <v/>
      </c>
      <c r="B299">
        <f>IFERROR(INDEX('[AQ_2021.xlsx]原始数据'!$A:$A,ROW(A1)+298),"")</f>
        <v/>
      </c>
      <c r="C299">
        <f>IFERROR(INDEX('[AQ_2022.xlsx]原始数据'!$A:$A,ROW(A1)+298),"")</f>
        <v/>
      </c>
      <c r="D299">
        <f>IFERROR(INDEX('[AQ_2023.xlsx]原始数据'!$A:$A,ROW(A1)+298),"")</f>
        <v/>
      </c>
      <c r="E299">
        <f>IFERROR(INDEX('[AQ_2024.xlsx]原始数据'!$A:$A,ROW(A1)+298),"")</f>
        <v/>
      </c>
      <c r="G299">
        <f>IF(298&lt;=1000,INDEX($A$2:$A$1001,298),IF(298&lt;=2000,INDEX($B$2:$B$1001,-702),IF(298&lt;=3000,INDEX($C$2:$C$1001,-1702),IF(298&lt;=4000,INDEX($D$2:$D$1001,-2702),IF(298&lt;=5000,INDEX($E$2:$E$1001,-3702),"")))))</f>
        <v/>
      </c>
    </row>
    <row r="300">
      <c r="A300">
        <f>IFERROR(INDEX('[AQ_2020.xlsx]原始数据'!$A:$A,ROW(A1)+299),"")</f>
        <v/>
      </c>
      <c r="B300">
        <f>IFERROR(INDEX('[AQ_2021.xlsx]原始数据'!$A:$A,ROW(A1)+299),"")</f>
        <v/>
      </c>
      <c r="C300">
        <f>IFERROR(INDEX('[AQ_2022.xlsx]原始数据'!$A:$A,ROW(A1)+299),"")</f>
        <v/>
      </c>
      <c r="D300">
        <f>IFERROR(INDEX('[AQ_2023.xlsx]原始数据'!$A:$A,ROW(A1)+299),"")</f>
        <v/>
      </c>
      <c r="E300">
        <f>IFERROR(INDEX('[AQ_2024.xlsx]原始数据'!$A:$A,ROW(A1)+299),"")</f>
        <v/>
      </c>
      <c r="G300">
        <f>IF(299&lt;=1000,INDEX($A$2:$A$1001,299),IF(299&lt;=2000,INDEX($B$2:$B$1001,-701),IF(299&lt;=3000,INDEX($C$2:$C$1001,-1701),IF(299&lt;=4000,INDEX($D$2:$D$1001,-2701),IF(299&lt;=5000,INDEX($E$2:$E$1001,-3701),"")))))</f>
        <v/>
      </c>
    </row>
    <row r="301">
      <c r="A301">
        <f>IFERROR(INDEX('[AQ_2020.xlsx]原始数据'!$A:$A,ROW(A1)+300),"")</f>
        <v/>
      </c>
      <c r="B301">
        <f>IFERROR(INDEX('[AQ_2021.xlsx]原始数据'!$A:$A,ROW(A1)+300),"")</f>
        <v/>
      </c>
      <c r="C301">
        <f>IFERROR(INDEX('[AQ_2022.xlsx]原始数据'!$A:$A,ROW(A1)+300),"")</f>
        <v/>
      </c>
      <c r="D301">
        <f>IFERROR(INDEX('[AQ_2023.xlsx]原始数据'!$A:$A,ROW(A1)+300),"")</f>
        <v/>
      </c>
      <c r="E301">
        <f>IFERROR(INDEX('[AQ_2024.xlsx]原始数据'!$A:$A,ROW(A1)+300),"")</f>
        <v/>
      </c>
      <c r="G301">
        <f>IF(300&lt;=1000,INDEX($A$2:$A$1001,300),IF(300&lt;=2000,INDEX($B$2:$B$1001,-700),IF(300&lt;=3000,INDEX($C$2:$C$1001,-1700),IF(300&lt;=4000,INDEX($D$2:$D$1001,-2700),IF(300&lt;=5000,INDEX($E$2:$E$1001,-3700),"")))))</f>
        <v/>
      </c>
    </row>
    <row r="302">
      <c r="A302">
        <f>IFERROR(INDEX('[AQ_2020.xlsx]原始数据'!$A:$A,ROW(A1)+301),"")</f>
        <v/>
      </c>
      <c r="B302">
        <f>IFERROR(INDEX('[AQ_2021.xlsx]原始数据'!$A:$A,ROW(A1)+301),"")</f>
        <v/>
      </c>
      <c r="C302">
        <f>IFERROR(INDEX('[AQ_2022.xlsx]原始数据'!$A:$A,ROW(A1)+301),"")</f>
        <v/>
      </c>
      <c r="D302">
        <f>IFERROR(INDEX('[AQ_2023.xlsx]原始数据'!$A:$A,ROW(A1)+301),"")</f>
        <v/>
      </c>
      <c r="E302">
        <f>IFERROR(INDEX('[AQ_2024.xlsx]原始数据'!$A:$A,ROW(A1)+301),"")</f>
        <v/>
      </c>
      <c r="G302">
        <f>IF(301&lt;=1000,INDEX($A$2:$A$1001,301),IF(301&lt;=2000,INDEX($B$2:$B$1001,-699),IF(301&lt;=3000,INDEX($C$2:$C$1001,-1699),IF(301&lt;=4000,INDEX($D$2:$D$1001,-2699),IF(301&lt;=5000,INDEX($E$2:$E$1001,-3699),"")))))</f>
        <v/>
      </c>
    </row>
    <row r="303">
      <c r="A303">
        <f>IFERROR(INDEX('[AQ_2020.xlsx]原始数据'!$A:$A,ROW(A1)+302),"")</f>
        <v/>
      </c>
      <c r="B303">
        <f>IFERROR(INDEX('[AQ_2021.xlsx]原始数据'!$A:$A,ROW(A1)+302),"")</f>
        <v/>
      </c>
      <c r="C303">
        <f>IFERROR(INDEX('[AQ_2022.xlsx]原始数据'!$A:$A,ROW(A1)+302),"")</f>
        <v/>
      </c>
      <c r="D303">
        <f>IFERROR(INDEX('[AQ_2023.xlsx]原始数据'!$A:$A,ROW(A1)+302),"")</f>
        <v/>
      </c>
      <c r="E303">
        <f>IFERROR(INDEX('[AQ_2024.xlsx]原始数据'!$A:$A,ROW(A1)+302),"")</f>
        <v/>
      </c>
      <c r="G303">
        <f>IF(302&lt;=1000,INDEX($A$2:$A$1001,302),IF(302&lt;=2000,INDEX($B$2:$B$1001,-698),IF(302&lt;=3000,INDEX($C$2:$C$1001,-1698),IF(302&lt;=4000,INDEX($D$2:$D$1001,-2698),IF(302&lt;=5000,INDEX($E$2:$E$1001,-3698),"")))))</f>
        <v/>
      </c>
    </row>
    <row r="304">
      <c r="A304">
        <f>IFERROR(INDEX('[AQ_2020.xlsx]原始数据'!$A:$A,ROW(A1)+303),"")</f>
        <v/>
      </c>
      <c r="B304">
        <f>IFERROR(INDEX('[AQ_2021.xlsx]原始数据'!$A:$A,ROW(A1)+303),"")</f>
        <v/>
      </c>
      <c r="C304">
        <f>IFERROR(INDEX('[AQ_2022.xlsx]原始数据'!$A:$A,ROW(A1)+303),"")</f>
        <v/>
      </c>
      <c r="D304">
        <f>IFERROR(INDEX('[AQ_2023.xlsx]原始数据'!$A:$A,ROW(A1)+303),"")</f>
        <v/>
      </c>
      <c r="E304">
        <f>IFERROR(INDEX('[AQ_2024.xlsx]原始数据'!$A:$A,ROW(A1)+303),"")</f>
        <v/>
      </c>
      <c r="G304">
        <f>IF(303&lt;=1000,INDEX($A$2:$A$1001,303),IF(303&lt;=2000,INDEX($B$2:$B$1001,-697),IF(303&lt;=3000,INDEX($C$2:$C$1001,-1697),IF(303&lt;=4000,INDEX($D$2:$D$1001,-2697),IF(303&lt;=5000,INDEX($E$2:$E$1001,-3697),"")))))</f>
        <v/>
      </c>
    </row>
    <row r="305">
      <c r="A305">
        <f>IFERROR(INDEX('[AQ_2020.xlsx]原始数据'!$A:$A,ROW(A1)+304),"")</f>
        <v/>
      </c>
      <c r="B305">
        <f>IFERROR(INDEX('[AQ_2021.xlsx]原始数据'!$A:$A,ROW(A1)+304),"")</f>
        <v/>
      </c>
      <c r="C305">
        <f>IFERROR(INDEX('[AQ_2022.xlsx]原始数据'!$A:$A,ROW(A1)+304),"")</f>
        <v/>
      </c>
      <c r="D305">
        <f>IFERROR(INDEX('[AQ_2023.xlsx]原始数据'!$A:$A,ROW(A1)+304),"")</f>
        <v/>
      </c>
      <c r="E305">
        <f>IFERROR(INDEX('[AQ_2024.xlsx]原始数据'!$A:$A,ROW(A1)+304),"")</f>
        <v/>
      </c>
      <c r="G305">
        <f>IF(304&lt;=1000,INDEX($A$2:$A$1001,304),IF(304&lt;=2000,INDEX($B$2:$B$1001,-696),IF(304&lt;=3000,INDEX($C$2:$C$1001,-1696),IF(304&lt;=4000,INDEX($D$2:$D$1001,-2696),IF(304&lt;=5000,INDEX($E$2:$E$1001,-3696),"")))))</f>
        <v/>
      </c>
    </row>
    <row r="306">
      <c r="A306">
        <f>IFERROR(INDEX('[AQ_2020.xlsx]原始数据'!$A:$A,ROW(A1)+305),"")</f>
        <v/>
      </c>
      <c r="B306">
        <f>IFERROR(INDEX('[AQ_2021.xlsx]原始数据'!$A:$A,ROW(A1)+305),"")</f>
        <v/>
      </c>
      <c r="C306">
        <f>IFERROR(INDEX('[AQ_2022.xlsx]原始数据'!$A:$A,ROW(A1)+305),"")</f>
        <v/>
      </c>
      <c r="D306">
        <f>IFERROR(INDEX('[AQ_2023.xlsx]原始数据'!$A:$A,ROW(A1)+305),"")</f>
        <v/>
      </c>
      <c r="E306">
        <f>IFERROR(INDEX('[AQ_2024.xlsx]原始数据'!$A:$A,ROW(A1)+305),"")</f>
        <v/>
      </c>
      <c r="G306">
        <f>IF(305&lt;=1000,INDEX($A$2:$A$1001,305),IF(305&lt;=2000,INDEX($B$2:$B$1001,-695),IF(305&lt;=3000,INDEX($C$2:$C$1001,-1695),IF(305&lt;=4000,INDEX($D$2:$D$1001,-2695),IF(305&lt;=5000,INDEX($E$2:$E$1001,-3695),"")))))</f>
        <v/>
      </c>
    </row>
    <row r="307">
      <c r="A307">
        <f>IFERROR(INDEX('[AQ_2020.xlsx]原始数据'!$A:$A,ROW(A1)+306),"")</f>
        <v/>
      </c>
      <c r="B307">
        <f>IFERROR(INDEX('[AQ_2021.xlsx]原始数据'!$A:$A,ROW(A1)+306),"")</f>
        <v/>
      </c>
      <c r="C307">
        <f>IFERROR(INDEX('[AQ_2022.xlsx]原始数据'!$A:$A,ROW(A1)+306),"")</f>
        <v/>
      </c>
      <c r="D307">
        <f>IFERROR(INDEX('[AQ_2023.xlsx]原始数据'!$A:$A,ROW(A1)+306),"")</f>
        <v/>
      </c>
      <c r="E307">
        <f>IFERROR(INDEX('[AQ_2024.xlsx]原始数据'!$A:$A,ROW(A1)+306),"")</f>
        <v/>
      </c>
      <c r="G307">
        <f>IF(306&lt;=1000,INDEX($A$2:$A$1001,306),IF(306&lt;=2000,INDEX($B$2:$B$1001,-694),IF(306&lt;=3000,INDEX($C$2:$C$1001,-1694),IF(306&lt;=4000,INDEX($D$2:$D$1001,-2694),IF(306&lt;=5000,INDEX($E$2:$E$1001,-3694),"")))))</f>
        <v/>
      </c>
    </row>
    <row r="308">
      <c r="A308">
        <f>IFERROR(INDEX('[AQ_2020.xlsx]原始数据'!$A:$A,ROW(A1)+307),"")</f>
        <v/>
      </c>
      <c r="B308">
        <f>IFERROR(INDEX('[AQ_2021.xlsx]原始数据'!$A:$A,ROW(A1)+307),"")</f>
        <v/>
      </c>
      <c r="C308">
        <f>IFERROR(INDEX('[AQ_2022.xlsx]原始数据'!$A:$A,ROW(A1)+307),"")</f>
        <v/>
      </c>
      <c r="D308">
        <f>IFERROR(INDEX('[AQ_2023.xlsx]原始数据'!$A:$A,ROW(A1)+307),"")</f>
        <v/>
      </c>
      <c r="E308">
        <f>IFERROR(INDEX('[AQ_2024.xlsx]原始数据'!$A:$A,ROW(A1)+307),"")</f>
        <v/>
      </c>
      <c r="G308">
        <f>IF(307&lt;=1000,INDEX($A$2:$A$1001,307),IF(307&lt;=2000,INDEX($B$2:$B$1001,-693),IF(307&lt;=3000,INDEX($C$2:$C$1001,-1693),IF(307&lt;=4000,INDEX($D$2:$D$1001,-2693),IF(307&lt;=5000,INDEX($E$2:$E$1001,-3693),"")))))</f>
        <v/>
      </c>
    </row>
    <row r="309">
      <c r="A309">
        <f>IFERROR(INDEX('[AQ_2020.xlsx]原始数据'!$A:$A,ROW(A1)+308),"")</f>
        <v/>
      </c>
      <c r="B309">
        <f>IFERROR(INDEX('[AQ_2021.xlsx]原始数据'!$A:$A,ROW(A1)+308),"")</f>
        <v/>
      </c>
      <c r="C309">
        <f>IFERROR(INDEX('[AQ_2022.xlsx]原始数据'!$A:$A,ROW(A1)+308),"")</f>
        <v/>
      </c>
      <c r="D309">
        <f>IFERROR(INDEX('[AQ_2023.xlsx]原始数据'!$A:$A,ROW(A1)+308),"")</f>
        <v/>
      </c>
      <c r="E309">
        <f>IFERROR(INDEX('[AQ_2024.xlsx]原始数据'!$A:$A,ROW(A1)+308),"")</f>
        <v/>
      </c>
      <c r="G309">
        <f>IF(308&lt;=1000,INDEX($A$2:$A$1001,308),IF(308&lt;=2000,INDEX($B$2:$B$1001,-692),IF(308&lt;=3000,INDEX($C$2:$C$1001,-1692),IF(308&lt;=4000,INDEX($D$2:$D$1001,-2692),IF(308&lt;=5000,INDEX($E$2:$E$1001,-3692),"")))))</f>
        <v/>
      </c>
    </row>
    <row r="310">
      <c r="A310">
        <f>IFERROR(INDEX('[AQ_2020.xlsx]原始数据'!$A:$A,ROW(A1)+309),"")</f>
        <v/>
      </c>
      <c r="B310">
        <f>IFERROR(INDEX('[AQ_2021.xlsx]原始数据'!$A:$A,ROW(A1)+309),"")</f>
        <v/>
      </c>
      <c r="C310">
        <f>IFERROR(INDEX('[AQ_2022.xlsx]原始数据'!$A:$A,ROW(A1)+309),"")</f>
        <v/>
      </c>
      <c r="D310">
        <f>IFERROR(INDEX('[AQ_2023.xlsx]原始数据'!$A:$A,ROW(A1)+309),"")</f>
        <v/>
      </c>
      <c r="E310">
        <f>IFERROR(INDEX('[AQ_2024.xlsx]原始数据'!$A:$A,ROW(A1)+309),"")</f>
        <v/>
      </c>
      <c r="G310">
        <f>IF(309&lt;=1000,INDEX($A$2:$A$1001,309),IF(309&lt;=2000,INDEX($B$2:$B$1001,-691),IF(309&lt;=3000,INDEX($C$2:$C$1001,-1691),IF(309&lt;=4000,INDEX($D$2:$D$1001,-2691),IF(309&lt;=5000,INDEX($E$2:$E$1001,-3691),"")))))</f>
        <v/>
      </c>
    </row>
    <row r="311">
      <c r="A311">
        <f>IFERROR(INDEX('[AQ_2020.xlsx]原始数据'!$A:$A,ROW(A1)+310),"")</f>
        <v/>
      </c>
      <c r="B311">
        <f>IFERROR(INDEX('[AQ_2021.xlsx]原始数据'!$A:$A,ROW(A1)+310),"")</f>
        <v/>
      </c>
      <c r="C311">
        <f>IFERROR(INDEX('[AQ_2022.xlsx]原始数据'!$A:$A,ROW(A1)+310),"")</f>
        <v/>
      </c>
      <c r="D311">
        <f>IFERROR(INDEX('[AQ_2023.xlsx]原始数据'!$A:$A,ROW(A1)+310),"")</f>
        <v/>
      </c>
      <c r="E311">
        <f>IFERROR(INDEX('[AQ_2024.xlsx]原始数据'!$A:$A,ROW(A1)+310),"")</f>
        <v/>
      </c>
      <c r="G311">
        <f>IF(310&lt;=1000,INDEX($A$2:$A$1001,310),IF(310&lt;=2000,INDEX($B$2:$B$1001,-690),IF(310&lt;=3000,INDEX($C$2:$C$1001,-1690),IF(310&lt;=4000,INDEX($D$2:$D$1001,-2690),IF(310&lt;=5000,INDEX($E$2:$E$1001,-3690),"")))))</f>
        <v/>
      </c>
    </row>
    <row r="312">
      <c r="A312">
        <f>IFERROR(INDEX('[AQ_2020.xlsx]原始数据'!$A:$A,ROW(A1)+311),"")</f>
        <v/>
      </c>
      <c r="B312">
        <f>IFERROR(INDEX('[AQ_2021.xlsx]原始数据'!$A:$A,ROW(A1)+311),"")</f>
        <v/>
      </c>
      <c r="C312">
        <f>IFERROR(INDEX('[AQ_2022.xlsx]原始数据'!$A:$A,ROW(A1)+311),"")</f>
        <v/>
      </c>
      <c r="D312">
        <f>IFERROR(INDEX('[AQ_2023.xlsx]原始数据'!$A:$A,ROW(A1)+311),"")</f>
        <v/>
      </c>
      <c r="E312">
        <f>IFERROR(INDEX('[AQ_2024.xlsx]原始数据'!$A:$A,ROW(A1)+311),"")</f>
        <v/>
      </c>
      <c r="G312">
        <f>IF(311&lt;=1000,INDEX($A$2:$A$1001,311),IF(311&lt;=2000,INDEX($B$2:$B$1001,-689),IF(311&lt;=3000,INDEX($C$2:$C$1001,-1689),IF(311&lt;=4000,INDEX($D$2:$D$1001,-2689),IF(311&lt;=5000,INDEX($E$2:$E$1001,-3689),"")))))</f>
        <v/>
      </c>
    </row>
    <row r="313">
      <c r="A313">
        <f>IFERROR(INDEX('[AQ_2020.xlsx]原始数据'!$A:$A,ROW(A1)+312),"")</f>
        <v/>
      </c>
      <c r="B313">
        <f>IFERROR(INDEX('[AQ_2021.xlsx]原始数据'!$A:$A,ROW(A1)+312),"")</f>
        <v/>
      </c>
      <c r="C313">
        <f>IFERROR(INDEX('[AQ_2022.xlsx]原始数据'!$A:$A,ROW(A1)+312),"")</f>
        <v/>
      </c>
      <c r="D313">
        <f>IFERROR(INDEX('[AQ_2023.xlsx]原始数据'!$A:$A,ROW(A1)+312),"")</f>
        <v/>
      </c>
      <c r="E313">
        <f>IFERROR(INDEX('[AQ_2024.xlsx]原始数据'!$A:$A,ROW(A1)+312),"")</f>
        <v/>
      </c>
      <c r="G313">
        <f>IF(312&lt;=1000,INDEX($A$2:$A$1001,312),IF(312&lt;=2000,INDEX($B$2:$B$1001,-688),IF(312&lt;=3000,INDEX($C$2:$C$1001,-1688),IF(312&lt;=4000,INDEX($D$2:$D$1001,-2688),IF(312&lt;=5000,INDEX($E$2:$E$1001,-3688),"")))))</f>
        <v/>
      </c>
    </row>
    <row r="314">
      <c r="A314">
        <f>IFERROR(INDEX('[AQ_2020.xlsx]原始数据'!$A:$A,ROW(A1)+313),"")</f>
        <v/>
      </c>
      <c r="B314">
        <f>IFERROR(INDEX('[AQ_2021.xlsx]原始数据'!$A:$A,ROW(A1)+313),"")</f>
        <v/>
      </c>
      <c r="C314">
        <f>IFERROR(INDEX('[AQ_2022.xlsx]原始数据'!$A:$A,ROW(A1)+313),"")</f>
        <v/>
      </c>
      <c r="D314">
        <f>IFERROR(INDEX('[AQ_2023.xlsx]原始数据'!$A:$A,ROW(A1)+313),"")</f>
        <v/>
      </c>
      <c r="E314">
        <f>IFERROR(INDEX('[AQ_2024.xlsx]原始数据'!$A:$A,ROW(A1)+313),"")</f>
        <v/>
      </c>
      <c r="G314">
        <f>IF(313&lt;=1000,INDEX($A$2:$A$1001,313),IF(313&lt;=2000,INDEX($B$2:$B$1001,-687),IF(313&lt;=3000,INDEX($C$2:$C$1001,-1687),IF(313&lt;=4000,INDEX($D$2:$D$1001,-2687),IF(313&lt;=5000,INDEX($E$2:$E$1001,-3687),"")))))</f>
        <v/>
      </c>
    </row>
    <row r="315">
      <c r="A315">
        <f>IFERROR(INDEX('[AQ_2020.xlsx]原始数据'!$A:$A,ROW(A1)+314),"")</f>
        <v/>
      </c>
      <c r="B315">
        <f>IFERROR(INDEX('[AQ_2021.xlsx]原始数据'!$A:$A,ROW(A1)+314),"")</f>
        <v/>
      </c>
      <c r="C315">
        <f>IFERROR(INDEX('[AQ_2022.xlsx]原始数据'!$A:$A,ROW(A1)+314),"")</f>
        <v/>
      </c>
      <c r="D315">
        <f>IFERROR(INDEX('[AQ_2023.xlsx]原始数据'!$A:$A,ROW(A1)+314),"")</f>
        <v/>
      </c>
      <c r="E315">
        <f>IFERROR(INDEX('[AQ_2024.xlsx]原始数据'!$A:$A,ROW(A1)+314),"")</f>
        <v/>
      </c>
      <c r="G315">
        <f>IF(314&lt;=1000,INDEX($A$2:$A$1001,314),IF(314&lt;=2000,INDEX($B$2:$B$1001,-686),IF(314&lt;=3000,INDEX($C$2:$C$1001,-1686),IF(314&lt;=4000,INDEX($D$2:$D$1001,-2686),IF(314&lt;=5000,INDEX($E$2:$E$1001,-3686),"")))))</f>
        <v/>
      </c>
    </row>
    <row r="316">
      <c r="A316">
        <f>IFERROR(INDEX('[AQ_2020.xlsx]原始数据'!$A:$A,ROW(A1)+315),"")</f>
        <v/>
      </c>
      <c r="B316">
        <f>IFERROR(INDEX('[AQ_2021.xlsx]原始数据'!$A:$A,ROW(A1)+315),"")</f>
        <v/>
      </c>
      <c r="C316">
        <f>IFERROR(INDEX('[AQ_2022.xlsx]原始数据'!$A:$A,ROW(A1)+315),"")</f>
        <v/>
      </c>
      <c r="D316">
        <f>IFERROR(INDEX('[AQ_2023.xlsx]原始数据'!$A:$A,ROW(A1)+315),"")</f>
        <v/>
      </c>
      <c r="E316">
        <f>IFERROR(INDEX('[AQ_2024.xlsx]原始数据'!$A:$A,ROW(A1)+315),"")</f>
        <v/>
      </c>
      <c r="G316">
        <f>IF(315&lt;=1000,INDEX($A$2:$A$1001,315),IF(315&lt;=2000,INDEX($B$2:$B$1001,-685),IF(315&lt;=3000,INDEX($C$2:$C$1001,-1685),IF(315&lt;=4000,INDEX($D$2:$D$1001,-2685),IF(315&lt;=5000,INDEX($E$2:$E$1001,-3685),"")))))</f>
        <v/>
      </c>
    </row>
    <row r="317">
      <c r="A317">
        <f>IFERROR(INDEX('[AQ_2020.xlsx]原始数据'!$A:$A,ROW(A1)+316),"")</f>
        <v/>
      </c>
      <c r="B317">
        <f>IFERROR(INDEX('[AQ_2021.xlsx]原始数据'!$A:$A,ROW(A1)+316),"")</f>
        <v/>
      </c>
      <c r="C317">
        <f>IFERROR(INDEX('[AQ_2022.xlsx]原始数据'!$A:$A,ROW(A1)+316),"")</f>
        <v/>
      </c>
      <c r="D317">
        <f>IFERROR(INDEX('[AQ_2023.xlsx]原始数据'!$A:$A,ROW(A1)+316),"")</f>
        <v/>
      </c>
      <c r="E317">
        <f>IFERROR(INDEX('[AQ_2024.xlsx]原始数据'!$A:$A,ROW(A1)+316),"")</f>
        <v/>
      </c>
      <c r="G317">
        <f>IF(316&lt;=1000,INDEX($A$2:$A$1001,316),IF(316&lt;=2000,INDEX($B$2:$B$1001,-684),IF(316&lt;=3000,INDEX($C$2:$C$1001,-1684),IF(316&lt;=4000,INDEX($D$2:$D$1001,-2684),IF(316&lt;=5000,INDEX($E$2:$E$1001,-3684),"")))))</f>
        <v/>
      </c>
    </row>
    <row r="318">
      <c r="A318">
        <f>IFERROR(INDEX('[AQ_2020.xlsx]原始数据'!$A:$A,ROW(A1)+317),"")</f>
        <v/>
      </c>
      <c r="B318">
        <f>IFERROR(INDEX('[AQ_2021.xlsx]原始数据'!$A:$A,ROW(A1)+317),"")</f>
        <v/>
      </c>
      <c r="C318">
        <f>IFERROR(INDEX('[AQ_2022.xlsx]原始数据'!$A:$A,ROW(A1)+317),"")</f>
        <v/>
      </c>
      <c r="D318">
        <f>IFERROR(INDEX('[AQ_2023.xlsx]原始数据'!$A:$A,ROW(A1)+317),"")</f>
        <v/>
      </c>
      <c r="E318">
        <f>IFERROR(INDEX('[AQ_2024.xlsx]原始数据'!$A:$A,ROW(A1)+317),"")</f>
        <v/>
      </c>
      <c r="G318">
        <f>IF(317&lt;=1000,INDEX($A$2:$A$1001,317),IF(317&lt;=2000,INDEX($B$2:$B$1001,-683),IF(317&lt;=3000,INDEX($C$2:$C$1001,-1683),IF(317&lt;=4000,INDEX($D$2:$D$1001,-2683),IF(317&lt;=5000,INDEX($E$2:$E$1001,-3683),"")))))</f>
        <v/>
      </c>
    </row>
    <row r="319">
      <c r="A319">
        <f>IFERROR(INDEX('[AQ_2020.xlsx]原始数据'!$A:$A,ROW(A1)+318),"")</f>
        <v/>
      </c>
      <c r="B319">
        <f>IFERROR(INDEX('[AQ_2021.xlsx]原始数据'!$A:$A,ROW(A1)+318),"")</f>
        <v/>
      </c>
      <c r="C319">
        <f>IFERROR(INDEX('[AQ_2022.xlsx]原始数据'!$A:$A,ROW(A1)+318),"")</f>
        <v/>
      </c>
      <c r="D319">
        <f>IFERROR(INDEX('[AQ_2023.xlsx]原始数据'!$A:$A,ROW(A1)+318),"")</f>
        <v/>
      </c>
      <c r="E319">
        <f>IFERROR(INDEX('[AQ_2024.xlsx]原始数据'!$A:$A,ROW(A1)+318),"")</f>
        <v/>
      </c>
      <c r="G319">
        <f>IF(318&lt;=1000,INDEX($A$2:$A$1001,318),IF(318&lt;=2000,INDEX($B$2:$B$1001,-682),IF(318&lt;=3000,INDEX($C$2:$C$1001,-1682),IF(318&lt;=4000,INDEX($D$2:$D$1001,-2682),IF(318&lt;=5000,INDEX($E$2:$E$1001,-3682),"")))))</f>
        <v/>
      </c>
    </row>
    <row r="320">
      <c r="A320">
        <f>IFERROR(INDEX('[AQ_2020.xlsx]原始数据'!$A:$A,ROW(A1)+319),"")</f>
        <v/>
      </c>
      <c r="B320">
        <f>IFERROR(INDEX('[AQ_2021.xlsx]原始数据'!$A:$A,ROW(A1)+319),"")</f>
        <v/>
      </c>
      <c r="C320">
        <f>IFERROR(INDEX('[AQ_2022.xlsx]原始数据'!$A:$A,ROW(A1)+319),"")</f>
        <v/>
      </c>
      <c r="D320">
        <f>IFERROR(INDEX('[AQ_2023.xlsx]原始数据'!$A:$A,ROW(A1)+319),"")</f>
        <v/>
      </c>
      <c r="E320">
        <f>IFERROR(INDEX('[AQ_2024.xlsx]原始数据'!$A:$A,ROW(A1)+319),"")</f>
        <v/>
      </c>
      <c r="G320">
        <f>IF(319&lt;=1000,INDEX($A$2:$A$1001,319),IF(319&lt;=2000,INDEX($B$2:$B$1001,-681),IF(319&lt;=3000,INDEX($C$2:$C$1001,-1681),IF(319&lt;=4000,INDEX($D$2:$D$1001,-2681),IF(319&lt;=5000,INDEX($E$2:$E$1001,-3681),"")))))</f>
        <v/>
      </c>
    </row>
    <row r="321">
      <c r="A321">
        <f>IFERROR(INDEX('[AQ_2020.xlsx]原始数据'!$A:$A,ROW(A1)+320),"")</f>
        <v/>
      </c>
      <c r="B321">
        <f>IFERROR(INDEX('[AQ_2021.xlsx]原始数据'!$A:$A,ROW(A1)+320),"")</f>
        <v/>
      </c>
      <c r="C321">
        <f>IFERROR(INDEX('[AQ_2022.xlsx]原始数据'!$A:$A,ROW(A1)+320),"")</f>
        <v/>
      </c>
      <c r="D321">
        <f>IFERROR(INDEX('[AQ_2023.xlsx]原始数据'!$A:$A,ROW(A1)+320),"")</f>
        <v/>
      </c>
      <c r="E321">
        <f>IFERROR(INDEX('[AQ_2024.xlsx]原始数据'!$A:$A,ROW(A1)+320),"")</f>
        <v/>
      </c>
      <c r="G321">
        <f>IF(320&lt;=1000,INDEX($A$2:$A$1001,320),IF(320&lt;=2000,INDEX($B$2:$B$1001,-680),IF(320&lt;=3000,INDEX($C$2:$C$1001,-1680),IF(320&lt;=4000,INDEX($D$2:$D$1001,-2680),IF(320&lt;=5000,INDEX($E$2:$E$1001,-3680),"")))))</f>
        <v/>
      </c>
    </row>
    <row r="322">
      <c r="A322">
        <f>IFERROR(INDEX('[AQ_2020.xlsx]原始数据'!$A:$A,ROW(A1)+321),"")</f>
        <v/>
      </c>
      <c r="B322">
        <f>IFERROR(INDEX('[AQ_2021.xlsx]原始数据'!$A:$A,ROW(A1)+321),"")</f>
        <v/>
      </c>
      <c r="C322">
        <f>IFERROR(INDEX('[AQ_2022.xlsx]原始数据'!$A:$A,ROW(A1)+321),"")</f>
        <v/>
      </c>
      <c r="D322">
        <f>IFERROR(INDEX('[AQ_2023.xlsx]原始数据'!$A:$A,ROW(A1)+321),"")</f>
        <v/>
      </c>
      <c r="E322">
        <f>IFERROR(INDEX('[AQ_2024.xlsx]原始数据'!$A:$A,ROW(A1)+321),"")</f>
        <v/>
      </c>
      <c r="G322">
        <f>IF(321&lt;=1000,INDEX($A$2:$A$1001,321),IF(321&lt;=2000,INDEX($B$2:$B$1001,-679),IF(321&lt;=3000,INDEX($C$2:$C$1001,-1679),IF(321&lt;=4000,INDEX($D$2:$D$1001,-2679),IF(321&lt;=5000,INDEX($E$2:$E$1001,-3679),"")))))</f>
        <v/>
      </c>
    </row>
    <row r="323">
      <c r="A323">
        <f>IFERROR(INDEX('[AQ_2020.xlsx]原始数据'!$A:$A,ROW(A1)+322),"")</f>
        <v/>
      </c>
      <c r="B323">
        <f>IFERROR(INDEX('[AQ_2021.xlsx]原始数据'!$A:$A,ROW(A1)+322),"")</f>
        <v/>
      </c>
      <c r="C323">
        <f>IFERROR(INDEX('[AQ_2022.xlsx]原始数据'!$A:$A,ROW(A1)+322),"")</f>
        <v/>
      </c>
      <c r="D323">
        <f>IFERROR(INDEX('[AQ_2023.xlsx]原始数据'!$A:$A,ROW(A1)+322),"")</f>
        <v/>
      </c>
      <c r="E323">
        <f>IFERROR(INDEX('[AQ_2024.xlsx]原始数据'!$A:$A,ROW(A1)+322),"")</f>
        <v/>
      </c>
      <c r="G323">
        <f>IF(322&lt;=1000,INDEX($A$2:$A$1001,322),IF(322&lt;=2000,INDEX($B$2:$B$1001,-678),IF(322&lt;=3000,INDEX($C$2:$C$1001,-1678),IF(322&lt;=4000,INDEX($D$2:$D$1001,-2678),IF(322&lt;=5000,INDEX($E$2:$E$1001,-3678),"")))))</f>
        <v/>
      </c>
    </row>
    <row r="324">
      <c r="A324">
        <f>IFERROR(INDEX('[AQ_2020.xlsx]原始数据'!$A:$A,ROW(A1)+323),"")</f>
        <v/>
      </c>
      <c r="B324">
        <f>IFERROR(INDEX('[AQ_2021.xlsx]原始数据'!$A:$A,ROW(A1)+323),"")</f>
        <v/>
      </c>
      <c r="C324">
        <f>IFERROR(INDEX('[AQ_2022.xlsx]原始数据'!$A:$A,ROW(A1)+323),"")</f>
        <v/>
      </c>
      <c r="D324">
        <f>IFERROR(INDEX('[AQ_2023.xlsx]原始数据'!$A:$A,ROW(A1)+323),"")</f>
        <v/>
      </c>
      <c r="E324">
        <f>IFERROR(INDEX('[AQ_2024.xlsx]原始数据'!$A:$A,ROW(A1)+323),"")</f>
        <v/>
      </c>
      <c r="G324">
        <f>IF(323&lt;=1000,INDEX($A$2:$A$1001,323),IF(323&lt;=2000,INDEX($B$2:$B$1001,-677),IF(323&lt;=3000,INDEX($C$2:$C$1001,-1677),IF(323&lt;=4000,INDEX($D$2:$D$1001,-2677),IF(323&lt;=5000,INDEX($E$2:$E$1001,-3677),"")))))</f>
        <v/>
      </c>
    </row>
    <row r="325">
      <c r="A325">
        <f>IFERROR(INDEX('[AQ_2020.xlsx]原始数据'!$A:$A,ROW(A1)+324),"")</f>
        <v/>
      </c>
      <c r="B325">
        <f>IFERROR(INDEX('[AQ_2021.xlsx]原始数据'!$A:$A,ROW(A1)+324),"")</f>
        <v/>
      </c>
      <c r="C325">
        <f>IFERROR(INDEX('[AQ_2022.xlsx]原始数据'!$A:$A,ROW(A1)+324),"")</f>
        <v/>
      </c>
      <c r="D325">
        <f>IFERROR(INDEX('[AQ_2023.xlsx]原始数据'!$A:$A,ROW(A1)+324),"")</f>
        <v/>
      </c>
      <c r="E325">
        <f>IFERROR(INDEX('[AQ_2024.xlsx]原始数据'!$A:$A,ROW(A1)+324),"")</f>
        <v/>
      </c>
      <c r="G325">
        <f>IF(324&lt;=1000,INDEX($A$2:$A$1001,324),IF(324&lt;=2000,INDEX($B$2:$B$1001,-676),IF(324&lt;=3000,INDEX($C$2:$C$1001,-1676),IF(324&lt;=4000,INDEX($D$2:$D$1001,-2676),IF(324&lt;=5000,INDEX($E$2:$E$1001,-3676),"")))))</f>
        <v/>
      </c>
    </row>
    <row r="326">
      <c r="A326">
        <f>IFERROR(INDEX('[AQ_2020.xlsx]原始数据'!$A:$A,ROW(A1)+325),"")</f>
        <v/>
      </c>
      <c r="B326">
        <f>IFERROR(INDEX('[AQ_2021.xlsx]原始数据'!$A:$A,ROW(A1)+325),"")</f>
        <v/>
      </c>
      <c r="C326">
        <f>IFERROR(INDEX('[AQ_2022.xlsx]原始数据'!$A:$A,ROW(A1)+325),"")</f>
        <v/>
      </c>
      <c r="D326">
        <f>IFERROR(INDEX('[AQ_2023.xlsx]原始数据'!$A:$A,ROW(A1)+325),"")</f>
        <v/>
      </c>
      <c r="E326">
        <f>IFERROR(INDEX('[AQ_2024.xlsx]原始数据'!$A:$A,ROW(A1)+325),"")</f>
        <v/>
      </c>
      <c r="G326">
        <f>IF(325&lt;=1000,INDEX($A$2:$A$1001,325),IF(325&lt;=2000,INDEX($B$2:$B$1001,-675),IF(325&lt;=3000,INDEX($C$2:$C$1001,-1675),IF(325&lt;=4000,INDEX($D$2:$D$1001,-2675),IF(325&lt;=5000,INDEX($E$2:$E$1001,-3675),"")))))</f>
        <v/>
      </c>
    </row>
    <row r="327">
      <c r="A327">
        <f>IFERROR(INDEX('[AQ_2020.xlsx]原始数据'!$A:$A,ROW(A1)+326),"")</f>
        <v/>
      </c>
      <c r="B327">
        <f>IFERROR(INDEX('[AQ_2021.xlsx]原始数据'!$A:$A,ROW(A1)+326),"")</f>
        <v/>
      </c>
      <c r="C327">
        <f>IFERROR(INDEX('[AQ_2022.xlsx]原始数据'!$A:$A,ROW(A1)+326),"")</f>
        <v/>
      </c>
      <c r="D327">
        <f>IFERROR(INDEX('[AQ_2023.xlsx]原始数据'!$A:$A,ROW(A1)+326),"")</f>
        <v/>
      </c>
      <c r="E327">
        <f>IFERROR(INDEX('[AQ_2024.xlsx]原始数据'!$A:$A,ROW(A1)+326),"")</f>
        <v/>
      </c>
      <c r="G327">
        <f>IF(326&lt;=1000,INDEX($A$2:$A$1001,326),IF(326&lt;=2000,INDEX($B$2:$B$1001,-674),IF(326&lt;=3000,INDEX($C$2:$C$1001,-1674),IF(326&lt;=4000,INDEX($D$2:$D$1001,-2674),IF(326&lt;=5000,INDEX($E$2:$E$1001,-3674),"")))))</f>
        <v/>
      </c>
    </row>
    <row r="328">
      <c r="A328">
        <f>IFERROR(INDEX('[AQ_2020.xlsx]原始数据'!$A:$A,ROW(A1)+327),"")</f>
        <v/>
      </c>
      <c r="B328">
        <f>IFERROR(INDEX('[AQ_2021.xlsx]原始数据'!$A:$A,ROW(A1)+327),"")</f>
        <v/>
      </c>
      <c r="C328">
        <f>IFERROR(INDEX('[AQ_2022.xlsx]原始数据'!$A:$A,ROW(A1)+327),"")</f>
        <v/>
      </c>
      <c r="D328">
        <f>IFERROR(INDEX('[AQ_2023.xlsx]原始数据'!$A:$A,ROW(A1)+327),"")</f>
        <v/>
      </c>
      <c r="E328">
        <f>IFERROR(INDEX('[AQ_2024.xlsx]原始数据'!$A:$A,ROW(A1)+327),"")</f>
        <v/>
      </c>
      <c r="G328">
        <f>IF(327&lt;=1000,INDEX($A$2:$A$1001,327),IF(327&lt;=2000,INDEX($B$2:$B$1001,-673),IF(327&lt;=3000,INDEX($C$2:$C$1001,-1673),IF(327&lt;=4000,INDEX($D$2:$D$1001,-2673),IF(327&lt;=5000,INDEX($E$2:$E$1001,-3673),"")))))</f>
        <v/>
      </c>
    </row>
    <row r="329">
      <c r="A329">
        <f>IFERROR(INDEX('[AQ_2020.xlsx]原始数据'!$A:$A,ROW(A1)+328),"")</f>
        <v/>
      </c>
      <c r="B329">
        <f>IFERROR(INDEX('[AQ_2021.xlsx]原始数据'!$A:$A,ROW(A1)+328),"")</f>
        <v/>
      </c>
      <c r="C329">
        <f>IFERROR(INDEX('[AQ_2022.xlsx]原始数据'!$A:$A,ROW(A1)+328),"")</f>
        <v/>
      </c>
      <c r="D329">
        <f>IFERROR(INDEX('[AQ_2023.xlsx]原始数据'!$A:$A,ROW(A1)+328),"")</f>
        <v/>
      </c>
      <c r="E329">
        <f>IFERROR(INDEX('[AQ_2024.xlsx]原始数据'!$A:$A,ROW(A1)+328),"")</f>
        <v/>
      </c>
      <c r="G329">
        <f>IF(328&lt;=1000,INDEX($A$2:$A$1001,328),IF(328&lt;=2000,INDEX($B$2:$B$1001,-672),IF(328&lt;=3000,INDEX($C$2:$C$1001,-1672),IF(328&lt;=4000,INDEX($D$2:$D$1001,-2672),IF(328&lt;=5000,INDEX($E$2:$E$1001,-3672),"")))))</f>
        <v/>
      </c>
    </row>
    <row r="330">
      <c r="A330">
        <f>IFERROR(INDEX('[AQ_2020.xlsx]原始数据'!$A:$A,ROW(A1)+329),"")</f>
        <v/>
      </c>
      <c r="B330">
        <f>IFERROR(INDEX('[AQ_2021.xlsx]原始数据'!$A:$A,ROW(A1)+329),"")</f>
        <v/>
      </c>
      <c r="C330">
        <f>IFERROR(INDEX('[AQ_2022.xlsx]原始数据'!$A:$A,ROW(A1)+329),"")</f>
        <v/>
      </c>
      <c r="D330">
        <f>IFERROR(INDEX('[AQ_2023.xlsx]原始数据'!$A:$A,ROW(A1)+329),"")</f>
        <v/>
      </c>
      <c r="E330">
        <f>IFERROR(INDEX('[AQ_2024.xlsx]原始数据'!$A:$A,ROW(A1)+329),"")</f>
        <v/>
      </c>
      <c r="G330">
        <f>IF(329&lt;=1000,INDEX($A$2:$A$1001,329),IF(329&lt;=2000,INDEX($B$2:$B$1001,-671),IF(329&lt;=3000,INDEX($C$2:$C$1001,-1671),IF(329&lt;=4000,INDEX($D$2:$D$1001,-2671),IF(329&lt;=5000,INDEX($E$2:$E$1001,-3671),"")))))</f>
        <v/>
      </c>
    </row>
    <row r="331">
      <c r="A331">
        <f>IFERROR(INDEX('[AQ_2020.xlsx]原始数据'!$A:$A,ROW(A1)+330),"")</f>
        <v/>
      </c>
      <c r="B331">
        <f>IFERROR(INDEX('[AQ_2021.xlsx]原始数据'!$A:$A,ROW(A1)+330),"")</f>
        <v/>
      </c>
      <c r="C331">
        <f>IFERROR(INDEX('[AQ_2022.xlsx]原始数据'!$A:$A,ROW(A1)+330),"")</f>
        <v/>
      </c>
      <c r="D331">
        <f>IFERROR(INDEX('[AQ_2023.xlsx]原始数据'!$A:$A,ROW(A1)+330),"")</f>
        <v/>
      </c>
      <c r="E331">
        <f>IFERROR(INDEX('[AQ_2024.xlsx]原始数据'!$A:$A,ROW(A1)+330),"")</f>
        <v/>
      </c>
      <c r="G331">
        <f>IF(330&lt;=1000,INDEX($A$2:$A$1001,330),IF(330&lt;=2000,INDEX($B$2:$B$1001,-670),IF(330&lt;=3000,INDEX($C$2:$C$1001,-1670),IF(330&lt;=4000,INDEX($D$2:$D$1001,-2670),IF(330&lt;=5000,INDEX($E$2:$E$1001,-3670),"")))))</f>
        <v/>
      </c>
    </row>
    <row r="332">
      <c r="A332">
        <f>IFERROR(INDEX('[AQ_2020.xlsx]原始数据'!$A:$A,ROW(A1)+331),"")</f>
        <v/>
      </c>
      <c r="B332">
        <f>IFERROR(INDEX('[AQ_2021.xlsx]原始数据'!$A:$A,ROW(A1)+331),"")</f>
        <v/>
      </c>
      <c r="C332">
        <f>IFERROR(INDEX('[AQ_2022.xlsx]原始数据'!$A:$A,ROW(A1)+331),"")</f>
        <v/>
      </c>
      <c r="D332">
        <f>IFERROR(INDEX('[AQ_2023.xlsx]原始数据'!$A:$A,ROW(A1)+331),"")</f>
        <v/>
      </c>
      <c r="E332">
        <f>IFERROR(INDEX('[AQ_2024.xlsx]原始数据'!$A:$A,ROW(A1)+331),"")</f>
        <v/>
      </c>
      <c r="G332">
        <f>IF(331&lt;=1000,INDEX($A$2:$A$1001,331),IF(331&lt;=2000,INDEX($B$2:$B$1001,-669),IF(331&lt;=3000,INDEX($C$2:$C$1001,-1669),IF(331&lt;=4000,INDEX($D$2:$D$1001,-2669),IF(331&lt;=5000,INDEX($E$2:$E$1001,-3669),"")))))</f>
        <v/>
      </c>
    </row>
    <row r="333">
      <c r="A333">
        <f>IFERROR(INDEX('[AQ_2020.xlsx]原始数据'!$A:$A,ROW(A1)+332),"")</f>
        <v/>
      </c>
      <c r="B333">
        <f>IFERROR(INDEX('[AQ_2021.xlsx]原始数据'!$A:$A,ROW(A1)+332),"")</f>
        <v/>
      </c>
      <c r="C333">
        <f>IFERROR(INDEX('[AQ_2022.xlsx]原始数据'!$A:$A,ROW(A1)+332),"")</f>
        <v/>
      </c>
      <c r="D333">
        <f>IFERROR(INDEX('[AQ_2023.xlsx]原始数据'!$A:$A,ROW(A1)+332),"")</f>
        <v/>
      </c>
      <c r="E333">
        <f>IFERROR(INDEX('[AQ_2024.xlsx]原始数据'!$A:$A,ROW(A1)+332),"")</f>
        <v/>
      </c>
      <c r="G333">
        <f>IF(332&lt;=1000,INDEX($A$2:$A$1001,332),IF(332&lt;=2000,INDEX($B$2:$B$1001,-668),IF(332&lt;=3000,INDEX($C$2:$C$1001,-1668),IF(332&lt;=4000,INDEX($D$2:$D$1001,-2668),IF(332&lt;=5000,INDEX($E$2:$E$1001,-3668),"")))))</f>
        <v/>
      </c>
    </row>
    <row r="334">
      <c r="A334">
        <f>IFERROR(INDEX('[AQ_2020.xlsx]原始数据'!$A:$A,ROW(A1)+333),"")</f>
        <v/>
      </c>
      <c r="B334">
        <f>IFERROR(INDEX('[AQ_2021.xlsx]原始数据'!$A:$A,ROW(A1)+333),"")</f>
        <v/>
      </c>
      <c r="C334">
        <f>IFERROR(INDEX('[AQ_2022.xlsx]原始数据'!$A:$A,ROW(A1)+333),"")</f>
        <v/>
      </c>
      <c r="D334">
        <f>IFERROR(INDEX('[AQ_2023.xlsx]原始数据'!$A:$A,ROW(A1)+333),"")</f>
        <v/>
      </c>
      <c r="E334">
        <f>IFERROR(INDEX('[AQ_2024.xlsx]原始数据'!$A:$A,ROW(A1)+333),"")</f>
        <v/>
      </c>
      <c r="G334">
        <f>IF(333&lt;=1000,INDEX($A$2:$A$1001,333),IF(333&lt;=2000,INDEX($B$2:$B$1001,-667),IF(333&lt;=3000,INDEX($C$2:$C$1001,-1667),IF(333&lt;=4000,INDEX($D$2:$D$1001,-2667),IF(333&lt;=5000,INDEX($E$2:$E$1001,-3667),"")))))</f>
        <v/>
      </c>
    </row>
    <row r="335">
      <c r="A335">
        <f>IFERROR(INDEX('[AQ_2020.xlsx]原始数据'!$A:$A,ROW(A1)+334),"")</f>
        <v/>
      </c>
      <c r="B335">
        <f>IFERROR(INDEX('[AQ_2021.xlsx]原始数据'!$A:$A,ROW(A1)+334),"")</f>
        <v/>
      </c>
      <c r="C335">
        <f>IFERROR(INDEX('[AQ_2022.xlsx]原始数据'!$A:$A,ROW(A1)+334),"")</f>
        <v/>
      </c>
      <c r="D335">
        <f>IFERROR(INDEX('[AQ_2023.xlsx]原始数据'!$A:$A,ROW(A1)+334),"")</f>
        <v/>
      </c>
      <c r="E335">
        <f>IFERROR(INDEX('[AQ_2024.xlsx]原始数据'!$A:$A,ROW(A1)+334),"")</f>
        <v/>
      </c>
      <c r="G335">
        <f>IF(334&lt;=1000,INDEX($A$2:$A$1001,334),IF(334&lt;=2000,INDEX($B$2:$B$1001,-666),IF(334&lt;=3000,INDEX($C$2:$C$1001,-1666),IF(334&lt;=4000,INDEX($D$2:$D$1001,-2666),IF(334&lt;=5000,INDEX($E$2:$E$1001,-3666),"")))))</f>
        <v/>
      </c>
    </row>
    <row r="336">
      <c r="A336">
        <f>IFERROR(INDEX('[AQ_2020.xlsx]原始数据'!$A:$A,ROW(A1)+335),"")</f>
        <v/>
      </c>
      <c r="B336">
        <f>IFERROR(INDEX('[AQ_2021.xlsx]原始数据'!$A:$A,ROW(A1)+335),"")</f>
        <v/>
      </c>
      <c r="C336">
        <f>IFERROR(INDEX('[AQ_2022.xlsx]原始数据'!$A:$A,ROW(A1)+335),"")</f>
        <v/>
      </c>
      <c r="D336">
        <f>IFERROR(INDEX('[AQ_2023.xlsx]原始数据'!$A:$A,ROW(A1)+335),"")</f>
        <v/>
      </c>
      <c r="E336">
        <f>IFERROR(INDEX('[AQ_2024.xlsx]原始数据'!$A:$A,ROW(A1)+335),"")</f>
        <v/>
      </c>
      <c r="G336">
        <f>IF(335&lt;=1000,INDEX($A$2:$A$1001,335),IF(335&lt;=2000,INDEX($B$2:$B$1001,-665),IF(335&lt;=3000,INDEX($C$2:$C$1001,-1665),IF(335&lt;=4000,INDEX($D$2:$D$1001,-2665),IF(335&lt;=5000,INDEX($E$2:$E$1001,-3665),"")))))</f>
        <v/>
      </c>
    </row>
    <row r="337">
      <c r="A337">
        <f>IFERROR(INDEX('[AQ_2020.xlsx]原始数据'!$A:$A,ROW(A1)+336),"")</f>
        <v/>
      </c>
      <c r="B337">
        <f>IFERROR(INDEX('[AQ_2021.xlsx]原始数据'!$A:$A,ROW(A1)+336),"")</f>
        <v/>
      </c>
      <c r="C337">
        <f>IFERROR(INDEX('[AQ_2022.xlsx]原始数据'!$A:$A,ROW(A1)+336),"")</f>
        <v/>
      </c>
      <c r="D337">
        <f>IFERROR(INDEX('[AQ_2023.xlsx]原始数据'!$A:$A,ROW(A1)+336),"")</f>
        <v/>
      </c>
      <c r="E337">
        <f>IFERROR(INDEX('[AQ_2024.xlsx]原始数据'!$A:$A,ROW(A1)+336),"")</f>
        <v/>
      </c>
      <c r="G337">
        <f>IF(336&lt;=1000,INDEX($A$2:$A$1001,336),IF(336&lt;=2000,INDEX($B$2:$B$1001,-664),IF(336&lt;=3000,INDEX($C$2:$C$1001,-1664),IF(336&lt;=4000,INDEX($D$2:$D$1001,-2664),IF(336&lt;=5000,INDEX($E$2:$E$1001,-3664),"")))))</f>
        <v/>
      </c>
    </row>
    <row r="338">
      <c r="A338">
        <f>IFERROR(INDEX('[AQ_2020.xlsx]原始数据'!$A:$A,ROW(A1)+337),"")</f>
        <v/>
      </c>
      <c r="B338">
        <f>IFERROR(INDEX('[AQ_2021.xlsx]原始数据'!$A:$A,ROW(A1)+337),"")</f>
        <v/>
      </c>
      <c r="C338">
        <f>IFERROR(INDEX('[AQ_2022.xlsx]原始数据'!$A:$A,ROW(A1)+337),"")</f>
        <v/>
      </c>
      <c r="D338">
        <f>IFERROR(INDEX('[AQ_2023.xlsx]原始数据'!$A:$A,ROW(A1)+337),"")</f>
        <v/>
      </c>
      <c r="E338">
        <f>IFERROR(INDEX('[AQ_2024.xlsx]原始数据'!$A:$A,ROW(A1)+337),"")</f>
        <v/>
      </c>
      <c r="G338">
        <f>IF(337&lt;=1000,INDEX($A$2:$A$1001,337),IF(337&lt;=2000,INDEX($B$2:$B$1001,-663),IF(337&lt;=3000,INDEX($C$2:$C$1001,-1663),IF(337&lt;=4000,INDEX($D$2:$D$1001,-2663),IF(337&lt;=5000,INDEX($E$2:$E$1001,-3663),"")))))</f>
        <v/>
      </c>
    </row>
    <row r="339">
      <c r="A339">
        <f>IFERROR(INDEX('[AQ_2020.xlsx]原始数据'!$A:$A,ROW(A1)+338),"")</f>
        <v/>
      </c>
      <c r="B339">
        <f>IFERROR(INDEX('[AQ_2021.xlsx]原始数据'!$A:$A,ROW(A1)+338),"")</f>
        <v/>
      </c>
      <c r="C339">
        <f>IFERROR(INDEX('[AQ_2022.xlsx]原始数据'!$A:$A,ROW(A1)+338),"")</f>
        <v/>
      </c>
      <c r="D339">
        <f>IFERROR(INDEX('[AQ_2023.xlsx]原始数据'!$A:$A,ROW(A1)+338),"")</f>
        <v/>
      </c>
      <c r="E339">
        <f>IFERROR(INDEX('[AQ_2024.xlsx]原始数据'!$A:$A,ROW(A1)+338),"")</f>
        <v/>
      </c>
      <c r="G339">
        <f>IF(338&lt;=1000,INDEX($A$2:$A$1001,338),IF(338&lt;=2000,INDEX($B$2:$B$1001,-662),IF(338&lt;=3000,INDEX($C$2:$C$1001,-1662),IF(338&lt;=4000,INDEX($D$2:$D$1001,-2662),IF(338&lt;=5000,INDEX($E$2:$E$1001,-3662),"")))))</f>
        <v/>
      </c>
    </row>
    <row r="340">
      <c r="A340">
        <f>IFERROR(INDEX('[AQ_2020.xlsx]原始数据'!$A:$A,ROW(A1)+339),"")</f>
        <v/>
      </c>
      <c r="B340">
        <f>IFERROR(INDEX('[AQ_2021.xlsx]原始数据'!$A:$A,ROW(A1)+339),"")</f>
        <v/>
      </c>
      <c r="C340">
        <f>IFERROR(INDEX('[AQ_2022.xlsx]原始数据'!$A:$A,ROW(A1)+339),"")</f>
        <v/>
      </c>
      <c r="D340">
        <f>IFERROR(INDEX('[AQ_2023.xlsx]原始数据'!$A:$A,ROW(A1)+339),"")</f>
        <v/>
      </c>
      <c r="E340">
        <f>IFERROR(INDEX('[AQ_2024.xlsx]原始数据'!$A:$A,ROW(A1)+339),"")</f>
        <v/>
      </c>
      <c r="G340">
        <f>IF(339&lt;=1000,INDEX($A$2:$A$1001,339),IF(339&lt;=2000,INDEX($B$2:$B$1001,-661),IF(339&lt;=3000,INDEX($C$2:$C$1001,-1661),IF(339&lt;=4000,INDEX($D$2:$D$1001,-2661),IF(339&lt;=5000,INDEX($E$2:$E$1001,-3661),"")))))</f>
        <v/>
      </c>
    </row>
    <row r="341">
      <c r="A341">
        <f>IFERROR(INDEX('[AQ_2020.xlsx]原始数据'!$A:$A,ROW(A1)+340),"")</f>
        <v/>
      </c>
      <c r="B341">
        <f>IFERROR(INDEX('[AQ_2021.xlsx]原始数据'!$A:$A,ROW(A1)+340),"")</f>
        <v/>
      </c>
      <c r="C341">
        <f>IFERROR(INDEX('[AQ_2022.xlsx]原始数据'!$A:$A,ROW(A1)+340),"")</f>
        <v/>
      </c>
      <c r="D341">
        <f>IFERROR(INDEX('[AQ_2023.xlsx]原始数据'!$A:$A,ROW(A1)+340),"")</f>
        <v/>
      </c>
      <c r="E341">
        <f>IFERROR(INDEX('[AQ_2024.xlsx]原始数据'!$A:$A,ROW(A1)+340),"")</f>
        <v/>
      </c>
      <c r="G341">
        <f>IF(340&lt;=1000,INDEX($A$2:$A$1001,340),IF(340&lt;=2000,INDEX($B$2:$B$1001,-660),IF(340&lt;=3000,INDEX($C$2:$C$1001,-1660),IF(340&lt;=4000,INDEX($D$2:$D$1001,-2660),IF(340&lt;=5000,INDEX($E$2:$E$1001,-3660),"")))))</f>
        <v/>
      </c>
    </row>
    <row r="342">
      <c r="A342">
        <f>IFERROR(INDEX('[AQ_2020.xlsx]原始数据'!$A:$A,ROW(A1)+341),"")</f>
        <v/>
      </c>
      <c r="B342">
        <f>IFERROR(INDEX('[AQ_2021.xlsx]原始数据'!$A:$A,ROW(A1)+341),"")</f>
        <v/>
      </c>
      <c r="C342">
        <f>IFERROR(INDEX('[AQ_2022.xlsx]原始数据'!$A:$A,ROW(A1)+341),"")</f>
        <v/>
      </c>
      <c r="D342">
        <f>IFERROR(INDEX('[AQ_2023.xlsx]原始数据'!$A:$A,ROW(A1)+341),"")</f>
        <v/>
      </c>
      <c r="E342">
        <f>IFERROR(INDEX('[AQ_2024.xlsx]原始数据'!$A:$A,ROW(A1)+341),"")</f>
        <v/>
      </c>
      <c r="G342">
        <f>IF(341&lt;=1000,INDEX($A$2:$A$1001,341),IF(341&lt;=2000,INDEX($B$2:$B$1001,-659),IF(341&lt;=3000,INDEX($C$2:$C$1001,-1659),IF(341&lt;=4000,INDEX($D$2:$D$1001,-2659),IF(341&lt;=5000,INDEX($E$2:$E$1001,-3659),"")))))</f>
        <v/>
      </c>
    </row>
    <row r="343">
      <c r="A343">
        <f>IFERROR(INDEX('[AQ_2020.xlsx]原始数据'!$A:$A,ROW(A1)+342),"")</f>
        <v/>
      </c>
      <c r="B343">
        <f>IFERROR(INDEX('[AQ_2021.xlsx]原始数据'!$A:$A,ROW(A1)+342),"")</f>
        <v/>
      </c>
      <c r="C343">
        <f>IFERROR(INDEX('[AQ_2022.xlsx]原始数据'!$A:$A,ROW(A1)+342),"")</f>
        <v/>
      </c>
      <c r="D343">
        <f>IFERROR(INDEX('[AQ_2023.xlsx]原始数据'!$A:$A,ROW(A1)+342),"")</f>
        <v/>
      </c>
      <c r="E343">
        <f>IFERROR(INDEX('[AQ_2024.xlsx]原始数据'!$A:$A,ROW(A1)+342),"")</f>
        <v/>
      </c>
      <c r="G343">
        <f>IF(342&lt;=1000,INDEX($A$2:$A$1001,342),IF(342&lt;=2000,INDEX($B$2:$B$1001,-658),IF(342&lt;=3000,INDEX($C$2:$C$1001,-1658),IF(342&lt;=4000,INDEX($D$2:$D$1001,-2658),IF(342&lt;=5000,INDEX($E$2:$E$1001,-3658),"")))))</f>
        <v/>
      </c>
    </row>
    <row r="344">
      <c r="A344">
        <f>IFERROR(INDEX('[AQ_2020.xlsx]原始数据'!$A:$A,ROW(A1)+343),"")</f>
        <v/>
      </c>
      <c r="B344">
        <f>IFERROR(INDEX('[AQ_2021.xlsx]原始数据'!$A:$A,ROW(A1)+343),"")</f>
        <v/>
      </c>
      <c r="C344">
        <f>IFERROR(INDEX('[AQ_2022.xlsx]原始数据'!$A:$A,ROW(A1)+343),"")</f>
        <v/>
      </c>
      <c r="D344">
        <f>IFERROR(INDEX('[AQ_2023.xlsx]原始数据'!$A:$A,ROW(A1)+343),"")</f>
        <v/>
      </c>
      <c r="E344">
        <f>IFERROR(INDEX('[AQ_2024.xlsx]原始数据'!$A:$A,ROW(A1)+343),"")</f>
        <v/>
      </c>
      <c r="G344">
        <f>IF(343&lt;=1000,INDEX($A$2:$A$1001,343),IF(343&lt;=2000,INDEX($B$2:$B$1001,-657),IF(343&lt;=3000,INDEX($C$2:$C$1001,-1657),IF(343&lt;=4000,INDEX($D$2:$D$1001,-2657),IF(343&lt;=5000,INDEX($E$2:$E$1001,-3657),"")))))</f>
        <v/>
      </c>
    </row>
    <row r="345">
      <c r="A345">
        <f>IFERROR(INDEX('[AQ_2020.xlsx]原始数据'!$A:$A,ROW(A1)+344),"")</f>
        <v/>
      </c>
      <c r="B345">
        <f>IFERROR(INDEX('[AQ_2021.xlsx]原始数据'!$A:$A,ROW(A1)+344),"")</f>
        <v/>
      </c>
      <c r="C345">
        <f>IFERROR(INDEX('[AQ_2022.xlsx]原始数据'!$A:$A,ROW(A1)+344),"")</f>
        <v/>
      </c>
      <c r="D345">
        <f>IFERROR(INDEX('[AQ_2023.xlsx]原始数据'!$A:$A,ROW(A1)+344),"")</f>
        <v/>
      </c>
      <c r="E345">
        <f>IFERROR(INDEX('[AQ_2024.xlsx]原始数据'!$A:$A,ROW(A1)+344),"")</f>
        <v/>
      </c>
      <c r="G345">
        <f>IF(344&lt;=1000,INDEX($A$2:$A$1001,344),IF(344&lt;=2000,INDEX($B$2:$B$1001,-656),IF(344&lt;=3000,INDEX($C$2:$C$1001,-1656),IF(344&lt;=4000,INDEX($D$2:$D$1001,-2656),IF(344&lt;=5000,INDEX($E$2:$E$1001,-3656),"")))))</f>
        <v/>
      </c>
    </row>
    <row r="346">
      <c r="A346">
        <f>IFERROR(INDEX('[AQ_2020.xlsx]原始数据'!$A:$A,ROW(A1)+345),"")</f>
        <v/>
      </c>
      <c r="B346">
        <f>IFERROR(INDEX('[AQ_2021.xlsx]原始数据'!$A:$A,ROW(A1)+345),"")</f>
        <v/>
      </c>
      <c r="C346">
        <f>IFERROR(INDEX('[AQ_2022.xlsx]原始数据'!$A:$A,ROW(A1)+345),"")</f>
        <v/>
      </c>
      <c r="D346">
        <f>IFERROR(INDEX('[AQ_2023.xlsx]原始数据'!$A:$A,ROW(A1)+345),"")</f>
        <v/>
      </c>
      <c r="E346">
        <f>IFERROR(INDEX('[AQ_2024.xlsx]原始数据'!$A:$A,ROW(A1)+345),"")</f>
        <v/>
      </c>
      <c r="G346">
        <f>IF(345&lt;=1000,INDEX($A$2:$A$1001,345),IF(345&lt;=2000,INDEX($B$2:$B$1001,-655),IF(345&lt;=3000,INDEX($C$2:$C$1001,-1655),IF(345&lt;=4000,INDEX($D$2:$D$1001,-2655),IF(345&lt;=5000,INDEX($E$2:$E$1001,-3655),"")))))</f>
        <v/>
      </c>
    </row>
    <row r="347">
      <c r="A347">
        <f>IFERROR(INDEX('[AQ_2020.xlsx]原始数据'!$A:$A,ROW(A1)+346),"")</f>
        <v/>
      </c>
      <c r="B347">
        <f>IFERROR(INDEX('[AQ_2021.xlsx]原始数据'!$A:$A,ROW(A1)+346),"")</f>
        <v/>
      </c>
      <c r="C347">
        <f>IFERROR(INDEX('[AQ_2022.xlsx]原始数据'!$A:$A,ROW(A1)+346),"")</f>
        <v/>
      </c>
      <c r="D347">
        <f>IFERROR(INDEX('[AQ_2023.xlsx]原始数据'!$A:$A,ROW(A1)+346),"")</f>
        <v/>
      </c>
      <c r="E347">
        <f>IFERROR(INDEX('[AQ_2024.xlsx]原始数据'!$A:$A,ROW(A1)+346),"")</f>
        <v/>
      </c>
      <c r="G347">
        <f>IF(346&lt;=1000,INDEX($A$2:$A$1001,346),IF(346&lt;=2000,INDEX($B$2:$B$1001,-654),IF(346&lt;=3000,INDEX($C$2:$C$1001,-1654),IF(346&lt;=4000,INDEX($D$2:$D$1001,-2654),IF(346&lt;=5000,INDEX($E$2:$E$1001,-3654),"")))))</f>
        <v/>
      </c>
    </row>
    <row r="348">
      <c r="A348">
        <f>IFERROR(INDEX('[AQ_2020.xlsx]原始数据'!$A:$A,ROW(A1)+347),"")</f>
        <v/>
      </c>
      <c r="B348">
        <f>IFERROR(INDEX('[AQ_2021.xlsx]原始数据'!$A:$A,ROW(A1)+347),"")</f>
        <v/>
      </c>
      <c r="C348">
        <f>IFERROR(INDEX('[AQ_2022.xlsx]原始数据'!$A:$A,ROW(A1)+347),"")</f>
        <v/>
      </c>
      <c r="D348">
        <f>IFERROR(INDEX('[AQ_2023.xlsx]原始数据'!$A:$A,ROW(A1)+347),"")</f>
        <v/>
      </c>
      <c r="E348">
        <f>IFERROR(INDEX('[AQ_2024.xlsx]原始数据'!$A:$A,ROW(A1)+347),"")</f>
        <v/>
      </c>
      <c r="G348">
        <f>IF(347&lt;=1000,INDEX($A$2:$A$1001,347),IF(347&lt;=2000,INDEX($B$2:$B$1001,-653),IF(347&lt;=3000,INDEX($C$2:$C$1001,-1653),IF(347&lt;=4000,INDEX($D$2:$D$1001,-2653),IF(347&lt;=5000,INDEX($E$2:$E$1001,-3653),"")))))</f>
        <v/>
      </c>
    </row>
    <row r="349">
      <c r="A349">
        <f>IFERROR(INDEX('[AQ_2020.xlsx]原始数据'!$A:$A,ROW(A1)+348),"")</f>
        <v/>
      </c>
      <c r="B349">
        <f>IFERROR(INDEX('[AQ_2021.xlsx]原始数据'!$A:$A,ROW(A1)+348),"")</f>
        <v/>
      </c>
      <c r="C349">
        <f>IFERROR(INDEX('[AQ_2022.xlsx]原始数据'!$A:$A,ROW(A1)+348),"")</f>
        <v/>
      </c>
      <c r="D349">
        <f>IFERROR(INDEX('[AQ_2023.xlsx]原始数据'!$A:$A,ROW(A1)+348),"")</f>
        <v/>
      </c>
      <c r="E349">
        <f>IFERROR(INDEX('[AQ_2024.xlsx]原始数据'!$A:$A,ROW(A1)+348),"")</f>
        <v/>
      </c>
      <c r="G349">
        <f>IF(348&lt;=1000,INDEX($A$2:$A$1001,348),IF(348&lt;=2000,INDEX($B$2:$B$1001,-652),IF(348&lt;=3000,INDEX($C$2:$C$1001,-1652),IF(348&lt;=4000,INDEX($D$2:$D$1001,-2652),IF(348&lt;=5000,INDEX($E$2:$E$1001,-3652),"")))))</f>
        <v/>
      </c>
    </row>
    <row r="350">
      <c r="A350">
        <f>IFERROR(INDEX('[AQ_2020.xlsx]原始数据'!$A:$A,ROW(A1)+349),"")</f>
        <v/>
      </c>
      <c r="B350">
        <f>IFERROR(INDEX('[AQ_2021.xlsx]原始数据'!$A:$A,ROW(A1)+349),"")</f>
        <v/>
      </c>
      <c r="C350">
        <f>IFERROR(INDEX('[AQ_2022.xlsx]原始数据'!$A:$A,ROW(A1)+349),"")</f>
        <v/>
      </c>
      <c r="D350">
        <f>IFERROR(INDEX('[AQ_2023.xlsx]原始数据'!$A:$A,ROW(A1)+349),"")</f>
        <v/>
      </c>
      <c r="E350">
        <f>IFERROR(INDEX('[AQ_2024.xlsx]原始数据'!$A:$A,ROW(A1)+349),"")</f>
        <v/>
      </c>
      <c r="G350">
        <f>IF(349&lt;=1000,INDEX($A$2:$A$1001,349),IF(349&lt;=2000,INDEX($B$2:$B$1001,-651),IF(349&lt;=3000,INDEX($C$2:$C$1001,-1651),IF(349&lt;=4000,INDEX($D$2:$D$1001,-2651),IF(349&lt;=5000,INDEX($E$2:$E$1001,-3651),"")))))</f>
        <v/>
      </c>
    </row>
    <row r="351">
      <c r="A351">
        <f>IFERROR(INDEX('[AQ_2020.xlsx]原始数据'!$A:$A,ROW(A1)+350),"")</f>
        <v/>
      </c>
      <c r="B351">
        <f>IFERROR(INDEX('[AQ_2021.xlsx]原始数据'!$A:$A,ROW(A1)+350),"")</f>
        <v/>
      </c>
      <c r="C351">
        <f>IFERROR(INDEX('[AQ_2022.xlsx]原始数据'!$A:$A,ROW(A1)+350),"")</f>
        <v/>
      </c>
      <c r="D351">
        <f>IFERROR(INDEX('[AQ_2023.xlsx]原始数据'!$A:$A,ROW(A1)+350),"")</f>
        <v/>
      </c>
      <c r="E351">
        <f>IFERROR(INDEX('[AQ_2024.xlsx]原始数据'!$A:$A,ROW(A1)+350),"")</f>
        <v/>
      </c>
      <c r="G351">
        <f>IF(350&lt;=1000,INDEX($A$2:$A$1001,350),IF(350&lt;=2000,INDEX($B$2:$B$1001,-650),IF(350&lt;=3000,INDEX($C$2:$C$1001,-1650),IF(350&lt;=4000,INDEX($D$2:$D$1001,-2650),IF(350&lt;=5000,INDEX($E$2:$E$1001,-3650),"")))))</f>
        <v/>
      </c>
    </row>
    <row r="352">
      <c r="A352">
        <f>IFERROR(INDEX('[AQ_2020.xlsx]原始数据'!$A:$A,ROW(A1)+351),"")</f>
        <v/>
      </c>
      <c r="B352">
        <f>IFERROR(INDEX('[AQ_2021.xlsx]原始数据'!$A:$A,ROW(A1)+351),"")</f>
        <v/>
      </c>
      <c r="C352">
        <f>IFERROR(INDEX('[AQ_2022.xlsx]原始数据'!$A:$A,ROW(A1)+351),"")</f>
        <v/>
      </c>
      <c r="D352">
        <f>IFERROR(INDEX('[AQ_2023.xlsx]原始数据'!$A:$A,ROW(A1)+351),"")</f>
        <v/>
      </c>
      <c r="E352">
        <f>IFERROR(INDEX('[AQ_2024.xlsx]原始数据'!$A:$A,ROW(A1)+351),"")</f>
        <v/>
      </c>
      <c r="G352">
        <f>IF(351&lt;=1000,INDEX($A$2:$A$1001,351),IF(351&lt;=2000,INDEX($B$2:$B$1001,-649),IF(351&lt;=3000,INDEX($C$2:$C$1001,-1649),IF(351&lt;=4000,INDEX($D$2:$D$1001,-2649),IF(351&lt;=5000,INDEX($E$2:$E$1001,-3649),"")))))</f>
        <v/>
      </c>
    </row>
    <row r="353">
      <c r="A353">
        <f>IFERROR(INDEX('[AQ_2020.xlsx]原始数据'!$A:$A,ROW(A1)+352),"")</f>
        <v/>
      </c>
      <c r="B353">
        <f>IFERROR(INDEX('[AQ_2021.xlsx]原始数据'!$A:$A,ROW(A1)+352),"")</f>
        <v/>
      </c>
      <c r="C353">
        <f>IFERROR(INDEX('[AQ_2022.xlsx]原始数据'!$A:$A,ROW(A1)+352),"")</f>
        <v/>
      </c>
      <c r="D353">
        <f>IFERROR(INDEX('[AQ_2023.xlsx]原始数据'!$A:$A,ROW(A1)+352),"")</f>
        <v/>
      </c>
      <c r="E353">
        <f>IFERROR(INDEX('[AQ_2024.xlsx]原始数据'!$A:$A,ROW(A1)+352),"")</f>
        <v/>
      </c>
      <c r="G353">
        <f>IF(352&lt;=1000,INDEX($A$2:$A$1001,352),IF(352&lt;=2000,INDEX($B$2:$B$1001,-648),IF(352&lt;=3000,INDEX($C$2:$C$1001,-1648),IF(352&lt;=4000,INDEX($D$2:$D$1001,-2648),IF(352&lt;=5000,INDEX($E$2:$E$1001,-3648),"")))))</f>
        <v/>
      </c>
    </row>
    <row r="354">
      <c r="A354">
        <f>IFERROR(INDEX('[AQ_2020.xlsx]原始数据'!$A:$A,ROW(A1)+353),"")</f>
        <v/>
      </c>
      <c r="B354">
        <f>IFERROR(INDEX('[AQ_2021.xlsx]原始数据'!$A:$A,ROW(A1)+353),"")</f>
        <v/>
      </c>
      <c r="C354">
        <f>IFERROR(INDEX('[AQ_2022.xlsx]原始数据'!$A:$A,ROW(A1)+353),"")</f>
        <v/>
      </c>
      <c r="D354">
        <f>IFERROR(INDEX('[AQ_2023.xlsx]原始数据'!$A:$A,ROW(A1)+353),"")</f>
        <v/>
      </c>
      <c r="E354">
        <f>IFERROR(INDEX('[AQ_2024.xlsx]原始数据'!$A:$A,ROW(A1)+353),"")</f>
        <v/>
      </c>
      <c r="G354">
        <f>IF(353&lt;=1000,INDEX($A$2:$A$1001,353),IF(353&lt;=2000,INDEX($B$2:$B$1001,-647),IF(353&lt;=3000,INDEX($C$2:$C$1001,-1647),IF(353&lt;=4000,INDEX($D$2:$D$1001,-2647),IF(353&lt;=5000,INDEX($E$2:$E$1001,-3647),"")))))</f>
        <v/>
      </c>
    </row>
    <row r="355">
      <c r="A355">
        <f>IFERROR(INDEX('[AQ_2020.xlsx]原始数据'!$A:$A,ROW(A1)+354),"")</f>
        <v/>
      </c>
      <c r="B355">
        <f>IFERROR(INDEX('[AQ_2021.xlsx]原始数据'!$A:$A,ROW(A1)+354),"")</f>
        <v/>
      </c>
      <c r="C355">
        <f>IFERROR(INDEX('[AQ_2022.xlsx]原始数据'!$A:$A,ROW(A1)+354),"")</f>
        <v/>
      </c>
      <c r="D355">
        <f>IFERROR(INDEX('[AQ_2023.xlsx]原始数据'!$A:$A,ROW(A1)+354),"")</f>
        <v/>
      </c>
      <c r="E355">
        <f>IFERROR(INDEX('[AQ_2024.xlsx]原始数据'!$A:$A,ROW(A1)+354),"")</f>
        <v/>
      </c>
      <c r="G355">
        <f>IF(354&lt;=1000,INDEX($A$2:$A$1001,354),IF(354&lt;=2000,INDEX($B$2:$B$1001,-646),IF(354&lt;=3000,INDEX($C$2:$C$1001,-1646),IF(354&lt;=4000,INDEX($D$2:$D$1001,-2646),IF(354&lt;=5000,INDEX($E$2:$E$1001,-3646),"")))))</f>
        <v/>
      </c>
    </row>
    <row r="356">
      <c r="A356">
        <f>IFERROR(INDEX('[AQ_2020.xlsx]原始数据'!$A:$A,ROW(A1)+355),"")</f>
        <v/>
      </c>
      <c r="B356">
        <f>IFERROR(INDEX('[AQ_2021.xlsx]原始数据'!$A:$A,ROW(A1)+355),"")</f>
        <v/>
      </c>
      <c r="C356">
        <f>IFERROR(INDEX('[AQ_2022.xlsx]原始数据'!$A:$A,ROW(A1)+355),"")</f>
        <v/>
      </c>
      <c r="D356">
        <f>IFERROR(INDEX('[AQ_2023.xlsx]原始数据'!$A:$A,ROW(A1)+355),"")</f>
        <v/>
      </c>
      <c r="E356">
        <f>IFERROR(INDEX('[AQ_2024.xlsx]原始数据'!$A:$A,ROW(A1)+355),"")</f>
        <v/>
      </c>
      <c r="G356">
        <f>IF(355&lt;=1000,INDEX($A$2:$A$1001,355),IF(355&lt;=2000,INDEX($B$2:$B$1001,-645),IF(355&lt;=3000,INDEX($C$2:$C$1001,-1645),IF(355&lt;=4000,INDEX($D$2:$D$1001,-2645),IF(355&lt;=5000,INDEX($E$2:$E$1001,-3645),"")))))</f>
        <v/>
      </c>
    </row>
    <row r="357">
      <c r="A357">
        <f>IFERROR(INDEX('[AQ_2020.xlsx]原始数据'!$A:$A,ROW(A1)+356),"")</f>
        <v/>
      </c>
      <c r="B357">
        <f>IFERROR(INDEX('[AQ_2021.xlsx]原始数据'!$A:$A,ROW(A1)+356),"")</f>
        <v/>
      </c>
      <c r="C357">
        <f>IFERROR(INDEX('[AQ_2022.xlsx]原始数据'!$A:$A,ROW(A1)+356),"")</f>
        <v/>
      </c>
      <c r="D357">
        <f>IFERROR(INDEX('[AQ_2023.xlsx]原始数据'!$A:$A,ROW(A1)+356),"")</f>
        <v/>
      </c>
      <c r="E357">
        <f>IFERROR(INDEX('[AQ_2024.xlsx]原始数据'!$A:$A,ROW(A1)+356),"")</f>
        <v/>
      </c>
      <c r="G357">
        <f>IF(356&lt;=1000,INDEX($A$2:$A$1001,356),IF(356&lt;=2000,INDEX($B$2:$B$1001,-644),IF(356&lt;=3000,INDEX($C$2:$C$1001,-1644),IF(356&lt;=4000,INDEX($D$2:$D$1001,-2644),IF(356&lt;=5000,INDEX($E$2:$E$1001,-3644),"")))))</f>
        <v/>
      </c>
    </row>
    <row r="358">
      <c r="A358">
        <f>IFERROR(INDEX('[AQ_2020.xlsx]原始数据'!$A:$A,ROW(A1)+357),"")</f>
        <v/>
      </c>
      <c r="B358">
        <f>IFERROR(INDEX('[AQ_2021.xlsx]原始数据'!$A:$A,ROW(A1)+357),"")</f>
        <v/>
      </c>
      <c r="C358">
        <f>IFERROR(INDEX('[AQ_2022.xlsx]原始数据'!$A:$A,ROW(A1)+357),"")</f>
        <v/>
      </c>
      <c r="D358">
        <f>IFERROR(INDEX('[AQ_2023.xlsx]原始数据'!$A:$A,ROW(A1)+357),"")</f>
        <v/>
      </c>
      <c r="E358">
        <f>IFERROR(INDEX('[AQ_2024.xlsx]原始数据'!$A:$A,ROW(A1)+357),"")</f>
        <v/>
      </c>
      <c r="G358">
        <f>IF(357&lt;=1000,INDEX($A$2:$A$1001,357),IF(357&lt;=2000,INDEX($B$2:$B$1001,-643),IF(357&lt;=3000,INDEX($C$2:$C$1001,-1643),IF(357&lt;=4000,INDEX($D$2:$D$1001,-2643),IF(357&lt;=5000,INDEX($E$2:$E$1001,-3643),"")))))</f>
        <v/>
      </c>
    </row>
    <row r="359">
      <c r="A359">
        <f>IFERROR(INDEX('[AQ_2020.xlsx]原始数据'!$A:$A,ROW(A1)+358),"")</f>
        <v/>
      </c>
      <c r="B359">
        <f>IFERROR(INDEX('[AQ_2021.xlsx]原始数据'!$A:$A,ROW(A1)+358),"")</f>
        <v/>
      </c>
      <c r="C359">
        <f>IFERROR(INDEX('[AQ_2022.xlsx]原始数据'!$A:$A,ROW(A1)+358),"")</f>
        <v/>
      </c>
      <c r="D359">
        <f>IFERROR(INDEX('[AQ_2023.xlsx]原始数据'!$A:$A,ROW(A1)+358),"")</f>
        <v/>
      </c>
      <c r="E359">
        <f>IFERROR(INDEX('[AQ_2024.xlsx]原始数据'!$A:$A,ROW(A1)+358),"")</f>
        <v/>
      </c>
      <c r="G359">
        <f>IF(358&lt;=1000,INDEX($A$2:$A$1001,358),IF(358&lt;=2000,INDEX($B$2:$B$1001,-642),IF(358&lt;=3000,INDEX($C$2:$C$1001,-1642),IF(358&lt;=4000,INDEX($D$2:$D$1001,-2642),IF(358&lt;=5000,INDEX($E$2:$E$1001,-3642),"")))))</f>
        <v/>
      </c>
    </row>
    <row r="360">
      <c r="A360">
        <f>IFERROR(INDEX('[AQ_2020.xlsx]原始数据'!$A:$A,ROW(A1)+359),"")</f>
        <v/>
      </c>
      <c r="B360">
        <f>IFERROR(INDEX('[AQ_2021.xlsx]原始数据'!$A:$A,ROW(A1)+359),"")</f>
        <v/>
      </c>
      <c r="C360">
        <f>IFERROR(INDEX('[AQ_2022.xlsx]原始数据'!$A:$A,ROW(A1)+359),"")</f>
        <v/>
      </c>
      <c r="D360">
        <f>IFERROR(INDEX('[AQ_2023.xlsx]原始数据'!$A:$A,ROW(A1)+359),"")</f>
        <v/>
      </c>
      <c r="E360">
        <f>IFERROR(INDEX('[AQ_2024.xlsx]原始数据'!$A:$A,ROW(A1)+359),"")</f>
        <v/>
      </c>
      <c r="G360">
        <f>IF(359&lt;=1000,INDEX($A$2:$A$1001,359),IF(359&lt;=2000,INDEX($B$2:$B$1001,-641),IF(359&lt;=3000,INDEX($C$2:$C$1001,-1641),IF(359&lt;=4000,INDEX($D$2:$D$1001,-2641),IF(359&lt;=5000,INDEX($E$2:$E$1001,-3641),"")))))</f>
        <v/>
      </c>
    </row>
    <row r="361">
      <c r="A361">
        <f>IFERROR(INDEX('[AQ_2020.xlsx]原始数据'!$A:$A,ROW(A1)+360),"")</f>
        <v/>
      </c>
      <c r="B361">
        <f>IFERROR(INDEX('[AQ_2021.xlsx]原始数据'!$A:$A,ROW(A1)+360),"")</f>
        <v/>
      </c>
      <c r="C361">
        <f>IFERROR(INDEX('[AQ_2022.xlsx]原始数据'!$A:$A,ROW(A1)+360),"")</f>
        <v/>
      </c>
      <c r="D361">
        <f>IFERROR(INDEX('[AQ_2023.xlsx]原始数据'!$A:$A,ROW(A1)+360),"")</f>
        <v/>
      </c>
      <c r="E361">
        <f>IFERROR(INDEX('[AQ_2024.xlsx]原始数据'!$A:$A,ROW(A1)+360),"")</f>
        <v/>
      </c>
      <c r="G361">
        <f>IF(360&lt;=1000,INDEX($A$2:$A$1001,360),IF(360&lt;=2000,INDEX($B$2:$B$1001,-640),IF(360&lt;=3000,INDEX($C$2:$C$1001,-1640),IF(360&lt;=4000,INDEX($D$2:$D$1001,-2640),IF(360&lt;=5000,INDEX($E$2:$E$1001,-3640),"")))))</f>
        <v/>
      </c>
    </row>
    <row r="362">
      <c r="A362">
        <f>IFERROR(INDEX('[AQ_2020.xlsx]原始数据'!$A:$A,ROW(A1)+361),"")</f>
        <v/>
      </c>
      <c r="B362">
        <f>IFERROR(INDEX('[AQ_2021.xlsx]原始数据'!$A:$A,ROW(A1)+361),"")</f>
        <v/>
      </c>
      <c r="C362">
        <f>IFERROR(INDEX('[AQ_2022.xlsx]原始数据'!$A:$A,ROW(A1)+361),"")</f>
        <v/>
      </c>
      <c r="D362">
        <f>IFERROR(INDEX('[AQ_2023.xlsx]原始数据'!$A:$A,ROW(A1)+361),"")</f>
        <v/>
      </c>
      <c r="E362">
        <f>IFERROR(INDEX('[AQ_2024.xlsx]原始数据'!$A:$A,ROW(A1)+361),"")</f>
        <v/>
      </c>
      <c r="G362">
        <f>IF(361&lt;=1000,INDEX($A$2:$A$1001,361),IF(361&lt;=2000,INDEX($B$2:$B$1001,-639),IF(361&lt;=3000,INDEX($C$2:$C$1001,-1639),IF(361&lt;=4000,INDEX($D$2:$D$1001,-2639),IF(361&lt;=5000,INDEX($E$2:$E$1001,-3639),"")))))</f>
        <v/>
      </c>
    </row>
    <row r="363">
      <c r="A363">
        <f>IFERROR(INDEX('[AQ_2020.xlsx]原始数据'!$A:$A,ROW(A1)+362),"")</f>
        <v/>
      </c>
      <c r="B363">
        <f>IFERROR(INDEX('[AQ_2021.xlsx]原始数据'!$A:$A,ROW(A1)+362),"")</f>
        <v/>
      </c>
      <c r="C363">
        <f>IFERROR(INDEX('[AQ_2022.xlsx]原始数据'!$A:$A,ROW(A1)+362),"")</f>
        <v/>
      </c>
      <c r="D363">
        <f>IFERROR(INDEX('[AQ_2023.xlsx]原始数据'!$A:$A,ROW(A1)+362),"")</f>
        <v/>
      </c>
      <c r="E363">
        <f>IFERROR(INDEX('[AQ_2024.xlsx]原始数据'!$A:$A,ROW(A1)+362),"")</f>
        <v/>
      </c>
      <c r="G363">
        <f>IF(362&lt;=1000,INDEX($A$2:$A$1001,362),IF(362&lt;=2000,INDEX($B$2:$B$1001,-638),IF(362&lt;=3000,INDEX($C$2:$C$1001,-1638),IF(362&lt;=4000,INDEX($D$2:$D$1001,-2638),IF(362&lt;=5000,INDEX($E$2:$E$1001,-3638),"")))))</f>
        <v/>
      </c>
    </row>
    <row r="364">
      <c r="A364">
        <f>IFERROR(INDEX('[AQ_2020.xlsx]原始数据'!$A:$A,ROW(A1)+363),"")</f>
        <v/>
      </c>
      <c r="B364">
        <f>IFERROR(INDEX('[AQ_2021.xlsx]原始数据'!$A:$A,ROW(A1)+363),"")</f>
        <v/>
      </c>
      <c r="C364">
        <f>IFERROR(INDEX('[AQ_2022.xlsx]原始数据'!$A:$A,ROW(A1)+363),"")</f>
        <v/>
      </c>
      <c r="D364">
        <f>IFERROR(INDEX('[AQ_2023.xlsx]原始数据'!$A:$A,ROW(A1)+363),"")</f>
        <v/>
      </c>
      <c r="E364">
        <f>IFERROR(INDEX('[AQ_2024.xlsx]原始数据'!$A:$A,ROW(A1)+363),"")</f>
        <v/>
      </c>
      <c r="G364">
        <f>IF(363&lt;=1000,INDEX($A$2:$A$1001,363),IF(363&lt;=2000,INDEX($B$2:$B$1001,-637),IF(363&lt;=3000,INDEX($C$2:$C$1001,-1637),IF(363&lt;=4000,INDEX($D$2:$D$1001,-2637),IF(363&lt;=5000,INDEX($E$2:$E$1001,-3637),"")))))</f>
        <v/>
      </c>
    </row>
    <row r="365">
      <c r="A365">
        <f>IFERROR(INDEX('[AQ_2020.xlsx]原始数据'!$A:$A,ROW(A1)+364),"")</f>
        <v/>
      </c>
      <c r="B365">
        <f>IFERROR(INDEX('[AQ_2021.xlsx]原始数据'!$A:$A,ROW(A1)+364),"")</f>
        <v/>
      </c>
      <c r="C365">
        <f>IFERROR(INDEX('[AQ_2022.xlsx]原始数据'!$A:$A,ROW(A1)+364),"")</f>
        <v/>
      </c>
      <c r="D365">
        <f>IFERROR(INDEX('[AQ_2023.xlsx]原始数据'!$A:$A,ROW(A1)+364),"")</f>
        <v/>
      </c>
      <c r="E365">
        <f>IFERROR(INDEX('[AQ_2024.xlsx]原始数据'!$A:$A,ROW(A1)+364),"")</f>
        <v/>
      </c>
      <c r="G365">
        <f>IF(364&lt;=1000,INDEX($A$2:$A$1001,364),IF(364&lt;=2000,INDEX($B$2:$B$1001,-636),IF(364&lt;=3000,INDEX($C$2:$C$1001,-1636),IF(364&lt;=4000,INDEX($D$2:$D$1001,-2636),IF(364&lt;=5000,INDEX($E$2:$E$1001,-3636),"")))))</f>
        <v/>
      </c>
    </row>
    <row r="366">
      <c r="A366">
        <f>IFERROR(INDEX('[AQ_2020.xlsx]原始数据'!$A:$A,ROW(A1)+365),"")</f>
        <v/>
      </c>
      <c r="B366">
        <f>IFERROR(INDEX('[AQ_2021.xlsx]原始数据'!$A:$A,ROW(A1)+365),"")</f>
        <v/>
      </c>
      <c r="C366">
        <f>IFERROR(INDEX('[AQ_2022.xlsx]原始数据'!$A:$A,ROW(A1)+365),"")</f>
        <v/>
      </c>
      <c r="D366">
        <f>IFERROR(INDEX('[AQ_2023.xlsx]原始数据'!$A:$A,ROW(A1)+365),"")</f>
        <v/>
      </c>
      <c r="E366">
        <f>IFERROR(INDEX('[AQ_2024.xlsx]原始数据'!$A:$A,ROW(A1)+365),"")</f>
        <v/>
      </c>
      <c r="G366">
        <f>IF(365&lt;=1000,INDEX($A$2:$A$1001,365),IF(365&lt;=2000,INDEX($B$2:$B$1001,-635),IF(365&lt;=3000,INDEX($C$2:$C$1001,-1635),IF(365&lt;=4000,INDEX($D$2:$D$1001,-2635),IF(365&lt;=5000,INDEX($E$2:$E$1001,-3635),"")))))</f>
        <v/>
      </c>
    </row>
    <row r="367">
      <c r="A367">
        <f>IFERROR(INDEX('[AQ_2020.xlsx]原始数据'!$A:$A,ROW(A1)+366),"")</f>
        <v/>
      </c>
      <c r="B367">
        <f>IFERROR(INDEX('[AQ_2021.xlsx]原始数据'!$A:$A,ROW(A1)+366),"")</f>
        <v/>
      </c>
      <c r="C367">
        <f>IFERROR(INDEX('[AQ_2022.xlsx]原始数据'!$A:$A,ROW(A1)+366),"")</f>
        <v/>
      </c>
      <c r="D367">
        <f>IFERROR(INDEX('[AQ_2023.xlsx]原始数据'!$A:$A,ROW(A1)+366),"")</f>
        <v/>
      </c>
      <c r="E367">
        <f>IFERROR(INDEX('[AQ_2024.xlsx]原始数据'!$A:$A,ROW(A1)+366),"")</f>
        <v/>
      </c>
      <c r="G367">
        <f>IF(366&lt;=1000,INDEX($A$2:$A$1001,366),IF(366&lt;=2000,INDEX($B$2:$B$1001,-634),IF(366&lt;=3000,INDEX($C$2:$C$1001,-1634),IF(366&lt;=4000,INDEX($D$2:$D$1001,-2634),IF(366&lt;=5000,INDEX($E$2:$E$1001,-3634),"")))))</f>
        <v/>
      </c>
    </row>
    <row r="368">
      <c r="A368">
        <f>IFERROR(INDEX('[AQ_2020.xlsx]原始数据'!$A:$A,ROW(A1)+367),"")</f>
        <v/>
      </c>
      <c r="B368">
        <f>IFERROR(INDEX('[AQ_2021.xlsx]原始数据'!$A:$A,ROW(A1)+367),"")</f>
        <v/>
      </c>
      <c r="C368">
        <f>IFERROR(INDEX('[AQ_2022.xlsx]原始数据'!$A:$A,ROW(A1)+367),"")</f>
        <v/>
      </c>
      <c r="D368">
        <f>IFERROR(INDEX('[AQ_2023.xlsx]原始数据'!$A:$A,ROW(A1)+367),"")</f>
        <v/>
      </c>
      <c r="E368">
        <f>IFERROR(INDEX('[AQ_2024.xlsx]原始数据'!$A:$A,ROW(A1)+367),"")</f>
        <v/>
      </c>
      <c r="G368">
        <f>IF(367&lt;=1000,INDEX($A$2:$A$1001,367),IF(367&lt;=2000,INDEX($B$2:$B$1001,-633),IF(367&lt;=3000,INDEX($C$2:$C$1001,-1633),IF(367&lt;=4000,INDEX($D$2:$D$1001,-2633),IF(367&lt;=5000,INDEX($E$2:$E$1001,-3633),"")))))</f>
        <v/>
      </c>
    </row>
    <row r="369">
      <c r="A369">
        <f>IFERROR(INDEX('[AQ_2020.xlsx]原始数据'!$A:$A,ROW(A1)+368),"")</f>
        <v/>
      </c>
      <c r="B369">
        <f>IFERROR(INDEX('[AQ_2021.xlsx]原始数据'!$A:$A,ROW(A1)+368),"")</f>
        <v/>
      </c>
      <c r="C369">
        <f>IFERROR(INDEX('[AQ_2022.xlsx]原始数据'!$A:$A,ROW(A1)+368),"")</f>
        <v/>
      </c>
      <c r="D369">
        <f>IFERROR(INDEX('[AQ_2023.xlsx]原始数据'!$A:$A,ROW(A1)+368),"")</f>
        <v/>
      </c>
      <c r="E369">
        <f>IFERROR(INDEX('[AQ_2024.xlsx]原始数据'!$A:$A,ROW(A1)+368),"")</f>
        <v/>
      </c>
      <c r="G369">
        <f>IF(368&lt;=1000,INDEX($A$2:$A$1001,368),IF(368&lt;=2000,INDEX($B$2:$B$1001,-632),IF(368&lt;=3000,INDEX($C$2:$C$1001,-1632),IF(368&lt;=4000,INDEX($D$2:$D$1001,-2632),IF(368&lt;=5000,INDEX($E$2:$E$1001,-3632),"")))))</f>
        <v/>
      </c>
    </row>
    <row r="370">
      <c r="A370">
        <f>IFERROR(INDEX('[AQ_2020.xlsx]原始数据'!$A:$A,ROW(A1)+369),"")</f>
        <v/>
      </c>
      <c r="B370">
        <f>IFERROR(INDEX('[AQ_2021.xlsx]原始数据'!$A:$A,ROW(A1)+369),"")</f>
        <v/>
      </c>
      <c r="C370">
        <f>IFERROR(INDEX('[AQ_2022.xlsx]原始数据'!$A:$A,ROW(A1)+369),"")</f>
        <v/>
      </c>
      <c r="D370">
        <f>IFERROR(INDEX('[AQ_2023.xlsx]原始数据'!$A:$A,ROW(A1)+369),"")</f>
        <v/>
      </c>
      <c r="E370">
        <f>IFERROR(INDEX('[AQ_2024.xlsx]原始数据'!$A:$A,ROW(A1)+369),"")</f>
        <v/>
      </c>
      <c r="G370">
        <f>IF(369&lt;=1000,INDEX($A$2:$A$1001,369),IF(369&lt;=2000,INDEX($B$2:$B$1001,-631),IF(369&lt;=3000,INDEX($C$2:$C$1001,-1631),IF(369&lt;=4000,INDEX($D$2:$D$1001,-2631),IF(369&lt;=5000,INDEX($E$2:$E$1001,-3631),"")))))</f>
        <v/>
      </c>
    </row>
    <row r="371">
      <c r="A371">
        <f>IFERROR(INDEX('[AQ_2020.xlsx]原始数据'!$A:$A,ROW(A1)+370),"")</f>
        <v/>
      </c>
      <c r="B371">
        <f>IFERROR(INDEX('[AQ_2021.xlsx]原始数据'!$A:$A,ROW(A1)+370),"")</f>
        <v/>
      </c>
      <c r="C371">
        <f>IFERROR(INDEX('[AQ_2022.xlsx]原始数据'!$A:$A,ROW(A1)+370),"")</f>
        <v/>
      </c>
      <c r="D371">
        <f>IFERROR(INDEX('[AQ_2023.xlsx]原始数据'!$A:$A,ROW(A1)+370),"")</f>
        <v/>
      </c>
      <c r="E371">
        <f>IFERROR(INDEX('[AQ_2024.xlsx]原始数据'!$A:$A,ROW(A1)+370),"")</f>
        <v/>
      </c>
      <c r="G371">
        <f>IF(370&lt;=1000,INDEX($A$2:$A$1001,370),IF(370&lt;=2000,INDEX($B$2:$B$1001,-630),IF(370&lt;=3000,INDEX($C$2:$C$1001,-1630),IF(370&lt;=4000,INDEX($D$2:$D$1001,-2630),IF(370&lt;=5000,INDEX($E$2:$E$1001,-3630),"")))))</f>
        <v/>
      </c>
    </row>
    <row r="372">
      <c r="A372">
        <f>IFERROR(INDEX('[AQ_2020.xlsx]原始数据'!$A:$A,ROW(A1)+371),"")</f>
        <v/>
      </c>
      <c r="B372">
        <f>IFERROR(INDEX('[AQ_2021.xlsx]原始数据'!$A:$A,ROW(A1)+371),"")</f>
        <v/>
      </c>
      <c r="C372">
        <f>IFERROR(INDEX('[AQ_2022.xlsx]原始数据'!$A:$A,ROW(A1)+371),"")</f>
        <v/>
      </c>
      <c r="D372">
        <f>IFERROR(INDEX('[AQ_2023.xlsx]原始数据'!$A:$A,ROW(A1)+371),"")</f>
        <v/>
      </c>
      <c r="E372">
        <f>IFERROR(INDEX('[AQ_2024.xlsx]原始数据'!$A:$A,ROW(A1)+371),"")</f>
        <v/>
      </c>
      <c r="G372">
        <f>IF(371&lt;=1000,INDEX($A$2:$A$1001,371),IF(371&lt;=2000,INDEX($B$2:$B$1001,-629),IF(371&lt;=3000,INDEX($C$2:$C$1001,-1629),IF(371&lt;=4000,INDEX($D$2:$D$1001,-2629),IF(371&lt;=5000,INDEX($E$2:$E$1001,-3629),"")))))</f>
        <v/>
      </c>
    </row>
    <row r="373">
      <c r="A373">
        <f>IFERROR(INDEX('[AQ_2020.xlsx]原始数据'!$A:$A,ROW(A1)+372),"")</f>
        <v/>
      </c>
      <c r="B373">
        <f>IFERROR(INDEX('[AQ_2021.xlsx]原始数据'!$A:$A,ROW(A1)+372),"")</f>
        <v/>
      </c>
      <c r="C373">
        <f>IFERROR(INDEX('[AQ_2022.xlsx]原始数据'!$A:$A,ROW(A1)+372),"")</f>
        <v/>
      </c>
      <c r="D373">
        <f>IFERROR(INDEX('[AQ_2023.xlsx]原始数据'!$A:$A,ROW(A1)+372),"")</f>
        <v/>
      </c>
      <c r="E373">
        <f>IFERROR(INDEX('[AQ_2024.xlsx]原始数据'!$A:$A,ROW(A1)+372),"")</f>
        <v/>
      </c>
      <c r="G373">
        <f>IF(372&lt;=1000,INDEX($A$2:$A$1001,372),IF(372&lt;=2000,INDEX($B$2:$B$1001,-628),IF(372&lt;=3000,INDEX($C$2:$C$1001,-1628),IF(372&lt;=4000,INDEX($D$2:$D$1001,-2628),IF(372&lt;=5000,INDEX($E$2:$E$1001,-3628),"")))))</f>
        <v/>
      </c>
    </row>
    <row r="374">
      <c r="A374">
        <f>IFERROR(INDEX('[AQ_2020.xlsx]原始数据'!$A:$A,ROW(A1)+373),"")</f>
        <v/>
      </c>
      <c r="B374">
        <f>IFERROR(INDEX('[AQ_2021.xlsx]原始数据'!$A:$A,ROW(A1)+373),"")</f>
        <v/>
      </c>
      <c r="C374">
        <f>IFERROR(INDEX('[AQ_2022.xlsx]原始数据'!$A:$A,ROW(A1)+373),"")</f>
        <v/>
      </c>
      <c r="D374">
        <f>IFERROR(INDEX('[AQ_2023.xlsx]原始数据'!$A:$A,ROW(A1)+373),"")</f>
        <v/>
      </c>
      <c r="E374">
        <f>IFERROR(INDEX('[AQ_2024.xlsx]原始数据'!$A:$A,ROW(A1)+373),"")</f>
        <v/>
      </c>
      <c r="G374">
        <f>IF(373&lt;=1000,INDEX($A$2:$A$1001,373),IF(373&lt;=2000,INDEX($B$2:$B$1001,-627),IF(373&lt;=3000,INDEX($C$2:$C$1001,-1627),IF(373&lt;=4000,INDEX($D$2:$D$1001,-2627),IF(373&lt;=5000,INDEX($E$2:$E$1001,-3627),"")))))</f>
        <v/>
      </c>
    </row>
    <row r="375">
      <c r="A375">
        <f>IFERROR(INDEX('[AQ_2020.xlsx]原始数据'!$A:$A,ROW(A1)+374),"")</f>
        <v/>
      </c>
      <c r="B375">
        <f>IFERROR(INDEX('[AQ_2021.xlsx]原始数据'!$A:$A,ROW(A1)+374),"")</f>
        <v/>
      </c>
      <c r="C375">
        <f>IFERROR(INDEX('[AQ_2022.xlsx]原始数据'!$A:$A,ROW(A1)+374),"")</f>
        <v/>
      </c>
      <c r="D375">
        <f>IFERROR(INDEX('[AQ_2023.xlsx]原始数据'!$A:$A,ROW(A1)+374),"")</f>
        <v/>
      </c>
      <c r="E375">
        <f>IFERROR(INDEX('[AQ_2024.xlsx]原始数据'!$A:$A,ROW(A1)+374),"")</f>
        <v/>
      </c>
      <c r="G375">
        <f>IF(374&lt;=1000,INDEX($A$2:$A$1001,374),IF(374&lt;=2000,INDEX($B$2:$B$1001,-626),IF(374&lt;=3000,INDEX($C$2:$C$1001,-1626),IF(374&lt;=4000,INDEX($D$2:$D$1001,-2626),IF(374&lt;=5000,INDEX($E$2:$E$1001,-3626),"")))))</f>
        <v/>
      </c>
    </row>
    <row r="376">
      <c r="A376">
        <f>IFERROR(INDEX('[AQ_2020.xlsx]原始数据'!$A:$A,ROW(A1)+375),"")</f>
        <v/>
      </c>
      <c r="B376">
        <f>IFERROR(INDEX('[AQ_2021.xlsx]原始数据'!$A:$A,ROW(A1)+375),"")</f>
        <v/>
      </c>
      <c r="C376">
        <f>IFERROR(INDEX('[AQ_2022.xlsx]原始数据'!$A:$A,ROW(A1)+375),"")</f>
        <v/>
      </c>
      <c r="D376">
        <f>IFERROR(INDEX('[AQ_2023.xlsx]原始数据'!$A:$A,ROW(A1)+375),"")</f>
        <v/>
      </c>
      <c r="E376">
        <f>IFERROR(INDEX('[AQ_2024.xlsx]原始数据'!$A:$A,ROW(A1)+375),"")</f>
        <v/>
      </c>
      <c r="G376">
        <f>IF(375&lt;=1000,INDEX($A$2:$A$1001,375),IF(375&lt;=2000,INDEX($B$2:$B$1001,-625),IF(375&lt;=3000,INDEX($C$2:$C$1001,-1625),IF(375&lt;=4000,INDEX($D$2:$D$1001,-2625),IF(375&lt;=5000,INDEX($E$2:$E$1001,-3625),"")))))</f>
        <v/>
      </c>
    </row>
    <row r="377">
      <c r="A377">
        <f>IFERROR(INDEX('[AQ_2020.xlsx]原始数据'!$A:$A,ROW(A1)+376),"")</f>
        <v/>
      </c>
      <c r="B377">
        <f>IFERROR(INDEX('[AQ_2021.xlsx]原始数据'!$A:$A,ROW(A1)+376),"")</f>
        <v/>
      </c>
      <c r="C377">
        <f>IFERROR(INDEX('[AQ_2022.xlsx]原始数据'!$A:$A,ROW(A1)+376),"")</f>
        <v/>
      </c>
      <c r="D377">
        <f>IFERROR(INDEX('[AQ_2023.xlsx]原始数据'!$A:$A,ROW(A1)+376),"")</f>
        <v/>
      </c>
      <c r="E377">
        <f>IFERROR(INDEX('[AQ_2024.xlsx]原始数据'!$A:$A,ROW(A1)+376),"")</f>
        <v/>
      </c>
      <c r="G377">
        <f>IF(376&lt;=1000,INDEX($A$2:$A$1001,376),IF(376&lt;=2000,INDEX($B$2:$B$1001,-624),IF(376&lt;=3000,INDEX($C$2:$C$1001,-1624),IF(376&lt;=4000,INDEX($D$2:$D$1001,-2624),IF(376&lt;=5000,INDEX($E$2:$E$1001,-3624),"")))))</f>
        <v/>
      </c>
    </row>
    <row r="378">
      <c r="A378">
        <f>IFERROR(INDEX('[AQ_2020.xlsx]原始数据'!$A:$A,ROW(A1)+377),"")</f>
        <v/>
      </c>
      <c r="B378">
        <f>IFERROR(INDEX('[AQ_2021.xlsx]原始数据'!$A:$A,ROW(A1)+377),"")</f>
        <v/>
      </c>
      <c r="C378">
        <f>IFERROR(INDEX('[AQ_2022.xlsx]原始数据'!$A:$A,ROW(A1)+377),"")</f>
        <v/>
      </c>
      <c r="D378">
        <f>IFERROR(INDEX('[AQ_2023.xlsx]原始数据'!$A:$A,ROW(A1)+377),"")</f>
        <v/>
      </c>
      <c r="E378">
        <f>IFERROR(INDEX('[AQ_2024.xlsx]原始数据'!$A:$A,ROW(A1)+377),"")</f>
        <v/>
      </c>
      <c r="G378">
        <f>IF(377&lt;=1000,INDEX($A$2:$A$1001,377),IF(377&lt;=2000,INDEX($B$2:$B$1001,-623),IF(377&lt;=3000,INDEX($C$2:$C$1001,-1623),IF(377&lt;=4000,INDEX($D$2:$D$1001,-2623),IF(377&lt;=5000,INDEX($E$2:$E$1001,-3623),"")))))</f>
        <v/>
      </c>
    </row>
    <row r="379">
      <c r="A379">
        <f>IFERROR(INDEX('[AQ_2020.xlsx]原始数据'!$A:$A,ROW(A1)+378),"")</f>
        <v/>
      </c>
      <c r="B379">
        <f>IFERROR(INDEX('[AQ_2021.xlsx]原始数据'!$A:$A,ROW(A1)+378),"")</f>
        <v/>
      </c>
      <c r="C379">
        <f>IFERROR(INDEX('[AQ_2022.xlsx]原始数据'!$A:$A,ROW(A1)+378),"")</f>
        <v/>
      </c>
      <c r="D379">
        <f>IFERROR(INDEX('[AQ_2023.xlsx]原始数据'!$A:$A,ROW(A1)+378),"")</f>
        <v/>
      </c>
      <c r="E379">
        <f>IFERROR(INDEX('[AQ_2024.xlsx]原始数据'!$A:$A,ROW(A1)+378),"")</f>
        <v/>
      </c>
      <c r="G379">
        <f>IF(378&lt;=1000,INDEX($A$2:$A$1001,378),IF(378&lt;=2000,INDEX($B$2:$B$1001,-622),IF(378&lt;=3000,INDEX($C$2:$C$1001,-1622),IF(378&lt;=4000,INDEX($D$2:$D$1001,-2622),IF(378&lt;=5000,INDEX($E$2:$E$1001,-3622),"")))))</f>
        <v/>
      </c>
    </row>
    <row r="380">
      <c r="A380">
        <f>IFERROR(INDEX('[AQ_2020.xlsx]原始数据'!$A:$A,ROW(A1)+379),"")</f>
        <v/>
      </c>
      <c r="B380">
        <f>IFERROR(INDEX('[AQ_2021.xlsx]原始数据'!$A:$A,ROW(A1)+379),"")</f>
        <v/>
      </c>
      <c r="C380">
        <f>IFERROR(INDEX('[AQ_2022.xlsx]原始数据'!$A:$A,ROW(A1)+379),"")</f>
        <v/>
      </c>
      <c r="D380">
        <f>IFERROR(INDEX('[AQ_2023.xlsx]原始数据'!$A:$A,ROW(A1)+379),"")</f>
        <v/>
      </c>
      <c r="E380">
        <f>IFERROR(INDEX('[AQ_2024.xlsx]原始数据'!$A:$A,ROW(A1)+379),"")</f>
        <v/>
      </c>
      <c r="G380">
        <f>IF(379&lt;=1000,INDEX($A$2:$A$1001,379),IF(379&lt;=2000,INDEX($B$2:$B$1001,-621),IF(379&lt;=3000,INDEX($C$2:$C$1001,-1621),IF(379&lt;=4000,INDEX($D$2:$D$1001,-2621),IF(379&lt;=5000,INDEX($E$2:$E$1001,-3621),"")))))</f>
        <v/>
      </c>
    </row>
    <row r="381">
      <c r="A381">
        <f>IFERROR(INDEX('[AQ_2020.xlsx]原始数据'!$A:$A,ROW(A1)+380),"")</f>
        <v/>
      </c>
      <c r="B381">
        <f>IFERROR(INDEX('[AQ_2021.xlsx]原始数据'!$A:$A,ROW(A1)+380),"")</f>
        <v/>
      </c>
      <c r="C381">
        <f>IFERROR(INDEX('[AQ_2022.xlsx]原始数据'!$A:$A,ROW(A1)+380),"")</f>
        <v/>
      </c>
      <c r="D381">
        <f>IFERROR(INDEX('[AQ_2023.xlsx]原始数据'!$A:$A,ROW(A1)+380),"")</f>
        <v/>
      </c>
      <c r="E381">
        <f>IFERROR(INDEX('[AQ_2024.xlsx]原始数据'!$A:$A,ROW(A1)+380),"")</f>
        <v/>
      </c>
      <c r="G381">
        <f>IF(380&lt;=1000,INDEX($A$2:$A$1001,380),IF(380&lt;=2000,INDEX($B$2:$B$1001,-620),IF(380&lt;=3000,INDEX($C$2:$C$1001,-1620),IF(380&lt;=4000,INDEX($D$2:$D$1001,-2620),IF(380&lt;=5000,INDEX($E$2:$E$1001,-3620),"")))))</f>
        <v/>
      </c>
    </row>
    <row r="382">
      <c r="A382">
        <f>IFERROR(INDEX('[AQ_2020.xlsx]原始数据'!$A:$A,ROW(A1)+381),"")</f>
        <v/>
      </c>
      <c r="B382">
        <f>IFERROR(INDEX('[AQ_2021.xlsx]原始数据'!$A:$A,ROW(A1)+381),"")</f>
        <v/>
      </c>
      <c r="C382">
        <f>IFERROR(INDEX('[AQ_2022.xlsx]原始数据'!$A:$A,ROW(A1)+381),"")</f>
        <v/>
      </c>
      <c r="D382">
        <f>IFERROR(INDEX('[AQ_2023.xlsx]原始数据'!$A:$A,ROW(A1)+381),"")</f>
        <v/>
      </c>
      <c r="E382">
        <f>IFERROR(INDEX('[AQ_2024.xlsx]原始数据'!$A:$A,ROW(A1)+381),"")</f>
        <v/>
      </c>
      <c r="G382">
        <f>IF(381&lt;=1000,INDEX($A$2:$A$1001,381),IF(381&lt;=2000,INDEX($B$2:$B$1001,-619),IF(381&lt;=3000,INDEX($C$2:$C$1001,-1619),IF(381&lt;=4000,INDEX($D$2:$D$1001,-2619),IF(381&lt;=5000,INDEX($E$2:$E$1001,-3619),"")))))</f>
        <v/>
      </c>
    </row>
    <row r="383">
      <c r="A383">
        <f>IFERROR(INDEX('[AQ_2020.xlsx]原始数据'!$A:$A,ROW(A1)+382),"")</f>
        <v/>
      </c>
      <c r="B383">
        <f>IFERROR(INDEX('[AQ_2021.xlsx]原始数据'!$A:$A,ROW(A1)+382),"")</f>
        <v/>
      </c>
      <c r="C383">
        <f>IFERROR(INDEX('[AQ_2022.xlsx]原始数据'!$A:$A,ROW(A1)+382),"")</f>
        <v/>
      </c>
      <c r="D383">
        <f>IFERROR(INDEX('[AQ_2023.xlsx]原始数据'!$A:$A,ROW(A1)+382),"")</f>
        <v/>
      </c>
      <c r="E383">
        <f>IFERROR(INDEX('[AQ_2024.xlsx]原始数据'!$A:$A,ROW(A1)+382),"")</f>
        <v/>
      </c>
      <c r="G383">
        <f>IF(382&lt;=1000,INDEX($A$2:$A$1001,382),IF(382&lt;=2000,INDEX($B$2:$B$1001,-618),IF(382&lt;=3000,INDEX($C$2:$C$1001,-1618),IF(382&lt;=4000,INDEX($D$2:$D$1001,-2618),IF(382&lt;=5000,INDEX($E$2:$E$1001,-3618),"")))))</f>
        <v/>
      </c>
    </row>
    <row r="384">
      <c r="A384">
        <f>IFERROR(INDEX('[AQ_2020.xlsx]原始数据'!$A:$A,ROW(A1)+383),"")</f>
        <v/>
      </c>
      <c r="B384">
        <f>IFERROR(INDEX('[AQ_2021.xlsx]原始数据'!$A:$A,ROW(A1)+383),"")</f>
        <v/>
      </c>
      <c r="C384">
        <f>IFERROR(INDEX('[AQ_2022.xlsx]原始数据'!$A:$A,ROW(A1)+383),"")</f>
        <v/>
      </c>
      <c r="D384">
        <f>IFERROR(INDEX('[AQ_2023.xlsx]原始数据'!$A:$A,ROW(A1)+383),"")</f>
        <v/>
      </c>
      <c r="E384">
        <f>IFERROR(INDEX('[AQ_2024.xlsx]原始数据'!$A:$A,ROW(A1)+383),"")</f>
        <v/>
      </c>
      <c r="G384">
        <f>IF(383&lt;=1000,INDEX($A$2:$A$1001,383),IF(383&lt;=2000,INDEX($B$2:$B$1001,-617),IF(383&lt;=3000,INDEX($C$2:$C$1001,-1617),IF(383&lt;=4000,INDEX($D$2:$D$1001,-2617),IF(383&lt;=5000,INDEX($E$2:$E$1001,-3617),"")))))</f>
        <v/>
      </c>
    </row>
    <row r="385">
      <c r="A385">
        <f>IFERROR(INDEX('[AQ_2020.xlsx]原始数据'!$A:$A,ROW(A1)+384),"")</f>
        <v/>
      </c>
      <c r="B385">
        <f>IFERROR(INDEX('[AQ_2021.xlsx]原始数据'!$A:$A,ROW(A1)+384),"")</f>
        <v/>
      </c>
      <c r="C385">
        <f>IFERROR(INDEX('[AQ_2022.xlsx]原始数据'!$A:$A,ROW(A1)+384),"")</f>
        <v/>
      </c>
      <c r="D385">
        <f>IFERROR(INDEX('[AQ_2023.xlsx]原始数据'!$A:$A,ROW(A1)+384),"")</f>
        <v/>
      </c>
      <c r="E385">
        <f>IFERROR(INDEX('[AQ_2024.xlsx]原始数据'!$A:$A,ROW(A1)+384),"")</f>
        <v/>
      </c>
      <c r="G385">
        <f>IF(384&lt;=1000,INDEX($A$2:$A$1001,384),IF(384&lt;=2000,INDEX($B$2:$B$1001,-616),IF(384&lt;=3000,INDEX($C$2:$C$1001,-1616),IF(384&lt;=4000,INDEX($D$2:$D$1001,-2616),IF(384&lt;=5000,INDEX($E$2:$E$1001,-3616),"")))))</f>
        <v/>
      </c>
    </row>
    <row r="386">
      <c r="A386">
        <f>IFERROR(INDEX('[AQ_2020.xlsx]原始数据'!$A:$A,ROW(A1)+385),"")</f>
        <v/>
      </c>
      <c r="B386">
        <f>IFERROR(INDEX('[AQ_2021.xlsx]原始数据'!$A:$A,ROW(A1)+385),"")</f>
        <v/>
      </c>
      <c r="C386">
        <f>IFERROR(INDEX('[AQ_2022.xlsx]原始数据'!$A:$A,ROW(A1)+385),"")</f>
        <v/>
      </c>
      <c r="D386">
        <f>IFERROR(INDEX('[AQ_2023.xlsx]原始数据'!$A:$A,ROW(A1)+385),"")</f>
        <v/>
      </c>
      <c r="E386">
        <f>IFERROR(INDEX('[AQ_2024.xlsx]原始数据'!$A:$A,ROW(A1)+385),"")</f>
        <v/>
      </c>
      <c r="G386">
        <f>IF(385&lt;=1000,INDEX($A$2:$A$1001,385),IF(385&lt;=2000,INDEX($B$2:$B$1001,-615),IF(385&lt;=3000,INDEX($C$2:$C$1001,-1615),IF(385&lt;=4000,INDEX($D$2:$D$1001,-2615),IF(385&lt;=5000,INDEX($E$2:$E$1001,-3615),"")))))</f>
        <v/>
      </c>
    </row>
    <row r="387">
      <c r="A387">
        <f>IFERROR(INDEX('[AQ_2020.xlsx]原始数据'!$A:$A,ROW(A1)+386),"")</f>
        <v/>
      </c>
      <c r="B387">
        <f>IFERROR(INDEX('[AQ_2021.xlsx]原始数据'!$A:$A,ROW(A1)+386),"")</f>
        <v/>
      </c>
      <c r="C387">
        <f>IFERROR(INDEX('[AQ_2022.xlsx]原始数据'!$A:$A,ROW(A1)+386),"")</f>
        <v/>
      </c>
      <c r="D387">
        <f>IFERROR(INDEX('[AQ_2023.xlsx]原始数据'!$A:$A,ROW(A1)+386),"")</f>
        <v/>
      </c>
      <c r="E387">
        <f>IFERROR(INDEX('[AQ_2024.xlsx]原始数据'!$A:$A,ROW(A1)+386),"")</f>
        <v/>
      </c>
      <c r="G387">
        <f>IF(386&lt;=1000,INDEX($A$2:$A$1001,386),IF(386&lt;=2000,INDEX($B$2:$B$1001,-614),IF(386&lt;=3000,INDEX($C$2:$C$1001,-1614),IF(386&lt;=4000,INDEX($D$2:$D$1001,-2614),IF(386&lt;=5000,INDEX($E$2:$E$1001,-3614),"")))))</f>
        <v/>
      </c>
    </row>
    <row r="388">
      <c r="A388">
        <f>IFERROR(INDEX('[AQ_2020.xlsx]原始数据'!$A:$A,ROW(A1)+387),"")</f>
        <v/>
      </c>
      <c r="B388">
        <f>IFERROR(INDEX('[AQ_2021.xlsx]原始数据'!$A:$A,ROW(A1)+387),"")</f>
        <v/>
      </c>
      <c r="C388">
        <f>IFERROR(INDEX('[AQ_2022.xlsx]原始数据'!$A:$A,ROW(A1)+387),"")</f>
        <v/>
      </c>
      <c r="D388">
        <f>IFERROR(INDEX('[AQ_2023.xlsx]原始数据'!$A:$A,ROW(A1)+387),"")</f>
        <v/>
      </c>
      <c r="E388">
        <f>IFERROR(INDEX('[AQ_2024.xlsx]原始数据'!$A:$A,ROW(A1)+387),"")</f>
        <v/>
      </c>
      <c r="G388">
        <f>IF(387&lt;=1000,INDEX($A$2:$A$1001,387),IF(387&lt;=2000,INDEX($B$2:$B$1001,-613),IF(387&lt;=3000,INDEX($C$2:$C$1001,-1613),IF(387&lt;=4000,INDEX($D$2:$D$1001,-2613),IF(387&lt;=5000,INDEX($E$2:$E$1001,-3613),"")))))</f>
        <v/>
      </c>
    </row>
    <row r="389">
      <c r="A389">
        <f>IFERROR(INDEX('[AQ_2020.xlsx]原始数据'!$A:$A,ROW(A1)+388),"")</f>
        <v/>
      </c>
      <c r="B389">
        <f>IFERROR(INDEX('[AQ_2021.xlsx]原始数据'!$A:$A,ROW(A1)+388),"")</f>
        <v/>
      </c>
      <c r="C389">
        <f>IFERROR(INDEX('[AQ_2022.xlsx]原始数据'!$A:$A,ROW(A1)+388),"")</f>
        <v/>
      </c>
      <c r="D389">
        <f>IFERROR(INDEX('[AQ_2023.xlsx]原始数据'!$A:$A,ROW(A1)+388),"")</f>
        <v/>
      </c>
      <c r="E389">
        <f>IFERROR(INDEX('[AQ_2024.xlsx]原始数据'!$A:$A,ROW(A1)+388),"")</f>
        <v/>
      </c>
      <c r="G389">
        <f>IF(388&lt;=1000,INDEX($A$2:$A$1001,388),IF(388&lt;=2000,INDEX($B$2:$B$1001,-612),IF(388&lt;=3000,INDEX($C$2:$C$1001,-1612),IF(388&lt;=4000,INDEX($D$2:$D$1001,-2612),IF(388&lt;=5000,INDEX($E$2:$E$1001,-3612),"")))))</f>
        <v/>
      </c>
    </row>
    <row r="390">
      <c r="A390">
        <f>IFERROR(INDEX('[AQ_2020.xlsx]原始数据'!$A:$A,ROW(A1)+389),"")</f>
        <v/>
      </c>
      <c r="B390">
        <f>IFERROR(INDEX('[AQ_2021.xlsx]原始数据'!$A:$A,ROW(A1)+389),"")</f>
        <v/>
      </c>
      <c r="C390">
        <f>IFERROR(INDEX('[AQ_2022.xlsx]原始数据'!$A:$A,ROW(A1)+389),"")</f>
        <v/>
      </c>
      <c r="D390">
        <f>IFERROR(INDEX('[AQ_2023.xlsx]原始数据'!$A:$A,ROW(A1)+389),"")</f>
        <v/>
      </c>
      <c r="E390">
        <f>IFERROR(INDEX('[AQ_2024.xlsx]原始数据'!$A:$A,ROW(A1)+389),"")</f>
        <v/>
      </c>
      <c r="G390">
        <f>IF(389&lt;=1000,INDEX($A$2:$A$1001,389),IF(389&lt;=2000,INDEX($B$2:$B$1001,-611),IF(389&lt;=3000,INDEX($C$2:$C$1001,-1611),IF(389&lt;=4000,INDEX($D$2:$D$1001,-2611),IF(389&lt;=5000,INDEX($E$2:$E$1001,-3611),"")))))</f>
        <v/>
      </c>
    </row>
    <row r="391">
      <c r="A391">
        <f>IFERROR(INDEX('[AQ_2020.xlsx]原始数据'!$A:$A,ROW(A1)+390),"")</f>
        <v/>
      </c>
      <c r="B391">
        <f>IFERROR(INDEX('[AQ_2021.xlsx]原始数据'!$A:$A,ROW(A1)+390),"")</f>
        <v/>
      </c>
      <c r="C391">
        <f>IFERROR(INDEX('[AQ_2022.xlsx]原始数据'!$A:$A,ROW(A1)+390),"")</f>
        <v/>
      </c>
      <c r="D391">
        <f>IFERROR(INDEX('[AQ_2023.xlsx]原始数据'!$A:$A,ROW(A1)+390),"")</f>
        <v/>
      </c>
      <c r="E391">
        <f>IFERROR(INDEX('[AQ_2024.xlsx]原始数据'!$A:$A,ROW(A1)+390),"")</f>
        <v/>
      </c>
      <c r="G391">
        <f>IF(390&lt;=1000,INDEX($A$2:$A$1001,390),IF(390&lt;=2000,INDEX($B$2:$B$1001,-610),IF(390&lt;=3000,INDEX($C$2:$C$1001,-1610),IF(390&lt;=4000,INDEX($D$2:$D$1001,-2610),IF(390&lt;=5000,INDEX($E$2:$E$1001,-3610),"")))))</f>
        <v/>
      </c>
    </row>
    <row r="392">
      <c r="A392">
        <f>IFERROR(INDEX('[AQ_2020.xlsx]原始数据'!$A:$A,ROW(A1)+391),"")</f>
        <v/>
      </c>
      <c r="B392">
        <f>IFERROR(INDEX('[AQ_2021.xlsx]原始数据'!$A:$A,ROW(A1)+391),"")</f>
        <v/>
      </c>
      <c r="C392">
        <f>IFERROR(INDEX('[AQ_2022.xlsx]原始数据'!$A:$A,ROW(A1)+391),"")</f>
        <v/>
      </c>
      <c r="D392">
        <f>IFERROR(INDEX('[AQ_2023.xlsx]原始数据'!$A:$A,ROW(A1)+391),"")</f>
        <v/>
      </c>
      <c r="E392">
        <f>IFERROR(INDEX('[AQ_2024.xlsx]原始数据'!$A:$A,ROW(A1)+391),"")</f>
        <v/>
      </c>
      <c r="G392">
        <f>IF(391&lt;=1000,INDEX($A$2:$A$1001,391),IF(391&lt;=2000,INDEX($B$2:$B$1001,-609),IF(391&lt;=3000,INDEX($C$2:$C$1001,-1609),IF(391&lt;=4000,INDEX($D$2:$D$1001,-2609),IF(391&lt;=5000,INDEX($E$2:$E$1001,-3609),"")))))</f>
        <v/>
      </c>
    </row>
    <row r="393">
      <c r="A393">
        <f>IFERROR(INDEX('[AQ_2020.xlsx]原始数据'!$A:$A,ROW(A1)+392),"")</f>
        <v/>
      </c>
      <c r="B393">
        <f>IFERROR(INDEX('[AQ_2021.xlsx]原始数据'!$A:$A,ROW(A1)+392),"")</f>
        <v/>
      </c>
      <c r="C393">
        <f>IFERROR(INDEX('[AQ_2022.xlsx]原始数据'!$A:$A,ROW(A1)+392),"")</f>
        <v/>
      </c>
      <c r="D393">
        <f>IFERROR(INDEX('[AQ_2023.xlsx]原始数据'!$A:$A,ROW(A1)+392),"")</f>
        <v/>
      </c>
      <c r="E393">
        <f>IFERROR(INDEX('[AQ_2024.xlsx]原始数据'!$A:$A,ROW(A1)+392),"")</f>
        <v/>
      </c>
      <c r="G393">
        <f>IF(392&lt;=1000,INDEX($A$2:$A$1001,392),IF(392&lt;=2000,INDEX($B$2:$B$1001,-608),IF(392&lt;=3000,INDEX($C$2:$C$1001,-1608),IF(392&lt;=4000,INDEX($D$2:$D$1001,-2608),IF(392&lt;=5000,INDEX($E$2:$E$1001,-3608),"")))))</f>
        <v/>
      </c>
    </row>
    <row r="394">
      <c r="A394">
        <f>IFERROR(INDEX('[AQ_2020.xlsx]原始数据'!$A:$A,ROW(A1)+393),"")</f>
        <v/>
      </c>
      <c r="B394">
        <f>IFERROR(INDEX('[AQ_2021.xlsx]原始数据'!$A:$A,ROW(A1)+393),"")</f>
        <v/>
      </c>
      <c r="C394">
        <f>IFERROR(INDEX('[AQ_2022.xlsx]原始数据'!$A:$A,ROW(A1)+393),"")</f>
        <v/>
      </c>
      <c r="D394">
        <f>IFERROR(INDEX('[AQ_2023.xlsx]原始数据'!$A:$A,ROW(A1)+393),"")</f>
        <v/>
      </c>
      <c r="E394">
        <f>IFERROR(INDEX('[AQ_2024.xlsx]原始数据'!$A:$A,ROW(A1)+393),"")</f>
        <v/>
      </c>
      <c r="G394">
        <f>IF(393&lt;=1000,INDEX($A$2:$A$1001,393),IF(393&lt;=2000,INDEX($B$2:$B$1001,-607),IF(393&lt;=3000,INDEX($C$2:$C$1001,-1607),IF(393&lt;=4000,INDEX($D$2:$D$1001,-2607),IF(393&lt;=5000,INDEX($E$2:$E$1001,-3607),"")))))</f>
        <v/>
      </c>
    </row>
    <row r="395">
      <c r="A395">
        <f>IFERROR(INDEX('[AQ_2020.xlsx]原始数据'!$A:$A,ROW(A1)+394),"")</f>
        <v/>
      </c>
      <c r="B395">
        <f>IFERROR(INDEX('[AQ_2021.xlsx]原始数据'!$A:$A,ROW(A1)+394),"")</f>
        <v/>
      </c>
      <c r="C395">
        <f>IFERROR(INDEX('[AQ_2022.xlsx]原始数据'!$A:$A,ROW(A1)+394),"")</f>
        <v/>
      </c>
      <c r="D395">
        <f>IFERROR(INDEX('[AQ_2023.xlsx]原始数据'!$A:$A,ROW(A1)+394),"")</f>
        <v/>
      </c>
      <c r="E395">
        <f>IFERROR(INDEX('[AQ_2024.xlsx]原始数据'!$A:$A,ROW(A1)+394),"")</f>
        <v/>
      </c>
      <c r="G395">
        <f>IF(394&lt;=1000,INDEX($A$2:$A$1001,394),IF(394&lt;=2000,INDEX($B$2:$B$1001,-606),IF(394&lt;=3000,INDEX($C$2:$C$1001,-1606),IF(394&lt;=4000,INDEX($D$2:$D$1001,-2606),IF(394&lt;=5000,INDEX($E$2:$E$1001,-3606),"")))))</f>
        <v/>
      </c>
    </row>
    <row r="396">
      <c r="A396">
        <f>IFERROR(INDEX('[AQ_2020.xlsx]原始数据'!$A:$A,ROW(A1)+395),"")</f>
        <v/>
      </c>
      <c r="B396">
        <f>IFERROR(INDEX('[AQ_2021.xlsx]原始数据'!$A:$A,ROW(A1)+395),"")</f>
        <v/>
      </c>
      <c r="C396">
        <f>IFERROR(INDEX('[AQ_2022.xlsx]原始数据'!$A:$A,ROW(A1)+395),"")</f>
        <v/>
      </c>
      <c r="D396">
        <f>IFERROR(INDEX('[AQ_2023.xlsx]原始数据'!$A:$A,ROW(A1)+395),"")</f>
        <v/>
      </c>
      <c r="E396">
        <f>IFERROR(INDEX('[AQ_2024.xlsx]原始数据'!$A:$A,ROW(A1)+395),"")</f>
        <v/>
      </c>
      <c r="G396">
        <f>IF(395&lt;=1000,INDEX($A$2:$A$1001,395),IF(395&lt;=2000,INDEX($B$2:$B$1001,-605),IF(395&lt;=3000,INDEX($C$2:$C$1001,-1605),IF(395&lt;=4000,INDEX($D$2:$D$1001,-2605),IF(395&lt;=5000,INDEX($E$2:$E$1001,-3605),"")))))</f>
        <v/>
      </c>
    </row>
    <row r="397">
      <c r="A397">
        <f>IFERROR(INDEX('[AQ_2020.xlsx]原始数据'!$A:$A,ROW(A1)+396),"")</f>
        <v/>
      </c>
      <c r="B397">
        <f>IFERROR(INDEX('[AQ_2021.xlsx]原始数据'!$A:$A,ROW(A1)+396),"")</f>
        <v/>
      </c>
      <c r="C397">
        <f>IFERROR(INDEX('[AQ_2022.xlsx]原始数据'!$A:$A,ROW(A1)+396),"")</f>
        <v/>
      </c>
      <c r="D397">
        <f>IFERROR(INDEX('[AQ_2023.xlsx]原始数据'!$A:$A,ROW(A1)+396),"")</f>
        <v/>
      </c>
      <c r="E397">
        <f>IFERROR(INDEX('[AQ_2024.xlsx]原始数据'!$A:$A,ROW(A1)+396),"")</f>
        <v/>
      </c>
      <c r="G397">
        <f>IF(396&lt;=1000,INDEX($A$2:$A$1001,396),IF(396&lt;=2000,INDEX($B$2:$B$1001,-604),IF(396&lt;=3000,INDEX($C$2:$C$1001,-1604),IF(396&lt;=4000,INDEX($D$2:$D$1001,-2604),IF(396&lt;=5000,INDEX($E$2:$E$1001,-3604),"")))))</f>
        <v/>
      </c>
    </row>
    <row r="398">
      <c r="A398">
        <f>IFERROR(INDEX('[AQ_2020.xlsx]原始数据'!$A:$A,ROW(A1)+397),"")</f>
        <v/>
      </c>
      <c r="B398">
        <f>IFERROR(INDEX('[AQ_2021.xlsx]原始数据'!$A:$A,ROW(A1)+397),"")</f>
        <v/>
      </c>
      <c r="C398">
        <f>IFERROR(INDEX('[AQ_2022.xlsx]原始数据'!$A:$A,ROW(A1)+397),"")</f>
        <v/>
      </c>
      <c r="D398">
        <f>IFERROR(INDEX('[AQ_2023.xlsx]原始数据'!$A:$A,ROW(A1)+397),"")</f>
        <v/>
      </c>
      <c r="E398">
        <f>IFERROR(INDEX('[AQ_2024.xlsx]原始数据'!$A:$A,ROW(A1)+397),"")</f>
        <v/>
      </c>
      <c r="G398">
        <f>IF(397&lt;=1000,INDEX($A$2:$A$1001,397),IF(397&lt;=2000,INDEX($B$2:$B$1001,-603),IF(397&lt;=3000,INDEX($C$2:$C$1001,-1603),IF(397&lt;=4000,INDEX($D$2:$D$1001,-2603),IF(397&lt;=5000,INDEX($E$2:$E$1001,-3603),"")))))</f>
        <v/>
      </c>
    </row>
    <row r="399">
      <c r="A399">
        <f>IFERROR(INDEX('[AQ_2020.xlsx]原始数据'!$A:$A,ROW(A1)+398),"")</f>
        <v/>
      </c>
      <c r="B399">
        <f>IFERROR(INDEX('[AQ_2021.xlsx]原始数据'!$A:$A,ROW(A1)+398),"")</f>
        <v/>
      </c>
      <c r="C399">
        <f>IFERROR(INDEX('[AQ_2022.xlsx]原始数据'!$A:$A,ROW(A1)+398),"")</f>
        <v/>
      </c>
      <c r="D399">
        <f>IFERROR(INDEX('[AQ_2023.xlsx]原始数据'!$A:$A,ROW(A1)+398),"")</f>
        <v/>
      </c>
      <c r="E399">
        <f>IFERROR(INDEX('[AQ_2024.xlsx]原始数据'!$A:$A,ROW(A1)+398),"")</f>
        <v/>
      </c>
      <c r="G399">
        <f>IF(398&lt;=1000,INDEX($A$2:$A$1001,398),IF(398&lt;=2000,INDEX($B$2:$B$1001,-602),IF(398&lt;=3000,INDEX($C$2:$C$1001,-1602),IF(398&lt;=4000,INDEX($D$2:$D$1001,-2602),IF(398&lt;=5000,INDEX($E$2:$E$1001,-3602),"")))))</f>
        <v/>
      </c>
    </row>
    <row r="400">
      <c r="A400">
        <f>IFERROR(INDEX('[AQ_2020.xlsx]原始数据'!$A:$A,ROW(A1)+399),"")</f>
        <v/>
      </c>
      <c r="B400">
        <f>IFERROR(INDEX('[AQ_2021.xlsx]原始数据'!$A:$A,ROW(A1)+399),"")</f>
        <v/>
      </c>
      <c r="C400">
        <f>IFERROR(INDEX('[AQ_2022.xlsx]原始数据'!$A:$A,ROW(A1)+399),"")</f>
        <v/>
      </c>
      <c r="D400">
        <f>IFERROR(INDEX('[AQ_2023.xlsx]原始数据'!$A:$A,ROW(A1)+399),"")</f>
        <v/>
      </c>
      <c r="E400">
        <f>IFERROR(INDEX('[AQ_2024.xlsx]原始数据'!$A:$A,ROW(A1)+399),"")</f>
        <v/>
      </c>
      <c r="G400">
        <f>IF(399&lt;=1000,INDEX($A$2:$A$1001,399),IF(399&lt;=2000,INDEX($B$2:$B$1001,-601),IF(399&lt;=3000,INDEX($C$2:$C$1001,-1601),IF(399&lt;=4000,INDEX($D$2:$D$1001,-2601),IF(399&lt;=5000,INDEX($E$2:$E$1001,-3601),"")))))</f>
        <v/>
      </c>
    </row>
    <row r="401">
      <c r="A401">
        <f>IFERROR(INDEX('[AQ_2020.xlsx]原始数据'!$A:$A,ROW(A1)+400),"")</f>
        <v/>
      </c>
      <c r="B401">
        <f>IFERROR(INDEX('[AQ_2021.xlsx]原始数据'!$A:$A,ROW(A1)+400),"")</f>
        <v/>
      </c>
      <c r="C401">
        <f>IFERROR(INDEX('[AQ_2022.xlsx]原始数据'!$A:$A,ROW(A1)+400),"")</f>
        <v/>
      </c>
      <c r="D401">
        <f>IFERROR(INDEX('[AQ_2023.xlsx]原始数据'!$A:$A,ROW(A1)+400),"")</f>
        <v/>
      </c>
      <c r="E401">
        <f>IFERROR(INDEX('[AQ_2024.xlsx]原始数据'!$A:$A,ROW(A1)+400),"")</f>
        <v/>
      </c>
      <c r="G401">
        <f>IF(400&lt;=1000,INDEX($A$2:$A$1001,400),IF(400&lt;=2000,INDEX($B$2:$B$1001,-600),IF(400&lt;=3000,INDEX($C$2:$C$1001,-1600),IF(400&lt;=4000,INDEX($D$2:$D$1001,-2600),IF(400&lt;=5000,INDEX($E$2:$E$1001,-3600),"")))))</f>
        <v/>
      </c>
    </row>
    <row r="402">
      <c r="A402">
        <f>IFERROR(INDEX('[AQ_2020.xlsx]原始数据'!$A:$A,ROW(A1)+401),"")</f>
        <v/>
      </c>
      <c r="B402">
        <f>IFERROR(INDEX('[AQ_2021.xlsx]原始数据'!$A:$A,ROW(A1)+401),"")</f>
        <v/>
      </c>
      <c r="C402">
        <f>IFERROR(INDEX('[AQ_2022.xlsx]原始数据'!$A:$A,ROW(A1)+401),"")</f>
        <v/>
      </c>
      <c r="D402">
        <f>IFERROR(INDEX('[AQ_2023.xlsx]原始数据'!$A:$A,ROW(A1)+401),"")</f>
        <v/>
      </c>
      <c r="E402">
        <f>IFERROR(INDEX('[AQ_2024.xlsx]原始数据'!$A:$A,ROW(A1)+401),"")</f>
        <v/>
      </c>
      <c r="G402">
        <f>IF(401&lt;=1000,INDEX($A$2:$A$1001,401),IF(401&lt;=2000,INDEX($B$2:$B$1001,-599),IF(401&lt;=3000,INDEX($C$2:$C$1001,-1599),IF(401&lt;=4000,INDEX($D$2:$D$1001,-2599),IF(401&lt;=5000,INDEX($E$2:$E$1001,-3599),"")))))</f>
        <v/>
      </c>
    </row>
    <row r="403">
      <c r="A403">
        <f>IFERROR(INDEX('[AQ_2020.xlsx]原始数据'!$A:$A,ROW(A1)+402),"")</f>
        <v/>
      </c>
      <c r="B403">
        <f>IFERROR(INDEX('[AQ_2021.xlsx]原始数据'!$A:$A,ROW(A1)+402),"")</f>
        <v/>
      </c>
      <c r="C403">
        <f>IFERROR(INDEX('[AQ_2022.xlsx]原始数据'!$A:$A,ROW(A1)+402),"")</f>
        <v/>
      </c>
      <c r="D403">
        <f>IFERROR(INDEX('[AQ_2023.xlsx]原始数据'!$A:$A,ROW(A1)+402),"")</f>
        <v/>
      </c>
      <c r="E403">
        <f>IFERROR(INDEX('[AQ_2024.xlsx]原始数据'!$A:$A,ROW(A1)+402),"")</f>
        <v/>
      </c>
      <c r="G403">
        <f>IF(402&lt;=1000,INDEX($A$2:$A$1001,402),IF(402&lt;=2000,INDEX($B$2:$B$1001,-598),IF(402&lt;=3000,INDEX($C$2:$C$1001,-1598),IF(402&lt;=4000,INDEX($D$2:$D$1001,-2598),IF(402&lt;=5000,INDEX($E$2:$E$1001,-3598),"")))))</f>
        <v/>
      </c>
    </row>
    <row r="404">
      <c r="A404">
        <f>IFERROR(INDEX('[AQ_2020.xlsx]原始数据'!$A:$A,ROW(A1)+403),"")</f>
        <v/>
      </c>
      <c r="B404">
        <f>IFERROR(INDEX('[AQ_2021.xlsx]原始数据'!$A:$A,ROW(A1)+403),"")</f>
        <v/>
      </c>
      <c r="C404">
        <f>IFERROR(INDEX('[AQ_2022.xlsx]原始数据'!$A:$A,ROW(A1)+403),"")</f>
        <v/>
      </c>
      <c r="D404">
        <f>IFERROR(INDEX('[AQ_2023.xlsx]原始数据'!$A:$A,ROW(A1)+403),"")</f>
        <v/>
      </c>
      <c r="E404">
        <f>IFERROR(INDEX('[AQ_2024.xlsx]原始数据'!$A:$A,ROW(A1)+403),"")</f>
        <v/>
      </c>
      <c r="G404">
        <f>IF(403&lt;=1000,INDEX($A$2:$A$1001,403),IF(403&lt;=2000,INDEX($B$2:$B$1001,-597),IF(403&lt;=3000,INDEX($C$2:$C$1001,-1597),IF(403&lt;=4000,INDEX($D$2:$D$1001,-2597),IF(403&lt;=5000,INDEX($E$2:$E$1001,-3597),"")))))</f>
        <v/>
      </c>
    </row>
    <row r="405">
      <c r="A405">
        <f>IFERROR(INDEX('[AQ_2020.xlsx]原始数据'!$A:$A,ROW(A1)+404),"")</f>
        <v/>
      </c>
      <c r="B405">
        <f>IFERROR(INDEX('[AQ_2021.xlsx]原始数据'!$A:$A,ROW(A1)+404),"")</f>
        <v/>
      </c>
      <c r="C405">
        <f>IFERROR(INDEX('[AQ_2022.xlsx]原始数据'!$A:$A,ROW(A1)+404),"")</f>
        <v/>
      </c>
      <c r="D405">
        <f>IFERROR(INDEX('[AQ_2023.xlsx]原始数据'!$A:$A,ROW(A1)+404),"")</f>
        <v/>
      </c>
      <c r="E405">
        <f>IFERROR(INDEX('[AQ_2024.xlsx]原始数据'!$A:$A,ROW(A1)+404),"")</f>
        <v/>
      </c>
      <c r="G405">
        <f>IF(404&lt;=1000,INDEX($A$2:$A$1001,404),IF(404&lt;=2000,INDEX($B$2:$B$1001,-596),IF(404&lt;=3000,INDEX($C$2:$C$1001,-1596),IF(404&lt;=4000,INDEX($D$2:$D$1001,-2596),IF(404&lt;=5000,INDEX($E$2:$E$1001,-3596),"")))))</f>
        <v/>
      </c>
    </row>
    <row r="406">
      <c r="A406">
        <f>IFERROR(INDEX('[AQ_2020.xlsx]原始数据'!$A:$A,ROW(A1)+405),"")</f>
        <v/>
      </c>
      <c r="B406">
        <f>IFERROR(INDEX('[AQ_2021.xlsx]原始数据'!$A:$A,ROW(A1)+405),"")</f>
        <v/>
      </c>
      <c r="C406">
        <f>IFERROR(INDEX('[AQ_2022.xlsx]原始数据'!$A:$A,ROW(A1)+405),"")</f>
        <v/>
      </c>
      <c r="D406">
        <f>IFERROR(INDEX('[AQ_2023.xlsx]原始数据'!$A:$A,ROW(A1)+405),"")</f>
        <v/>
      </c>
      <c r="E406">
        <f>IFERROR(INDEX('[AQ_2024.xlsx]原始数据'!$A:$A,ROW(A1)+405),"")</f>
        <v/>
      </c>
      <c r="G406">
        <f>IF(405&lt;=1000,INDEX($A$2:$A$1001,405),IF(405&lt;=2000,INDEX($B$2:$B$1001,-595),IF(405&lt;=3000,INDEX($C$2:$C$1001,-1595),IF(405&lt;=4000,INDEX($D$2:$D$1001,-2595),IF(405&lt;=5000,INDEX($E$2:$E$1001,-3595),"")))))</f>
        <v/>
      </c>
    </row>
    <row r="407">
      <c r="A407">
        <f>IFERROR(INDEX('[AQ_2020.xlsx]原始数据'!$A:$A,ROW(A1)+406),"")</f>
        <v/>
      </c>
      <c r="B407">
        <f>IFERROR(INDEX('[AQ_2021.xlsx]原始数据'!$A:$A,ROW(A1)+406),"")</f>
        <v/>
      </c>
      <c r="C407">
        <f>IFERROR(INDEX('[AQ_2022.xlsx]原始数据'!$A:$A,ROW(A1)+406),"")</f>
        <v/>
      </c>
      <c r="D407">
        <f>IFERROR(INDEX('[AQ_2023.xlsx]原始数据'!$A:$A,ROW(A1)+406),"")</f>
        <v/>
      </c>
      <c r="E407">
        <f>IFERROR(INDEX('[AQ_2024.xlsx]原始数据'!$A:$A,ROW(A1)+406),"")</f>
        <v/>
      </c>
      <c r="G407">
        <f>IF(406&lt;=1000,INDEX($A$2:$A$1001,406),IF(406&lt;=2000,INDEX($B$2:$B$1001,-594),IF(406&lt;=3000,INDEX($C$2:$C$1001,-1594),IF(406&lt;=4000,INDEX($D$2:$D$1001,-2594),IF(406&lt;=5000,INDEX($E$2:$E$1001,-3594),"")))))</f>
        <v/>
      </c>
    </row>
    <row r="408">
      <c r="A408">
        <f>IFERROR(INDEX('[AQ_2020.xlsx]原始数据'!$A:$A,ROW(A1)+407),"")</f>
        <v/>
      </c>
      <c r="B408">
        <f>IFERROR(INDEX('[AQ_2021.xlsx]原始数据'!$A:$A,ROW(A1)+407),"")</f>
        <v/>
      </c>
      <c r="C408">
        <f>IFERROR(INDEX('[AQ_2022.xlsx]原始数据'!$A:$A,ROW(A1)+407),"")</f>
        <v/>
      </c>
      <c r="D408">
        <f>IFERROR(INDEX('[AQ_2023.xlsx]原始数据'!$A:$A,ROW(A1)+407),"")</f>
        <v/>
      </c>
      <c r="E408">
        <f>IFERROR(INDEX('[AQ_2024.xlsx]原始数据'!$A:$A,ROW(A1)+407),"")</f>
        <v/>
      </c>
      <c r="G408">
        <f>IF(407&lt;=1000,INDEX($A$2:$A$1001,407),IF(407&lt;=2000,INDEX($B$2:$B$1001,-593),IF(407&lt;=3000,INDEX($C$2:$C$1001,-1593),IF(407&lt;=4000,INDEX($D$2:$D$1001,-2593),IF(407&lt;=5000,INDEX($E$2:$E$1001,-3593),"")))))</f>
        <v/>
      </c>
    </row>
    <row r="409">
      <c r="A409">
        <f>IFERROR(INDEX('[AQ_2020.xlsx]原始数据'!$A:$A,ROW(A1)+408),"")</f>
        <v/>
      </c>
      <c r="B409">
        <f>IFERROR(INDEX('[AQ_2021.xlsx]原始数据'!$A:$A,ROW(A1)+408),"")</f>
        <v/>
      </c>
      <c r="C409">
        <f>IFERROR(INDEX('[AQ_2022.xlsx]原始数据'!$A:$A,ROW(A1)+408),"")</f>
        <v/>
      </c>
      <c r="D409">
        <f>IFERROR(INDEX('[AQ_2023.xlsx]原始数据'!$A:$A,ROW(A1)+408),"")</f>
        <v/>
      </c>
      <c r="E409">
        <f>IFERROR(INDEX('[AQ_2024.xlsx]原始数据'!$A:$A,ROW(A1)+408),"")</f>
        <v/>
      </c>
      <c r="G409">
        <f>IF(408&lt;=1000,INDEX($A$2:$A$1001,408),IF(408&lt;=2000,INDEX($B$2:$B$1001,-592),IF(408&lt;=3000,INDEX($C$2:$C$1001,-1592),IF(408&lt;=4000,INDEX($D$2:$D$1001,-2592),IF(408&lt;=5000,INDEX($E$2:$E$1001,-3592),"")))))</f>
        <v/>
      </c>
    </row>
    <row r="410">
      <c r="A410">
        <f>IFERROR(INDEX('[AQ_2020.xlsx]原始数据'!$A:$A,ROW(A1)+409),"")</f>
        <v/>
      </c>
      <c r="B410">
        <f>IFERROR(INDEX('[AQ_2021.xlsx]原始数据'!$A:$A,ROW(A1)+409),"")</f>
        <v/>
      </c>
      <c r="C410">
        <f>IFERROR(INDEX('[AQ_2022.xlsx]原始数据'!$A:$A,ROW(A1)+409),"")</f>
        <v/>
      </c>
      <c r="D410">
        <f>IFERROR(INDEX('[AQ_2023.xlsx]原始数据'!$A:$A,ROW(A1)+409),"")</f>
        <v/>
      </c>
      <c r="E410">
        <f>IFERROR(INDEX('[AQ_2024.xlsx]原始数据'!$A:$A,ROW(A1)+409),"")</f>
        <v/>
      </c>
      <c r="G410">
        <f>IF(409&lt;=1000,INDEX($A$2:$A$1001,409),IF(409&lt;=2000,INDEX($B$2:$B$1001,-591),IF(409&lt;=3000,INDEX($C$2:$C$1001,-1591),IF(409&lt;=4000,INDEX($D$2:$D$1001,-2591),IF(409&lt;=5000,INDEX($E$2:$E$1001,-3591),"")))))</f>
        <v/>
      </c>
    </row>
    <row r="411">
      <c r="A411">
        <f>IFERROR(INDEX('[AQ_2020.xlsx]原始数据'!$A:$A,ROW(A1)+410),"")</f>
        <v/>
      </c>
      <c r="B411">
        <f>IFERROR(INDEX('[AQ_2021.xlsx]原始数据'!$A:$A,ROW(A1)+410),"")</f>
        <v/>
      </c>
      <c r="C411">
        <f>IFERROR(INDEX('[AQ_2022.xlsx]原始数据'!$A:$A,ROW(A1)+410),"")</f>
        <v/>
      </c>
      <c r="D411">
        <f>IFERROR(INDEX('[AQ_2023.xlsx]原始数据'!$A:$A,ROW(A1)+410),"")</f>
        <v/>
      </c>
      <c r="E411">
        <f>IFERROR(INDEX('[AQ_2024.xlsx]原始数据'!$A:$A,ROW(A1)+410),"")</f>
        <v/>
      </c>
      <c r="G411">
        <f>IF(410&lt;=1000,INDEX($A$2:$A$1001,410),IF(410&lt;=2000,INDEX($B$2:$B$1001,-590),IF(410&lt;=3000,INDEX($C$2:$C$1001,-1590),IF(410&lt;=4000,INDEX($D$2:$D$1001,-2590),IF(410&lt;=5000,INDEX($E$2:$E$1001,-3590),"")))))</f>
        <v/>
      </c>
    </row>
    <row r="412">
      <c r="A412">
        <f>IFERROR(INDEX('[AQ_2020.xlsx]原始数据'!$A:$A,ROW(A1)+411),"")</f>
        <v/>
      </c>
      <c r="B412">
        <f>IFERROR(INDEX('[AQ_2021.xlsx]原始数据'!$A:$A,ROW(A1)+411),"")</f>
        <v/>
      </c>
      <c r="C412">
        <f>IFERROR(INDEX('[AQ_2022.xlsx]原始数据'!$A:$A,ROW(A1)+411),"")</f>
        <v/>
      </c>
      <c r="D412">
        <f>IFERROR(INDEX('[AQ_2023.xlsx]原始数据'!$A:$A,ROW(A1)+411),"")</f>
        <v/>
      </c>
      <c r="E412">
        <f>IFERROR(INDEX('[AQ_2024.xlsx]原始数据'!$A:$A,ROW(A1)+411),"")</f>
        <v/>
      </c>
      <c r="G412">
        <f>IF(411&lt;=1000,INDEX($A$2:$A$1001,411),IF(411&lt;=2000,INDEX($B$2:$B$1001,-589),IF(411&lt;=3000,INDEX($C$2:$C$1001,-1589),IF(411&lt;=4000,INDEX($D$2:$D$1001,-2589),IF(411&lt;=5000,INDEX($E$2:$E$1001,-3589),"")))))</f>
        <v/>
      </c>
    </row>
    <row r="413">
      <c r="A413">
        <f>IFERROR(INDEX('[AQ_2020.xlsx]原始数据'!$A:$A,ROW(A1)+412),"")</f>
        <v/>
      </c>
      <c r="B413">
        <f>IFERROR(INDEX('[AQ_2021.xlsx]原始数据'!$A:$A,ROW(A1)+412),"")</f>
        <v/>
      </c>
      <c r="C413">
        <f>IFERROR(INDEX('[AQ_2022.xlsx]原始数据'!$A:$A,ROW(A1)+412),"")</f>
        <v/>
      </c>
      <c r="D413">
        <f>IFERROR(INDEX('[AQ_2023.xlsx]原始数据'!$A:$A,ROW(A1)+412),"")</f>
        <v/>
      </c>
      <c r="E413">
        <f>IFERROR(INDEX('[AQ_2024.xlsx]原始数据'!$A:$A,ROW(A1)+412),"")</f>
        <v/>
      </c>
      <c r="G413">
        <f>IF(412&lt;=1000,INDEX($A$2:$A$1001,412),IF(412&lt;=2000,INDEX($B$2:$B$1001,-588),IF(412&lt;=3000,INDEX($C$2:$C$1001,-1588),IF(412&lt;=4000,INDEX($D$2:$D$1001,-2588),IF(412&lt;=5000,INDEX($E$2:$E$1001,-3588),"")))))</f>
        <v/>
      </c>
    </row>
    <row r="414">
      <c r="A414">
        <f>IFERROR(INDEX('[AQ_2020.xlsx]原始数据'!$A:$A,ROW(A1)+413),"")</f>
        <v/>
      </c>
      <c r="B414">
        <f>IFERROR(INDEX('[AQ_2021.xlsx]原始数据'!$A:$A,ROW(A1)+413),"")</f>
        <v/>
      </c>
      <c r="C414">
        <f>IFERROR(INDEX('[AQ_2022.xlsx]原始数据'!$A:$A,ROW(A1)+413),"")</f>
        <v/>
      </c>
      <c r="D414">
        <f>IFERROR(INDEX('[AQ_2023.xlsx]原始数据'!$A:$A,ROW(A1)+413),"")</f>
        <v/>
      </c>
      <c r="E414">
        <f>IFERROR(INDEX('[AQ_2024.xlsx]原始数据'!$A:$A,ROW(A1)+413),"")</f>
        <v/>
      </c>
      <c r="G414">
        <f>IF(413&lt;=1000,INDEX($A$2:$A$1001,413),IF(413&lt;=2000,INDEX($B$2:$B$1001,-587),IF(413&lt;=3000,INDEX($C$2:$C$1001,-1587),IF(413&lt;=4000,INDEX($D$2:$D$1001,-2587),IF(413&lt;=5000,INDEX($E$2:$E$1001,-3587),"")))))</f>
        <v/>
      </c>
    </row>
    <row r="415">
      <c r="A415">
        <f>IFERROR(INDEX('[AQ_2020.xlsx]原始数据'!$A:$A,ROW(A1)+414),"")</f>
        <v/>
      </c>
      <c r="B415">
        <f>IFERROR(INDEX('[AQ_2021.xlsx]原始数据'!$A:$A,ROW(A1)+414),"")</f>
        <v/>
      </c>
      <c r="C415">
        <f>IFERROR(INDEX('[AQ_2022.xlsx]原始数据'!$A:$A,ROW(A1)+414),"")</f>
        <v/>
      </c>
      <c r="D415">
        <f>IFERROR(INDEX('[AQ_2023.xlsx]原始数据'!$A:$A,ROW(A1)+414),"")</f>
        <v/>
      </c>
      <c r="E415">
        <f>IFERROR(INDEX('[AQ_2024.xlsx]原始数据'!$A:$A,ROW(A1)+414),"")</f>
        <v/>
      </c>
      <c r="G415">
        <f>IF(414&lt;=1000,INDEX($A$2:$A$1001,414),IF(414&lt;=2000,INDEX($B$2:$B$1001,-586),IF(414&lt;=3000,INDEX($C$2:$C$1001,-1586),IF(414&lt;=4000,INDEX($D$2:$D$1001,-2586),IF(414&lt;=5000,INDEX($E$2:$E$1001,-3586),"")))))</f>
        <v/>
      </c>
    </row>
    <row r="416">
      <c r="A416">
        <f>IFERROR(INDEX('[AQ_2020.xlsx]原始数据'!$A:$A,ROW(A1)+415),"")</f>
        <v/>
      </c>
      <c r="B416">
        <f>IFERROR(INDEX('[AQ_2021.xlsx]原始数据'!$A:$A,ROW(A1)+415),"")</f>
        <v/>
      </c>
      <c r="C416">
        <f>IFERROR(INDEX('[AQ_2022.xlsx]原始数据'!$A:$A,ROW(A1)+415),"")</f>
        <v/>
      </c>
      <c r="D416">
        <f>IFERROR(INDEX('[AQ_2023.xlsx]原始数据'!$A:$A,ROW(A1)+415),"")</f>
        <v/>
      </c>
      <c r="E416">
        <f>IFERROR(INDEX('[AQ_2024.xlsx]原始数据'!$A:$A,ROW(A1)+415),"")</f>
        <v/>
      </c>
      <c r="G416">
        <f>IF(415&lt;=1000,INDEX($A$2:$A$1001,415),IF(415&lt;=2000,INDEX($B$2:$B$1001,-585),IF(415&lt;=3000,INDEX($C$2:$C$1001,-1585),IF(415&lt;=4000,INDEX($D$2:$D$1001,-2585),IF(415&lt;=5000,INDEX($E$2:$E$1001,-3585),"")))))</f>
        <v/>
      </c>
    </row>
    <row r="417">
      <c r="A417">
        <f>IFERROR(INDEX('[AQ_2020.xlsx]原始数据'!$A:$A,ROW(A1)+416),"")</f>
        <v/>
      </c>
      <c r="B417">
        <f>IFERROR(INDEX('[AQ_2021.xlsx]原始数据'!$A:$A,ROW(A1)+416),"")</f>
        <v/>
      </c>
      <c r="C417">
        <f>IFERROR(INDEX('[AQ_2022.xlsx]原始数据'!$A:$A,ROW(A1)+416),"")</f>
        <v/>
      </c>
      <c r="D417">
        <f>IFERROR(INDEX('[AQ_2023.xlsx]原始数据'!$A:$A,ROW(A1)+416),"")</f>
        <v/>
      </c>
      <c r="E417">
        <f>IFERROR(INDEX('[AQ_2024.xlsx]原始数据'!$A:$A,ROW(A1)+416),"")</f>
        <v/>
      </c>
      <c r="G417">
        <f>IF(416&lt;=1000,INDEX($A$2:$A$1001,416),IF(416&lt;=2000,INDEX($B$2:$B$1001,-584),IF(416&lt;=3000,INDEX($C$2:$C$1001,-1584),IF(416&lt;=4000,INDEX($D$2:$D$1001,-2584),IF(416&lt;=5000,INDEX($E$2:$E$1001,-3584),"")))))</f>
        <v/>
      </c>
    </row>
    <row r="418">
      <c r="A418">
        <f>IFERROR(INDEX('[AQ_2020.xlsx]原始数据'!$A:$A,ROW(A1)+417),"")</f>
        <v/>
      </c>
      <c r="B418">
        <f>IFERROR(INDEX('[AQ_2021.xlsx]原始数据'!$A:$A,ROW(A1)+417),"")</f>
        <v/>
      </c>
      <c r="C418">
        <f>IFERROR(INDEX('[AQ_2022.xlsx]原始数据'!$A:$A,ROW(A1)+417),"")</f>
        <v/>
      </c>
      <c r="D418">
        <f>IFERROR(INDEX('[AQ_2023.xlsx]原始数据'!$A:$A,ROW(A1)+417),"")</f>
        <v/>
      </c>
      <c r="E418">
        <f>IFERROR(INDEX('[AQ_2024.xlsx]原始数据'!$A:$A,ROW(A1)+417),"")</f>
        <v/>
      </c>
      <c r="G418">
        <f>IF(417&lt;=1000,INDEX($A$2:$A$1001,417),IF(417&lt;=2000,INDEX($B$2:$B$1001,-583),IF(417&lt;=3000,INDEX($C$2:$C$1001,-1583),IF(417&lt;=4000,INDEX($D$2:$D$1001,-2583),IF(417&lt;=5000,INDEX($E$2:$E$1001,-3583),"")))))</f>
        <v/>
      </c>
    </row>
    <row r="419">
      <c r="A419">
        <f>IFERROR(INDEX('[AQ_2020.xlsx]原始数据'!$A:$A,ROW(A1)+418),"")</f>
        <v/>
      </c>
      <c r="B419">
        <f>IFERROR(INDEX('[AQ_2021.xlsx]原始数据'!$A:$A,ROW(A1)+418),"")</f>
        <v/>
      </c>
      <c r="C419">
        <f>IFERROR(INDEX('[AQ_2022.xlsx]原始数据'!$A:$A,ROW(A1)+418),"")</f>
        <v/>
      </c>
      <c r="D419">
        <f>IFERROR(INDEX('[AQ_2023.xlsx]原始数据'!$A:$A,ROW(A1)+418),"")</f>
        <v/>
      </c>
      <c r="E419">
        <f>IFERROR(INDEX('[AQ_2024.xlsx]原始数据'!$A:$A,ROW(A1)+418),"")</f>
        <v/>
      </c>
      <c r="G419">
        <f>IF(418&lt;=1000,INDEX($A$2:$A$1001,418),IF(418&lt;=2000,INDEX($B$2:$B$1001,-582),IF(418&lt;=3000,INDEX($C$2:$C$1001,-1582),IF(418&lt;=4000,INDEX($D$2:$D$1001,-2582),IF(418&lt;=5000,INDEX($E$2:$E$1001,-3582),"")))))</f>
        <v/>
      </c>
    </row>
    <row r="420">
      <c r="A420">
        <f>IFERROR(INDEX('[AQ_2020.xlsx]原始数据'!$A:$A,ROW(A1)+419),"")</f>
        <v/>
      </c>
      <c r="B420">
        <f>IFERROR(INDEX('[AQ_2021.xlsx]原始数据'!$A:$A,ROW(A1)+419),"")</f>
        <v/>
      </c>
      <c r="C420">
        <f>IFERROR(INDEX('[AQ_2022.xlsx]原始数据'!$A:$A,ROW(A1)+419),"")</f>
        <v/>
      </c>
      <c r="D420">
        <f>IFERROR(INDEX('[AQ_2023.xlsx]原始数据'!$A:$A,ROW(A1)+419),"")</f>
        <v/>
      </c>
      <c r="E420">
        <f>IFERROR(INDEX('[AQ_2024.xlsx]原始数据'!$A:$A,ROW(A1)+419),"")</f>
        <v/>
      </c>
      <c r="G420">
        <f>IF(419&lt;=1000,INDEX($A$2:$A$1001,419),IF(419&lt;=2000,INDEX($B$2:$B$1001,-581),IF(419&lt;=3000,INDEX($C$2:$C$1001,-1581),IF(419&lt;=4000,INDEX($D$2:$D$1001,-2581),IF(419&lt;=5000,INDEX($E$2:$E$1001,-3581),"")))))</f>
        <v/>
      </c>
    </row>
    <row r="421">
      <c r="A421">
        <f>IFERROR(INDEX('[AQ_2020.xlsx]原始数据'!$A:$A,ROW(A1)+420),"")</f>
        <v/>
      </c>
      <c r="B421">
        <f>IFERROR(INDEX('[AQ_2021.xlsx]原始数据'!$A:$A,ROW(A1)+420),"")</f>
        <v/>
      </c>
      <c r="C421">
        <f>IFERROR(INDEX('[AQ_2022.xlsx]原始数据'!$A:$A,ROW(A1)+420),"")</f>
        <v/>
      </c>
      <c r="D421">
        <f>IFERROR(INDEX('[AQ_2023.xlsx]原始数据'!$A:$A,ROW(A1)+420),"")</f>
        <v/>
      </c>
      <c r="E421">
        <f>IFERROR(INDEX('[AQ_2024.xlsx]原始数据'!$A:$A,ROW(A1)+420),"")</f>
        <v/>
      </c>
      <c r="G421">
        <f>IF(420&lt;=1000,INDEX($A$2:$A$1001,420),IF(420&lt;=2000,INDEX($B$2:$B$1001,-580),IF(420&lt;=3000,INDEX($C$2:$C$1001,-1580),IF(420&lt;=4000,INDEX($D$2:$D$1001,-2580),IF(420&lt;=5000,INDEX($E$2:$E$1001,-3580),"")))))</f>
        <v/>
      </c>
    </row>
    <row r="422">
      <c r="A422">
        <f>IFERROR(INDEX('[AQ_2020.xlsx]原始数据'!$A:$A,ROW(A1)+421),"")</f>
        <v/>
      </c>
      <c r="B422">
        <f>IFERROR(INDEX('[AQ_2021.xlsx]原始数据'!$A:$A,ROW(A1)+421),"")</f>
        <v/>
      </c>
      <c r="C422">
        <f>IFERROR(INDEX('[AQ_2022.xlsx]原始数据'!$A:$A,ROW(A1)+421),"")</f>
        <v/>
      </c>
      <c r="D422">
        <f>IFERROR(INDEX('[AQ_2023.xlsx]原始数据'!$A:$A,ROW(A1)+421),"")</f>
        <v/>
      </c>
      <c r="E422">
        <f>IFERROR(INDEX('[AQ_2024.xlsx]原始数据'!$A:$A,ROW(A1)+421),"")</f>
        <v/>
      </c>
      <c r="G422">
        <f>IF(421&lt;=1000,INDEX($A$2:$A$1001,421),IF(421&lt;=2000,INDEX($B$2:$B$1001,-579),IF(421&lt;=3000,INDEX($C$2:$C$1001,-1579),IF(421&lt;=4000,INDEX($D$2:$D$1001,-2579),IF(421&lt;=5000,INDEX($E$2:$E$1001,-3579),"")))))</f>
        <v/>
      </c>
    </row>
    <row r="423">
      <c r="A423">
        <f>IFERROR(INDEX('[AQ_2020.xlsx]原始数据'!$A:$A,ROW(A1)+422),"")</f>
        <v/>
      </c>
      <c r="B423">
        <f>IFERROR(INDEX('[AQ_2021.xlsx]原始数据'!$A:$A,ROW(A1)+422),"")</f>
        <v/>
      </c>
      <c r="C423">
        <f>IFERROR(INDEX('[AQ_2022.xlsx]原始数据'!$A:$A,ROW(A1)+422),"")</f>
        <v/>
      </c>
      <c r="D423">
        <f>IFERROR(INDEX('[AQ_2023.xlsx]原始数据'!$A:$A,ROW(A1)+422),"")</f>
        <v/>
      </c>
      <c r="E423">
        <f>IFERROR(INDEX('[AQ_2024.xlsx]原始数据'!$A:$A,ROW(A1)+422),"")</f>
        <v/>
      </c>
      <c r="G423">
        <f>IF(422&lt;=1000,INDEX($A$2:$A$1001,422),IF(422&lt;=2000,INDEX($B$2:$B$1001,-578),IF(422&lt;=3000,INDEX($C$2:$C$1001,-1578),IF(422&lt;=4000,INDEX($D$2:$D$1001,-2578),IF(422&lt;=5000,INDEX($E$2:$E$1001,-3578),"")))))</f>
        <v/>
      </c>
    </row>
    <row r="424">
      <c r="A424">
        <f>IFERROR(INDEX('[AQ_2020.xlsx]原始数据'!$A:$A,ROW(A1)+423),"")</f>
        <v/>
      </c>
      <c r="B424">
        <f>IFERROR(INDEX('[AQ_2021.xlsx]原始数据'!$A:$A,ROW(A1)+423),"")</f>
        <v/>
      </c>
      <c r="C424">
        <f>IFERROR(INDEX('[AQ_2022.xlsx]原始数据'!$A:$A,ROW(A1)+423),"")</f>
        <v/>
      </c>
      <c r="D424">
        <f>IFERROR(INDEX('[AQ_2023.xlsx]原始数据'!$A:$A,ROW(A1)+423),"")</f>
        <v/>
      </c>
      <c r="E424">
        <f>IFERROR(INDEX('[AQ_2024.xlsx]原始数据'!$A:$A,ROW(A1)+423),"")</f>
        <v/>
      </c>
      <c r="G424">
        <f>IF(423&lt;=1000,INDEX($A$2:$A$1001,423),IF(423&lt;=2000,INDEX($B$2:$B$1001,-577),IF(423&lt;=3000,INDEX($C$2:$C$1001,-1577),IF(423&lt;=4000,INDEX($D$2:$D$1001,-2577),IF(423&lt;=5000,INDEX($E$2:$E$1001,-3577),"")))))</f>
        <v/>
      </c>
    </row>
    <row r="425">
      <c r="A425">
        <f>IFERROR(INDEX('[AQ_2020.xlsx]原始数据'!$A:$A,ROW(A1)+424),"")</f>
        <v/>
      </c>
      <c r="B425">
        <f>IFERROR(INDEX('[AQ_2021.xlsx]原始数据'!$A:$A,ROW(A1)+424),"")</f>
        <v/>
      </c>
      <c r="C425">
        <f>IFERROR(INDEX('[AQ_2022.xlsx]原始数据'!$A:$A,ROW(A1)+424),"")</f>
        <v/>
      </c>
      <c r="D425">
        <f>IFERROR(INDEX('[AQ_2023.xlsx]原始数据'!$A:$A,ROW(A1)+424),"")</f>
        <v/>
      </c>
      <c r="E425">
        <f>IFERROR(INDEX('[AQ_2024.xlsx]原始数据'!$A:$A,ROW(A1)+424),"")</f>
        <v/>
      </c>
      <c r="G425">
        <f>IF(424&lt;=1000,INDEX($A$2:$A$1001,424),IF(424&lt;=2000,INDEX($B$2:$B$1001,-576),IF(424&lt;=3000,INDEX($C$2:$C$1001,-1576),IF(424&lt;=4000,INDEX($D$2:$D$1001,-2576),IF(424&lt;=5000,INDEX($E$2:$E$1001,-3576),"")))))</f>
        <v/>
      </c>
    </row>
    <row r="426">
      <c r="A426">
        <f>IFERROR(INDEX('[AQ_2020.xlsx]原始数据'!$A:$A,ROW(A1)+425),"")</f>
        <v/>
      </c>
      <c r="B426">
        <f>IFERROR(INDEX('[AQ_2021.xlsx]原始数据'!$A:$A,ROW(A1)+425),"")</f>
        <v/>
      </c>
      <c r="C426">
        <f>IFERROR(INDEX('[AQ_2022.xlsx]原始数据'!$A:$A,ROW(A1)+425),"")</f>
        <v/>
      </c>
      <c r="D426">
        <f>IFERROR(INDEX('[AQ_2023.xlsx]原始数据'!$A:$A,ROW(A1)+425),"")</f>
        <v/>
      </c>
      <c r="E426">
        <f>IFERROR(INDEX('[AQ_2024.xlsx]原始数据'!$A:$A,ROW(A1)+425),"")</f>
        <v/>
      </c>
      <c r="G426">
        <f>IF(425&lt;=1000,INDEX($A$2:$A$1001,425),IF(425&lt;=2000,INDEX($B$2:$B$1001,-575),IF(425&lt;=3000,INDEX($C$2:$C$1001,-1575),IF(425&lt;=4000,INDEX($D$2:$D$1001,-2575),IF(425&lt;=5000,INDEX($E$2:$E$1001,-3575),"")))))</f>
        <v/>
      </c>
    </row>
    <row r="427">
      <c r="A427">
        <f>IFERROR(INDEX('[AQ_2020.xlsx]原始数据'!$A:$A,ROW(A1)+426),"")</f>
        <v/>
      </c>
      <c r="B427">
        <f>IFERROR(INDEX('[AQ_2021.xlsx]原始数据'!$A:$A,ROW(A1)+426),"")</f>
        <v/>
      </c>
      <c r="C427">
        <f>IFERROR(INDEX('[AQ_2022.xlsx]原始数据'!$A:$A,ROW(A1)+426),"")</f>
        <v/>
      </c>
      <c r="D427">
        <f>IFERROR(INDEX('[AQ_2023.xlsx]原始数据'!$A:$A,ROW(A1)+426),"")</f>
        <v/>
      </c>
      <c r="E427">
        <f>IFERROR(INDEX('[AQ_2024.xlsx]原始数据'!$A:$A,ROW(A1)+426),"")</f>
        <v/>
      </c>
      <c r="G427">
        <f>IF(426&lt;=1000,INDEX($A$2:$A$1001,426),IF(426&lt;=2000,INDEX($B$2:$B$1001,-574),IF(426&lt;=3000,INDEX($C$2:$C$1001,-1574),IF(426&lt;=4000,INDEX($D$2:$D$1001,-2574),IF(426&lt;=5000,INDEX($E$2:$E$1001,-3574),"")))))</f>
        <v/>
      </c>
    </row>
    <row r="428">
      <c r="A428">
        <f>IFERROR(INDEX('[AQ_2020.xlsx]原始数据'!$A:$A,ROW(A1)+427),"")</f>
        <v/>
      </c>
      <c r="B428">
        <f>IFERROR(INDEX('[AQ_2021.xlsx]原始数据'!$A:$A,ROW(A1)+427),"")</f>
        <v/>
      </c>
      <c r="C428">
        <f>IFERROR(INDEX('[AQ_2022.xlsx]原始数据'!$A:$A,ROW(A1)+427),"")</f>
        <v/>
      </c>
      <c r="D428">
        <f>IFERROR(INDEX('[AQ_2023.xlsx]原始数据'!$A:$A,ROW(A1)+427),"")</f>
        <v/>
      </c>
      <c r="E428">
        <f>IFERROR(INDEX('[AQ_2024.xlsx]原始数据'!$A:$A,ROW(A1)+427),"")</f>
        <v/>
      </c>
      <c r="G428">
        <f>IF(427&lt;=1000,INDEX($A$2:$A$1001,427),IF(427&lt;=2000,INDEX($B$2:$B$1001,-573),IF(427&lt;=3000,INDEX($C$2:$C$1001,-1573),IF(427&lt;=4000,INDEX($D$2:$D$1001,-2573),IF(427&lt;=5000,INDEX($E$2:$E$1001,-3573),"")))))</f>
        <v/>
      </c>
    </row>
    <row r="429">
      <c r="A429">
        <f>IFERROR(INDEX('[AQ_2020.xlsx]原始数据'!$A:$A,ROW(A1)+428),"")</f>
        <v/>
      </c>
      <c r="B429">
        <f>IFERROR(INDEX('[AQ_2021.xlsx]原始数据'!$A:$A,ROW(A1)+428),"")</f>
        <v/>
      </c>
      <c r="C429">
        <f>IFERROR(INDEX('[AQ_2022.xlsx]原始数据'!$A:$A,ROW(A1)+428),"")</f>
        <v/>
      </c>
      <c r="D429">
        <f>IFERROR(INDEX('[AQ_2023.xlsx]原始数据'!$A:$A,ROW(A1)+428),"")</f>
        <v/>
      </c>
      <c r="E429">
        <f>IFERROR(INDEX('[AQ_2024.xlsx]原始数据'!$A:$A,ROW(A1)+428),"")</f>
        <v/>
      </c>
      <c r="G429">
        <f>IF(428&lt;=1000,INDEX($A$2:$A$1001,428),IF(428&lt;=2000,INDEX($B$2:$B$1001,-572),IF(428&lt;=3000,INDEX($C$2:$C$1001,-1572),IF(428&lt;=4000,INDEX($D$2:$D$1001,-2572),IF(428&lt;=5000,INDEX($E$2:$E$1001,-3572),"")))))</f>
        <v/>
      </c>
    </row>
    <row r="430">
      <c r="A430">
        <f>IFERROR(INDEX('[AQ_2020.xlsx]原始数据'!$A:$A,ROW(A1)+429),"")</f>
        <v/>
      </c>
      <c r="B430">
        <f>IFERROR(INDEX('[AQ_2021.xlsx]原始数据'!$A:$A,ROW(A1)+429),"")</f>
        <v/>
      </c>
      <c r="C430">
        <f>IFERROR(INDEX('[AQ_2022.xlsx]原始数据'!$A:$A,ROW(A1)+429),"")</f>
        <v/>
      </c>
      <c r="D430">
        <f>IFERROR(INDEX('[AQ_2023.xlsx]原始数据'!$A:$A,ROW(A1)+429),"")</f>
        <v/>
      </c>
      <c r="E430">
        <f>IFERROR(INDEX('[AQ_2024.xlsx]原始数据'!$A:$A,ROW(A1)+429),"")</f>
        <v/>
      </c>
      <c r="G430">
        <f>IF(429&lt;=1000,INDEX($A$2:$A$1001,429),IF(429&lt;=2000,INDEX($B$2:$B$1001,-571),IF(429&lt;=3000,INDEX($C$2:$C$1001,-1571),IF(429&lt;=4000,INDEX($D$2:$D$1001,-2571),IF(429&lt;=5000,INDEX($E$2:$E$1001,-3571),"")))))</f>
        <v/>
      </c>
    </row>
    <row r="431">
      <c r="A431">
        <f>IFERROR(INDEX('[AQ_2020.xlsx]原始数据'!$A:$A,ROW(A1)+430),"")</f>
        <v/>
      </c>
      <c r="B431">
        <f>IFERROR(INDEX('[AQ_2021.xlsx]原始数据'!$A:$A,ROW(A1)+430),"")</f>
        <v/>
      </c>
      <c r="C431">
        <f>IFERROR(INDEX('[AQ_2022.xlsx]原始数据'!$A:$A,ROW(A1)+430),"")</f>
        <v/>
      </c>
      <c r="D431">
        <f>IFERROR(INDEX('[AQ_2023.xlsx]原始数据'!$A:$A,ROW(A1)+430),"")</f>
        <v/>
      </c>
      <c r="E431">
        <f>IFERROR(INDEX('[AQ_2024.xlsx]原始数据'!$A:$A,ROW(A1)+430),"")</f>
        <v/>
      </c>
      <c r="G431">
        <f>IF(430&lt;=1000,INDEX($A$2:$A$1001,430),IF(430&lt;=2000,INDEX($B$2:$B$1001,-570),IF(430&lt;=3000,INDEX($C$2:$C$1001,-1570),IF(430&lt;=4000,INDEX($D$2:$D$1001,-2570),IF(430&lt;=5000,INDEX($E$2:$E$1001,-3570),"")))))</f>
        <v/>
      </c>
    </row>
    <row r="432">
      <c r="A432">
        <f>IFERROR(INDEX('[AQ_2020.xlsx]原始数据'!$A:$A,ROW(A1)+431),"")</f>
        <v/>
      </c>
      <c r="B432">
        <f>IFERROR(INDEX('[AQ_2021.xlsx]原始数据'!$A:$A,ROW(A1)+431),"")</f>
        <v/>
      </c>
      <c r="C432">
        <f>IFERROR(INDEX('[AQ_2022.xlsx]原始数据'!$A:$A,ROW(A1)+431),"")</f>
        <v/>
      </c>
      <c r="D432">
        <f>IFERROR(INDEX('[AQ_2023.xlsx]原始数据'!$A:$A,ROW(A1)+431),"")</f>
        <v/>
      </c>
      <c r="E432">
        <f>IFERROR(INDEX('[AQ_2024.xlsx]原始数据'!$A:$A,ROW(A1)+431),"")</f>
        <v/>
      </c>
      <c r="G432">
        <f>IF(431&lt;=1000,INDEX($A$2:$A$1001,431),IF(431&lt;=2000,INDEX($B$2:$B$1001,-569),IF(431&lt;=3000,INDEX($C$2:$C$1001,-1569),IF(431&lt;=4000,INDEX($D$2:$D$1001,-2569),IF(431&lt;=5000,INDEX($E$2:$E$1001,-3569),"")))))</f>
        <v/>
      </c>
    </row>
    <row r="433">
      <c r="A433">
        <f>IFERROR(INDEX('[AQ_2020.xlsx]原始数据'!$A:$A,ROW(A1)+432),"")</f>
        <v/>
      </c>
      <c r="B433">
        <f>IFERROR(INDEX('[AQ_2021.xlsx]原始数据'!$A:$A,ROW(A1)+432),"")</f>
        <v/>
      </c>
      <c r="C433">
        <f>IFERROR(INDEX('[AQ_2022.xlsx]原始数据'!$A:$A,ROW(A1)+432),"")</f>
        <v/>
      </c>
      <c r="D433">
        <f>IFERROR(INDEX('[AQ_2023.xlsx]原始数据'!$A:$A,ROW(A1)+432),"")</f>
        <v/>
      </c>
      <c r="E433">
        <f>IFERROR(INDEX('[AQ_2024.xlsx]原始数据'!$A:$A,ROW(A1)+432),"")</f>
        <v/>
      </c>
      <c r="G433">
        <f>IF(432&lt;=1000,INDEX($A$2:$A$1001,432),IF(432&lt;=2000,INDEX($B$2:$B$1001,-568),IF(432&lt;=3000,INDEX($C$2:$C$1001,-1568),IF(432&lt;=4000,INDEX($D$2:$D$1001,-2568),IF(432&lt;=5000,INDEX($E$2:$E$1001,-3568),"")))))</f>
        <v/>
      </c>
    </row>
    <row r="434">
      <c r="A434">
        <f>IFERROR(INDEX('[AQ_2020.xlsx]原始数据'!$A:$A,ROW(A1)+433),"")</f>
        <v/>
      </c>
      <c r="B434">
        <f>IFERROR(INDEX('[AQ_2021.xlsx]原始数据'!$A:$A,ROW(A1)+433),"")</f>
        <v/>
      </c>
      <c r="C434">
        <f>IFERROR(INDEX('[AQ_2022.xlsx]原始数据'!$A:$A,ROW(A1)+433),"")</f>
        <v/>
      </c>
      <c r="D434">
        <f>IFERROR(INDEX('[AQ_2023.xlsx]原始数据'!$A:$A,ROW(A1)+433),"")</f>
        <v/>
      </c>
      <c r="E434">
        <f>IFERROR(INDEX('[AQ_2024.xlsx]原始数据'!$A:$A,ROW(A1)+433),"")</f>
        <v/>
      </c>
      <c r="G434">
        <f>IF(433&lt;=1000,INDEX($A$2:$A$1001,433),IF(433&lt;=2000,INDEX($B$2:$B$1001,-567),IF(433&lt;=3000,INDEX($C$2:$C$1001,-1567),IF(433&lt;=4000,INDEX($D$2:$D$1001,-2567),IF(433&lt;=5000,INDEX($E$2:$E$1001,-3567),"")))))</f>
        <v/>
      </c>
    </row>
    <row r="435">
      <c r="A435">
        <f>IFERROR(INDEX('[AQ_2020.xlsx]原始数据'!$A:$A,ROW(A1)+434),"")</f>
        <v/>
      </c>
      <c r="B435">
        <f>IFERROR(INDEX('[AQ_2021.xlsx]原始数据'!$A:$A,ROW(A1)+434),"")</f>
        <v/>
      </c>
      <c r="C435">
        <f>IFERROR(INDEX('[AQ_2022.xlsx]原始数据'!$A:$A,ROW(A1)+434),"")</f>
        <v/>
      </c>
      <c r="D435">
        <f>IFERROR(INDEX('[AQ_2023.xlsx]原始数据'!$A:$A,ROW(A1)+434),"")</f>
        <v/>
      </c>
      <c r="E435">
        <f>IFERROR(INDEX('[AQ_2024.xlsx]原始数据'!$A:$A,ROW(A1)+434),"")</f>
        <v/>
      </c>
      <c r="G435">
        <f>IF(434&lt;=1000,INDEX($A$2:$A$1001,434),IF(434&lt;=2000,INDEX($B$2:$B$1001,-566),IF(434&lt;=3000,INDEX($C$2:$C$1001,-1566),IF(434&lt;=4000,INDEX($D$2:$D$1001,-2566),IF(434&lt;=5000,INDEX($E$2:$E$1001,-3566),"")))))</f>
        <v/>
      </c>
    </row>
    <row r="436">
      <c r="A436">
        <f>IFERROR(INDEX('[AQ_2020.xlsx]原始数据'!$A:$A,ROW(A1)+435),"")</f>
        <v/>
      </c>
      <c r="B436">
        <f>IFERROR(INDEX('[AQ_2021.xlsx]原始数据'!$A:$A,ROW(A1)+435),"")</f>
        <v/>
      </c>
      <c r="C436">
        <f>IFERROR(INDEX('[AQ_2022.xlsx]原始数据'!$A:$A,ROW(A1)+435),"")</f>
        <v/>
      </c>
      <c r="D436">
        <f>IFERROR(INDEX('[AQ_2023.xlsx]原始数据'!$A:$A,ROW(A1)+435),"")</f>
        <v/>
      </c>
      <c r="E436">
        <f>IFERROR(INDEX('[AQ_2024.xlsx]原始数据'!$A:$A,ROW(A1)+435),"")</f>
        <v/>
      </c>
      <c r="G436">
        <f>IF(435&lt;=1000,INDEX($A$2:$A$1001,435),IF(435&lt;=2000,INDEX($B$2:$B$1001,-565),IF(435&lt;=3000,INDEX($C$2:$C$1001,-1565),IF(435&lt;=4000,INDEX($D$2:$D$1001,-2565),IF(435&lt;=5000,INDEX($E$2:$E$1001,-3565),"")))))</f>
        <v/>
      </c>
    </row>
    <row r="437">
      <c r="A437">
        <f>IFERROR(INDEX('[AQ_2020.xlsx]原始数据'!$A:$A,ROW(A1)+436),"")</f>
        <v/>
      </c>
      <c r="B437">
        <f>IFERROR(INDEX('[AQ_2021.xlsx]原始数据'!$A:$A,ROW(A1)+436),"")</f>
        <v/>
      </c>
      <c r="C437">
        <f>IFERROR(INDEX('[AQ_2022.xlsx]原始数据'!$A:$A,ROW(A1)+436),"")</f>
        <v/>
      </c>
      <c r="D437">
        <f>IFERROR(INDEX('[AQ_2023.xlsx]原始数据'!$A:$A,ROW(A1)+436),"")</f>
        <v/>
      </c>
      <c r="E437">
        <f>IFERROR(INDEX('[AQ_2024.xlsx]原始数据'!$A:$A,ROW(A1)+436),"")</f>
        <v/>
      </c>
      <c r="G437">
        <f>IF(436&lt;=1000,INDEX($A$2:$A$1001,436),IF(436&lt;=2000,INDEX($B$2:$B$1001,-564),IF(436&lt;=3000,INDEX($C$2:$C$1001,-1564),IF(436&lt;=4000,INDEX($D$2:$D$1001,-2564),IF(436&lt;=5000,INDEX($E$2:$E$1001,-3564),"")))))</f>
        <v/>
      </c>
    </row>
    <row r="438">
      <c r="A438">
        <f>IFERROR(INDEX('[AQ_2020.xlsx]原始数据'!$A:$A,ROW(A1)+437),"")</f>
        <v/>
      </c>
      <c r="B438">
        <f>IFERROR(INDEX('[AQ_2021.xlsx]原始数据'!$A:$A,ROW(A1)+437),"")</f>
        <v/>
      </c>
      <c r="C438">
        <f>IFERROR(INDEX('[AQ_2022.xlsx]原始数据'!$A:$A,ROW(A1)+437),"")</f>
        <v/>
      </c>
      <c r="D438">
        <f>IFERROR(INDEX('[AQ_2023.xlsx]原始数据'!$A:$A,ROW(A1)+437),"")</f>
        <v/>
      </c>
      <c r="E438">
        <f>IFERROR(INDEX('[AQ_2024.xlsx]原始数据'!$A:$A,ROW(A1)+437),"")</f>
        <v/>
      </c>
      <c r="G438">
        <f>IF(437&lt;=1000,INDEX($A$2:$A$1001,437),IF(437&lt;=2000,INDEX($B$2:$B$1001,-563),IF(437&lt;=3000,INDEX($C$2:$C$1001,-1563),IF(437&lt;=4000,INDEX($D$2:$D$1001,-2563),IF(437&lt;=5000,INDEX($E$2:$E$1001,-3563),"")))))</f>
        <v/>
      </c>
    </row>
    <row r="439">
      <c r="A439">
        <f>IFERROR(INDEX('[AQ_2020.xlsx]原始数据'!$A:$A,ROW(A1)+438),"")</f>
        <v/>
      </c>
      <c r="B439">
        <f>IFERROR(INDEX('[AQ_2021.xlsx]原始数据'!$A:$A,ROW(A1)+438),"")</f>
        <v/>
      </c>
      <c r="C439">
        <f>IFERROR(INDEX('[AQ_2022.xlsx]原始数据'!$A:$A,ROW(A1)+438),"")</f>
        <v/>
      </c>
      <c r="D439">
        <f>IFERROR(INDEX('[AQ_2023.xlsx]原始数据'!$A:$A,ROW(A1)+438),"")</f>
        <v/>
      </c>
      <c r="E439">
        <f>IFERROR(INDEX('[AQ_2024.xlsx]原始数据'!$A:$A,ROW(A1)+438),"")</f>
        <v/>
      </c>
      <c r="G439">
        <f>IF(438&lt;=1000,INDEX($A$2:$A$1001,438),IF(438&lt;=2000,INDEX($B$2:$B$1001,-562),IF(438&lt;=3000,INDEX($C$2:$C$1001,-1562),IF(438&lt;=4000,INDEX($D$2:$D$1001,-2562),IF(438&lt;=5000,INDEX($E$2:$E$1001,-3562),"")))))</f>
        <v/>
      </c>
    </row>
    <row r="440">
      <c r="A440">
        <f>IFERROR(INDEX('[AQ_2020.xlsx]原始数据'!$A:$A,ROW(A1)+439),"")</f>
        <v/>
      </c>
      <c r="B440">
        <f>IFERROR(INDEX('[AQ_2021.xlsx]原始数据'!$A:$A,ROW(A1)+439),"")</f>
        <v/>
      </c>
      <c r="C440">
        <f>IFERROR(INDEX('[AQ_2022.xlsx]原始数据'!$A:$A,ROW(A1)+439),"")</f>
        <v/>
      </c>
      <c r="D440">
        <f>IFERROR(INDEX('[AQ_2023.xlsx]原始数据'!$A:$A,ROW(A1)+439),"")</f>
        <v/>
      </c>
      <c r="E440">
        <f>IFERROR(INDEX('[AQ_2024.xlsx]原始数据'!$A:$A,ROW(A1)+439),"")</f>
        <v/>
      </c>
      <c r="G440">
        <f>IF(439&lt;=1000,INDEX($A$2:$A$1001,439),IF(439&lt;=2000,INDEX($B$2:$B$1001,-561),IF(439&lt;=3000,INDEX($C$2:$C$1001,-1561),IF(439&lt;=4000,INDEX($D$2:$D$1001,-2561),IF(439&lt;=5000,INDEX($E$2:$E$1001,-3561),"")))))</f>
        <v/>
      </c>
    </row>
    <row r="441">
      <c r="A441">
        <f>IFERROR(INDEX('[AQ_2020.xlsx]原始数据'!$A:$A,ROW(A1)+440),"")</f>
        <v/>
      </c>
      <c r="B441">
        <f>IFERROR(INDEX('[AQ_2021.xlsx]原始数据'!$A:$A,ROW(A1)+440),"")</f>
        <v/>
      </c>
      <c r="C441">
        <f>IFERROR(INDEX('[AQ_2022.xlsx]原始数据'!$A:$A,ROW(A1)+440),"")</f>
        <v/>
      </c>
      <c r="D441">
        <f>IFERROR(INDEX('[AQ_2023.xlsx]原始数据'!$A:$A,ROW(A1)+440),"")</f>
        <v/>
      </c>
      <c r="E441">
        <f>IFERROR(INDEX('[AQ_2024.xlsx]原始数据'!$A:$A,ROW(A1)+440),"")</f>
        <v/>
      </c>
      <c r="G441">
        <f>IF(440&lt;=1000,INDEX($A$2:$A$1001,440),IF(440&lt;=2000,INDEX($B$2:$B$1001,-560),IF(440&lt;=3000,INDEX($C$2:$C$1001,-1560),IF(440&lt;=4000,INDEX($D$2:$D$1001,-2560),IF(440&lt;=5000,INDEX($E$2:$E$1001,-3560),"")))))</f>
        <v/>
      </c>
    </row>
    <row r="442">
      <c r="A442">
        <f>IFERROR(INDEX('[AQ_2020.xlsx]原始数据'!$A:$A,ROW(A1)+441),"")</f>
        <v/>
      </c>
      <c r="B442">
        <f>IFERROR(INDEX('[AQ_2021.xlsx]原始数据'!$A:$A,ROW(A1)+441),"")</f>
        <v/>
      </c>
      <c r="C442">
        <f>IFERROR(INDEX('[AQ_2022.xlsx]原始数据'!$A:$A,ROW(A1)+441),"")</f>
        <v/>
      </c>
      <c r="D442">
        <f>IFERROR(INDEX('[AQ_2023.xlsx]原始数据'!$A:$A,ROW(A1)+441),"")</f>
        <v/>
      </c>
      <c r="E442">
        <f>IFERROR(INDEX('[AQ_2024.xlsx]原始数据'!$A:$A,ROW(A1)+441),"")</f>
        <v/>
      </c>
      <c r="G442">
        <f>IF(441&lt;=1000,INDEX($A$2:$A$1001,441),IF(441&lt;=2000,INDEX($B$2:$B$1001,-559),IF(441&lt;=3000,INDEX($C$2:$C$1001,-1559),IF(441&lt;=4000,INDEX($D$2:$D$1001,-2559),IF(441&lt;=5000,INDEX($E$2:$E$1001,-3559),"")))))</f>
        <v/>
      </c>
    </row>
    <row r="443">
      <c r="A443">
        <f>IFERROR(INDEX('[AQ_2020.xlsx]原始数据'!$A:$A,ROW(A1)+442),"")</f>
        <v/>
      </c>
      <c r="B443">
        <f>IFERROR(INDEX('[AQ_2021.xlsx]原始数据'!$A:$A,ROW(A1)+442),"")</f>
        <v/>
      </c>
      <c r="C443">
        <f>IFERROR(INDEX('[AQ_2022.xlsx]原始数据'!$A:$A,ROW(A1)+442),"")</f>
        <v/>
      </c>
      <c r="D443">
        <f>IFERROR(INDEX('[AQ_2023.xlsx]原始数据'!$A:$A,ROW(A1)+442),"")</f>
        <v/>
      </c>
      <c r="E443">
        <f>IFERROR(INDEX('[AQ_2024.xlsx]原始数据'!$A:$A,ROW(A1)+442),"")</f>
        <v/>
      </c>
      <c r="G443">
        <f>IF(442&lt;=1000,INDEX($A$2:$A$1001,442),IF(442&lt;=2000,INDEX($B$2:$B$1001,-558),IF(442&lt;=3000,INDEX($C$2:$C$1001,-1558),IF(442&lt;=4000,INDEX($D$2:$D$1001,-2558),IF(442&lt;=5000,INDEX($E$2:$E$1001,-3558),"")))))</f>
        <v/>
      </c>
    </row>
    <row r="444">
      <c r="A444">
        <f>IFERROR(INDEX('[AQ_2020.xlsx]原始数据'!$A:$A,ROW(A1)+443),"")</f>
        <v/>
      </c>
      <c r="B444">
        <f>IFERROR(INDEX('[AQ_2021.xlsx]原始数据'!$A:$A,ROW(A1)+443),"")</f>
        <v/>
      </c>
      <c r="C444">
        <f>IFERROR(INDEX('[AQ_2022.xlsx]原始数据'!$A:$A,ROW(A1)+443),"")</f>
        <v/>
      </c>
      <c r="D444">
        <f>IFERROR(INDEX('[AQ_2023.xlsx]原始数据'!$A:$A,ROW(A1)+443),"")</f>
        <v/>
      </c>
      <c r="E444">
        <f>IFERROR(INDEX('[AQ_2024.xlsx]原始数据'!$A:$A,ROW(A1)+443),"")</f>
        <v/>
      </c>
      <c r="G444">
        <f>IF(443&lt;=1000,INDEX($A$2:$A$1001,443),IF(443&lt;=2000,INDEX($B$2:$B$1001,-557),IF(443&lt;=3000,INDEX($C$2:$C$1001,-1557),IF(443&lt;=4000,INDEX($D$2:$D$1001,-2557),IF(443&lt;=5000,INDEX($E$2:$E$1001,-3557),"")))))</f>
        <v/>
      </c>
    </row>
    <row r="445">
      <c r="A445">
        <f>IFERROR(INDEX('[AQ_2020.xlsx]原始数据'!$A:$A,ROW(A1)+444),"")</f>
        <v/>
      </c>
      <c r="B445">
        <f>IFERROR(INDEX('[AQ_2021.xlsx]原始数据'!$A:$A,ROW(A1)+444),"")</f>
        <v/>
      </c>
      <c r="C445">
        <f>IFERROR(INDEX('[AQ_2022.xlsx]原始数据'!$A:$A,ROW(A1)+444),"")</f>
        <v/>
      </c>
      <c r="D445">
        <f>IFERROR(INDEX('[AQ_2023.xlsx]原始数据'!$A:$A,ROW(A1)+444),"")</f>
        <v/>
      </c>
      <c r="E445">
        <f>IFERROR(INDEX('[AQ_2024.xlsx]原始数据'!$A:$A,ROW(A1)+444),"")</f>
        <v/>
      </c>
      <c r="G445">
        <f>IF(444&lt;=1000,INDEX($A$2:$A$1001,444),IF(444&lt;=2000,INDEX($B$2:$B$1001,-556),IF(444&lt;=3000,INDEX($C$2:$C$1001,-1556),IF(444&lt;=4000,INDEX($D$2:$D$1001,-2556),IF(444&lt;=5000,INDEX($E$2:$E$1001,-3556),"")))))</f>
        <v/>
      </c>
    </row>
    <row r="446">
      <c r="A446">
        <f>IFERROR(INDEX('[AQ_2020.xlsx]原始数据'!$A:$A,ROW(A1)+445),"")</f>
        <v/>
      </c>
      <c r="B446">
        <f>IFERROR(INDEX('[AQ_2021.xlsx]原始数据'!$A:$A,ROW(A1)+445),"")</f>
        <v/>
      </c>
      <c r="C446">
        <f>IFERROR(INDEX('[AQ_2022.xlsx]原始数据'!$A:$A,ROW(A1)+445),"")</f>
        <v/>
      </c>
      <c r="D446">
        <f>IFERROR(INDEX('[AQ_2023.xlsx]原始数据'!$A:$A,ROW(A1)+445),"")</f>
        <v/>
      </c>
      <c r="E446">
        <f>IFERROR(INDEX('[AQ_2024.xlsx]原始数据'!$A:$A,ROW(A1)+445),"")</f>
        <v/>
      </c>
      <c r="G446">
        <f>IF(445&lt;=1000,INDEX($A$2:$A$1001,445),IF(445&lt;=2000,INDEX($B$2:$B$1001,-555),IF(445&lt;=3000,INDEX($C$2:$C$1001,-1555),IF(445&lt;=4000,INDEX($D$2:$D$1001,-2555),IF(445&lt;=5000,INDEX($E$2:$E$1001,-3555),"")))))</f>
        <v/>
      </c>
    </row>
    <row r="447">
      <c r="A447">
        <f>IFERROR(INDEX('[AQ_2020.xlsx]原始数据'!$A:$A,ROW(A1)+446),"")</f>
        <v/>
      </c>
      <c r="B447">
        <f>IFERROR(INDEX('[AQ_2021.xlsx]原始数据'!$A:$A,ROW(A1)+446),"")</f>
        <v/>
      </c>
      <c r="C447">
        <f>IFERROR(INDEX('[AQ_2022.xlsx]原始数据'!$A:$A,ROW(A1)+446),"")</f>
        <v/>
      </c>
      <c r="D447">
        <f>IFERROR(INDEX('[AQ_2023.xlsx]原始数据'!$A:$A,ROW(A1)+446),"")</f>
        <v/>
      </c>
      <c r="E447">
        <f>IFERROR(INDEX('[AQ_2024.xlsx]原始数据'!$A:$A,ROW(A1)+446),"")</f>
        <v/>
      </c>
      <c r="G447">
        <f>IF(446&lt;=1000,INDEX($A$2:$A$1001,446),IF(446&lt;=2000,INDEX($B$2:$B$1001,-554),IF(446&lt;=3000,INDEX($C$2:$C$1001,-1554),IF(446&lt;=4000,INDEX($D$2:$D$1001,-2554),IF(446&lt;=5000,INDEX($E$2:$E$1001,-3554),"")))))</f>
        <v/>
      </c>
    </row>
    <row r="448">
      <c r="A448">
        <f>IFERROR(INDEX('[AQ_2020.xlsx]原始数据'!$A:$A,ROW(A1)+447),"")</f>
        <v/>
      </c>
      <c r="B448">
        <f>IFERROR(INDEX('[AQ_2021.xlsx]原始数据'!$A:$A,ROW(A1)+447),"")</f>
        <v/>
      </c>
      <c r="C448">
        <f>IFERROR(INDEX('[AQ_2022.xlsx]原始数据'!$A:$A,ROW(A1)+447),"")</f>
        <v/>
      </c>
      <c r="D448">
        <f>IFERROR(INDEX('[AQ_2023.xlsx]原始数据'!$A:$A,ROW(A1)+447),"")</f>
        <v/>
      </c>
      <c r="E448">
        <f>IFERROR(INDEX('[AQ_2024.xlsx]原始数据'!$A:$A,ROW(A1)+447),"")</f>
        <v/>
      </c>
      <c r="G448">
        <f>IF(447&lt;=1000,INDEX($A$2:$A$1001,447),IF(447&lt;=2000,INDEX($B$2:$B$1001,-553),IF(447&lt;=3000,INDEX($C$2:$C$1001,-1553),IF(447&lt;=4000,INDEX($D$2:$D$1001,-2553),IF(447&lt;=5000,INDEX($E$2:$E$1001,-3553),"")))))</f>
        <v/>
      </c>
    </row>
    <row r="449">
      <c r="A449">
        <f>IFERROR(INDEX('[AQ_2020.xlsx]原始数据'!$A:$A,ROW(A1)+448),"")</f>
        <v/>
      </c>
      <c r="B449">
        <f>IFERROR(INDEX('[AQ_2021.xlsx]原始数据'!$A:$A,ROW(A1)+448),"")</f>
        <v/>
      </c>
      <c r="C449">
        <f>IFERROR(INDEX('[AQ_2022.xlsx]原始数据'!$A:$A,ROW(A1)+448),"")</f>
        <v/>
      </c>
      <c r="D449">
        <f>IFERROR(INDEX('[AQ_2023.xlsx]原始数据'!$A:$A,ROW(A1)+448),"")</f>
        <v/>
      </c>
      <c r="E449">
        <f>IFERROR(INDEX('[AQ_2024.xlsx]原始数据'!$A:$A,ROW(A1)+448),"")</f>
        <v/>
      </c>
      <c r="G449">
        <f>IF(448&lt;=1000,INDEX($A$2:$A$1001,448),IF(448&lt;=2000,INDEX($B$2:$B$1001,-552),IF(448&lt;=3000,INDEX($C$2:$C$1001,-1552),IF(448&lt;=4000,INDEX($D$2:$D$1001,-2552),IF(448&lt;=5000,INDEX($E$2:$E$1001,-3552),"")))))</f>
        <v/>
      </c>
    </row>
    <row r="450">
      <c r="A450">
        <f>IFERROR(INDEX('[AQ_2020.xlsx]原始数据'!$A:$A,ROW(A1)+449),"")</f>
        <v/>
      </c>
      <c r="B450">
        <f>IFERROR(INDEX('[AQ_2021.xlsx]原始数据'!$A:$A,ROW(A1)+449),"")</f>
        <v/>
      </c>
      <c r="C450">
        <f>IFERROR(INDEX('[AQ_2022.xlsx]原始数据'!$A:$A,ROW(A1)+449),"")</f>
        <v/>
      </c>
      <c r="D450">
        <f>IFERROR(INDEX('[AQ_2023.xlsx]原始数据'!$A:$A,ROW(A1)+449),"")</f>
        <v/>
      </c>
      <c r="E450">
        <f>IFERROR(INDEX('[AQ_2024.xlsx]原始数据'!$A:$A,ROW(A1)+449),"")</f>
        <v/>
      </c>
      <c r="G450">
        <f>IF(449&lt;=1000,INDEX($A$2:$A$1001,449),IF(449&lt;=2000,INDEX($B$2:$B$1001,-551),IF(449&lt;=3000,INDEX($C$2:$C$1001,-1551),IF(449&lt;=4000,INDEX($D$2:$D$1001,-2551),IF(449&lt;=5000,INDEX($E$2:$E$1001,-3551),"")))))</f>
        <v/>
      </c>
    </row>
    <row r="451">
      <c r="A451">
        <f>IFERROR(INDEX('[AQ_2020.xlsx]原始数据'!$A:$A,ROW(A1)+450),"")</f>
        <v/>
      </c>
      <c r="B451">
        <f>IFERROR(INDEX('[AQ_2021.xlsx]原始数据'!$A:$A,ROW(A1)+450),"")</f>
        <v/>
      </c>
      <c r="C451">
        <f>IFERROR(INDEX('[AQ_2022.xlsx]原始数据'!$A:$A,ROW(A1)+450),"")</f>
        <v/>
      </c>
      <c r="D451">
        <f>IFERROR(INDEX('[AQ_2023.xlsx]原始数据'!$A:$A,ROW(A1)+450),"")</f>
        <v/>
      </c>
      <c r="E451">
        <f>IFERROR(INDEX('[AQ_2024.xlsx]原始数据'!$A:$A,ROW(A1)+450),"")</f>
        <v/>
      </c>
      <c r="G451">
        <f>IF(450&lt;=1000,INDEX($A$2:$A$1001,450),IF(450&lt;=2000,INDEX($B$2:$B$1001,-550),IF(450&lt;=3000,INDEX($C$2:$C$1001,-1550),IF(450&lt;=4000,INDEX($D$2:$D$1001,-2550),IF(450&lt;=5000,INDEX($E$2:$E$1001,-3550),"")))))</f>
        <v/>
      </c>
    </row>
    <row r="452">
      <c r="A452">
        <f>IFERROR(INDEX('[AQ_2020.xlsx]原始数据'!$A:$A,ROW(A1)+451),"")</f>
        <v/>
      </c>
      <c r="B452">
        <f>IFERROR(INDEX('[AQ_2021.xlsx]原始数据'!$A:$A,ROW(A1)+451),"")</f>
        <v/>
      </c>
      <c r="C452">
        <f>IFERROR(INDEX('[AQ_2022.xlsx]原始数据'!$A:$A,ROW(A1)+451),"")</f>
        <v/>
      </c>
      <c r="D452">
        <f>IFERROR(INDEX('[AQ_2023.xlsx]原始数据'!$A:$A,ROW(A1)+451),"")</f>
        <v/>
      </c>
      <c r="E452">
        <f>IFERROR(INDEX('[AQ_2024.xlsx]原始数据'!$A:$A,ROW(A1)+451),"")</f>
        <v/>
      </c>
      <c r="G452">
        <f>IF(451&lt;=1000,INDEX($A$2:$A$1001,451),IF(451&lt;=2000,INDEX($B$2:$B$1001,-549),IF(451&lt;=3000,INDEX($C$2:$C$1001,-1549),IF(451&lt;=4000,INDEX($D$2:$D$1001,-2549),IF(451&lt;=5000,INDEX($E$2:$E$1001,-3549),"")))))</f>
        <v/>
      </c>
    </row>
    <row r="453">
      <c r="A453">
        <f>IFERROR(INDEX('[AQ_2020.xlsx]原始数据'!$A:$A,ROW(A1)+452),"")</f>
        <v/>
      </c>
      <c r="B453">
        <f>IFERROR(INDEX('[AQ_2021.xlsx]原始数据'!$A:$A,ROW(A1)+452),"")</f>
        <v/>
      </c>
      <c r="C453">
        <f>IFERROR(INDEX('[AQ_2022.xlsx]原始数据'!$A:$A,ROW(A1)+452),"")</f>
        <v/>
      </c>
      <c r="D453">
        <f>IFERROR(INDEX('[AQ_2023.xlsx]原始数据'!$A:$A,ROW(A1)+452),"")</f>
        <v/>
      </c>
      <c r="E453">
        <f>IFERROR(INDEX('[AQ_2024.xlsx]原始数据'!$A:$A,ROW(A1)+452),"")</f>
        <v/>
      </c>
      <c r="G453">
        <f>IF(452&lt;=1000,INDEX($A$2:$A$1001,452),IF(452&lt;=2000,INDEX($B$2:$B$1001,-548),IF(452&lt;=3000,INDEX($C$2:$C$1001,-1548),IF(452&lt;=4000,INDEX($D$2:$D$1001,-2548),IF(452&lt;=5000,INDEX($E$2:$E$1001,-3548),"")))))</f>
        <v/>
      </c>
    </row>
    <row r="454">
      <c r="A454">
        <f>IFERROR(INDEX('[AQ_2020.xlsx]原始数据'!$A:$A,ROW(A1)+453),"")</f>
        <v/>
      </c>
      <c r="B454">
        <f>IFERROR(INDEX('[AQ_2021.xlsx]原始数据'!$A:$A,ROW(A1)+453),"")</f>
        <v/>
      </c>
      <c r="C454">
        <f>IFERROR(INDEX('[AQ_2022.xlsx]原始数据'!$A:$A,ROW(A1)+453),"")</f>
        <v/>
      </c>
      <c r="D454">
        <f>IFERROR(INDEX('[AQ_2023.xlsx]原始数据'!$A:$A,ROW(A1)+453),"")</f>
        <v/>
      </c>
      <c r="E454">
        <f>IFERROR(INDEX('[AQ_2024.xlsx]原始数据'!$A:$A,ROW(A1)+453),"")</f>
        <v/>
      </c>
      <c r="G454">
        <f>IF(453&lt;=1000,INDEX($A$2:$A$1001,453),IF(453&lt;=2000,INDEX($B$2:$B$1001,-547),IF(453&lt;=3000,INDEX($C$2:$C$1001,-1547),IF(453&lt;=4000,INDEX($D$2:$D$1001,-2547),IF(453&lt;=5000,INDEX($E$2:$E$1001,-3547),"")))))</f>
        <v/>
      </c>
    </row>
    <row r="455">
      <c r="A455">
        <f>IFERROR(INDEX('[AQ_2020.xlsx]原始数据'!$A:$A,ROW(A1)+454),"")</f>
        <v/>
      </c>
      <c r="B455">
        <f>IFERROR(INDEX('[AQ_2021.xlsx]原始数据'!$A:$A,ROW(A1)+454),"")</f>
        <v/>
      </c>
      <c r="C455">
        <f>IFERROR(INDEX('[AQ_2022.xlsx]原始数据'!$A:$A,ROW(A1)+454),"")</f>
        <v/>
      </c>
      <c r="D455">
        <f>IFERROR(INDEX('[AQ_2023.xlsx]原始数据'!$A:$A,ROW(A1)+454),"")</f>
        <v/>
      </c>
      <c r="E455">
        <f>IFERROR(INDEX('[AQ_2024.xlsx]原始数据'!$A:$A,ROW(A1)+454),"")</f>
        <v/>
      </c>
      <c r="G455">
        <f>IF(454&lt;=1000,INDEX($A$2:$A$1001,454),IF(454&lt;=2000,INDEX($B$2:$B$1001,-546),IF(454&lt;=3000,INDEX($C$2:$C$1001,-1546),IF(454&lt;=4000,INDEX($D$2:$D$1001,-2546),IF(454&lt;=5000,INDEX($E$2:$E$1001,-3546),"")))))</f>
        <v/>
      </c>
    </row>
    <row r="456">
      <c r="A456">
        <f>IFERROR(INDEX('[AQ_2020.xlsx]原始数据'!$A:$A,ROW(A1)+455),"")</f>
        <v/>
      </c>
      <c r="B456">
        <f>IFERROR(INDEX('[AQ_2021.xlsx]原始数据'!$A:$A,ROW(A1)+455),"")</f>
        <v/>
      </c>
      <c r="C456">
        <f>IFERROR(INDEX('[AQ_2022.xlsx]原始数据'!$A:$A,ROW(A1)+455),"")</f>
        <v/>
      </c>
      <c r="D456">
        <f>IFERROR(INDEX('[AQ_2023.xlsx]原始数据'!$A:$A,ROW(A1)+455),"")</f>
        <v/>
      </c>
      <c r="E456">
        <f>IFERROR(INDEX('[AQ_2024.xlsx]原始数据'!$A:$A,ROW(A1)+455),"")</f>
        <v/>
      </c>
      <c r="G456">
        <f>IF(455&lt;=1000,INDEX($A$2:$A$1001,455),IF(455&lt;=2000,INDEX($B$2:$B$1001,-545),IF(455&lt;=3000,INDEX($C$2:$C$1001,-1545),IF(455&lt;=4000,INDEX($D$2:$D$1001,-2545),IF(455&lt;=5000,INDEX($E$2:$E$1001,-3545),"")))))</f>
        <v/>
      </c>
    </row>
    <row r="457">
      <c r="A457">
        <f>IFERROR(INDEX('[AQ_2020.xlsx]原始数据'!$A:$A,ROW(A1)+456),"")</f>
        <v/>
      </c>
      <c r="B457">
        <f>IFERROR(INDEX('[AQ_2021.xlsx]原始数据'!$A:$A,ROW(A1)+456),"")</f>
        <v/>
      </c>
      <c r="C457">
        <f>IFERROR(INDEX('[AQ_2022.xlsx]原始数据'!$A:$A,ROW(A1)+456),"")</f>
        <v/>
      </c>
      <c r="D457">
        <f>IFERROR(INDEX('[AQ_2023.xlsx]原始数据'!$A:$A,ROW(A1)+456),"")</f>
        <v/>
      </c>
      <c r="E457">
        <f>IFERROR(INDEX('[AQ_2024.xlsx]原始数据'!$A:$A,ROW(A1)+456),"")</f>
        <v/>
      </c>
      <c r="G457">
        <f>IF(456&lt;=1000,INDEX($A$2:$A$1001,456),IF(456&lt;=2000,INDEX($B$2:$B$1001,-544),IF(456&lt;=3000,INDEX($C$2:$C$1001,-1544),IF(456&lt;=4000,INDEX($D$2:$D$1001,-2544),IF(456&lt;=5000,INDEX($E$2:$E$1001,-3544),"")))))</f>
        <v/>
      </c>
    </row>
    <row r="458">
      <c r="A458">
        <f>IFERROR(INDEX('[AQ_2020.xlsx]原始数据'!$A:$A,ROW(A1)+457),"")</f>
        <v/>
      </c>
      <c r="B458">
        <f>IFERROR(INDEX('[AQ_2021.xlsx]原始数据'!$A:$A,ROW(A1)+457),"")</f>
        <v/>
      </c>
      <c r="C458">
        <f>IFERROR(INDEX('[AQ_2022.xlsx]原始数据'!$A:$A,ROW(A1)+457),"")</f>
        <v/>
      </c>
      <c r="D458">
        <f>IFERROR(INDEX('[AQ_2023.xlsx]原始数据'!$A:$A,ROW(A1)+457),"")</f>
        <v/>
      </c>
      <c r="E458">
        <f>IFERROR(INDEX('[AQ_2024.xlsx]原始数据'!$A:$A,ROW(A1)+457),"")</f>
        <v/>
      </c>
      <c r="G458">
        <f>IF(457&lt;=1000,INDEX($A$2:$A$1001,457),IF(457&lt;=2000,INDEX($B$2:$B$1001,-543),IF(457&lt;=3000,INDEX($C$2:$C$1001,-1543),IF(457&lt;=4000,INDEX($D$2:$D$1001,-2543),IF(457&lt;=5000,INDEX($E$2:$E$1001,-3543),"")))))</f>
        <v/>
      </c>
    </row>
    <row r="459">
      <c r="A459">
        <f>IFERROR(INDEX('[AQ_2020.xlsx]原始数据'!$A:$A,ROW(A1)+458),"")</f>
        <v/>
      </c>
      <c r="B459">
        <f>IFERROR(INDEX('[AQ_2021.xlsx]原始数据'!$A:$A,ROW(A1)+458),"")</f>
        <v/>
      </c>
      <c r="C459">
        <f>IFERROR(INDEX('[AQ_2022.xlsx]原始数据'!$A:$A,ROW(A1)+458),"")</f>
        <v/>
      </c>
      <c r="D459">
        <f>IFERROR(INDEX('[AQ_2023.xlsx]原始数据'!$A:$A,ROW(A1)+458),"")</f>
        <v/>
      </c>
      <c r="E459">
        <f>IFERROR(INDEX('[AQ_2024.xlsx]原始数据'!$A:$A,ROW(A1)+458),"")</f>
        <v/>
      </c>
      <c r="G459">
        <f>IF(458&lt;=1000,INDEX($A$2:$A$1001,458),IF(458&lt;=2000,INDEX($B$2:$B$1001,-542),IF(458&lt;=3000,INDEX($C$2:$C$1001,-1542),IF(458&lt;=4000,INDEX($D$2:$D$1001,-2542),IF(458&lt;=5000,INDEX($E$2:$E$1001,-3542),"")))))</f>
        <v/>
      </c>
    </row>
    <row r="460">
      <c r="A460">
        <f>IFERROR(INDEX('[AQ_2020.xlsx]原始数据'!$A:$A,ROW(A1)+459),"")</f>
        <v/>
      </c>
      <c r="B460">
        <f>IFERROR(INDEX('[AQ_2021.xlsx]原始数据'!$A:$A,ROW(A1)+459),"")</f>
        <v/>
      </c>
      <c r="C460">
        <f>IFERROR(INDEX('[AQ_2022.xlsx]原始数据'!$A:$A,ROW(A1)+459),"")</f>
        <v/>
      </c>
      <c r="D460">
        <f>IFERROR(INDEX('[AQ_2023.xlsx]原始数据'!$A:$A,ROW(A1)+459),"")</f>
        <v/>
      </c>
      <c r="E460">
        <f>IFERROR(INDEX('[AQ_2024.xlsx]原始数据'!$A:$A,ROW(A1)+459),"")</f>
        <v/>
      </c>
      <c r="G460">
        <f>IF(459&lt;=1000,INDEX($A$2:$A$1001,459),IF(459&lt;=2000,INDEX($B$2:$B$1001,-541),IF(459&lt;=3000,INDEX($C$2:$C$1001,-1541),IF(459&lt;=4000,INDEX($D$2:$D$1001,-2541),IF(459&lt;=5000,INDEX($E$2:$E$1001,-3541),"")))))</f>
        <v/>
      </c>
    </row>
    <row r="461">
      <c r="A461">
        <f>IFERROR(INDEX('[AQ_2020.xlsx]原始数据'!$A:$A,ROW(A1)+460),"")</f>
        <v/>
      </c>
      <c r="B461">
        <f>IFERROR(INDEX('[AQ_2021.xlsx]原始数据'!$A:$A,ROW(A1)+460),"")</f>
        <v/>
      </c>
      <c r="C461">
        <f>IFERROR(INDEX('[AQ_2022.xlsx]原始数据'!$A:$A,ROW(A1)+460),"")</f>
        <v/>
      </c>
      <c r="D461">
        <f>IFERROR(INDEX('[AQ_2023.xlsx]原始数据'!$A:$A,ROW(A1)+460),"")</f>
        <v/>
      </c>
      <c r="E461">
        <f>IFERROR(INDEX('[AQ_2024.xlsx]原始数据'!$A:$A,ROW(A1)+460),"")</f>
        <v/>
      </c>
      <c r="G461">
        <f>IF(460&lt;=1000,INDEX($A$2:$A$1001,460),IF(460&lt;=2000,INDEX($B$2:$B$1001,-540),IF(460&lt;=3000,INDEX($C$2:$C$1001,-1540),IF(460&lt;=4000,INDEX($D$2:$D$1001,-2540),IF(460&lt;=5000,INDEX($E$2:$E$1001,-3540),"")))))</f>
        <v/>
      </c>
    </row>
    <row r="462">
      <c r="A462">
        <f>IFERROR(INDEX('[AQ_2020.xlsx]原始数据'!$A:$A,ROW(A1)+461),"")</f>
        <v/>
      </c>
      <c r="B462">
        <f>IFERROR(INDEX('[AQ_2021.xlsx]原始数据'!$A:$A,ROW(A1)+461),"")</f>
        <v/>
      </c>
      <c r="C462">
        <f>IFERROR(INDEX('[AQ_2022.xlsx]原始数据'!$A:$A,ROW(A1)+461),"")</f>
        <v/>
      </c>
      <c r="D462">
        <f>IFERROR(INDEX('[AQ_2023.xlsx]原始数据'!$A:$A,ROW(A1)+461),"")</f>
        <v/>
      </c>
      <c r="E462">
        <f>IFERROR(INDEX('[AQ_2024.xlsx]原始数据'!$A:$A,ROW(A1)+461),"")</f>
        <v/>
      </c>
      <c r="G462">
        <f>IF(461&lt;=1000,INDEX($A$2:$A$1001,461),IF(461&lt;=2000,INDEX($B$2:$B$1001,-539),IF(461&lt;=3000,INDEX($C$2:$C$1001,-1539),IF(461&lt;=4000,INDEX($D$2:$D$1001,-2539),IF(461&lt;=5000,INDEX($E$2:$E$1001,-3539),"")))))</f>
        <v/>
      </c>
    </row>
    <row r="463">
      <c r="A463">
        <f>IFERROR(INDEX('[AQ_2020.xlsx]原始数据'!$A:$A,ROW(A1)+462),"")</f>
        <v/>
      </c>
      <c r="B463">
        <f>IFERROR(INDEX('[AQ_2021.xlsx]原始数据'!$A:$A,ROW(A1)+462),"")</f>
        <v/>
      </c>
      <c r="C463">
        <f>IFERROR(INDEX('[AQ_2022.xlsx]原始数据'!$A:$A,ROW(A1)+462),"")</f>
        <v/>
      </c>
      <c r="D463">
        <f>IFERROR(INDEX('[AQ_2023.xlsx]原始数据'!$A:$A,ROW(A1)+462),"")</f>
        <v/>
      </c>
      <c r="E463">
        <f>IFERROR(INDEX('[AQ_2024.xlsx]原始数据'!$A:$A,ROW(A1)+462),"")</f>
        <v/>
      </c>
      <c r="G463">
        <f>IF(462&lt;=1000,INDEX($A$2:$A$1001,462),IF(462&lt;=2000,INDEX($B$2:$B$1001,-538),IF(462&lt;=3000,INDEX($C$2:$C$1001,-1538),IF(462&lt;=4000,INDEX($D$2:$D$1001,-2538),IF(462&lt;=5000,INDEX($E$2:$E$1001,-3538),"")))))</f>
        <v/>
      </c>
    </row>
    <row r="464">
      <c r="A464">
        <f>IFERROR(INDEX('[AQ_2020.xlsx]原始数据'!$A:$A,ROW(A1)+463),"")</f>
        <v/>
      </c>
      <c r="B464">
        <f>IFERROR(INDEX('[AQ_2021.xlsx]原始数据'!$A:$A,ROW(A1)+463),"")</f>
        <v/>
      </c>
      <c r="C464">
        <f>IFERROR(INDEX('[AQ_2022.xlsx]原始数据'!$A:$A,ROW(A1)+463),"")</f>
        <v/>
      </c>
      <c r="D464">
        <f>IFERROR(INDEX('[AQ_2023.xlsx]原始数据'!$A:$A,ROW(A1)+463),"")</f>
        <v/>
      </c>
      <c r="E464">
        <f>IFERROR(INDEX('[AQ_2024.xlsx]原始数据'!$A:$A,ROW(A1)+463),"")</f>
        <v/>
      </c>
      <c r="G464">
        <f>IF(463&lt;=1000,INDEX($A$2:$A$1001,463),IF(463&lt;=2000,INDEX($B$2:$B$1001,-537),IF(463&lt;=3000,INDEX($C$2:$C$1001,-1537),IF(463&lt;=4000,INDEX($D$2:$D$1001,-2537),IF(463&lt;=5000,INDEX($E$2:$E$1001,-3537),"")))))</f>
        <v/>
      </c>
    </row>
    <row r="465">
      <c r="A465">
        <f>IFERROR(INDEX('[AQ_2020.xlsx]原始数据'!$A:$A,ROW(A1)+464),"")</f>
        <v/>
      </c>
      <c r="B465">
        <f>IFERROR(INDEX('[AQ_2021.xlsx]原始数据'!$A:$A,ROW(A1)+464),"")</f>
        <v/>
      </c>
      <c r="C465">
        <f>IFERROR(INDEX('[AQ_2022.xlsx]原始数据'!$A:$A,ROW(A1)+464),"")</f>
        <v/>
      </c>
      <c r="D465">
        <f>IFERROR(INDEX('[AQ_2023.xlsx]原始数据'!$A:$A,ROW(A1)+464),"")</f>
        <v/>
      </c>
      <c r="E465">
        <f>IFERROR(INDEX('[AQ_2024.xlsx]原始数据'!$A:$A,ROW(A1)+464),"")</f>
        <v/>
      </c>
      <c r="G465">
        <f>IF(464&lt;=1000,INDEX($A$2:$A$1001,464),IF(464&lt;=2000,INDEX($B$2:$B$1001,-536),IF(464&lt;=3000,INDEX($C$2:$C$1001,-1536),IF(464&lt;=4000,INDEX($D$2:$D$1001,-2536),IF(464&lt;=5000,INDEX($E$2:$E$1001,-3536),"")))))</f>
        <v/>
      </c>
    </row>
    <row r="466">
      <c r="A466">
        <f>IFERROR(INDEX('[AQ_2020.xlsx]原始数据'!$A:$A,ROW(A1)+465),"")</f>
        <v/>
      </c>
      <c r="B466">
        <f>IFERROR(INDEX('[AQ_2021.xlsx]原始数据'!$A:$A,ROW(A1)+465),"")</f>
        <v/>
      </c>
      <c r="C466">
        <f>IFERROR(INDEX('[AQ_2022.xlsx]原始数据'!$A:$A,ROW(A1)+465),"")</f>
        <v/>
      </c>
      <c r="D466">
        <f>IFERROR(INDEX('[AQ_2023.xlsx]原始数据'!$A:$A,ROW(A1)+465),"")</f>
        <v/>
      </c>
      <c r="E466">
        <f>IFERROR(INDEX('[AQ_2024.xlsx]原始数据'!$A:$A,ROW(A1)+465),"")</f>
        <v/>
      </c>
      <c r="G466">
        <f>IF(465&lt;=1000,INDEX($A$2:$A$1001,465),IF(465&lt;=2000,INDEX($B$2:$B$1001,-535),IF(465&lt;=3000,INDEX($C$2:$C$1001,-1535),IF(465&lt;=4000,INDEX($D$2:$D$1001,-2535),IF(465&lt;=5000,INDEX($E$2:$E$1001,-3535),"")))))</f>
        <v/>
      </c>
    </row>
    <row r="467">
      <c r="A467">
        <f>IFERROR(INDEX('[AQ_2020.xlsx]原始数据'!$A:$A,ROW(A1)+466),"")</f>
        <v/>
      </c>
      <c r="B467">
        <f>IFERROR(INDEX('[AQ_2021.xlsx]原始数据'!$A:$A,ROW(A1)+466),"")</f>
        <v/>
      </c>
      <c r="C467">
        <f>IFERROR(INDEX('[AQ_2022.xlsx]原始数据'!$A:$A,ROW(A1)+466),"")</f>
        <v/>
      </c>
      <c r="D467">
        <f>IFERROR(INDEX('[AQ_2023.xlsx]原始数据'!$A:$A,ROW(A1)+466),"")</f>
        <v/>
      </c>
      <c r="E467">
        <f>IFERROR(INDEX('[AQ_2024.xlsx]原始数据'!$A:$A,ROW(A1)+466),"")</f>
        <v/>
      </c>
      <c r="G467">
        <f>IF(466&lt;=1000,INDEX($A$2:$A$1001,466),IF(466&lt;=2000,INDEX($B$2:$B$1001,-534),IF(466&lt;=3000,INDEX($C$2:$C$1001,-1534),IF(466&lt;=4000,INDEX($D$2:$D$1001,-2534),IF(466&lt;=5000,INDEX($E$2:$E$1001,-3534),"")))))</f>
        <v/>
      </c>
    </row>
    <row r="468">
      <c r="A468">
        <f>IFERROR(INDEX('[AQ_2020.xlsx]原始数据'!$A:$A,ROW(A1)+467),"")</f>
        <v/>
      </c>
      <c r="B468">
        <f>IFERROR(INDEX('[AQ_2021.xlsx]原始数据'!$A:$A,ROW(A1)+467),"")</f>
        <v/>
      </c>
      <c r="C468">
        <f>IFERROR(INDEX('[AQ_2022.xlsx]原始数据'!$A:$A,ROW(A1)+467),"")</f>
        <v/>
      </c>
      <c r="D468">
        <f>IFERROR(INDEX('[AQ_2023.xlsx]原始数据'!$A:$A,ROW(A1)+467),"")</f>
        <v/>
      </c>
      <c r="E468">
        <f>IFERROR(INDEX('[AQ_2024.xlsx]原始数据'!$A:$A,ROW(A1)+467),"")</f>
        <v/>
      </c>
      <c r="G468">
        <f>IF(467&lt;=1000,INDEX($A$2:$A$1001,467),IF(467&lt;=2000,INDEX($B$2:$B$1001,-533),IF(467&lt;=3000,INDEX($C$2:$C$1001,-1533),IF(467&lt;=4000,INDEX($D$2:$D$1001,-2533),IF(467&lt;=5000,INDEX($E$2:$E$1001,-3533),"")))))</f>
        <v/>
      </c>
    </row>
    <row r="469">
      <c r="A469">
        <f>IFERROR(INDEX('[AQ_2020.xlsx]原始数据'!$A:$A,ROW(A1)+468),"")</f>
        <v/>
      </c>
      <c r="B469">
        <f>IFERROR(INDEX('[AQ_2021.xlsx]原始数据'!$A:$A,ROW(A1)+468),"")</f>
        <v/>
      </c>
      <c r="C469">
        <f>IFERROR(INDEX('[AQ_2022.xlsx]原始数据'!$A:$A,ROW(A1)+468),"")</f>
        <v/>
      </c>
      <c r="D469">
        <f>IFERROR(INDEX('[AQ_2023.xlsx]原始数据'!$A:$A,ROW(A1)+468),"")</f>
        <v/>
      </c>
      <c r="E469">
        <f>IFERROR(INDEX('[AQ_2024.xlsx]原始数据'!$A:$A,ROW(A1)+468),"")</f>
        <v/>
      </c>
      <c r="G469">
        <f>IF(468&lt;=1000,INDEX($A$2:$A$1001,468),IF(468&lt;=2000,INDEX($B$2:$B$1001,-532),IF(468&lt;=3000,INDEX($C$2:$C$1001,-1532),IF(468&lt;=4000,INDEX($D$2:$D$1001,-2532),IF(468&lt;=5000,INDEX($E$2:$E$1001,-3532),"")))))</f>
        <v/>
      </c>
    </row>
    <row r="470">
      <c r="A470">
        <f>IFERROR(INDEX('[AQ_2020.xlsx]原始数据'!$A:$A,ROW(A1)+469),"")</f>
        <v/>
      </c>
      <c r="B470">
        <f>IFERROR(INDEX('[AQ_2021.xlsx]原始数据'!$A:$A,ROW(A1)+469),"")</f>
        <v/>
      </c>
      <c r="C470">
        <f>IFERROR(INDEX('[AQ_2022.xlsx]原始数据'!$A:$A,ROW(A1)+469),"")</f>
        <v/>
      </c>
      <c r="D470">
        <f>IFERROR(INDEX('[AQ_2023.xlsx]原始数据'!$A:$A,ROW(A1)+469),"")</f>
        <v/>
      </c>
      <c r="E470">
        <f>IFERROR(INDEX('[AQ_2024.xlsx]原始数据'!$A:$A,ROW(A1)+469),"")</f>
        <v/>
      </c>
      <c r="G470">
        <f>IF(469&lt;=1000,INDEX($A$2:$A$1001,469),IF(469&lt;=2000,INDEX($B$2:$B$1001,-531),IF(469&lt;=3000,INDEX($C$2:$C$1001,-1531),IF(469&lt;=4000,INDEX($D$2:$D$1001,-2531),IF(469&lt;=5000,INDEX($E$2:$E$1001,-3531),"")))))</f>
        <v/>
      </c>
    </row>
    <row r="471">
      <c r="A471">
        <f>IFERROR(INDEX('[AQ_2020.xlsx]原始数据'!$A:$A,ROW(A1)+470),"")</f>
        <v/>
      </c>
      <c r="B471">
        <f>IFERROR(INDEX('[AQ_2021.xlsx]原始数据'!$A:$A,ROW(A1)+470),"")</f>
        <v/>
      </c>
      <c r="C471">
        <f>IFERROR(INDEX('[AQ_2022.xlsx]原始数据'!$A:$A,ROW(A1)+470),"")</f>
        <v/>
      </c>
      <c r="D471">
        <f>IFERROR(INDEX('[AQ_2023.xlsx]原始数据'!$A:$A,ROW(A1)+470),"")</f>
        <v/>
      </c>
      <c r="E471">
        <f>IFERROR(INDEX('[AQ_2024.xlsx]原始数据'!$A:$A,ROW(A1)+470),"")</f>
        <v/>
      </c>
      <c r="G471">
        <f>IF(470&lt;=1000,INDEX($A$2:$A$1001,470),IF(470&lt;=2000,INDEX($B$2:$B$1001,-530),IF(470&lt;=3000,INDEX($C$2:$C$1001,-1530),IF(470&lt;=4000,INDEX($D$2:$D$1001,-2530),IF(470&lt;=5000,INDEX($E$2:$E$1001,-3530),"")))))</f>
        <v/>
      </c>
    </row>
    <row r="472">
      <c r="A472">
        <f>IFERROR(INDEX('[AQ_2020.xlsx]原始数据'!$A:$A,ROW(A1)+471),"")</f>
        <v/>
      </c>
      <c r="B472">
        <f>IFERROR(INDEX('[AQ_2021.xlsx]原始数据'!$A:$A,ROW(A1)+471),"")</f>
        <v/>
      </c>
      <c r="C472">
        <f>IFERROR(INDEX('[AQ_2022.xlsx]原始数据'!$A:$A,ROW(A1)+471),"")</f>
        <v/>
      </c>
      <c r="D472">
        <f>IFERROR(INDEX('[AQ_2023.xlsx]原始数据'!$A:$A,ROW(A1)+471),"")</f>
        <v/>
      </c>
      <c r="E472">
        <f>IFERROR(INDEX('[AQ_2024.xlsx]原始数据'!$A:$A,ROW(A1)+471),"")</f>
        <v/>
      </c>
      <c r="G472">
        <f>IF(471&lt;=1000,INDEX($A$2:$A$1001,471),IF(471&lt;=2000,INDEX($B$2:$B$1001,-529),IF(471&lt;=3000,INDEX($C$2:$C$1001,-1529),IF(471&lt;=4000,INDEX($D$2:$D$1001,-2529),IF(471&lt;=5000,INDEX($E$2:$E$1001,-3529),"")))))</f>
        <v/>
      </c>
    </row>
    <row r="473">
      <c r="A473">
        <f>IFERROR(INDEX('[AQ_2020.xlsx]原始数据'!$A:$A,ROW(A1)+472),"")</f>
        <v/>
      </c>
      <c r="B473">
        <f>IFERROR(INDEX('[AQ_2021.xlsx]原始数据'!$A:$A,ROW(A1)+472),"")</f>
        <v/>
      </c>
      <c r="C473">
        <f>IFERROR(INDEX('[AQ_2022.xlsx]原始数据'!$A:$A,ROW(A1)+472),"")</f>
        <v/>
      </c>
      <c r="D473">
        <f>IFERROR(INDEX('[AQ_2023.xlsx]原始数据'!$A:$A,ROW(A1)+472),"")</f>
        <v/>
      </c>
      <c r="E473">
        <f>IFERROR(INDEX('[AQ_2024.xlsx]原始数据'!$A:$A,ROW(A1)+472),"")</f>
        <v/>
      </c>
      <c r="G473">
        <f>IF(472&lt;=1000,INDEX($A$2:$A$1001,472),IF(472&lt;=2000,INDEX($B$2:$B$1001,-528),IF(472&lt;=3000,INDEX($C$2:$C$1001,-1528),IF(472&lt;=4000,INDEX($D$2:$D$1001,-2528),IF(472&lt;=5000,INDEX($E$2:$E$1001,-3528),"")))))</f>
        <v/>
      </c>
    </row>
    <row r="474">
      <c r="A474">
        <f>IFERROR(INDEX('[AQ_2020.xlsx]原始数据'!$A:$A,ROW(A1)+473),"")</f>
        <v/>
      </c>
      <c r="B474">
        <f>IFERROR(INDEX('[AQ_2021.xlsx]原始数据'!$A:$A,ROW(A1)+473),"")</f>
        <v/>
      </c>
      <c r="C474">
        <f>IFERROR(INDEX('[AQ_2022.xlsx]原始数据'!$A:$A,ROW(A1)+473),"")</f>
        <v/>
      </c>
      <c r="D474">
        <f>IFERROR(INDEX('[AQ_2023.xlsx]原始数据'!$A:$A,ROW(A1)+473),"")</f>
        <v/>
      </c>
      <c r="E474">
        <f>IFERROR(INDEX('[AQ_2024.xlsx]原始数据'!$A:$A,ROW(A1)+473),"")</f>
        <v/>
      </c>
      <c r="G474">
        <f>IF(473&lt;=1000,INDEX($A$2:$A$1001,473),IF(473&lt;=2000,INDEX($B$2:$B$1001,-527),IF(473&lt;=3000,INDEX($C$2:$C$1001,-1527),IF(473&lt;=4000,INDEX($D$2:$D$1001,-2527),IF(473&lt;=5000,INDEX($E$2:$E$1001,-3527),"")))))</f>
        <v/>
      </c>
    </row>
    <row r="475">
      <c r="A475">
        <f>IFERROR(INDEX('[AQ_2020.xlsx]原始数据'!$A:$A,ROW(A1)+474),"")</f>
        <v/>
      </c>
      <c r="B475">
        <f>IFERROR(INDEX('[AQ_2021.xlsx]原始数据'!$A:$A,ROW(A1)+474),"")</f>
        <v/>
      </c>
      <c r="C475">
        <f>IFERROR(INDEX('[AQ_2022.xlsx]原始数据'!$A:$A,ROW(A1)+474),"")</f>
        <v/>
      </c>
      <c r="D475">
        <f>IFERROR(INDEX('[AQ_2023.xlsx]原始数据'!$A:$A,ROW(A1)+474),"")</f>
        <v/>
      </c>
      <c r="E475">
        <f>IFERROR(INDEX('[AQ_2024.xlsx]原始数据'!$A:$A,ROW(A1)+474),"")</f>
        <v/>
      </c>
      <c r="G475">
        <f>IF(474&lt;=1000,INDEX($A$2:$A$1001,474),IF(474&lt;=2000,INDEX($B$2:$B$1001,-526),IF(474&lt;=3000,INDEX($C$2:$C$1001,-1526),IF(474&lt;=4000,INDEX($D$2:$D$1001,-2526),IF(474&lt;=5000,INDEX($E$2:$E$1001,-3526),"")))))</f>
        <v/>
      </c>
    </row>
    <row r="476">
      <c r="A476">
        <f>IFERROR(INDEX('[AQ_2020.xlsx]原始数据'!$A:$A,ROW(A1)+475),"")</f>
        <v/>
      </c>
      <c r="B476">
        <f>IFERROR(INDEX('[AQ_2021.xlsx]原始数据'!$A:$A,ROW(A1)+475),"")</f>
        <v/>
      </c>
      <c r="C476">
        <f>IFERROR(INDEX('[AQ_2022.xlsx]原始数据'!$A:$A,ROW(A1)+475),"")</f>
        <v/>
      </c>
      <c r="D476">
        <f>IFERROR(INDEX('[AQ_2023.xlsx]原始数据'!$A:$A,ROW(A1)+475),"")</f>
        <v/>
      </c>
      <c r="E476">
        <f>IFERROR(INDEX('[AQ_2024.xlsx]原始数据'!$A:$A,ROW(A1)+475),"")</f>
        <v/>
      </c>
      <c r="G476">
        <f>IF(475&lt;=1000,INDEX($A$2:$A$1001,475),IF(475&lt;=2000,INDEX($B$2:$B$1001,-525),IF(475&lt;=3000,INDEX($C$2:$C$1001,-1525),IF(475&lt;=4000,INDEX($D$2:$D$1001,-2525),IF(475&lt;=5000,INDEX($E$2:$E$1001,-3525),"")))))</f>
        <v/>
      </c>
    </row>
    <row r="477">
      <c r="A477">
        <f>IFERROR(INDEX('[AQ_2020.xlsx]原始数据'!$A:$A,ROW(A1)+476),"")</f>
        <v/>
      </c>
      <c r="B477">
        <f>IFERROR(INDEX('[AQ_2021.xlsx]原始数据'!$A:$A,ROW(A1)+476),"")</f>
        <v/>
      </c>
      <c r="C477">
        <f>IFERROR(INDEX('[AQ_2022.xlsx]原始数据'!$A:$A,ROW(A1)+476),"")</f>
        <v/>
      </c>
      <c r="D477">
        <f>IFERROR(INDEX('[AQ_2023.xlsx]原始数据'!$A:$A,ROW(A1)+476),"")</f>
        <v/>
      </c>
      <c r="E477">
        <f>IFERROR(INDEX('[AQ_2024.xlsx]原始数据'!$A:$A,ROW(A1)+476),"")</f>
        <v/>
      </c>
      <c r="G477">
        <f>IF(476&lt;=1000,INDEX($A$2:$A$1001,476),IF(476&lt;=2000,INDEX($B$2:$B$1001,-524),IF(476&lt;=3000,INDEX($C$2:$C$1001,-1524),IF(476&lt;=4000,INDEX($D$2:$D$1001,-2524),IF(476&lt;=5000,INDEX($E$2:$E$1001,-3524),"")))))</f>
        <v/>
      </c>
    </row>
    <row r="478">
      <c r="A478">
        <f>IFERROR(INDEX('[AQ_2020.xlsx]原始数据'!$A:$A,ROW(A1)+477),"")</f>
        <v/>
      </c>
      <c r="B478">
        <f>IFERROR(INDEX('[AQ_2021.xlsx]原始数据'!$A:$A,ROW(A1)+477),"")</f>
        <v/>
      </c>
      <c r="C478">
        <f>IFERROR(INDEX('[AQ_2022.xlsx]原始数据'!$A:$A,ROW(A1)+477),"")</f>
        <v/>
      </c>
      <c r="D478">
        <f>IFERROR(INDEX('[AQ_2023.xlsx]原始数据'!$A:$A,ROW(A1)+477),"")</f>
        <v/>
      </c>
      <c r="E478">
        <f>IFERROR(INDEX('[AQ_2024.xlsx]原始数据'!$A:$A,ROW(A1)+477),"")</f>
        <v/>
      </c>
      <c r="G478">
        <f>IF(477&lt;=1000,INDEX($A$2:$A$1001,477),IF(477&lt;=2000,INDEX($B$2:$B$1001,-523),IF(477&lt;=3000,INDEX($C$2:$C$1001,-1523),IF(477&lt;=4000,INDEX($D$2:$D$1001,-2523),IF(477&lt;=5000,INDEX($E$2:$E$1001,-3523),"")))))</f>
        <v/>
      </c>
    </row>
    <row r="479">
      <c r="A479">
        <f>IFERROR(INDEX('[AQ_2020.xlsx]原始数据'!$A:$A,ROW(A1)+478),"")</f>
        <v/>
      </c>
      <c r="B479">
        <f>IFERROR(INDEX('[AQ_2021.xlsx]原始数据'!$A:$A,ROW(A1)+478),"")</f>
        <v/>
      </c>
      <c r="C479">
        <f>IFERROR(INDEX('[AQ_2022.xlsx]原始数据'!$A:$A,ROW(A1)+478),"")</f>
        <v/>
      </c>
      <c r="D479">
        <f>IFERROR(INDEX('[AQ_2023.xlsx]原始数据'!$A:$A,ROW(A1)+478),"")</f>
        <v/>
      </c>
      <c r="E479">
        <f>IFERROR(INDEX('[AQ_2024.xlsx]原始数据'!$A:$A,ROW(A1)+478),"")</f>
        <v/>
      </c>
      <c r="G479">
        <f>IF(478&lt;=1000,INDEX($A$2:$A$1001,478),IF(478&lt;=2000,INDEX($B$2:$B$1001,-522),IF(478&lt;=3000,INDEX($C$2:$C$1001,-1522),IF(478&lt;=4000,INDEX($D$2:$D$1001,-2522),IF(478&lt;=5000,INDEX($E$2:$E$1001,-3522),"")))))</f>
        <v/>
      </c>
    </row>
    <row r="480">
      <c r="A480">
        <f>IFERROR(INDEX('[AQ_2020.xlsx]原始数据'!$A:$A,ROW(A1)+479),"")</f>
        <v/>
      </c>
      <c r="B480">
        <f>IFERROR(INDEX('[AQ_2021.xlsx]原始数据'!$A:$A,ROW(A1)+479),"")</f>
        <v/>
      </c>
      <c r="C480">
        <f>IFERROR(INDEX('[AQ_2022.xlsx]原始数据'!$A:$A,ROW(A1)+479),"")</f>
        <v/>
      </c>
      <c r="D480">
        <f>IFERROR(INDEX('[AQ_2023.xlsx]原始数据'!$A:$A,ROW(A1)+479),"")</f>
        <v/>
      </c>
      <c r="E480">
        <f>IFERROR(INDEX('[AQ_2024.xlsx]原始数据'!$A:$A,ROW(A1)+479),"")</f>
        <v/>
      </c>
      <c r="G480">
        <f>IF(479&lt;=1000,INDEX($A$2:$A$1001,479),IF(479&lt;=2000,INDEX($B$2:$B$1001,-521),IF(479&lt;=3000,INDEX($C$2:$C$1001,-1521),IF(479&lt;=4000,INDEX($D$2:$D$1001,-2521),IF(479&lt;=5000,INDEX($E$2:$E$1001,-3521),"")))))</f>
        <v/>
      </c>
    </row>
    <row r="481">
      <c r="A481">
        <f>IFERROR(INDEX('[AQ_2020.xlsx]原始数据'!$A:$A,ROW(A1)+480),"")</f>
        <v/>
      </c>
      <c r="B481">
        <f>IFERROR(INDEX('[AQ_2021.xlsx]原始数据'!$A:$A,ROW(A1)+480),"")</f>
        <v/>
      </c>
      <c r="C481">
        <f>IFERROR(INDEX('[AQ_2022.xlsx]原始数据'!$A:$A,ROW(A1)+480),"")</f>
        <v/>
      </c>
      <c r="D481">
        <f>IFERROR(INDEX('[AQ_2023.xlsx]原始数据'!$A:$A,ROW(A1)+480),"")</f>
        <v/>
      </c>
      <c r="E481">
        <f>IFERROR(INDEX('[AQ_2024.xlsx]原始数据'!$A:$A,ROW(A1)+480),"")</f>
        <v/>
      </c>
      <c r="G481">
        <f>IF(480&lt;=1000,INDEX($A$2:$A$1001,480),IF(480&lt;=2000,INDEX($B$2:$B$1001,-520),IF(480&lt;=3000,INDEX($C$2:$C$1001,-1520),IF(480&lt;=4000,INDEX($D$2:$D$1001,-2520),IF(480&lt;=5000,INDEX($E$2:$E$1001,-3520),"")))))</f>
        <v/>
      </c>
    </row>
    <row r="482">
      <c r="A482">
        <f>IFERROR(INDEX('[AQ_2020.xlsx]原始数据'!$A:$A,ROW(A1)+481),"")</f>
        <v/>
      </c>
      <c r="B482">
        <f>IFERROR(INDEX('[AQ_2021.xlsx]原始数据'!$A:$A,ROW(A1)+481),"")</f>
        <v/>
      </c>
      <c r="C482">
        <f>IFERROR(INDEX('[AQ_2022.xlsx]原始数据'!$A:$A,ROW(A1)+481),"")</f>
        <v/>
      </c>
      <c r="D482">
        <f>IFERROR(INDEX('[AQ_2023.xlsx]原始数据'!$A:$A,ROW(A1)+481),"")</f>
        <v/>
      </c>
      <c r="E482">
        <f>IFERROR(INDEX('[AQ_2024.xlsx]原始数据'!$A:$A,ROW(A1)+481),"")</f>
        <v/>
      </c>
      <c r="G482">
        <f>IF(481&lt;=1000,INDEX($A$2:$A$1001,481),IF(481&lt;=2000,INDEX($B$2:$B$1001,-519),IF(481&lt;=3000,INDEX($C$2:$C$1001,-1519),IF(481&lt;=4000,INDEX($D$2:$D$1001,-2519),IF(481&lt;=5000,INDEX($E$2:$E$1001,-3519),"")))))</f>
        <v/>
      </c>
    </row>
    <row r="483">
      <c r="A483">
        <f>IFERROR(INDEX('[AQ_2020.xlsx]原始数据'!$A:$A,ROW(A1)+482),"")</f>
        <v/>
      </c>
      <c r="B483">
        <f>IFERROR(INDEX('[AQ_2021.xlsx]原始数据'!$A:$A,ROW(A1)+482),"")</f>
        <v/>
      </c>
      <c r="C483">
        <f>IFERROR(INDEX('[AQ_2022.xlsx]原始数据'!$A:$A,ROW(A1)+482),"")</f>
        <v/>
      </c>
      <c r="D483">
        <f>IFERROR(INDEX('[AQ_2023.xlsx]原始数据'!$A:$A,ROW(A1)+482),"")</f>
        <v/>
      </c>
      <c r="E483">
        <f>IFERROR(INDEX('[AQ_2024.xlsx]原始数据'!$A:$A,ROW(A1)+482),"")</f>
        <v/>
      </c>
      <c r="G483">
        <f>IF(482&lt;=1000,INDEX($A$2:$A$1001,482),IF(482&lt;=2000,INDEX($B$2:$B$1001,-518),IF(482&lt;=3000,INDEX($C$2:$C$1001,-1518),IF(482&lt;=4000,INDEX($D$2:$D$1001,-2518),IF(482&lt;=5000,INDEX($E$2:$E$1001,-3518),"")))))</f>
        <v/>
      </c>
    </row>
    <row r="484">
      <c r="A484">
        <f>IFERROR(INDEX('[AQ_2020.xlsx]原始数据'!$A:$A,ROW(A1)+483),"")</f>
        <v/>
      </c>
      <c r="B484">
        <f>IFERROR(INDEX('[AQ_2021.xlsx]原始数据'!$A:$A,ROW(A1)+483),"")</f>
        <v/>
      </c>
      <c r="C484">
        <f>IFERROR(INDEX('[AQ_2022.xlsx]原始数据'!$A:$A,ROW(A1)+483),"")</f>
        <v/>
      </c>
      <c r="D484">
        <f>IFERROR(INDEX('[AQ_2023.xlsx]原始数据'!$A:$A,ROW(A1)+483),"")</f>
        <v/>
      </c>
      <c r="E484">
        <f>IFERROR(INDEX('[AQ_2024.xlsx]原始数据'!$A:$A,ROW(A1)+483),"")</f>
        <v/>
      </c>
      <c r="G484">
        <f>IF(483&lt;=1000,INDEX($A$2:$A$1001,483),IF(483&lt;=2000,INDEX($B$2:$B$1001,-517),IF(483&lt;=3000,INDEX($C$2:$C$1001,-1517),IF(483&lt;=4000,INDEX($D$2:$D$1001,-2517),IF(483&lt;=5000,INDEX($E$2:$E$1001,-3517),"")))))</f>
        <v/>
      </c>
    </row>
    <row r="485">
      <c r="A485">
        <f>IFERROR(INDEX('[AQ_2020.xlsx]原始数据'!$A:$A,ROW(A1)+484),"")</f>
        <v/>
      </c>
      <c r="B485">
        <f>IFERROR(INDEX('[AQ_2021.xlsx]原始数据'!$A:$A,ROW(A1)+484),"")</f>
        <v/>
      </c>
      <c r="C485">
        <f>IFERROR(INDEX('[AQ_2022.xlsx]原始数据'!$A:$A,ROW(A1)+484),"")</f>
        <v/>
      </c>
      <c r="D485">
        <f>IFERROR(INDEX('[AQ_2023.xlsx]原始数据'!$A:$A,ROW(A1)+484),"")</f>
        <v/>
      </c>
      <c r="E485">
        <f>IFERROR(INDEX('[AQ_2024.xlsx]原始数据'!$A:$A,ROW(A1)+484),"")</f>
        <v/>
      </c>
      <c r="G485">
        <f>IF(484&lt;=1000,INDEX($A$2:$A$1001,484),IF(484&lt;=2000,INDEX($B$2:$B$1001,-516),IF(484&lt;=3000,INDEX($C$2:$C$1001,-1516),IF(484&lt;=4000,INDEX($D$2:$D$1001,-2516),IF(484&lt;=5000,INDEX($E$2:$E$1001,-3516),"")))))</f>
        <v/>
      </c>
    </row>
    <row r="486">
      <c r="A486">
        <f>IFERROR(INDEX('[AQ_2020.xlsx]原始数据'!$A:$A,ROW(A1)+485),"")</f>
        <v/>
      </c>
      <c r="B486">
        <f>IFERROR(INDEX('[AQ_2021.xlsx]原始数据'!$A:$A,ROW(A1)+485),"")</f>
        <v/>
      </c>
      <c r="C486">
        <f>IFERROR(INDEX('[AQ_2022.xlsx]原始数据'!$A:$A,ROW(A1)+485),"")</f>
        <v/>
      </c>
      <c r="D486">
        <f>IFERROR(INDEX('[AQ_2023.xlsx]原始数据'!$A:$A,ROW(A1)+485),"")</f>
        <v/>
      </c>
      <c r="E486">
        <f>IFERROR(INDEX('[AQ_2024.xlsx]原始数据'!$A:$A,ROW(A1)+485),"")</f>
        <v/>
      </c>
      <c r="G486">
        <f>IF(485&lt;=1000,INDEX($A$2:$A$1001,485),IF(485&lt;=2000,INDEX($B$2:$B$1001,-515),IF(485&lt;=3000,INDEX($C$2:$C$1001,-1515),IF(485&lt;=4000,INDEX($D$2:$D$1001,-2515),IF(485&lt;=5000,INDEX($E$2:$E$1001,-3515),"")))))</f>
        <v/>
      </c>
    </row>
    <row r="487">
      <c r="A487">
        <f>IFERROR(INDEX('[AQ_2020.xlsx]原始数据'!$A:$A,ROW(A1)+486),"")</f>
        <v/>
      </c>
      <c r="B487">
        <f>IFERROR(INDEX('[AQ_2021.xlsx]原始数据'!$A:$A,ROW(A1)+486),"")</f>
        <v/>
      </c>
      <c r="C487">
        <f>IFERROR(INDEX('[AQ_2022.xlsx]原始数据'!$A:$A,ROW(A1)+486),"")</f>
        <v/>
      </c>
      <c r="D487">
        <f>IFERROR(INDEX('[AQ_2023.xlsx]原始数据'!$A:$A,ROW(A1)+486),"")</f>
        <v/>
      </c>
      <c r="E487">
        <f>IFERROR(INDEX('[AQ_2024.xlsx]原始数据'!$A:$A,ROW(A1)+486),"")</f>
        <v/>
      </c>
      <c r="G487">
        <f>IF(486&lt;=1000,INDEX($A$2:$A$1001,486),IF(486&lt;=2000,INDEX($B$2:$B$1001,-514),IF(486&lt;=3000,INDEX($C$2:$C$1001,-1514),IF(486&lt;=4000,INDEX($D$2:$D$1001,-2514),IF(486&lt;=5000,INDEX($E$2:$E$1001,-3514),"")))))</f>
        <v/>
      </c>
    </row>
    <row r="488">
      <c r="A488">
        <f>IFERROR(INDEX('[AQ_2020.xlsx]原始数据'!$A:$A,ROW(A1)+487),"")</f>
        <v/>
      </c>
      <c r="B488">
        <f>IFERROR(INDEX('[AQ_2021.xlsx]原始数据'!$A:$A,ROW(A1)+487),"")</f>
        <v/>
      </c>
      <c r="C488">
        <f>IFERROR(INDEX('[AQ_2022.xlsx]原始数据'!$A:$A,ROW(A1)+487),"")</f>
        <v/>
      </c>
      <c r="D488">
        <f>IFERROR(INDEX('[AQ_2023.xlsx]原始数据'!$A:$A,ROW(A1)+487),"")</f>
        <v/>
      </c>
      <c r="E488">
        <f>IFERROR(INDEX('[AQ_2024.xlsx]原始数据'!$A:$A,ROW(A1)+487),"")</f>
        <v/>
      </c>
      <c r="G488">
        <f>IF(487&lt;=1000,INDEX($A$2:$A$1001,487),IF(487&lt;=2000,INDEX($B$2:$B$1001,-513),IF(487&lt;=3000,INDEX($C$2:$C$1001,-1513),IF(487&lt;=4000,INDEX($D$2:$D$1001,-2513),IF(487&lt;=5000,INDEX($E$2:$E$1001,-3513),"")))))</f>
        <v/>
      </c>
    </row>
    <row r="489">
      <c r="A489">
        <f>IFERROR(INDEX('[AQ_2020.xlsx]原始数据'!$A:$A,ROW(A1)+488),"")</f>
        <v/>
      </c>
      <c r="B489">
        <f>IFERROR(INDEX('[AQ_2021.xlsx]原始数据'!$A:$A,ROW(A1)+488),"")</f>
        <v/>
      </c>
      <c r="C489">
        <f>IFERROR(INDEX('[AQ_2022.xlsx]原始数据'!$A:$A,ROW(A1)+488),"")</f>
        <v/>
      </c>
      <c r="D489">
        <f>IFERROR(INDEX('[AQ_2023.xlsx]原始数据'!$A:$A,ROW(A1)+488),"")</f>
        <v/>
      </c>
      <c r="E489">
        <f>IFERROR(INDEX('[AQ_2024.xlsx]原始数据'!$A:$A,ROW(A1)+488),"")</f>
        <v/>
      </c>
      <c r="G489">
        <f>IF(488&lt;=1000,INDEX($A$2:$A$1001,488),IF(488&lt;=2000,INDEX($B$2:$B$1001,-512),IF(488&lt;=3000,INDEX($C$2:$C$1001,-1512),IF(488&lt;=4000,INDEX($D$2:$D$1001,-2512),IF(488&lt;=5000,INDEX($E$2:$E$1001,-3512),"")))))</f>
        <v/>
      </c>
    </row>
    <row r="490">
      <c r="A490">
        <f>IFERROR(INDEX('[AQ_2020.xlsx]原始数据'!$A:$A,ROW(A1)+489),"")</f>
        <v/>
      </c>
      <c r="B490">
        <f>IFERROR(INDEX('[AQ_2021.xlsx]原始数据'!$A:$A,ROW(A1)+489),"")</f>
        <v/>
      </c>
      <c r="C490">
        <f>IFERROR(INDEX('[AQ_2022.xlsx]原始数据'!$A:$A,ROW(A1)+489),"")</f>
        <v/>
      </c>
      <c r="D490">
        <f>IFERROR(INDEX('[AQ_2023.xlsx]原始数据'!$A:$A,ROW(A1)+489),"")</f>
        <v/>
      </c>
      <c r="E490">
        <f>IFERROR(INDEX('[AQ_2024.xlsx]原始数据'!$A:$A,ROW(A1)+489),"")</f>
        <v/>
      </c>
      <c r="G490">
        <f>IF(489&lt;=1000,INDEX($A$2:$A$1001,489),IF(489&lt;=2000,INDEX($B$2:$B$1001,-511),IF(489&lt;=3000,INDEX($C$2:$C$1001,-1511),IF(489&lt;=4000,INDEX($D$2:$D$1001,-2511),IF(489&lt;=5000,INDEX($E$2:$E$1001,-3511),"")))))</f>
        <v/>
      </c>
    </row>
    <row r="491">
      <c r="A491">
        <f>IFERROR(INDEX('[AQ_2020.xlsx]原始数据'!$A:$A,ROW(A1)+490),"")</f>
        <v/>
      </c>
      <c r="B491">
        <f>IFERROR(INDEX('[AQ_2021.xlsx]原始数据'!$A:$A,ROW(A1)+490),"")</f>
        <v/>
      </c>
      <c r="C491">
        <f>IFERROR(INDEX('[AQ_2022.xlsx]原始数据'!$A:$A,ROW(A1)+490),"")</f>
        <v/>
      </c>
      <c r="D491">
        <f>IFERROR(INDEX('[AQ_2023.xlsx]原始数据'!$A:$A,ROW(A1)+490),"")</f>
        <v/>
      </c>
      <c r="E491">
        <f>IFERROR(INDEX('[AQ_2024.xlsx]原始数据'!$A:$A,ROW(A1)+490),"")</f>
        <v/>
      </c>
      <c r="G491">
        <f>IF(490&lt;=1000,INDEX($A$2:$A$1001,490),IF(490&lt;=2000,INDEX($B$2:$B$1001,-510),IF(490&lt;=3000,INDEX($C$2:$C$1001,-1510),IF(490&lt;=4000,INDEX($D$2:$D$1001,-2510),IF(490&lt;=5000,INDEX($E$2:$E$1001,-3510),"")))))</f>
        <v/>
      </c>
    </row>
    <row r="492">
      <c r="A492">
        <f>IFERROR(INDEX('[AQ_2020.xlsx]原始数据'!$A:$A,ROW(A1)+491),"")</f>
        <v/>
      </c>
      <c r="B492">
        <f>IFERROR(INDEX('[AQ_2021.xlsx]原始数据'!$A:$A,ROW(A1)+491),"")</f>
        <v/>
      </c>
      <c r="C492">
        <f>IFERROR(INDEX('[AQ_2022.xlsx]原始数据'!$A:$A,ROW(A1)+491),"")</f>
        <v/>
      </c>
      <c r="D492">
        <f>IFERROR(INDEX('[AQ_2023.xlsx]原始数据'!$A:$A,ROW(A1)+491),"")</f>
        <v/>
      </c>
      <c r="E492">
        <f>IFERROR(INDEX('[AQ_2024.xlsx]原始数据'!$A:$A,ROW(A1)+491),"")</f>
        <v/>
      </c>
      <c r="G492">
        <f>IF(491&lt;=1000,INDEX($A$2:$A$1001,491),IF(491&lt;=2000,INDEX($B$2:$B$1001,-509),IF(491&lt;=3000,INDEX($C$2:$C$1001,-1509),IF(491&lt;=4000,INDEX($D$2:$D$1001,-2509),IF(491&lt;=5000,INDEX($E$2:$E$1001,-3509),"")))))</f>
        <v/>
      </c>
    </row>
    <row r="493">
      <c r="A493">
        <f>IFERROR(INDEX('[AQ_2020.xlsx]原始数据'!$A:$A,ROW(A1)+492),"")</f>
        <v/>
      </c>
      <c r="B493">
        <f>IFERROR(INDEX('[AQ_2021.xlsx]原始数据'!$A:$A,ROW(A1)+492),"")</f>
        <v/>
      </c>
      <c r="C493">
        <f>IFERROR(INDEX('[AQ_2022.xlsx]原始数据'!$A:$A,ROW(A1)+492),"")</f>
        <v/>
      </c>
      <c r="D493">
        <f>IFERROR(INDEX('[AQ_2023.xlsx]原始数据'!$A:$A,ROW(A1)+492),"")</f>
        <v/>
      </c>
      <c r="E493">
        <f>IFERROR(INDEX('[AQ_2024.xlsx]原始数据'!$A:$A,ROW(A1)+492),"")</f>
        <v/>
      </c>
      <c r="G493">
        <f>IF(492&lt;=1000,INDEX($A$2:$A$1001,492),IF(492&lt;=2000,INDEX($B$2:$B$1001,-508),IF(492&lt;=3000,INDEX($C$2:$C$1001,-1508),IF(492&lt;=4000,INDEX($D$2:$D$1001,-2508),IF(492&lt;=5000,INDEX($E$2:$E$1001,-3508),"")))))</f>
        <v/>
      </c>
    </row>
    <row r="494">
      <c r="A494">
        <f>IFERROR(INDEX('[AQ_2020.xlsx]原始数据'!$A:$A,ROW(A1)+493),"")</f>
        <v/>
      </c>
      <c r="B494">
        <f>IFERROR(INDEX('[AQ_2021.xlsx]原始数据'!$A:$A,ROW(A1)+493),"")</f>
        <v/>
      </c>
      <c r="C494">
        <f>IFERROR(INDEX('[AQ_2022.xlsx]原始数据'!$A:$A,ROW(A1)+493),"")</f>
        <v/>
      </c>
      <c r="D494">
        <f>IFERROR(INDEX('[AQ_2023.xlsx]原始数据'!$A:$A,ROW(A1)+493),"")</f>
        <v/>
      </c>
      <c r="E494">
        <f>IFERROR(INDEX('[AQ_2024.xlsx]原始数据'!$A:$A,ROW(A1)+493),"")</f>
        <v/>
      </c>
      <c r="G494">
        <f>IF(493&lt;=1000,INDEX($A$2:$A$1001,493),IF(493&lt;=2000,INDEX($B$2:$B$1001,-507),IF(493&lt;=3000,INDEX($C$2:$C$1001,-1507),IF(493&lt;=4000,INDEX($D$2:$D$1001,-2507),IF(493&lt;=5000,INDEX($E$2:$E$1001,-3507),"")))))</f>
        <v/>
      </c>
    </row>
    <row r="495">
      <c r="A495">
        <f>IFERROR(INDEX('[AQ_2020.xlsx]原始数据'!$A:$A,ROW(A1)+494),"")</f>
        <v/>
      </c>
      <c r="B495">
        <f>IFERROR(INDEX('[AQ_2021.xlsx]原始数据'!$A:$A,ROW(A1)+494),"")</f>
        <v/>
      </c>
      <c r="C495">
        <f>IFERROR(INDEX('[AQ_2022.xlsx]原始数据'!$A:$A,ROW(A1)+494),"")</f>
        <v/>
      </c>
      <c r="D495">
        <f>IFERROR(INDEX('[AQ_2023.xlsx]原始数据'!$A:$A,ROW(A1)+494),"")</f>
        <v/>
      </c>
      <c r="E495">
        <f>IFERROR(INDEX('[AQ_2024.xlsx]原始数据'!$A:$A,ROW(A1)+494),"")</f>
        <v/>
      </c>
      <c r="G495">
        <f>IF(494&lt;=1000,INDEX($A$2:$A$1001,494),IF(494&lt;=2000,INDEX($B$2:$B$1001,-506),IF(494&lt;=3000,INDEX($C$2:$C$1001,-1506),IF(494&lt;=4000,INDEX($D$2:$D$1001,-2506),IF(494&lt;=5000,INDEX($E$2:$E$1001,-3506),"")))))</f>
        <v/>
      </c>
    </row>
    <row r="496">
      <c r="A496">
        <f>IFERROR(INDEX('[AQ_2020.xlsx]原始数据'!$A:$A,ROW(A1)+495),"")</f>
        <v/>
      </c>
      <c r="B496">
        <f>IFERROR(INDEX('[AQ_2021.xlsx]原始数据'!$A:$A,ROW(A1)+495),"")</f>
        <v/>
      </c>
      <c r="C496">
        <f>IFERROR(INDEX('[AQ_2022.xlsx]原始数据'!$A:$A,ROW(A1)+495),"")</f>
        <v/>
      </c>
      <c r="D496">
        <f>IFERROR(INDEX('[AQ_2023.xlsx]原始数据'!$A:$A,ROW(A1)+495),"")</f>
        <v/>
      </c>
      <c r="E496">
        <f>IFERROR(INDEX('[AQ_2024.xlsx]原始数据'!$A:$A,ROW(A1)+495),"")</f>
        <v/>
      </c>
      <c r="G496">
        <f>IF(495&lt;=1000,INDEX($A$2:$A$1001,495),IF(495&lt;=2000,INDEX($B$2:$B$1001,-505),IF(495&lt;=3000,INDEX($C$2:$C$1001,-1505),IF(495&lt;=4000,INDEX($D$2:$D$1001,-2505),IF(495&lt;=5000,INDEX($E$2:$E$1001,-3505),"")))))</f>
        <v/>
      </c>
    </row>
    <row r="497">
      <c r="A497">
        <f>IFERROR(INDEX('[AQ_2020.xlsx]原始数据'!$A:$A,ROW(A1)+496),"")</f>
        <v/>
      </c>
      <c r="B497">
        <f>IFERROR(INDEX('[AQ_2021.xlsx]原始数据'!$A:$A,ROW(A1)+496),"")</f>
        <v/>
      </c>
      <c r="C497">
        <f>IFERROR(INDEX('[AQ_2022.xlsx]原始数据'!$A:$A,ROW(A1)+496),"")</f>
        <v/>
      </c>
      <c r="D497">
        <f>IFERROR(INDEX('[AQ_2023.xlsx]原始数据'!$A:$A,ROW(A1)+496),"")</f>
        <v/>
      </c>
      <c r="E497">
        <f>IFERROR(INDEX('[AQ_2024.xlsx]原始数据'!$A:$A,ROW(A1)+496),"")</f>
        <v/>
      </c>
      <c r="G497">
        <f>IF(496&lt;=1000,INDEX($A$2:$A$1001,496),IF(496&lt;=2000,INDEX($B$2:$B$1001,-504),IF(496&lt;=3000,INDEX($C$2:$C$1001,-1504),IF(496&lt;=4000,INDEX($D$2:$D$1001,-2504),IF(496&lt;=5000,INDEX($E$2:$E$1001,-3504),"")))))</f>
        <v/>
      </c>
    </row>
    <row r="498">
      <c r="A498">
        <f>IFERROR(INDEX('[AQ_2020.xlsx]原始数据'!$A:$A,ROW(A1)+497),"")</f>
        <v/>
      </c>
      <c r="B498">
        <f>IFERROR(INDEX('[AQ_2021.xlsx]原始数据'!$A:$A,ROW(A1)+497),"")</f>
        <v/>
      </c>
      <c r="C498">
        <f>IFERROR(INDEX('[AQ_2022.xlsx]原始数据'!$A:$A,ROW(A1)+497),"")</f>
        <v/>
      </c>
      <c r="D498">
        <f>IFERROR(INDEX('[AQ_2023.xlsx]原始数据'!$A:$A,ROW(A1)+497),"")</f>
        <v/>
      </c>
      <c r="E498">
        <f>IFERROR(INDEX('[AQ_2024.xlsx]原始数据'!$A:$A,ROW(A1)+497),"")</f>
        <v/>
      </c>
      <c r="G498">
        <f>IF(497&lt;=1000,INDEX($A$2:$A$1001,497),IF(497&lt;=2000,INDEX($B$2:$B$1001,-503),IF(497&lt;=3000,INDEX($C$2:$C$1001,-1503),IF(497&lt;=4000,INDEX($D$2:$D$1001,-2503),IF(497&lt;=5000,INDEX($E$2:$E$1001,-3503),"")))))</f>
        <v/>
      </c>
    </row>
    <row r="499">
      <c r="A499">
        <f>IFERROR(INDEX('[AQ_2020.xlsx]原始数据'!$A:$A,ROW(A1)+498),"")</f>
        <v/>
      </c>
      <c r="B499">
        <f>IFERROR(INDEX('[AQ_2021.xlsx]原始数据'!$A:$A,ROW(A1)+498),"")</f>
        <v/>
      </c>
      <c r="C499">
        <f>IFERROR(INDEX('[AQ_2022.xlsx]原始数据'!$A:$A,ROW(A1)+498),"")</f>
        <v/>
      </c>
      <c r="D499">
        <f>IFERROR(INDEX('[AQ_2023.xlsx]原始数据'!$A:$A,ROW(A1)+498),"")</f>
        <v/>
      </c>
      <c r="E499">
        <f>IFERROR(INDEX('[AQ_2024.xlsx]原始数据'!$A:$A,ROW(A1)+498),"")</f>
        <v/>
      </c>
      <c r="G499">
        <f>IF(498&lt;=1000,INDEX($A$2:$A$1001,498),IF(498&lt;=2000,INDEX($B$2:$B$1001,-502),IF(498&lt;=3000,INDEX($C$2:$C$1001,-1502),IF(498&lt;=4000,INDEX($D$2:$D$1001,-2502),IF(498&lt;=5000,INDEX($E$2:$E$1001,-3502),"")))))</f>
        <v/>
      </c>
    </row>
    <row r="500">
      <c r="A500">
        <f>IFERROR(INDEX('[AQ_2020.xlsx]原始数据'!$A:$A,ROW(A1)+499),"")</f>
        <v/>
      </c>
      <c r="B500">
        <f>IFERROR(INDEX('[AQ_2021.xlsx]原始数据'!$A:$A,ROW(A1)+499),"")</f>
        <v/>
      </c>
      <c r="C500">
        <f>IFERROR(INDEX('[AQ_2022.xlsx]原始数据'!$A:$A,ROW(A1)+499),"")</f>
        <v/>
      </c>
      <c r="D500">
        <f>IFERROR(INDEX('[AQ_2023.xlsx]原始数据'!$A:$A,ROW(A1)+499),"")</f>
        <v/>
      </c>
      <c r="E500">
        <f>IFERROR(INDEX('[AQ_2024.xlsx]原始数据'!$A:$A,ROW(A1)+499),"")</f>
        <v/>
      </c>
      <c r="G500">
        <f>IF(499&lt;=1000,INDEX($A$2:$A$1001,499),IF(499&lt;=2000,INDEX($B$2:$B$1001,-501),IF(499&lt;=3000,INDEX($C$2:$C$1001,-1501),IF(499&lt;=4000,INDEX($D$2:$D$1001,-2501),IF(499&lt;=5000,INDEX($E$2:$E$1001,-3501),"")))))</f>
        <v/>
      </c>
    </row>
    <row r="501">
      <c r="A501">
        <f>IFERROR(INDEX('[AQ_2020.xlsx]原始数据'!$A:$A,ROW(A1)+500),"")</f>
        <v/>
      </c>
      <c r="B501">
        <f>IFERROR(INDEX('[AQ_2021.xlsx]原始数据'!$A:$A,ROW(A1)+500),"")</f>
        <v/>
      </c>
      <c r="C501">
        <f>IFERROR(INDEX('[AQ_2022.xlsx]原始数据'!$A:$A,ROW(A1)+500),"")</f>
        <v/>
      </c>
      <c r="D501">
        <f>IFERROR(INDEX('[AQ_2023.xlsx]原始数据'!$A:$A,ROW(A1)+500),"")</f>
        <v/>
      </c>
      <c r="E501">
        <f>IFERROR(INDEX('[AQ_2024.xlsx]原始数据'!$A:$A,ROW(A1)+500),"")</f>
        <v/>
      </c>
      <c r="G501">
        <f>IF(500&lt;=1000,INDEX($A$2:$A$1001,500),IF(500&lt;=2000,INDEX($B$2:$B$1001,-500),IF(500&lt;=3000,INDEX($C$2:$C$1001,-1500),IF(500&lt;=4000,INDEX($D$2:$D$1001,-2500),IF(500&lt;=5000,INDEX($E$2:$E$1001,-3500),"")))))</f>
        <v/>
      </c>
    </row>
    <row r="502">
      <c r="A502">
        <f>IFERROR(INDEX('[AQ_2020.xlsx]原始数据'!$A:$A,ROW(A1)+501),"")</f>
        <v/>
      </c>
      <c r="B502">
        <f>IFERROR(INDEX('[AQ_2021.xlsx]原始数据'!$A:$A,ROW(A1)+501),"")</f>
        <v/>
      </c>
      <c r="C502">
        <f>IFERROR(INDEX('[AQ_2022.xlsx]原始数据'!$A:$A,ROW(A1)+501),"")</f>
        <v/>
      </c>
      <c r="D502">
        <f>IFERROR(INDEX('[AQ_2023.xlsx]原始数据'!$A:$A,ROW(A1)+501),"")</f>
        <v/>
      </c>
      <c r="E502">
        <f>IFERROR(INDEX('[AQ_2024.xlsx]原始数据'!$A:$A,ROW(A1)+501),"")</f>
        <v/>
      </c>
      <c r="G502">
        <f>IF(501&lt;=1000,INDEX($A$2:$A$1001,501),IF(501&lt;=2000,INDEX($B$2:$B$1001,-499),IF(501&lt;=3000,INDEX($C$2:$C$1001,-1499),IF(501&lt;=4000,INDEX($D$2:$D$1001,-2499),IF(501&lt;=5000,INDEX($E$2:$E$1001,-3499),"")))))</f>
        <v/>
      </c>
    </row>
    <row r="503">
      <c r="A503">
        <f>IFERROR(INDEX('[AQ_2020.xlsx]原始数据'!$A:$A,ROW(A1)+502),"")</f>
        <v/>
      </c>
      <c r="B503">
        <f>IFERROR(INDEX('[AQ_2021.xlsx]原始数据'!$A:$A,ROW(A1)+502),"")</f>
        <v/>
      </c>
      <c r="C503">
        <f>IFERROR(INDEX('[AQ_2022.xlsx]原始数据'!$A:$A,ROW(A1)+502),"")</f>
        <v/>
      </c>
      <c r="D503">
        <f>IFERROR(INDEX('[AQ_2023.xlsx]原始数据'!$A:$A,ROW(A1)+502),"")</f>
        <v/>
      </c>
      <c r="E503">
        <f>IFERROR(INDEX('[AQ_2024.xlsx]原始数据'!$A:$A,ROW(A1)+502),"")</f>
        <v/>
      </c>
      <c r="G503">
        <f>IF(502&lt;=1000,INDEX($A$2:$A$1001,502),IF(502&lt;=2000,INDEX($B$2:$B$1001,-498),IF(502&lt;=3000,INDEX($C$2:$C$1001,-1498),IF(502&lt;=4000,INDEX($D$2:$D$1001,-2498),IF(502&lt;=5000,INDEX($E$2:$E$1001,-3498),"")))))</f>
        <v/>
      </c>
    </row>
    <row r="504">
      <c r="A504">
        <f>IFERROR(INDEX('[AQ_2020.xlsx]原始数据'!$A:$A,ROW(A1)+503),"")</f>
        <v/>
      </c>
      <c r="B504">
        <f>IFERROR(INDEX('[AQ_2021.xlsx]原始数据'!$A:$A,ROW(A1)+503),"")</f>
        <v/>
      </c>
      <c r="C504">
        <f>IFERROR(INDEX('[AQ_2022.xlsx]原始数据'!$A:$A,ROW(A1)+503),"")</f>
        <v/>
      </c>
      <c r="D504">
        <f>IFERROR(INDEX('[AQ_2023.xlsx]原始数据'!$A:$A,ROW(A1)+503),"")</f>
        <v/>
      </c>
      <c r="E504">
        <f>IFERROR(INDEX('[AQ_2024.xlsx]原始数据'!$A:$A,ROW(A1)+503),"")</f>
        <v/>
      </c>
      <c r="G504">
        <f>IF(503&lt;=1000,INDEX($A$2:$A$1001,503),IF(503&lt;=2000,INDEX($B$2:$B$1001,-497),IF(503&lt;=3000,INDEX($C$2:$C$1001,-1497),IF(503&lt;=4000,INDEX($D$2:$D$1001,-2497),IF(503&lt;=5000,INDEX($E$2:$E$1001,-3497),"")))))</f>
        <v/>
      </c>
    </row>
    <row r="505">
      <c r="A505">
        <f>IFERROR(INDEX('[AQ_2020.xlsx]原始数据'!$A:$A,ROW(A1)+504),"")</f>
        <v/>
      </c>
      <c r="B505">
        <f>IFERROR(INDEX('[AQ_2021.xlsx]原始数据'!$A:$A,ROW(A1)+504),"")</f>
        <v/>
      </c>
      <c r="C505">
        <f>IFERROR(INDEX('[AQ_2022.xlsx]原始数据'!$A:$A,ROW(A1)+504),"")</f>
        <v/>
      </c>
      <c r="D505">
        <f>IFERROR(INDEX('[AQ_2023.xlsx]原始数据'!$A:$A,ROW(A1)+504),"")</f>
        <v/>
      </c>
      <c r="E505">
        <f>IFERROR(INDEX('[AQ_2024.xlsx]原始数据'!$A:$A,ROW(A1)+504),"")</f>
        <v/>
      </c>
      <c r="G505">
        <f>IF(504&lt;=1000,INDEX($A$2:$A$1001,504),IF(504&lt;=2000,INDEX($B$2:$B$1001,-496),IF(504&lt;=3000,INDEX($C$2:$C$1001,-1496),IF(504&lt;=4000,INDEX($D$2:$D$1001,-2496),IF(504&lt;=5000,INDEX($E$2:$E$1001,-3496),"")))))</f>
        <v/>
      </c>
    </row>
    <row r="506">
      <c r="A506">
        <f>IFERROR(INDEX('[AQ_2020.xlsx]原始数据'!$A:$A,ROW(A1)+505),"")</f>
        <v/>
      </c>
      <c r="B506">
        <f>IFERROR(INDEX('[AQ_2021.xlsx]原始数据'!$A:$A,ROW(A1)+505),"")</f>
        <v/>
      </c>
      <c r="C506">
        <f>IFERROR(INDEX('[AQ_2022.xlsx]原始数据'!$A:$A,ROW(A1)+505),"")</f>
        <v/>
      </c>
      <c r="D506">
        <f>IFERROR(INDEX('[AQ_2023.xlsx]原始数据'!$A:$A,ROW(A1)+505),"")</f>
        <v/>
      </c>
      <c r="E506">
        <f>IFERROR(INDEX('[AQ_2024.xlsx]原始数据'!$A:$A,ROW(A1)+505),"")</f>
        <v/>
      </c>
      <c r="G506">
        <f>IF(505&lt;=1000,INDEX($A$2:$A$1001,505),IF(505&lt;=2000,INDEX($B$2:$B$1001,-495),IF(505&lt;=3000,INDEX($C$2:$C$1001,-1495),IF(505&lt;=4000,INDEX($D$2:$D$1001,-2495),IF(505&lt;=5000,INDEX($E$2:$E$1001,-3495),"")))))</f>
        <v/>
      </c>
    </row>
    <row r="507">
      <c r="A507">
        <f>IFERROR(INDEX('[AQ_2020.xlsx]原始数据'!$A:$A,ROW(A1)+506),"")</f>
        <v/>
      </c>
      <c r="B507">
        <f>IFERROR(INDEX('[AQ_2021.xlsx]原始数据'!$A:$A,ROW(A1)+506),"")</f>
        <v/>
      </c>
      <c r="C507">
        <f>IFERROR(INDEX('[AQ_2022.xlsx]原始数据'!$A:$A,ROW(A1)+506),"")</f>
        <v/>
      </c>
      <c r="D507">
        <f>IFERROR(INDEX('[AQ_2023.xlsx]原始数据'!$A:$A,ROW(A1)+506),"")</f>
        <v/>
      </c>
      <c r="E507">
        <f>IFERROR(INDEX('[AQ_2024.xlsx]原始数据'!$A:$A,ROW(A1)+506),"")</f>
        <v/>
      </c>
      <c r="G507">
        <f>IF(506&lt;=1000,INDEX($A$2:$A$1001,506),IF(506&lt;=2000,INDEX($B$2:$B$1001,-494),IF(506&lt;=3000,INDEX($C$2:$C$1001,-1494),IF(506&lt;=4000,INDEX($D$2:$D$1001,-2494),IF(506&lt;=5000,INDEX($E$2:$E$1001,-3494),"")))))</f>
        <v/>
      </c>
    </row>
    <row r="508">
      <c r="A508">
        <f>IFERROR(INDEX('[AQ_2020.xlsx]原始数据'!$A:$A,ROW(A1)+507),"")</f>
        <v/>
      </c>
      <c r="B508">
        <f>IFERROR(INDEX('[AQ_2021.xlsx]原始数据'!$A:$A,ROW(A1)+507),"")</f>
        <v/>
      </c>
      <c r="C508">
        <f>IFERROR(INDEX('[AQ_2022.xlsx]原始数据'!$A:$A,ROW(A1)+507),"")</f>
        <v/>
      </c>
      <c r="D508">
        <f>IFERROR(INDEX('[AQ_2023.xlsx]原始数据'!$A:$A,ROW(A1)+507),"")</f>
        <v/>
      </c>
      <c r="E508">
        <f>IFERROR(INDEX('[AQ_2024.xlsx]原始数据'!$A:$A,ROW(A1)+507),"")</f>
        <v/>
      </c>
      <c r="G508">
        <f>IF(507&lt;=1000,INDEX($A$2:$A$1001,507),IF(507&lt;=2000,INDEX($B$2:$B$1001,-493),IF(507&lt;=3000,INDEX($C$2:$C$1001,-1493),IF(507&lt;=4000,INDEX($D$2:$D$1001,-2493),IF(507&lt;=5000,INDEX($E$2:$E$1001,-3493),"")))))</f>
        <v/>
      </c>
    </row>
    <row r="509">
      <c r="A509">
        <f>IFERROR(INDEX('[AQ_2020.xlsx]原始数据'!$A:$A,ROW(A1)+508),"")</f>
        <v/>
      </c>
      <c r="B509">
        <f>IFERROR(INDEX('[AQ_2021.xlsx]原始数据'!$A:$A,ROW(A1)+508),"")</f>
        <v/>
      </c>
      <c r="C509">
        <f>IFERROR(INDEX('[AQ_2022.xlsx]原始数据'!$A:$A,ROW(A1)+508),"")</f>
        <v/>
      </c>
      <c r="D509">
        <f>IFERROR(INDEX('[AQ_2023.xlsx]原始数据'!$A:$A,ROW(A1)+508),"")</f>
        <v/>
      </c>
      <c r="E509">
        <f>IFERROR(INDEX('[AQ_2024.xlsx]原始数据'!$A:$A,ROW(A1)+508),"")</f>
        <v/>
      </c>
      <c r="G509">
        <f>IF(508&lt;=1000,INDEX($A$2:$A$1001,508),IF(508&lt;=2000,INDEX($B$2:$B$1001,-492),IF(508&lt;=3000,INDEX($C$2:$C$1001,-1492),IF(508&lt;=4000,INDEX($D$2:$D$1001,-2492),IF(508&lt;=5000,INDEX($E$2:$E$1001,-3492),"")))))</f>
        <v/>
      </c>
    </row>
    <row r="510">
      <c r="A510">
        <f>IFERROR(INDEX('[AQ_2020.xlsx]原始数据'!$A:$A,ROW(A1)+509),"")</f>
        <v/>
      </c>
      <c r="B510">
        <f>IFERROR(INDEX('[AQ_2021.xlsx]原始数据'!$A:$A,ROW(A1)+509),"")</f>
        <v/>
      </c>
      <c r="C510">
        <f>IFERROR(INDEX('[AQ_2022.xlsx]原始数据'!$A:$A,ROW(A1)+509),"")</f>
        <v/>
      </c>
      <c r="D510">
        <f>IFERROR(INDEX('[AQ_2023.xlsx]原始数据'!$A:$A,ROW(A1)+509),"")</f>
        <v/>
      </c>
      <c r="E510">
        <f>IFERROR(INDEX('[AQ_2024.xlsx]原始数据'!$A:$A,ROW(A1)+509),"")</f>
        <v/>
      </c>
      <c r="G510">
        <f>IF(509&lt;=1000,INDEX($A$2:$A$1001,509),IF(509&lt;=2000,INDEX($B$2:$B$1001,-491),IF(509&lt;=3000,INDEX($C$2:$C$1001,-1491),IF(509&lt;=4000,INDEX($D$2:$D$1001,-2491),IF(509&lt;=5000,INDEX($E$2:$E$1001,-3491),"")))))</f>
        <v/>
      </c>
    </row>
    <row r="511">
      <c r="A511">
        <f>IFERROR(INDEX('[AQ_2020.xlsx]原始数据'!$A:$A,ROW(A1)+510),"")</f>
        <v/>
      </c>
      <c r="B511">
        <f>IFERROR(INDEX('[AQ_2021.xlsx]原始数据'!$A:$A,ROW(A1)+510),"")</f>
        <v/>
      </c>
      <c r="C511">
        <f>IFERROR(INDEX('[AQ_2022.xlsx]原始数据'!$A:$A,ROW(A1)+510),"")</f>
        <v/>
      </c>
      <c r="D511">
        <f>IFERROR(INDEX('[AQ_2023.xlsx]原始数据'!$A:$A,ROW(A1)+510),"")</f>
        <v/>
      </c>
      <c r="E511">
        <f>IFERROR(INDEX('[AQ_2024.xlsx]原始数据'!$A:$A,ROW(A1)+510),"")</f>
        <v/>
      </c>
      <c r="G511">
        <f>IF(510&lt;=1000,INDEX($A$2:$A$1001,510),IF(510&lt;=2000,INDEX($B$2:$B$1001,-490),IF(510&lt;=3000,INDEX($C$2:$C$1001,-1490),IF(510&lt;=4000,INDEX($D$2:$D$1001,-2490),IF(510&lt;=5000,INDEX($E$2:$E$1001,-3490),"")))))</f>
        <v/>
      </c>
    </row>
    <row r="512">
      <c r="A512">
        <f>IFERROR(INDEX('[AQ_2020.xlsx]原始数据'!$A:$A,ROW(A1)+511),"")</f>
        <v/>
      </c>
      <c r="B512">
        <f>IFERROR(INDEX('[AQ_2021.xlsx]原始数据'!$A:$A,ROW(A1)+511),"")</f>
        <v/>
      </c>
      <c r="C512">
        <f>IFERROR(INDEX('[AQ_2022.xlsx]原始数据'!$A:$A,ROW(A1)+511),"")</f>
        <v/>
      </c>
      <c r="D512">
        <f>IFERROR(INDEX('[AQ_2023.xlsx]原始数据'!$A:$A,ROW(A1)+511),"")</f>
        <v/>
      </c>
      <c r="E512">
        <f>IFERROR(INDEX('[AQ_2024.xlsx]原始数据'!$A:$A,ROW(A1)+511),"")</f>
        <v/>
      </c>
      <c r="G512">
        <f>IF(511&lt;=1000,INDEX($A$2:$A$1001,511),IF(511&lt;=2000,INDEX($B$2:$B$1001,-489),IF(511&lt;=3000,INDEX($C$2:$C$1001,-1489),IF(511&lt;=4000,INDEX($D$2:$D$1001,-2489),IF(511&lt;=5000,INDEX($E$2:$E$1001,-3489),"")))))</f>
        <v/>
      </c>
    </row>
    <row r="513">
      <c r="A513">
        <f>IFERROR(INDEX('[AQ_2020.xlsx]原始数据'!$A:$A,ROW(A1)+512),"")</f>
        <v/>
      </c>
      <c r="B513">
        <f>IFERROR(INDEX('[AQ_2021.xlsx]原始数据'!$A:$A,ROW(A1)+512),"")</f>
        <v/>
      </c>
      <c r="C513">
        <f>IFERROR(INDEX('[AQ_2022.xlsx]原始数据'!$A:$A,ROW(A1)+512),"")</f>
        <v/>
      </c>
      <c r="D513">
        <f>IFERROR(INDEX('[AQ_2023.xlsx]原始数据'!$A:$A,ROW(A1)+512),"")</f>
        <v/>
      </c>
      <c r="E513">
        <f>IFERROR(INDEX('[AQ_2024.xlsx]原始数据'!$A:$A,ROW(A1)+512),"")</f>
        <v/>
      </c>
      <c r="G513">
        <f>IF(512&lt;=1000,INDEX($A$2:$A$1001,512),IF(512&lt;=2000,INDEX($B$2:$B$1001,-488),IF(512&lt;=3000,INDEX($C$2:$C$1001,-1488),IF(512&lt;=4000,INDEX($D$2:$D$1001,-2488),IF(512&lt;=5000,INDEX($E$2:$E$1001,-3488),"")))))</f>
        <v/>
      </c>
    </row>
    <row r="514">
      <c r="A514">
        <f>IFERROR(INDEX('[AQ_2020.xlsx]原始数据'!$A:$A,ROW(A1)+513),"")</f>
        <v/>
      </c>
      <c r="B514">
        <f>IFERROR(INDEX('[AQ_2021.xlsx]原始数据'!$A:$A,ROW(A1)+513),"")</f>
        <v/>
      </c>
      <c r="C514">
        <f>IFERROR(INDEX('[AQ_2022.xlsx]原始数据'!$A:$A,ROW(A1)+513),"")</f>
        <v/>
      </c>
      <c r="D514">
        <f>IFERROR(INDEX('[AQ_2023.xlsx]原始数据'!$A:$A,ROW(A1)+513),"")</f>
        <v/>
      </c>
      <c r="E514">
        <f>IFERROR(INDEX('[AQ_2024.xlsx]原始数据'!$A:$A,ROW(A1)+513),"")</f>
        <v/>
      </c>
      <c r="G514">
        <f>IF(513&lt;=1000,INDEX($A$2:$A$1001,513),IF(513&lt;=2000,INDEX($B$2:$B$1001,-487),IF(513&lt;=3000,INDEX($C$2:$C$1001,-1487),IF(513&lt;=4000,INDEX($D$2:$D$1001,-2487),IF(513&lt;=5000,INDEX($E$2:$E$1001,-3487),"")))))</f>
        <v/>
      </c>
    </row>
    <row r="515">
      <c r="A515">
        <f>IFERROR(INDEX('[AQ_2020.xlsx]原始数据'!$A:$A,ROW(A1)+514),"")</f>
        <v/>
      </c>
      <c r="B515">
        <f>IFERROR(INDEX('[AQ_2021.xlsx]原始数据'!$A:$A,ROW(A1)+514),"")</f>
        <v/>
      </c>
      <c r="C515">
        <f>IFERROR(INDEX('[AQ_2022.xlsx]原始数据'!$A:$A,ROW(A1)+514),"")</f>
        <v/>
      </c>
      <c r="D515">
        <f>IFERROR(INDEX('[AQ_2023.xlsx]原始数据'!$A:$A,ROW(A1)+514),"")</f>
        <v/>
      </c>
      <c r="E515">
        <f>IFERROR(INDEX('[AQ_2024.xlsx]原始数据'!$A:$A,ROW(A1)+514),"")</f>
        <v/>
      </c>
      <c r="G515">
        <f>IF(514&lt;=1000,INDEX($A$2:$A$1001,514),IF(514&lt;=2000,INDEX($B$2:$B$1001,-486),IF(514&lt;=3000,INDEX($C$2:$C$1001,-1486),IF(514&lt;=4000,INDEX($D$2:$D$1001,-2486),IF(514&lt;=5000,INDEX($E$2:$E$1001,-3486),"")))))</f>
        <v/>
      </c>
    </row>
    <row r="516">
      <c r="A516">
        <f>IFERROR(INDEX('[AQ_2020.xlsx]原始数据'!$A:$A,ROW(A1)+515),"")</f>
        <v/>
      </c>
      <c r="B516">
        <f>IFERROR(INDEX('[AQ_2021.xlsx]原始数据'!$A:$A,ROW(A1)+515),"")</f>
        <v/>
      </c>
      <c r="C516">
        <f>IFERROR(INDEX('[AQ_2022.xlsx]原始数据'!$A:$A,ROW(A1)+515),"")</f>
        <v/>
      </c>
      <c r="D516">
        <f>IFERROR(INDEX('[AQ_2023.xlsx]原始数据'!$A:$A,ROW(A1)+515),"")</f>
        <v/>
      </c>
      <c r="E516">
        <f>IFERROR(INDEX('[AQ_2024.xlsx]原始数据'!$A:$A,ROW(A1)+515),"")</f>
        <v/>
      </c>
      <c r="G516">
        <f>IF(515&lt;=1000,INDEX($A$2:$A$1001,515),IF(515&lt;=2000,INDEX($B$2:$B$1001,-485),IF(515&lt;=3000,INDEX($C$2:$C$1001,-1485),IF(515&lt;=4000,INDEX($D$2:$D$1001,-2485),IF(515&lt;=5000,INDEX($E$2:$E$1001,-3485),"")))))</f>
        <v/>
      </c>
    </row>
    <row r="517">
      <c r="A517">
        <f>IFERROR(INDEX('[AQ_2020.xlsx]原始数据'!$A:$A,ROW(A1)+516),"")</f>
        <v/>
      </c>
      <c r="B517">
        <f>IFERROR(INDEX('[AQ_2021.xlsx]原始数据'!$A:$A,ROW(A1)+516),"")</f>
        <v/>
      </c>
      <c r="C517">
        <f>IFERROR(INDEX('[AQ_2022.xlsx]原始数据'!$A:$A,ROW(A1)+516),"")</f>
        <v/>
      </c>
      <c r="D517">
        <f>IFERROR(INDEX('[AQ_2023.xlsx]原始数据'!$A:$A,ROW(A1)+516),"")</f>
        <v/>
      </c>
      <c r="E517">
        <f>IFERROR(INDEX('[AQ_2024.xlsx]原始数据'!$A:$A,ROW(A1)+516),"")</f>
        <v/>
      </c>
      <c r="G517">
        <f>IF(516&lt;=1000,INDEX($A$2:$A$1001,516),IF(516&lt;=2000,INDEX($B$2:$B$1001,-484),IF(516&lt;=3000,INDEX($C$2:$C$1001,-1484),IF(516&lt;=4000,INDEX($D$2:$D$1001,-2484),IF(516&lt;=5000,INDEX($E$2:$E$1001,-3484),"")))))</f>
        <v/>
      </c>
    </row>
    <row r="518">
      <c r="A518">
        <f>IFERROR(INDEX('[AQ_2020.xlsx]原始数据'!$A:$A,ROW(A1)+517),"")</f>
        <v/>
      </c>
      <c r="B518">
        <f>IFERROR(INDEX('[AQ_2021.xlsx]原始数据'!$A:$A,ROW(A1)+517),"")</f>
        <v/>
      </c>
      <c r="C518">
        <f>IFERROR(INDEX('[AQ_2022.xlsx]原始数据'!$A:$A,ROW(A1)+517),"")</f>
        <v/>
      </c>
      <c r="D518">
        <f>IFERROR(INDEX('[AQ_2023.xlsx]原始数据'!$A:$A,ROW(A1)+517),"")</f>
        <v/>
      </c>
      <c r="E518">
        <f>IFERROR(INDEX('[AQ_2024.xlsx]原始数据'!$A:$A,ROW(A1)+517),"")</f>
        <v/>
      </c>
      <c r="G518">
        <f>IF(517&lt;=1000,INDEX($A$2:$A$1001,517),IF(517&lt;=2000,INDEX($B$2:$B$1001,-483),IF(517&lt;=3000,INDEX($C$2:$C$1001,-1483),IF(517&lt;=4000,INDEX($D$2:$D$1001,-2483),IF(517&lt;=5000,INDEX($E$2:$E$1001,-3483),"")))))</f>
        <v/>
      </c>
    </row>
    <row r="519">
      <c r="A519">
        <f>IFERROR(INDEX('[AQ_2020.xlsx]原始数据'!$A:$A,ROW(A1)+518),"")</f>
        <v/>
      </c>
      <c r="B519">
        <f>IFERROR(INDEX('[AQ_2021.xlsx]原始数据'!$A:$A,ROW(A1)+518),"")</f>
        <v/>
      </c>
      <c r="C519">
        <f>IFERROR(INDEX('[AQ_2022.xlsx]原始数据'!$A:$A,ROW(A1)+518),"")</f>
        <v/>
      </c>
      <c r="D519">
        <f>IFERROR(INDEX('[AQ_2023.xlsx]原始数据'!$A:$A,ROW(A1)+518),"")</f>
        <v/>
      </c>
      <c r="E519">
        <f>IFERROR(INDEX('[AQ_2024.xlsx]原始数据'!$A:$A,ROW(A1)+518),"")</f>
        <v/>
      </c>
      <c r="G519">
        <f>IF(518&lt;=1000,INDEX($A$2:$A$1001,518),IF(518&lt;=2000,INDEX($B$2:$B$1001,-482),IF(518&lt;=3000,INDEX($C$2:$C$1001,-1482),IF(518&lt;=4000,INDEX($D$2:$D$1001,-2482),IF(518&lt;=5000,INDEX($E$2:$E$1001,-3482),"")))))</f>
        <v/>
      </c>
    </row>
    <row r="520">
      <c r="A520">
        <f>IFERROR(INDEX('[AQ_2020.xlsx]原始数据'!$A:$A,ROW(A1)+519),"")</f>
        <v/>
      </c>
      <c r="B520">
        <f>IFERROR(INDEX('[AQ_2021.xlsx]原始数据'!$A:$A,ROW(A1)+519),"")</f>
        <v/>
      </c>
      <c r="C520">
        <f>IFERROR(INDEX('[AQ_2022.xlsx]原始数据'!$A:$A,ROW(A1)+519),"")</f>
        <v/>
      </c>
      <c r="D520">
        <f>IFERROR(INDEX('[AQ_2023.xlsx]原始数据'!$A:$A,ROW(A1)+519),"")</f>
        <v/>
      </c>
      <c r="E520">
        <f>IFERROR(INDEX('[AQ_2024.xlsx]原始数据'!$A:$A,ROW(A1)+519),"")</f>
        <v/>
      </c>
      <c r="G520">
        <f>IF(519&lt;=1000,INDEX($A$2:$A$1001,519),IF(519&lt;=2000,INDEX($B$2:$B$1001,-481),IF(519&lt;=3000,INDEX($C$2:$C$1001,-1481),IF(519&lt;=4000,INDEX($D$2:$D$1001,-2481),IF(519&lt;=5000,INDEX($E$2:$E$1001,-3481),"")))))</f>
        <v/>
      </c>
    </row>
    <row r="521">
      <c r="A521">
        <f>IFERROR(INDEX('[AQ_2020.xlsx]原始数据'!$A:$A,ROW(A1)+520),"")</f>
        <v/>
      </c>
      <c r="B521">
        <f>IFERROR(INDEX('[AQ_2021.xlsx]原始数据'!$A:$A,ROW(A1)+520),"")</f>
        <v/>
      </c>
      <c r="C521">
        <f>IFERROR(INDEX('[AQ_2022.xlsx]原始数据'!$A:$A,ROW(A1)+520),"")</f>
        <v/>
      </c>
      <c r="D521">
        <f>IFERROR(INDEX('[AQ_2023.xlsx]原始数据'!$A:$A,ROW(A1)+520),"")</f>
        <v/>
      </c>
      <c r="E521">
        <f>IFERROR(INDEX('[AQ_2024.xlsx]原始数据'!$A:$A,ROW(A1)+520),"")</f>
        <v/>
      </c>
      <c r="G521">
        <f>IF(520&lt;=1000,INDEX($A$2:$A$1001,520),IF(520&lt;=2000,INDEX($B$2:$B$1001,-480),IF(520&lt;=3000,INDEX($C$2:$C$1001,-1480),IF(520&lt;=4000,INDEX($D$2:$D$1001,-2480),IF(520&lt;=5000,INDEX($E$2:$E$1001,-3480),"")))))</f>
        <v/>
      </c>
    </row>
    <row r="522">
      <c r="A522">
        <f>IFERROR(INDEX('[AQ_2020.xlsx]原始数据'!$A:$A,ROW(A1)+521),"")</f>
        <v/>
      </c>
      <c r="B522">
        <f>IFERROR(INDEX('[AQ_2021.xlsx]原始数据'!$A:$A,ROW(A1)+521),"")</f>
        <v/>
      </c>
      <c r="C522">
        <f>IFERROR(INDEX('[AQ_2022.xlsx]原始数据'!$A:$A,ROW(A1)+521),"")</f>
        <v/>
      </c>
      <c r="D522">
        <f>IFERROR(INDEX('[AQ_2023.xlsx]原始数据'!$A:$A,ROW(A1)+521),"")</f>
        <v/>
      </c>
      <c r="E522">
        <f>IFERROR(INDEX('[AQ_2024.xlsx]原始数据'!$A:$A,ROW(A1)+521),"")</f>
        <v/>
      </c>
      <c r="G522">
        <f>IF(521&lt;=1000,INDEX($A$2:$A$1001,521),IF(521&lt;=2000,INDEX($B$2:$B$1001,-479),IF(521&lt;=3000,INDEX($C$2:$C$1001,-1479),IF(521&lt;=4000,INDEX($D$2:$D$1001,-2479),IF(521&lt;=5000,INDEX($E$2:$E$1001,-3479),"")))))</f>
        <v/>
      </c>
    </row>
    <row r="523">
      <c r="A523">
        <f>IFERROR(INDEX('[AQ_2020.xlsx]原始数据'!$A:$A,ROW(A1)+522),"")</f>
        <v/>
      </c>
      <c r="B523">
        <f>IFERROR(INDEX('[AQ_2021.xlsx]原始数据'!$A:$A,ROW(A1)+522),"")</f>
        <v/>
      </c>
      <c r="C523">
        <f>IFERROR(INDEX('[AQ_2022.xlsx]原始数据'!$A:$A,ROW(A1)+522),"")</f>
        <v/>
      </c>
      <c r="D523">
        <f>IFERROR(INDEX('[AQ_2023.xlsx]原始数据'!$A:$A,ROW(A1)+522),"")</f>
        <v/>
      </c>
      <c r="E523">
        <f>IFERROR(INDEX('[AQ_2024.xlsx]原始数据'!$A:$A,ROW(A1)+522),"")</f>
        <v/>
      </c>
      <c r="G523">
        <f>IF(522&lt;=1000,INDEX($A$2:$A$1001,522),IF(522&lt;=2000,INDEX($B$2:$B$1001,-478),IF(522&lt;=3000,INDEX($C$2:$C$1001,-1478),IF(522&lt;=4000,INDEX($D$2:$D$1001,-2478),IF(522&lt;=5000,INDEX($E$2:$E$1001,-3478),"")))))</f>
        <v/>
      </c>
    </row>
    <row r="524">
      <c r="A524">
        <f>IFERROR(INDEX('[AQ_2020.xlsx]原始数据'!$A:$A,ROW(A1)+523),"")</f>
        <v/>
      </c>
      <c r="B524">
        <f>IFERROR(INDEX('[AQ_2021.xlsx]原始数据'!$A:$A,ROW(A1)+523),"")</f>
        <v/>
      </c>
      <c r="C524">
        <f>IFERROR(INDEX('[AQ_2022.xlsx]原始数据'!$A:$A,ROW(A1)+523),"")</f>
        <v/>
      </c>
      <c r="D524">
        <f>IFERROR(INDEX('[AQ_2023.xlsx]原始数据'!$A:$A,ROW(A1)+523),"")</f>
        <v/>
      </c>
      <c r="E524">
        <f>IFERROR(INDEX('[AQ_2024.xlsx]原始数据'!$A:$A,ROW(A1)+523),"")</f>
        <v/>
      </c>
      <c r="G524">
        <f>IF(523&lt;=1000,INDEX($A$2:$A$1001,523),IF(523&lt;=2000,INDEX($B$2:$B$1001,-477),IF(523&lt;=3000,INDEX($C$2:$C$1001,-1477),IF(523&lt;=4000,INDEX($D$2:$D$1001,-2477),IF(523&lt;=5000,INDEX($E$2:$E$1001,-3477),"")))))</f>
        <v/>
      </c>
    </row>
    <row r="525">
      <c r="A525">
        <f>IFERROR(INDEX('[AQ_2020.xlsx]原始数据'!$A:$A,ROW(A1)+524),"")</f>
        <v/>
      </c>
      <c r="B525">
        <f>IFERROR(INDEX('[AQ_2021.xlsx]原始数据'!$A:$A,ROW(A1)+524),"")</f>
        <v/>
      </c>
      <c r="C525">
        <f>IFERROR(INDEX('[AQ_2022.xlsx]原始数据'!$A:$A,ROW(A1)+524),"")</f>
        <v/>
      </c>
      <c r="D525">
        <f>IFERROR(INDEX('[AQ_2023.xlsx]原始数据'!$A:$A,ROW(A1)+524),"")</f>
        <v/>
      </c>
      <c r="E525">
        <f>IFERROR(INDEX('[AQ_2024.xlsx]原始数据'!$A:$A,ROW(A1)+524),"")</f>
        <v/>
      </c>
      <c r="G525">
        <f>IF(524&lt;=1000,INDEX($A$2:$A$1001,524),IF(524&lt;=2000,INDEX($B$2:$B$1001,-476),IF(524&lt;=3000,INDEX($C$2:$C$1001,-1476),IF(524&lt;=4000,INDEX($D$2:$D$1001,-2476),IF(524&lt;=5000,INDEX($E$2:$E$1001,-3476),"")))))</f>
        <v/>
      </c>
    </row>
    <row r="526">
      <c r="A526">
        <f>IFERROR(INDEX('[AQ_2020.xlsx]原始数据'!$A:$A,ROW(A1)+525),"")</f>
        <v/>
      </c>
      <c r="B526">
        <f>IFERROR(INDEX('[AQ_2021.xlsx]原始数据'!$A:$A,ROW(A1)+525),"")</f>
        <v/>
      </c>
      <c r="C526">
        <f>IFERROR(INDEX('[AQ_2022.xlsx]原始数据'!$A:$A,ROW(A1)+525),"")</f>
        <v/>
      </c>
      <c r="D526">
        <f>IFERROR(INDEX('[AQ_2023.xlsx]原始数据'!$A:$A,ROW(A1)+525),"")</f>
        <v/>
      </c>
      <c r="E526">
        <f>IFERROR(INDEX('[AQ_2024.xlsx]原始数据'!$A:$A,ROW(A1)+525),"")</f>
        <v/>
      </c>
      <c r="G526">
        <f>IF(525&lt;=1000,INDEX($A$2:$A$1001,525),IF(525&lt;=2000,INDEX($B$2:$B$1001,-475),IF(525&lt;=3000,INDEX($C$2:$C$1001,-1475),IF(525&lt;=4000,INDEX($D$2:$D$1001,-2475),IF(525&lt;=5000,INDEX($E$2:$E$1001,-3475),"")))))</f>
        <v/>
      </c>
    </row>
    <row r="527">
      <c r="A527">
        <f>IFERROR(INDEX('[AQ_2020.xlsx]原始数据'!$A:$A,ROW(A1)+526),"")</f>
        <v/>
      </c>
      <c r="B527">
        <f>IFERROR(INDEX('[AQ_2021.xlsx]原始数据'!$A:$A,ROW(A1)+526),"")</f>
        <v/>
      </c>
      <c r="C527">
        <f>IFERROR(INDEX('[AQ_2022.xlsx]原始数据'!$A:$A,ROW(A1)+526),"")</f>
        <v/>
      </c>
      <c r="D527">
        <f>IFERROR(INDEX('[AQ_2023.xlsx]原始数据'!$A:$A,ROW(A1)+526),"")</f>
        <v/>
      </c>
      <c r="E527">
        <f>IFERROR(INDEX('[AQ_2024.xlsx]原始数据'!$A:$A,ROW(A1)+526),"")</f>
        <v/>
      </c>
      <c r="G527">
        <f>IF(526&lt;=1000,INDEX($A$2:$A$1001,526),IF(526&lt;=2000,INDEX($B$2:$B$1001,-474),IF(526&lt;=3000,INDEX($C$2:$C$1001,-1474),IF(526&lt;=4000,INDEX($D$2:$D$1001,-2474),IF(526&lt;=5000,INDEX($E$2:$E$1001,-3474),"")))))</f>
        <v/>
      </c>
    </row>
    <row r="528">
      <c r="A528">
        <f>IFERROR(INDEX('[AQ_2020.xlsx]原始数据'!$A:$A,ROW(A1)+527),"")</f>
        <v/>
      </c>
      <c r="B528">
        <f>IFERROR(INDEX('[AQ_2021.xlsx]原始数据'!$A:$A,ROW(A1)+527),"")</f>
        <v/>
      </c>
      <c r="C528">
        <f>IFERROR(INDEX('[AQ_2022.xlsx]原始数据'!$A:$A,ROW(A1)+527),"")</f>
        <v/>
      </c>
      <c r="D528">
        <f>IFERROR(INDEX('[AQ_2023.xlsx]原始数据'!$A:$A,ROW(A1)+527),"")</f>
        <v/>
      </c>
      <c r="E528">
        <f>IFERROR(INDEX('[AQ_2024.xlsx]原始数据'!$A:$A,ROW(A1)+527),"")</f>
        <v/>
      </c>
      <c r="G528">
        <f>IF(527&lt;=1000,INDEX($A$2:$A$1001,527),IF(527&lt;=2000,INDEX($B$2:$B$1001,-473),IF(527&lt;=3000,INDEX($C$2:$C$1001,-1473),IF(527&lt;=4000,INDEX($D$2:$D$1001,-2473),IF(527&lt;=5000,INDEX($E$2:$E$1001,-3473),"")))))</f>
        <v/>
      </c>
    </row>
    <row r="529">
      <c r="A529">
        <f>IFERROR(INDEX('[AQ_2020.xlsx]原始数据'!$A:$A,ROW(A1)+528),"")</f>
        <v/>
      </c>
      <c r="B529">
        <f>IFERROR(INDEX('[AQ_2021.xlsx]原始数据'!$A:$A,ROW(A1)+528),"")</f>
        <v/>
      </c>
      <c r="C529">
        <f>IFERROR(INDEX('[AQ_2022.xlsx]原始数据'!$A:$A,ROW(A1)+528),"")</f>
        <v/>
      </c>
      <c r="D529">
        <f>IFERROR(INDEX('[AQ_2023.xlsx]原始数据'!$A:$A,ROW(A1)+528),"")</f>
        <v/>
      </c>
      <c r="E529">
        <f>IFERROR(INDEX('[AQ_2024.xlsx]原始数据'!$A:$A,ROW(A1)+528),"")</f>
        <v/>
      </c>
      <c r="G529">
        <f>IF(528&lt;=1000,INDEX($A$2:$A$1001,528),IF(528&lt;=2000,INDEX($B$2:$B$1001,-472),IF(528&lt;=3000,INDEX($C$2:$C$1001,-1472),IF(528&lt;=4000,INDEX($D$2:$D$1001,-2472),IF(528&lt;=5000,INDEX($E$2:$E$1001,-3472),"")))))</f>
        <v/>
      </c>
    </row>
    <row r="530">
      <c r="A530">
        <f>IFERROR(INDEX('[AQ_2020.xlsx]原始数据'!$A:$A,ROW(A1)+529),"")</f>
        <v/>
      </c>
      <c r="B530">
        <f>IFERROR(INDEX('[AQ_2021.xlsx]原始数据'!$A:$A,ROW(A1)+529),"")</f>
        <v/>
      </c>
      <c r="C530">
        <f>IFERROR(INDEX('[AQ_2022.xlsx]原始数据'!$A:$A,ROW(A1)+529),"")</f>
        <v/>
      </c>
      <c r="D530">
        <f>IFERROR(INDEX('[AQ_2023.xlsx]原始数据'!$A:$A,ROW(A1)+529),"")</f>
        <v/>
      </c>
      <c r="E530">
        <f>IFERROR(INDEX('[AQ_2024.xlsx]原始数据'!$A:$A,ROW(A1)+529),"")</f>
        <v/>
      </c>
      <c r="G530">
        <f>IF(529&lt;=1000,INDEX($A$2:$A$1001,529),IF(529&lt;=2000,INDEX($B$2:$B$1001,-471),IF(529&lt;=3000,INDEX($C$2:$C$1001,-1471),IF(529&lt;=4000,INDEX($D$2:$D$1001,-2471),IF(529&lt;=5000,INDEX($E$2:$E$1001,-3471),"")))))</f>
        <v/>
      </c>
    </row>
    <row r="531">
      <c r="A531">
        <f>IFERROR(INDEX('[AQ_2020.xlsx]原始数据'!$A:$A,ROW(A1)+530),"")</f>
        <v/>
      </c>
      <c r="B531">
        <f>IFERROR(INDEX('[AQ_2021.xlsx]原始数据'!$A:$A,ROW(A1)+530),"")</f>
        <v/>
      </c>
      <c r="C531">
        <f>IFERROR(INDEX('[AQ_2022.xlsx]原始数据'!$A:$A,ROW(A1)+530),"")</f>
        <v/>
      </c>
      <c r="D531">
        <f>IFERROR(INDEX('[AQ_2023.xlsx]原始数据'!$A:$A,ROW(A1)+530),"")</f>
        <v/>
      </c>
      <c r="E531">
        <f>IFERROR(INDEX('[AQ_2024.xlsx]原始数据'!$A:$A,ROW(A1)+530),"")</f>
        <v/>
      </c>
      <c r="G531">
        <f>IF(530&lt;=1000,INDEX($A$2:$A$1001,530),IF(530&lt;=2000,INDEX($B$2:$B$1001,-470),IF(530&lt;=3000,INDEX($C$2:$C$1001,-1470),IF(530&lt;=4000,INDEX($D$2:$D$1001,-2470),IF(530&lt;=5000,INDEX($E$2:$E$1001,-3470),"")))))</f>
        <v/>
      </c>
    </row>
    <row r="532">
      <c r="A532">
        <f>IFERROR(INDEX('[AQ_2020.xlsx]原始数据'!$A:$A,ROW(A1)+531),"")</f>
        <v/>
      </c>
      <c r="B532">
        <f>IFERROR(INDEX('[AQ_2021.xlsx]原始数据'!$A:$A,ROW(A1)+531),"")</f>
        <v/>
      </c>
      <c r="C532">
        <f>IFERROR(INDEX('[AQ_2022.xlsx]原始数据'!$A:$A,ROW(A1)+531),"")</f>
        <v/>
      </c>
      <c r="D532">
        <f>IFERROR(INDEX('[AQ_2023.xlsx]原始数据'!$A:$A,ROW(A1)+531),"")</f>
        <v/>
      </c>
      <c r="E532">
        <f>IFERROR(INDEX('[AQ_2024.xlsx]原始数据'!$A:$A,ROW(A1)+531),"")</f>
        <v/>
      </c>
      <c r="G532">
        <f>IF(531&lt;=1000,INDEX($A$2:$A$1001,531),IF(531&lt;=2000,INDEX($B$2:$B$1001,-469),IF(531&lt;=3000,INDEX($C$2:$C$1001,-1469),IF(531&lt;=4000,INDEX($D$2:$D$1001,-2469),IF(531&lt;=5000,INDEX($E$2:$E$1001,-3469),"")))))</f>
        <v/>
      </c>
    </row>
    <row r="533">
      <c r="A533">
        <f>IFERROR(INDEX('[AQ_2020.xlsx]原始数据'!$A:$A,ROW(A1)+532),"")</f>
        <v/>
      </c>
      <c r="B533">
        <f>IFERROR(INDEX('[AQ_2021.xlsx]原始数据'!$A:$A,ROW(A1)+532),"")</f>
        <v/>
      </c>
      <c r="C533">
        <f>IFERROR(INDEX('[AQ_2022.xlsx]原始数据'!$A:$A,ROW(A1)+532),"")</f>
        <v/>
      </c>
      <c r="D533">
        <f>IFERROR(INDEX('[AQ_2023.xlsx]原始数据'!$A:$A,ROW(A1)+532),"")</f>
        <v/>
      </c>
      <c r="E533">
        <f>IFERROR(INDEX('[AQ_2024.xlsx]原始数据'!$A:$A,ROW(A1)+532),"")</f>
        <v/>
      </c>
      <c r="G533">
        <f>IF(532&lt;=1000,INDEX($A$2:$A$1001,532),IF(532&lt;=2000,INDEX($B$2:$B$1001,-468),IF(532&lt;=3000,INDEX($C$2:$C$1001,-1468),IF(532&lt;=4000,INDEX($D$2:$D$1001,-2468),IF(532&lt;=5000,INDEX($E$2:$E$1001,-3468),"")))))</f>
        <v/>
      </c>
    </row>
    <row r="534">
      <c r="A534">
        <f>IFERROR(INDEX('[AQ_2020.xlsx]原始数据'!$A:$A,ROW(A1)+533),"")</f>
        <v/>
      </c>
      <c r="B534">
        <f>IFERROR(INDEX('[AQ_2021.xlsx]原始数据'!$A:$A,ROW(A1)+533),"")</f>
        <v/>
      </c>
      <c r="C534">
        <f>IFERROR(INDEX('[AQ_2022.xlsx]原始数据'!$A:$A,ROW(A1)+533),"")</f>
        <v/>
      </c>
      <c r="D534">
        <f>IFERROR(INDEX('[AQ_2023.xlsx]原始数据'!$A:$A,ROW(A1)+533),"")</f>
        <v/>
      </c>
      <c r="E534">
        <f>IFERROR(INDEX('[AQ_2024.xlsx]原始数据'!$A:$A,ROW(A1)+533),"")</f>
        <v/>
      </c>
      <c r="G534">
        <f>IF(533&lt;=1000,INDEX($A$2:$A$1001,533),IF(533&lt;=2000,INDEX($B$2:$B$1001,-467),IF(533&lt;=3000,INDEX($C$2:$C$1001,-1467),IF(533&lt;=4000,INDEX($D$2:$D$1001,-2467),IF(533&lt;=5000,INDEX($E$2:$E$1001,-3467),"")))))</f>
        <v/>
      </c>
    </row>
    <row r="535">
      <c r="A535">
        <f>IFERROR(INDEX('[AQ_2020.xlsx]原始数据'!$A:$A,ROW(A1)+534),"")</f>
        <v/>
      </c>
      <c r="B535">
        <f>IFERROR(INDEX('[AQ_2021.xlsx]原始数据'!$A:$A,ROW(A1)+534),"")</f>
        <v/>
      </c>
      <c r="C535">
        <f>IFERROR(INDEX('[AQ_2022.xlsx]原始数据'!$A:$A,ROW(A1)+534),"")</f>
        <v/>
      </c>
      <c r="D535">
        <f>IFERROR(INDEX('[AQ_2023.xlsx]原始数据'!$A:$A,ROW(A1)+534),"")</f>
        <v/>
      </c>
      <c r="E535">
        <f>IFERROR(INDEX('[AQ_2024.xlsx]原始数据'!$A:$A,ROW(A1)+534),"")</f>
        <v/>
      </c>
      <c r="G535">
        <f>IF(534&lt;=1000,INDEX($A$2:$A$1001,534),IF(534&lt;=2000,INDEX($B$2:$B$1001,-466),IF(534&lt;=3000,INDEX($C$2:$C$1001,-1466),IF(534&lt;=4000,INDEX($D$2:$D$1001,-2466),IF(534&lt;=5000,INDEX($E$2:$E$1001,-3466),"")))))</f>
        <v/>
      </c>
    </row>
    <row r="536">
      <c r="A536">
        <f>IFERROR(INDEX('[AQ_2020.xlsx]原始数据'!$A:$A,ROW(A1)+535),"")</f>
        <v/>
      </c>
      <c r="B536">
        <f>IFERROR(INDEX('[AQ_2021.xlsx]原始数据'!$A:$A,ROW(A1)+535),"")</f>
        <v/>
      </c>
      <c r="C536">
        <f>IFERROR(INDEX('[AQ_2022.xlsx]原始数据'!$A:$A,ROW(A1)+535),"")</f>
        <v/>
      </c>
      <c r="D536">
        <f>IFERROR(INDEX('[AQ_2023.xlsx]原始数据'!$A:$A,ROW(A1)+535),"")</f>
        <v/>
      </c>
      <c r="E536">
        <f>IFERROR(INDEX('[AQ_2024.xlsx]原始数据'!$A:$A,ROW(A1)+535),"")</f>
        <v/>
      </c>
      <c r="G536">
        <f>IF(535&lt;=1000,INDEX($A$2:$A$1001,535),IF(535&lt;=2000,INDEX($B$2:$B$1001,-465),IF(535&lt;=3000,INDEX($C$2:$C$1001,-1465),IF(535&lt;=4000,INDEX($D$2:$D$1001,-2465),IF(535&lt;=5000,INDEX($E$2:$E$1001,-3465),"")))))</f>
        <v/>
      </c>
    </row>
    <row r="537">
      <c r="A537">
        <f>IFERROR(INDEX('[AQ_2020.xlsx]原始数据'!$A:$A,ROW(A1)+536),"")</f>
        <v/>
      </c>
      <c r="B537">
        <f>IFERROR(INDEX('[AQ_2021.xlsx]原始数据'!$A:$A,ROW(A1)+536),"")</f>
        <v/>
      </c>
      <c r="C537">
        <f>IFERROR(INDEX('[AQ_2022.xlsx]原始数据'!$A:$A,ROW(A1)+536),"")</f>
        <v/>
      </c>
      <c r="D537">
        <f>IFERROR(INDEX('[AQ_2023.xlsx]原始数据'!$A:$A,ROW(A1)+536),"")</f>
        <v/>
      </c>
      <c r="E537">
        <f>IFERROR(INDEX('[AQ_2024.xlsx]原始数据'!$A:$A,ROW(A1)+536),"")</f>
        <v/>
      </c>
      <c r="G537">
        <f>IF(536&lt;=1000,INDEX($A$2:$A$1001,536),IF(536&lt;=2000,INDEX($B$2:$B$1001,-464),IF(536&lt;=3000,INDEX($C$2:$C$1001,-1464),IF(536&lt;=4000,INDEX($D$2:$D$1001,-2464),IF(536&lt;=5000,INDEX($E$2:$E$1001,-3464),"")))))</f>
        <v/>
      </c>
    </row>
    <row r="538">
      <c r="A538">
        <f>IFERROR(INDEX('[AQ_2020.xlsx]原始数据'!$A:$A,ROW(A1)+537),"")</f>
        <v/>
      </c>
      <c r="B538">
        <f>IFERROR(INDEX('[AQ_2021.xlsx]原始数据'!$A:$A,ROW(A1)+537),"")</f>
        <v/>
      </c>
      <c r="C538">
        <f>IFERROR(INDEX('[AQ_2022.xlsx]原始数据'!$A:$A,ROW(A1)+537),"")</f>
        <v/>
      </c>
      <c r="D538">
        <f>IFERROR(INDEX('[AQ_2023.xlsx]原始数据'!$A:$A,ROW(A1)+537),"")</f>
        <v/>
      </c>
      <c r="E538">
        <f>IFERROR(INDEX('[AQ_2024.xlsx]原始数据'!$A:$A,ROW(A1)+537),"")</f>
        <v/>
      </c>
      <c r="G538">
        <f>IF(537&lt;=1000,INDEX($A$2:$A$1001,537),IF(537&lt;=2000,INDEX($B$2:$B$1001,-463),IF(537&lt;=3000,INDEX($C$2:$C$1001,-1463),IF(537&lt;=4000,INDEX($D$2:$D$1001,-2463),IF(537&lt;=5000,INDEX($E$2:$E$1001,-3463),"")))))</f>
        <v/>
      </c>
    </row>
    <row r="539">
      <c r="A539">
        <f>IFERROR(INDEX('[AQ_2020.xlsx]原始数据'!$A:$A,ROW(A1)+538),"")</f>
        <v/>
      </c>
      <c r="B539">
        <f>IFERROR(INDEX('[AQ_2021.xlsx]原始数据'!$A:$A,ROW(A1)+538),"")</f>
        <v/>
      </c>
      <c r="C539">
        <f>IFERROR(INDEX('[AQ_2022.xlsx]原始数据'!$A:$A,ROW(A1)+538),"")</f>
        <v/>
      </c>
      <c r="D539">
        <f>IFERROR(INDEX('[AQ_2023.xlsx]原始数据'!$A:$A,ROW(A1)+538),"")</f>
        <v/>
      </c>
      <c r="E539">
        <f>IFERROR(INDEX('[AQ_2024.xlsx]原始数据'!$A:$A,ROW(A1)+538),"")</f>
        <v/>
      </c>
      <c r="G539">
        <f>IF(538&lt;=1000,INDEX($A$2:$A$1001,538),IF(538&lt;=2000,INDEX($B$2:$B$1001,-462),IF(538&lt;=3000,INDEX($C$2:$C$1001,-1462),IF(538&lt;=4000,INDEX($D$2:$D$1001,-2462),IF(538&lt;=5000,INDEX($E$2:$E$1001,-3462),"")))))</f>
        <v/>
      </c>
    </row>
    <row r="540">
      <c r="A540">
        <f>IFERROR(INDEX('[AQ_2020.xlsx]原始数据'!$A:$A,ROW(A1)+539),"")</f>
        <v/>
      </c>
      <c r="B540">
        <f>IFERROR(INDEX('[AQ_2021.xlsx]原始数据'!$A:$A,ROW(A1)+539),"")</f>
        <v/>
      </c>
      <c r="C540">
        <f>IFERROR(INDEX('[AQ_2022.xlsx]原始数据'!$A:$A,ROW(A1)+539),"")</f>
        <v/>
      </c>
      <c r="D540">
        <f>IFERROR(INDEX('[AQ_2023.xlsx]原始数据'!$A:$A,ROW(A1)+539),"")</f>
        <v/>
      </c>
      <c r="E540">
        <f>IFERROR(INDEX('[AQ_2024.xlsx]原始数据'!$A:$A,ROW(A1)+539),"")</f>
        <v/>
      </c>
      <c r="G540">
        <f>IF(539&lt;=1000,INDEX($A$2:$A$1001,539),IF(539&lt;=2000,INDEX($B$2:$B$1001,-461),IF(539&lt;=3000,INDEX($C$2:$C$1001,-1461),IF(539&lt;=4000,INDEX($D$2:$D$1001,-2461),IF(539&lt;=5000,INDEX($E$2:$E$1001,-3461),"")))))</f>
        <v/>
      </c>
    </row>
    <row r="541">
      <c r="A541">
        <f>IFERROR(INDEX('[AQ_2020.xlsx]原始数据'!$A:$A,ROW(A1)+540),"")</f>
        <v/>
      </c>
      <c r="B541">
        <f>IFERROR(INDEX('[AQ_2021.xlsx]原始数据'!$A:$A,ROW(A1)+540),"")</f>
        <v/>
      </c>
      <c r="C541">
        <f>IFERROR(INDEX('[AQ_2022.xlsx]原始数据'!$A:$A,ROW(A1)+540),"")</f>
        <v/>
      </c>
      <c r="D541">
        <f>IFERROR(INDEX('[AQ_2023.xlsx]原始数据'!$A:$A,ROW(A1)+540),"")</f>
        <v/>
      </c>
      <c r="E541">
        <f>IFERROR(INDEX('[AQ_2024.xlsx]原始数据'!$A:$A,ROW(A1)+540),"")</f>
        <v/>
      </c>
      <c r="G541">
        <f>IF(540&lt;=1000,INDEX($A$2:$A$1001,540),IF(540&lt;=2000,INDEX($B$2:$B$1001,-460),IF(540&lt;=3000,INDEX($C$2:$C$1001,-1460),IF(540&lt;=4000,INDEX($D$2:$D$1001,-2460),IF(540&lt;=5000,INDEX($E$2:$E$1001,-3460),"")))))</f>
        <v/>
      </c>
    </row>
    <row r="542">
      <c r="A542">
        <f>IFERROR(INDEX('[AQ_2020.xlsx]原始数据'!$A:$A,ROW(A1)+541),"")</f>
        <v/>
      </c>
      <c r="B542">
        <f>IFERROR(INDEX('[AQ_2021.xlsx]原始数据'!$A:$A,ROW(A1)+541),"")</f>
        <v/>
      </c>
      <c r="C542">
        <f>IFERROR(INDEX('[AQ_2022.xlsx]原始数据'!$A:$A,ROW(A1)+541),"")</f>
        <v/>
      </c>
      <c r="D542">
        <f>IFERROR(INDEX('[AQ_2023.xlsx]原始数据'!$A:$A,ROW(A1)+541),"")</f>
        <v/>
      </c>
      <c r="E542">
        <f>IFERROR(INDEX('[AQ_2024.xlsx]原始数据'!$A:$A,ROW(A1)+541),"")</f>
        <v/>
      </c>
      <c r="G542">
        <f>IF(541&lt;=1000,INDEX($A$2:$A$1001,541),IF(541&lt;=2000,INDEX($B$2:$B$1001,-459),IF(541&lt;=3000,INDEX($C$2:$C$1001,-1459),IF(541&lt;=4000,INDEX($D$2:$D$1001,-2459),IF(541&lt;=5000,INDEX($E$2:$E$1001,-3459),"")))))</f>
        <v/>
      </c>
    </row>
    <row r="543">
      <c r="A543">
        <f>IFERROR(INDEX('[AQ_2020.xlsx]原始数据'!$A:$A,ROW(A1)+542),"")</f>
        <v/>
      </c>
      <c r="B543">
        <f>IFERROR(INDEX('[AQ_2021.xlsx]原始数据'!$A:$A,ROW(A1)+542),"")</f>
        <v/>
      </c>
      <c r="C543">
        <f>IFERROR(INDEX('[AQ_2022.xlsx]原始数据'!$A:$A,ROW(A1)+542),"")</f>
        <v/>
      </c>
      <c r="D543">
        <f>IFERROR(INDEX('[AQ_2023.xlsx]原始数据'!$A:$A,ROW(A1)+542),"")</f>
        <v/>
      </c>
      <c r="E543">
        <f>IFERROR(INDEX('[AQ_2024.xlsx]原始数据'!$A:$A,ROW(A1)+542),"")</f>
        <v/>
      </c>
      <c r="G543">
        <f>IF(542&lt;=1000,INDEX($A$2:$A$1001,542),IF(542&lt;=2000,INDEX($B$2:$B$1001,-458),IF(542&lt;=3000,INDEX($C$2:$C$1001,-1458),IF(542&lt;=4000,INDEX($D$2:$D$1001,-2458),IF(542&lt;=5000,INDEX($E$2:$E$1001,-3458),"")))))</f>
        <v/>
      </c>
    </row>
    <row r="544">
      <c r="A544">
        <f>IFERROR(INDEX('[AQ_2020.xlsx]原始数据'!$A:$A,ROW(A1)+543),"")</f>
        <v/>
      </c>
      <c r="B544">
        <f>IFERROR(INDEX('[AQ_2021.xlsx]原始数据'!$A:$A,ROW(A1)+543),"")</f>
        <v/>
      </c>
      <c r="C544">
        <f>IFERROR(INDEX('[AQ_2022.xlsx]原始数据'!$A:$A,ROW(A1)+543),"")</f>
        <v/>
      </c>
      <c r="D544">
        <f>IFERROR(INDEX('[AQ_2023.xlsx]原始数据'!$A:$A,ROW(A1)+543),"")</f>
        <v/>
      </c>
      <c r="E544">
        <f>IFERROR(INDEX('[AQ_2024.xlsx]原始数据'!$A:$A,ROW(A1)+543),"")</f>
        <v/>
      </c>
      <c r="G544">
        <f>IF(543&lt;=1000,INDEX($A$2:$A$1001,543),IF(543&lt;=2000,INDEX($B$2:$B$1001,-457),IF(543&lt;=3000,INDEX($C$2:$C$1001,-1457),IF(543&lt;=4000,INDEX($D$2:$D$1001,-2457),IF(543&lt;=5000,INDEX($E$2:$E$1001,-3457),"")))))</f>
        <v/>
      </c>
    </row>
    <row r="545">
      <c r="A545">
        <f>IFERROR(INDEX('[AQ_2020.xlsx]原始数据'!$A:$A,ROW(A1)+544),"")</f>
        <v/>
      </c>
      <c r="B545">
        <f>IFERROR(INDEX('[AQ_2021.xlsx]原始数据'!$A:$A,ROW(A1)+544),"")</f>
        <v/>
      </c>
      <c r="C545">
        <f>IFERROR(INDEX('[AQ_2022.xlsx]原始数据'!$A:$A,ROW(A1)+544),"")</f>
        <v/>
      </c>
      <c r="D545">
        <f>IFERROR(INDEX('[AQ_2023.xlsx]原始数据'!$A:$A,ROW(A1)+544),"")</f>
        <v/>
      </c>
      <c r="E545">
        <f>IFERROR(INDEX('[AQ_2024.xlsx]原始数据'!$A:$A,ROW(A1)+544),"")</f>
        <v/>
      </c>
      <c r="G545">
        <f>IF(544&lt;=1000,INDEX($A$2:$A$1001,544),IF(544&lt;=2000,INDEX($B$2:$B$1001,-456),IF(544&lt;=3000,INDEX($C$2:$C$1001,-1456),IF(544&lt;=4000,INDEX($D$2:$D$1001,-2456),IF(544&lt;=5000,INDEX($E$2:$E$1001,-3456),"")))))</f>
        <v/>
      </c>
    </row>
    <row r="546">
      <c r="A546">
        <f>IFERROR(INDEX('[AQ_2020.xlsx]原始数据'!$A:$A,ROW(A1)+545),"")</f>
        <v/>
      </c>
      <c r="B546">
        <f>IFERROR(INDEX('[AQ_2021.xlsx]原始数据'!$A:$A,ROW(A1)+545),"")</f>
        <v/>
      </c>
      <c r="C546">
        <f>IFERROR(INDEX('[AQ_2022.xlsx]原始数据'!$A:$A,ROW(A1)+545),"")</f>
        <v/>
      </c>
      <c r="D546">
        <f>IFERROR(INDEX('[AQ_2023.xlsx]原始数据'!$A:$A,ROW(A1)+545),"")</f>
        <v/>
      </c>
      <c r="E546">
        <f>IFERROR(INDEX('[AQ_2024.xlsx]原始数据'!$A:$A,ROW(A1)+545),"")</f>
        <v/>
      </c>
      <c r="G546">
        <f>IF(545&lt;=1000,INDEX($A$2:$A$1001,545),IF(545&lt;=2000,INDEX($B$2:$B$1001,-455),IF(545&lt;=3000,INDEX($C$2:$C$1001,-1455),IF(545&lt;=4000,INDEX($D$2:$D$1001,-2455),IF(545&lt;=5000,INDEX($E$2:$E$1001,-3455),"")))))</f>
        <v/>
      </c>
    </row>
    <row r="547">
      <c r="A547">
        <f>IFERROR(INDEX('[AQ_2020.xlsx]原始数据'!$A:$A,ROW(A1)+546),"")</f>
        <v/>
      </c>
      <c r="B547">
        <f>IFERROR(INDEX('[AQ_2021.xlsx]原始数据'!$A:$A,ROW(A1)+546),"")</f>
        <v/>
      </c>
      <c r="C547">
        <f>IFERROR(INDEX('[AQ_2022.xlsx]原始数据'!$A:$A,ROW(A1)+546),"")</f>
        <v/>
      </c>
      <c r="D547">
        <f>IFERROR(INDEX('[AQ_2023.xlsx]原始数据'!$A:$A,ROW(A1)+546),"")</f>
        <v/>
      </c>
      <c r="E547">
        <f>IFERROR(INDEX('[AQ_2024.xlsx]原始数据'!$A:$A,ROW(A1)+546),"")</f>
        <v/>
      </c>
      <c r="G547">
        <f>IF(546&lt;=1000,INDEX($A$2:$A$1001,546),IF(546&lt;=2000,INDEX($B$2:$B$1001,-454),IF(546&lt;=3000,INDEX($C$2:$C$1001,-1454),IF(546&lt;=4000,INDEX($D$2:$D$1001,-2454),IF(546&lt;=5000,INDEX($E$2:$E$1001,-3454),"")))))</f>
        <v/>
      </c>
    </row>
    <row r="548">
      <c r="A548">
        <f>IFERROR(INDEX('[AQ_2020.xlsx]原始数据'!$A:$A,ROW(A1)+547),"")</f>
        <v/>
      </c>
      <c r="B548">
        <f>IFERROR(INDEX('[AQ_2021.xlsx]原始数据'!$A:$A,ROW(A1)+547),"")</f>
        <v/>
      </c>
      <c r="C548">
        <f>IFERROR(INDEX('[AQ_2022.xlsx]原始数据'!$A:$A,ROW(A1)+547),"")</f>
        <v/>
      </c>
      <c r="D548">
        <f>IFERROR(INDEX('[AQ_2023.xlsx]原始数据'!$A:$A,ROW(A1)+547),"")</f>
        <v/>
      </c>
      <c r="E548">
        <f>IFERROR(INDEX('[AQ_2024.xlsx]原始数据'!$A:$A,ROW(A1)+547),"")</f>
        <v/>
      </c>
      <c r="G548">
        <f>IF(547&lt;=1000,INDEX($A$2:$A$1001,547),IF(547&lt;=2000,INDEX($B$2:$B$1001,-453),IF(547&lt;=3000,INDEX($C$2:$C$1001,-1453),IF(547&lt;=4000,INDEX($D$2:$D$1001,-2453),IF(547&lt;=5000,INDEX($E$2:$E$1001,-3453),"")))))</f>
        <v/>
      </c>
    </row>
    <row r="549">
      <c r="A549">
        <f>IFERROR(INDEX('[AQ_2020.xlsx]原始数据'!$A:$A,ROW(A1)+548),"")</f>
        <v/>
      </c>
      <c r="B549">
        <f>IFERROR(INDEX('[AQ_2021.xlsx]原始数据'!$A:$A,ROW(A1)+548),"")</f>
        <v/>
      </c>
      <c r="C549">
        <f>IFERROR(INDEX('[AQ_2022.xlsx]原始数据'!$A:$A,ROW(A1)+548),"")</f>
        <v/>
      </c>
      <c r="D549">
        <f>IFERROR(INDEX('[AQ_2023.xlsx]原始数据'!$A:$A,ROW(A1)+548),"")</f>
        <v/>
      </c>
      <c r="E549">
        <f>IFERROR(INDEX('[AQ_2024.xlsx]原始数据'!$A:$A,ROW(A1)+548),"")</f>
        <v/>
      </c>
      <c r="G549">
        <f>IF(548&lt;=1000,INDEX($A$2:$A$1001,548),IF(548&lt;=2000,INDEX($B$2:$B$1001,-452),IF(548&lt;=3000,INDEX($C$2:$C$1001,-1452),IF(548&lt;=4000,INDEX($D$2:$D$1001,-2452),IF(548&lt;=5000,INDEX($E$2:$E$1001,-3452),"")))))</f>
        <v/>
      </c>
    </row>
    <row r="550">
      <c r="A550">
        <f>IFERROR(INDEX('[AQ_2020.xlsx]原始数据'!$A:$A,ROW(A1)+549),"")</f>
        <v/>
      </c>
      <c r="B550">
        <f>IFERROR(INDEX('[AQ_2021.xlsx]原始数据'!$A:$A,ROW(A1)+549),"")</f>
        <v/>
      </c>
      <c r="C550">
        <f>IFERROR(INDEX('[AQ_2022.xlsx]原始数据'!$A:$A,ROW(A1)+549),"")</f>
        <v/>
      </c>
      <c r="D550">
        <f>IFERROR(INDEX('[AQ_2023.xlsx]原始数据'!$A:$A,ROW(A1)+549),"")</f>
        <v/>
      </c>
      <c r="E550">
        <f>IFERROR(INDEX('[AQ_2024.xlsx]原始数据'!$A:$A,ROW(A1)+549),"")</f>
        <v/>
      </c>
      <c r="G550">
        <f>IF(549&lt;=1000,INDEX($A$2:$A$1001,549),IF(549&lt;=2000,INDEX($B$2:$B$1001,-451),IF(549&lt;=3000,INDEX($C$2:$C$1001,-1451),IF(549&lt;=4000,INDEX($D$2:$D$1001,-2451),IF(549&lt;=5000,INDEX($E$2:$E$1001,-3451),"")))))</f>
        <v/>
      </c>
    </row>
    <row r="551">
      <c r="A551">
        <f>IFERROR(INDEX('[AQ_2020.xlsx]原始数据'!$A:$A,ROW(A1)+550),"")</f>
        <v/>
      </c>
      <c r="B551">
        <f>IFERROR(INDEX('[AQ_2021.xlsx]原始数据'!$A:$A,ROW(A1)+550),"")</f>
        <v/>
      </c>
      <c r="C551">
        <f>IFERROR(INDEX('[AQ_2022.xlsx]原始数据'!$A:$A,ROW(A1)+550),"")</f>
        <v/>
      </c>
      <c r="D551">
        <f>IFERROR(INDEX('[AQ_2023.xlsx]原始数据'!$A:$A,ROW(A1)+550),"")</f>
        <v/>
      </c>
      <c r="E551">
        <f>IFERROR(INDEX('[AQ_2024.xlsx]原始数据'!$A:$A,ROW(A1)+550),"")</f>
        <v/>
      </c>
      <c r="G551">
        <f>IF(550&lt;=1000,INDEX($A$2:$A$1001,550),IF(550&lt;=2000,INDEX($B$2:$B$1001,-450),IF(550&lt;=3000,INDEX($C$2:$C$1001,-1450),IF(550&lt;=4000,INDEX($D$2:$D$1001,-2450),IF(550&lt;=5000,INDEX($E$2:$E$1001,-3450),"")))))</f>
        <v/>
      </c>
    </row>
    <row r="552">
      <c r="A552">
        <f>IFERROR(INDEX('[AQ_2020.xlsx]原始数据'!$A:$A,ROW(A1)+551),"")</f>
        <v/>
      </c>
      <c r="B552">
        <f>IFERROR(INDEX('[AQ_2021.xlsx]原始数据'!$A:$A,ROW(A1)+551),"")</f>
        <v/>
      </c>
      <c r="C552">
        <f>IFERROR(INDEX('[AQ_2022.xlsx]原始数据'!$A:$A,ROW(A1)+551),"")</f>
        <v/>
      </c>
      <c r="D552">
        <f>IFERROR(INDEX('[AQ_2023.xlsx]原始数据'!$A:$A,ROW(A1)+551),"")</f>
        <v/>
      </c>
      <c r="E552">
        <f>IFERROR(INDEX('[AQ_2024.xlsx]原始数据'!$A:$A,ROW(A1)+551),"")</f>
        <v/>
      </c>
      <c r="G552">
        <f>IF(551&lt;=1000,INDEX($A$2:$A$1001,551),IF(551&lt;=2000,INDEX($B$2:$B$1001,-449),IF(551&lt;=3000,INDEX($C$2:$C$1001,-1449),IF(551&lt;=4000,INDEX($D$2:$D$1001,-2449),IF(551&lt;=5000,INDEX($E$2:$E$1001,-3449),"")))))</f>
        <v/>
      </c>
    </row>
    <row r="553">
      <c r="A553">
        <f>IFERROR(INDEX('[AQ_2020.xlsx]原始数据'!$A:$A,ROW(A1)+552),"")</f>
        <v/>
      </c>
      <c r="B553">
        <f>IFERROR(INDEX('[AQ_2021.xlsx]原始数据'!$A:$A,ROW(A1)+552),"")</f>
        <v/>
      </c>
      <c r="C553">
        <f>IFERROR(INDEX('[AQ_2022.xlsx]原始数据'!$A:$A,ROW(A1)+552),"")</f>
        <v/>
      </c>
      <c r="D553">
        <f>IFERROR(INDEX('[AQ_2023.xlsx]原始数据'!$A:$A,ROW(A1)+552),"")</f>
        <v/>
      </c>
      <c r="E553">
        <f>IFERROR(INDEX('[AQ_2024.xlsx]原始数据'!$A:$A,ROW(A1)+552),"")</f>
        <v/>
      </c>
      <c r="G553">
        <f>IF(552&lt;=1000,INDEX($A$2:$A$1001,552),IF(552&lt;=2000,INDEX($B$2:$B$1001,-448),IF(552&lt;=3000,INDEX($C$2:$C$1001,-1448),IF(552&lt;=4000,INDEX($D$2:$D$1001,-2448),IF(552&lt;=5000,INDEX($E$2:$E$1001,-3448),"")))))</f>
        <v/>
      </c>
    </row>
    <row r="554">
      <c r="A554">
        <f>IFERROR(INDEX('[AQ_2020.xlsx]原始数据'!$A:$A,ROW(A1)+553),"")</f>
        <v/>
      </c>
      <c r="B554">
        <f>IFERROR(INDEX('[AQ_2021.xlsx]原始数据'!$A:$A,ROW(A1)+553),"")</f>
        <v/>
      </c>
      <c r="C554">
        <f>IFERROR(INDEX('[AQ_2022.xlsx]原始数据'!$A:$A,ROW(A1)+553),"")</f>
        <v/>
      </c>
      <c r="D554">
        <f>IFERROR(INDEX('[AQ_2023.xlsx]原始数据'!$A:$A,ROW(A1)+553),"")</f>
        <v/>
      </c>
      <c r="E554">
        <f>IFERROR(INDEX('[AQ_2024.xlsx]原始数据'!$A:$A,ROW(A1)+553),"")</f>
        <v/>
      </c>
      <c r="G554">
        <f>IF(553&lt;=1000,INDEX($A$2:$A$1001,553),IF(553&lt;=2000,INDEX($B$2:$B$1001,-447),IF(553&lt;=3000,INDEX($C$2:$C$1001,-1447),IF(553&lt;=4000,INDEX($D$2:$D$1001,-2447),IF(553&lt;=5000,INDEX($E$2:$E$1001,-3447),"")))))</f>
        <v/>
      </c>
    </row>
    <row r="555">
      <c r="A555">
        <f>IFERROR(INDEX('[AQ_2020.xlsx]原始数据'!$A:$A,ROW(A1)+554),"")</f>
        <v/>
      </c>
      <c r="B555">
        <f>IFERROR(INDEX('[AQ_2021.xlsx]原始数据'!$A:$A,ROW(A1)+554),"")</f>
        <v/>
      </c>
      <c r="C555">
        <f>IFERROR(INDEX('[AQ_2022.xlsx]原始数据'!$A:$A,ROW(A1)+554),"")</f>
        <v/>
      </c>
      <c r="D555">
        <f>IFERROR(INDEX('[AQ_2023.xlsx]原始数据'!$A:$A,ROW(A1)+554),"")</f>
        <v/>
      </c>
      <c r="E555">
        <f>IFERROR(INDEX('[AQ_2024.xlsx]原始数据'!$A:$A,ROW(A1)+554),"")</f>
        <v/>
      </c>
      <c r="G555">
        <f>IF(554&lt;=1000,INDEX($A$2:$A$1001,554),IF(554&lt;=2000,INDEX($B$2:$B$1001,-446),IF(554&lt;=3000,INDEX($C$2:$C$1001,-1446),IF(554&lt;=4000,INDEX($D$2:$D$1001,-2446),IF(554&lt;=5000,INDEX($E$2:$E$1001,-3446),"")))))</f>
        <v/>
      </c>
    </row>
    <row r="556">
      <c r="A556">
        <f>IFERROR(INDEX('[AQ_2020.xlsx]原始数据'!$A:$A,ROW(A1)+555),"")</f>
        <v/>
      </c>
      <c r="B556">
        <f>IFERROR(INDEX('[AQ_2021.xlsx]原始数据'!$A:$A,ROW(A1)+555),"")</f>
        <v/>
      </c>
      <c r="C556">
        <f>IFERROR(INDEX('[AQ_2022.xlsx]原始数据'!$A:$A,ROW(A1)+555),"")</f>
        <v/>
      </c>
      <c r="D556">
        <f>IFERROR(INDEX('[AQ_2023.xlsx]原始数据'!$A:$A,ROW(A1)+555),"")</f>
        <v/>
      </c>
      <c r="E556">
        <f>IFERROR(INDEX('[AQ_2024.xlsx]原始数据'!$A:$A,ROW(A1)+555),"")</f>
        <v/>
      </c>
      <c r="G556">
        <f>IF(555&lt;=1000,INDEX($A$2:$A$1001,555),IF(555&lt;=2000,INDEX($B$2:$B$1001,-445),IF(555&lt;=3000,INDEX($C$2:$C$1001,-1445),IF(555&lt;=4000,INDEX($D$2:$D$1001,-2445),IF(555&lt;=5000,INDEX($E$2:$E$1001,-3445),"")))))</f>
        <v/>
      </c>
    </row>
    <row r="557">
      <c r="A557">
        <f>IFERROR(INDEX('[AQ_2020.xlsx]原始数据'!$A:$A,ROW(A1)+556),"")</f>
        <v/>
      </c>
      <c r="B557">
        <f>IFERROR(INDEX('[AQ_2021.xlsx]原始数据'!$A:$A,ROW(A1)+556),"")</f>
        <v/>
      </c>
      <c r="C557">
        <f>IFERROR(INDEX('[AQ_2022.xlsx]原始数据'!$A:$A,ROW(A1)+556),"")</f>
        <v/>
      </c>
      <c r="D557">
        <f>IFERROR(INDEX('[AQ_2023.xlsx]原始数据'!$A:$A,ROW(A1)+556),"")</f>
        <v/>
      </c>
      <c r="E557">
        <f>IFERROR(INDEX('[AQ_2024.xlsx]原始数据'!$A:$A,ROW(A1)+556),"")</f>
        <v/>
      </c>
      <c r="G557">
        <f>IF(556&lt;=1000,INDEX($A$2:$A$1001,556),IF(556&lt;=2000,INDEX($B$2:$B$1001,-444),IF(556&lt;=3000,INDEX($C$2:$C$1001,-1444),IF(556&lt;=4000,INDEX($D$2:$D$1001,-2444),IF(556&lt;=5000,INDEX($E$2:$E$1001,-3444),"")))))</f>
        <v/>
      </c>
    </row>
    <row r="558">
      <c r="A558">
        <f>IFERROR(INDEX('[AQ_2020.xlsx]原始数据'!$A:$A,ROW(A1)+557),"")</f>
        <v/>
      </c>
      <c r="B558">
        <f>IFERROR(INDEX('[AQ_2021.xlsx]原始数据'!$A:$A,ROW(A1)+557),"")</f>
        <v/>
      </c>
      <c r="C558">
        <f>IFERROR(INDEX('[AQ_2022.xlsx]原始数据'!$A:$A,ROW(A1)+557),"")</f>
        <v/>
      </c>
      <c r="D558">
        <f>IFERROR(INDEX('[AQ_2023.xlsx]原始数据'!$A:$A,ROW(A1)+557),"")</f>
        <v/>
      </c>
      <c r="E558">
        <f>IFERROR(INDEX('[AQ_2024.xlsx]原始数据'!$A:$A,ROW(A1)+557),"")</f>
        <v/>
      </c>
      <c r="G558">
        <f>IF(557&lt;=1000,INDEX($A$2:$A$1001,557),IF(557&lt;=2000,INDEX($B$2:$B$1001,-443),IF(557&lt;=3000,INDEX($C$2:$C$1001,-1443),IF(557&lt;=4000,INDEX($D$2:$D$1001,-2443),IF(557&lt;=5000,INDEX($E$2:$E$1001,-3443),"")))))</f>
        <v/>
      </c>
    </row>
    <row r="559">
      <c r="A559">
        <f>IFERROR(INDEX('[AQ_2020.xlsx]原始数据'!$A:$A,ROW(A1)+558),"")</f>
        <v/>
      </c>
      <c r="B559">
        <f>IFERROR(INDEX('[AQ_2021.xlsx]原始数据'!$A:$A,ROW(A1)+558),"")</f>
        <v/>
      </c>
      <c r="C559">
        <f>IFERROR(INDEX('[AQ_2022.xlsx]原始数据'!$A:$A,ROW(A1)+558),"")</f>
        <v/>
      </c>
      <c r="D559">
        <f>IFERROR(INDEX('[AQ_2023.xlsx]原始数据'!$A:$A,ROW(A1)+558),"")</f>
        <v/>
      </c>
      <c r="E559">
        <f>IFERROR(INDEX('[AQ_2024.xlsx]原始数据'!$A:$A,ROW(A1)+558),"")</f>
        <v/>
      </c>
      <c r="G559">
        <f>IF(558&lt;=1000,INDEX($A$2:$A$1001,558),IF(558&lt;=2000,INDEX($B$2:$B$1001,-442),IF(558&lt;=3000,INDEX($C$2:$C$1001,-1442),IF(558&lt;=4000,INDEX($D$2:$D$1001,-2442),IF(558&lt;=5000,INDEX($E$2:$E$1001,-3442),"")))))</f>
        <v/>
      </c>
    </row>
    <row r="560">
      <c r="A560">
        <f>IFERROR(INDEX('[AQ_2020.xlsx]原始数据'!$A:$A,ROW(A1)+559),"")</f>
        <v/>
      </c>
      <c r="B560">
        <f>IFERROR(INDEX('[AQ_2021.xlsx]原始数据'!$A:$A,ROW(A1)+559),"")</f>
        <v/>
      </c>
      <c r="C560">
        <f>IFERROR(INDEX('[AQ_2022.xlsx]原始数据'!$A:$A,ROW(A1)+559),"")</f>
        <v/>
      </c>
      <c r="D560">
        <f>IFERROR(INDEX('[AQ_2023.xlsx]原始数据'!$A:$A,ROW(A1)+559),"")</f>
        <v/>
      </c>
      <c r="E560">
        <f>IFERROR(INDEX('[AQ_2024.xlsx]原始数据'!$A:$A,ROW(A1)+559),"")</f>
        <v/>
      </c>
      <c r="G560">
        <f>IF(559&lt;=1000,INDEX($A$2:$A$1001,559),IF(559&lt;=2000,INDEX($B$2:$B$1001,-441),IF(559&lt;=3000,INDEX($C$2:$C$1001,-1441),IF(559&lt;=4000,INDEX($D$2:$D$1001,-2441),IF(559&lt;=5000,INDEX($E$2:$E$1001,-3441),"")))))</f>
        <v/>
      </c>
    </row>
    <row r="561">
      <c r="A561">
        <f>IFERROR(INDEX('[AQ_2020.xlsx]原始数据'!$A:$A,ROW(A1)+560),"")</f>
        <v/>
      </c>
      <c r="B561">
        <f>IFERROR(INDEX('[AQ_2021.xlsx]原始数据'!$A:$A,ROW(A1)+560),"")</f>
        <v/>
      </c>
      <c r="C561">
        <f>IFERROR(INDEX('[AQ_2022.xlsx]原始数据'!$A:$A,ROW(A1)+560),"")</f>
        <v/>
      </c>
      <c r="D561">
        <f>IFERROR(INDEX('[AQ_2023.xlsx]原始数据'!$A:$A,ROW(A1)+560),"")</f>
        <v/>
      </c>
      <c r="E561">
        <f>IFERROR(INDEX('[AQ_2024.xlsx]原始数据'!$A:$A,ROW(A1)+560),"")</f>
        <v/>
      </c>
      <c r="G561">
        <f>IF(560&lt;=1000,INDEX($A$2:$A$1001,560),IF(560&lt;=2000,INDEX($B$2:$B$1001,-440),IF(560&lt;=3000,INDEX($C$2:$C$1001,-1440),IF(560&lt;=4000,INDEX($D$2:$D$1001,-2440),IF(560&lt;=5000,INDEX($E$2:$E$1001,-3440),"")))))</f>
        <v/>
      </c>
    </row>
    <row r="562">
      <c r="A562">
        <f>IFERROR(INDEX('[AQ_2020.xlsx]原始数据'!$A:$A,ROW(A1)+561),"")</f>
        <v/>
      </c>
      <c r="B562">
        <f>IFERROR(INDEX('[AQ_2021.xlsx]原始数据'!$A:$A,ROW(A1)+561),"")</f>
        <v/>
      </c>
      <c r="C562">
        <f>IFERROR(INDEX('[AQ_2022.xlsx]原始数据'!$A:$A,ROW(A1)+561),"")</f>
        <v/>
      </c>
      <c r="D562">
        <f>IFERROR(INDEX('[AQ_2023.xlsx]原始数据'!$A:$A,ROW(A1)+561),"")</f>
        <v/>
      </c>
      <c r="E562">
        <f>IFERROR(INDEX('[AQ_2024.xlsx]原始数据'!$A:$A,ROW(A1)+561),"")</f>
        <v/>
      </c>
      <c r="G562">
        <f>IF(561&lt;=1000,INDEX($A$2:$A$1001,561),IF(561&lt;=2000,INDEX($B$2:$B$1001,-439),IF(561&lt;=3000,INDEX($C$2:$C$1001,-1439),IF(561&lt;=4000,INDEX($D$2:$D$1001,-2439),IF(561&lt;=5000,INDEX($E$2:$E$1001,-3439),"")))))</f>
        <v/>
      </c>
    </row>
    <row r="563">
      <c r="A563">
        <f>IFERROR(INDEX('[AQ_2020.xlsx]原始数据'!$A:$A,ROW(A1)+562),"")</f>
        <v/>
      </c>
      <c r="B563">
        <f>IFERROR(INDEX('[AQ_2021.xlsx]原始数据'!$A:$A,ROW(A1)+562),"")</f>
        <v/>
      </c>
      <c r="C563">
        <f>IFERROR(INDEX('[AQ_2022.xlsx]原始数据'!$A:$A,ROW(A1)+562),"")</f>
        <v/>
      </c>
      <c r="D563">
        <f>IFERROR(INDEX('[AQ_2023.xlsx]原始数据'!$A:$A,ROW(A1)+562),"")</f>
        <v/>
      </c>
      <c r="E563">
        <f>IFERROR(INDEX('[AQ_2024.xlsx]原始数据'!$A:$A,ROW(A1)+562),"")</f>
        <v/>
      </c>
      <c r="G563">
        <f>IF(562&lt;=1000,INDEX($A$2:$A$1001,562),IF(562&lt;=2000,INDEX($B$2:$B$1001,-438),IF(562&lt;=3000,INDEX($C$2:$C$1001,-1438),IF(562&lt;=4000,INDEX($D$2:$D$1001,-2438),IF(562&lt;=5000,INDEX($E$2:$E$1001,-3438),"")))))</f>
        <v/>
      </c>
    </row>
    <row r="564">
      <c r="A564">
        <f>IFERROR(INDEX('[AQ_2020.xlsx]原始数据'!$A:$A,ROW(A1)+563),"")</f>
        <v/>
      </c>
      <c r="B564">
        <f>IFERROR(INDEX('[AQ_2021.xlsx]原始数据'!$A:$A,ROW(A1)+563),"")</f>
        <v/>
      </c>
      <c r="C564">
        <f>IFERROR(INDEX('[AQ_2022.xlsx]原始数据'!$A:$A,ROW(A1)+563),"")</f>
        <v/>
      </c>
      <c r="D564">
        <f>IFERROR(INDEX('[AQ_2023.xlsx]原始数据'!$A:$A,ROW(A1)+563),"")</f>
        <v/>
      </c>
      <c r="E564">
        <f>IFERROR(INDEX('[AQ_2024.xlsx]原始数据'!$A:$A,ROW(A1)+563),"")</f>
        <v/>
      </c>
      <c r="G564">
        <f>IF(563&lt;=1000,INDEX($A$2:$A$1001,563),IF(563&lt;=2000,INDEX($B$2:$B$1001,-437),IF(563&lt;=3000,INDEX($C$2:$C$1001,-1437),IF(563&lt;=4000,INDEX($D$2:$D$1001,-2437),IF(563&lt;=5000,INDEX($E$2:$E$1001,-3437),"")))))</f>
        <v/>
      </c>
    </row>
    <row r="565">
      <c r="A565">
        <f>IFERROR(INDEX('[AQ_2020.xlsx]原始数据'!$A:$A,ROW(A1)+564),"")</f>
        <v/>
      </c>
      <c r="B565">
        <f>IFERROR(INDEX('[AQ_2021.xlsx]原始数据'!$A:$A,ROW(A1)+564),"")</f>
        <v/>
      </c>
      <c r="C565">
        <f>IFERROR(INDEX('[AQ_2022.xlsx]原始数据'!$A:$A,ROW(A1)+564),"")</f>
        <v/>
      </c>
      <c r="D565">
        <f>IFERROR(INDEX('[AQ_2023.xlsx]原始数据'!$A:$A,ROW(A1)+564),"")</f>
        <v/>
      </c>
      <c r="E565">
        <f>IFERROR(INDEX('[AQ_2024.xlsx]原始数据'!$A:$A,ROW(A1)+564),"")</f>
        <v/>
      </c>
      <c r="G565">
        <f>IF(564&lt;=1000,INDEX($A$2:$A$1001,564),IF(564&lt;=2000,INDEX($B$2:$B$1001,-436),IF(564&lt;=3000,INDEX($C$2:$C$1001,-1436),IF(564&lt;=4000,INDEX($D$2:$D$1001,-2436),IF(564&lt;=5000,INDEX($E$2:$E$1001,-3436),"")))))</f>
        <v/>
      </c>
    </row>
    <row r="566">
      <c r="A566">
        <f>IFERROR(INDEX('[AQ_2020.xlsx]原始数据'!$A:$A,ROW(A1)+565),"")</f>
        <v/>
      </c>
      <c r="B566">
        <f>IFERROR(INDEX('[AQ_2021.xlsx]原始数据'!$A:$A,ROW(A1)+565),"")</f>
        <v/>
      </c>
      <c r="C566">
        <f>IFERROR(INDEX('[AQ_2022.xlsx]原始数据'!$A:$A,ROW(A1)+565),"")</f>
        <v/>
      </c>
      <c r="D566">
        <f>IFERROR(INDEX('[AQ_2023.xlsx]原始数据'!$A:$A,ROW(A1)+565),"")</f>
        <v/>
      </c>
      <c r="E566">
        <f>IFERROR(INDEX('[AQ_2024.xlsx]原始数据'!$A:$A,ROW(A1)+565),"")</f>
        <v/>
      </c>
      <c r="G566">
        <f>IF(565&lt;=1000,INDEX($A$2:$A$1001,565),IF(565&lt;=2000,INDEX($B$2:$B$1001,-435),IF(565&lt;=3000,INDEX($C$2:$C$1001,-1435),IF(565&lt;=4000,INDEX($D$2:$D$1001,-2435),IF(565&lt;=5000,INDEX($E$2:$E$1001,-3435),"")))))</f>
        <v/>
      </c>
    </row>
    <row r="567">
      <c r="A567">
        <f>IFERROR(INDEX('[AQ_2020.xlsx]原始数据'!$A:$A,ROW(A1)+566),"")</f>
        <v/>
      </c>
      <c r="B567">
        <f>IFERROR(INDEX('[AQ_2021.xlsx]原始数据'!$A:$A,ROW(A1)+566),"")</f>
        <v/>
      </c>
      <c r="C567">
        <f>IFERROR(INDEX('[AQ_2022.xlsx]原始数据'!$A:$A,ROW(A1)+566),"")</f>
        <v/>
      </c>
      <c r="D567">
        <f>IFERROR(INDEX('[AQ_2023.xlsx]原始数据'!$A:$A,ROW(A1)+566),"")</f>
        <v/>
      </c>
      <c r="E567">
        <f>IFERROR(INDEX('[AQ_2024.xlsx]原始数据'!$A:$A,ROW(A1)+566),"")</f>
        <v/>
      </c>
      <c r="G567">
        <f>IF(566&lt;=1000,INDEX($A$2:$A$1001,566),IF(566&lt;=2000,INDEX($B$2:$B$1001,-434),IF(566&lt;=3000,INDEX($C$2:$C$1001,-1434),IF(566&lt;=4000,INDEX($D$2:$D$1001,-2434),IF(566&lt;=5000,INDEX($E$2:$E$1001,-3434),"")))))</f>
        <v/>
      </c>
    </row>
    <row r="568">
      <c r="A568">
        <f>IFERROR(INDEX('[AQ_2020.xlsx]原始数据'!$A:$A,ROW(A1)+567),"")</f>
        <v/>
      </c>
      <c r="B568">
        <f>IFERROR(INDEX('[AQ_2021.xlsx]原始数据'!$A:$A,ROW(A1)+567),"")</f>
        <v/>
      </c>
      <c r="C568">
        <f>IFERROR(INDEX('[AQ_2022.xlsx]原始数据'!$A:$A,ROW(A1)+567),"")</f>
        <v/>
      </c>
      <c r="D568">
        <f>IFERROR(INDEX('[AQ_2023.xlsx]原始数据'!$A:$A,ROW(A1)+567),"")</f>
        <v/>
      </c>
      <c r="E568">
        <f>IFERROR(INDEX('[AQ_2024.xlsx]原始数据'!$A:$A,ROW(A1)+567),"")</f>
        <v/>
      </c>
      <c r="G568">
        <f>IF(567&lt;=1000,INDEX($A$2:$A$1001,567),IF(567&lt;=2000,INDEX($B$2:$B$1001,-433),IF(567&lt;=3000,INDEX($C$2:$C$1001,-1433),IF(567&lt;=4000,INDEX($D$2:$D$1001,-2433),IF(567&lt;=5000,INDEX($E$2:$E$1001,-3433),"")))))</f>
        <v/>
      </c>
    </row>
    <row r="569">
      <c r="A569">
        <f>IFERROR(INDEX('[AQ_2020.xlsx]原始数据'!$A:$A,ROW(A1)+568),"")</f>
        <v/>
      </c>
      <c r="B569">
        <f>IFERROR(INDEX('[AQ_2021.xlsx]原始数据'!$A:$A,ROW(A1)+568),"")</f>
        <v/>
      </c>
      <c r="C569">
        <f>IFERROR(INDEX('[AQ_2022.xlsx]原始数据'!$A:$A,ROW(A1)+568),"")</f>
        <v/>
      </c>
      <c r="D569">
        <f>IFERROR(INDEX('[AQ_2023.xlsx]原始数据'!$A:$A,ROW(A1)+568),"")</f>
        <v/>
      </c>
      <c r="E569">
        <f>IFERROR(INDEX('[AQ_2024.xlsx]原始数据'!$A:$A,ROW(A1)+568),"")</f>
        <v/>
      </c>
      <c r="G569">
        <f>IF(568&lt;=1000,INDEX($A$2:$A$1001,568),IF(568&lt;=2000,INDEX($B$2:$B$1001,-432),IF(568&lt;=3000,INDEX($C$2:$C$1001,-1432),IF(568&lt;=4000,INDEX($D$2:$D$1001,-2432),IF(568&lt;=5000,INDEX($E$2:$E$1001,-3432),"")))))</f>
        <v/>
      </c>
    </row>
    <row r="570">
      <c r="A570">
        <f>IFERROR(INDEX('[AQ_2020.xlsx]原始数据'!$A:$A,ROW(A1)+569),"")</f>
        <v/>
      </c>
      <c r="B570">
        <f>IFERROR(INDEX('[AQ_2021.xlsx]原始数据'!$A:$A,ROW(A1)+569),"")</f>
        <v/>
      </c>
      <c r="C570">
        <f>IFERROR(INDEX('[AQ_2022.xlsx]原始数据'!$A:$A,ROW(A1)+569),"")</f>
        <v/>
      </c>
      <c r="D570">
        <f>IFERROR(INDEX('[AQ_2023.xlsx]原始数据'!$A:$A,ROW(A1)+569),"")</f>
        <v/>
      </c>
      <c r="E570">
        <f>IFERROR(INDEX('[AQ_2024.xlsx]原始数据'!$A:$A,ROW(A1)+569),"")</f>
        <v/>
      </c>
      <c r="G570">
        <f>IF(569&lt;=1000,INDEX($A$2:$A$1001,569),IF(569&lt;=2000,INDEX($B$2:$B$1001,-431),IF(569&lt;=3000,INDEX($C$2:$C$1001,-1431),IF(569&lt;=4000,INDEX($D$2:$D$1001,-2431),IF(569&lt;=5000,INDEX($E$2:$E$1001,-3431),"")))))</f>
        <v/>
      </c>
    </row>
    <row r="571">
      <c r="A571">
        <f>IFERROR(INDEX('[AQ_2020.xlsx]原始数据'!$A:$A,ROW(A1)+570),"")</f>
        <v/>
      </c>
      <c r="B571">
        <f>IFERROR(INDEX('[AQ_2021.xlsx]原始数据'!$A:$A,ROW(A1)+570),"")</f>
        <v/>
      </c>
      <c r="C571">
        <f>IFERROR(INDEX('[AQ_2022.xlsx]原始数据'!$A:$A,ROW(A1)+570),"")</f>
        <v/>
      </c>
      <c r="D571">
        <f>IFERROR(INDEX('[AQ_2023.xlsx]原始数据'!$A:$A,ROW(A1)+570),"")</f>
        <v/>
      </c>
      <c r="E571">
        <f>IFERROR(INDEX('[AQ_2024.xlsx]原始数据'!$A:$A,ROW(A1)+570),"")</f>
        <v/>
      </c>
      <c r="G571">
        <f>IF(570&lt;=1000,INDEX($A$2:$A$1001,570),IF(570&lt;=2000,INDEX($B$2:$B$1001,-430),IF(570&lt;=3000,INDEX($C$2:$C$1001,-1430),IF(570&lt;=4000,INDEX($D$2:$D$1001,-2430),IF(570&lt;=5000,INDEX($E$2:$E$1001,-3430),"")))))</f>
        <v/>
      </c>
    </row>
    <row r="572">
      <c r="A572">
        <f>IFERROR(INDEX('[AQ_2020.xlsx]原始数据'!$A:$A,ROW(A1)+571),"")</f>
        <v/>
      </c>
      <c r="B572">
        <f>IFERROR(INDEX('[AQ_2021.xlsx]原始数据'!$A:$A,ROW(A1)+571),"")</f>
        <v/>
      </c>
      <c r="C572">
        <f>IFERROR(INDEX('[AQ_2022.xlsx]原始数据'!$A:$A,ROW(A1)+571),"")</f>
        <v/>
      </c>
      <c r="D572">
        <f>IFERROR(INDEX('[AQ_2023.xlsx]原始数据'!$A:$A,ROW(A1)+571),"")</f>
        <v/>
      </c>
      <c r="E572">
        <f>IFERROR(INDEX('[AQ_2024.xlsx]原始数据'!$A:$A,ROW(A1)+571),"")</f>
        <v/>
      </c>
      <c r="G572">
        <f>IF(571&lt;=1000,INDEX($A$2:$A$1001,571),IF(571&lt;=2000,INDEX($B$2:$B$1001,-429),IF(571&lt;=3000,INDEX($C$2:$C$1001,-1429),IF(571&lt;=4000,INDEX($D$2:$D$1001,-2429),IF(571&lt;=5000,INDEX($E$2:$E$1001,-3429),"")))))</f>
        <v/>
      </c>
    </row>
    <row r="573">
      <c r="A573">
        <f>IFERROR(INDEX('[AQ_2020.xlsx]原始数据'!$A:$A,ROW(A1)+572),"")</f>
        <v/>
      </c>
      <c r="B573">
        <f>IFERROR(INDEX('[AQ_2021.xlsx]原始数据'!$A:$A,ROW(A1)+572),"")</f>
        <v/>
      </c>
      <c r="C573">
        <f>IFERROR(INDEX('[AQ_2022.xlsx]原始数据'!$A:$A,ROW(A1)+572),"")</f>
        <v/>
      </c>
      <c r="D573">
        <f>IFERROR(INDEX('[AQ_2023.xlsx]原始数据'!$A:$A,ROW(A1)+572),"")</f>
        <v/>
      </c>
      <c r="E573">
        <f>IFERROR(INDEX('[AQ_2024.xlsx]原始数据'!$A:$A,ROW(A1)+572),"")</f>
        <v/>
      </c>
      <c r="G573">
        <f>IF(572&lt;=1000,INDEX($A$2:$A$1001,572),IF(572&lt;=2000,INDEX($B$2:$B$1001,-428),IF(572&lt;=3000,INDEX($C$2:$C$1001,-1428),IF(572&lt;=4000,INDEX($D$2:$D$1001,-2428),IF(572&lt;=5000,INDEX($E$2:$E$1001,-3428),"")))))</f>
        <v/>
      </c>
    </row>
    <row r="574">
      <c r="A574">
        <f>IFERROR(INDEX('[AQ_2020.xlsx]原始数据'!$A:$A,ROW(A1)+573),"")</f>
        <v/>
      </c>
      <c r="B574">
        <f>IFERROR(INDEX('[AQ_2021.xlsx]原始数据'!$A:$A,ROW(A1)+573),"")</f>
        <v/>
      </c>
      <c r="C574">
        <f>IFERROR(INDEX('[AQ_2022.xlsx]原始数据'!$A:$A,ROW(A1)+573),"")</f>
        <v/>
      </c>
      <c r="D574">
        <f>IFERROR(INDEX('[AQ_2023.xlsx]原始数据'!$A:$A,ROW(A1)+573),"")</f>
        <v/>
      </c>
      <c r="E574">
        <f>IFERROR(INDEX('[AQ_2024.xlsx]原始数据'!$A:$A,ROW(A1)+573),"")</f>
        <v/>
      </c>
      <c r="G574">
        <f>IF(573&lt;=1000,INDEX($A$2:$A$1001,573),IF(573&lt;=2000,INDEX($B$2:$B$1001,-427),IF(573&lt;=3000,INDEX($C$2:$C$1001,-1427),IF(573&lt;=4000,INDEX($D$2:$D$1001,-2427),IF(573&lt;=5000,INDEX($E$2:$E$1001,-3427),"")))))</f>
        <v/>
      </c>
    </row>
    <row r="575">
      <c r="A575">
        <f>IFERROR(INDEX('[AQ_2020.xlsx]原始数据'!$A:$A,ROW(A1)+574),"")</f>
        <v/>
      </c>
      <c r="B575">
        <f>IFERROR(INDEX('[AQ_2021.xlsx]原始数据'!$A:$A,ROW(A1)+574),"")</f>
        <v/>
      </c>
      <c r="C575">
        <f>IFERROR(INDEX('[AQ_2022.xlsx]原始数据'!$A:$A,ROW(A1)+574),"")</f>
        <v/>
      </c>
      <c r="D575">
        <f>IFERROR(INDEX('[AQ_2023.xlsx]原始数据'!$A:$A,ROW(A1)+574),"")</f>
        <v/>
      </c>
      <c r="E575">
        <f>IFERROR(INDEX('[AQ_2024.xlsx]原始数据'!$A:$A,ROW(A1)+574),"")</f>
        <v/>
      </c>
      <c r="G575">
        <f>IF(574&lt;=1000,INDEX($A$2:$A$1001,574),IF(574&lt;=2000,INDEX($B$2:$B$1001,-426),IF(574&lt;=3000,INDEX($C$2:$C$1001,-1426),IF(574&lt;=4000,INDEX($D$2:$D$1001,-2426),IF(574&lt;=5000,INDEX($E$2:$E$1001,-3426),"")))))</f>
        <v/>
      </c>
    </row>
    <row r="576">
      <c r="A576">
        <f>IFERROR(INDEX('[AQ_2020.xlsx]原始数据'!$A:$A,ROW(A1)+575),"")</f>
        <v/>
      </c>
      <c r="B576">
        <f>IFERROR(INDEX('[AQ_2021.xlsx]原始数据'!$A:$A,ROW(A1)+575),"")</f>
        <v/>
      </c>
      <c r="C576">
        <f>IFERROR(INDEX('[AQ_2022.xlsx]原始数据'!$A:$A,ROW(A1)+575),"")</f>
        <v/>
      </c>
      <c r="D576">
        <f>IFERROR(INDEX('[AQ_2023.xlsx]原始数据'!$A:$A,ROW(A1)+575),"")</f>
        <v/>
      </c>
      <c r="E576">
        <f>IFERROR(INDEX('[AQ_2024.xlsx]原始数据'!$A:$A,ROW(A1)+575),"")</f>
        <v/>
      </c>
      <c r="G576">
        <f>IF(575&lt;=1000,INDEX($A$2:$A$1001,575),IF(575&lt;=2000,INDEX($B$2:$B$1001,-425),IF(575&lt;=3000,INDEX($C$2:$C$1001,-1425),IF(575&lt;=4000,INDEX($D$2:$D$1001,-2425),IF(575&lt;=5000,INDEX($E$2:$E$1001,-3425),"")))))</f>
        <v/>
      </c>
    </row>
    <row r="577">
      <c r="A577">
        <f>IFERROR(INDEX('[AQ_2020.xlsx]原始数据'!$A:$A,ROW(A1)+576),"")</f>
        <v/>
      </c>
      <c r="B577">
        <f>IFERROR(INDEX('[AQ_2021.xlsx]原始数据'!$A:$A,ROW(A1)+576),"")</f>
        <v/>
      </c>
      <c r="C577">
        <f>IFERROR(INDEX('[AQ_2022.xlsx]原始数据'!$A:$A,ROW(A1)+576),"")</f>
        <v/>
      </c>
      <c r="D577">
        <f>IFERROR(INDEX('[AQ_2023.xlsx]原始数据'!$A:$A,ROW(A1)+576),"")</f>
        <v/>
      </c>
      <c r="E577">
        <f>IFERROR(INDEX('[AQ_2024.xlsx]原始数据'!$A:$A,ROW(A1)+576),"")</f>
        <v/>
      </c>
      <c r="G577">
        <f>IF(576&lt;=1000,INDEX($A$2:$A$1001,576),IF(576&lt;=2000,INDEX($B$2:$B$1001,-424),IF(576&lt;=3000,INDEX($C$2:$C$1001,-1424),IF(576&lt;=4000,INDEX($D$2:$D$1001,-2424),IF(576&lt;=5000,INDEX($E$2:$E$1001,-3424),"")))))</f>
        <v/>
      </c>
    </row>
    <row r="578">
      <c r="A578">
        <f>IFERROR(INDEX('[AQ_2020.xlsx]原始数据'!$A:$A,ROW(A1)+577),"")</f>
        <v/>
      </c>
      <c r="B578">
        <f>IFERROR(INDEX('[AQ_2021.xlsx]原始数据'!$A:$A,ROW(A1)+577),"")</f>
        <v/>
      </c>
      <c r="C578">
        <f>IFERROR(INDEX('[AQ_2022.xlsx]原始数据'!$A:$A,ROW(A1)+577),"")</f>
        <v/>
      </c>
      <c r="D578">
        <f>IFERROR(INDEX('[AQ_2023.xlsx]原始数据'!$A:$A,ROW(A1)+577),"")</f>
        <v/>
      </c>
      <c r="E578">
        <f>IFERROR(INDEX('[AQ_2024.xlsx]原始数据'!$A:$A,ROW(A1)+577),"")</f>
        <v/>
      </c>
      <c r="G578">
        <f>IF(577&lt;=1000,INDEX($A$2:$A$1001,577),IF(577&lt;=2000,INDEX($B$2:$B$1001,-423),IF(577&lt;=3000,INDEX($C$2:$C$1001,-1423),IF(577&lt;=4000,INDEX($D$2:$D$1001,-2423),IF(577&lt;=5000,INDEX($E$2:$E$1001,-3423),"")))))</f>
        <v/>
      </c>
    </row>
    <row r="579">
      <c r="A579">
        <f>IFERROR(INDEX('[AQ_2020.xlsx]原始数据'!$A:$A,ROW(A1)+578),"")</f>
        <v/>
      </c>
      <c r="B579">
        <f>IFERROR(INDEX('[AQ_2021.xlsx]原始数据'!$A:$A,ROW(A1)+578),"")</f>
        <v/>
      </c>
      <c r="C579">
        <f>IFERROR(INDEX('[AQ_2022.xlsx]原始数据'!$A:$A,ROW(A1)+578),"")</f>
        <v/>
      </c>
      <c r="D579">
        <f>IFERROR(INDEX('[AQ_2023.xlsx]原始数据'!$A:$A,ROW(A1)+578),"")</f>
        <v/>
      </c>
      <c r="E579">
        <f>IFERROR(INDEX('[AQ_2024.xlsx]原始数据'!$A:$A,ROW(A1)+578),"")</f>
        <v/>
      </c>
      <c r="G579">
        <f>IF(578&lt;=1000,INDEX($A$2:$A$1001,578),IF(578&lt;=2000,INDEX($B$2:$B$1001,-422),IF(578&lt;=3000,INDEX($C$2:$C$1001,-1422),IF(578&lt;=4000,INDEX($D$2:$D$1001,-2422),IF(578&lt;=5000,INDEX($E$2:$E$1001,-3422),"")))))</f>
        <v/>
      </c>
    </row>
    <row r="580">
      <c r="A580">
        <f>IFERROR(INDEX('[AQ_2020.xlsx]原始数据'!$A:$A,ROW(A1)+579),"")</f>
        <v/>
      </c>
      <c r="B580">
        <f>IFERROR(INDEX('[AQ_2021.xlsx]原始数据'!$A:$A,ROW(A1)+579),"")</f>
        <v/>
      </c>
      <c r="C580">
        <f>IFERROR(INDEX('[AQ_2022.xlsx]原始数据'!$A:$A,ROW(A1)+579),"")</f>
        <v/>
      </c>
      <c r="D580">
        <f>IFERROR(INDEX('[AQ_2023.xlsx]原始数据'!$A:$A,ROW(A1)+579),"")</f>
        <v/>
      </c>
      <c r="E580">
        <f>IFERROR(INDEX('[AQ_2024.xlsx]原始数据'!$A:$A,ROW(A1)+579),"")</f>
        <v/>
      </c>
      <c r="G580">
        <f>IF(579&lt;=1000,INDEX($A$2:$A$1001,579),IF(579&lt;=2000,INDEX($B$2:$B$1001,-421),IF(579&lt;=3000,INDEX($C$2:$C$1001,-1421),IF(579&lt;=4000,INDEX($D$2:$D$1001,-2421),IF(579&lt;=5000,INDEX($E$2:$E$1001,-3421),"")))))</f>
        <v/>
      </c>
    </row>
    <row r="581">
      <c r="A581">
        <f>IFERROR(INDEX('[AQ_2020.xlsx]原始数据'!$A:$A,ROW(A1)+580),"")</f>
        <v/>
      </c>
      <c r="B581">
        <f>IFERROR(INDEX('[AQ_2021.xlsx]原始数据'!$A:$A,ROW(A1)+580),"")</f>
        <v/>
      </c>
      <c r="C581">
        <f>IFERROR(INDEX('[AQ_2022.xlsx]原始数据'!$A:$A,ROW(A1)+580),"")</f>
        <v/>
      </c>
      <c r="D581">
        <f>IFERROR(INDEX('[AQ_2023.xlsx]原始数据'!$A:$A,ROW(A1)+580),"")</f>
        <v/>
      </c>
      <c r="E581">
        <f>IFERROR(INDEX('[AQ_2024.xlsx]原始数据'!$A:$A,ROW(A1)+580),"")</f>
        <v/>
      </c>
      <c r="G581">
        <f>IF(580&lt;=1000,INDEX($A$2:$A$1001,580),IF(580&lt;=2000,INDEX($B$2:$B$1001,-420),IF(580&lt;=3000,INDEX($C$2:$C$1001,-1420),IF(580&lt;=4000,INDEX($D$2:$D$1001,-2420),IF(580&lt;=5000,INDEX($E$2:$E$1001,-3420),"")))))</f>
        <v/>
      </c>
    </row>
    <row r="582">
      <c r="A582">
        <f>IFERROR(INDEX('[AQ_2020.xlsx]原始数据'!$A:$A,ROW(A1)+581),"")</f>
        <v/>
      </c>
      <c r="B582">
        <f>IFERROR(INDEX('[AQ_2021.xlsx]原始数据'!$A:$A,ROW(A1)+581),"")</f>
        <v/>
      </c>
      <c r="C582">
        <f>IFERROR(INDEX('[AQ_2022.xlsx]原始数据'!$A:$A,ROW(A1)+581),"")</f>
        <v/>
      </c>
      <c r="D582">
        <f>IFERROR(INDEX('[AQ_2023.xlsx]原始数据'!$A:$A,ROW(A1)+581),"")</f>
        <v/>
      </c>
      <c r="E582">
        <f>IFERROR(INDEX('[AQ_2024.xlsx]原始数据'!$A:$A,ROW(A1)+581),"")</f>
        <v/>
      </c>
      <c r="G582">
        <f>IF(581&lt;=1000,INDEX($A$2:$A$1001,581),IF(581&lt;=2000,INDEX($B$2:$B$1001,-419),IF(581&lt;=3000,INDEX($C$2:$C$1001,-1419),IF(581&lt;=4000,INDEX($D$2:$D$1001,-2419),IF(581&lt;=5000,INDEX($E$2:$E$1001,-3419),"")))))</f>
        <v/>
      </c>
    </row>
    <row r="583">
      <c r="A583">
        <f>IFERROR(INDEX('[AQ_2020.xlsx]原始数据'!$A:$A,ROW(A1)+582),"")</f>
        <v/>
      </c>
      <c r="B583">
        <f>IFERROR(INDEX('[AQ_2021.xlsx]原始数据'!$A:$A,ROW(A1)+582),"")</f>
        <v/>
      </c>
      <c r="C583">
        <f>IFERROR(INDEX('[AQ_2022.xlsx]原始数据'!$A:$A,ROW(A1)+582),"")</f>
        <v/>
      </c>
      <c r="D583">
        <f>IFERROR(INDEX('[AQ_2023.xlsx]原始数据'!$A:$A,ROW(A1)+582),"")</f>
        <v/>
      </c>
      <c r="E583">
        <f>IFERROR(INDEX('[AQ_2024.xlsx]原始数据'!$A:$A,ROW(A1)+582),"")</f>
        <v/>
      </c>
      <c r="G583">
        <f>IF(582&lt;=1000,INDEX($A$2:$A$1001,582),IF(582&lt;=2000,INDEX($B$2:$B$1001,-418),IF(582&lt;=3000,INDEX($C$2:$C$1001,-1418),IF(582&lt;=4000,INDEX($D$2:$D$1001,-2418),IF(582&lt;=5000,INDEX($E$2:$E$1001,-3418),"")))))</f>
        <v/>
      </c>
    </row>
    <row r="584">
      <c r="A584">
        <f>IFERROR(INDEX('[AQ_2020.xlsx]原始数据'!$A:$A,ROW(A1)+583),"")</f>
        <v/>
      </c>
      <c r="B584">
        <f>IFERROR(INDEX('[AQ_2021.xlsx]原始数据'!$A:$A,ROW(A1)+583),"")</f>
        <v/>
      </c>
      <c r="C584">
        <f>IFERROR(INDEX('[AQ_2022.xlsx]原始数据'!$A:$A,ROW(A1)+583),"")</f>
        <v/>
      </c>
      <c r="D584">
        <f>IFERROR(INDEX('[AQ_2023.xlsx]原始数据'!$A:$A,ROW(A1)+583),"")</f>
        <v/>
      </c>
      <c r="E584">
        <f>IFERROR(INDEX('[AQ_2024.xlsx]原始数据'!$A:$A,ROW(A1)+583),"")</f>
        <v/>
      </c>
      <c r="G584">
        <f>IF(583&lt;=1000,INDEX($A$2:$A$1001,583),IF(583&lt;=2000,INDEX($B$2:$B$1001,-417),IF(583&lt;=3000,INDEX($C$2:$C$1001,-1417),IF(583&lt;=4000,INDEX($D$2:$D$1001,-2417),IF(583&lt;=5000,INDEX($E$2:$E$1001,-3417),"")))))</f>
        <v/>
      </c>
    </row>
    <row r="585">
      <c r="A585">
        <f>IFERROR(INDEX('[AQ_2020.xlsx]原始数据'!$A:$A,ROW(A1)+584),"")</f>
        <v/>
      </c>
      <c r="B585">
        <f>IFERROR(INDEX('[AQ_2021.xlsx]原始数据'!$A:$A,ROW(A1)+584),"")</f>
        <v/>
      </c>
      <c r="C585">
        <f>IFERROR(INDEX('[AQ_2022.xlsx]原始数据'!$A:$A,ROW(A1)+584),"")</f>
        <v/>
      </c>
      <c r="D585">
        <f>IFERROR(INDEX('[AQ_2023.xlsx]原始数据'!$A:$A,ROW(A1)+584),"")</f>
        <v/>
      </c>
      <c r="E585">
        <f>IFERROR(INDEX('[AQ_2024.xlsx]原始数据'!$A:$A,ROW(A1)+584),"")</f>
        <v/>
      </c>
      <c r="G585">
        <f>IF(584&lt;=1000,INDEX($A$2:$A$1001,584),IF(584&lt;=2000,INDEX($B$2:$B$1001,-416),IF(584&lt;=3000,INDEX($C$2:$C$1001,-1416),IF(584&lt;=4000,INDEX($D$2:$D$1001,-2416),IF(584&lt;=5000,INDEX($E$2:$E$1001,-3416),"")))))</f>
        <v/>
      </c>
    </row>
    <row r="586">
      <c r="A586">
        <f>IFERROR(INDEX('[AQ_2020.xlsx]原始数据'!$A:$A,ROW(A1)+585),"")</f>
        <v/>
      </c>
      <c r="B586">
        <f>IFERROR(INDEX('[AQ_2021.xlsx]原始数据'!$A:$A,ROW(A1)+585),"")</f>
        <v/>
      </c>
      <c r="C586">
        <f>IFERROR(INDEX('[AQ_2022.xlsx]原始数据'!$A:$A,ROW(A1)+585),"")</f>
        <v/>
      </c>
      <c r="D586">
        <f>IFERROR(INDEX('[AQ_2023.xlsx]原始数据'!$A:$A,ROW(A1)+585),"")</f>
        <v/>
      </c>
      <c r="E586">
        <f>IFERROR(INDEX('[AQ_2024.xlsx]原始数据'!$A:$A,ROW(A1)+585),"")</f>
        <v/>
      </c>
      <c r="G586">
        <f>IF(585&lt;=1000,INDEX($A$2:$A$1001,585),IF(585&lt;=2000,INDEX($B$2:$B$1001,-415),IF(585&lt;=3000,INDEX($C$2:$C$1001,-1415),IF(585&lt;=4000,INDEX($D$2:$D$1001,-2415),IF(585&lt;=5000,INDEX($E$2:$E$1001,-3415),"")))))</f>
        <v/>
      </c>
    </row>
    <row r="587">
      <c r="A587">
        <f>IFERROR(INDEX('[AQ_2020.xlsx]原始数据'!$A:$A,ROW(A1)+586),"")</f>
        <v/>
      </c>
      <c r="B587">
        <f>IFERROR(INDEX('[AQ_2021.xlsx]原始数据'!$A:$A,ROW(A1)+586),"")</f>
        <v/>
      </c>
      <c r="C587">
        <f>IFERROR(INDEX('[AQ_2022.xlsx]原始数据'!$A:$A,ROW(A1)+586),"")</f>
        <v/>
      </c>
      <c r="D587">
        <f>IFERROR(INDEX('[AQ_2023.xlsx]原始数据'!$A:$A,ROW(A1)+586),"")</f>
        <v/>
      </c>
      <c r="E587">
        <f>IFERROR(INDEX('[AQ_2024.xlsx]原始数据'!$A:$A,ROW(A1)+586),"")</f>
        <v/>
      </c>
      <c r="G587">
        <f>IF(586&lt;=1000,INDEX($A$2:$A$1001,586),IF(586&lt;=2000,INDEX($B$2:$B$1001,-414),IF(586&lt;=3000,INDEX($C$2:$C$1001,-1414),IF(586&lt;=4000,INDEX($D$2:$D$1001,-2414),IF(586&lt;=5000,INDEX($E$2:$E$1001,-3414),"")))))</f>
        <v/>
      </c>
    </row>
    <row r="588">
      <c r="A588">
        <f>IFERROR(INDEX('[AQ_2020.xlsx]原始数据'!$A:$A,ROW(A1)+587),"")</f>
        <v/>
      </c>
      <c r="B588">
        <f>IFERROR(INDEX('[AQ_2021.xlsx]原始数据'!$A:$A,ROW(A1)+587),"")</f>
        <v/>
      </c>
      <c r="C588">
        <f>IFERROR(INDEX('[AQ_2022.xlsx]原始数据'!$A:$A,ROW(A1)+587),"")</f>
        <v/>
      </c>
      <c r="D588">
        <f>IFERROR(INDEX('[AQ_2023.xlsx]原始数据'!$A:$A,ROW(A1)+587),"")</f>
        <v/>
      </c>
      <c r="E588">
        <f>IFERROR(INDEX('[AQ_2024.xlsx]原始数据'!$A:$A,ROW(A1)+587),"")</f>
        <v/>
      </c>
      <c r="G588">
        <f>IF(587&lt;=1000,INDEX($A$2:$A$1001,587),IF(587&lt;=2000,INDEX($B$2:$B$1001,-413),IF(587&lt;=3000,INDEX($C$2:$C$1001,-1413),IF(587&lt;=4000,INDEX($D$2:$D$1001,-2413),IF(587&lt;=5000,INDEX($E$2:$E$1001,-3413),"")))))</f>
        <v/>
      </c>
    </row>
    <row r="589">
      <c r="A589">
        <f>IFERROR(INDEX('[AQ_2020.xlsx]原始数据'!$A:$A,ROW(A1)+588),"")</f>
        <v/>
      </c>
      <c r="B589">
        <f>IFERROR(INDEX('[AQ_2021.xlsx]原始数据'!$A:$A,ROW(A1)+588),"")</f>
        <v/>
      </c>
      <c r="C589">
        <f>IFERROR(INDEX('[AQ_2022.xlsx]原始数据'!$A:$A,ROW(A1)+588),"")</f>
        <v/>
      </c>
      <c r="D589">
        <f>IFERROR(INDEX('[AQ_2023.xlsx]原始数据'!$A:$A,ROW(A1)+588),"")</f>
        <v/>
      </c>
      <c r="E589">
        <f>IFERROR(INDEX('[AQ_2024.xlsx]原始数据'!$A:$A,ROW(A1)+588),"")</f>
        <v/>
      </c>
      <c r="G589">
        <f>IF(588&lt;=1000,INDEX($A$2:$A$1001,588),IF(588&lt;=2000,INDEX($B$2:$B$1001,-412),IF(588&lt;=3000,INDEX($C$2:$C$1001,-1412),IF(588&lt;=4000,INDEX($D$2:$D$1001,-2412),IF(588&lt;=5000,INDEX($E$2:$E$1001,-3412),"")))))</f>
        <v/>
      </c>
    </row>
    <row r="590">
      <c r="A590">
        <f>IFERROR(INDEX('[AQ_2020.xlsx]原始数据'!$A:$A,ROW(A1)+589),"")</f>
        <v/>
      </c>
      <c r="B590">
        <f>IFERROR(INDEX('[AQ_2021.xlsx]原始数据'!$A:$A,ROW(A1)+589),"")</f>
        <v/>
      </c>
      <c r="C590">
        <f>IFERROR(INDEX('[AQ_2022.xlsx]原始数据'!$A:$A,ROW(A1)+589),"")</f>
        <v/>
      </c>
      <c r="D590">
        <f>IFERROR(INDEX('[AQ_2023.xlsx]原始数据'!$A:$A,ROW(A1)+589),"")</f>
        <v/>
      </c>
      <c r="E590">
        <f>IFERROR(INDEX('[AQ_2024.xlsx]原始数据'!$A:$A,ROW(A1)+589),"")</f>
        <v/>
      </c>
      <c r="G590">
        <f>IF(589&lt;=1000,INDEX($A$2:$A$1001,589),IF(589&lt;=2000,INDEX($B$2:$B$1001,-411),IF(589&lt;=3000,INDEX($C$2:$C$1001,-1411),IF(589&lt;=4000,INDEX($D$2:$D$1001,-2411),IF(589&lt;=5000,INDEX($E$2:$E$1001,-3411),"")))))</f>
        <v/>
      </c>
    </row>
    <row r="591">
      <c r="A591">
        <f>IFERROR(INDEX('[AQ_2020.xlsx]原始数据'!$A:$A,ROW(A1)+590),"")</f>
        <v/>
      </c>
      <c r="B591">
        <f>IFERROR(INDEX('[AQ_2021.xlsx]原始数据'!$A:$A,ROW(A1)+590),"")</f>
        <v/>
      </c>
      <c r="C591">
        <f>IFERROR(INDEX('[AQ_2022.xlsx]原始数据'!$A:$A,ROW(A1)+590),"")</f>
        <v/>
      </c>
      <c r="D591">
        <f>IFERROR(INDEX('[AQ_2023.xlsx]原始数据'!$A:$A,ROW(A1)+590),"")</f>
        <v/>
      </c>
      <c r="E591">
        <f>IFERROR(INDEX('[AQ_2024.xlsx]原始数据'!$A:$A,ROW(A1)+590),"")</f>
        <v/>
      </c>
      <c r="G591">
        <f>IF(590&lt;=1000,INDEX($A$2:$A$1001,590),IF(590&lt;=2000,INDEX($B$2:$B$1001,-410),IF(590&lt;=3000,INDEX($C$2:$C$1001,-1410),IF(590&lt;=4000,INDEX($D$2:$D$1001,-2410),IF(590&lt;=5000,INDEX($E$2:$E$1001,-3410),"")))))</f>
        <v/>
      </c>
    </row>
    <row r="592">
      <c r="A592">
        <f>IFERROR(INDEX('[AQ_2020.xlsx]原始数据'!$A:$A,ROW(A1)+591),"")</f>
        <v/>
      </c>
      <c r="B592">
        <f>IFERROR(INDEX('[AQ_2021.xlsx]原始数据'!$A:$A,ROW(A1)+591),"")</f>
        <v/>
      </c>
      <c r="C592">
        <f>IFERROR(INDEX('[AQ_2022.xlsx]原始数据'!$A:$A,ROW(A1)+591),"")</f>
        <v/>
      </c>
      <c r="D592">
        <f>IFERROR(INDEX('[AQ_2023.xlsx]原始数据'!$A:$A,ROW(A1)+591),"")</f>
        <v/>
      </c>
      <c r="E592">
        <f>IFERROR(INDEX('[AQ_2024.xlsx]原始数据'!$A:$A,ROW(A1)+591),"")</f>
        <v/>
      </c>
      <c r="G592">
        <f>IF(591&lt;=1000,INDEX($A$2:$A$1001,591),IF(591&lt;=2000,INDEX($B$2:$B$1001,-409),IF(591&lt;=3000,INDEX($C$2:$C$1001,-1409),IF(591&lt;=4000,INDEX($D$2:$D$1001,-2409),IF(591&lt;=5000,INDEX($E$2:$E$1001,-3409),"")))))</f>
        <v/>
      </c>
    </row>
    <row r="593">
      <c r="A593">
        <f>IFERROR(INDEX('[AQ_2020.xlsx]原始数据'!$A:$A,ROW(A1)+592),"")</f>
        <v/>
      </c>
      <c r="B593">
        <f>IFERROR(INDEX('[AQ_2021.xlsx]原始数据'!$A:$A,ROW(A1)+592),"")</f>
        <v/>
      </c>
      <c r="C593">
        <f>IFERROR(INDEX('[AQ_2022.xlsx]原始数据'!$A:$A,ROW(A1)+592),"")</f>
        <v/>
      </c>
      <c r="D593">
        <f>IFERROR(INDEX('[AQ_2023.xlsx]原始数据'!$A:$A,ROW(A1)+592),"")</f>
        <v/>
      </c>
      <c r="E593">
        <f>IFERROR(INDEX('[AQ_2024.xlsx]原始数据'!$A:$A,ROW(A1)+592),"")</f>
        <v/>
      </c>
      <c r="G593">
        <f>IF(592&lt;=1000,INDEX($A$2:$A$1001,592),IF(592&lt;=2000,INDEX($B$2:$B$1001,-408),IF(592&lt;=3000,INDEX($C$2:$C$1001,-1408),IF(592&lt;=4000,INDEX($D$2:$D$1001,-2408),IF(592&lt;=5000,INDEX($E$2:$E$1001,-3408),"")))))</f>
        <v/>
      </c>
    </row>
    <row r="594">
      <c r="A594">
        <f>IFERROR(INDEX('[AQ_2020.xlsx]原始数据'!$A:$A,ROW(A1)+593),"")</f>
        <v/>
      </c>
      <c r="B594">
        <f>IFERROR(INDEX('[AQ_2021.xlsx]原始数据'!$A:$A,ROW(A1)+593),"")</f>
        <v/>
      </c>
      <c r="C594">
        <f>IFERROR(INDEX('[AQ_2022.xlsx]原始数据'!$A:$A,ROW(A1)+593),"")</f>
        <v/>
      </c>
      <c r="D594">
        <f>IFERROR(INDEX('[AQ_2023.xlsx]原始数据'!$A:$A,ROW(A1)+593),"")</f>
        <v/>
      </c>
      <c r="E594">
        <f>IFERROR(INDEX('[AQ_2024.xlsx]原始数据'!$A:$A,ROW(A1)+593),"")</f>
        <v/>
      </c>
      <c r="G594">
        <f>IF(593&lt;=1000,INDEX($A$2:$A$1001,593),IF(593&lt;=2000,INDEX($B$2:$B$1001,-407),IF(593&lt;=3000,INDEX($C$2:$C$1001,-1407),IF(593&lt;=4000,INDEX($D$2:$D$1001,-2407),IF(593&lt;=5000,INDEX($E$2:$E$1001,-3407),"")))))</f>
        <v/>
      </c>
    </row>
    <row r="595">
      <c r="A595">
        <f>IFERROR(INDEX('[AQ_2020.xlsx]原始数据'!$A:$A,ROW(A1)+594),"")</f>
        <v/>
      </c>
      <c r="B595">
        <f>IFERROR(INDEX('[AQ_2021.xlsx]原始数据'!$A:$A,ROW(A1)+594),"")</f>
        <v/>
      </c>
      <c r="C595">
        <f>IFERROR(INDEX('[AQ_2022.xlsx]原始数据'!$A:$A,ROW(A1)+594),"")</f>
        <v/>
      </c>
      <c r="D595">
        <f>IFERROR(INDEX('[AQ_2023.xlsx]原始数据'!$A:$A,ROW(A1)+594),"")</f>
        <v/>
      </c>
      <c r="E595">
        <f>IFERROR(INDEX('[AQ_2024.xlsx]原始数据'!$A:$A,ROW(A1)+594),"")</f>
        <v/>
      </c>
      <c r="G595">
        <f>IF(594&lt;=1000,INDEX($A$2:$A$1001,594),IF(594&lt;=2000,INDEX($B$2:$B$1001,-406),IF(594&lt;=3000,INDEX($C$2:$C$1001,-1406),IF(594&lt;=4000,INDEX($D$2:$D$1001,-2406),IF(594&lt;=5000,INDEX($E$2:$E$1001,-3406),"")))))</f>
        <v/>
      </c>
    </row>
    <row r="596">
      <c r="A596">
        <f>IFERROR(INDEX('[AQ_2020.xlsx]原始数据'!$A:$A,ROW(A1)+595),"")</f>
        <v/>
      </c>
      <c r="B596">
        <f>IFERROR(INDEX('[AQ_2021.xlsx]原始数据'!$A:$A,ROW(A1)+595),"")</f>
        <v/>
      </c>
      <c r="C596">
        <f>IFERROR(INDEX('[AQ_2022.xlsx]原始数据'!$A:$A,ROW(A1)+595),"")</f>
        <v/>
      </c>
      <c r="D596">
        <f>IFERROR(INDEX('[AQ_2023.xlsx]原始数据'!$A:$A,ROW(A1)+595),"")</f>
        <v/>
      </c>
      <c r="E596">
        <f>IFERROR(INDEX('[AQ_2024.xlsx]原始数据'!$A:$A,ROW(A1)+595),"")</f>
        <v/>
      </c>
      <c r="G596">
        <f>IF(595&lt;=1000,INDEX($A$2:$A$1001,595),IF(595&lt;=2000,INDEX($B$2:$B$1001,-405),IF(595&lt;=3000,INDEX($C$2:$C$1001,-1405),IF(595&lt;=4000,INDEX($D$2:$D$1001,-2405),IF(595&lt;=5000,INDEX($E$2:$E$1001,-3405),"")))))</f>
        <v/>
      </c>
    </row>
    <row r="597">
      <c r="A597">
        <f>IFERROR(INDEX('[AQ_2020.xlsx]原始数据'!$A:$A,ROW(A1)+596),"")</f>
        <v/>
      </c>
      <c r="B597">
        <f>IFERROR(INDEX('[AQ_2021.xlsx]原始数据'!$A:$A,ROW(A1)+596),"")</f>
        <v/>
      </c>
      <c r="C597">
        <f>IFERROR(INDEX('[AQ_2022.xlsx]原始数据'!$A:$A,ROW(A1)+596),"")</f>
        <v/>
      </c>
      <c r="D597">
        <f>IFERROR(INDEX('[AQ_2023.xlsx]原始数据'!$A:$A,ROW(A1)+596),"")</f>
        <v/>
      </c>
      <c r="E597">
        <f>IFERROR(INDEX('[AQ_2024.xlsx]原始数据'!$A:$A,ROW(A1)+596),"")</f>
        <v/>
      </c>
      <c r="G597">
        <f>IF(596&lt;=1000,INDEX($A$2:$A$1001,596),IF(596&lt;=2000,INDEX($B$2:$B$1001,-404),IF(596&lt;=3000,INDEX($C$2:$C$1001,-1404),IF(596&lt;=4000,INDEX($D$2:$D$1001,-2404),IF(596&lt;=5000,INDEX($E$2:$E$1001,-3404),"")))))</f>
        <v/>
      </c>
    </row>
    <row r="598">
      <c r="A598">
        <f>IFERROR(INDEX('[AQ_2020.xlsx]原始数据'!$A:$A,ROW(A1)+597),"")</f>
        <v/>
      </c>
      <c r="B598">
        <f>IFERROR(INDEX('[AQ_2021.xlsx]原始数据'!$A:$A,ROW(A1)+597),"")</f>
        <v/>
      </c>
      <c r="C598">
        <f>IFERROR(INDEX('[AQ_2022.xlsx]原始数据'!$A:$A,ROW(A1)+597),"")</f>
        <v/>
      </c>
      <c r="D598">
        <f>IFERROR(INDEX('[AQ_2023.xlsx]原始数据'!$A:$A,ROW(A1)+597),"")</f>
        <v/>
      </c>
      <c r="E598">
        <f>IFERROR(INDEX('[AQ_2024.xlsx]原始数据'!$A:$A,ROW(A1)+597),"")</f>
        <v/>
      </c>
      <c r="G598">
        <f>IF(597&lt;=1000,INDEX($A$2:$A$1001,597),IF(597&lt;=2000,INDEX($B$2:$B$1001,-403),IF(597&lt;=3000,INDEX($C$2:$C$1001,-1403),IF(597&lt;=4000,INDEX($D$2:$D$1001,-2403),IF(597&lt;=5000,INDEX($E$2:$E$1001,-3403),"")))))</f>
        <v/>
      </c>
    </row>
    <row r="599">
      <c r="A599">
        <f>IFERROR(INDEX('[AQ_2020.xlsx]原始数据'!$A:$A,ROW(A1)+598),"")</f>
        <v/>
      </c>
      <c r="B599">
        <f>IFERROR(INDEX('[AQ_2021.xlsx]原始数据'!$A:$A,ROW(A1)+598),"")</f>
        <v/>
      </c>
      <c r="C599">
        <f>IFERROR(INDEX('[AQ_2022.xlsx]原始数据'!$A:$A,ROW(A1)+598),"")</f>
        <v/>
      </c>
      <c r="D599">
        <f>IFERROR(INDEX('[AQ_2023.xlsx]原始数据'!$A:$A,ROW(A1)+598),"")</f>
        <v/>
      </c>
      <c r="E599">
        <f>IFERROR(INDEX('[AQ_2024.xlsx]原始数据'!$A:$A,ROW(A1)+598),"")</f>
        <v/>
      </c>
      <c r="G599">
        <f>IF(598&lt;=1000,INDEX($A$2:$A$1001,598),IF(598&lt;=2000,INDEX($B$2:$B$1001,-402),IF(598&lt;=3000,INDEX($C$2:$C$1001,-1402),IF(598&lt;=4000,INDEX($D$2:$D$1001,-2402),IF(598&lt;=5000,INDEX($E$2:$E$1001,-3402),"")))))</f>
        <v/>
      </c>
    </row>
    <row r="600">
      <c r="A600">
        <f>IFERROR(INDEX('[AQ_2020.xlsx]原始数据'!$A:$A,ROW(A1)+599),"")</f>
        <v/>
      </c>
      <c r="B600">
        <f>IFERROR(INDEX('[AQ_2021.xlsx]原始数据'!$A:$A,ROW(A1)+599),"")</f>
        <v/>
      </c>
      <c r="C600">
        <f>IFERROR(INDEX('[AQ_2022.xlsx]原始数据'!$A:$A,ROW(A1)+599),"")</f>
        <v/>
      </c>
      <c r="D600">
        <f>IFERROR(INDEX('[AQ_2023.xlsx]原始数据'!$A:$A,ROW(A1)+599),"")</f>
        <v/>
      </c>
      <c r="E600">
        <f>IFERROR(INDEX('[AQ_2024.xlsx]原始数据'!$A:$A,ROW(A1)+599),"")</f>
        <v/>
      </c>
      <c r="G600">
        <f>IF(599&lt;=1000,INDEX($A$2:$A$1001,599),IF(599&lt;=2000,INDEX($B$2:$B$1001,-401),IF(599&lt;=3000,INDEX($C$2:$C$1001,-1401),IF(599&lt;=4000,INDEX($D$2:$D$1001,-2401),IF(599&lt;=5000,INDEX($E$2:$E$1001,-3401),"")))))</f>
        <v/>
      </c>
    </row>
    <row r="601">
      <c r="A601">
        <f>IFERROR(INDEX('[AQ_2020.xlsx]原始数据'!$A:$A,ROW(A1)+600),"")</f>
        <v/>
      </c>
      <c r="B601">
        <f>IFERROR(INDEX('[AQ_2021.xlsx]原始数据'!$A:$A,ROW(A1)+600),"")</f>
        <v/>
      </c>
      <c r="C601">
        <f>IFERROR(INDEX('[AQ_2022.xlsx]原始数据'!$A:$A,ROW(A1)+600),"")</f>
        <v/>
      </c>
      <c r="D601">
        <f>IFERROR(INDEX('[AQ_2023.xlsx]原始数据'!$A:$A,ROW(A1)+600),"")</f>
        <v/>
      </c>
      <c r="E601">
        <f>IFERROR(INDEX('[AQ_2024.xlsx]原始数据'!$A:$A,ROW(A1)+600),"")</f>
        <v/>
      </c>
      <c r="G601">
        <f>IF(600&lt;=1000,INDEX($A$2:$A$1001,600),IF(600&lt;=2000,INDEX($B$2:$B$1001,-400),IF(600&lt;=3000,INDEX($C$2:$C$1001,-1400),IF(600&lt;=4000,INDEX($D$2:$D$1001,-2400),IF(600&lt;=5000,INDEX($E$2:$E$1001,-3400),"")))))</f>
        <v/>
      </c>
    </row>
    <row r="602">
      <c r="A602">
        <f>IFERROR(INDEX('[AQ_2020.xlsx]原始数据'!$A:$A,ROW(A1)+601),"")</f>
        <v/>
      </c>
      <c r="B602">
        <f>IFERROR(INDEX('[AQ_2021.xlsx]原始数据'!$A:$A,ROW(A1)+601),"")</f>
        <v/>
      </c>
      <c r="C602">
        <f>IFERROR(INDEX('[AQ_2022.xlsx]原始数据'!$A:$A,ROW(A1)+601),"")</f>
        <v/>
      </c>
      <c r="D602">
        <f>IFERROR(INDEX('[AQ_2023.xlsx]原始数据'!$A:$A,ROW(A1)+601),"")</f>
        <v/>
      </c>
      <c r="E602">
        <f>IFERROR(INDEX('[AQ_2024.xlsx]原始数据'!$A:$A,ROW(A1)+601),"")</f>
        <v/>
      </c>
      <c r="G602">
        <f>IF(601&lt;=1000,INDEX($A$2:$A$1001,601),IF(601&lt;=2000,INDEX($B$2:$B$1001,-399),IF(601&lt;=3000,INDEX($C$2:$C$1001,-1399),IF(601&lt;=4000,INDEX($D$2:$D$1001,-2399),IF(601&lt;=5000,INDEX($E$2:$E$1001,-3399),"")))))</f>
        <v/>
      </c>
    </row>
    <row r="603">
      <c r="A603">
        <f>IFERROR(INDEX('[AQ_2020.xlsx]原始数据'!$A:$A,ROW(A1)+602),"")</f>
        <v/>
      </c>
      <c r="B603">
        <f>IFERROR(INDEX('[AQ_2021.xlsx]原始数据'!$A:$A,ROW(A1)+602),"")</f>
        <v/>
      </c>
      <c r="C603">
        <f>IFERROR(INDEX('[AQ_2022.xlsx]原始数据'!$A:$A,ROW(A1)+602),"")</f>
        <v/>
      </c>
      <c r="D603">
        <f>IFERROR(INDEX('[AQ_2023.xlsx]原始数据'!$A:$A,ROW(A1)+602),"")</f>
        <v/>
      </c>
      <c r="E603">
        <f>IFERROR(INDEX('[AQ_2024.xlsx]原始数据'!$A:$A,ROW(A1)+602),"")</f>
        <v/>
      </c>
      <c r="G603">
        <f>IF(602&lt;=1000,INDEX($A$2:$A$1001,602),IF(602&lt;=2000,INDEX($B$2:$B$1001,-398),IF(602&lt;=3000,INDEX($C$2:$C$1001,-1398),IF(602&lt;=4000,INDEX($D$2:$D$1001,-2398),IF(602&lt;=5000,INDEX($E$2:$E$1001,-3398),"")))))</f>
        <v/>
      </c>
    </row>
    <row r="604">
      <c r="A604">
        <f>IFERROR(INDEX('[AQ_2020.xlsx]原始数据'!$A:$A,ROW(A1)+603),"")</f>
        <v/>
      </c>
      <c r="B604">
        <f>IFERROR(INDEX('[AQ_2021.xlsx]原始数据'!$A:$A,ROW(A1)+603),"")</f>
        <v/>
      </c>
      <c r="C604">
        <f>IFERROR(INDEX('[AQ_2022.xlsx]原始数据'!$A:$A,ROW(A1)+603),"")</f>
        <v/>
      </c>
      <c r="D604">
        <f>IFERROR(INDEX('[AQ_2023.xlsx]原始数据'!$A:$A,ROW(A1)+603),"")</f>
        <v/>
      </c>
      <c r="E604">
        <f>IFERROR(INDEX('[AQ_2024.xlsx]原始数据'!$A:$A,ROW(A1)+603),"")</f>
        <v/>
      </c>
      <c r="G604">
        <f>IF(603&lt;=1000,INDEX($A$2:$A$1001,603),IF(603&lt;=2000,INDEX($B$2:$B$1001,-397),IF(603&lt;=3000,INDEX($C$2:$C$1001,-1397),IF(603&lt;=4000,INDEX($D$2:$D$1001,-2397),IF(603&lt;=5000,INDEX($E$2:$E$1001,-3397),"")))))</f>
        <v/>
      </c>
    </row>
    <row r="605">
      <c r="A605">
        <f>IFERROR(INDEX('[AQ_2020.xlsx]原始数据'!$A:$A,ROW(A1)+604),"")</f>
        <v/>
      </c>
      <c r="B605">
        <f>IFERROR(INDEX('[AQ_2021.xlsx]原始数据'!$A:$A,ROW(A1)+604),"")</f>
        <v/>
      </c>
      <c r="C605">
        <f>IFERROR(INDEX('[AQ_2022.xlsx]原始数据'!$A:$A,ROW(A1)+604),"")</f>
        <v/>
      </c>
      <c r="D605">
        <f>IFERROR(INDEX('[AQ_2023.xlsx]原始数据'!$A:$A,ROW(A1)+604),"")</f>
        <v/>
      </c>
      <c r="E605">
        <f>IFERROR(INDEX('[AQ_2024.xlsx]原始数据'!$A:$A,ROW(A1)+604),"")</f>
        <v/>
      </c>
      <c r="G605">
        <f>IF(604&lt;=1000,INDEX($A$2:$A$1001,604),IF(604&lt;=2000,INDEX($B$2:$B$1001,-396),IF(604&lt;=3000,INDEX($C$2:$C$1001,-1396),IF(604&lt;=4000,INDEX($D$2:$D$1001,-2396),IF(604&lt;=5000,INDEX($E$2:$E$1001,-3396),"")))))</f>
        <v/>
      </c>
    </row>
    <row r="606">
      <c r="A606">
        <f>IFERROR(INDEX('[AQ_2020.xlsx]原始数据'!$A:$A,ROW(A1)+605),"")</f>
        <v/>
      </c>
      <c r="B606">
        <f>IFERROR(INDEX('[AQ_2021.xlsx]原始数据'!$A:$A,ROW(A1)+605),"")</f>
        <v/>
      </c>
      <c r="C606">
        <f>IFERROR(INDEX('[AQ_2022.xlsx]原始数据'!$A:$A,ROW(A1)+605),"")</f>
        <v/>
      </c>
      <c r="D606">
        <f>IFERROR(INDEX('[AQ_2023.xlsx]原始数据'!$A:$A,ROW(A1)+605),"")</f>
        <v/>
      </c>
      <c r="E606">
        <f>IFERROR(INDEX('[AQ_2024.xlsx]原始数据'!$A:$A,ROW(A1)+605),"")</f>
        <v/>
      </c>
      <c r="G606">
        <f>IF(605&lt;=1000,INDEX($A$2:$A$1001,605),IF(605&lt;=2000,INDEX($B$2:$B$1001,-395),IF(605&lt;=3000,INDEX($C$2:$C$1001,-1395),IF(605&lt;=4000,INDEX($D$2:$D$1001,-2395),IF(605&lt;=5000,INDEX($E$2:$E$1001,-3395),"")))))</f>
        <v/>
      </c>
    </row>
    <row r="607">
      <c r="A607">
        <f>IFERROR(INDEX('[AQ_2020.xlsx]原始数据'!$A:$A,ROW(A1)+606),"")</f>
        <v/>
      </c>
      <c r="B607">
        <f>IFERROR(INDEX('[AQ_2021.xlsx]原始数据'!$A:$A,ROW(A1)+606),"")</f>
        <v/>
      </c>
      <c r="C607">
        <f>IFERROR(INDEX('[AQ_2022.xlsx]原始数据'!$A:$A,ROW(A1)+606),"")</f>
        <v/>
      </c>
      <c r="D607">
        <f>IFERROR(INDEX('[AQ_2023.xlsx]原始数据'!$A:$A,ROW(A1)+606),"")</f>
        <v/>
      </c>
      <c r="E607">
        <f>IFERROR(INDEX('[AQ_2024.xlsx]原始数据'!$A:$A,ROW(A1)+606),"")</f>
        <v/>
      </c>
      <c r="G607">
        <f>IF(606&lt;=1000,INDEX($A$2:$A$1001,606),IF(606&lt;=2000,INDEX($B$2:$B$1001,-394),IF(606&lt;=3000,INDEX($C$2:$C$1001,-1394),IF(606&lt;=4000,INDEX($D$2:$D$1001,-2394),IF(606&lt;=5000,INDEX($E$2:$E$1001,-3394),"")))))</f>
        <v/>
      </c>
    </row>
    <row r="608">
      <c r="A608">
        <f>IFERROR(INDEX('[AQ_2020.xlsx]原始数据'!$A:$A,ROW(A1)+607),"")</f>
        <v/>
      </c>
      <c r="B608">
        <f>IFERROR(INDEX('[AQ_2021.xlsx]原始数据'!$A:$A,ROW(A1)+607),"")</f>
        <v/>
      </c>
      <c r="C608">
        <f>IFERROR(INDEX('[AQ_2022.xlsx]原始数据'!$A:$A,ROW(A1)+607),"")</f>
        <v/>
      </c>
      <c r="D608">
        <f>IFERROR(INDEX('[AQ_2023.xlsx]原始数据'!$A:$A,ROW(A1)+607),"")</f>
        <v/>
      </c>
      <c r="E608">
        <f>IFERROR(INDEX('[AQ_2024.xlsx]原始数据'!$A:$A,ROW(A1)+607),"")</f>
        <v/>
      </c>
      <c r="G608">
        <f>IF(607&lt;=1000,INDEX($A$2:$A$1001,607),IF(607&lt;=2000,INDEX($B$2:$B$1001,-393),IF(607&lt;=3000,INDEX($C$2:$C$1001,-1393),IF(607&lt;=4000,INDEX($D$2:$D$1001,-2393),IF(607&lt;=5000,INDEX($E$2:$E$1001,-3393),"")))))</f>
        <v/>
      </c>
    </row>
    <row r="609">
      <c r="A609">
        <f>IFERROR(INDEX('[AQ_2020.xlsx]原始数据'!$A:$A,ROW(A1)+608),"")</f>
        <v/>
      </c>
      <c r="B609">
        <f>IFERROR(INDEX('[AQ_2021.xlsx]原始数据'!$A:$A,ROW(A1)+608),"")</f>
        <v/>
      </c>
      <c r="C609">
        <f>IFERROR(INDEX('[AQ_2022.xlsx]原始数据'!$A:$A,ROW(A1)+608),"")</f>
        <v/>
      </c>
      <c r="D609">
        <f>IFERROR(INDEX('[AQ_2023.xlsx]原始数据'!$A:$A,ROW(A1)+608),"")</f>
        <v/>
      </c>
      <c r="E609">
        <f>IFERROR(INDEX('[AQ_2024.xlsx]原始数据'!$A:$A,ROW(A1)+608),"")</f>
        <v/>
      </c>
      <c r="G609">
        <f>IF(608&lt;=1000,INDEX($A$2:$A$1001,608),IF(608&lt;=2000,INDEX($B$2:$B$1001,-392),IF(608&lt;=3000,INDEX($C$2:$C$1001,-1392),IF(608&lt;=4000,INDEX($D$2:$D$1001,-2392),IF(608&lt;=5000,INDEX($E$2:$E$1001,-3392),"")))))</f>
        <v/>
      </c>
    </row>
    <row r="610">
      <c r="A610">
        <f>IFERROR(INDEX('[AQ_2020.xlsx]原始数据'!$A:$A,ROW(A1)+609),"")</f>
        <v/>
      </c>
      <c r="B610">
        <f>IFERROR(INDEX('[AQ_2021.xlsx]原始数据'!$A:$A,ROW(A1)+609),"")</f>
        <v/>
      </c>
      <c r="C610">
        <f>IFERROR(INDEX('[AQ_2022.xlsx]原始数据'!$A:$A,ROW(A1)+609),"")</f>
        <v/>
      </c>
      <c r="D610">
        <f>IFERROR(INDEX('[AQ_2023.xlsx]原始数据'!$A:$A,ROW(A1)+609),"")</f>
        <v/>
      </c>
      <c r="E610">
        <f>IFERROR(INDEX('[AQ_2024.xlsx]原始数据'!$A:$A,ROW(A1)+609),"")</f>
        <v/>
      </c>
      <c r="G610">
        <f>IF(609&lt;=1000,INDEX($A$2:$A$1001,609),IF(609&lt;=2000,INDEX($B$2:$B$1001,-391),IF(609&lt;=3000,INDEX($C$2:$C$1001,-1391),IF(609&lt;=4000,INDEX($D$2:$D$1001,-2391),IF(609&lt;=5000,INDEX($E$2:$E$1001,-3391),"")))))</f>
        <v/>
      </c>
    </row>
    <row r="611">
      <c r="A611">
        <f>IFERROR(INDEX('[AQ_2020.xlsx]原始数据'!$A:$A,ROW(A1)+610),"")</f>
        <v/>
      </c>
      <c r="B611">
        <f>IFERROR(INDEX('[AQ_2021.xlsx]原始数据'!$A:$A,ROW(A1)+610),"")</f>
        <v/>
      </c>
      <c r="C611">
        <f>IFERROR(INDEX('[AQ_2022.xlsx]原始数据'!$A:$A,ROW(A1)+610),"")</f>
        <v/>
      </c>
      <c r="D611">
        <f>IFERROR(INDEX('[AQ_2023.xlsx]原始数据'!$A:$A,ROW(A1)+610),"")</f>
        <v/>
      </c>
      <c r="E611">
        <f>IFERROR(INDEX('[AQ_2024.xlsx]原始数据'!$A:$A,ROW(A1)+610),"")</f>
        <v/>
      </c>
      <c r="G611">
        <f>IF(610&lt;=1000,INDEX($A$2:$A$1001,610),IF(610&lt;=2000,INDEX($B$2:$B$1001,-390),IF(610&lt;=3000,INDEX($C$2:$C$1001,-1390),IF(610&lt;=4000,INDEX($D$2:$D$1001,-2390),IF(610&lt;=5000,INDEX($E$2:$E$1001,-3390),"")))))</f>
        <v/>
      </c>
    </row>
    <row r="612">
      <c r="A612">
        <f>IFERROR(INDEX('[AQ_2020.xlsx]原始数据'!$A:$A,ROW(A1)+611),"")</f>
        <v/>
      </c>
      <c r="B612">
        <f>IFERROR(INDEX('[AQ_2021.xlsx]原始数据'!$A:$A,ROW(A1)+611),"")</f>
        <v/>
      </c>
      <c r="C612">
        <f>IFERROR(INDEX('[AQ_2022.xlsx]原始数据'!$A:$A,ROW(A1)+611),"")</f>
        <v/>
      </c>
      <c r="D612">
        <f>IFERROR(INDEX('[AQ_2023.xlsx]原始数据'!$A:$A,ROW(A1)+611),"")</f>
        <v/>
      </c>
      <c r="E612">
        <f>IFERROR(INDEX('[AQ_2024.xlsx]原始数据'!$A:$A,ROW(A1)+611),"")</f>
        <v/>
      </c>
      <c r="G612">
        <f>IF(611&lt;=1000,INDEX($A$2:$A$1001,611),IF(611&lt;=2000,INDEX($B$2:$B$1001,-389),IF(611&lt;=3000,INDEX($C$2:$C$1001,-1389),IF(611&lt;=4000,INDEX($D$2:$D$1001,-2389),IF(611&lt;=5000,INDEX($E$2:$E$1001,-3389),"")))))</f>
        <v/>
      </c>
    </row>
    <row r="613">
      <c r="A613">
        <f>IFERROR(INDEX('[AQ_2020.xlsx]原始数据'!$A:$A,ROW(A1)+612),"")</f>
        <v/>
      </c>
      <c r="B613">
        <f>IFERROR(INDEX('[AQ_2021.xlsx]原始数据'!$A:$A,ROW(A1)+612),"")</f>
        <v/>
      </c>
      <c r="C613">
        <f>IFERROR(INDEX('[AQ_2022.xlsx]原始数据'!$A:$A,ROW(A1)+612),"")</f>
        <v/>
      </c>
      <c r="D613">
        <f>IFERROR(INDEX('[AQ_2023.xlsx]原始数据'!$A:$A,ROW(A1)+612),"")</f>
        <v/>
      </c>
      <c r="E613">
        <f>IFERROR(INDEX('[AQ_2024.xlsx]原始数据'!$A:$A,ROW(A1)+612),"")</f>
        <v/>
      </c>
      <c r="G613">
        <f>IF(612&lt;=1000,INDEX($A$2:$A$1001,612),IF(612&lt;=2000,INDEX($B$2:$B$1001,-388),IF(612&lt;=3000,INDEX($C$2:$C$1001,-1388),IF(612&lt;=4000,INDEX($D$2:$D$1001,-2388),IF(612&lt;=5000,INDEX($E$2:$E$1001,-3388),"")))))</f>
        <v/>
      </c>
    </row>
    <row r="614">
      <c r="A614">
        <f>IFERROR(INDEX('[AQ_2020.xlsx]原始数据'!$A:$A,ROW(A1)+613),"")</f>
        <v/>
      </c>
      <c r="B614">
        <f>IFERROR(INDEX('[AQ_2021.xlsx]原始数据'!$A:$A,ROW(A1)+613),"")</f>
        <v/>
      </c>
      <c r="C614">
        <f>IFERROR(INDEX('[AQ_2022.xlsx]原始数据'!$A:$A,ROW(A1)+613),"")</f>
        <v/>
      </c>
      <c r="D614">
        <f>IFERROR(INDEX('[AQ_2023.xlsx]原始数据'!$A:$A,ROW(A1)+613),"")</f>
        <v/>
      </c>
      <c r="E614">
        <f>IFERROR(INDEX('[AQ_2024.xlsx]原始数据'!$A:$A,ROW(A1)+613),"")</f>
        <v/>
      </c>
      <c r="G614">
        <f>IF(613&lt;=1000,INDEX($A$2:$A$1001,613),IF(613&lt;=2000,INDEX($B$2:$B$1001,-387),IF(613&lt;=3000,INDEX($C$2:$C$1001,-1387),IF(613&lt;=4000,INDEX($D$2:$D$1001,-2387),IF(613&lt;=5000,INDEX($E$2:$E$1001,-3387),"")))))</f>
        <v/>
      </c>
    </row>
    <row r="615">
      <c r="A615">
        <f>IFERROR(INDEX('[AQ_2020.xlsx]原始数据'!$A:$A,ROW(A1)+614),"")</f>
        <v/>
      </c>
      <c r="B615">
        <f>IFERROR(INDEX('[AQ_2021.xlsx]原始数据'!$A:$A,ROW(A1)+614),"")</f>
        <v/>
      </c>
      <c r="C615">
        <f>IFERROR(INDEX('[AQ_2022.xlsx]原始数据'!$A:$A,ROW(A1)+614),"")</f>
        <v/>
      </c>
      <c r="D615">
        <f>IFERROR(INDEX('[AQ_2023.xlsx]原始数据'!$A:$A,ROW(A1)+614),"")</f>
        <v/>
      </c>
      <c r="E615">
        <f>IFERROR(INDEX('[AQ_2024.xlsx]原始数据'!$A:$A,ROW(A1)+614),"")</f>
        <v/>
      </c>
      <c r="G615">
        <f>IF(614&lt;=1000,INDEX($A$2:$A$1001,614),IF(614&lt;=2000,INDEX($B$2:$B$1001,-386),IF(614&lt;=3000,INDEX($C$2:$C$1001,-1386),IF(614&lt;=4000,INDEX($D$2:$D$1001,-2386),IF(614&lt;=5000,INDEX($E$2:$E$1001,-3386),"")))))</f>
        <v/>
      </c>
    </row>
    <row r="616">
      <c r="A616">
        <f>IFERROR(INDEX('[AQ_2020.xlsx]原始数据'!$A:$A,ROW(A1)+615),"")</f>
        <v/>
      </c>
      <c r="B616">
        <f>IFERROR(INDEX('[AQ_2021.xlsx]原始数据'!$A:$A,ROW(A1)+615),"")</f>
        <v/>
      </c>
      <c r="C616">
        <f>IFERROR(INDEX('[AQ_2022.xlsx]原始数据'!$A:$A,ROW(A1)+615),"")</f>
        <v/>
      </c>
      <c r="D616">
        <f>IFERROR(INDEX('[AQ_2023.xlsx]原始数据'!$A:$A,ROW(A1)+615),"")</f>
        <v/>
      </c>
      <c r="E616">
        <f>IFERROR(INDEX('[AQ_2024.xlsx]原始数据'!$A:$A,ROW(A1)+615),"")</f>
        <v/>
      </c>
      <c r="G616">
        <f>IF(615&lt;=1000,INDEX($A$2:$A$1001,615),IF(615&lt;=2000,INDEX($B$2:$B$1001,-385),IF(615&lt;=3000,INDEX($C$2:$C$1001,-1385),IF(615&lt;=4000,INDEX($D$2:$D$1001,-2385),IF(615&lt;=5000,INDEX($E$2:$E$1001,-3385),"")))))</f>
        <v/>
      </c>
    </row>
    <row r="617">
      <c r="A617">
        <f>IFERROR(INDEX('[AQ_2020.xlsx]原始数据'!$A:$A,ROW(A1)+616),"")</f>
        <v/>
      </c>
      <c r="B617">
        <f>IFERROR(INDEX('[AQ_2021.xlsx]原始数据'!$A:$A,ROW(A1)+616),"")</f>
        <v/>
      </c>
      <c r="C617">
        <f>IFERROR(INDEX('[AQ_2022.xlsx]原始数据'!$A:$A,ROW(A1)+616),"")</f>
        <v/>
      </c>
      <c r="D617">
        <f>IFERROR(INDEX('[AQ_2023.xlsx]原始数据'!$A:$A,ROW(A1)+616),"")</f>
        <v/>
      </c>
      <c r="E617">
        <f>IFERROR(INDEX('[AQ_2024.xlsx]原始数据'!$A:$A,ROW(A1)+616),"")</f>
        <v/>
      </c>
      <c r="G617">
        <f>IF(616&lt;=1000,INDEX($A$2:$A$1001,616),IF(616&lt;=2000,INDEX($B$2:$B$1001,-384),IF(616&lt;=3000,INDEX($C$2:$C$1001,-1384),IF(616&lt;=4000,INDEX($D$2:$D$1001,-2384),IF(616&lt;=5000,INDEX($E$2:$E$1001,-3384),"")))))</f>
        <v/>
      </c>
    </row>
    <row r="618">
      <c r="A618">
        <f>IFERROR(INDEX('[AQ_2020.xlsx]原始数据'!$A:$A,ROW(A1)+617),"")</f>
        <v/>
      </c>
      <c r="B618">
        <f>IFERROR(INDEX('[AQ_2021.xlsx]原始数据'!$A:$A,ROW(A1)+617),"")</f>
        <v/>
      </c>
      <c r="C618">
        <f>IFERROR(INDEX('[AQ_2022.xlsx]原始数据'!$A:$A,ROW(A1)+617),"")</f>
        <v/>
      </c>
      <c r="D618">
        <f>IFERROR(INDEX('[AQ_2023.xlsx]原始数据'!$A:$A,ROW(A1)+617),"")</f>
        <v/>
      </c>
      <c r="E618">
        <f>IFERROR(INDEX('[AQ_2024.xlsx]原始数据'!$A:$A,ROW(A1)+617),"")</f>
        <v/>
      </c>
      <c r="G618">
        <f>IF(617&lt;=1000,INDEX($A$2:$A$1001,617),IF(617&lt;=2000,INDEX($B$2:$B$1001,-383),IF(617&lt;=3000,INDEX($C$2:$C$1001,-1383),IF(617&lt;=4000,INDEX($D$2:$D$1001,-2383),IF(617&lt;=5000,INDEX($E$2:$E$1001,-3383),"")))))</f>
        <v/>
      </c>
    </row>
    <row r="619">
      <c r="A619">
        <f>IFERROR(INDEX('[AQ_2020.xlsx]原始数据'!$A:$A,ROW(A1)+618),"")</f>
        <v/>
      </c>
      <c r="B619">
        <f>IFERROR(INDEX('[AQ_2021.xlsx]原始数据'!$A:$A,ROW(A1)+618),"")</f>
        <v/>
      </c>
      <c r="C619">
        <f>IFERROR(INDEX('[AQ_2022.xlsx]原始数据'!$A:$A,ROW(A1)+618),"")</f>
        <v/>
      </c>
      <c r="D619">
        <f>IFERROR(INDEX('[AQ_2023.xlsx]原始数据'!$A:$A,ROW(A1)+618),"")</f>
        <v/>
      </c>
      <c r="E619">
        <f>IFERROR(INDEX('[AQ_2024.xlsx]原始数据'!$A:$A,ROW(A1)+618),"")</f>
        <v/>
      </c>
      <c r="G619">
        <f>IF(618&lt;=1000,INDEX($A$2:$A$1001,618),IF(618&lt;=2000,INDEX($B$2:$B$1001,-382),IF(618&lt;=3000,INDEX($C$2:$C$1001,-1382),IF(618&lt;=4000,INDEX($D$2:$D$1001,-2382),IF(618&lt;=5000,INDEX($E$2:$E$1001,-3382),"")))))</f>
        <v/>
      </c>
    </row>
    <row r="620">
      <c r="A620">
        <f>IFERROR(INDEX('[AQ_2020.xlsx]原始数据'!$A:$A,ROW(A1)+619),"")</f>
        <v/>
      </c>
      <c r="B620">
        <f>IFERROR(INDEX('[AQ_2021.xlsx]原始数据'!$A:$A,ROW(A1)+619),"")</f>
        <v/>
      </c>
      <c r="C620">
        <f>IFERROR(INDEX('[AQ_2022.xlsx]原始数据'!$A:$A,ROW(A1)+619),"")</f>
        <v/>
      </c>
      <c r="D620">
        <f>IFERROR(INDEX('[AQ_2023.xlsx]原始数据'!$A:$A,ROW(A1)+619),"")</f>
        <v/>
      </c>
      <c r="E620">
        <f>IFERROR(INDEX('[AQ_2024.xlsx]原始数据'!$A:$A,ROW(A1)+619),"")</f>
        <v/>
      </c>
      <c r="G620">
        <f>IF(619&lt;=1000,INDEX($A$2:$A$1001,619),IF(619&lt;=2000,INDEX($B$2:$B$1001,-381),IF(619&lt;=3000,INDEX($C$2:$C$1001,-1381),IF(619&lt;=4000,INDEX($D$2:$D$1001,-2381),IF(619&lt;=5000,INDEX($E$2:$E$1001,-3381),"")))))</f>
        <v/>
      </c>
    </row>
    <row r="621">
      <c r="A621">
        <f>IFERROR(INDEX('[AQ_2020.xlsx]原始数据'!$A:$A,ROW(A1)+620),"")</f>
        <v/>
      </c>
      <c r="B621">
        <f>IFERROR(INDEX('[AQ_2021.xlsx]原始数据'!$A:$A,ROW(A1)+620),"")</f>
        <v/>
      </c>
      <c r="C621">
        <f>IFERROR(INDEX('[AQ_2022.xlsx]原始数据'!$A:$A,ROW(A1)+620),"")</f>
        <v/>
      </c>
      <c r="D621">
        <f>IFERROR(INDEX('[AQ_2023.xlsx]原始数据'!$A:$A,ROW(A1)+620),"")</f>
        <v/>
      </c>
      <c r="E621">
        <f>IFERROR(INDEX('[AQ_2024.xlsx]原始数据'!$A:$A,ROW(A1)+620),"")</f>
        <v/>
      </c>
      <c r="G621">
        <f>IF(620&lt;=1000,INDEX($A$2:$A$1001,620),IF(620&lt;=2000,INDEX($B$2:$B$1001,-380),IF(620&lt;=3000,INDEX($C$2:$C$1001,-1380),IF(620&lt;=4000,INDEX($D$2:$D$1001,-2380),IF(620&lt;=5000,INDEX($E$2:$E$1001,-3380),"")))))</f>
        <v/>
      </c>
    </row>
    <row r="622">
      <c r="A622">
        <f>IFERROR(INDEX('[AQ_2020.xlsx]原始数据'!$A:$A,ROW(A1)+621),"")</f>
        <v/>
      </c>
      <c r="B622">
        <f>IFERROR(INDEX('[AQ_2021.xlsx]原始数据'!$A:$A,ROW(A1)+621),"")</f>
        <v/>
      </c>
      <c r="C622">
        <f>IFERROR(INDEX('[AQ_2022.xlsx]原始数据'!$A:$A,ROW(A1)+621),"")</f>
        <v/>
      </c>
      <c r="D622">
        <f>IFERROR(INDEX('[AQ_2023.xlsx]原始数据'!$A:$A,ROW(A1)+621),"")</f>
        <v/>
      </c>
      <c r="E622">
        <f>IFERROR(INDEX('[AQ_2024.xlsx]原始数据'!$A:$A,ROW(A1)+621),"")</f>
        <v/>
      </c>
      <c r="G622">
        <f>IF(621&lt;=1000,INDEX($A$2:$A$1001,621),IF(621&lt;=2000,INDEX($B$2:$B$1001,-379),IF(621&lt;=3000,INDEX($C$2:$C$1001,-1379),IF(621&lt;=4000,INDEX($D$2:$D$1001,-2379),IF(621&lt;=5000,INDEX($E$2:$E$1001,-3379),"")))))</f>
        <v/>
      </c>
    </row>
    <row r="623">
      <c r="A623">
        <f>IFERROR(INDEX('[AQ_2020.xlsx]原始数据'!$A:$A,ROW(A1)+622),"")</f>
        <v/>
      </c>
      <c r="B623">
        <f>IFERROR(INDEX('[AQ_2021.xlsx]原始数据'!$A:$A,ROW(A1)+622),"")</f>
        <v/>
      </c>
      <c r="C623">
        <f>IFERROR(INDEX('[AQ_2022.xlsx]原始数据'!$A:$A,ROW(A1)+622),"")</f>
        <v/>
      </c>
      <c r="D623">
        <f>IFERROR(INDEX('[AQ_2023.xlsx]原始数据'!$A:$A,ROW(A1)+622),"")</f>
        <v/>
      </c>
      <c r="E623">
        <f>IFERROR(INDEX('[AQ_2024.xlsx]原始数据'!$A:$A,ROW(A1)+622),"")</f>
        <v/>
      </c>
      <c r="G623">
        <f>IF(622&lt;=1000,INDEX($A$2:$A$1001,622),IF(622&lt;=2000,INDEX($B$2:$B$1001,-378),IF(622&lt;=3000,INDEX($C$2:$C$1001,-1378),IF(622&lt;=4000,INDEX($D$2:$D$1001,-2378),IF(622&lt;=5000,INDEX($E$2:$E$1001,-3378),"")))))</f>
        <v/>
      </c>
    </row>
    <row r="624">
      <c r="A624">
        <f>IFERROR(INDEX('[AQ_2020.xlsx]原始数据'!$A:$A,ROW(A1)+623),"")</f>
        <v/>
      </c>
      <c r="B624">
        <f>IFERROR(INDEX('[AQ_2021.xlsx]原始数据'!$A:$A,ROW(A1)+623),"")</f>
        <v/>
      </c>
      <c r="C624">
        <f>IFERROR(INDEX('[AQ_2022.xlsx]原始数据'!$A:$A,ROW(A1)+623),"")</f>
        <v/>
      </c>
      <c r="D624">
        <f>IFERROR(INDEX('[AQ_2023.xlsx]原始数据'!$A:$A,ROW(A1)+623),"")</f>
        <v/>
      </c>
      <c r="E624">
        <f>IFERROR(INDEX('[AQ_2024.xlsx]原始数据'!$A:$A,ROW(A1)+623),"")</f>
        <v/>
      </c>
      <c r="G624">
        <f>IF(623&lt;=1000,INDEX($A$2:$A$1001,623),IF(623&lt;=2000,INDEX($B$2:$B$1001,-377),IF(623&lt;=3000,INDEX($C$2:$C$1001,-1377),IF(623&lt;=4000,INDEX($D$2:$D$1001,-2377),IF(623&lt;=5000,INDEX($E$2:$E$1001,-3377),"")))))</f>
        <v/>
      </c>
    </row>
    <row r="625">
      <c r="A625">
        <f>IFERROR(INDEX('[AQ_2020.xlsx]原始数据'!$A:$A,ROW(A1)+624),"")</f>
        <v/>
      </c>
      <c r="B625">
        <f>IFERROR(INDEX('[AQ_2021.xlsx]原始数据'!$A:$A,ROW(A1)+624),"")</f>
        <v/>
      </c>
      <c r="C625">
        <f>IFERROR(INDEX('[AQ_2022.xlsx]原始数据'!$A:$A,ROW(A1)+624),"")</f>
        <v/>
      </c>
      <c r="D625">
        <f>IFERROR(INDEX('[AQ_2023.xlsx]原始数据'!$A:$A,ROW(A1)+624),"")</f>
        <v/>
      </c>
      <c r="E625">
        <f>IFERROR(INDEX('[AQ_2024.xlsx]原始数据'!$A:$A,ROW(A1)+624),"")</f>
        <v/>
      </c>
      <c r="G625">
        <f>IF(624&lt;=1000,INDEX($A$2:$A$1001,624),IF(624&lt;=2000,INDEX($B$2:$B$1001,-376),IF(624&lt;=3000,INDEX($C$2:$C$1001,-1376),IF(624&lt;=4000,INDEX($D$2:$D$1001,-2376),IF(624&lt;=5000,INDEX($E$2:$E$1001,-3376),"")))))</f>
        <v/>
      </c>
    </row>
    <row r="626">
      <c r="A626">
        <f>IFERROR(INDEX('[AQ_2020.xlsx]原始数据'!$A:$A,ROW(A1)+625),"")</f>
        <v/>
      </c>
      <c r="B626">
        <f>IFERROR(INDEX('[AQ_2021.xlsx]原始数据'!$A:$A,ROW(A1)+625),"")</f>
        <v/>
      </c>
      <c r="C626">
        <f>IFERROR(INDEX('[AQ_2022.xlsx]原始数据'!$A:$A,ROW(A1)+625),"")</f>
        <v/>
      </c>
      <c r="D626">
        <f>IFERROR(INDEX('[AQ_2023.xlsx]原始数据'!$A:$A,ROW(A1)+625),"")</f>
        <v/>
      </c>
      <c r="E626">
        <f>IFERROR(INDEX('[AQ_2024.xlsx]原始数据'!$A:$A,ROW(A1)+625),"")</f>
        <v/>
      </c>
      <c r="G626">
        <f>IF(625&lt;=1000,INDEX($A$2:$A$1001,625),IF(625&lt;=2000,INDEX($B$2:$B$1001,-375),IF(625&lt;=3000,INDEX($C$2:$C$1001,-1375),IF(625&lt;=4000,INDEX($D$2:$D$1001,-2375),IF(625&lt;=5000,INDEX($E$2:$E$1001,-3375),"")))))</f>
        <v/>
      </c>
    </row>
    <row r="627">
      <c r="A627">
        <f>IFERROR(INDEX('[AQ_2020.xlsx]原始数据'!$A:$A,ROW(A1)+626),"")</f>
        <v/>
      </c>
      <c r="B627">
        <f>IFERROR(INDEX('[AQ_2021.xlsx]原始数据'!$A:$A,ROW(A1)+626),"")</f>
        <v/>
      </c>
      <c r="C627">
        <f>IFERROR(INDEX('[AQ_2022.xlsx]原始数据'!$A:$A,ROW(A1)+626),"")</f>
        <v/>
      </c>
      <c r="D627">
        <f>IFERROR(INDEX('[AQ_2023.xlsx]原始数据'!$A:$A,ROW(A1)+626),"")</f>
        <v/>
      </c>
      <c r="E627">
        <f>IFERROR(INDEX('[AQ_2024.xlsx]原始数据'!$A:$A,ROW(A1)+626),"")</f>
        <v/>
      </c>
      <c r="G627">
        <f>IF(626&lt;=1000,INDEX($A$2:$A$1001,626),IF(626&lt;=2000,INDEX($B$2:$B$1001,-374),IF(626&lt;=3000,INDEX($C$2:$C$1001,-1374),IF(626&lt;=4000,INDEX($D$2:$D$1001,-2374),IF(626&lt;=5000,INDEX($E$2:$E$1001,-3374),"")))))</f>
        <v/>
      </c>
    </row>
    <row r="628">
      <c r="A628">
        <f>IFERROR(INDEX('[AQ_2020.xlsx]原始数据'!$A:$A,ROW(A1)+627),"")</f>
        <v/>
      </c>
      <c r="B628">
        <f>IFERROR(INDEX('[AQ_2021.xlsx]原始数据'!$A:$A,ROW(A1)+627),"")</f>
        <v/>
      </c>
      <c r="C628">
        <f>IFERROR(INDEX('[AQ_2022.xlsx]原始数据'!$A:$A,ROW(A1)+627),"")</f>
        <v/>
      </c>
      <c r="D628">
        <f>IFERROR(INDEX('[AQ_2023.xlsx]原始数据'!$A:$A,ROW(A1)+627),"")</f>
        <v/>
      </c>
      <c r="E628">
        <f>IFERROR(INDEX('[AQ_2024.xlsx]原始数据'!$A:$A,ROW(A1)+627),"")</f>
        <v/>
      </c>
      <c r="G628">
        <f>IF(627&lt;=1000,INDEX($A$2:$A$1001,627),IF(627&lt;=2000,INDEX($B$2:$B$1001,-373),IF(627&lt;=3000,INDEX($C$2:$C$1001,-1373),IF(627&lt;=4000,INDEX($D$2:$D$1001,-2373),IF(627&lt;=5000,INDEX($E$2:$E$1001,-3373),"")))))</f>
        <v/>
      </c>
    </row>
    <row r="629">
      <c r="A629">
        <f>IFERROR(INDEX('[AQ_2020.xlsx]原始数据'!$A:$A,ROW(A1)+628),"")</f>
        <v/>
      </c>
      <c r="B629">
        <f>IFERROR(INDEX('[AQ_2021.xlsx]原始数据'!$A:$A,ROW(A1)+628),"")</f>
        <v/>
      </c>
      <c r="C629">
        <f>IFERROR(INDEX('[AQ_2022.xlsx]原始数据'!$A:$A,ROW(A1)+628),"")</f>
        <v/>
      </c>
      <c r="D629">
        <f>IFERROR(INDEX('[AQ_2023.xlsx]原始数据'!$A:$A,ROW(A1)+628),"")</f>
        <v/>
      </c>
      <c r="E629">
        <f>IFERROR(INDEX('[AQ_2024.xlsx]原始数据'!$A:$A,ROW(A1)+628),"")</f>
        <v/>
      </c>
      <c r="G629">
        <f>IF(628&lt;=1000,INDEX($A$2:$A$1001,628),IF(628&lt;=2000,INDEX($B$2:$B$1001,-372),IF(628&lt;=3000,INDEX($C$2:$C$1001,-1372),IF(628&lt;=4000,INDEX($D$2:$D$1001,-2372),IF(628&lt;=5000,INDEX($E$2:$E$1001,-3372),"")))))</f>
        <v/>
      </c>
    </row>
    <row r="630">
      <c r="A630">
        <f>IFERROR(INDEX('[AQ_2020.xlsx]原始数据'!$A:$A,ROW(A1)+629),"")</f>
        <v/>
      </c>
      <c r="B630">
        <f>IFERROR(INDEX('[AQ_2021.xlsx]原始数据'!$A:$A,ROW(A1)+629),"")</f>
        <v/>
      </c>
      <c r="C630">
        <f>IFERROR(INDEX('[AQ_2022.xlsx]原始数据'!$A:$A,ROW(A1)+629),"")</f>
        <v/>
      </c>
      <c r="D630">
        <f>IFERROR(INDEX('[AQ_2023.xlsx]原始数据'!$A:$A,ROW(A1)+629),"")</f>
        <v/>
      </c>
      <c r="E630">
        <f>IFERROR(INDEX('[AQ_2024.xlsx]原始数据'!$A:$A,ROW(A1)+629),"")</f>
        <v/>
      </c>
      <c r="G630">
        <f>IF(629&lt;=1000,INDEX($A$2:$A$1001,629),IF(629&lt;=2000,INDEX($B$2:$B$1001,-371),IF(629&lt;=3000,INDEX($C$2:$C$1001,-1371),IF(629&lt;=4000,INDEX($D$2:$D$1001,-2371),IF(629&lt;=5000,INDEX($E$2:$E$1001,-3371),"")))))</f>
        <v/>
      </c>
    </row>
    <row r="631">
      <c r="A631">
        <f>IFERROR(INDEX('[AQ_2020.xlsx]原始数据'!$A:$A,ROW(A1)+630),"")</f>
        <v/>
      </c>
      <c r="B631">
        <f>IFERROR(INDEX('[AQ_2021.xlsx]原始数据'!$A:$A,ROW(A1)+630),"")</f>
        <v/>
      </c>
      <c r="C631">
        <f>IFERROR(INDEX('[AQ_2022.xlsx]原始数据'!$A:$A,ROW(A1)+630),"")</f>
        <v/>
      </c>
      <c r="D631">
        <f>IFERROR(INDEX('[AQ_2023.xlsx]原始数据'!$A:$A,ROW(A1)+630),"")</f>
        <v/>
      </c>
      <c r="E631">
        <f>IFERROR(INDEX('[AQ_2024.xlsx]原始数据'!$A:$A,ROW(A1)+630),"")</f>
        <v/>
      </c>
      <c r="G631">
        <f>IF(630&lt;=1000,INDEX($A$2:$A$1001,630),IF(630&lt;=2000,INDEX($B$2:$B$1001,-370),IF(630&lt;=3000,INDEX($C$2:$C$1001,-1370),IF(630&lt;=4000,INDEX($D$2:$D$1001,-2370),IF(630&lt;=5000,INDEX($E$2:$E$1001,-3370),"")))))</f>
        <v/>
      </c>
    </row>
    <row r="632">
      <c r="A632">
        <f>IFERROR(INDEX('[AQ_2020.xlsx]原始数据'!$A:$A,ROW(A1)+631),"")</f>
        <v/>
      </c>
      <c r="B632">
        <f>IFERROR(INDEX('[AQ_2021.xlsx]原始数据'!$A:$A,ROW(A1)+631),"")</f>
        <v/>
      </c>
      <c r="C632">
        <f>IFERROR(INDEX('[AQ_2022.xlsx]原始数据'!$A:$A,ROW(A1)+631),"")</f>
        <v/>
      </c>
      <c r="D632">
        <f>IFERROR(INDEX('[AQ_2023.xlsx]原始数据'!$A:$A,ROW(A1)+631),"")</f>
        <v/>
      </c>
      <c r="E632">
        <f>IFERROR(INDEX('[AQ_2024.xlsx]原始数据'!$A:$A,ROW(A1)+631),"")</f>
        <v/>
      </c>
      <c r="G632">
        <f>IF(631&lt;=1000,INDEX($A$2:$A$1001,631),IF(631&lt;=2000,INDEX($B$2:$B$1001,-369),IF(631&lt;=3000,INDEX($C$2:$C$1001,-1369),IF(631&lt;=4000,INDEX($D$2:$D$1001,-2369),IF(631&lt;=5000,INDEX($E$2:$E$1001,-3369),"")))))</f>
        <v/>
      </c>
    </row>
    <row r="633">
      <c r="A633">
        <f>IFERROR(INDEX('[AQ_2020.xlsx]原始数据'!$A:$A,ROW(A1)+632),"")</f>
        <v/>
      </c>
      <c r="B633">
        <f>IFERROR(INDEX('[AQ_2021.xlsx]原始数据'!$A:$A,ROW(A1)+632),"")</f>
        <v/>
      </c>
      <c r="C633">
        <f>IFERROR(INDEX('[AQ_2022.xlsx]原始数据'!$A:$A,ROW(A1)+632),"")</f>
        <v/>
      </c>
      <c r="D633">
        <f>IFERROR(INDEX('[AQ_2023.xlsx]原始数据'!$A:$A,ROW(A1)+632),"")</f>
        <v/>
      </c>
      <c r="E633">
        <f>IFERROR(INDEX('[AQ_2024.xlsx]原始数据'!$A:$A,ROW(A1)+632),"")</f>
        <v/>
      </c>
      <c r="G633">
        <f>IF(632&lt;=1000,INDEX($A$2:$A$1001,632),IF(632&lt;=2000,INDEX($B$2:$B$1001,-368),IF(632&lt;=3000,INDEX($C$2:$C$1001,-1368),IF(632&lt;=4000,INDEX($D$2:$D$1001,-2368),IF(632&lt;=5000,INDEX($E$2:$E$1001,-3368),"")))))</f>
        <v/>
      </c>
    </row>
    <row r="634">
      <c r="A634">
        <f>IFERROR(INDEX('[AQ_2020.xlsx]原始数据'!$A:$A,ROW(A1)+633),"")</f>
        <v/>
      </c>
      <c r="B634">
        <f>IFERROR(INDEX('[AQ_2021.xlsx]原始数据'!$A:$A,ROW(A1)+633),"")</f>
        <v/>
      </c>
      <c r="C634">
        <f>IFERROR(INDEX('[AQ_2022.xlsx]原始数据'!$A:$A,ROW(A1)+633),"")</f>
        <v/>
      </c>
      <c r="D634">
        <f>IFERROR(INDEX('[AQ_2023.xlsx]原始数据'!$A:$A,ROW(A1)+633),"")</f>
        <v/>
      </c>
      <c r="E634">
        <f>IFERROR(INDEX('[AQ_2024.xlsx]原始数据'!$A:$A,ROW(A1)+633),"")</f>
        <v/>
      </c>
      <c r="G634">
        <f>IF(633&lt;=1000,INDEX($A$2:$A$1001,633),IF(633&lt;=2000,INDEX($B$2:$B$1001,-367),IF(633&lt;=3000,INDEX($C$2:$C$1001,-1367),IF(633&lt;=4000,INDEX($D$2:$D$1001,-2367),IF(633&lt;=5000,INDEX($E$2:$E$1001,-3367),"")))))</f>
        <v/>
      </c>
    </row>
    <row r="635">
      <c r="A635">
        <f>IFERROR(INDEX('[AQ_2020.xlsx]原始数据'!$A:$A,ROW(A1)+634),"")</f>
        <v/>
      </c>
      <c r="B635">
        <f>IFERROR(INDEX('[AQ_2021.xlsx]原始数据'!$A:$A,ROW(A1)+634),"")</f>
        <v/>
      </c>
      <c r="C635">
        <f>IFERROR(INDEX('[AQ_2022.xlsx]原始数据'!$A:$A,ROW(A1)+634),"")</f>
        <v/>
      </c>
      <c r="D635">
        <f>IFERROR(INDEX('[AQ_2023.xlsx]原始数据'!$A:$A,ROW(A1)+634),"")</f>
        <v/>
      </c>
      <c r="E635">
        <f>IFERROR(INDEX('[AQ_2024.xlsx]原始数据'!$A:$A,ROW(A1)+634),"")</f>
        <v/>
      </c>
      <c r="G635">
        <f>IF(634&lt;=1000,INDEX($A$2:$A$1001,634),IF(634&lt;=2000,INDEX($B$2:$B$1001,-366),IF(634&lt;=3000,INDEX($C$2:$C$1001,-1366),IF(634&lt;=4000,INDEX($D$2:$D$1001,-2366),IF(634&lt;=5000,INDEX($E$2:$E$1001,-3366),"")))))</f>
        <v/>
      </c>
    </row>
    <row r="636">
      <c r="A636">
        <f>IFERROR(INDEX('[AQ_2020.xlsx]原始数据'!$A:$A,ROW(A1)+635),"")</f>
        <v/>
      </c>
      <c r="B636">
        <f>IFERROR(INDEX('[AQ_2021.xlsx]原始数据'!$A:$A,ROW(A1)+635),"")</f>
        <v/>
      </c>
      <c r="C636">
        <f>IFERROR(INDEX('[AQ_2022.xlsx]原始数据'!$A:$A,ROW(A1)+635),"")</f>
        <v/>
      </c>
      <c r="D636">
        <f>IFERROR(INDEX('[AQ_2023.xlsx]原始数据'!$A:$A,ROW(A1)+635),"")</f>
        <v/>
      </c>
      <c r="E636">
        <f>IFERROR(INDEX('[AQ_2024.xlsx]原始数据'!$A:$A,ROW(A1)+635),"")</f>
        <v/>
      </c>
      <c r="G636">
        <f>IF(635&lt;=1000,INDEX($A$2:$A$1001,635),IF(635&lt;=2000,INDEX($B$2:$B$1001,-365),IF(635&lt;=3000,INDEX($C$2:$C$1001,-1365),IF(635&lt;=4000,INDEX($D$2:$D$1001,-2365),IF(635&lt;=5000,INDEX($E$2:$E$1001,-3365),"")))))</f>
        <v/>
      </c>
    </row>
    <row r="637">
      <c r="A637">
        <f>IFERROR(INDEX('[AQ_2020.xlsx]原始数据'!$A:$A,ROW(A1)+636),"")</f>
        <v/>
      </c>
      <c r="B637">
        <f>IFERROR(INDEX('[AQ_2021.xlsx]原始数据'!$A:$A,ROW(A1)+636),"")</f>
        <v/>
      </c>
      <c r="C637">
        <f>IFERROR(INDEX('[AQ_2022.xlsx]原始数据'!$A:$A,ROW(A1)+636),"")</f>
        <v/>
      </c>
      <c r="D637">
        <f>IFERROR(INDEX('[AQ_2023.xlsx]原始数据'!$A:$A,ROW(A1)+636),"")</f>
        <v/>
      </c>
      <c r="E637">
        <f>IFERROR(INDEX('[AQ_2024.xlsx]原始数据'!$A:$A,ROW(A1)+636),"")</f>
        <v/>
      </c>
      <c r="G637">
        <f>IF(636&lt;=1000,INDEX($A$2:$A$1001,636),IF(636&lt;=2000,INDEX($B$2:$B$1001,-364),IF(636&lt;=3000,INDEX($C$2:$C$1001,-1364),IF(636&lt;=4000,INDEX($D$2:$D$1001,-2364),IF(636&lt;=5000,INDEX($E$2:$E$1001,-3364),"")))))</f>
        <v/>
      </c>
    </row>
    <row r="638">
      <c r="A638">
        <f>IFERROR(INDEX('[AQ_2020.xlsx]原始数据'!$A:$A,ROW(A1)+637),"")</f>
        <v/>
      </c>
      <c r="B638">
        <f>IFERROR(INDEX('[AQ_2021.xlsx]原始数据'!$A:$A,ROW(A1)+637),"")</f>
        <v/>
      </c>
      <c r="C638">
        <f>IFERROR(INDEX('[AQ_2022.xlsx]原始数据'!$A:$A,ROW(A1)+637),"")</f>
        <v/>
      </c>
      <c r="D638">
        <f>IFERROR(INDEX('[AQ_2023.xlsx]原始数据'!$A:$A,ROW(A1)+637),"")</f>
        <v/>
      </c>
      <c r="E638">
        <f>IFERROR(INDEX('[AQ_2024.xlsx]原始数据'!$A:$A,ROW(A1)+637),"")</f>
        <v/>
      </c>
      <c r="G638">
        <f>IF(637&lt;=1000,INDEX($A$2:$A$1001,637),IF(637&lt;=2000,INDEX($B$2:$B$1001,-363),IF(637&lt;=3000,INDEX($C$2:$C$1001,-1363),IF(637&lt;=4000,INDEX($D$2:$D$1001,-2363),IF(637&lt;=5000,INDEX($E$2:$E$1001,-3363),"")))))</f>
        <v/>
      </c>
    </row>
    <row r="639">
      <c r="A639">
        <f>IFERROR(INDEX('[AQ_2020.xlsx]原始数据'!$A:$A,ROW(A1)+638),"")</f>
        <v/>
      </c>
      <c r="B639">
        <f>IFERROR(INDEX('[AQ_2021.xlsx]原始数据'!$A:$A,ROW(A1)+638),"")</f>
        <v/>
      </c>
      <c r="C639">
        <f>IFERROR(INDEX('[AQ_2022.xlsx]原始数据'!$A:$A,ROW(A1)+638),"")</f>
        <v/>
      </c>
      <c r="D639">
        <f>IFERROR(INDEX('[AQ_2023.xlsx]原始数据'!$A:$A,ROW(A1)+638),"")</f>
        <v/>
      </c>
      <c r="E639">
        <f>IFERROR(INDEX('[AQ_2024.xlsx]原始数据'!$A:$A,ROW(A1)+638),"")</f>
        <v/>
      </c>
      <c r="G639">
        <f>IF(638&lt;=1000,INDEX($A$2:$A$1001,638),IF(638&lt;=2000,INDEX($B$2:$B$1001,-362),IF(638&lt;=3000,INDEX($C$2:$C$1001,-1362),IF(638&lt;=4000,INDEX($D$2:$D$1001,-2362),IF(638&lt;=5000,INDEX($E$2:$E$1001,-3362),"")))))</f>
        <v/>
      </c>
    </row>
    <row r="640">
      <c r="A640">
        <f>IFERROR(INDEX('[AQ_2020.xlsx]原始数据'!$A:$A,ROW(A1)+639),"")</f>
        <v/>
      </c>
      <c r="B640">
        <f>IFERROR(INDEX('[AQ_2021.xlsx]原始数据'!$A:$A,ROW(A1)+639),"")</f>
        <v/>
      </c>
      <c r="C640">
        <f>IFERROR(INDEX('[AQ_2022.xlsx]原始数据'!$A:$A,ROW(A1)+639),"")</f>
        <v/>
      </c>
      <c r="D640">
        <f>IFERROR(INDEX('[AQ_2023.xlsx]原始数据'!$A:$A,ROW(A1)+639),"")</f>
        <v/>
      </c>
      <c r="E640">
        <f>IFERROR(INDEX('[AQ_2024.xlsx]原始数据'!$A:$A,ROW(A1)+639),"")</f>
        <v/>
      </c>
      <c r="G640">
        <f>IF(639&lt;=1000,INDEX($A$2:$A$1001,639),IF(639&lt;=2000,INDEX($B$2:$B$1001,-361),IF(639&lt;=3000,INDEX($C$2:$C$1001,-1361),IF(639&lt;=4000,INDEX($D$2:$D$1001,-2361),IF(639&lt;=5000,INDEX($E$2:$E$1001,-3361),"")))))</f>
        <v/>
      </c>
    </row>
    <row r="641">
      <c r="A641">
        <f>IFERROR(INDEX('[AQ_2020.xlsx]原始数据'!$A:$A,ROW(A1)+640),"")</f>
        <v/>
      </c>
      <c r="B641">
        <f>IFERROR(INDEX('[AQ_2021.xlsx]原始数据'!$A:$A,ROW(A1)+640),"")</f>
        <v/>
      </c>
      <c r="C641">
        <f>IFERROR(INDEX('[AQ_2022.xlsx]原始数据'!$A:$A,ROW(A1)+640),"")</f>
        <v/>
      </c>
      <c r="D641">
        <f>IFERROR(INDEX('[AQ_2023.xlsx]原始数据'!$A:$A,ROW(A1)+640),"")</f>
        <v/>
      </c>
      <c r="E641">
        <f>IFERROR(INDEX('[AQ_2024.xlsx]原始数据'!$A:$A,ROW(A1)+640),"")</f>
        <v/>
      </c>
      <c r="G641">
        <f>IF(640&lt;=1000,INDEX($A$2:$A$1001,640),IF(640&lt;=2000,INDEX($B$2:$B$1001,-360),IF(640&lt;=3000,INDEX($C$2:$C$1001,-1360),IF(640&lt;=4000,INDEX($D$2:$D$1001,-2360),IF(640&lt;=5000,INDEX($E$2:$E$1001,-3360),"")))))</f>
        <v/>
      </c>
    </row>
    <row r="642">
      <c r="A642">
        <f>IFERROR(INDEX('[AQ_2020.xlsx]原始数据'!$A:$A,ROW(A1)+641),"")</f>
        <v/>
      </c>
      <c r="B642">
        <f>IFERROR(INDEX('[AQ_2021.xlsx]原始数据'!$A:$A,ROW(A1)+641),"")</f>
        <v/>
      </c>
      <c r="C642">
        <f>IFERROR(INDEX('[AQ_2022.xlsx]原始数据'!$A:$A,ROW(A1)+641),"")</f>
        <v/>
      </c>
      <c r="D642">
        <f>IFERROR(INDEX('[AQ_2023.xlsx]原始数据'!$A:$A,ROW(A1)+641),"")</f>
        <v/>
      </c>
      <c r="E642">
        <f>IFERROR(INDEX('[AQ_2024.xlsx]原始数据'!$A:$A,ROW(A1)+641),"")</f>
        <v/>
      </c>
      <c r="G642">
        <f>IF(641&lt;=1000,INDEX($A$2:$A$1001,641),IF(641&lt;=2000,INDEX($B$2:$B$1001,-359),IF(641&lt;=3000,INDEX($C$2:$C$1001,-1359),IF(641&lt;=4000,INDEX($D$2:$D$1001,-2359),IF(641&lt;=5000,INDEX($E$2:$E$1001,-3359),"")))))</f>
        <v/>
      </c>
    </row>
    <row r="643">
      <c r="A643">
        <f>IFERROR(INDEX('[AQ_2020.xlsx]原始数据'!$A:$A,ROW(A1)+642),"")</f>
        <v/>
      </c>
      <c r="B643">
        <f>IFERROR(INDEX('[AQ_2021.xlsx]原始数据'!$A:$A,ROW(A1)+642),"")</f>
        <v/>
      </c>
      <c r="C643">
        <f>IFERROR(INDEX('[AQ_2022.xlsx]原始数据'!$A:$A,ROW(A1)+642),"")</f>
        <v/>
      </c>
      <c r="D643">
        <f>IFERROR(INDEX('[AQ_2023.xlsx]原始数据'!$A:$A,ROW(A1)+642),"")</f>
        <v/>
      </c>
      <c r="E643">
        <f>IFERROR(INDEX('[AQ_2024.xlsx]原始数据'!$A:$A,ROW(A1)+642),"")</f>
        <v/>
      </c>
      <c r="G643">
        <f>IF(642&lt;=1000,INDEX($A$2:$A$1001,642),IF(642&lt;=2000,INDEX($B$2:$B$1001,-358),IF(642&lt;=3000,INDEX($C$2:$C$1001,-1358),IF(642&lt;=4000,INDEX($D$2:$D$1001,-2358),IF(642&lt;=5000,INDEX($E$2:$E$1001,-3358),"")))))</f>
        <v/>
      </c>
    </row>
    <row r="644">
      <c r="A644">
        <f>IFERROR(INDEX('[AQ_2020.xlsx]原始数据'!$A:$A,ROW(A1)+643),"")</f>
        <v/>
      </c>
      <c r="B644">
        <f>IFERROR(INDEX('[AQ_2021.xlsx]原始数据'!$A:$A,ROW(A1)+643),"")</f>
        <v/>
      </c>
      <c r="C644">
        <f>IFERROR(INDEX('[AQ_2022.xlsx]原始数据'!$A:$A,ROW(A1)+643),"")</f>
        <v/>
      </c>
      <c r="D644">
        <f>IFERROR(INDEX('[AQ_2023.xlsx]原始数据'!$A:$A,ROW(A1)+643),"")</f>
        <v/>
      </c>
      <c r="E644">
        <f>IFERROR(INDEX('[AQ_2024.xlsx]原始数据'!$A:$A,ROW(A1)+643),"")</f>
        <v/>
      </c>
      <c r="G644">
        <f>IF(643&lt;=1000,INDEX($A$2:$A$1001,643),IF(643&lt;=2000,INDEX($B$2:$B$1001,-357),IF(643&lt;=3000,INDEX($C$2:$C$1001,-1357),IF(643&lt;=4000,INDEX($D$2:$D$1001,-2357),IF(643&lt;=5000,INDEX($E$2:$E$1001,-3357),"")))))</f>
        <v/>
      </c>
    </row>
    <row r="645">
      <c r="A645">
        <f>IFERROR(INDEX('[AQ_2020.xlsx]原始数据'!$A:$A,ROW(A1)+644),"")</f>
        <v/>
      </c>
      <c r="B645">
        <f>IFERROR(INDEX('[AQ_2021.xlsx]原始数据'!$A:$A,ROW(A1)+644),"")</f>
        <v/>
      </c>
      <c r="C645">
        <f>IFERROR(INDEX('[AQ_2022.xlsx]原始数据'!$A:$A,ROW(A1)+644),"")</f>
        <v/>
      </c>
      <c r="D645">
        <f>IFERROR(INDEX('[AQ_2023.xlsx]原始数据'!$A:$A,ROW(A1)+644),"")</f>
        <v/>
      </c>
      <c r="E645">
        <f>IFERROR(INDEX('[AQ_2024.xlsx]原始数据'!$A:$A,ROW(A1)+644),"")</f>
        <v/>
      </c>
      <c r="G645">
        <f>IF(644&lt;=1000,INDEX($A$2:$A$1001,644),IF(644&lt;=2000,INDEX($B$2:$B$1001,-356),IF(644&lt;=3000,INDEX($C$2:$C$1001,-1356),IF(644&lt;=4000,INDEX($D$2:$D$1001,-2356),IF(644&lt;=5000,INDEX($E$2:$E$1001,-3356),"")))))</f>
        <v/>
      </c>
    </row>
    <row r="646">
      <c r="A646">
        <f>IFERROR(INDEX('[AQ_2020.xlsx]原始数据'!$A:$A,ROW(A1)+645),"")</f>
        <v/>
      </c>
      <c r="B646">
        <f>IFERROR(INDEX('[AQ_2021.xlsx]原始数据'!$A:$A,ROW(A1)+645),"")</f>
        <v/>
      </c>
      <c r="C646">
        <f>IFERROR(INDEX('[AQ_2022.xlsx]原始数据'!$A:$A,ROW(A1)+645),"")</f>
        <v/>
      </c>
      <c r="D646">
        <f>IFERROR(INDEX('[AQ_2023.xlsx]原始数据'!$A:$A,ROW(A1)+645),"")</f>
        <v/>
      </c>
      <c r="E646">
        <f>IFERROR(INDEX('[AQ_2024.xlsx]原始数据'!$A:$A,ROW(A1)+645),"")</f>
        <v/>
      </c>
      <c r="G646">
        <f>IF(645&lt;=1000,INDEX($A$2:$A$1001,645),IF(645&lt;=2000,INDEX($B$2:$B$1001,-355),IF(645&lt;=3000,INDEX($C$2:$C$1001,-1355),IF(645&lt;=4000,INDEX($D$2:$D$1001,-2355),IF(645&lt;=5000,INDEX($E$2:$E$1001,-3355),"")))))</f>
        <v/>
      </c>
    </row>
    <row r="647">
      <c r="A647">
        <f>IFERROR(INDEX('[AQ_2020.xlsx]原始数据'!$A:$A,ROW(A1)+646),"")</f>
        <v/>
      </c>
      <c r="B647">
        <f>IFERROR(INDEX('[AQ_2021.xlsx]原始数据'!$A:$A,ROW(A1)+646),"")</f>
        <v/>
      </c>
      <c r="C647">
        <f>IFERROR(INDEX('[AQ_2022.xlsx]原始数据'!$A:$A,ROW(A1)+646),"")</f>
        <v/>
      </c>
      <c r="D647">
        <f>IFERROR(INDEX('[AQ_2023.xlsx]原始数据'!$A:$A,ROW(A1)+646),"")</f>
        <v/>
      </c>
      <c r="E647">
        <f>IFERROR(INDEX('[AQ_2024.xlsx]原始数据'!$A:$A,ROW(A1)+646),"")</f>
        <v/>
      </c>
      <c r="G647">
        <f>IF(646&lt;=1000,INDEX($A$2:$A$1001,646),IF(646&lt;=2000,INDEX($B$2:$B$1001,-354),IF(646&lt;=3000,INDEX($C$2:$C$1001,-1354),IF(646&lt;=4000,INDEX($D$2:$D$1001,-2354),IF(646&lt;=5000,INDEX($E$2:$E$1001,-3354),"")))))</f>
        <v/>
      </c>
    </row>
    <row r="648">
      <c r="A648">
        <f>IFERROR(INDEX('[AQ_2020.xlsx]原始数据'!$A:$A,ROW(A1)+647),"")</f>
        <v/>
      </c>
      <c r="B648">
        <f>IFERROR(INDEX('[AQ_2021.xlsx]原始数据'!$A:$A,ROW(A1)+647),"")</f>
        <v/>
      </c>
      <c r="C648">
        <f>IFERROR(INDEX('[AQ_2022.xlsx]原始数据'!$A:$A,ROW(A1)+647),"")</f>
        <v/>
      </c>
      <c r="D648">
        <f>IFERROR(INDEX('[AQ_2023.xlsx]原始数据'!$A:$A,ROW(A1)+647),"")</f>
        <v/>
      </c>
      <c r="E648">
        <f>IFERROR(INDEX('[AQ_2024.xlsx]原始数据'!$A:$A,ROW(A1)+647),"")</f>
        <v/>
      </c>
      <c r="G648">
        <f>IF(647&lt;=1000,INDEX($A$2:$A$1001,647),IF(647&lt;=2000,INDEX($B$2:$B$1001,-353),IF(647&lt;=3000,INDEX($C$2:$C$1001,-1353),IF(647&lt;=4000,INDEX($D$2:$D$1001,-2353),IF(647&lt;=5000,INDEX($E$2:$E$1001,-3353),"")))))</f>
        <v/>
      </c>
    </row>
    <row r="649">
      <c r="A649">
        <f>IFERROR(INDEX('[AQ_2020.xlsx]原始数据'!$A:$A,ROW(A1)+648),"")</f>
        <v/>
      </c>
      <c r="B649">
        <f>IFERROR(INDEX('[AQ_2021.xlsx]原始数据'!$A:$A,ROW(A1)+648),"")</f>
        <v/>
      </c>
      <c r="C649">
        <f>IFERROR(INDEX('[AQ_2022.xlsx]原始数据'!$A:$A,ROW(A1)+648),"")</f>
        <v/>
      </c>
      <c r="D649">
        <f>IFERROR(INDEX('[AQ_2023.xlsx]原始数据'!$A:$A,ROW(A1)+648),"")</f>
        <v/>
      </c>
      <c r="E649">
        <f>IFERROR(INDEX('[AQ_2024.xlsx]原始数据'!$A:$A,ROW(A1)+648),"")</f>
        <v/>
      </c>
      <c r="G649">
        <f>IF(648&lt;=1000,INDEX($A$2:$A$1001,648),IF(648&lt;=2000,INDEX($B$2:$B$1001,-352),IF(648&lt;=3000,INDEX($C$2:$C$1001,-1352),IF(648&lt;=4000,INDEX($D$2:$D$1001,-2352),IF(648&lt;=5000,INDEX($E$2:$E$1001,-3352),"")))))</f>
        <v/>
      </c>
    </row>
    <row r="650">
      <c r="A650">
        <f>IFERROR(INDEX('[AQ_2020.xlsx]原始数据'!$A:$A,ROW(A1)+649),"")</f>
        <v/>
      </c>
      <c r="B650">
        <f>IFERROR(INDEX('[AQ_2021.xlsx]原始数据'!$A:$A,ROW(A1)+649),"")</f>
        <v/>
      </c>
      <c r="C650">
        <f>IFERROR(INDEX('[AQ_2022.xlsx]原始数据'!$A:$A,ROW(A1)+649),"")</f>
        <v/>
      </c>
      <c r="D650">
        <f>IFERROR(INDEX('[AQ_2023.xlsx]原始数据'!$A:$A,ROW(A1)+649),"")</f>
        <v/>
      </c>
      <c r="E650">
        <f>IFERROR(INDEX('[AQ_2024.xlsx]原始数据'!$A:$A,ROW(A1)+649),"")</f>
        <v/>
      </c>
      <c r="G650">
        <f>IF(649&lt;=1000,INDEX($A$2:$A$1001,649),IF(649&lt;=2000,INDEX($B$2:$B$1001,-351),IF(649&lt;=3000,INDEX($C$2:$C$1001,-1351),IF(649&lt;=4000,INDEX($D$2:$D$1001,-2351),IF(649&lt;=5000,INDEX($E$2:$E$1001,-3351),"")))))</f>
        <v/>
      </c>
    </row>
    <row r="651">
      <c r="A651">
        <f>IFERROR(INDEX('[AQ_2020.xlsx]原始数据'!$A:$A,ROW(A1)+650),"")</f>
        <v/>
      </c>
      <c r="B651">
        <f>IFERROR(INDEX('[AQ_2021.xlsx]原始数据'!$A:$A,ROW(A1)+650),"")</f>
        <v/>
      </c>
      <c r="C651">
        <f>IFERROR(INDEX('[AQ_2022.xlsx]原始数据'!$A:$A,ROW(A1)+650),"")</f>
        <v/>
      </c>
      <c r="D651">
        <f>IFERROR(INDEX('[AQ_2023.xlsx]原始数据'!$A:$A,ROW(A1)+650),"")</f>
        <v/>
      </c>
      <c r="E651">
        <f>IFERROR(INDEX('[AQ_2024.xlsx]原始数据'!$A:$A,ROW(A1)+650),"")</f>
        <v/>
      </c>
      <c r="G651">
        <f>IF(650&lt;=1000,INDEX($A$2:$A$1001,650),IF(650&lt;=2000,INDEX($B$2:$B$1001,-350),IF(650&lt;=3000,INDEX($C$2:$C$1001,-1350),IF(650&lt;=4000,INDEX($D$2:$D$1001,-2350),IF(650&lt;=5000,INDEX($E$2:$E$1001,-3350),"")))))</f>
        <v/>
      </c>
    </row>
    <row r="652">
      <c r="A652">
        <f>IFERROR(INDEX('[AQ_2020.xlsx]原始数据'!$A:$A,ROW(A1)+651),"")</f>
        <v/>
      </c>
      <c r="B652">
        <f>IFERROR(INDEX('[AQ_2021.xlsx]原始数据'!$A:$A,ROW(A1)+651),"")</f>
        <v/>
      </c>
      <c r="C652">
        <f>IFERROR(INDEX('[AQ_2022.xlsx]原始数据'!$A:$A,ROW(A1)+651),"")</f>
        <v/>
      </c>
      <c r="D652">
        <f>IFERROR(INDEX('[AQ_2023.xlsx]原始数据'!$A:$A,ROW(A1)+651),"")</f>
        <v/>
      </c>
      <c r="E652">
        <f>IFERROR(INDEX('[AQ_2024.xlsx]原始数据'!$A:$A,ROW(A1)+651),"")</f>
        <v/>
      </c>
      <c r="G652">
        <f>IF(651&lt;=1000,INDEX($A$2:$A$1001,651),IF(651&lt;=2000,INDEX($B$2:$B$1001,-349),IF(651&lt;=3000,INDEX($C$2:$C$1001,-1349),IF(651&lt;=4000,INDEX($D$2:$D$1001,-2349),IF(651&lt;=5000,INDEX($E$2:$E$1001,-3349),"")))))</f>
        <v/>
      </c>
    </row>
    <row r="653">
      <c r="A653">
        <f>IFERROR(INDEX('[AQ_2020.xlsx]原始数据'!$A:$A,ROW(A1)+652),"")</f>
        <v/>
      </c>
      <c r="B653">
        <f>IFERROR(INDEX('[AQ_2021.xlsx]原始数据'!$A:$A,ROW(A1)+652),"")</f>
        <v/>
      </c>
      <c r="C653">
        <f>IFERROR(INDEX('[AQ_2022.xlsx]原始数据'!$A:$A,ROW(A1)+652),"")</f>
        <v/>
      </c>
      <c r="D653">
        <f>IFERROR(INDEX('[AQ_2023.xlsx]原始数据'!$A:$A,ROW(A1)+652),"")</f>
        <v/>
      </c>
      <c r="E653">
        <f>IFERROR(INDEX('[AQ_2024.xlsx]原始数据'!$A:$A,ROW(A1)+652),"")</f>
        <v/>
      </c>
      <c r="G653">
        <f>IF(652&lt;=1000,INDEX($A$2:$A$1001,652),IF(652&lt;=2000,INDEX($B$2:$B$1001,-348),IF(652&lt;=3000,INDEX($C$2:$C$1001,-1348),IF(652&lt;=4000,INDEX($D$2:$D$1001,-2348),IF(652&lt;=5000,INDEX($E$2:$E$1001,-3348),"")))))</f>
        <v/>
      </c>
    </row>
    <row r="654">
      <c r="A654">
        <f>IFERROR(INDEX('[AQ_2020.xlsx]原始数据'!$A:$A,ROW(A1)+653),"")</f>
        <v/>
      </c>
      <c r="B654">
        <f>IFERROR(INDEX('[AQ_2021.xlsx]原始数据'!$A:$A,ROW(A1)+653),"")</f>
        <v/>
      </c>
      <c r="C654">
        <f>IFERROR(INDEX('[AQ_2022.xlsx]原始数据'!$A:$A,ROW(A1)+653),"")</f>
        <v/>
      </c>
      <c r="D654">
        <f>IFERROR(INDEX('[AQ_2023.xlsx]原始数据'!$A:$A,ROW(A1)+653),"")</f>
        <v/>
      </c>
      <c r="E654">
        <f>IFERROR(INDEX('[AQ_2024.xlsx]原始数据'!$A:$A,ROW(A1)+653),"")</f>
        <v/>
      </c>
      <c r="G654">
        <f>IF(653&lt;=1000,INDEX($A$2:$A$1001,653),IF(653&lt;=2000,INDEX($B$2:$B$1001,-347),IF(653&lt;=3000,INDEX($C$2:$C$1001,-1347),IF(653&lt;=4000,INDEX($D$2:$D$1001,-2347),IF(653&lt;=5000,INDEX($E$2:$E$1001,-3347),"")))))</f>
        <v/>
      </c>
    </row>
    <row r="655">
      <c r="A655">
        <f>IFERROR(INDEX('[AQ_2020.xlsx]原始数据'!$A:$A,ROW(A1)+654),"")</f>
        <v/>
      </c>
      <c r="B655">
        <f>IFERROR(INDEX('[AQ_2021.xlsx]原始数据'!$A:$A,ROW(A1)+654),"")</f>
        <v/>
      </c>
      <c r="C655">
        <f>IFERROR(INDEX('[AQ_2022.xlsx]原始数据'!$A:$A,ROW(A1)+654),"")</f>
        <v/>
      </c>
      <c r="D655">
        <f>IFERROR(INDEX('[AQ_2023.xlsx]原始数据'!$A:$A,ROW(A1)+654),"")</f>
        <v/>
      </c>
      <c r="E655">
        <f>IFERROR(INDEX('[AQ_2024.xlsx]原始数据'!$A:$A,ROW(A1)+654),"")</f>
        <v/>
      </c>
      <c r="G655">
        <f>IF(654&lt;=1000,INDEX($A$2:$A$1001,654),IF(654&lt;=2000,INDEX($B$2:$B$1001,-346),IF(654&lt;=3000,INDEX($C$2:$C$1001,-1346),IF(654&lt;=4000,INDEX($D$2:$D$1001,-2346),IF(654&lt;=5000,INDEX($E$2:$E$1001,-3346),"")))))</f>
        <v/>
      </c>
    </row>
    <row r="656">
      <c r="A656">
        <f>IFERROR(INDEX('[AQ_2020.xlsx]原始数据'!$A:$A,ROW(A1)+655),"")</f>
        <v/>
      </c>
      <c r="B656">
        <f>IFERROR(INDEX('[AQ_2021.xlsx]原始数据'!$A:$A,ROW(A1)+655),"")</f>
        <v/>
      </c>
      <c r="C656">
        <f>IFERROR(INDEX('[AQ_2022.xlsx]原始数据'!$A:$A,ROW(A1)+655),"")</f>
        <v/>
      </c>
      <c r="D656">
        <f>IFERROR(INDEX('[AQ_2023.xlsx]原始数据'!$A:$A,ROW(A1)+655),"")</f>
        <v/>
      </c>
      <c r="E656">
        <f>IFERROR(INDEX('[AQ_2024.xlsx]原始数据'!$A:$A,ROW(A1)+655),"")</f>
        <v/>
      </c>
      <c r="G656">
        <f>IF(655&lt;=1000,INDEX($A$2:$A$1001,655),IF(655&lt;=2000,INDEX($B$2:$B$1001,-345),IF(655&lt;=3000,INDEX($C$2:$C$1001,-1345),IF(655&lt;=4000,INDEX($D$2:$D$1001,-2345),IF(655&lt;=5000,INDEX($E$2:$E$1001,-3345),"")))))</f>
        <v/>
      </c>
    </row>
    <row r="657">
      <c r="A657">
        <f>IFERROR(INDEX('[AQ_2020.xlsx]原始数据'!$A:$A,ROW(A1)+656),"")</f>
        <v/>
      </c>
      <c r="B657">
        <f>IFERROR(INDEX('[AQ_2021.xlsx]原始数据'!$A:$A,ROW(A1)+656),"")</f>
        <v/>
      </c>
      <c r="C657">
        <f>IFERROR(INDEX('[AQ_2022.xlsx]原始数据'!$A:$A,ROW(A1)+656),"")</f>
        <v/>
      </c>
      <c r="D657">
        <f>IFERROR(INDEX('[AQ_2023.xlsx]原始数据'!$A:$A,ROW(A1)+656),"")</f>
        <v/>
      </c>
      <c r="E657">
        <f>IFERROR(INDEX('[AQ_2024.xlsx]原始数据'!$A:$A,ROW(A1)+656),"")</f>
        <v/>
      </c>
      <c r="G657">
        <f>IF(656&lt;=1000,INDEX($A$2:$A$1001,656),IF(656&lt;=2000,INDEX($B$2:$B$1001,-344),IF(656&lt;=3000,INDEX($C$2:$C$1001,-1344),IF(656&lt;=4000,INDEX($D$2:$D$1001,-2344),IF(656&lt;=5000,INDEX($E$2:$E$1001,-3344),"")))))</f>
        <v/>
      </c>
    </row>
    <row r="658">
      <c r="A658">
        <f>IFERROR(INDEX('[AQ_2020.xlsx]原始数据'!$A:$A,ROW(A1)+657),"")</f>
        <v/>
      </c>
      <c r="B658">
        <f>IFERROR(INDEX('[AQ_2021.xlsx]原始数据'!$A:$A,ROW(A1)+657),"")</f>
        <v/>
      </c>
      <c r="C658">
        <f>IFERROR(INDEX('[AQ_2022.xlsx]原始数据'!$A:$A,ROW(A1)+657),"")</f>
        <v/>
      </c>
      <c r="D658">
        <f>IFERROR(INDEX('[AQ_2023.xlsx]原始数据'!$A:$A,ROW(A1)+657),"")</f>
        <v/>
      </c>
      <c r="E658">
        <f>IFERROR(INDEX('[AQ_2024.xlsx]原始数据'!$A:$A,ROW(A1)+657),"")</f>
        <v/>
      </c>
      <c r="G658">
        <f>IF(657&lt;=1000,INDEX($A$2:$A$1001,657),IF(657&lt;=2000,INDEX($B$2:$B$1001,-343),IF(657&lt;=3000,INDEX($C$2:$C$1001,-1343),IF(657&lt;=4000,INDEX($D$2:$D$1001,-2343),IF(657&lt;=5000,INDEX($E$2:$E$1001,-3343),"")))))</f>
        <v/>
      </c>
    </row>
    <row r="659">
      <c r="A659">
        <f>IFERROR(INDEX('[AQ_2020.xlsx]原始数据'!$A:$A,ROW(A1)+658),"")</f>
        <v/>
      </c>
      <c r="B659">
        <f>IFERROR(INDEX('[AQ_2021.xlsx]原始数据'!$A:$A,ROW(A1)+658),"")</f>
        <v/>
      </c>
      <c r="C659">
        <f>IFERROR(INDEX('[AQ_2022.xlsx]原始数据'!$A:$A,ROW(A1)+658),"")</f>
        <v/>
      </c>
      <c r="D659">
        <f>IFERROR(INDEX('[AQ_2023.xlsx]原始数据'!$A:$A,ROW(A1)+658),"")</f>
        <v/>
      </c>
      <c r="E659">
        <f>IFERROR(INDEX('[AQ_2024.xlsx]原始数据'!$A:$A,ROW(A1)+658),"")</f>
        <v/>
      </c>
      <c r="G659">
        <f>IF(658&lt;=1000,INDEX($A$2:$A$1001,658),IF(658&lt;=2000,INDEX($B$2:$B$1001,-342),IF(658&lt;=3000,INDEX($C$2:$C$1001,-1342),IF(658&lt;=4000,INDEX($D$2:$D$1001,-2342),IF(658&lt;=5000,INDEX($E$2:$E$1001,-3342),"")))))</f>
        <v/>
      </c>
    </row>
    <row r="660">
      <c r="A660">
        <f>IFERROR(INDEX('[AQ_2020.xlsx]原始数据'!$A:$A,ROW(A1)+659),"")</f>
        <v/>
      </c>
      <c r="B660">
        <f>IFERROR(INDEX('[AQ_2021.xlsx]原始数据'!$A:$A,ROW(A1)+659),"")</f>
        <v/>
      </c>
      <c r="C660">
        <f>IFERROR(INDEX('[AQ_2022.xlsx]原始数据'!$A:$A,ROW(A1)+659),"")</f>
        <v/>
      </c>
      <c r="D660">
        <f>IFERROR(INDEX('[AQ_2023.xlsx]原始数据'!$A:$A,ROW(A1)+659),"")</f>
        <v/>
      </c>
      <c r="E660">
        <f>IFERROR(INDEX('[AQ_2024.xlsx]原始数据'!$A:$A,ROW(A1)+659),"")</f>
        <v/>
      </c>
      <c r="G660">
        <f>IF(659&lt;=1000,INDEX($A$2:$A$1001,659),IF(659&lt;=2000,INDEX($B$2:$B$1001,-341),IF(659&lt;=3000,INDEX($C$2:$C$1001,-1341),IF(659&lt;=4000,INDEX($D$2:$D$1001,-2341),IF(659&lt;=5000,INDEX($E$2:$E$1001,-3341),"")))))</f>
        <v/>
      </c>
    </row>
    <row r="661">
      <c r="A661">
        <f>IFERROR(INDEX('[AQ_2020.xlsx]原始数据'!$A:$A,ROW(A1)+660),"")</f>
        <v/>
      </c>
      <c r="B661">
        <f>IFERROR(INDEX('[AQ_2021.xlsx]原始数据'!$A:$A,ROW(A1)+660),"")</f>
        <v/>
      </c>
      <c r="C661">
        <f>IFERROR(INDEX('[AQ_2022.xlsx]原始数据'!$A:$A,ROW(A1)+660),"")</f>
        <v/>
      </c>
      <c r="D661">
        <f>IFERROR(INDEX('[AQ_2023.xlsx]原始数据'!$A:$A,ROW(A1)+660),"")</f>
        <v/>
      </c>
      <c r="E661">
        <f>IFERROR(INDEX('[AQ_2024.xlsx]原始数据'!$A:$A,ROW(A1)+660),"")</f>
        <v/>
      </c>
      <c r="G661">
        <f>IF(660&lt;=1000,INDEX($A$2:$A$1001,660),IF(660&lt;=2000,INDEX($B$2:$B$1001,-340),IF(660&lt;=3000,INDEX($C$2:$C$1001,-1340),IF(660&lt;=4000,INDEX($D$2:$D$1001,-2340),IF(660&lt;=5000,INDEX($E$2:$E$1001,-3340),"")))))</f>
        <v/>
      </c>
    </row>
    <row r="662">
      <c r="A662">
        <f>IFERROR(INDEX('[AQ_2020.xlsx]原始数据'!$A:$A,ROW(A1)+661),"")</f>
        <v/>
      </c>
      <c r="B662">
        <f>IFERROR(INDEX('[AQ_2021.xlsx]原始数据'!$A:$A,ROW(A1)+661),"")</f>
        <v/>
      </c>
      <c r="C662">
        <f>IFERROR(INDEX('[AQ_2022.xlsx]原始数据'!$A:$A,ROW(A1)+661),"")</f>
        <v/>
      </c>
      <c r="D662">
        <f>IFERROR(INDEX('[AQ_2023.xlsx]原始数据'!$A:$A,ROW(A1)+661),"")</f>
        <v/>
      </c>
      <c r="E662">
        <f>IFERROR(INDEX('[AQ_2024.xlsx]原始数据'!$A:$A,ROW(A1)+661),"")</f>
        <v/>
      </c>
      <c r="G662">
        <f>IF(661&lt;=1000,INDEX($A$2:$A$1001,661),IF(661&lt;=2000,INDEX($B$2:$B$1001,-339),IF(661&lt;=3000,INDEX($C$2:$C$1001,-1339),IF(661&lt;=4000,INDEX($D$2:$D$1001,-2339),IF(661&lt;=5000,INDEX($E$2:$E$1001,-3339),"")))))</f>
        <v/>
      </c>
    </row>
    <row r="663">
      <c r="A663">
        <f>IFERROR(INDEX('[AQ_2020.xlsx]原始数据'!$A:$A,ROW(A1)+662),"")</f>
        <v/>
      </c>
      <c r="B663">
        <f>IFERROR(INDEX('[AQ_2021.xlsx]原始数据'!$A:$A,ROW(A1)+662),"")</f>
        <v/>
      </c>
      <c r="C663">
        <f>IFERROR(INDEX('[AQ_2022.xlsx]原始数据'!$A:$A,ROW(A1)+662),"")</f>
        <v/>
      </c>
      <c r="D663">
        <f>IFERROR(INDEX('[AQ_2023.xlsx]原始数据'!$A:$A,ROW(A1)+662),"")</f>
        <v/>
      </c>
      <c r="E663">
        <f>IFERROR(INDEX('[AQ_2024.xlsx]原始数据'!$A:$A,ROW(A1)+662),"")</f>
        <v/>
      </c>
      <c r="G663">
        <f>IF(662&lt;=1000,INDEX($A$2:$A$1001,662),IF(662&lt;=2000,INDEX($B$2:$B$1001,-338),IF(662&lt;=3000,INDEX($C$2:$C$1001,-1338),IF(662&lt;=4000,INDEX($D$2:$D$1001,-2338),IF(662&lt;=5000,INDEX($E$2:$E$1001,-3338),"")))))</f>
        <v/>
      </c>
    </row>
    <row r="664">
      <c r="A664">
        <f>IFERROR(INDEX('[AQ_2020.xlsx]原始数据'!$A:$A,ROW(A1)+663),"")</f>
        <v/>
      </c>
      <c r="B664">
        <f>IFERROR(INDEX('[AQ_2021.xlsx]原始数据'!$A:$A,ROW(A1)+663),"")</f>
        <v/>
      </c>
      <c r="C664">
        <f>IFERROR(INDEX('[AQ_2022.xlsx]原始数据'!$A:$A,ROW(A1)+663),"")</f>
        <v/>
      </c>
      <c r="D664">
        <f>IFERROR(INDEX('[AQ_2023.xlsx]原始数据'!$A:$A,ROW(A1)+663),"")</f>
        <v/>
      </c>
      <c r="E664">
        <f>IFERROR(INDEX('[AQ_2024.xlsx]原始数据'!$A:$A,ROW(A1)+663),"")</f>
        <v/>
      </c>
      <c r="G664">
        <f>IF(663&lt;=1000,INDEX($A$2:$A$1001,663),IF(663&lt;=2000,INDEX($B$2:$B$1001,-337),IF(663&lt;=3000,INDEX($C$2:$C$1001,-1337),IF(663&lt;=4000,INDEX($D$2:$D$1001,-2337),IF(663&lt;=5000,INDEX($E$2:$E$1001,-3337),"")))))</f>
        <v/>
      </c>
    </row>
    <row r="665">
      <c r="A665">
        <f>IFERROR(INDEX('[AQ_2020.xlsx]原始数据'!$A:$A,ROW(A1)+664),"")</f>
        <v/>
      </c>
      <c r="B665">
        <f>IFERROR(INDEX('[AQ_2021.xlsx]原始数据'!$A:$A,ROW(A1)+664),"")</f>
        <v/>
      </c>
      <c r="C665">
        <f>IFERROR(INDEX('[AQ_2022.xlsx]原始数据'!$A:$A,ROW(A1)+664),"")</f>
        <v/>
      </c>
      <c r="D665">
        <f>IFERROR(INDEX('[AQ_2023.xlsx]原始数据'!$A:$A,ROW(A1)+664),"")</f>
        <v/>
      </c>
      <c r="E665">
        <f>IFERROR(INDEX('[AQ_2024.xlsx]原始数据'!$A:$A,ROW(A1)+664),"")</f>
        <v/>
      </c>
      <c r="G665">
        <f>IF(664&lt;=1000,INDEX($A$2:$A$1001,664),IF(664&lt;=2000,INDEX($B$2:$B$1001,-336),IF(664&lt;=3000,INDEX($C$2:$C$1001,-1336),IF(664&lt;=4000,INDEX($D$2:$D$1001,-2336),IF(664&lt;=5000,INDEX($E$2:$E$1001,-3336),"")))))</f>
        <v/>
      </c>
    </row>
    <row r="666">
      <c r="A666">
        <f>IFERROR(INDEX('[AQ_2020.xlsx]原始数据'!$A:$A,ROW(A1)+665),"")</f>
        <v/>
      </c>
      <c r="B666">
        <f>IFERROR(INDEX('[AQ_2021.xlsx]原始数据'!$A:$A,ROW(A1)+665),"")</f>
        <v/>
      </c>
      <c r="C666">
        <f>IFERROR(INDEX('[AQ_2022.xlsx]原始数据'!$A:$A,ROW(A1)+665),"")</f>
        <v/>
      </c>
      <c r="D666">
        <f>IFERROR(INDEX('[AQ_2023.xlsx]原始数据'!$A:$A,ROW(A1)+665),"")</f>
        <v/>
      </c>
      <c r="E666">
        <f>IFERROR(INDEX('[AQ_2024.xlsx]原始数据'!$A:$A,ROW(A1)+665),"")</f>
        <v/>
      </c>
      <c r="G666">
        <f>IF(665&lt;=1000,INDEX($A$2:$A$1001,665),IF(665&lt;=2000,INDEX($B$2:$B$1001,-335),IF(665&lt;=3000,INDEX($C$2:$C$1001,-1335),IF(665&lt;=4000,INDEX($D$2:$D$1001,-2335),IF(665&lt;=5000,INDEX($E$2:$E$1001,-3335),"")))))</f>
        <v/>
      </c>
    </row>
    <row r="667">
      <c r="A667">
        <f>IFERROR(INDEX('[AQ_2020.xlsx]原始数据'!$A:$A,ROW(A1)+666),"")</f>
        <v/>
      </c>
      <c r="B667">
        <f>IFERROR(INDEX('[AQ_2021.xlsx]原始数据'!$A:$A,ROW(A1)+666),"")</f>
        <v/>
      </c>
      <c r="C667">
        <f>IFERROR(INDEX('[AQ_2022.xlsx]原始数据'!$A:$A,ROW(A1)+666),"")</f>
        <v/>
      </c>
      <c r="D667">
        <f>IFERROR(INDEX('[AQ_2023.xlsx]原始数据'!$A:$A,ROW(A1)+666),"")</f>
        <v/>
      </c>
      <c r="E667">
        <f>IFERROR(INDEX('[AQ_2024.xlsx]原始数据'!$A:$A,ROW(A1)+666),"")</f>
        <v/>
      </c>
      <c r="G667">
        <f>IF(666&lt;=1000,INDEX($A$2:$A$1001,666),IF(666&lt;=2000,INDEX($B$2:$B$1001,-334),IF(666&lt;=3000,INDEX($C$2:$C$1001,-1334),IF(666&lt;=4000,INDEX($D$2:$D$1001,-2334),IF(666&lt;=5000,INDEX($E$2:$E$1001,-3334),"")))))</f>
        <v/>
      </c>
    </row>
    <row r="668">
      <c r="A668">
        <f>IFERROR(INDEX('[AQ_2020.xlsx]原始数据'!$A:$A,ROW(A1)+667),"")</f>
        <v/>
      </c>
      <c r="B668">
        <f>IFERROR(INDEX('[AQ_2021.xlsx]原始数据'!$A:$A,ROW(A1)+667),"")</f>
        <v/>
      </c>
      <c r="C668">
        <f>IFERROR(INDEX('[AQ_2022.xlsx]原始数据'!$A:$A,ROW(A1)+667),"")</f>
        <v/>
      </c>
      <c r="D668">
        <f>IFERROR(INDEX('[AQ_2023.xlsx]原始数据'!$A:$A,ROW(A1)+667),"")</f>
        <v/>
      </c>
      <c r="E668">
        <f>IFERROR(INDEX('[AQ_2024.xlsx]原始数据'!$A:$A,ROW(A1)+667),"")</f>
        <v/>
      </c>
      <c r="G668">
        <f>IF(667&lt;=1000,INDEX($A$2:$A$1001,667),IF(667&lt;=2000,INDEX($B$2:$B$1001,-333),IF(667&lt;=3000,INDEX($C$2:$C$1001,-1333),IF(667&lt;=4000,INDEX($D$2:$D$1001,-2333),IF(667&lt;=5000,INDEX($E$2:$E$1001,-3333),"")))))</f>
        <v/>
      </c>
    </row>
    <row r="669">
      <c r="A669">
        <f>IFERROR(INDEX('[AQ_2020.xlsx]原始数据'!$A:$A,ROW(A1)+668),"")</f>
        <v/>
      </c>
      <c r="B669">
        <f>IFERROR(INDEX('[AQ_2021.xlsx]原始数据'!$A:$A,ROW(A1)+668),"")</f>
        <v/>
      </c>
      <c r="C669">
        <f>IFERROR(INDEX('[AQ_2022.xlsx]原始数据'!$A:$A,ROW(A1)+668),"")</f>
        <v/>
      </c>
      <c r="D669">
        <f>IFERROR(INDEX('[AQ_2023.xlsx]原始数据'!$A:$A,ROW(A1)+668),"")</f>
        <v/>
      </c>
      <c r="E669">
        <f>IFERROR(INDEX('[AQ_2024.xlsx]原始数据'!$A:$A,ROW(A1)+668),"")</f>
        <v/>
      </c>
      <c r="G669">
        <f>IF(668&lt;=1000,INDEX($A$2:$A$1001,668),IF(668&lt;=2000,INDEX($B$2:$B$1001,-332),IF(668&lt;=3000,INDEX($C$2:$C$1001,-1332),IF(668&lt;=4000,INDEX($D$2:$D$1001,-2332),IF(668&lt;=5000,INDEX($E$2:$E$1001,-3332),"")))))</f>
        <v/>
      </c>
    </row>
    <row r="670">
      <c r="A670">
        <f>IFERROR(INDEX('[AQ_2020.xlsx]原始数据'!$A:$A,ROW(A1)+669),"")</f>
        <v/>
      </c>
      <c r="B670">
        <f>IFERROR(INDEX('[AQ_2021.xlsx]原始数据'!$A:$A,ROW(A1)+669),"")</f>
        <v/>
      </c>
      <c r="C670">
        <f>IFERROR(INDEX('[AQ_2022.xlsx]原始数据'!$A:$A,ROW(A1)+669),"")</f>
        <v/>
      </c>
      <c r="D670">
        <f>IFERROR(INDEX('[AQ_2023.xlsx]原始数据'!$A:$A,ROW(A1)+669),"")</f>
        <v/>
      </c>
      <c r="E670">
        <f>IFERROR(INDEX('[AQ_2024.xlsx]原始数据'!$A:$A,ROW(A1)+669),"")</f>
        <v/>
      </c>
      <c r="G670">
        <f>IF(669&lt;=1000,INDEX($A$2:$A$1001,669),IF(669&lt;=2000,INDEX($B$2:$B$1001,-331),IF(669&lt;=3000,INDEX($C$2:$C$1001,-1331),IF(669&lt;=4000,INDEX($D$2:$D$1001,-2331),IF(669&lt;=5000,INDEX($E$2:$E$1001,-3331),"")))))</f>
        <v/>
      </c>
    </row>
    <row r="671">
      <c r="A671">
        <f>IFERROR(INDEX('[AQ_2020.xlsx]原始数据'!$A:$A,ROW(A1)+670),"")</f>
        <v/>
      </c>
      <c r="B671">
        <f>IFERROR(INDEX('[AQ_2021.xlsx]原始数据'!$A:$A,ROW(A1)+670),"")</f>
        <v/>
      </c>
      <c r="C671">
        <f>IFERROR(INDEX('[AQ_2022.xlsx]原始数据'!$A:$A,ROW(A1)+670),"")</f>
        <v/>
      </c>
      <c r="D671">
        <f>IFERROR(INDEX('[AQ_2023.xlsx]原始数据'!$A:$A,ROW(A1)+670),"")</f>
        <v/>
      </c>
      <c r="E671">
        <f>IFERROR(INDEX('[AQ_2024.xlsx]原始数据'!$A:$A,ROW(A1)+670),"")</f>
        <v/>
      </c>
      <c r="G671">
        <f>IF(670&lt;=1000,INDEX($A$2:$A$1001,670),IF(670&lt;=2000,INDEX($B$2:$B$1001,-330),IF(670&lt;=3000,INDEX($C$2:$C$1001,-1330),IF(670&lt;=4000,INDEX($D$2:$D$1001,-2330),IF(670&lt;=5000,INDEX($E$2:$E$1001,-3330),"")))))</f>
        <v/>
      </c>
    </row>
    <row r="672">
      <c r="A672">
        <f>IFERROR(INDEX('[AQ_2020.xlsx]原始数据'!$A:$A,ROW(A1)+671),"")</f>
        <v/>
      </c>
      <c r="B672">
        <f>IFERROR(INDEX('[AQ_2021.xlsx]原始数据'!$A:$A,ROW(A1)+671),"")</f>
        <v/>
      </c>
      <c r="C672">
        <f>IFERROR(INDEX('[AQ_2022.xlsx]原始数据'!$A:$A,ROW(A1)+671),"")</f>
        <v/>
      </c>
      <c r="D672">
        <f>IFERROR(INDEX('[AQ_2023.xlsx]原始数据'!$A:$A,ROW(A1)+671),"")</f>
        <v/>
      </c>
      <c r="E672">
        <f>IFERROR(INDEX('[AQ_2024.xlsx]原始数据'!$A:$A,ROW(A1)+671),"")</f>
        <v/>
      </c>
      <c r="G672">
        <f>IF(671&lt;=1000,INDEX($A$2:$A$1001,671),IF(671&lt;=2000,INDEX($B$2:$B$1001,-329),IF(671&lt;=3000,INDEX($C$2:$C$1001,-1329),IF(671&lt;=4000,INDEX($D$2:$D$1001,-2329),IF(671&lt;=5000,INDEX($E$2:$E$1001,-3329),"")))))</f>
        <v/>
      </c>
    </row>
    <row r="673">
      <c r="A673">
        <f>IFERROR(INDEX('[AQ_2020.xlsx]原始数据'!$A:$A,ROW(A1)+672),"")</f>
        <v/>
      </c>
      <c r="B673">
        <f>IFERROR(INDEX('[AQ_2021.xlsx]原始数据'!$A:$A,ROW(A1)+672),"")</f>
        <v/>
      </c>
      <c r="C673">
        <f>IFERROR(INDEX('[AQ_2022.xlsx]原始数据'!$A:$A,ROW(A1)+672),"")</f>
        <v/>
      </c>
      <c r="D673">
        <f>IFERROR(INDEX('[AQ_2023.xlsx]原始数据'!$A:$A,ROW(A1)+672),"")</f>
        <v/>
      </c>
      <c r="E673">
        <f>IFERROR(INDEX('[AQ_2024.xlsx]原始数据'!$A:$A,ROW(A1)+672),"")</f>
        <v/>
      </c>
      <c r="G673">
        <f>IF(672&lt;=1000,INDEX($A$2:$A$1001,672),IF(672&lt;=2000,INDEX($B$2:$B$1001,-328),IF(672&lt;=3000,INDEX($C$2:$C$1001,-1328),IF(672&lt;=4000,INDEX($D$2:$D$1001,-2328),IF(672&lt;=5000,INDEX($E$2:$E$1001,-3328),"")))))</f>
        <v/>
      </c>
    </row>
    <row r="674">
      <c r="A674">
        <f>IFERROR(INDEX('[AQ_2020.xlsx]原始数据'!$A:$A,ROW(A1)+673),"")</f>
        <v/>
      </c>
      <c r="B674">
        <f>IFERROR(INDEX('[AQ_2021.xlsx]原始数据'!$A:$A,ROW(A1)+673),"")</f>
        <v/>
      </c>
      <c r="C674">
        <f>IFERROR(INDEX('[AQ_2022.xlsx]原始数据'!$A:$A,ROW(A1)+673),"")</f>
        <v/>
      </c>
      <c r="D674">
        <f>IFERROR(INDEX('[AQ_2023.xlsx]原始数据'!$A:$A,ROW(A1)+673),"")</f>
        <v/>
      </c>
      <c r="E674">
        <f>IFERROR(INDEX('[AQ_2024.xlsx]原始数据'!$A:$A,ROW(A1)+673),"")</f>
        <v/>
      </c>
      <c r="G674">
        <f>IF(673&lt;=1000,INDEX($A$2:$A$1001,673),IF(673&lt;=2000,INDEX($B$2:$B$1001,-327),IF(673&lt;=3000,INDEX($C$2:$C$1001,-1327),IF(673&lt;=4000,INDEX($D$2:$D$1001,-2327),IF(673&lt;=5000,INDEX($E$2:$E$1001,-3327),"")))))</f>
        <v/>
      </c>
    </row>
    <row r="675">
      <c r="A675">
        <f>IFERROR(INDEX('[AQ_2020.xlsx]原始数据'!$A:$A,ROW(A1)+674),"")</f>
        <v/>
      </c>
      <c r="B675">
        <f>IFERROR(INDEX('[AQ_2021.xlsx]原始数据'!$A:$A,ROW(A1)+674),"")</f>
        <v/>
      </c>
      <c r="C675">
        <f>IFERROR(INDEX('[AQ_2022.xlsx]原始数据'!$A:$A,ROW(A1)+674),"")</f>
        <v/>
      </c>
      <c r="D675">
        <f>IFERROR(INDEX('[AQ_2023.xlsx]原始数据'!$A:$A,ROW(A1)+674),"")</f>
        <v/>
      </c>
      <c r="E675">
        <f>IFERROR(INDEX('[AQ_2024.xlsx]原始数据'!$A:$A,ROW(A1)+674),"")</f>
        <v/>
      </c>
      <c r="G675">
        <f>IF(674&lt;=1000,INDEX($A$2:$A$1001,674),IF(674&lt;=2000,INDEX($B$2:$B$1001,-326),IF(674&lt;=3000,INDEX($C$2:$C$1001,-1326),IF(674&lt;=4000,INDEX($D$2:$D$1001,-2326),IF(674&lt;=5000,INDEX($E$2:$E$1001,-3326),"")))))</f>
        <v/>
      </c>
    </row>
    <row r="676">
      <c r="A676">
        <f>IFERROR(INDEX('[AQ_2020.xlsx]原始数据'!$A:$A,ROW(A1)+675),"")</f>
        <v/>
      </c>
      <c r="B676">
        <f>IFERROR(INDEX('[AQ_2021.xlsx]原始数据'!$A:$A,ROW(A1)+675),"")</f>
        <v/>
      </c>
      <c r="C676">
        <f>IFERROR(INDEX('[AQ_2022.xlsx]原始数据'!$A:$A,ROW(A1)+675),"")</f>
        <v/>
      </c>
      <c r="D676">
        <f>IFERROR(INDEX('[AQ_2023.xlsx]原始数据'!$A:$A,ROW(A1)+675),"")</f>
        <v/>
      </c>
      <c r="E676">
        <f>IFERROR(INDEX('[AQ_2024.xlsx]原始数据'!$A:$A,ROW(A1)+675),"")</f>
        <v/>
      </c>
      <c r="G676">
        <f>IF(675&lt;=1000,INDEX($A$2:$A$1001,675),IF(675&lt;=2000,INDEX($B$2:$B$1001,-325),IF(675&lt;=3000,INDEX($C$2:$C$1001,-1325),IF(675&lt;=4000,INDEX($D$2:$D$1001,-2325),IF(675&lt;=5000,INDEX($E$2:$E$1001,-3325),"")))))</f>
        <v/>
      </c>
    </row>
    <row r="677">
      <c r="A677">
        <f>IFERROR(INDEX('[AQ_2020.xlsx]原始数据'!$A:$A,ROW(A1)+676),"")</f>
        <v/>
      </c>
      <c r="B677">
        <f>IFERROR(INDEX('[AQ_2021.xlsx]原始数据'!$A:$A,ROW(A1)+676),"")</f>
        <v/>
      </c>
      <c r="C677">
        <f>IFERROR(INDEX('[AQ_2022.xlsx]原始数据'!$A:$A,ROW(A1)+676),"")</f>
        <v/>
      </c>
      <c r="D677">
        <f>IFERROR(INDEX('[AQ_2023.xlsx]原始数据'!$A:$A,ROW(A1)+676),"")</f>
        <v/>
      </c>
      <c r="E677">
        <f>IFERROR(INDEX('[AQ_2024.xlsx]原始数据'!$A:$A,ROW(A1)+676),"")</f>
        <v/>
      </c>
      <c r="G677">
        <f>IF(676&lt;=1000,INDEX($A$2:$A$1001,676),IF(676&lt;=2000,INDEX($B$2:$B$1001,-324),IF(676&lt;=3000,INDEX($C$2:$C$1001,-1324),IF(676&lt;=4000,INDEX($D$2:$D$1001,-2324),IF(676&lt;=5000,INDEX($E$2:$E$1001,-3324),"")))))</f>
        <v/>
      </c>
    </row>
    <row r="678">
      <c r="A678">
        <f>IFERROR(INDEX('[AQ_2020.xlsx]原始数据'!$A:$A,ROW(A1)+677),"")</f>
        <v/>
      </c>
      <c r="B678">
        <f>IFERROR(INDEX('[AQ_2021.xlsx]原始数据'!$A:$A,ROW(A1)+677),"")</f>
        <v/>
      </c>
      <c r="C678">
        <f>IFERROR(INDEX('[AQ_2022.xlsx]原始数据'!$A:$A,ROW(A1)+677),"")</f>
        <v/>
      </c>
      <c r="D678">
        <f>IFERROR(INDEX('[AQ_2023.xlsx]原始数据'!$A:$A,ROW(A1)+677),"")</f>
        <v/>
      </c>
      <c r="E678">
        <f>IFERROR(INDEX('[AQ_2024.xlsx]原始数据'!$A:$A,ROW(A1)+677),"")</f>
        <v/>
      </c>
      <c r="G678">
        <f>IF(677&lt;=1000,INDEX($A$2:$A$1001,677),IF(677&lt;=2000,INDEX($B$2:$B$1001,-323),IF(677&lt;=3000,INDEX($C$2:$C$1001,-1323),IF(677&lt;=4000,INDEX($D$2:$D$1001,-2323),IF(677&lt;=5000,INDEX($E$2:$E$1001,-3323),"")))))</f>
        <v/>
      </c>
    </row>
    <row r="679">
      <c r="A679">
        <f>IFERROR(INDEX('[AQ_2020.xlsx]原始数据'!$A:$A,ROW(A1)+678),"")</f>
        <v/>
      </c>
      <c r="B679">
        <f>IFERROR(INDEX('[AQ_2021.xlsx]原始数据'!$A:$A,ROW(A1)+678),"")</f>
        <v/>
      </c>
      <c r="C679">
        <f>IFERROR(INDEX('[AQ_2022.xlsx]原始数据'!$A:$A,ROW(A1)+678),"")</f>
        <v/>
      </c>
      <c r="D679">
        <f>IFERROR(INDEX('[AQ_2023.xlsx]原始数据'!$A:$A,ROW(A1)+678),"")</f>
        <v/>
      </c>
      <c r="E679">
        <f>IFERROR(INDEX('[AQ_2024.xlsx]原始数据'!$A:$A,ROW(A1)+678),"")</f>
        <v/>
      </c>
      <c r="G679">
        <f>IF(678&lt;=1000,INDEX($A$2:$A$1001,678),IF(678&lt;=2000,INDEX($B$2:$B$1001,-322),IF(678&lt;=3000,INDEX($C$2:$C$1001,-1322),IF(678&lt;=4000,INDEX($D$2:$D$1001,-2322),IF(678&lt;=5000,INDEX($E$2:$E$1001,-3322),"")))))</f>
        <v/>
      </c>
    </row>
    <row r="680">
      <c r="A680">
        <f>IFERROR(INDEX('[AQ_2020.xlsx]原始数据'!$A:$A,ROW(A1)+679),"")</f>
        <v/>
      </c>
      <c r="B680">
        <f>IFERROR(INDEX('[AQ_2021.xlsx]原始数据'!$A:$A,ROW(A1)+679),"")</f>
        <v/>
      </c>
      <c r="C680">
        <f>IFERROR(INDEX('[AQ_2022.xlsx]原始数据'!$A:$A,ROW(A1)+679),"")</f>
        <v/>
      </c>
      <c r="D680">
        <f>IFERROR(INDEX('[AQ_2023.xlsx]原始数据'!$A:$A,ROW(A1)+679),"")</f>
        <v/>
      </c>
      <c r="E680">
        <f>IFERROR(INDEX('[AQ_2024.xlsx]原始数据'!$A:$A,ROW(A1)+679),"")</f>
        <v/>
      </c>
      <c r="G680">
        <f>IF(679&lt;=1000,INDEX($A$2:$A$1001,679),IF(679&lt;=2000,INDEX($B$2:$B$1001,-321),IF(679&lt;=3000,INDEX($C$2:$C$1001,-1321),IF(679&lt;=4000,INDEX($D$2:$D$1001,-2321),IF(679&lt;=5000,INDEX($E$2:$E$1001,-3321),"")))))</f>
        <v/>
      </c>
    </row>
    <row r="681">
      <c r="A681">
        <f>IFERROR(INDEX('[AQ_2020.xlsx]原始数据'!$A:$A,ROW(A1)+680),"")</f>
        <v/>
      </c>
      <c r="B681">
        <f>IFERROR(INDEX('[AQ_2021.xlsx]原始数据'!$A:$A,ROW(A1)+680),"")</f>
        <v/>
      </c>
      <c r="C681">
        <f>IFERROR(INDEX('[AQ_2022.xlsx]原始数据'!$A:$A,ROW(A1)+680),"")</f>
        <v/>
      </c>
      <c r="D681">
        <f>IFERROR(INDEX('[AQ_2023.xlsx]原始数据'!$A:$A,ROW(A1)+680),"")</f>
        <v/>
      </c>
      <c r="E681">
        <f>IFERROR(INDEX('[AQ_2024.xlsx]原始数据'!$A:$A,ROW(A1)+680),"")</f>
        <v/>
      </c>
      <c r="G681">
        <f>IF(680&lt;=1000,INDEX($A$2:$A$1001,680),IF(680&lt;=2000,INDEX($B$2:$B$1001,-320),IF(680&lt;=3000,INDEX($C$2:$C$1001,-1320),IF(680&lt;=4000,INDEX($D$2:$D$1001,-2320),IF(680&lt;=5000,INDEX($E$2:$E$1001,-3320),"")))))</f>
        <v/>
      </c>
    </row>
    <row r="682">
      <c r="A682">
        <f>IFERROR(INDEX('[AQ_2020.xlsx]原始数据'!$A:$A,ROW(A1)+681),"")</f>
        <v/>
      </c>
      <c r="B682">
        <f>IFERROR(INDEX('[AQ_2021.xlsx]原始数据'!$A:$A,ROW(A1)+681),"")</f>
        <v/>
      </c>
      <c r="C682">
        <f>IFERROR(INDEX('[AQ_2022.xlsx]原始数据'!$A:$A,ROW(A1)+681),"")</f>
        <v/>
      </c>
      <c r="D682">
        <f>IFERROR(INDEX('[AQ_2023.xlsx]原始数据'!$A:$A,ROW(A1)+681),"")</f>
        <v/>
      </c>
      <c r="E682">
        <f>IFERROR(INDEX('[AQ_2024.xlsx]原始数据'!$A:$A,ROW(A1)+681),"")</f>
        <v/>
      </c>
      <c r="G682">
        <f>IF(681&lt;=1000,INDEX($A$2:$A$1001,681),IF(681&lt;=2000,INDEX($B$2:$B$1001,-319),IF(681&lt;=3000,INDEX($C$2:$C$1001,-1319),IF(681&lt;=4000,INDEX($D$2:$D$1001,-2319),IF(681&lt;=5000,INDEX($E$2:$E$1001,-3319),"")))))</f>
        <v/>
      </c>
    </row>
    <row r="683">
      <c r="A683">
        <f>IFERROR(INDEX('[AQ_2020.xlsx]原始数据'!$A:$A,ROW(A1)+682),"")</f>
        <v/>
      </c>
      <c r="B683">
        <f>IFERROR(INDEX('[AQ_2021.xlsx]原始数据'!$A:$A,ROW(A1)+682),"")</f>
        <v/>
      </c>
      <c r="C683">
        <f>IFERROR(INDEX('[AQ_2022.xlsx]原始数据'!$A:$A,ROW(A1)+682),"")</f>
        <v/>
      </c>
      <c r="D683">
        <f>IFERROR(INDEX('[AQ_2023.xlsx]原始数据'!$A:$A,ROW(A1)+682),"")</f>
        <v/>
      </c>
      <c r="E683">
        <f>IFERROR(INDEX('[AQ_2024.xlsx]原始数据'!$A:$A,ROW(A1)+682),"")</f>
        <v/>
      </c>
      <c r="G683">
        <f>IF(682&lt;=1000,INDEX($A$2:$A$1001,682),IF(682&lt;=2000,INDEX($B$2:$B$1001,-318),IF(682&lt;=3000,INDEX($C$2:$C$1001,-1318),IF(682&lt;=4000,INDEX($D$2:$D$1001,-2318),IF(682&lt;=5000,INDEX($E$2:$E$1001,-3318),"")))))</f>
        <v/>
      </c>
    </row>
    <row r="684">
      <c r="A684">
        <f>IFERROR(INDEX('[AQ_2020.xlsx]原始数据'!$A:$A,ROW(A1)+683),"")</f>
        <v/>
      </c>
      <c r="B684">
        <f>IFERROR(INDEX('[AQ_2021.xlsx]原始数据'!$A:$A,ROW(A1)+683),"")</f>
        <v/>
      </c>
      <c r="C684">
        <f>IFERROR(INDEX('[AQ_2022.xlsx]原始数据'!$A:$A,ROW(A1)+683),"")</f>
        <v/>
      </c>
      <c r="D684">
        <f>IFERROR(INDEX('[AQ_2023.xlsx]原始数据'!$A:$A,ROW(A1)+683),"")</f>
        <v/>
      </c>
      <c r="E684">
        <f>IFERROR(INDEX('[AQ_2024.xlsx]原始数据'!$A:$A,ROW(A1)+683),"")</f>
        <v/>
      </c>
      <c r="G684">
        <f>IF(683&lt;=1000,INDEX($A$2:$A$1001,683),IF(683&lt;=2000,INDEX($B$2:$B$1001,-317),IF(683&lt;=3000,INDEX($C$2:$C$1001,-1317),IF(683&lt;=4000,INDEX($D$2:$D$1001,-2317),IF(683&lt;=5000,INDEX($E$2:$E$1001,-3317),"")))))</f>
        <v/>
      </c>
    </row>
    <row r="685">
      <c r="A685">
        <f>IFERROR(INDEX('[AQ_2020.xlsx]原始数据'!$A:$A,ROW(A1)+684),"")</f>
        <v/>
      </c>
      <c r="B685">
        <f>IFERROR(INDEX('[AQ_2021.xlsx]原始数据'!$A:$A,ROW(A1)+684),"")</f>
        <v/>
      </c>
      <c r="C685">
        <f>IFERROR(INDEX('[AQ_2022.xlsx]原始数据'!$A:$A,ROW(A1)+684),"")</f>
        <v/>
      </c>
      <c r="D685">
        <f>IFERROR(INDEX('[AQ_2023.xlsx]原始数据'!$A:$A,ROW(A1)+684),"")</f>
        <v/>
      </c>
      <c r="E685">
        <f>IFERROR(INDEX('[AQ_2024.xlsx]原始数据'!$A:$A,ROW(A1)+684),"")</f>
        <v/>
      </c>
      <c r="G685">
        <f>IF(684&lt;=1000,INDEX($A$2:$A$1001,684),IF(684&lt;=2000,INDEX($B$2:$B$1001,-316),IF(684&lt;=3000,INDEX($C$2:$C$1001,-1316),IF(684&lt;=4000,INDEX($D$2:$D$1001,-2316),IF(684&lt;=5000,INDEX($E$2:$E$1001,-3316),"")))))</f>
        <v/>
      </c>
    </row>
    <row r="686">
      <c r="A686">
        <f>IFERROR(INDEX('[AQ_2020.xlsx]原始数据'!$A:$A,ROW(A1)+685),"")</f>
        <v/>
      </c>
      <c r="B686">
        <f>IFERROR(INDEX('[AQ_2021.xlsx]原始数据'!$A:$A,ROW(A1)+685),"")</f>
        <v/>
      </c>
      <c r="C686">
        <f>IFERROR(INDEX('[AQ_2022.xlsx]原始数据'!$A:$A,ROW(A1)+685),"")</f>
        <v/>
      </c>
      <c r="D686">
        <f>IFERROR(INDEX('[AQ_2023.xlsx]原始数据'!$A:$A,ROW(A1)+685),"")</f>
        <v/>
      </c>
      <c r="E686">
        <f>IFERROR(INDEX('[AQ_2024.xlsx]原始数据'!$A:$A,ROW(A1)+685),"")</f>
        <v/>
      </c>
      <c r="G686">
        <f>IF(685&lt;=1000,INDEX($A$2:$A$1001,685),IF(685&lt;=2000,INDEX($B$2:$B$1001,-315),IF(685&lt;=3000,INDEX($C$2:$C$1001,-1315),IF(685&lt;=4000,INDEX($D$2:$D$1001,-2315),IF(685&lt;=5000,INDEX($E$2:$E$1001,-3315),"")))))</f>
        <v/>
      </c>
    </row>
    <row r="687">
      <c r="A687">
        <f>IFERROR(INDEX('[AQ_2020.xlsx]原始数据'!$A:$A,ROW(A1)+686),"")</f>
        <v/>
      </c>
      <c r="B687">
        <f>IFERROR(INDEX('[AQ_2021.xlsx]原始数据'!$A:$A,ROW(A1)+686),"")</f>
        <v/>
      </c>
      <c r="C687">
        <f>IFERROR(INDEX('[AQ_2022.xlsx]原始数据'!$A:$A,ROW(A1)+686),"")</f>
        <v/>
      </c>
      <c r="D687">
        <f>IFERROR(INDEX('[AQ_2023.xlsx]原始数据'!$A:$A,ROW(A1)+686),"")</f>
        <v/>
      </c>
      <c r="E687">
        <f>IFERROR(INDEX('[AQ_2024.xlsx]原始数据'!$A:$A,ROW(A1)+686),"")</f>
        <v/>
      </c>
      <c r="G687">
        <f>IF(686&lt;=1000,INDEX($A$2:$A$1001,686),IF(686&lt;=2000,INDEX($B$2:$B$1001,-314),IF(686&lt;=3000,INDEX($C$2:$C$1001,-1314),IF(686&lt;=4000,INDEX($D$2:$D$1001,-2314),IF(686&lt;=5000,INDEX($E$2:$E$1001,-3314),"")))))</f>
        <v/>
      </c>
    </row>
    <row r="688">
      <c r="A688">
        <f>IFERROR(INDEX('[AQ_2020.xlsx]原始数据'!$A:$A,ROW(A1)+687),"")</f>
        <v/>
      </c>
      <c r="B688">
        <f>IFERROR(INDEX('[AQ_2021.xlsx]原始数据'!$A:$A,ROW(A1)+687),"")</f>
        <v/>
      </c>
      <c r="C688">
        <f>IFERROR(INDEX('[AQ_2022.xlsx]原始数据'!$A:$A,ROW(A1)+687),"")</f>
        <v/>
      </c>
      <c r="D688">
        <f>IFERROR(INDEX('[AQ_2023.xlsx]原始数据'!$A:$A,ROW(A1)+687),"")</f>
        <v/>
      </c>
      <c r="E688">
        <f>IFERROR(INDEX('[AQ_2024.xlsx]原始数据'!$A:$A,ROW(A1)+687),"")</f>
        <v/>
      </c>
      <c r="G688">
        <f>IF(687&lt;=1000,INDEX($A$2:$A$1001,687),IF(687&lt;=2000,INDEX($B$2:$B$1001,-313),IF(687&lt;=3000,INDEX($C$2:$C$1001,-1313),IF(687&lt;=4000,INDEX($D$2:$D$1001,-2313),IF(687&lt;=5000,INDEX($E$2:$E$1001,-3313),"")))))</f>
        <v/>
      </c>
    </row>
    <row r="689">
      <c r="A689">
        <f>IFERROR(INDEX('[AQ_2020.xlsx]原始数据'!$A:$A,ROW(A1)+688),"")</f>
        <v/>
      </c>
      <c r="B689">
        <f>IFERROR(INDEX('[AQ_2021.xlsx]原始数据'!$A:$A,ROW(A1)+688),"")</f>
        <v/>
      </c>
      <c r="C689">
        <f>IFERROR(INDEX('[AQ_2022.xlsx]原始数据'!$A:$A,ROW(A1)+688),"")</f>
        <v/>
      </c>
      <c r="D689">
        <f>IFERROR(INDEX('[AQ_2023.xlsx]原始数据'!$A:$A,ROW(A1)+688),"")</f>
        <v/>
      </c>
      <c r="E689">
        <f>IFERROR(INDEX('[AQ_2024.xlsx]原始数据'!$A:$A,ROW(A1)+688),"")</f>
        <v/>
      </c>
      <c r="G689">
        <f>IF(688&lt;=1000,INDEX($A$2:$A$1001,688),IF(688&lt;=2000,INDEX($B$2:$B$1001,-312),IF(688&lt;=3000,INDEX($C$2:$C$1001,-1312),IF(688&lt;=4000,INDEX($D$2:$D$1001,-2312),IF(688&lt;=5000,INDEX($E$2:$E$1001,-3312),"")))))</f>
        <v/>
      </c>
    </row>
    <row r="690">
      <c r="A690">
        <f>IFERROR(INDEX('[AQ_2020.xlsx]原始数据'!$A:$A,ROW(A1)+689),"")</f>
        <v/>
      </c>
      <c r="B690">
        <f>IFERROR(INDEX('[AQ_2021.xlsx]原始数据'!$A:$A,ROW(A1)+689),"")</f>
        <v/>
      </c>
      <c r="C690">
        <f>IFERROR(INDEX('[AQ_2022.xlsx]原始数据'!$A:$A,ROW(A1)+689),"")</f>
        <v/>
      </c>
      <c r="D690">
        <f>IFERROR(INDEX('[AQ_2023.xlsx]原始数据'!$A:$A,ROW(A1)+689),"")</f>
        <v/>
      </c>
      <c r="E690">
        <f>IFERROR(INDEX('[AQ_2024.xlsx]原始数据'!$A:$A,ROW(A1)+689),"")</f>
        <v/>
      </c>
      <c r="G690">
        <f>IF(689&lt;=1000,INDEX($A$2:$A$1001,689),IF(689&lt;=2000,INDEX($B$2:$B$1001,-311),IF(689&lt;=3000,INDEX($C$2:$C$1001,-1311),IF(689&lt;=4000,INDEX($D$2:$D$1001,-2311),IF(689&lt;=5000,INDEX($E$2:$E$1001,-3311),"")))))</f>
        <v/>
      </c>
    </row>
    <row r="691">
      <c r="A691">
        <f>IFERROR(INDEX('[AQ_2020.xlsx]原始数据'!$A:$A,ROW(A1)+690),"")</f>
        <v/>
      </c>
      <c r="B691">
        <f>IFERROR(INDEX('[AQ_2021.xlsx]原始数据'!$A:$A,ROW(A1)+690),"")</f>
        <v/>
      </c>
      <c r="C691">
        <f>IFERROR(INDEX('[AQ_2022.xlsx]原始数据'!$A:$A,ROW(A1)+690),"")</f>
        <v/>
      </c>
      <c r="D691">
        <f>IFERROR(INDEX('[AQ_2023.xlsx]原始数据'!$A:$A,ROW(A1)+690),"")</f>
        <v/>
      </c>
      <c r="E691">
        <f>IFERROR(INDEX('[AQ_2024.xlsx]原始数据'!$A:$A,ROW(A1)+690),"")</f>
        <v/>
      </c>
      <c r="G691">
        <f>IF(690&lt;=1000,INDEX($A$2:$A$1001,690),IF(690&lt;=2000,INDEX($B$2:$B$1001,-310),IF(690&lt;=3000,INDEX($C$2:$C$1001,-1310),IF(690&lt;=4000,INDEX($D$2:$D$1001,-2310),IF(690&lt;=5000,INDEX($E$2:$E$1001,-3310),"")))))</f>
        <v/>
      </c>
    </row>
    <row r="692">
      <c r="A692">
        <f>IFERROR(INDEX('[AQ_2020.xlsx]原始数据'!$A:$A,ROW(A1)+691),"")</f>
        <v/>
      </c>
      <c r="B692">
        <f>IFERROR(INDEX('[AQ_2021.xlsx]原始数据'!$A:$A,ROW(A1)+691),"")</f>
        <v/>
      </c>
      <c r="C692">
        <f>IFERROR(INDEX('[AQ_2022.xlsx]原始数据'!$A:$A,ROW(A1)+691),"")</f>
        <v/>
      </c>
      <c r="D692">
        <f>IFERROR(INDEX('[AQ_2023.xlsx]原始数据'!$A:$A,ROW(A1)+691),"")</f>
        <v/>
      </c>
      <c r="E692">
        <f>IFERROR(INDEX('[AQ_2024.xlsx]原始数据'!$A:$A,ROW(A1)+691),"")</f>
        <v/>
      </c>
      <c r="G692">
        <f>IF(691&lt;=1000,INDEX($A$2:$A$1001,691),IF(691&lt;=2000,INDEX($B$2:$B$1001,-309),IF(691&lt;=3000,INDEX($C$2:$C$1001,-1309),IF(691&lt;=4000,INDEX($D$2:$D$1001,-2309),IF(691&lt;=5000,INDEX($E$2:$E$1001,-3309),"")))))</f>
        <v/>
      </c>
    </row>
    <row r="693">
      <c r="A693">
        <f>IFERROR(INDEX('[AQ_2020.xlsx]原始数据'!$A:$A,ROW(A1)+692),"")</f>
        <v/>
      </c>
      <c r="B693">
        <f>IFERROR(INDEX('[AQ_2021.xlsx]原始数据'!$A:$A,ROW(A1)+692),"")</f>
        <v/>
      </c>
      <c r="C693">
        <f>IFERROR(INDEX('[AQ_2022.xlsx]原始数据'!$A:$A,ROW(A1)+692),"")</f>
        <v/>
      </c>
      <c r="D693">
        <f>IFERROR(INDEX('[AQ_2023.xlsx]原始数据'!$A:$A,ROW(A1)+692),"")</f>
        <v/>
      </c>
      <c r="E693">
        <f>IFERROR(INDEX('[AQ_2024.xlsx]原始数据'!$A:$A,ROW(A1)+692),"")</f>
        <v/>
      </c>
      <c r="G693">
        <f>IF(692&lt;=1000,INDEX($A$2:$A$1001,692),IF(692&lt;=2000,INDEX($B$2:$B$1001,-308),IF(692&lt;=3000,INDEX($C$2:$C$1001,-1308),IF(692&lt;=4000,INDEX($D$2:$D$1001,-2308),IF(692&lt;=5000,INDEX($E$2:$E$1001,-3308),"")))))</f>
        <v/>
      </c>
    </row>
    <row r="694">
      <c r="A694">
        <f>IFERROR(INDEX('[AQ_2020.xlsx]原始数据'!$A:$A,ROW(A1)+693),"")</f>
        <v/>
      </c>
      <c r="B694">
        <f>IFERROR(INDEX('[AQ_2021.xlsx]原始数据'!$A:$A,ROW(A1)+693),"")</f>
        <v/>
      </c>
      <c r="C694">
        <f>IFERROR(INDEX('[AQ_2022.xlsx]原始数据'!$A:$A,ROW(A1)+693),"")</f>
        <v/>
      </c>
      <c r="D694">
        <f>IFERROR(INDEX('[AQ_2023.xlsx]原始数据'!$A:$A,ROW(A1)+693),"")</f>
        <v/>
      </c>
      <c r="E694">
        <f>IFERROR(INDEX('[AQ_2024.xlsx]原始数据'!$A:$A,ROW(A1)+693),"")</f>
        <v/>
      </c>
      <c r="G694">
        <f>IF(693&lt;=1000,INDEX($A$2:$A$1001,693),IF(693&lt;=2000,INDEX($B$2:$B$1001,-307),IF(693&lt;=3000,INDEX($C$2:$C$1001,-1307),IF(693&lt;=4000,INDEX($D$2:$D$1001,-2307),IF(693&lt;=5000,INDEX($E$2:$E$1001,-3307),"")))))</f>
        <v/>
      </c>
    </row>
    <row r="695">
      <c r="A695">
        <f>IFERROR(INDEX('[AQ_2020.xlsx]原始数据'!$A:$A,ROW(A1)+694),"")</f>
        <v/>
      </c>
      <c r="B695">
        <f>IFERROR(INDEX('[AQ_2021.xlsx]原始数据'!$A:$A,ROW(A1)+694),"")</f>
        <v/>
      </c>
      <c r="C695">
        <f>IFERROR(INDEX('[AQ_2022.xlsx]原始数据'!$A:$A,ROW(A1)+694),"")</f>
        <v/>
      </c>
      <c r="D695">
        <f>IFERROR(INDEX('[AQ_2023.xlsx]原始数据'!$A:$A,ROW(A1)+694),"")</f>
        <v/>
      </c>
      <c r="E695">
        <f>IFERROR(INDEX('[AQ_2024.xlsx]原始数据'!$A:$A,ROW(A1)+694),"")</f>
        <v/>
      </c>
      <c r="G695">
        <f>IF(694&lt;=1000,INDEX($A$2:$A$1001,694),IF(694&lt;=2000,INDEX($B$2:$B$1001,-306),IF(694&lt;=3000,INDEX($C$2:$C$1001,-1306),IF(694&lt;=4000,INDEX($D$2:$D$1001,-2306),IF(694&lt;=5000,INDEX($E$2:$E$1001,-3306),"")))))</f>
        <v/>
      </c>
    </row>
    <row r="696">
      <c r="A696">
        <f>IFERROR(INDEX('[AQ_2020.xlsx]原始数据'!$A:$A,ROW(A1)+695),"")</f>
        <v/>
      </c>
      <c r="B696">
        <f>IFERROR(INDEX('[AQ_2021.xlsx]原始数据'!$A:$A,ROW(A1)+695),"")</f>
        <v/>
      </c>
      <c r="C696">
        <f>IFERROR(INDEX('[AQ_2022.xlsx]原始数据'!$A:$A,ROW(A1)+695),"")</f>
        <v/>
      </c>
      <c r="D696">
        <f>IFERROR(INDEX('[AQ_2023.xlsx]原始数据'!$A:$A,ROW(A1)+695),"")</f>
        <v/>
      </c>
      <c r="E696">
        <f>IFERROR(INDEX('[AQ_2024.xlsx]原始数据'!$A:$A,ROW(A1)+695),"")</f>
        <v/>
      </c>
      <c r="G696">
        <f>IF(695&lt;=1000,INDEX($A$2:$A$1001,695),IF(695&lt;=2000,INDEX($B$2:$B$1001,-305),IF(695&lt;=3000,INDEX($C$2:$C$1001,-1305),IF(695&lt;=4000,INDEX($D$2:$D$1001,-2305),IF(695&lt;=5000,INDEX($E$2:$E$1001,-3305),"")))))</f>
        <v/>
      </c>
    </row>
    <row r="697">
      <c r="A697">
        <f>IFERROR(INDEX('[AQ_2020.xlsx]原始数据'!$A:$A,ROW(A1)+696),"")</f>
        <v/>
      </c>
      <c r="B697">
        <f>IFERROR(INDEX('[AQ_2021.xlsx]原始数据'!$A:$A,ROW(A1)+696),"")</f>
        <v/>
      </c>
      <c r="C697">
        <f>IFERROR(INDEX('[AQ_2022.xlsx]原始数据'!$A:$A,ROW(A1)+696),"")</f>
        <v/>
      </c>
      <c r="D697">
        <f>IFERROR(INDEX('[AQ_2023.xlsx]原始数据'!$A:$A,ROW(A1)+696),"")</f>
        <v/>
      </c>
      <c r="E697">
        <f>IFERROR(INDEX('[AQ_2024.xlsx]原始数据'!$A:$A,ROW(A1)+696),"")</f>
        <v/>
      </c>
      <c r="G697">
        <f>IF(696&lt;=1000,INDEX($A$2:$A$1001,696),IF(696&lt;=2000,INDEX($B$2:$B$1001,-304),IF(696&lt;=3000,INDEX($C$2:$C$1001,-1304),IF(696&lt;=4000,INDEX($D$2:$D$1001,-2304),IF(696&lt;=5000,INDEX($E$2:$E$1001,-3304),"")))))</f>
        <v/>
      </c>
    </row>
    <row r="698">
      <c r="A698">
        <f>IFERROR(INDEX('[AQ_2020.xlsx]原始数据'!$A:$A,ROW(A1)+697),"")</f>
        <v/>
      </c>
      <c r="B698">
        <f>IFERROR(INDEX('[AQ_2021.xlsx]原始数据'!$A:$A,ROW(A1)+697),"")</f>
        <v/>
      </c>
      <c r="C698">
        <f>IFERROR(INDEX('[AQ_2022.xlsx]原始数据'!$A:$A,ROW(A1)+697),"")</f>
        <v/>
      </c>
      <c r="D698">
        <f>IFERROR(INDEX('[AQ_2023.xlsx]原始数据'!$A:$A,ROW(A1)+697),"")</f>
        <v/>
      </c>
      <c r="E698">
        <f>IFERROR(INDEX('[AQ_2024.xlsx]原始数据'!$A:$A,ROW(A1)+697),"")</f>
        <v/>
      </c>
      <c r="G698">
        <f>IF(697&lt;=1000,INDEX($A$2:$A$1001,697),IF(697&lt;=2000,INDEX($B$2:$B$1001,-303),IF(697&lt;=3000,INDEX($C$2:$C$1001,-1303),IF(697&lt;=4000,INDEX($D$2:$D$1001,-2303),IF(697&lt;=5000,INDEX($E$2:$E$1001,-3303),"")))))</f>
        <v/>
      </c>
    </row>
    <row r="699">
      <c r="A699">
        <f>IFERROR(INDEX('[AQ_2020.xlsx]原始数据'!$A:$A,ROW(A1)+698),"")</f>
        <v/>
      </c>
      <c r="B699">
        <f>IFERROR(INDEX('[AQ_2021.xlsx]原始数据'!$A:$A,ROW(A1)+698),"")</f>
        <v/>
      </c>
      <c r="C699">
        <f>IFERROR(INDEX('[AQ_2022.xlsx]原始数据'!$A:$A,ROW(A1)+698),"")</f>
        <v/>
      </c>
      <c r="D699">
        <f>IFERROR(INDEX('[AQ_2023.xlsx]原始数据'!$A:$A,ROW(A1)+698),"")</f>
        <v/>
      </c>
      <c r="E699">
        <f>IFERROR(INDEX('[AQ_2024.xlsx]原始数据'!$A:$A,ROW(A1)+698),"")</f>
        <v/>
      </c>
      <c r="G699">
        <f>IF(698&lt;=1000,INDEX($A$2:$A$1001,698),IF(698&lt;=2000,INDEX($B$2:$B$1001,-302),IF(698&lt;=3000,INDEX($C$2:$C$1001,-1302),IF(698&lt;=4000,INDEX($D$2:$D$1001,-2302),IF(698&lt;=5000,INDEX($E$2:$E$1001,-3302),"")))))</f>
        <v/>
      </c>
    </row>
    <row r="700">
      <c r="A700">
        <f>IFERROR(INDEX('[AQ_2020.xlsx]原始数据'!$A:$A,ROW(A1)+699),"")</f>
        <v/>
      </c>
      <c r="B700">
        <f>IFERROR(INDEX('[AQ_2021.xlsx]原始数据'!$A:$A,ROW(A1)+699),"")</f>
        <v/>
      </c>
      <c r="C700">
        <f>IFERROR(INDEX('[AQ_2022.xlsx]原始数据'!$A:$A,ROW(A1)+699),"")</f>
        <v/>
      </c>
      <c r="D700">
        <f>IFERROR(INDEX('[AQ_2023.xlsx]原始数据'!$A:$A,ROW(A1)+699),"")</f>
        <v/>
      </c>
      <c r="E700">
        <f>IFERROR(INDEX('[AQ_2024.xlsx]原始数据'!$A:$A,ROW(A1)+699),"")</f>
        <v/>
      </c>
      <c r="G700">
        <f>IF(699&lt;=1000,INDEX($A$2:$A$1001,699),IF(699&lt;=2000,INDEX($B$2:$B$1001,-301),IF(699&lt;=3000,INDEX($C$2:$C$1001,-1301),IF(699&lt;=4000,INDEX($D$2:$D$1001,-2301),IF(699&lt;=5000,INDEX($E$2:$E$1001,-3301),"")))))</f>
        <v/>
      </c>
    </row>
    <row r="701">
      <c r="A701">
        <f>IFERROR(INDEX('[AQ_2020.xlsx]原始数据'!$A:$A,ROW(A1)+700),"")</f>
        <v/>
      </c>
      <c r="B701">
        <f>IFERROR(INDEX('[AQ_2021.xlsx]原始数据'!$A:$A,ROW(A1)+700),"")</f>
        <v/>
      </c>
      <c r="C701">
        <f>IFERROR(INDEX('[AQ_2022.xlsx]原始数据'!$A:$A,ROW(A1)+700),"")</f>
        <v/>
      </c>
      <c r="D701">
        <f>IFERROR(INDEX('[AQ_2023.xlsx]原始数据'!$A:$A,ROW(A1)+700),"")</f>
        <v/>
      </c>
      <c r="E701">
        <f>IFERROR(INDEX('[AQ_2024.xlsx]原始数据'!$A:$A,ROW(A1)+700),"")</f>
        <v/>
      </c>
      <c r="G701">
        <f>IF(700&lt;=1000,INDEX($A$2:$A$1001,700),IF(700&lt;=2000,INDEX($B$2:$B$1001,-300),IF(700&lt;=3000,INDEX($C$2:$C$1001,-1300),IF(700&lt;=4000,INDEX($D$2:$D$1001,-2300),IF(700&lt;=5000,INDEX($E$2:$E$1001,-3300),"")))))</f>
        <v/>
      </c>
    </row>
    <row r="702">
      <c r="A702">
        <f>IFERROR(INDEX('[AQ_2020.xlsx]原始数据'!$A:$A,ROW(A1)+701),"")</f>
        <v/>
      </c>
      <c r="B702">
        <f>IFERROR(INDEX('[AQ_2021.xlsx]原始数据'!$A:$A,ROW(A1)+701),"")</f>
        <v/>
      </c>
      <c r="C702">
        <f>IFERROR(INDEX('[AQ_2022.xlsx]原始数据'!$A:$A,ROW(A1)+701),"")</f>
        <v/>
      </c>
      <c r="D702">
        <f>IFERROR(INDEX('[AQ_2023.xlsx]原始数据'!$A:$A,ROW(A1)+701),"")</f>
        <v/>
      </c>
      <c r="E702">
        <f>IFERROR(INDEX('[AQ_2024.xlsx]原始数据'!$A:$A,ROW(A1)+701),"")</f>
        <v/>
      </c>
      <c r="G702">
        <f>IF(701&lt;=1000,INDEX($A$2:$A$1001,701),IF(701&lt;=2000,INDEX($B$2:$B$1001,-299),IF(701&lt;=3000,INDEX($C$2:$C$1001,-1299),IF(701&lt;=4000,INDEX($D$2:$D$1001,-2299),IF(701&lt;=5000,INDEX($E$2:$E$1001,-3299),"")))))</f>
        <v/>
      </c>
    </row>
    <row r="703">
      <c r="A703">
        <f>IFERROR(INDEX('[AQ_2020.xlsx]原始数据'!$A:$A,ROW(A1)+702),"")</f>
        <v/>
      </c>
      <c r="B703">
        <f>IFERROR(INDEX('[AQ_2021.xlsx]原始数据'!$A:$A,ROW(A1)+702),"")</f>
        <v/>
      </c>
      <c r="C703">
        <f>IFERROR(INDEX('[AQ_2022.xlsx]原始数据'!$A:$A,ROW(A1)+702),"")</f>
        <v/>
      </c>
      <c r="D703">
        <f>IFERROR(INDEX('[AQ_2023.xlsx]原始数据'!$A:$A,ROW(A1)+702),"")</f>
        <v/>
      </c>
      <c r="E703">
        <f>IFERROR(INDEX('[AQ_2024.xlsx]原始数据'!$A:$A,ROW(A1)+702),"")</f>
        <v/>
      </c>
      <c r="G703">
        <f>IF(702&lt;=1000,INDEX($A$2:$A$1001,702),IF(702&lt;=2000,INDEX($B$2:$B$1001,-298),IF(702&lt;=3000,INDEX($C$2:$C$1001,-1298),IF(702&lt;=4000,INDEX($D$2:$D$1001,-2298),IF(702&lt;=5000,INDEX($E$2:$E$1001,-3298),"")))))</f>
        <v/>
      </c>
    </row>
    <row r="704">
      <c r="A704">
        <f>IFERROR(INDEX('[AQ_2020.xlsx]原始数据'!$A:$A,ROW(A1)+703),"")</f>
        <v/>
      </c>
      <c r="B704">
        <f>IFERROR(INDEX('[AQ_2021.xlsx]原始数据'!$A:$A,ROW(A1)+703),"")</f>
        <v/>
      </c>
      <c r="C704">
        <f>IFERROR(INDEX('[AQ_2022.xlsx]原始数据'!$A:$A,ROW(A1)+703),"")</f>
        <v/>
      </c>
      <c r="D704">
        <f>IFERROR(INDEX('[AQ_2023.xlsx]原始数据'!$A:$A,ROW(A1)+703),"")</f>
        <v/>
      </c>
      <c r="E704">
        <f>IFERROR(INDEX('[AQ_2024.xlsx]原始数据'!$A:$A,ROW(A1)+703),"")</f>
        <v/>
      </c>
      <c r="G704">
        <f>IF(703&lt;=1000,INDEX($A$2:$A$1001,703),IF(703&lt;=2000,INDEX($B$2:$B$1001,-297),IF(703&lt;=3000,INDEX($C$2:$C$1001,-1297),IF(703&lt;=4000,INDEX($D$2:$D$1001,-2297),IF(703&lt;=5000,INDEX($E$2:$E$1001,-3297),"")))))</f>
        <v/>
      </c>
    </row>
    <row r="705">
      <c r="A705">
        <f>IFERROR(INDEX('[AQ_2020.xlsx]原始数据'!$A:$A,ROW(A1)+704),"")</f>
        <v/>
      </c>
      <c r="B705">
        <f>IFERROR(INDEX('[AQ_2021.xlsx]原始数据'!$A:$A,ROW(A1)+704),"")</f>
        <v/>
      </c>
      <c r="C705">
        <f>IFERROR(INDEX('[AQ_2022.xlsx]原始数据'!$A:$A,ROW(A1)+704),"")</f>
        <v/>
      </c>
      <c r="D705">
        <f>IFERROR(INDEX('[AQ_2023.xlsx]原始数据'!$A:$A,ROW(A1)+704),"")</f>
        <v/>
      </c>
      <c r="E705">
        <f>IFERROR(INDEX('[AQ_2024.xlsx]原始数据'!$A:$A,ROW(A1)+704),"")</f>
        <v/>
      </c>
      <c r="G705">
        <f>IF(704&lt;=1000,INDEX($A$2:$A$1001,704),IF(704&lt;=2000,INDEX($B$2:$B$1001,-296),IF(704&lt;=3000,INDEX($C$2:$C$1001,-1296),IF(704&lt;=4000,INDEX($D$2:$D$1001,-2296),IF(704&lt;=5000,INDEX($E$2:$E$1001,-3296),"")))))</f>
        <v/>
      </c>
    </row>
    <row r="706">
      <c r="A706">
        <f>IFERROR(INDEX('[AQ_2020.xlsx]原始数据'!$A:$A,ROW(A1)+705),"")</f>
        <v/>
      </c>
      <c r="B706">
        <f>IFERROR(INDEX('[AQ_2021.xlsx]原始数据'!$A:$A,ROW(A1)+705),"")</f>
        <v/>
      </c>
      <c r="C706">
        <f>IFERROR(INDEX('[AQ_2022.xlsx]原始数据'!$A:$A,ROW(A1)+705),"")</f>
        <v/>
      </c>
      <c r="D706">
        <f>IFERROR(INDEX('[AQ_2023.xlsx]原始数据'!$A:$A,ROW(A1)+705),"")</f>
        <v/>
      </c>
      <c r="E706">
        <f>IFERROR(INDEX('[AQ_2024.xlsx]原始数据'!$A:$A,ROW(A1)+705),"")</f>
        <v/>
      </c>
      <c r="G706">
        <f>IF(705&lt;=1000,INDEX($A$2:$A$1001,705),IF(705&lt;=2000,INDEX($B$2:$B$1001,-295),IF(705&lt;=3000,INDEX($C$2:$C$1001,-1295),IF(705&lt;=4000,INDEX($D$2:$D$1001,-2295),IF(705&lt;=5000,INDEX($E$2:$E$1001,-3295),"")))))</f>
        <v/>
      </c>
    </row>
    <row r="707">
      <c r="A707">
        <f>IFERROR(INDEX('[AQ_2020.xlsx]原始数据'!$A:$A,ROW(A1)+706),"")</f>
        <v/>
      </c>
      <c r="B707">
        <f>IFERROR(INDEX('[AQ_2021.xlsx]原始数据'!$A:$A,ROW(A1)+706),"")</f>
        <v/>
      </c>
      <c r="C707">
        <f>IFERROR(INDEX('[AQ_2022.xlsx]原始数据'!$A:$A,ROW(A1)+706),"")</f>
        <v/>
      </c>
      <c r="D707">
        <f>IFERROR(INDEX('[AQ_2023.xlsx]原始数据'!$A:$A,ROW(A1)+706),"")</f>
        <v/>
      </c>
      <c r="E707">
        <f>IFERROR(INDEX('[AQ_2024.xlsx]原始数据'!$A:$A,ROW(A1)+706),"")</f>
        <v/>
      </c>
      <c r="G707">
        <f>IF(706&lt;=1000,INDEX($A$2:$A$1001,706),IF(706&lt;=2000,INDEX($B$2:$B$1001,-294),IF(706&lt;=3000,INDEX($C$2:$C$1001,-1294),IF(706&lt;=4000,INDEX($D$2:$D$1001,-2294),IF(706&lt;=5000,INDEX($E$2:$E$1001,-3294),"")))))</f>
        <v/>
      </c>
    </row>
    <row r="708">
      <c r="A708">
        <f>IFERROR(INDEX('[AQ_2020.xlsx]原始数据'!$A:$A,ROW(A1)+707),"")</f>
        <v/>
      </c>
      <c r="B708">
        <f>IFERROR(INDEX('[AQ_2021.xlsx]原始数据'!$A:$A,ROW(A1)+707),"")</f>
        <v/>
      </c>
      <c r="C708">
        <f>IFERROR(INDEX('[AQ_2022.xlsx]原始数据'!$A:$A,ROW(A1)+707),"")</f>
        <v/>
      </c>
      <c r="D708">
        <f>IFERROR(INDEX('[AQ_2023.xlsx]原始数据'!$A:$A,ROW(A1)+707),"")</f>
        <v/>
      </c>
      <c r="E708">
        <f>IFERROR(INDEX('[AQ_2024.xlsx]原始数据'!$A:$A,ROW(A1)+707),"")</f>
        <v/>
      </c>
      <c r="G708">
        <f>IF(707&lt;=1000,INDEX($A$2:$A$1001,707),IF(707&lt;=2000,INDEX($B$2:$B$1001,-293),IF(707&lt;=3000,INDEX($C$2:$C$1001,-1293),IF(707&lt;=4000,INDEX($D$2:$D$1001,-2293),IF(707&lt;=5000,INDEX($E$2:$E$1001,-3293),"")))))</f>
        <v/>
      </c>
    </row>
    <row r="709">
      <c r="A709">
        <f>IFERROR(INDEX('[AQ_2020.xlsx]原始数据'!$A:$A,ROW(A1)+708),"")</f>
        <v/>
      </c>
      <c r="B709">
        <f>IFERROR(INDEX('[AQ_2021.xlsx]原始数据'!$A:$A,ROW(A1)+708),"")</f>
        <v/>
      </c>
      <c r="C709">
        <f>IFERROR(INDEX('[AQ_2022.xlsx]原始数据'!$A:$A,ROW(A1)+708),"")</f>
        <v/>
      </c>
      <c r="D709">
        <f>IFERROR(INDEX('[AQ_2023.xlsx]原始数据'!$A:$A,ROW(A1)+708),"")</f>
        <v/>
      </c>
      <c r="E709">
        <f>IFERROR(INDEX('[AQ_2024.xlsx]原始数据'!$A:$A,ROW(A1)+708),"")</f>
        <v/>
      </c>
      <c r="G709">
        <f>IF(708&lt;=1000,INDEX($A$2:$A$1001,708),IF(708&lt;=2000,INDEX($B$2:$B$1001,-292),IF(708&lt;=3000,INDEX($C$2:$C$1001,-1292),IF(708&lt;=4000,INDEX($D$2:$D$1001,-2292),IF(708&lt;=5000,INDEX($E$2:$E$1001,-3292),"")))))</f>
        <v/>
      </c>
    </row>
    <row r="710">
      <c r="A710">
        <f>IFERROR(INDEX('[AQ_2020.xlsx]原始数据'!$A:$A,ROW(A1)+709),"")</f>
        <v/>
      </c>
      <c r="B710">
        <f>IFERROR(INDEX('[AQ_2021.xlsx]原始数据'!$A:$A,ROW(A1)+709),"")</f>
        <v/>
      </c>
      <c r="C710">
        <f>IFERROR(INDEX('[AQ_2022.xlsx]原始数据'!$A:$A,ROW(A1)+709),"")</f>
        <v/>
      </c>
      <c r="D710">
        <f>IFERROR(INDEX('[AQ_2023.xlsx]原始数据'!$A:$A,ROW(A1)+709),"")</f>
        <v/>
      </c>
      <c r="E710">
        <f>IFERROR(INDEX('[AQ_2024.xlsx]原始数据'!$A:$A,ROW(A1)+709),"")</f>
        <v/>
      </c>
      <c r="G710">
        <f>IF(709&lt;=1000,INDEX($A$2:$A$1001,709),IF(709&lt;=2000,INDEX($B$2:$B$1001,-291),IF(709&lt;=3000,INDEX($C$2:$C$1001,-1291),IF(709&lt;=4000,INDEX($D$2:$D$1001,-2291),IF(709&lt;=5000,INDEX($E$2:$E$1001,-3291),"")))))</f>
        <v/>
      </c>
    </row>
    <row r="711">
      <c r="A711">
        <f>IFERROR(INDEX('[AQ_2020.xlsx]原始数据'!$A:$A,ROW(A1)+710),"")</f>
        <v/>
      </c>
      <c r="B711">
        <f>IFERROR(INDEX('[AQ_2021.xlsx]原始数据'!$A:$A,ROW(A1)+710),"")</f>
        <v/>
      </c>
      <c r="C711">
        <f>IFERROR(INDEX('[AQ_2022.xlsx]原始数据'!$A:$A,ROW(A1)+710),"")</f>
        <v/>
      </c>
      <c r="D711">
        <f>IFERROR(INDEX('[AQ_2023.xlsx]原始数据'!$A:$A,ROW(A1)+710),"")</f>
        <v/>
      </c>
      <c r="E711">
        <f>IFERROR(INDEX('[AQ_2024.xlsx]原始数据'!$A:$A,ROW(A1)+710),"")</f>
        <v/>
      </c>
      <c r="G711">
        <f>IF(710&lt;=1000,INDEX($A$2:$A$1001,710),IF(710&lt;=2000,INDEX($B$2:$B$1001,-290),IF(710&lt;=3000,INDEX($C$2:$C$1001,-1290),IF(710&lt;=4000,INDEX($D$2:$D$1001,-2290),IF(710&lt;=5000,INDEX($E$2:$E$1001,-3290),"")))))</f>
        <v/>
      </c>
    </row>
    <row r="712">
      <c r="A712">
        <f>IFERROR(INDEX('[AQ_2020.xlsx]原始数据'!$A:$A,ROW(A1)+711),"")</f>
        <v/>
      </c>
      <c r="B712">
        <f>IFERROR(INDEX('[AQ_2021.xlsx]原始数据'!$A:$A,ROW(A1)+711),"")</f>
        <v/>
      </c>
      <c r="C712">
        <f>IFERROR(INDEX('[AQ_2022.xlsx]原始数据'!$A:$A,ROW(A1)+711),"")</f>
        <v/>
      </c>
      <c r="D712">
        <f>IFERROR(INDEX('[AQ_2023.xlsx]原始数据'!$A:$A,ROW(A1)+711),"")</f>
        <v/>
      </c>
      <c r="E712">
        <f>IFERROR(INDEX('[AQ_2024.xlsx]原始数据'!$A:$A,ROW(A1)+711),"")</f>
        <v/>
      </c>
      <c r="G712">
        <f>IF(711&lt;=1000,INDEX($A$2:$A$1001,711),IF(711&lt;=2000,INDEX($B$2:$B$1001,-289),IF(711&lt;=3000,INDEX($C$2:$C$1001,-1289),IF(711&lt;=4000,INDEX($D$2:$D$1001,-2289),IF(711&lt;=5000,INDEX($E$2:$E$1001,-3289),"")))))</f>
        <v/>
      </c>
    </row>
    <row r="713">
      <c r="A713">
        <f>IFERROR(INDEX('[AQ_2020.xlsx]原始数据'!$A:$A,ROW(A1)+712),"")</f>
        <v/>
      </c>
      <c r="B713">
        <f>IFERROR(INDEX('[AQ_2021.xlsx]原始数据'!$A:$A,ROW(A1)+712),"")</f>
        <v/>
      </c>
      <c r="C713">
        <f>IFERROR(INDEX('[AQ_2022.xlsx]原始数据'!$A:$A,ROW(A1)+712),"")</f>
        <v/>
      </c>
      <c r="D713">
        <f>IFERROR(INDEX('[AQ_2023.xlsx]原始数据'!$A:$A,ROW(A1)+712),"")</f>
        <v/>
      </c>
      <c r="E713">
        <f>IFERROR(INDEX('[AQ_2024.xlsx]原始数据'!$A:$A,ROW(A1)+712),"")</f>
        <v/>
      </c>
      <c r="G713">
        <f>IF(712&lt;=1000,INDEX($A$2:$A$1001,712),IF(712&lt;=2000,INDEX($B$2:$B$1001,-288),IF(712&lt;=3000,INDEX($C$2:$C$1001,-1288),IF(712&lt;=4000,INDEX($D$2:$D$1001,-2288),IF(712&lt;=5000,INDEX($E$2:$E$1001,-3288),"")))))</f>
        <v/>
      </c>
    </row>
    <row r="714">
      <c r="A714">
        <f>IFERROR(INDEX('[AQ_2020.xlsx]原始数据'!$A:$A,ROW(A1)+713),"")</f>
        <v/>
      </c>
      <c r="B714">
        <f>IFERROR(INDEX('[AQ_2021.xlsx]原始数据'!$A:$A,ROW(A1)+713),"")</f>
        <v/>
      </c>
      <c r="C714">
        <f>IFERROR(INDEX('[AQ_2022.xlsx]原始数据'!$A:$A,ROW(A1)+713),"")</f>
        <v/>
      </c>
      <c r="D714">
        <f>IFERROR(INDEX('[AQ_2023.xlsx]原始数据'!$A:$A,ROW(A1)+713),"")</f>
        <v/>
      </c>
      <c r="E714">
        <f>IFERROR(INDEX('[AQ_2024.xlsx]原始数据'!$A:$A,ROW(A1)+713),"")</f>
        <v/>
      </c>
      <c r="G714">
        <f>IF(713&lt;=1000,INDEX($A$2:$A$1001,713),IF(713&lt;=2000,INDEX($B$2:$B$1001,-287),IF(713&lt;=3000,INDEX($C$2:$C$1001,-1287),IF(713&lt;=4000,INDEX($D$2:$D$1001,-2287),IF(713&lt;=5000,INDEX($E$2:$E$1001,-3287),"")))))</f>
        <v/>
      </c>
    </row>
    <row r="715">
      <c r="A715">
        <f>IFERROR(INDEX('[AQ_2020.xlsx]原始数据'!$A:$A,ROW(A1)+714),"")</f>
        <v/>
      </c>
      <c r="B715">
        <f>IFERROR(INDEX('[AQ_2021.xlsx]原始数据'!$A:$A,ROW(A1)+714),"")</f>
        <v/>
      </c>
      <c r="C715">
        <f>IFERROR(INDEX('[AQ_2022.xlsx]原始数据'!$A:$A,ROW(A1)+714),"")</f>
        <v/>
      </c>
      <c r="D715">
        <f>IFERROR(INDEX('[AQ_2023.xlsx]原始数据'!$A:$A,ROW(A1)+714),"")</f>
        <v/>
      </c>
      <c r="E715">
        <f>IFERROR(INDEX('[AQ_2024.xlsx]原始数据'!$A:$A,ROW(A1)+714),"")</f>
        <v/>
      </c>
      <c r="G715">
        <f>IF(714&lt;=1000,INDEX($A$2:$A$1001,714),IF(714&lt;=2000,INDEX($B$2:$B$1001,-286),IF(714&lt;=3000,INDEX($C$2:$C$1001,-1286),IF(714&lt;=4000,INDEX($D$2:$D$1001,-2286),IF(714&lt;=5000,INDEX($E$2:$E$1001,-3286),"")))))</f>
        <v/>
      </c>
    </row>
    <row r="716">
      <c r="A716">
        <f>IFERROR(INDEX('[AQ_2020.xlsx]原始数据'!$A:$A,ROW(A1)+715),"")</f>
        <v/>
      </c>
      <c r="B716">
        <f>IFERROR(INDEX('[AQ_2021.xlsx]原始数据'!$A:$A,ROW(A1)+715),"")</f>
        <v/>
      </c>
      <c r="C716">
        <f>IFERROR(INDEX('[AQ_2022.xlsx]原始数据'!$A:$A,ROW(A1)+715),"")</f>
        <v/>
      </c>
      <c r="D716">
        <f>IFERROR(INDEX('[AQ_2023.xlsx]原始数据'!$A:$A,ROW(A1)+715),"")</f>
        <v/>
      </c>
      <c r="E716">
        <f>IFERROR(INDEX('[AQ_2024.xlsx]原始数据'!$A:$A,ROW(A1)+715),"")</f>
        <v/>
      </c>
      <c r="G716">
        <f>IF(715&lt;=1000,INDEX($A$2:$A$1001,715),IF(715&lt;=2000,INDEX($B$2:$B$1001,-285),IF(715&lt;=3000,INDEX($C$2:$C$1001,-1285),IF(715&lt;=4000,INDEX($D$2:$D$1001,-2285),IF(715&lt;=5000,INDEX($E$2:$E$1001,-3285),"")))))</f>
        <v/>
      </c>
    </row>
    <row r="717">
      <c r="A717">
        <f>IFERROR(INDEX('[AQ_2020.xlsx]原始数据'!$A:$A,ROW(A1)+716),"")</f>
        <v/>
      </c>
      <c r="B717">
        <f>IFERROR(INDEX('[AQ_2021.xlsx]原始数据'!$A:$A,ROW(A1)+716),"")</f>
        <v/>
      </c>
      <c r="C717">
        <f>IFERROR(INDEX('[AQ_2022.xlsx]原始数据'!$A:$A,ROW(A1)+716),"")</f>
        <v/>
      </c>
      <c r="D717">
        <f>IFERROR(INDEX('[AQ_2023.xlsx]原始数据'!$A:$A,ROW(A1)+716),"")</f>
        <v/>
      </c>
      <c r="E717">
        <f>IFERROR(INDEX('[AQ_2024.xlsx]原始数据'!$A:$A,ROW(A1)+716),"")</f>
        <v/>
      </c>
      <c r="G717">
        <f>IF(716&lt;=1000,INDEX($A$2:$A$1001,716),IF(716&lt;=2000,INDEX($B$2:$B$1001,-284),IF(716&lt;=3000,INDEX($C$2:$C$1001,-1284),IF(716&lt;=4000,INDEX($D$2:$D$1001,-2284),IF(716&lt;=5000,INDEX($E$2:$E$1001,-3284),"")))))</f>
        <v/>
      </c>
    </row>
    <row r="718">
      <c r="A718">
        <f>IFERROR(INDEX('[AQ_2020.xlsx]原始数据'!$A:$A,ROW(A1)+717),"")</f>
        <v/>
      </c>
      <c r="B718">
        <f>IFERROR(INDEX('[AQ_2021.xlsx]原始数据'!$A:$A,ROW(A1)+717),"")</f>
        <v/>
      </c>
      <c r="C718">
        <f>IFERROR(INDEX('[AQ_2022.xlsx]原始数据'!$A:$A,ROW(A1)+717),"")</f>
        <v/>
      </c>
      <c r="D718">
        <f>IFERROR(INDEX('[AQ_2023.xlsx]原始数据'!$A:$A,ROW(A1)+717),"")</f>
        <v/>
      </c>
      <c r="E718">
        <f>IFERROR(INDEX('[AQ_2024.xlsx]原始数据'!$A:$A,ROW(A1)+717),"")</f>
        <v/>
      </c>
      <c r="G718">
        <f>IF(717&lt;=1000,INDEX($A$2:$A$1001,717),IF(717&lt;=2000,INDEX($B$2:$B$1001,-283),IF(717&lt;=3000,INDEX($C$2:$C$1001,-1283),IF(717&lt;=4000,INDEX($D$2:$D$1001,-2283),IF(717&lt;=5000,INDEX($E$2:$E$1001,-3283),"")))))</f>
        <v/>
      </c>
    </row>
    <row r="719">
      <c r="A719">
        <f>IFERROR(INDEX('[AQ_2020.xlsx]原始数据'!$A:$A,ROW(A1)+718),"")</f>
        <v/>
      </c>
      <c r="B719">
        <f>IFERROR(INDEX('[AQ_2021.xlsx]原始数据'!$A:$A,ROW(A1)+718),"")</f>
        <v/>
      </c>
      <c r="C719">
        <f>IFERROR(INDEX('[AQ_2022.xlsx]原始数据'!$A:$A,ROW(A1)+718),"")</f>
        <v/>
      </c>
      <c r="D719">
        <f>IFERROR(INDEX('[AQ_2023.xlsx]原始数据'!$A:$A,ROW(A1)+718),"")</f>
        <v/>
      </c>
      <c r="E719">
        <f>IFERROR(INDEX('[AQ_2024.xlsx]原始数据'!$A:$A,ROW(A1)+718),"")</f>
        <v/>
      </c>
      <c r="G719">
        <f>IF(718&lt;=1000,INDEX($A$2:$A$1001,718),IF(718&lt;=2000,INDEX($B$2:$B$1001,-282),IF(718&lt;=3000,INDEX($C$2:$C$1001,-1282),IF(718&lt;=4000,INDEX($D$2:$D$1001,-2282),IF(718&lt;=5000,INDEX($E$2:$E$1001,-3282),"")))))</f>
        <v/>
      </c>
    </row>
    <row r="720">
      <c r="A720">
        <f>IFERROR(INDEX('[AQ_2020.xlsx]原始数据'!$A:$A,ROW(A1)+719),"")</f>
        <v/>
      </c>
      <c r="B720">
        <f>IFERROR(INDEX('[AQ_2021.xlsx]原始数据'!$A:$A,ROW(A1)+719),"")</f>
        <v/>
      </c>
      <c r="C720">
        <f>IFERROR(INDEX('[AQ_2022.xlsx]原始数据'!$A:$A,ROW(A1)+719),"")</f>
        <v/>
      </c>
      <c r="D720">
        <f>IFERROR(INDEX('[AQ_2023.xlsx]原始数据'!$A:$A,ROW(A1)+719),"")</f>
        <v/>
      </c>
      <c r="E720">
        <f>IFERROR(INDEX('[AQ_2024.xlsx]原始数据'!$A:$A,ROW(A1)+719),"")</f>
        <v/>
      </c>
      <c r="G720">
        <f>IF(719&lt;=1000,INDEX($A$2:$A$1001,719),IF(719&lt;=2000,INDEX($B$2:$B$1001,-281),IF(719&lt;=3000,INDEX($C$2:$C$1001,-1281),IF(719&lt;=4000,INDEX($D$2:$D$1001,-2281),IF(719&lt;=5000,INDEX($E$2:$E$1001,-3281),"")))))</f>
        <v/>
      </c>
    </row>
    <row r="721">
      <c r="A721">
        <f>IFERROR(INDEX('[AQ_2020.xlsx]原始数据'!$A:$A,ROW(A1)+720),"")</f>
        <v/>
      </c>
      <c r="B721">
        <f>IFERROR(INDEX('[AQ_2021.xlsx]原始数据'!$A:$A,ROW(A1)+720),"")</f>
        <v/>
      </c>
      <c r="C721">
        <f>IFERROR(INDEX('[AQ_2022.xlsx]原始数据'!$A:$A,ROW(A1)+720),"")</f>
        <v/>
      </c>
      <c r="D721">
        <f>IFERROR(INDEX('[AQ_2023.xlsx]原始数据'!$A:$A,ROW(A1)+720),"")</f>
        <v/>
      </c>
      <c r="E721">
        <f>IFERROR(INDEX('[AQ_2024.xlsx]原始数据'!$A:$A,ROW(A1)+720),"")</f>
        <v/>
      </c>
      <c r="G721">
        <f>IF(720&lt;=1000,INDEX($A$2:$A$1001,720),IF(720&lt;=2000,INDEX($B$2:$B$1001,-280),IF(720&lt;=3000,INDEX($C$2:$C$1001,-1280),IF(720&lt;=4000,INDEX($D$2:$D$1001,-2280),IF(720&lt;=5000,INDEX($E$2:$E$1001,-3280),"")))))</f>
        <v/>
      </c>
    </row>
    <row r="722">
      <c r="A722">
        <f>IFERROR(INDEX('[AQ_2020.xlsx]原始数据'!$A:$A,ROW(A1)+721),"")</f>
        <v/>
      </c>
      <c r="B722">
        <f>IFERROR(INDEX('[AQ_2021.xlsx]原始数据'!$A:$A,ROW(A1)+721),"")</f>
        <v/>
      </c>
      <c r="C722">
        <f>IFERROR(INDEX('[AQ_2022.xlsx]原始数据'!$A:$A,ROW(A1)+721),"")</f>
        <v/>
      </c>
      <c r="D722">
        <f>IFERROR(INDEX('[AQ_2023.xlsx]原始数据'!$A:$A,ROW(A1)+721),"")</f>
        <v/>
      </c>
      <c r="E722">
        <f>IFERROR(INDEX('[AQ_2024.xlsx]原始数据'!$A:$A,ROW(A1)+721),"")</f>
        <v/>
      </c>
      <c r="G722">
        <f>IF(721&lt;=1000,INDEX($A$2:$A$1001,721),IF(721&lt;=2000,INDEX($B$2:$B$1001,-279),IF(721&lt;=3000,INDEX($C$2:$C$1001,-1279),IF(721&lt;=4000,INDEX($D$2:$D$1001,-2279),IF(721&lt;=5000,INDEX($E$2:$E$1001,-3279),"")))))</f>
        <v/>
      </c>
    </row>
    <row r="723">
      <c r="A723">
        <f>IFERROR(INDEX('[AQ_2020.xlsx]原始数据'!$A:$A,ROW(A1)+722),"")</f>
        <v/>
      </c>
      <c r="B723">
        <f>IFERROR(INDEX('[AQ_2021.xlsx]原始数据'!$A:$A,ROW(A1)+722),"")</f>
        <v/>
      </c>
      <c r="C723">
        <f>IFERROR(INDEX('[AQ_2022.xlsx]原始数据'!$A:$A,ROW(A1)+722),"")</f>
        <v/>
      </c>
      <c r="D723">
        <f>IFERROR(INDEX('[AQ_2023.xlsx]原始数据'!$A:$A,ROW(A1)+722),"")</f>
        <v/>
      </c>
      <c r="E723">
        <f>IFERROR(INDEX('[AQ_2024.xlsx]原始数据'!$A:$A,ROW(A1)+722),"")</f>
        <v/>
      </c>
      <c r="G723">
        <f>IF(722&lt;=1000,INDEX($A$2:$A$1001,722),IF(722&lt;=2000,INDEX($B$2:$B$1001,-278),IF(722&lt;=3000,INDEX($C$2:$C$1001,-1278),IF(722&lt;=4000,INDEX($D$2:$D$1001,-2278),IF(722&lt;=5000,INDEX($E$2:$E$1001,-3278),"")))))</f>
        <v/>
      </c>
    </row>
    <row r="724">
      <c r="A724">
        <f>IFERROR(INDEX('[AQ_2020.xlsx]原始数据'!$A:$A,ROW(A1)+723),"")</f>
        <v/>
      </c>
      <c r="B724">
        <f>IFERROR(INDEX('[AQ_2021.xlsx]原始数据'!$A:$A,ROW(A1)+723),"")</f>
        <v/>
      </c>
      <c r="C724">
        <f>IFERROR(INDEX('[AQ_2022.xlsx]原始数据'!$A:$A,ROW(A1)+723),"")</f>
        <v/>
      </c>
      <c r="D724">
        <f>IFERROR(INDEX('[AQ_2023.xlsx]原始数据'!$A:$A,ROW(A1)+723),"")</f>
        <v/>
      </c>
      <c r="E724">
        <f>IFERROR(INDEX('[AQ_2024.xlsx]原始数据'!$A:$A,ROW(A1)+723),"")</f>
        <v/>
      </c>
      <c r="G724">
        <f>IF(723&lt;=1000,INDEX($A$2:$A$1001,723),IF(723&lt;=2000,INDEX($B$2:$B$1001,-277),IF(723&lt;=3000,INDEX($C$2:$C$1001,-1277),IF(723&lt;=4000,INDEX($D$2:$D$1001,-2277),IF(723&lt;=5000,INDEX($E$2:$E$1001,-3277),"")))))</f>
        <v/>
      </c>
    </row>
    <row r="725">
      <c r="A725">
        <f>IFERROR(INDEX('[AQ_2020.xlsx]原始数据'!$A:$A,ROW(A1)+724),"")</f>
        <v/>
      </c>
      <c r="B725">
        <f>IFERROR(INDEX('[AQ_2021.xlsx]原始数据'!$A:$A,ROW(A1)+724),"")</f>
        <v/>
      </c>
      <c r="C725">
        <f>IFERROR(INDEX('[AQ_2022.xlsx]原始数据'!$A:$A,ROW(A1)+724),"")</f>
        <v/>
      </c>
      <c r="D725">
        <f>IFERROR(INDEX('[AQ_2023.xlsx]原始数据'!$A:$A,ROW(A1)+724),"")</f>
        <v/>
      </c>
      <c r="E725">
        <f>IFERROR(INDEX('[AQ_2024.xlsx]原始数据'!$A:$A,ROW(A1)+724),"")</f>
        <v/>
      </c>
      <c r="G725">
        <f>IF(724&lt;=1000,INDEX($A$2:$A$1001,724),IF(724&lt;=2000,INDEX($B$2:$B$1001,-276),IF(724&lt;=3000,INDEX($C$2:$C$1001,-1276),IF(724&lt;=4000,INDEX($D$2:$D$1001,-2276),IF(724&lt;=5000,INDEX($E$2:$E$1001,-3276),"")))))</f>
        <v/>
      </c>
    </row>
    <row r="726">
      <c r="A726">
        <f>IFERROR(INDEX('[AQ_2020.xlsx]原始数据'!$A:$A,ROW(A1)+725),"")</f>
        <v/>
      </c>
      <c r="B726">
        <f>IFERROR(INDEX('[AQ_2021.xlsx]原始数据'!$A:$A,ROW(A1)+725),"")</f>
        <v/>
      </c>
      <c r="C726">
        <f>IFERROR(INDEX('[AQ_2022.xlsx]原始数据'!$A:$A,ROW(A1)+725),"")</f>
        <v/>
      </c>
      <c r="D726">
        <f>IFERROR(INDEX('[AQ_2023.xlsx]原始数据'!$A:$A,ROW(A1)+725),"")</f>
        <v/>
      </c>
      <c r="E726">
        <f>IFERROR(INDEX('[AQ_2024.xlsx]原始数据'!$A:$A,ROW(A1)+725),"")</f>
        <v/>
      </c>
      <c r="G726">
        <f>IF(725&lt;=1000,INDEX($A$2:$A$1001,725),IF(725&lt;=2000,INDEX($B$2:$B$1001,-275),IF(725&lt;=3000,INDEX($C$2:$C$1001,-1275),IF(725&lt;=4000,INDEX($D$2:$D$1001,-2275),IF(725&lt;=5000,INDEX($E$2:$E$1001,-3275),"")))))</f>
        <v/>
      </c>
    </row>
    <row r="727">
      <c r="A727">
        <f>IFERROR(INDEX('[AQ_2020.xlsx]原始数据'!$A:$A,ROW(A1)+726),"")</f>
        <v/>
      </c>
      <c r="B727">
        <f>IFERROR(INDEX('[AQ_2021.xlsx]原始数据'!$A:$A,ROW(A1)+726),"")</f>
        <v/>
      </c>
      <c r="C727">
        <f>IFERROR(INDEX('[AQ_2022.xlsx]原始数据'!$A:$A,ROW(A1)+726),"")</f>
        <v/>
      </c>
      <c r="D727">
        <f>IFERROR(INDEX('[AQ_2023.xlsx]原始数据'!$A:$A,ROW(A1)+726),"")</f>
        <v/>
      </c>
      <c r="E727">
        <f>IFERROR(INDEX('[AQ_2024.xlsx]原始数据'!$A:$A,ROW(A1)+726),"")</f>
        <v/>
      </c>
      <c r="G727">
        <f>IF(726&lt;=1000,INDEX($A$2:$A$1001,726),IF(726&lt;=2000,INDEX($B$2:$B$1001,-274),IF(726&lt;=3000,INDEX($C$2:$C$1001,-1274),IF(726&lt;=4000,INDEX($D$2:$D$1001,-2274),IF(726&lt;=5000,INDEX($E$2:$E$1001,-3274),"")))))</f>
        <v/>
      </c>
    </row>
    <row r="728">
      <c r="A728">
        <f>IFERROR(INDEX('[AQ_2020.xlsx]原始数据'!$A:$A,ROW(A1)+727),"")</f>
        <v/>
      </c>
      <c r="B728">
        <f>IFERROR(INDEX('[AQ_2021.xlsx]原始数据'!$A:$A,ROW(A1)+727),"")</f>
        <v/>
      </c>
      <c r="C728">
        <f>IFERROR(INDEX('[AQ_2022.xlsx]原始数据'!$A:$A,ROW(A1)+727),"")</f>
        <v/>
      </c>
      <c r="D728">
        <f>IFERROR(INDEX('[AQ_2023.xlsx]原始数据'!$A:$A,ROW(A1)+727),"")</f>
        <v/>
      </c>
      <c r="E728">
        <f>IFERROR(INDEX('[AQ_2024.xlsx]原始数据'!$A:$A,ROW(A1)+727),"")</f>
        <v/>
      </c>
      <c r="G728">
        <f>IF(727&lt;=1000,INDEX($A$2:$A$1001,727),IF(727&lt;=2000,INDEX($B$2:$B$1001,-273),IF(727&lt;=3000,INDEX($C$2:$C$1001,-1273),IF(727&lt;=4000,INDEX($D$2:$D$1001,-2273),IF(727&lt;=5000,INDEX($E$2:$E$1001,-3273),"")))))</f>
        <v/>
      </c>
    </row>
    <row r="729">
      <c r="A729">
        <f>IFERROR(INDEX('[AQ_2020.xlsx]原始数据'!$A:$A,ROW(A1)+728),"")</f>
        <v/>
      </c>
      <c r="B729">
        <f>IFERROR(INDEX('[AQ_2021.xlsx]原始数据'!$A:$A,ROW(A1)+728),"")</f>
        <v/>
      </c>
      <c r="C729">
        <f>IFERROR(INDEX('[AQ_2022.xlsx]原始数据'!$A:$A,ROW(A1)+728),"")</f>
        <v/>
      </c>
      <c r="D729">
        <f>IFERROR(INDEX('[AQ_2023.xlsx]原始数据'!$A:$A,ROW(A1)+728),"")</f>
        <v/>
      </c>
      <c r="E729">
        <f>IFERROR(INDEX('[AQ_2024.xlsx]原始数据'!$A:$A,ROW(A1)+728),"")</f>
        <v/>
      </c>
      <c r="G729">
        <f>IF(728&lt;=1000,INDEX($A$2:$A$1001,728),IF(728&lt;=2000,INDEX($B$2:$B$1001,-272),IF(728&lt;=3000,INDEX($C$2:$C$1001,-1272),IF(728&lt;=4000,INDEX($D$2:$D$1001,-2272),IF(728&lt;=5000,INDEX($E$2:$E$1001,-3272),"")))))</f>
        <v/>
      </c>
    </row>
    <row r="730">
      <c r="A730">
        <f>IFERROR(INDEX('[AQ_2020.xlsx]原始数据'!$A:$A,ROW(A1)+729),"")</f>
        <v/>
      </c>
      <c r="B730">
        <f>IFERROR(INDEX('[AQ_2021.xlsx]原始数据'!$A:$A,ROW(A1)+729),"")</f>
        <v/>
      </c>
      <c r="C730">
        <f>IFERROR(INDEX('[AQ_2022.xlsx]原始数据'!$A:$A,ROW(A1)+729),"")</f>
        <v/>
      </c>
      <c r="D730">
        <f>IFERROR(INDEX('[AQ_2023.xlsx]原始数据'!$A:$A,ROW(A1)+729),"")</f>
        <v/>
      </c>
      <c r="E730">
        <f>IFERROR(INDEX('[AQ_2024.xlsx]原始数据'!$A:$A,ROW(A1)+729),"")</f>
        <v/>
      </c>
      <c r="G730">
        <f>IF(729&lt;=1000,INDEX($A$2:$A$1001,729),IF(729&lt;=2000,INDEX($B$2:$B$1001,-271),IF(729&lt;=3000,INDEX($C$2:$C$1001,-1271),IF(729&lt;=4000,INDEX($D$2:$D$1001,-2271),IF(729&lt;=5000,INDEX($E$2:$E$1001,-3271),"")))))</f>
        <v/>
      </c>
    </row>
    <row r="731">
      <c r="A731">
        <f>IFERROR(INDEX('[AQ_2020.xlsx]原始数据'!$A:$A,ROW(A1)+730),"")</f>
        <v/>
      </c>
      <c r="B731">
        <f>IFERROR(INDEX('[AQ_2021.xlsx]原始数据'!$A:$A,ROW(A1)+730),"")</f>
        <v/>
      </c>
      <c r="C731">
        <f>IFERROR(INDEX('[AQ_2022.xlsx]原始数据'!$A:$A,ROW(A1)+730),"")</f>
        <v/>
      </c>
      <c r="D731">
        <f>IFERROR(INDEX('[AQ_2023.xlsx]原始数据'!$A:$A,ROW(A1)+730),"")</f>
        <v/>
      </c>
      <c r="E731">
        <f>IFERROR(INDEX('[AQ_2024.xlsx]原始数据'!$A:$A,ROW(A1)+730),"")</f>
        <v/>
      </c>
      <c r="G731">
        <f>IF(730&lt;=1000,INDEX($A$2:$A$1001,730),IF(730&lt;=2000,INDEX($B$2:$B$1001,-270),IF(730&lt;=3000,INDEX($C$2:$C$1001,-1270),IF(730&lt;=4000,INDEX($D$2:$D$1001,-2270),IF(730&lt;=5000,INDEX($E$2:$E$1001,-3270),"")))))</f>
        <v/>
      </c>
    </row>
    <row r="732">
      <c r="A732">
        <f>IFERROR(INDEX('[AQ_2020.xlsx]原始数据'!$A:$A,ROW(A1)+731),"")</f>
        <v/>
      </c>
      <c r="B732">
        <f>IFERROR(INDEX('[AQ_2021.xlsx]原始数据'!$A:$A,ROW(A1)+731),"")</f>
        <v/>
      </c>
      <c r="C732">
        <f>IFERROR(INDEX('[AQ_2022.xlsx]原始数据'!$A:$A,ROW(A1)+731),"")</f>
        <v/>
      </c>
      <c r="D732">
        <f>IFERROR(INDEX('[AQ_2023.xlsx]原始数据'!$A:$A,ROW(A1)+731),"")</f>
        <v/>
      </c>
      <c r="E732">
        <f>IFERROR(INDEX('[AQ_2024.xlsx]原始数据'!$A:$A,ROW(A1)+731),"")</f>
        <v/>
      </c>
      <c r="G732">
        <f>IF(731&lt;=1000,INDEX($A$2:$A$1001,731),IF(731&lt;=2000,INDEX($B$2:$B$1001,-269),IF(731&lt;=3000,INDEX($C$2:$C$1001,-1269),IF(731&lt;=4000,INDEX($D$2:$D$1001,-2269),IF(731&lt;=5000,INDEX($E$2:$E$1001,-3269),"")))))</f>
        <v/>
      </c>
    </row>
    <row r="733">
      <c r="A733">
        <f>IFERROR(INDEX('[AQ_2020.xlsx]原始数据'!$A:$A,ROW(A1)+732),"")</f>
        <v/>
      </c>
      <c r="B733">
        <f>IFERROR(INDEX('[AQ_2021.xlsx]原始数据'!$A:$A,ROW(A1)+732),"")</f>
        <v/>
      </c>
      <c r="C733">
        <f>IFERROR(INDEX('[AQ_2022.xlsx]原始数据'!$A:$A,ROW(A1)+732),"")</f>
        <v/>
      </c>
      <c r="D733">
        <f>IFERROR(INDEX('[AQ_2023.xlsx]原始数据'!$A:$A,ROW(A1)+732),"")</f>
        <v/>
      </c>
      <c r="E733">
        <f>IFERROR(INDEX('[AQ_2024.xlsx]原始数据'!$A:$A,ROW(A1)+732),"")</f>
        <v/>
      </c>
      <c r="G733">
        <f>IF(732&lt;=1000,INDEX($A$2:$A$1001,732),IF(732&lt;=2000,INDEX($B$2:$B$1001,-268),IF(732&lt;=3000,INDEX($C$2:$C$1001,-1268),IF(732&lt;=4000,INDEX($D$2:$D$1001,-2268),IF(732&lt;=5000,INDEX($E$2:$E$1001,-3268),"")))))</f>
        <v/>
      </c>
    </row>
    <row r="734">
      <c r="A734">
        <f>IFERROR(INDEX('[AQ_2020.xlsx]原始数据'!$A:$A,ROW(A1)+733),"")</f>
        <v/>
      </c>
      <c r="B734">
        <f>IFERROR(INDEX('[AQ_2021.xlsx]原始数据'!$A:$A,ROW(A1)+733),"")</f>
        <v/>
      </c>
      <c r="C734">
        <f>IFERROR(INDEX('[AQ_2022.xlsx]原始数据'!$A:$A,ROW(A1)+733),"")</f>
        <v/>
      </c>
      <c r="D734">
        <f>IFERROR(INDEX('[AQ_2023.xlsx]原始数据'!$A:$A,ROW(A1)+733),"")</f>
        <v/>
      </c>
      <c r="E734">
        <f>IFERROR(INDEX('[AQ_2024.xlsx]原始数据'!$A:$A,ROW(A1)+733),"")</f>
        <v/>
      </c>
      <c r="G734">
        <f>IF(733&lt;=1000,INDEX($A$2:$A$1001,733),IF(733&lt;=2000,INDEX($B$2:$B$1001,-267),IF(733&lt;=3000,INDEX($C$2:$C$1001,-1267),IF(733&lt;=4000,INDEX($D$2:$D$1001,-2267),IF(733&lt;=5000,INDEX($E$2:$E$1001,-3267),"")))))</f>
        <v/>
      </c>
    </row>
    <row r="735">
      <c r="A735">
        <f>IFERROR(INDEX('[AQ_2020.xlsx]原始数据'!$A:$A,ROW(A1)+734),"")</f>
        <v/>
      </c>
      <c r="B735">
        <f>IFERROR(INDEX('[AQ_2021.xlsx]原始数据'!$A:$A,ROW(A1)+734),"")</f>
        <v/>
      </c>
      <c r="C735">
        <f>IFERROR(INDEX('[AQ_2022.xlsx]原始数据'!$A:$A,ROW(A1)+734),"")</f>
        <v/>
      </c>
      <c r="D735">
        <f>IFERROR(INDEX('[AQ_2023.xlsx]原始数据'!$A:$A,ROW(A1)+734),"")</f>
        <v/>
      </c>
      <c r="E735">
        <f>IFERROR(INDEX('[AQ_2024.xlsx]原始数据'!$A:$A,ROW(A1)+734),"")</f>
        <v/>
      </c>
      <c r="G735">
        <f>IF(734&lt;=1000,INDEX($A$2:$A$1001,734),IF(734&lt;=2000,INDEX($B$2:$B$1001,-266),IF(734&lt;=3000,INDEX($C$2:$C$1001,-1266),IF(734&lt;=4000,INDEX($D$2:$D$1001,-2266),IF(734&lt;=5000,INDEX($E$2:$E$1001,-3266),"")))))</f>
        <v/>
      </c>
    </row>
    <row r="736">
      <c r="A736">
        <f>IFERROR(INDEX('[AQ_2020.xlsx]原始数据'!$A:$A,ROW(A1)+735),"")</f>
        <v/>
      </c>
      <c r="B736">
        <f>IFERROR(INDEX('[AQ_2021.xlsx]原始数据'!$A:$A,ROW(A1)+735),"")</f>
        <v/>
      </c>
      <c r="C736">
        <f>IFERROR(INDEX('[AQ_2022.xlsx]原始数据'!$A:$A,ROW(A1)+735),"")</f>
        <v/>
      </c>
      <c r="D736">
        <f>IFERROR(INDEX('[AQ_2023.xlsx]原始数据'!$A:$A,ROW(A1)+735),"")</f>
        <v/>
      </c>
      <c r="E736">
        <f>IFERROR(INDEX('[AQ_2024.xlsx]原始数据'!$A:$A,ROW(A1)+735),"")</f>
        <v/>
      </c>
      <c r="G736">
        <f>IF(735&lt;=1000,INDEX($A$2:$A$1001,735),IF(735&lt;=2000,INDEX($B$2:$B$1001,-265),IF(735&lt;=3000,INDEX($C$2:$C$1001,-1265),IF(735&lt;=4000,INDEX($D$2:$D$1001,-2265),IF(735&lt;=5000,INDEX($E$2:$E$1001,-3265),"")))))</f>
        <v/>
      </c>
    </row>
    <row r="737">
      <c r="A737">
        <f>IFERROR(INDEX('[AQ_2020.xlsx]原始数据'!$A:$A,ROW(A1)+736),"")</f>
        <v/>
      </c>
      <c r="B737">
        <f>IFERROR(INDEX('[AQ_2021.xlsx]原始数据'!$A:$A,ROW(A1)+736),"")</f>
        <v/>
      </c>
      <c r="C737">
        <f>IFERROR(INDEX('[AQ_2022.xlsx]原始数据'!$A:$A,ROW(A1)+736),"")</f>
        <v/>
      </c>
      <c r="D737">
        <f>IFERROR(INDEX('[AQ_2023.xlsx]原始数据'!$A:$A,ROW(A1)+736),"")</f>
        <v/>
      </c>
      <c r="E737">
        <f>IFERROR(INDEX('[AQ_2024.xlsx]原始数据'!$A:$A,ROW(A1)+736),"")</f>
        <v/>
      </c>
      <c r="G737">
        <f>IF(736&lt;=1000,INDEX($A$2:$A$1001,736),IF(736&lt;=2000,INDEX($B$2:$B$1001,-264),IF(736&lt;=3000,INDEX($C$2:$C$1001,-1264),IF(736&lt;=4000,INDEX($D$2:$D$1001,-2264),IF(736&lt;=5000,INDEX($E$2:$E$1001,-3264),"")))))</f>
        <v/>
      </c>
    </row>
    <row r="738">
      <c r="A738">
        <f>IFERROR(INDEX('[AQ_2020.xlsx]原始数据'!$A:$A,ROW(A1)+737),"")</f>
        <v/>
      </c>
      <c r="B738">
        <f>IFERROR(INDEX('[AQ_2021.xlsx]原始数据'!$A:$A,ROW(A1)+737),"")</f>
        <v/>
      </c>
      <c r="C738">
        <f>IFERROR(INDEX('[AQ_2022.xlsx]原始数据'!$A:$A,ROW(A1)+737),"")</f>
        <v/>
      </c>
      <c r="D738">
        <f>IFERROR(INDEX('[AQ_2023.xlsx]原始数据'!$A:$A,ROW(A1)+737),"")</f>
        <v/>
      </c>
      <c r="E738">
        <f>IFERROR(INDEX('[AQ_2024.xlsx]原始数据'!$A:$A,ROW(A1)+737),"")</f>
        <v/>
      </c>
      <c r="G738">
        <f>IF(737&lt;=1000,INDEX($A$2:$A$1001,737),IF(737&lt;=2000,INDEX($B$2:$B$1001,-263),IF(737&lt;=3000,INDEX($C$2:$C$1001,-1263),IF(737&lt;=4000,INDEX($D$2:$D$1001,-2263),IF(737&lt;=5000,INDEX($E$2:$E$1001,-3263),"")))))</f>
        <v/>
      </c>
    </row>
    <row r="739">
      <c r="A739">
        <f>IFERROR(INDEX('[AQ_2020.xlsx]原始数据'!$A:$A,ROW(A1)+738),"")</f>
        <v/>
      </c>
      <c r="B739">
        <f>IFERROR(INDEX('[AQ_2021.xlsx]原始数据'!$A:$A,ROW(A1)+738),"")</f>
        <v/>
      </c>
      <c r="C739">
        <f>IFERROR(INDEX('[AQ_2022.xlsx]原始数据'!$A:$A,ROW(A1)+738),"")</f>
        <v/>
      </c>
      <c r="D739">
        <f>IFERROR(INDEX('[AQ_2023.xlsx]原始数据'!$A:$A,ROW(A1)+738),"")</f>
        <v/>
      </c>
      <c r="E739">
        <f>IFERROR(INDEX('[AQ_2024.xlsx]原始数据'!$A:$A,ROW(A1)+738),"")</f>
        <v/>
      </c>
      <c r="G739">
        <f>IF(738&lt;=1000,INDEX($A$2:$A$1001,738),IF(738&lt;=2000,INDEX($B$2:$B$1001,-262),IF(738&lt;=3000,INDEX($C$2:$C$1001,-1262),IF(738&lt;=4000,INDEX($D$2:$D$1001,-2262),IF(738&lt;=5000,INDEX($E$2:$E$1001,-3262),"")))))</f>
        <v/>
      </c>
    </row>
    <row r="740">
      <c r="A740">
        <f>IFERROR(INDEX('[AQ_2020.xlsx]原始数据'!$A:$A,ROW(A1)+739),"")</f>
        <v/>
      </c>
      <c r="B740">
        <f>IFERROR(INDEX('[AQ_2021.xlsx]原始数据'!$A:$A,ROW(A1)+739),"")</f>
        <v/>
      </c>
      <c r="C740">
        <f>IFERROR(INDEX('[AQ_2022.xlsx]原始数据'!$A:$A,ROW(A1)+739),"")</f>
        <v/>
      </c>
      <c r="D740">
        <f>IFERROR(INDEX('[AQ_2023.xlsx]原始数据'!$A:$A,ROW(A1)+739),"")</f>
        <v/>
      </c>
      <c r="E740">
        <f>IFERROR(INDEX('[AQ_2024.xlsx]原始数据'!$A:$A,ROW(A1)+739),"")</f>
        <v/>
      </c>
      <c r="G740">
        <f>IF(739&lt;=1000,INDEX($A$2:$A$1001,739),IF(739&lt;=2000,INDEX($B$2:$B$1001,-261),IF(739&lt;=3000,INDEX($C$2:$C$1001,-1261),IF(739&lt;=4000,INDEX($D$2:$D$1001,-2261),IF(739&lt;=5000,INDEX($E$2:$E$1001,-3261),"")))))</f>
        <v/>
      </c>
    </row>
    <row r="741">
      <c r="A741">
        <f>IFERROR(INDEX('[AQ_2020.xlsx]原始数据'!$A:$A,ROW(A1)+740),"")</f>
        <v/>
      </c>
      <c r="B741">
        <f>IFERROR(INDEX('[AQ_2021.xlsx]原始数据'!$A:$A,ROW(A1)+740),"")</f>
        <v/>
      </c>
      <c r="C741">
        <f>IFERROR(INDEX('[AQ_2022.xlsx]原始数据'!$A:$A,ROW(A1)+740),"")</f>
        <v/>
      </c>
      <c r="D741">
        <f>IFERROR(INDEX('[AQ_2023.xlsx]原始数据'!$A:$A,ROW(A1)+740),"")</f>
        <v/>
      </c>
      <c r="E741">
        <f>IFERROR(INDEX('[AQ_2024.xlsx]原始数据'!$A:$A,ROW(A1)+740),"")</f>
        <v/>
      </c>
      <c r="G741">
        <f>IF(740&lt;=1000,INDEX($A$2:$A$1001,740),IF(740&lt;=2000,INDEX($B$2:$B$1001,-260),IF(740&lt;=3000,INDEX($C$2:$C$1001,-1260),IF(740&lt;=4000,INDEX($D$2:$D$1001,-2260),IF(740&lt;=5000,INDEX($E$2:$E$1001,-3260),"")))))</f>
        <v/>
      </c>
    </row>
    <row r="742">
      <c r="A742">
        <f>IFERROR(INDEX('[AQ_2020.xlsx]原始数据'!$A:$A,ROW(A1)+741),"")</f>
        <v/>
      </c>
      <c r="B742">
        <f>IFERROR(INDEX('[AQ_2021.xlsx]原始数据'!$A:$A,ROW(A1)+741),"")</f>
        <v/>
      </c>
      <c r="C742">
        <f>IFERROR(INDEX('[AQ_2022.xlsx]原始数据'!$A:$A,ROW(A1)+741),"")</f>
        <v/>
      </c>
      <c r="D742">
        <f>IFERROR(INDEX('[AQ_2023.xlsx]原始数据'!$A:$A,ROW(A1)+741),"")</f>
        <v/>
      </c>
      <c r="E742">
        <f>IFERROR(INDEX('[AQ_2024.xlsx]原始数据'!$A:$A,ROW(A1)+741),"")</f>
        <v/>
      </c>
      <c r="G742">
        <f>IF(741&lt;=1000,INDEX($A$2:$A$1001,741),IF(741&lt;=2000,INDEX($B$2:$B$1001,-259),IF(741&lt;=3000,INDEX($C$2:$C$1001,-1259),IF(741&lt;=4000,INDEX($D$2:$D$1001,-2259),IF(741&lt;=5000,INDEX($E$2:$E$1001,-3259),"")))))</f>
        <v/>
      </c>
    </row>
    <row r="743">
      <c r="A743">
        <f>IFERROR(INDEX('[AQ_2020.xlsx]原始数据'!$A:$A,ROW(A1)+742),"")</f>
        <v/>
      </c>
      <c r="B743">
        <f>IFERROR(INDEX('[AQ_2021.xlsx]原始数据'!$A:$A,ROW(A1)+742),"")</f>
        <v/>
      </c>
      <c r="C743">
        <f>IFERROR(INDEX('[AQ_2022.xlsx]原始数据'!$A:$A,ROW(A1)+742),"")</f>
        <v/>
      </c>
      <c r="D743">
        <f>IFERROR(INDEX('[AQ_2023.xlsx]原始数据'!$A:$A,ROW(A1)+742),"")</f>
        <v/>
      </c>
      <c r="E743">
        <f>IFERROR(INDEX('[AQ_2024.xlsx]原始数据'!$A:$A,ROW(A1)+742),"")</f>
        <v/>
      </c>
      <c r="G743">
        <f>IF(742&lt;=1000,INDEX($A$2:$A$1001,742),IF(742&lt;=2000,INDEX($B$2:$B$1001,-258),IF(742&lt;=3000,INDEX($C$2:$C$1001,-1258),IF(742&lt;=4000,INDEX($D$2:$D$1001,-2258),IF(742&lt;=5000,INDEX($E$2:$E$1001,-3258),"")))))</f>
        <v/>
      </c>
    </row>
    <row r="744">
      <c r="A744">
        <f>IFERROR(INDEX('[AQ_2020.xlsx]原始数据'!$A:$A,ROW(A1)+743),"")</f>
        <v/>
      </c>
      <c r="B744">
        <f>IFERROR(INDEX('[AQ_2021.xlsx]原始数据'!$A:$A,ROW(A1)+743),"")</f>
        <v/>
      </c>
      <c r="C744">
        <f>IFERROR(INDEX('[AQ_2022.xlsx]原始数据'!$A:$A,ROW(A1)+743),"")</f>
        <v/>
      </c>
      <c r="D744">
        <f>IFERROR(INDEX('[AQ_2023.xlsx]原始数据'!$A:$A,ROW(A1)+743),"")</f>
        <v/>
      </c>
      <c r="E744">
        <f>IFERROR(INDEX('[AQ_2024.xlsx]原始数据'!$A:$A,ROW(A1)+743),"")</f>
        <v/>
      </c>
      <c r="G744">
        <f>IF(743&lt;=1000,INDEX($A$2:$A$1001,743),IF(743&lt;=2000,INDEX($B$2:$B$1001,-257),IF(743&lt;=3000,INDEX($C$2:$C$1001,-1257),IF(743&lt;=4000,INDEX($D$2:$D$1001,-2257),IF(743&lt;=5000,INDEX($E$2:$E$1001,-3257),"")))))</f>
        <v/>
      </c>
    </row>
    <row r="745">
      <c r="A745">
        <f>IFERROR(INDEX('[AQ_2020.xlsx]原始数据'!$A:$A,ROW(A1)+744),"")</f>
        <v/>
      </c>
      <c r="B745">
        <f>IFERROR(INDEX('[AQ_2021.xlsx]原始数据'!$A:$A,ROW(A1)+744),"")</f>
        <v/>
      </c>
      <c r="C745">
        <f>IFERROR(INDEX('[AQ_2022.xlsx]原始数据'!$A:$A,ROW(A1)+744),"")</f>
        <v/>
      </c>
      <c r="D745">
        <f>IFERROR(INDEX('[AQ_2023.xlsx]原始数据'!$A:$A,ROW(A1)+744),"")</f>
        <v/>
      </c>
      <c r="E745">
        <f>IFERROR(INDEX('[AQ_2024.xlsx]原始数据'!$A:$A,ROW(A1)+744),"")</f>
        <v/>
      </c>
      <c r="G745">
        <f>IF(744&lt;=1000,INDEX($A$2:$A$1001,744),IF(744&lt;=2000,INDEX($B$2:$B$1001,-256),IF(744&lt;=3000,INDEX($C$2:$C$1001,-1256),IF(744&lt;=4000,INDEX($D$2:$D$1001,-2256),IF(744&lt;=5000,INDEX($E$2:$E$1001,-3256),"")))))</f>
        <v/>
      </c>
    </row>
    <row r="746">
      <c r="A746">
        <f>IFERROR(INDEX('[AQ_2020.xlsx]原始数据'!$A:$A,ROW(A1)+745),"")</f>
        <v/>
      </c>
      <c r="B746">
        <f>IFERROR(INDEX('[AQ_2021.xlsx]原始数据'!$A:$A,ROW(A1)+745),"")</f>
        <v/>
      </c>
      <c r="C746">
        <f>IFERROR(INDEX('[AQ_2022.xlsx]原始数据'!$A:$A,ROW(A1)+745),"")</f>
        <v/>
      </c>
      <c r="D746">
        <f>IFERROR(INDEX('[AQ_2023.xlsx]原始数据'!$A:$A,ROW(A1)+745),"")</f>
        <v/>
      </c>
      <c r="E746">
        <f>IFERROR(INDEX('[AQ_2024.xlsx]原始数据'!$A:$A,ROW(A1)+745),"")</f>
        <v/>
      </c>
      <c r="G746">
        <f>IF(745&lt;=1000,INDEX($A$2:$A$1001,745),IF(745&lt;=2000,INDEX($B$2:$B$1001,-255),IF(745&lt;=3000,INDEX($C$2:$C$1001,-1255),IF(745&lt;=4000,INDEX($D$2:$D$1001,-2255),IF(745&lt;=5000,INDEX($E$2:$E$1001,-3255),"")))))</f>
        <v/>
      </c>
    </row>
    <row r="747">
      <c r="A747">
        <f>IFERROR(INDEX('[AQ_2020.xlsx]原始数据'!$A:$A,ROW(A1)+746),"")</f>
        <v/>
      </c>
      <c r="B747">
        <f>IFERROR(INDEX('[AQ_2021.xlsx]原始数据'!$A:$A,ROW(A1)+746),"")</f>
        <v/>
      </c>
      <c r="C747">
        <f>IFERROR(INDEX('[AQ_2022.xlsx]原始数据'!$A:$A,ROW(A1)+746),"")</f>
        <v/>
      </c>
      <c r="D747">
        <f>IFERROR(INDEX('[AQ_2023.xlsx]原始数据'!$A:$A,ROW(A1)+746),"")</f>
        <v/>
      </c>
      <c r="E747">
        <f>IFERROR(INDEX('[AQ_2024.xlsx]原始数据'!$A:$A,ROW(A1)+746),"")</f>
        <v/>
      </c>
      <c r="G747">
        <f>IF(746&lt;=1000,INDEX($A$2:$A$1001,746),IF(746&lt;=2000,INDEX($B$2:$B$1001,-254),IF(746&lt;=3000,INDEX($C$2:$C$1001,-1254),IF(746&lt;=4000,INDEX($D$2:$D$1001,-2254),IF(746&lt;=5000,INDEX($E$2:$E$1001,-3254),"")))))</f>
        <v/>
      </c>
    </row>
    <row r="748">
      <c r="A748">
        <f>IFERROR(INDEX('[AQ_2020.xlsx]原始数据'!$A:$A,ROW(A1)+747),"")</f>
        <v/>
      </c>
      <c r="B748">
        <f>IFERROR(INDEX('[AQ_2021.xlsx]原始数据'!$A:$A,ROW(A1)+747),"")</f>
        <v/>
      </c>
      <c r="C748">
        <f>IFERROR(INDEX('[AQ_2022.xlsx]原始数据'!$A:$A,ROW(A1)+747),"")</f>
        <v/>
      </c>
      <c r="D748">
        <f>IFERROR(INDEX('[AQ_2023.xlsx]原始数据'!$A:$A,ROW(A1)+747),"")</f>
        <v/>
      </c>
      <c r="E748">
        <f>IFERROR(INDEX('[AQ_2024.xlsx]原始数据'!$A:$A,ROW(A1)+747),"")</f>
        <v/>
      </c>
      <c r="G748">
        <f>IF(747&lt;=1000,INDEX($A$2:$A$1001,747),IF(747&lt;=2000,INDEX($B$2:$B$1001,-253),IF(747&lt;=3000,INDEX($C$2:$C$1001,-1253),IF(747&lt;=4000,INDEX($D$2:$D$1001,-2253),IF(747&lt;=5000,INDEX($E$2:$E$1001,-3253),"")))))</f>
        <v/>
      </c>
    </row>
    <row r="749">
      <c r="A749">
        <f>IFERROR(INDEX('[AQ_2020.xlsx]原始数据'!$A:$A,ROW(A1)+748),"")</f>
        <v/>
      </c>
      <c r="B749">
        <f>IFERROR(INDEX('[AQ_2021.xlsx]原始数据'!$A:$A,ROW(A1)+748),"")</f>
        <v/>
      </c>
      <c r="C749">
        <f>IFERROR(INDEX('[AQ_2022.xlsx]原始数据'!$A:$A,ROW(A1)+748),"")</f>
        <v/>
      </c>
      <c r="D749">
        <f>IFERROR(INDEX('[AQ_2023.xlsx]原始数据'!$A:$A,ROW(A1)+748),"")</f>
        <v/>
      </c>
      <c r="E749">
        <f>IFERROR(INDEX('[AQ_2024.xlsx]原始数据'!$A:$A,ROW(A1)+748),"")</f>
        <v/>
      </c>
      <c r="G749">
        <f>IF(748&lt;=1000,INDEX($A$2:$A$1001,748),IF(748&lt;=2000,INDEX($B$2:$B$1001,-252),IF(748&lt;=3000,INDEX($C$2:$C$1001,-1252),IF(748&lt;=4000,INDEX($D$2:$D$1001,-2252),IF(748&lt;=5000,INDEX($E$2:$E$1001,-3252),"")))))</f>
        <v/>
      </c>
    </row>
    <row r="750">
      <c r="A750">
        <f>IFERROR(INDEX('[AQ_2020.xlsx]原始数据'!$A:$A,ROW(A1)+749),"")</f>
        <v/>
      </c>
      <c r="B750">
        <f>IFERROR(INDEX('[AQ_2021.xlsx]原始数据'!$A:$A,ROW(A1)+749),"")</f>
        <v/>
      </c>
      <c r="C750">
        <f>IFERROR(INDEX('[AQ_2022.xlsx]原始数据'!$A:$A,ROW(A1)+749),"")</f>
        <v/>
      </c>
      <c r="D750">
        <f>IFERROR(INDEX('[AQ_2023.xlsx]原始数据'!$A:$A,ROW(A1)+749),"")</f>
        <v/>
      </c>
      <c r="E750">
        <f>IFERROR(INDEX('[AQ_2024.xlsx]原始数据'!$A:$A,ROW(A1)+749),"")</f>
        <v/>
      </c>
      <c r="G750">
        <f>IF(749&lt;=1000,INDEX($A$2:$A$1001,749),IF(749&lt;=2000,INDEX($B$2:$B$1001,-251),IF(749&lt;=3000,INDEX($C$2:$C$1001,-1251),IF(749&lt;=4000,INDEX($D$2:$D$1001,-2251),IF(749&lt;=5000,INDEX($E$2:$E$1001,-3251),"")))))</f>
        <v/>
      </c>
    </row>
    <row r="751">
      <c r="A751">
        <f>IFERROR(INDEX('[AQ_2020.xlsx]原始数据'!$A:$A,ROW(A1)+750),"")</f>
        <v/>
      </c>
      <c r="B751">
        <f>IFERROR(INDEX('[AQ_2021.xlsx]原始数据'!$A:$A,ROW(A1)+750),"")</f>
        <v/>
      </c>
      <c r="C751">
        <f>IFERROR(INDEX('[AQ_2022.xlsx]原始数据'!$A:$A,ROW(A1)+750),"")</f>
        <v/>
      </c>
      <c r="D751">
        <f>IFERROR(INDEX('[AQ_2023.xlsx]原始数据'!$A:$A,ROW(A1)+750),"")</f>
        <v/>
      </c>
      <c r="E751">
        <f>IFERROR(INDEX('[AQ_2024.xlsx]原始数据'!$A:$A,ROW(A1)+750),"")</f>
        <v/>
      </c>
      <c r="G751">
        <f>IF(750&lt;=1000,INDEX($A$2:$A$1001,750),IF(750&lt;=2000,INDEX($B$2:$B$1001,-250),IF(750&lt;=3000,INDEX($C$2:$C$1001,-1250),IF(750&lt;=4000,INDEX($D$2:$D$1001,-2250),IF(750&lt;=5000,INDEX($E$2:$E$1001,-3250),"")))))</f>
        <v/>
      </c>
    </row>
    <row r="752">
      <c r="A752">
        <f>IFERROR(INDEX('[AQ_2020.xlsx]原始数据'!$A:$A,ROW(A1)+751),"")</f>
        <v/>
      </c>
      <c r="B752">
        <f>IFERROR(INDEX('[AQ_2021.xlsx]原始数据'!$A:$A,ROW(A1)+751),"")</f>
        <v/>
      </c>
      <c r="C752">
        <f>IFERROR(INDEX('[AQ_2022.xlsx]原始数据'!$A:$A,ROW(A1)+751),"")</f>
        <v/>
      </c>
      <c r="D752">
        <f>IFERROR(INDEX('[AQ_2023.xlsx]原始数据'!$A:$A,ROW(A1)+751),"")</f>
        <v/>
      </c>
      <c r="E752">
        <f>IFERROR(INDEX('[AQ_2024.xlsx]原始数据'!$A:$A,ROW(A1)+751),"")</f>
        <v/>
      </c>
      <c r="G752">
        <f>IF(751&lt;=1000,INDEX($A$2:$A$1001,751),IF(751&lt;=2000,INDEX($B$2:$B$1001,-249),IF(751&lt;=3000,INDEX($C$2:$C$1001,-1249),IF(751&lt;=4000,INDEX($D$2:$D$1001,-2249),IF(751&lt;=5000,INDEX($E$2:$E$1001,-3249),"")))))</f>
        <v/>
      </c>
    </row>
    <row r="753">
      <c r="A753">
        <f>IFERROR(INDEX('[AQ_2020.xlsx]原始数据'!$A:$A,ROW(A1)+752),"")</f>
        <v/>
      </c>
      <c r="B753">
        <f>IFERROR(INDEX('[AQ_2021.xlsx]原始数据'!$A:$A,ROW(A1)+752),"")</f>
        <v/>
      </c>
      <c r="C753">
        <f>IFERROR(INDEX('[AQ_2022.xlsx]原始数据'!$A:$A,ROW(A1)+752),"")</f>
        <v/>
      </c>
      <c r="D753">
        <f>IFERROR(INDEX('[AQ_2023.xlsx]原始数据'!$A:$A,ROW(A1)+752),"")</f>
        <v/>
      </c>
      <c r="E753">
        <f>IFERROR(INDEX('[AQ_2024.xlsx]原始数据'!$A:$A,ROW(A1)+752),"")</f>
        <v/>
      </c>
      <c r="G753">
        <f>IF(752&lt;=1000,INDEX($A$2:$A$1001,752),IF(752&lt;=2000,INDEX($B$2:$B$1001,-248),IF(752&lt;=3000,INDEX($C$2:$C$1001,-1248),IF(752&lt;=4000,INDEX($D$2:$D$1001,-2248),IF(752&lt;=5000,INDEX($E$2:$E$1001,-3248),"")))))</f>
        <v/>
      </c>
    </row>
    <row r="754">
      <c r="A754">
        <f>IFERROR(INDEX('[AQ_2020.xlsx]原始数据'!$A:$A,ROW(A1)+753),"")</f>
        <v/>
      </c>
      <c r="B754">
        <f>IFERROR(INDEX('[AQ_2021.xlsx]原始数据'!$A:$A,ROW(A1)+753),"")</f>
        <v/>
      </c>
      <c r="C754">
        <f>IFERROR(INDEX('[AQ_2022.xlsx]原始数据'!$A:$A,ROW(A1)+753),"")</f>
        <v/>
      </c>
      <c r="D754">
        <f>IFERROR(INDEX('[AQ_2023.xlsx]原始数据'!$A:$A,ROW(A1)+753),"")</f>
        <v/>
      </c>
      <c r="E754">
        <f>IFERROR(INDEX('[AQ_2024.xlsx]原始数据'!$A:$A,ROW(A1)+753),"")</f>
        <v/>
      </c>
      <c r="G754">
        <f>IF(753&lt;=1000,INDEX($A$2:$A$1001,753),IF(753&lt;=2000,INDEX($B$2:$B$1001,-247),IF(753&lt;=3000,INDEX($C$2:$C$1001,-1247),IF(753&lt;=4000,INDEX($D$2:$D$1001,-2247),IF(753&lt;=5000,INDEX($E$2:$E$1001,-3247),"")))))</f>
        <v/>
      </c>
    </row>
    <row r="755">
      <c r="A755">
        <f>IFERROR(INDEX('[AQ_2020.xlsx]原始数据'!$A:$A,ROW(A1)+754),"")</f>
        <v/>
      </c>
      <c r="B755">
        <f>IFERROR(INDEX('[AQ_2021.xlsx]原始数据'!$A:$A,ROW(A1)+754),"")</f>
        <v/>
      </c>
      <c r="C755">
        <f>IFERROR(INDEX('[AQ_2022.xlsx]原始数据'!$A:$A,ROW(A1)+754),"")</f>
        <v/>
      </c>
      <c r="D755">
        <f>IFERROR(INDEX('[AQ_2023.xlsx]原始数据'!$A:$A,ROW(A1)+754),"")</f>
        <v/>
      </c>
      <c r="E755">
        <f>IFERROR(INDEX('[AQ_2024.xlsx]原始数据'!$A:$A,ROW(A1)+754),"")</f>
        <v/>
      </c>
      <c r="G755">
        <f>IF(754&lt;=1000,INDEX($A$2:$A$1001,754),IF(754&lt;=2000,INDEX($B$2:$B$1001,-246),IF(754&lt;=3000,INDEX($C$2:$C$1001,-1246),IF(754&lt;=4000,INDEX($D$2:$D$1001,-2246),IF(754&lt;=5000,INDEX($E$2:$E$1001,-3246),"")))))</f>
        <v/>
      </c>
    </row>
    <row r="756">
      <c r="A756">
        <f>IFERROR(INDEX('[AQ_2020.xlsx]原始数据'!$A:$A,ROW(A1)+755),"")</f>
        <v/>
      </c>
      <c r="B756">
        <f>IFERROR(INDEX('[AQ_2021.xlsx]原始数据'!$A:$A,ROW(A1)+755),"")</f>
        <v/>
      </c>
      <c r="C756">
        <f>IFERROR(INDEX('[AQ_2022.xlsx]原始数据'!$A:$A,ROW(A1)+755),"")</f>
        <v/>
      </c>
      <c r="D756">
        <f>IFERROR(INDEX('[AQ_2023.xlsx]原始数据'!$A:$A,ROW(A1)+755),"")</f>
        <v/>
      </c>
      <c r="E756">
        <f>IFERROR(INDEX('[AQ_2024.xlsx]原始数据'!$A:$A,ROW(A1)+755),"")</f>
        <v/>
      </c>
      <c r="G756">
        <f>IF(755&lt;=1000,INDEX($A$2:$A$1001,755),IF(755&lt;=2000,INDEX($B$2:$B$1001,-245),IF(755&lt;=3000,INDEX($C$2:$C$1001,-1245),IF(755&lt;=4000,INDEX($D$2:$D$1001,-2245),IF(755&lt;=5000,INDEX($E$2:$E$1001,-3245),"")))))</f>
        <v/>
      </c>
    </row>
    <row r="757">
      <c r="A757">
        <f>IFERROR(INDEX('[AQ_2020.xlsx]原始数据'!$A:$A,ROW(A1)+756),"")</f>
        <v/>
      </c>
      <c r="B757">
        <f>IFERROR(INDEX('[AQ_2021.xlsx]原始数据'!$A:$A,ROW(A1)+756),"")</f>
        <v/>
      </c>
      <c r="C757">
        <f>IFERROR(INDEX('[AQ_2022.xlsx]原始数据'!$A:$A,ROW(A1)+756),"")</f>
        <v/>
      </c>
      <c r="D757">
        <f>IFERROR(INDEX('[AQ_2023.xlsx]原始数据'!$A:$A,ROW(A1)+756),"")</f>
        <v/>
      </c>
      <c r="E757">
        <f>IFERROR(INDEX('[AQ_2024.xlsx]原始数据'!$A:$A,ROW(A1)+756),"")</f>
        <v/>
      </c>
      <c r="G757">
        <f>IF(756&lt;=1000,INDEX($A$2:$A$1001,756),IF(756&lt;=2000,INDEX($B$2:$B$1001,-244),IF(756&lt;=3000,INDEX($C$2:$C$1001,-1244),IF(756&lt;=4000,INDEX($D$2:$D$1001,-2244),IF(756&lt;=5000,INDEX($E$2:$E$1001,-3244),"")))))</f>
        <v/>
      </c>
    </row>
    <row r="758">
      <c r="A758">
        <f>IFERROR(INDEX('[AQ_2020.xlsx]原始数据'!$A:$A,ROW(A1)+757),"")</f>
        <v/>
      </c>
      <c r="B758">
        <f>IFERROR(INDEX('[AQ_2021.xlsx]原始数据'!$A:$A,ROW(A1)+757),"")</f>
        <v/>
      </c>
      <c r="C758">
        <f>IFERROR(INDEX('[AQ_2022.xlsx]原始数据'!$A:$A,ROW(A1)+757),"")</f>
        <v/>
      </c>
      <c r="D758">
        <f>IFERROR(INDEX('[AQ_2023.xlsx]原始数据'!$A:$A,ROW(A1)+757),"")</f>
        <v/>
      </c>
      <c r="E758">
        <f>IFERROR(INDEX('[AQ_2024.xlsx]原始数据'!$A:$A,ROW(A1)+757),"")</f>
        <v/>
      </c>
      <c r="G758">
        <f>IF(757&lt;=1000,INDEX($A$2:$A$1001,757),IF(757&lt;=2000,INDEX($B$2:$B$1001,-243),IF(757&lt;=3000,INDEX($C$2:$C$1001,-1243),IF(757&lt;=4000,INDEX($D$2:$D$1001,-2243),IF(757&lt;=5000,INDEX($E$2:$E$1001,-3243),"")))))</f>
        <v/>
      </c>
    </row>
    <row r="759">
      <c r="A759">
        <f>IFERROR(INDEX('[AQ_2020.xlsx]原始数据'!$A:$A,ROW(A1)+758),"")</f>
        <v/>
      </c>
      <c r="B759">
        <f>IFERROR(INDEX('[AQ_2021.xlsx]原始数据'!$A:$A,ROW(A1)+758),"")</f>
        <v/>
      </c>
      <c r="C759">
        <f>IFERROR(INDEX('[AQ_2022.xlsx]原始数据'!$A:$A,ROW(A1)+758),"")</f>
        <v/>
      </c>
      <c r="D759">
        <f>IFERROR(INDEX('[AQ_2023.xlsx]原始数据'!$A:$A,ROW(A1)+758),"")</f>
        <v/>
      </c>
      <c r="E759">
        <f>IFERROR(INDEX('[AQ_2024.xlsx]原始数据'!$A:$A,ROW(A1)+758),"")</f>
        <v/>
      </c>
      <c r="G759">
        <f>IF(758&lt;=1000,INDEX($A$2:$A$1001,758),IF(758&lt;=2000,INDEX($B$2:$B$1001,-242),IF(758&lt;=3000,INDEX($C$2:$C$1001,-1242),IF(758&lt;=4000,INDEX($D$2:$D$1001,-2242),IF(758&lt;=5000,INDEX($E$2:$E$1001,-3242),"")))))</f>
        <v/>
      </c>
    </row>
    <row r="760">
      <c r="A760">
        <f>IFERROR(INDEX('[AQ_2020.xlsx]原始数据'!$A:$A,ROW(A1)+759),"")</f>
        <v/>
      </c>
      <c r="B760">
        <f>IFERROR(INDEX('[AQ_2021.xlsx]原始数据'!$A:$A,ROW(A1)+759),"")</f>
        <v/>
      </c>
      <c r="C760">
        <f>IFERROR(INDEX('[AQ_2022.xlsx]原始数据'!$A:$A,ROW(A1)+759),"")</f>
        <v/>
      </c>
      <c r="D760">
        <f>IFERROR(INDEX('[AQ_2023.xlsx]原始数据'!$A:$A,ROW(A1)+759),"")</f>
        <v/>
      </c>
      <c r="E760">
        <f>IFERROR(INDEX('[AQ_2024.xlsx]原始数据'!$A:$A,ROW(A1)+759),"")</f>
        <v/>
      </c>
      <c r="G760">
        <f>IF(759&lt;=1000,INDEX($A$2:$A$1001,759),IF(759&lt;=2000,INDEX($B$2:$B$1001,-241),IF(759&lt;=3000,INDEX($C$2:$C$1001,-1241),IF(759&lt;=4000,INDEX($D$2:$D$1001,-2241),IF(759&lt;=5000,INDEX($E$2:$E$1001,-3241),"")))))</f>
        <v/>
      </c>
    </row>
    <row r="761">
      <c r="A761">
        <f>IFERROR(INDEX('[AQ_2020.xlsx]原始数据'!$A:$A,ROW(A1)+760),"")</f>
        <v/>
      </c>
      <c r="B761">
        <f>IFERROR(INDEX('[AQ_2021.xlsx]原始数据'!$A:$A,ROW(A1)+760),"")</f>
        <v/>
      </c>
      <c r="C761">
        <f>IFERROR(INDEX('[AQ_2022.xlsx]原始数据'!$A:$A,ROW(A1)+760),"")</f>
        <v/>
      </c>
      <c r="D761">
        <f>IFERROR(INDEX('[AQ_2023.xlsx]原始数据'!$A:$A,ROW(A1)+760),"")</f>
        <v/>
      </c>
      <c r="E761">
        <f>IFERROR(INDEX('[AQ_2024.xlsx]原始数据'!$A:$A,ROW(A1)+760),"")</f>
        <v/>
      </c>
      <c r="G761">
        <f>IF(760&lt;=1000,INDEX($A$2:$A$1001,760),IF(760&lt;=2000,INDEX($B$2:$B$1001,-240),IF(760&lt;=3000,INDEX($C$2:$C$1001,-1240),IF(760&lt;=4000,INDEX($D$2:$D$1001,-2240),IF(760&lt;=5000,INDEX($E$2:$E$1001,-3240),"")))))</f>
        <v/>
      </c>
    </row>
    <row r="762">
      <c r="A762">
        <f>IFERROR(INDEX('[AQ_2020.xlsx]原始数据'!$A:$A,ROW(A1)+761),"")</f>
        <v/>
      </c>
      <c r="B762">
        <f>IFERROR(INDEX('[AQ_2021.xlsx]原始数据'!$A:$A,ROW(A1)+761),"")</f>
        <v/>
      </c>
      <c r="C762">
        <f>IFERROR(INDEX('[AQ_2022.xlsx]原始数据'!$A:$A,ROW(A1)+761),"")</f>
        <v/>
      </c>
      <c r="D762">
        <f>IFERROR(INDEX('[AQ_2023.xlsx]原始数据'!$A:$A,ROW(A1)+761),"")</f>
        <v/>
      </c>
      <c r="E762">
        <f>IFERROR(INDEX('[AQ_2024.xlsx]原始数据'!$A:$A,ROW(A1)+761),"")</f>
        <v/>
      </c>
      <c r="G762">
        <f>IF(761&lt;=1000,INDEX($A$2:$A$1001,761),IF(761&lt;=2000,INDEX($B$2:$B$1001,-239),IF(761&lt;=3000,INDEX($C$2:$C$1001,-1239),IF(761&lt;=4000,INDEX($D$2:$D$1001,-2239),IF(761&lt;=5000,INDEX($E$2:$E$1001,-3239),"")))))</f>
        <v/>
      </c>
    </row>
    <row r="763">
      <c r="A763">
        <f>IFERROR(INDEX('[AQ_2020.xlsx]原始数据'!$A:$A,ROW(A1)+762),"")</f>
        <v/>
      </c>
      <c r="B763">
        <f>IFERROR(INDEX('[AQ_2021.xlsx]原始数据'!$A:$A,ROW(A1)+762),"")</f>
        <v/>
      </c>
      <c r="C763">
        <f>IFERROR(INDEX('[AQ_2022.xlsx]原始数据'!$A:$A,ROW(A1)+762),"")</f>
        <v/>
      </c>
      <c r="D763">
        <f>IFERROR(INDEX('[AQ_2023.xlsx]原始数据'!$A:$A,ROW(A1)+762),"")</f>
        <v/>
      </c>
      <c r="E763">
        <f>IFERROR(INDEX('[AQ_2024.xlsx]原始数据'!$A:$A,ROW(A1)+762),"")</f>
        <v/>
      </c>
      <c r="G763">
        <f>IF(762&lt;=1000,INDEX($A$2:$A$1001,762),IF(762&lt;=2000,INDEX($B$2:$B$1001,-238),IF(762&lt;=3000,INDEX($C$2:$C$1001,-1238),IF(762&lt;=4000,INDEX($D$2:$D$1001,-2238),IF(762&lt;=5000,INDEX($E$2:$E$1001,-3238),"")))))</f>
        <v/>
      </c>
    </row>
    <row r="764">
      <c r="A764">
        <f>IFERROR(INDEX('[AQ_2020.xlsx]原始数据'!$A:$A,ROW(A1)+763),"")</f>
        <v/>
      </c>
      <c r="B764">
        <f>IFERROR(INDEX('[AQ_2021.xlsx]原始数据'!$A:$A,ROW(A1)+763),"")</f>
        <v/>
      </c>
      <c r="C764">
        <f>IFERROR(INDEX('[AQ_2022.xlsx]原始数据'!$A:$A,ROW(A1)+763),"")</f>
        <v/>
      </c>
      <c r="D764">
        <f>IFERROR(INDEX('[AQ_2023.xlsx]原始数据'!$A:$A,ROW(A1)+763),"")</f>
        <v/>
      </c>
      <c r="E764">
        <f>IFERROR(INDEX('[AQ_2024.xlsx]原始数据'!$A:$A,ROW(A1)+763),"")</f>
        <v/>
      </c>
      <c r="G764">
        <f>IF(763&lt;=1000,INDEX($A$2:$A$1001,763),IF(763&lt;=2000,INDEX($B$2:$B$1001,-237),IF(763&lt;=3000,INDEX($C$2:$C$1001,-1237),IF(763&lt;=4000,INDEX($D$2:$D$1001,-2237),IF(763&lt;=5000,INDEX($E$2:$E$1001,-3237),"")))))</f>
        <v/>
      </c>
    </row>
    <row r="765">
      <c r="A765">
        <f>IFERROR(INDEX('[AQ_2020.xlsx]原始数据'!$A:$A,ROW(A1)+764),"")</f>
        <v/>
      </c>
      <c r="B765">
        <f>IFERROR(INDEX('[AQ_2021.xlsx]原始数据'!$A:$A,ROW(A1)+764),"")</f>
        <v/>
      </c>
      <c r="C765">
        <f>IFERROR(INDEX('[AQ_2022.xlsx]原始数据'!$A:$A,ROW(A1)+764),"")</f>
        <v/>
      </c>
      <c r="D765">
        <f>IFERROR(INDEX('[AQ_2023.xlsx]原始数据'!$A:$A,ROW(A1)+764),"")</f>
        <v/>
      </c>
      <c r="E765">
        <f>IFERROR(INDEX('[AQ_2024.xlsx]原始数据'!$A:$A,ROW(A1)+764),"")</f>
        <v/>
      </c>
      <c r="G765">
        <f>IF(764&lt;=1000,INDEX($A$2:$A$1001,764),IF(764&lt;=2000,INDEX($B$2:$B$1001,-236),IF(764&lt;=3000,INDEX($C$2:$C$1001,-1236),IF(764&lt;=4000,INDEX($D$2:$D$1001,-2236),IF(764&lt;=5000,INDEX($E$2:$E$1001,-3236),"")))))</f>
        <v/>
      </c>
    </row>
    <row r="766">
      <c r="A766">
        <f>IFERROR(INDEX('[AQ_2020.xlsx]原始数据'!$A:$A,ROW(A1)+765),"")</f>
        <v/>
      </c>
      <c r="B766">
        <f>IFERROR(INDEX('[AQ_2021.xlsx]原始数据'!$A:$A,ROW(A1)+765),"")</f>
        <v/>
      </c>
      <c r="C766">
        <f>IFERROR(INDEX('[AQ_2022.xlsx]原始数据'!$A:$A,ROW(A1)+765),"")</f>
        <v/>
      </c>
      <c r="D766">
        <f>IFERROR(INDEX('[AQ_2023.xlsx]原始数据'!$A:$A,ROW(A1)+765),"")</f>
        <v/>
      </c>
      <c r="E766">
        <f>IFERROR(INDEX('[AQ_2024.xlsx]原始数据'!$A:$A,ROW(A1)+765),"")</f>
        <v/>
      </c>
      <c r="G766">
        <f>IF(765&lt;=1000,INDEX($A$2:$A$1001,765),IF(765&lt;=2000,INDEX($B$2:$B$1001,-235),IF(765&lt;=3000,INDEX($C$2:$C$1001,-1235),IF(765&lt;=4000,INDEX($D$2:$D$1001,-2235),IF(765&lt;=5000,INDEX($E$2:$E$1001,-3235),"")))))</f>
        <v/>
      </c>
    </row>
    <row r="767">
      <c r="A767">
        <f>IFERROR(INDEX('[AQ_2020.xlsx]原始数据'!$A:$A,ROW(A1)+766),"")</f>
        <v/>
      </c>
      <c r="B767">
        <f>IFERROR(INDEX('[AQ_2021.xlsx]原始数据'!$A:$A,ROW(A1)+766),"")</f>
        <v/>
      </c>
      <c r="C767">
        <f>IFERROR(INDEX('[AQ_2022.xlsx]原始数据'!$A:$A,ROW(A1)+766),"")</f>
        <v/>
      </c>
      <c r="D767">
        <f>IFERROR(INDEX('[AQ_2023.xlsx]原始数据'!$A:$A,ROW(A1)+766),"")</f>
        <v/>
      </c>
      <c r="E767">
        <f>IFERROR(INDEX('[AQ_2024.xlsx]原始数据'!$A:$A,ROW(A1)+766),"")</f>
        <v/>
      </c>
      <c r="G767">
        <f>IF(766&lt;=1000,INDEX($A$2:$A$1001,766),IF(766&lt;=2000,INDEX($B$2:$B$1001,-234),IF(766&lt;=3000,INDEX($C$2:$C$1001,-1234),IF(766&lt;=4000,INDEX($D$2:$D$1001,-2234),IF(766&lt;=5000,INDEX($E$2:$E$1001,-3234),"")))))</f>
        <v/>
      </c>
    </row>
    <row r="768">
      <c r="A768">
        <f>IFERROR(INDEX('[AQ_2020.xlsx]原始数据'!$A:$A,ROW(A1)+767),"")</f>
        <v/>
      </c>
      <c r="B768">
        <f>IFERROR(INDEX('[AQ_2021.xlsx]原始数据'!$A:$A,ROW(A1)+767),"")</f>
        <v/>
      </c>
      <c r="C768">
        <f>IFERROR(INDEX('[AQ_2022.xlsx]原始数据'!$A:$A,ROW(A1)+767),"")</f>
        <v/>
      </c>
      <c r="D768">
        <f>IFERROR(INDEX('[AQ_2023.xlsx]原始数据'!$A:$A,ROW(A1)+767),"")</f>
        <v/>
      </c>
      <c r="E768">
        <f>IFERROR(INDEX('[AQ_2024.xlsx]原始数据'!$A:$A,ROW(A1)+767),"")</f>
        <v/>
      </c>
      <c r="G768">
        <f>IF(767&lt;=1000,INDEX($A$2:$A$1001,767),IF(767&lt;=2000,INDEX($B$2:$B$1001,-233),IF(767&lt;=3000,INDEX($C$2:$C$1001,-1233),IF(767&lt;=4000,INDEX($D$2:$D$1001,-2233),IF(767&lt;=5000,INDEX($E$2:$E$1001,-3233),"")))))</f>
        <v/>
      </c>
    </row>
    <row r="769">
      <c r="A769">
        <f>IFERROR(INDEX('[AQ_2020.xlsx]原始数据'!$A:$A,ROW(A1)+768),"")</f>
        <v/>
      </c>
      <c r="B769">
        <f>IFERROR(INDEX('[AQ_2021.xlsx]原始数据'!$A:$A,ROW(A1)+768),"")</f>
        <v/>
      </c>
      <c r="C769">
        <f>IFERROR(INDEX('[AQ_2022.xlsx]原始数据'!$A:$A,ROW(A1)+768),"")</f>
        <v/>
      </c>
      <c r="D769">
        <f>IFERROR(INDEX('[AQ_2023.xlsx]原始数据'!$A:$A,ROW(A1)+768),"")</f>
        <v/>
      </c>
      <c r="E769">
        <f>IFERROR(INDEX('[AQ_2024.xlsx]原始数据'!$A:$A,ROW(A1)+768),"")</f>
        <v/>
      </c>
      <c r="G769">
        <f>IF(768&lt;=1000,INDEX($A$2:$A$1001,768),IF(768&lt;=2000,INDEX($B$2:$B$1001,-232),IF(768&lt;=3000,INDEX($C$2:$C$1001,-1232),IF(768&lt;=4000,INDEX($D$2:$D$1001,-2232),IF(768&lt;=5000,INDEX($E$2:$E$1001,-3232),"")))))</f>
        <v/>
      </c>
    </row>
    <row r="770">
      <c r="A770">
        <f>IFERROR(INDEX('[AQ_2020.xlsx]原始数据'!$A:$A,ROW(A1)+769),"")</f>
        <v/>
      </c>
      <c r="B770">
        <f>IFERROR(INDEX('[AQ_2021.xlsx]原始数据'!$A:$A,ROW(A1)+769),"")</f>
        <v/>
      </c>
      <c r="C770">
        <f>IFERROR(INDEX('[AQ_2022.xlsx]原始数据'!$A:$A,ROW(A1)+769),"")</f>
        <v/>
      </c>
      <c r="D770">
        <f>IFERROR(INDEX('[AQ_2023.xlsx]原始数据'!$A:$A,ROW(A1)+769),"")</f>
        <v/>
      </c>
      <c r="E770">
        <f>IFERROR(INDEX('[AQ_2024.xlsx]原始数据'!$A:$A,ROW(A1)+769),"")</f>
        <v/>
      </c>
      <c r="G770">
        <f>IF(769&lt;=1000,INDEX($A$2:$A$1001,769),IF(769&lt;=2000,INDEX($B$2:$B$1001,-231),IF(769&lt;=3000,INDEX($C$2:$C$1001,-1231),IF(769&lt;=4000,INDEX($D$2:$D$1001,-2231),IF(769&lt;=5000,INDEX($E$2:$E$1001,-3231),"")))))</f>
        <v/>
      </c>
    </row>
    <row r="771">
      <c r="A771">
        <f>IFERROR(INDEX('[AQ_2020.xlsx]原始数据'!$A:$A,ROW(A1)+770),"")</f>
        <v/>
      </c>
      <c r="B771">
        <f>IFERROR(INDEX('[AQ_2021.xlsx]原始数据'!$A:$A,ROW(A1)+770),"")</f>
        <v/>
      </c>
      <c r="C771">
        <f>IFERROR(INDEX('[AQ_2022.xlsx]原始数据'!$A:$A,ROW(A1)+770),"")</f>
        <v/>
      </c>
      <c r="D771">
        <f>IFERROR(INDEX('[AQ_2023.xlsx]原始数据'!$A:$A,ROW(A1)+770),"")</f>
        <v/>
      </c>
      <c r="E771">
        <f>IFERROR(INDEX('[AQ_2024.xlsx]原始数据'!$A:$A,ROW(A1)+770),"")</f>
        <v/>
      </c>
      <c r="G771">
        <f>IF(770&lt;=1000,INDEX($A$2:$A$1001,770),IF(770&lt;=2000,INDEX($B$2:$B$1001,-230),IF(770&lt;=3000,INDEX($C$2:$C$1001,-1230),IF(770&lt;=4000,INDEX($D$2:$D$1001,-2230),IF(770&lt;=5000,INDEX($E$2:$E$1001,-3230),"")))))</f>
        <v/>
      </c>
    </row>
    <row r="772">
      <c r="A772">
        <f>IFERROR(INDEX('[AQ_2020.xlsx]原始数据'!$A:$A,ROW(A1)+771),"")</f>
        <v/>
      </c>
      <c r="B772">
        <f>IFERROR(INDEX('[AQ_2021.xlsx]原始数据'!$A:$A,ROW(A1)+771),"")</f>
        <v/>
      </c>
      <c r="C772">
        <f>IFERROR(INDEX('[AQ_2022.xlsx]原始数据'!$A:$A,ROW(A1)+771),"")</f>
        <v/>
      </c>
      <c r="D772">
        <f>IFERROR(INDEX('[AQ_2023.xlsx]原始数据'!$A:$A,ROW(A1)+771),"")</f>
        <v/>
      </c>
      <c r="E772">
        <f>IFERROR(INDEX('[AQ_2024.xlsx]原始数据'!$A:$A,ROW(A1)+771),"")</f>
        <v/>
      </c>
      <c r="G772">
        <f>IF(771&lt;=1000,INDEX($A$2:$A$1001,771),IF(771&lt;=2000,INDEX($B$2:$B$1001,-229),IF(771&lt;=3000,INDEX($C$2:$C$1001,-1229),IF(771&lt;=4000,INDEX($D$2:$D$1001,-2229),IF(771&lt;=5000,INDEX($E$2:$E$1001,-3229),"")))))</f>
        <v/>
      </c>
    </row>
    <row r="773">
      <c r="A773">
        <f>IFERROR(INDEX('[AQ_2020.xlsx]原始数据'!$A:$A,ROW(A1)+772),"")</f>
        <v/>
      </c>
      <c r="B773">
        <f>IFERROR(INDEX('[AQ_2021.xlsx]原始数据'!$A:$A,ROW(A1)+772),"")</f>
        <v/>
      </c>
      <c r="C773">
        <f>IFERROR(INDEX('[AQ_2022.xlsx]原始数据'!$A:$A,ROW(A1)+772),"")</f>
        <v/>
      </c>
      <c r="D773">
        <f>IFERROR(INDEX('[AQ_2023.xlsx]原始数据'!$A:$A,ROW(A1)+772),"")</f>
        <v/>
      </c>
      <c r="E773">
        <f>IFERROR(INDEX('[AQ_2024.xlsx]原始数据'!$A:$A,ROW(A1)+772),"")</f>
        <v/>
      </c>
      <c r="G773">
        <f>IF(772&lt;=1000,INDEX($A$2:$A$1001,772),IF(772&lt;=2000,INDEX($B$2:$B$1001,-228),IF(772&lt;=3000,INDEX($C$2:$C$1001,-1228),IF(772&lt;=4000,INDEX($D$2:$D$1001,-2228),IF(772&lt;=5000,INDEX($E$2:$E$1001,-3228),"")))))</f>
        <v/>
      </c>
    </row>
    <row r="774">
      <c r="A774">
        <f>IFERROR(INDEX('[AQ_2020.xlsx]原始数据'!$A:$A,ROW(A1)+773),"")</f>
        <v/>
      </c>
      <c r="B774">
        <f>IFERROR(INDEX('[AQ_2021.xlsx]原始数据'!$A:$A,ROW(A1)+773),"")</f>
        <v/>
      </c>
      <c r="C774">
        <f>IFERROR(INDEX('[AQ_2022.xlsx]原始数据'!$A:$A,ROW(A1)+773),"")</f>
        <v/>
      </c>
      <c r="D774">
        <f>IFERROR(INDEX('[AQ_2023.xlsx]原始数据'!$A:$A,ROW(A1)+773),"")</f>
        <v/>
      </c>
      <c r="E774">
        <f>IFERROR(INDEX('[AQ_2024.xlsx]原始数据'!$A:$A,ROW(A1)+773),"")</f>
        <v/>
      </c>
      <c r="G774">
        <f>IF(773&lt;=1000,INDEX($A$2:$A$1001,773),IF(773&lt;=2000,INDEX($B$2:$B$1001,-227),IF(773&lt;=3000,INDEX($C$2:$C$1001,-1227),IF(773&lt;=4000,INDEX($D$2:$D$1001,-2227),IF(773&lt;=5000,INDEX($E$2:$E$1001,-3227),"")))))</f>
        <v/>
      </c>
    </row>
    <row r="775">
      <c r="A775">
        <f>IFERROR(INDEX('[AQ_2020.xlsx]原始数据'!$A:$A,ROW(A1)+774),"")</f>
        <v/>
      </c>
      <c r="B775">
        <f>IFERROR(INDEX('[AQ_2021.xlsx]原始数据'!$A:$A,ROW(A1)+774),"")</f>
        <v/>
      </c>
      <c r="C775">
        <f>IFERROR(INDEX('[AQ_2022.xlsx]原始数据'!$A:$A,ROW(A1)+774),"")</f>
        <v/>
      </c>
      <c r="D775">
        <f>IFERROR(INDEX('[AQ_2023.xlsx]原始数据'!$A:$A,ROW(A1)+774),"")</f>
        <v/>
      </c>
      <c r="E775">
        <f>IFERROR(INDEX('[AQ_2024.xlsx]原始数据'!$A:$A,ROW(A1)+774),"")</f>
        <v/>
      </c>
      <c r="G775">
        <f>IF(774&lt;=1000,INDEX($A$2:$A$1001,774),IF(774&lt;=2000,INDEX($B$2:$B$1001,-226),IF(774&lt;=3000,INDEX($C$2:$C$1001,-1226),IF(774&lt;=4000,INDEX($D$2:$D$1001,-2226),IF(774&lt;=5000,INDEX($E$2:$E$1001,-3226),"")))))</f>
        <v/>
      </c>
    </row>
    <row r="776">
      <c r="A776">
        <f>IFERROR(INDEX('[AQ_2020.xlsx]原始数据'!$A:$A,ROW(A1)+775),"")</f>
        <v/>
      </c>
      <c r="B776">
        <f>IFERROR(INDEX('[AQ_2021.xlsx]原始数据'!$A:$A,ROW(A1)+775),"")</f>
        <v/>
      </c>
      <c r="C776">
        <f>IFERROR(INDEX('[AQ_2022.xlsx]原始数据'!$A:$A,ROW(A1)+775),"")</f>
        <v/>
      </c>
      <c r="D776">
        <f>IFERROR(INDEX('[AQ_2023.xlsx]原始数据'!$A:$A,ROW(A1)+775),"")</f>
        <v/>
      </c>
      <c r="E776">
        <f>IFERROR(INDEX('[AQ_2024.xlsx]原始数据'!$A:$A,ROW(A1)+775),"")</f>
        <v/>
      </c>
      <c r="G776">
        <f>IF(775&lt;=1000,INDEX($A$2:$A$1001,775),IF(775&lt;=2000,INDEX($B$2:$B$1001,-225),IF(775&lt;=3000,INDEX($C$2:$C$1001,-1225),IF(775&lt;=4000,INDEX($D$2:$D$1001,-2225),IF(775&lt;=5000,INDEX($E$2:$E$1001,-3225),"")))))</f>
        <v/>
      </c>
    </row>
    <row r="777">
      <c r="A777">
        <f>IFERROR(INDEX('[AQ_2020.xlsx]原始数据'!$A:$A,ROW(A1)+776),"")</f>
        <v/>
      </c>
      <c r="B777">
        <f>IFERROR(INDEX('[AQ_2021.xlsx]原始数据'!$A:$A,ROW(A1)+776),"")</f>
        <v/>
      </c>
      <c r="C777">
        <f>IFERROR(INDEX('[AQ_2022.xlsx]原始数据'!$A:$A,ROW(A1)+776),"")</f>
        <v/>
      </c>
      <c r="D777">
        <f>IFERROR(INDEX('[AQ_2023.xlsx]原始数据'!$A:$A,ROW(A1)+776),"")</f>
        <v/>
      </c>
      <c r="E777">
        <f>IFERROR(INDEX('[AQ_2024.xlsx]原始数据'!$A:$A,ROW(A1)+776),"")</f>
        <v/>
      </c>
      <c r="G777">
        <f>IF(776&lt;=1000,INDEX($A$2:$A$1001,776),IF(776&lt;=2000,INDEX($B$2:$B$1001,-224),IF(776&lt;=3000,INDEX($C$2:$C$1001,-1224),IF(776&lt;=4000,INDEX($D$2:$D$1001,-2224),IF(776&lt;=5000,INDEX($E$2:$E$1001,-3224),"")))))</f>
        <v/>
      </c>
    </row>
    <row r="778">
      <c r="A778">
        <f>IFERROR(INDEX('[AQ_2020.xlsx]原始数据'!$A:$A,ROW(A1)+777),"")</f>
        <v/>
      </c>
      <c r="B778">
        <f>IFERROR(INDEX('[AQ_2021.xlsx]原始数据'!$A:$A,ROW(A1)+777),"")</f>
        <v/>
      </c>
      <c r="C778">
        <f>IFERROR(INDEX('[AQ_2022.xlsx]原始数据'!$A:$A,ROW(A1)+777),"")</f>
        <v/>
      </c>
      <c r="D778">
        <f>IFERROR(INDEX('[AQ_2023.xlsx]原始数据'!$A:$A,ROW(A1)+777),"")</f>
        <v/>
      </c>
      <c r="E778">
        <f>IFERROR(INDEX('[AQ_2024.xlsx]原始数据'!$A:$A,ROW(A1)+777),"")</f>
        <v/>
      </c>
      <c r="G778">
        <f>IF(777&lt;=1000,INDEX($A$2:$A$1001,777),IF(777&lt;=2000,INDEX($B$2:$B$1001,-223),IF(777&lt;=3000,INDEX($C$2:$C$1001,-1223),IF(777&lt;=4000,INDEX($D$2:$D$1001,-2223),IF(777&lt;=5000,INDEX($E$2:$E$1001,-3223),"")))))</f>
        <v/>
      </c>
    </row>
    <row r="779">
      <c r="A779">
        <f>IFERROR(INDEX('[AQ_2020.xlsx]原始数据'!$A:$A,ROW(A1)+778),"")</f>
        <v/>
      </c>
      <c r="B779">
        <f>IFERROR(INDEX('[AQ_2021.xlsx]原始数据'!$A:$A,ROW(A1)+778),"")</f>
        <v/>
      </c>
      <c r="C779">
        <f>IFERROR(INDEX('[AQ_2022.xlsx]原始数据'!$A:$A,ROW(A1)+778),"")</f>
        <v/>
      </c>
      <c r="D779">
        <f>IFERROR(INDEX('[AQ_2023.xlsx]原始数据'!$A:$A,ROW(A1)+778),"")</f>
        <v/>
      </c>
      <c r="E779">
        <f>IFERROR(INDEX('[AQ_2024.xlsx]原始数据'!$A:$A,ROW(A1)+778),"")</f>
        <v/>
      </c>
      <c r="G779">
        <f>IF(778&lt;=1000,INDEX($A$2:$A$1001,778),IF(778&lt;=2000,INDEX($B$2:$B$1001,-222),IF(778&lt;=3000,INDEX($C$2:$C$1001,-1222),IF(778&lt;=4000,INDEX($D$2:$D$1001,-2222),IF(778&lt;=5000,INDEX($E$2:$E$1001,-3222),"")))))</f>
        <v/>
      </c>
    </row>
    <row r="780">
      <c r="A780">
        <f>IFERROR(INDEX('[AQ_2020.xlsx]原始数据'!$A:$A,ROW(A1)+779),"")</f>
        <v/>
      </c>
      <c r="B780">
        <f>IFERROR(INDEX('[AQ_2021.xlsx]原始数据'!$A:$A,ROW(A1)+779),"")</f>
        <v/>
      </c>
      <c r="C780">
        <f>IFERROR(INDEX('[AQ_2022.xlsx]原始数据'!$A:$A,ROW(A1)+779),"")</f>
        <v/>
      </c>
      <c r="D780">
        <f>IFERROR(INDEX('[AQ_2023.xlsx]原始数据'!$A:$A,ROW(A1)+779),"")</f>
        <v/>
      </c>
      <c r="E780">
        <f>IFERROR(INDEX('[AQ_2024.xlsx]原始数据'!$A:$A,ROW(A1)+779),"")</f>
        <v/>
      </c>
      <c r="G780">
        <f>IF(779&lt;=1000,INDEX($A$2:$A$1001,779),IF(779&lt;=2000,INDEX($B$2:$B$1001,-221),IF(779&lt;=3000,INDEX($C$2:$C$1001,-1221),IF(779&lt;=4000,INDEX($D$2:$D$1001,-2221),IF(779&lt;=5000,INDEX($E$2:$E$1001,-3221),"")))))</f>
        <v/>
      </c>
    </row>
    <row r="781">
      <c r="A781">
        <f>IFERROR(INDEX('[AQ_2020.xlsx]原始数据'!$A:$A,ROW(A1)+780),"")</f>
        <v/>
      </c>
      <c r="B781">
        <f>IFERROR(INDEX('[AQ_2021.xlsx]原始数据'!$A:$A,ROW(A1)+780),"")</f>
        <v/>
      </c>
      <c r="C781">
        <f>IFERROR(INDEX('[AQ_2022.xlsx]原始数据'!$A:$A,ROW(A1)+780),"")</f>
        <v/>
      </c>
      <c r="D781">
        <f>IFERROR(INDEX('[AQ_2023.xlsx]原始数据'!$A:$A,ROW(A1)+780),"")</f>
        <v/>
      </c>
      <c r="E781">
        <f>IFERROR(INDEX('[AQ_2024.xlsx]原始数据'!$A:$A,ROW(A1)+780),"")</f>
        <v/>
      </c>
      <c r="G781">
        <f>IF(780&lt;=1000,INDEX($A$2:$A$1001,780),IF(780&lt;=2000,INDEX($B$2:$B$1001,-220),IF(780&lt;=3000,INDEX($C$2:$C$1001,-1220),IF(780&lt;=4000,INDEX($D$2:$D$1001,-2220),IF(780&lt;=5000,INDEX($E$2:$E$1001,-3220),"")))))</f>
        <v/>
      </c>
    </row>
    <row r="782">
      <c r="A782">
        <f>IFERROR(INDEX('[AQ_2020.xlsx]原始数据'!$A:$A,ROW(A1)+781),"")</f>
        <v/>
      </c>
      <c r="B782">
        <f>IFERROR(INDEX('[AQ_2021.xlsx]原始数据'!$A:$A,ROW(A1)+781),"")</f>
        <v/>
      </c>
      <c r="C782">
        <f>IFERROR(INDEX('[AQ_2022.xlsx]原始数据'!$A:$A,ROW(A1)+781),"")</f>
        <v/>
      </c>
      <c r="D782">
        <f>IFERROR(INDEX('[AQ_2023.xlsx]原始数据'!$A:$A,ROW(A1)+781),"")</f>
        <v/>
      </c>
      <c r="E782">
        <f>IFERROR(INDEX('[AQ_2024.xlsx]原始数据'!$A:$A,ROW(A1)+781),"")</f>
        <v/>
      </c>
      <c r="G782">
        <f>IF(781&lt;=1000,INDEX($A$2:$A$1001,781),IF(781&lt;=2000,INDEX($B$2:$B$1001,-219),IF(781&lt;=3000,INDEX($C$2:$C$1001,-1219),IF(781&lt;=4000,INDEX($D$2:$D$1001,-2219),IF(781&lt;=5000,INDEX($E$2:$E$1001,-3219),"")))))</f>
        <v/>
      </c>
    </row>
    <row r="783">
      <c r="A783">
        <f>IFERROR(INDEX('[AQ_2020.xlsx]原始数据'!$A:$A,ROW(A1)+782),"")</f>
        <v/>
      </c>
      <c r="B783">
        <f>IFERROR(INDEX('[AQ_2021.xlsx]原始数据'!$A:$A,ROW(A1)+782),"")</f>
        <v/>
      </c>
      <c r="C783">
        <f>IFERROR(INDEX('[AQ_2022.xlsx]原始数据'!$A:$A,ROW(A1)+782),"")</f>
        <v/>
      </c>
      <c r="D783">
        <f>IFERROR(INDEX('[AQ_2023.xlsx]原始数据'!$A:$A,ROW(A1)+782),"")</f>
        <v/>
      </c>
      <c r="E783">
        <f>IFERROR(INDEX('[AQ_2024.xlsx]原始数据'!$A:$A,ROW(A1)+782),"")</f>
        <v/>
      </c>
      <c r="G783">
        <f>IF(782&lt;=1000,INDEX($A$2:$A$1001,782),IF(782&lt;=2000,INDEX($B$2:$B$1001,-218),IF(782&lt;=3000,INDEX($C$2:$C$1001,-1218),IF(782&lt;=4000,INDEX($D$2:$D$1001,-2218),IF(782&lt;=5000,INDEX($E$2:$E$1001,-3218),"")))))</f>
        <v/>
      </c>
    </row>
    <row r="784">
      <c r="A784">
        <f>IFERROR(INDEX('[AQ_2020.xlsx]原始数据'!$A:$A,ROW(A1)+783),"")</f>
        <v/>
      </c>
      <c r="B784">
        <f>IFERROR(INDEX('[AQ_2021.xlsx]原始数据'!$A:$A,ROW(A1)+783),"")</f>
        <v/>
      </c>
      <c r="C784">
        <f>IFERROR(INDEX('[AQ_2022.xlsx]原始数据'!$A:$A,ROW(A1)+783),"")</f>
        <v/>
      </c>
      <c r="D784">
        <f>IFERROR(INDEX('[AQ_2023.xlsx]原始数据'!$A:$A,ROW(A1)+783),"")</f>
        <v/>
      </c>
      <c r="E784">
        <f>IFERROR(INDEX('[AQ_2024.xlsx]原始数据'!$A:$A,ROW(A1)+783),"")</f>
        <v/>
      </c>
      <c r="G784">
        <f>IF(783&lt;=1000,INDEX($A$2:$A$1001,783),IF(783&lt;=2000,INDEX($B$2:$B$1001,-217),IF(783&lt;=3000,INDEX($C$2:$C$1001,-1217),IF(783&lt;=4000,INDEX($D$2:$D$1001,-2217),IF(783&lt;=5000,INDEX($E$2:$E$1001,-3217),"")))))</f>
        <v/>
      </c>
    </row>
    <row r="785">
      <c r="A785">
        <f>IFERROR(INDEX('[AQ_2020.xlsx]原始数据'!$A:$A,ROW(A1)+784),"")</f>
        <v/>
      </c>
      <c r="B785">
        <f>IFERROR(INDEX('[AQ_2021.xlsx]原始数据'!$A:$A,ROW(A1)+784),"")</f>
        <v/>
      </c>
      <c r="C785">
        <f>IFERROR(INDEX('[AQ_2022.xlsx]原始数据'!$A:$A,ROW(A1)+784),"")</f>
        <v/>
      </c>
      <c r="D785">
        <f>IFERROR(INDEX('[AQ_2023.xlsx]原始数据'!$A:$A,ROW(A1)+784),"")</f>
        <v/>
      </c>
      <c r="E785">
        <f>IFERROR(INDEX('[AQ_2024.xlsx]原始数据'!$A:$A,ROW(A1)+784),"")</f>
        <v/>
      </c>
      <c r="G785">
        <f>IF(784&lt;=1000,INDEX($A$2:$A$1001,784),IF(784&lt;=2000,INDEX($B$2:$B$1001,-216),IF(784&lt;=3000,INDEX($C$2:$C$1001,-1216),IF(784&lt;=4000,INDEX($D$2:$D$1001,-2216),IF(784&lt;=5000,INDEX($E$2:$E$1001,-3216),"")))))</f>
        <v/>
      </c>
    </row>
    <row r="786">
      <c r="A786">
        <f>IFERROR(INDEX('[AQ_2020.xlsx]原始数据'!$A:$A,ROW(A1)+785),"")</f>
        <v/>
      </c>
      <c r="B786">
        <f>IFERROR(INDEX('[AQ_2021.xlsx]原始数据'!$A:$A,ROW(A1)+785),"")</f>
        <v/>
      </c>
      <c r="C786">
        <f>IFERROR(INDEX('[AQ_2022.xlsx]原始数据'!$A:$A,ROW(A1)+785),"")</f>
        <v/>
      </c>
      <c r="D786">
        <f>IFERROR(INDEX('[AQ_2023.xlsx]原始数据'!$A:$A,ROW(A1)+785),"")</f>
        <v/>
      </c>
      <c r="E786">
        <f>IFERROR(INDEX('[AQ_2024.xlsx]原始数据'!$A:$A,ROW(A1)+785),"")</f>
        <v/>
      </c>
      <c r="G786">
        <f>IF(785&lt;=1000,INDEX($A$2:$A$1001,785),IF(785&lt;=2000,INDEX($B$2:$B$1001,-215),IF(785&lt;=3000,INDEX($C$2:$C$1001,-1215),IF(785&lt;=4000,INDEX($D$2:$D$1001,-2215),IF(785&lt;=5000,INDEX($E$2:$E$1001,-3215),"")))))</f>
        <v/>
      </c>
    </row>
    <row r="787">
      <c r="A787">
        <f>IFERROR(INDEX('[AQ_2020.xlsx]原始数据'!$A:$A,ROW(A1)+786),"")</f>
        <v/>
      </c>
      <c r="B787">
        <f>IFERROR(INDEX('[AQ_2021.xlsx]原始数据'!$A:$A,ROW(A1)+786),"")</f>
        <v/>
      </c>
      <c r="C787">
        <f>IFERROR(INDEX('[AQ_2022.xlsx]原始数据'!$A:$A,ROW(A1)+786),"")</f>
        <v/>
      </c>
      <c r="D787">
        <f>IFERROR(INDEX('[AQ_2023.xlsx]原始数据'!$A:$A,ROW(A1)+786),"")</f>
        <v/>
      </c>
      <c r="E787">
        <f>IFERROR(INDEX('[AQ_2024.xlsx]原始数据'!$A:$A,ROW(A1)+786),"")</f>
        <v/>
      </c>
      <c r="G787">
        <f>IF(786&lt;=1000,INDEX($A$2:$A$1001,786),IF(786&lt;=2000,INDEX($B$2:$B$1001,-214),IF(786&lt;=3000,INDEX($C$2:$C$1001,-1214),IF(786&lt;=4000,INDEX($D$2:$D$1001,-2214),IF(786&lt;=5000,INDEX($E$2:$E$1001,-3214),"")))))</f>
        <v/>
      </c>
    </row>
    <row r="788">
      <c r="A788">
        <f>IFERROR(INDEX('[AQ_2020.xlsx]原始数据'!$A:$A,ROW(A1)+787),"")</f>
        <v/>
      </c>
      <c r="B788">
        <f>IFERROR(INDEX('[AQ_2021.xlsx]原始数据'!$A:$A,ROW(A1)+787),"")</f>
        <v/>
      </c>
      <c r="C788">
        <f>IFERROR(INDEX('[AQ_2022.xlsx]原始数据'!$A:$A,ROW(A1)+787),"")</f>
        <v/>
      </c>
      <c r="D788">
        <f>IFERROR(INDEX('[AQ_2023.xlsx]原始数据'!$A:$A,ROW(A1)+787),"")</f>
        <v/>
      </c>
      <c r="E788">
        <f>IFERROR(INDEX('[AQ_2024.xlsx]原始数据'!$A:$A,ROW(A1)+787),"")</f>
        <v/>
      </c>
      <c r="G788">
        <f>IF(787&lt;=1000,INDEX($A$2:$A$1001,787),IF(787&lt;=2000,INDEX($B$2:$B$1001,-213),IF(787&lt;=3000,INDEX($C$2:$C$1001,-1213),IF(787&lt;=4000,INDEX($D$2:$D$1001,-2213),IF(787&lt;=5000,INDEX($E$2:$E$1001,-3213),"")))))</f>
        <v/>
      </c>
    </row>
    <row r="789">
      <c r="A789">
        <f>IFERROR(INDEX('[AQ_2020.xlsx]原始数据'!$A:$A,ROW(A1)+788),"")</f>
        <v/>
      </c>
      <c r="B789">
        <f>IFERROR(INDEX('[AQ_2021.xlsx]原始数据'!$A:$A,ROW(A1)+788),"")</f>
        <v/>
      </c>
      <c r="C789">
        <f>IFERROR(INDEX('[AQ_2022.xlsx]原始数据'!$A:$A,ROW(A1)+788),"")</f>
        <v/>
      </c>
      <c r="D789">
        <f>IFERROR(INDEX('[AQ_2023.xlsx]原始数据'!$A:$A,ROW(A1)+788),"")</f>
        <v/>
      </c>
      <c r="E789">
        <f>IFERROR(INDEX('[AQ_2024.xlsx]原始数据'!$A:$A,ROW(A1)+788),"")</f>
        <v/>
      </c>
      <c r="G789">
        <f>IF(788&lt;=1000,INDEX($A$2:$A$1001,788),IF(788&lt;=2000,INDEX($B$2:$B$1001,-212),IF(788&lt;=3000,INDEX($C$2:$C$1001,-1212),IF(788&lt;=4000,INDEX($D$2:$D$1001,-2212),IF(788&lt;=5000,INDEX($E$2:$E$1001,-3212),"")))))</f>
        <v/>
      </c>
    </row>
    <row r="790">
      <c r="A790">
        <f>IFERROR(INDEX('[AQ_2020.xlsx]原始数据'!$A:$A,ROW(A1)+789),"")</f>
        <v/>
      </c>
      <c r="B790">
        <f>IFERROR(INDEX('[AQ_2021.xlsx]原始数据'!$A:$A,ROW(A1)+789),"")</f>
        <v/>
      </c>
      <c r="C790">
        <f>IFERROR(INDEX('[AQ_2022.xlsx]原始数据'!$A:$A,ROW(A1)+789),"")</f>
        <v/>
      </c>
      <c r="D790">
        <f>IFERROR(INDEX('[AQ_2023.xlsx]原始数据'!$A:$A,ROW(A1)+789),"")</f>
        <v/>
      </c>
      <c r="E790">
        <f>IFERROR(INDEX('[AQ_2024.xlsx]原始数据'!$A:$A,ROW(A1)+789),"")</f>
        <v/>
      </c>
      <c r="G790">
        <f>IF(789&lt;=1000,INDEX($A$2:$A$1001,789),IF(789&lt;=2000,INDEX($B$2:$B$1001,-211),IF(789&lt;=3000,INDEX($C$2:$C$1001,-1211),IF(789&lt;=4000,INDEX($D$2:$D$1001,-2211),IF(789&lt;=5000,INDEX($E$2:$E$1001,-3211),"")))))</f>
        <v/>
      </c>
    </row>
    <row r="791">
      <c r="A791">
        <f>IFERROR(INDEX('[AQ_2020.xlsx]原始数据'!$A:$A,ROW(A1)+790),"")</f>
        <v/>
      </c>
      <c r="B791">
        <f>IFERROR(INDEX('[AQ_2021.xlsx]原始数据'!$A:$A,ROW(A1)+790),"")</f>
        <v/>
      </c>
      <c r="C791">
        <f>IFERROR(INDEX('[AQ_2022.xlsx]原始数据'!$A:$A,ROW(A1)+790),"")</f>
        <v/>
      </c>
      <c r="D791">
        <f>IFERROR(INDEX('[AQ_2023.xlsx]原始数据'!$A:$A,ROW(A1)+790),"")</f>
        <v/>
      </c>
      <c r="E791">
        <f>IFERROR(INDEX('[AQ_2024.xlsx]原始数据'!$A:$A,ROW(A1)+790),"")</f>
        <v/>
      </c>
      <c r="G791">
        <f>IF(790&lt;=1000,INDEX($A$2:$A$1001,790),IF(790&lt;=2000,INDEX($B$2:$B$1001,-210),IF(790&lt;=3000,INDEX($C$2:$C$1001,-1210),IF(790&lt;=4000,INDEX($D$2:$D$1001,-2210),IF(790&lt;=5000,INDEX($E$2:$E$1001,-3210),"")))))</f>
        <v/>
      </c>
    </row>
    <row r="792">
      <c r="A792">
        <f>IFERROR(INDEX('[AQ_2020.xlsx]原始数据'!$A:$A,ROW(A1)+791),"")</f>
        <v/>
      </c>
      <c r="B792">
        <f>IFERROR(INDEX('[AQ_2021.xlsx]原始数据'!$A:$A,ROW(A1)+791),"")</f>
        <v/>
      </c>
      <c r="C792">
        <f>IFERROR(INDEX('[AQ_2022.xlsx]原始数据'!$A:$A,ROW(A1)+791),"")</f>
        <v/>
      </c>
      <c r="D792">
        <f>IFERROR(INDEX('[AQ_2023.xlsx]原始数据'!$A:$A,ROW(A1)+791),"")</f>
        <v/>
      </c>
      <c r="E792">
        <f>IFERROR(INDEX('[AQ_2024.xlsx]原始数据'!$A:$A,ROW(A1)+791),"")</f>
        <v/>
      </c>
      <c r="G792">
        <f>IF(791&lt;=1000,INDEX($A$2:$A$1001,791),IF(791&lt;=2000,INDEX($B$2:$B$1001,-209),IF(791&lt;=3000,INDEX($C$2:$C$1001,-1209),IF(791&lt;=4000,INDEX($D$2:$D$1001,-2209),IF(791&lt;=5000,INDEX($E$2:$E$1001,-3209),"")))))</f>
        <v/>
      </c>
    </row>
    <row r="793">
      <c r="A793">
        <f>IFERROR(INDEX('[AQ_2020.xlsx]原始数据'!$A:$A,ROW(A1)+792),"")</f>
        <v/>
      </c>
      <c r="B793">
        <f>IFERROR(INDEX('[AQ_2021.xlsx]原始数据'!$A:$A,ROW(A1)+792),"")</f>
        <v/>
      </c>
      <c r="C793">
        <f>IFERROR(INDEX('[AQ_2022.xlsx]原始数据'!$A:$A,ROW(A1)+792),"")</f>
        <v/>
      </c>
      <c r="D793">
        <f>IFERROR(INDEX('[AQ_2023.xlsx]原始数据'!$A:$A,ROW(A1)+792),"")</f>
        <v/>
      </c>
      <c r="E793">
        <f>IFERROR(INDEX('[AQ_2024.xlsx]原始数据'!$A:$A,ROW(A1)+792),"")</f>
        <v/>
      </c>
      <c r="G793">
        <f>IF(792&lt;=1000,INDEX($A$2:$A$1001,792),IF(792&lt;=2000,INDEX($B$2:$B$1001,-208),IF(792&lt;=3000,INDEX($C$2:$C$1001,-1208),IF(792&lt;=4000,INDEX($D$2:$D$1001,-2208),IF(792&lt;=5000,INDEX($E$2:$E$1001,-3208),"")))))</f>
        <v/>
      </c>
    </row>
    <row r="794">
      <c r="A794">
        <f>IFERROR(INDEX('[AQ_2020.xlsx]原始数据'!$A:$A,ROW(A1)+793),"")</f>
        <v/>
      </c>
      <c r="B794">
        <f>IFERROR(INDEX('[AQ_2021.xlsx]原始数据'!$A:$A,ROW(A1)+793),"")</f>
        <v/>
      </c>
      <c r="C794">
        <f>IFERROR(INDEX('[AQ_2022.xlsx]原始数据'!$A:$A,ROW(A1)+793),"")</f>
        <v/>
      </c>
      <c r="D794">
        <f>IFERROR(INDEX('[AQ_2023.xlsx]原始数据'!$A:$A,ROW(A1)+793),"")</f>
        <v/>
      </c>
      <c r="E794">
        <f>IFERROR(INDEX('[AQ_2024.xlsx]原始数据'!$A:$A,ROW(A1)+793),"")</f>
        <v/>
      </c>
      <c r="G794">
        <f>IF(793&lt;=1000,INDEX($A$2:$A$1001,793),IF(793&lt;=2000,INDEX($B$2:$B$1001,-207),IF(793&lt;=3000,INDEX($C$2:$C$1001,-1207),IF(793&lt;=4000,INDEX($D$2:$D$1001,-2207),IF(793&lt;=5000,INDEX($E$2:$E$1001,-3207),"")))))</f>
        <v/>
      </c>
    </row>
    <row r="795">
      <c r="A795">
        <f>IFERROR(INDEX('[AQ_2020.xlsx]原始数据'!$A:$A,ROW(A1)+794),"")</f>
        <v/>
      </c>
      <c r="B795">
        <f>IFERROR(INDEX('[AQ_2021.xlsx]原始数据'!$A:$A,ROW(A1)+794),"")</f>
        <v/>
      </c>
      <c r="C795">
        <f>IFERROR(INDEX('[AQ_2022.xlsx]原始数据'!$A:$A,ROW(A1)+794),"")</f>
        <v/>
      </c>
      <c r="D795">
        <f>IFERROR(INDEX('[AQ_2023.xlsx]原始数据'!$A:$A,ROW(A1)+794),"")</f>
        <v/>
      </c>
      <c r="E795">
        <f>IFERROR(INDEX('[AQ_2024.xlsx]原始数据'!$A:$A,ROW(A1)+794),"")</f>
        <v/>
      </c>
      <c r="G795">
        <f>IF(794&lt;=1000,INDEX($A$2:$A$1001,794),IF(794&lt;=2000,INDEX($B$2:$B$1001,-206),IF(794&lt;=3000,INDEX($C$2:$C$1001,-1206),IF(794&lt;=4000,INDEX($D$2:$D$1001,-2206),IF(794&lt;=5000,INDEX($E$2:$E$1001,-3206),"")))))</f>
        <v/>
      </c>
    </row>
    <row r="796">
      <c r="A796">
        <f>IFERROR(INDEX('[AQ_2020.xlsx]原始数据'!$A:$A,ROW(A1)+795),"")</f>
        <v/>
      </c>
      <c r="B796">
        <f>IFERROR(INDEX('[AQ_2021.xlsx]原始数据'!$A:$A,ROW(A1)+795),"")</f>
        <v/>
      </c>
      <c r="C796">
        <f>IFERROR(INDEX('[AQ_2022.xlsx]原始数据'!$A:$A,ROW(A1)+795),"")</f>
        <v/>
      </c>
      <c r="D796">
        <f>IFERROR(INDEX('[AQ_2023.xlsx]原始数据'!$A:$A,ROW(A1)+795),"")</f>
        <v/>
      </c>
      <c r="E796">
        <f>IFERROR(INDEX('[AQ_2024.xlsx]原始数据'!$A:$A,ROW(A1)+795),"")</f>
        <v/>
      </c>
      <c r="G796">
        <f>IF(795&lt;=1000,INDEX($A$2:$A$1001,795),IF(795&lt;=2000,INDEX($B$2:$B$1001,-205),IF(795&lt;=3000,INDEX($C$2:$C$1001,-1205),IF(795&lt;=4000,INDEX($D$2:$D$1001,-2205),IF(795&lt;=5000,INDEX($E$2:$E$1001,-3205),"")))))</f>
        <v/>
      </c>
    </row>
    <row r="797">
      <c r="A797">
        <f>IFERROR(INDEX('[AQ_2020.xlsx]原始数据'!$A:$A,ROW(A1)+796),"")</f>
        <v/>
      </c>
      <c r="B797">
        <f>IFERROR(INDEX('[AQ_2021.xlsx]原始数据'!$A:$A,ROW(A1)+796),"")</f>
        <v/>
      </c>
      <c r="C797">
        <f>IFERROR(INDEX('[AQ_2022.xlsx]原始数据'!$A:$A,ROW(A1)+796),"")</f>
        <v/>
      </c>
      <c r="D797">
        <f>IFERROR(INDEX('[AQ_2023.xlsx]原始数据'!$A:$A,ROW(A1)+796),"")</f>
        <v/>
      </c>
      <c r="E797">
        <f>IFERROR(INDEX('[AQ_2024.xlsx]原始数据'!$A:$A,ROW(A1)+796),"")</f>
        <v/>
      </c>
      <c r="G797">
        <f>IF(796&lt;=1000,INDEX($A$2:$A$1001,796),IF(796&lt;=2000,INDEX($B$2:$B$1001,-204),IF(796&lt;=3000,INDEX($C$2:$C$1001,-1204),IF(796&lt;=4000,INDEX($D$2:$D$1001,-2204),IF(796&lt;=5000,INDEX($E$2:$E$1001,-3204),"")))))</f>
        <v/>
      </c>
    </row>
    <row r="798">
      <c r="A798">
        <f>IFERROR(INDEX('[AQ_2020.xlsx]原始数据'!$A:$A,ROW(A1)+797),"")</f>
        <v/>
      </c>
      <c r="B798">
        <f>IFERROR(INDEX('[AQ_2021.xlsx]原始数据'!$A:$A,ROW(A1)+797),"")</f>
        <v/>
      </c>
      <c r="C798">
        <f>IFERROR(INDEX('[AQ_2022.xlsx]原始数据'!$A:$A,ROW(A1)+797),"")</f>
        <v/>
      </c>
      <c r="D798">
        <f>IFERROR(INDEX('[AQ_2023.xlsx]原始数据'!$A:$A,ROW(A1)+797),"")</f>
        <v/>
      </c>
      <c r="E798">
        <f>IFERROR(INDEX('[AQ_2024.xlsx]原始数据'!$A:$A,ROW(A1)+797),"")</f>
        <v/>
      </c>
      <c r="G798">
        <f>IF(797&lt;=1000,INDEX($A$2:$A$1001,797),IF(797&lt;=2000,INDEX($B$2:$B$1001,-203),IF(797&lt;=3000,INDEX($C$2:$C$1001,-1203),IF(797&lt;=4000,INDEX($D$2:$D$1001,-2203),IF(797&lt;=5000,INDEX($E$2:$E$1001,-3203),"")))))</f>
        <v/>
      </c>
    </row>
    <row r="799">
      <c r="A799">
        <f>IFERROR(INDEX('[AQ_2020.xlsx]原始数据'!$A:$A,ROW(A1)+798),"")</f>
        <v/>
      </c>
      <c r="B799">
        <f>IFERROR(INDEX('[AQ_2021.xlsx]原始数据'!$A:$A,ROW(A1)+798),"")</f>
        <v/>
      </c>
      <c r="C799">
        <f>IFERROR(INDEX('[AQ_2022.xlsx]原始数据'!$A:$A,ROW(A1)+798),"")</f>
        <v/>
      </c>
      <c r="D799">
        <f>IFERROR(INDEX('[AQ_2023.xlsx]原始数据'!$A:$A,ROW(A1)+798),"")</f>
        <v/>
      </c>
      <c r="E799">
        <f>IFERROR(INDEX('[AQ_2024.xlsx]原始数据'!$A:$A,ROW(A1)+798),"")</f>
        <v/>
      </c>
      <c r="G799">
        <f>IF(798&lt;=1000,INDEX($A$2:$A$1001,798),IF(798&lt;=2000,INDEX($B$2:$B$1001,-202),IF(798&lt;=3000,INDEX($C$2:$C$1001,-1202),IF(798&lt;=4000,INDEX($D$2:$D$1001,-2202),IF(798&lt;=5000,INDEX($E$2:$E$1001,-3202),"")))))</f>
        <v/>
      </c>
    </row>
    <row r="800">
      <c r="A800">
        <f>IFERROR(INDEX('[AQ_2020.xlsx]原始数据'!$A:$A,ROW(A1)+799),"")</f>
        <v/>
      </c>
      <c r="B800">
        <f>IFERROR(INDEX('[AQ_2021.xlsx]原始数据'!$A:$A,ROW(A1)+799),"")</f>
        <v/>
      </c>
      <c r="C800">
        <f>IFERROR(INDEX('[AQ_2022.xlsx]原始数据'!$A:$A,ROW(A1)+799),"")</f>
        <v/>
      </c>
      <c r="D800">
        <f>IFERROR(INDEX('[AQ_2023.xlsx]原始数据'!$A:$A,ROW(A1)+799),"")</f>
        <v/>
      </c>
      <c r="E800">
        <f>IFERROR(INDEX('[AQ_2024.xlsx]原始数据'!$A:$A,ROW(A1)+799),"")</f>
        <v/>
      </c>
      <c r="G800">
        <f>IF(799&lt;=1000,INDEX($A$2:$A$1001,799),IF(799&lt;=2000,INDEX($B$2:$B$1001,-201),IF(799&lt;=3000,INDEX($C$2:$C$1001,-1201),IF(799&lt;=4000,INDEX($D$2:$D$1001,-2201),IF(799&lt;=5000,INDEX($E$2:$E$1001,-3201),"")))))</f>
        <v/>
      </c>
    </row>
    <row r="801">
      <c r="A801">
        <f>IFERROR(INDEX('[AQ_2020.xlsx]原始数据'!$A:$A,ROW(A1)+800),"")</f>
        <v/>
      </c>
      <c r="B801">
        <f>IFERROR(INDEX('[AQ_2021.xlsx]原始数据'!$A:$A,ROW(A1)+800),"")</f>
        <v/>
      </c>
      <c r="C801">
        <f>IFERROR(INDEX('[AQ_2022.xlsx]原始数据'!$A:$A,ROW(A1)+800),"")</f>
        <v/>
      </c>
      <c r="D801">
        <f>IFERROR(INDEX('[AQ_2023.xlsx]原始数据'!$A:$A,ROW(A1)+800),"")</f>
        <v/>
      </c>
      <c r="E801">
        <f>IFERROR(INDEX('[AQ_2024.xlsx]原始数据'!$A:$A,ROW(A1)+800),"")</f>
        <v/>
      </c>
      <c r="G801">
        <f>IF(800&lt;=1000,INDEX($A$2:$A$1001,800),IF(800&lt;=2000,INDEX($B$2:$B$1001,-200),IF(800&lt;=3000,INDEX($C$2:$C$1001,-1200),IF(800&lt;=4000,INDEX($D$2:$D$1001,-2200),IF(800&lt;=5000,INDEX($E$2:$E$1001,-3200),"")))))</f>
        <v/>
      </c>
    </row>
    <row r="802">
      <c r="A802">
        <f>IFERROR(INDEX('[AQ_2020.xlsx]原始数据'!$A:$A,ROW(A1)+801),"")</f>
        <v/>
      </c>
      <c r="B802">
        <f>IFERROR(INDEX('[AQ_2021.xlsx]原始数据'!$A:$A,ROW(A1)+801),"")</f>
        <v/>
      </c>
      <c r="C802">
        <f>IFERROR(INDEX('[AQ_2022.xlsx]原始数据'!$A:$A,ROW(A1)+801),"")</f>
        <v/>
      </c>
      <c r="D802">
        <f>IFERROR(INDEX('[AQ_2023.xlsx]原始数据'!$A:$A,ROW(A1)+801),"")</f>
        <v/>
      </c>
      <c r="E802">
        <f>IFERROR(INDEX('[AQ_2024.xlsx]原始数据'!$A:$A,ROW(A1)+801),"")</f>
        <v/>
      </c>
      <c r="G802">
        <f>IF(801&lt;=1000,INDEX($A$2:$A$1001,801),IF(801&lt;=2000,INDEX($B$2:$B$1001,-199),IF(801&lt;=3000,INDEX($C$2:$C$1001,-1199),IF(801&lt;=4000,INDEX($D$2:$D$1001,-2199),IF(801&lt;=5000,INDEX($E$2:$E$1001,-3199),"")))))</f>
        <v/>
      </c>
    </row>
    <row r="803">
      <c r="A803">
        <f>IFERROR(INDEX('[AQ_2020.xlsx]原始数据'!$A:$A,ROW(A1)+802),"")</f>
        <v/>
      </c>
      <c r="B803">
        <f>IFERROR(INDEX('[AQ_2021.xlsx]原始数据'!$A:$A,ROW(A1)+802),"")</f>
        <v/>
      </c>
      <c r="C803">
        <f>IFERROR(INDEX('[AQ_2022.xlsx]原始数据'!$A:$A,ROW(A1)+802),"")</f>
        <v/>
      </c>
      <c r="D803">
        <f>IFERROR(INDEX('[AQ_2023.xlsx]原始数据'!$A:$A,ROW(A1)+802),"")</f>
        <v/>
      </c>
      <c r="E803">
        <f>IFERROR(INDEX('[AQ_2024.xlsx]原始数据'!$A:$A,ROW(A1)+802),"")</f>
        <v/>
      </c>
      <c r="G803">
        <f>IF(802&lt;=1000,INDEX($A$2:$A$1001,802),IF(802&lt;=2000,INDEX($B$2:$B$1001,-198),IF(802&lt;=3000,INDEX($C$2:$C$1001,-1198),IF(802&lt;=4000,INDEX($D$2:$D$1001,-2198),IF(802&lt;=5000,INDEX($E$2:$E$1001,-3198),"")))))</f>
        <v/>
      </c>
    </row>
    <row r="804">
      <c r="A804">
        <f>IFERROR(INDEX('[AQ_2020.xlsx]原始数据'!$A:$A,ROW(A1)+803),"")</f>
        <v/>
      </c>
      <c r="B804">
        <f>IFERROR(INDEX('[AQ_2021.xlsx]原始数据'!$A:$A,ROW(A1)+803),"")</f>
        <v/>
      </c>
      <c r="C804">
        <f>IFERROR(INDEX('[AQ_2022.xlsx]原始数据'!$A:$A,ROW(A1)+803),"")</f>
        <v/>
      </c>
      <c r="D804">
        <f>IFERROR(INDEX('[AQ_2023.xlsx]原始数据'!$A:$A,ROW(A1)+803),"")</f>
        <v/>
      </c>
      <c r="E804">
        <f>IFERROR(INDEX('[AQ_2024.xlsx]原始数据'!$A:$A,ROW(A1)+803),"")</f>
        <v/>
      </c>
      <c r="G804">
        <f>IF(803&lt;=1000,INDEX($A$2:$A$1001,803),IF(803&lt;=2000,INDEX($B$2:$B$1001,-197),IF(803&lt;=3000,INDEX($C$2:$C$1001,-1197),IF(803&lt;=4000,INDEX($D$2:$D$1001,-2197),IF(803&lt;=5000,INDEX($E$2:$E$1001,-3197),"")))))</f>
        <v/>
      </c>
    </row>
    <row r="805">
      <c r="A805">
        <f>IFERROR(INDEX('[AQ_2020.xlsx]原始数据'!$A:$A,ROW(A1)+804),"")</f>
        <v/>
      </c>
      <c r="B805">
        <f>IFERROR(INDEX('[AQ_2021.xlsx]原始数据'!$A:$A,ROW(A1)+804),"")</f>
        <v/>
      </c>
      <c r="C805">
        <f>IFERROR(INDEX('[AQ_2022.xlsx]原始数据'!$A:$A,ROW(A1)+804),"")</f>
        <v/>
      </c>
      <c r="D805">
        <f>IFERROR(INDEX('[AQ_2023.xlsx]原始数据'!$A:$A,ROW(A1)+804),"")</f>
        <v/>
      </c>
      <c r="E805">
        <f>IFERROR(INDEX('[AQ_2024.xlsx]原始数据'!$A:$A,ROW(A1)+804),"")</f>
        <v/>
      </c>
      <c r="G805">
        <f>IF(804&lt;=1000,INDEX($A$2:$A$1001,804),IF(804&lt;=2000,INDEX($B$2:$B$1001,-196),IF(804&lt;=3000,INDEX($C$2:$C$1001,-1196),IF(804&lt;=4000,INDEX($D$2:$D$1001,-2196),IF(804&lt;=5000,INDEX($E$2:$E$1001,-3196),"")))))</f>
        <v/>
      </c>
    </row>
    <row r="806">
      <c r="A806">
        <f>IFERROR(INDEX('[AQ_2020.xlsx]原始数据'!$A:$A,ROW(A1)+805),"")</f>
        <v/>
      </c>
      <c r="B806">
        <f>IFERROR(INDEX('[AQ_2021.xlsx]原始数据'!$A:$A,ROW(A1)+805),"")</f>
        <v/>
      </c>
      <c r="C806">
        <f>IFERROR(INDEX('[AQ_2022.xlsx]原始数据'!$A:$A,ROW(A1)+805),"")</f>
        <v/>
      </c>
      <c r="D806">
        <f>IFERROR(INDEX('[AQ_2023.xlsx]原始数据'!$A:$A,ROW(A1)+805),"")</f>
        <v/>
      </c>
      <c r="E806">
        <f>IFERROR(INDEX('[AQ_2024.xlsx]原始数据'!$A:$A,ROW(A1)+805),"")</f>
        <v/>
      </c>
      <c r="G806">
        <f>IF(805&lt;=1000,INDEX($A$2:$A$1001,805),IF(805&lt;=2000,INDEX($B$2:$B$1001,-195),IF(805&lt;=3000,INDEX($C$2:$C$1001,-1195),IF(805&lt;=4000,INDEX($D$2:$D$1001,-2195),IF(805&lt;=5000,INDEX($E$2:$E$1001,-3195),"")))))</f>
        <v/>
      </c>
    </row>
    <row r="807">
      <c r="A807">
        <f>IFERROR(INDEX('[AQ_2020.xlsx]原始数据'!$A:$A,ROW(A1)+806),"")</f>
        <v/>
      </c>
      <c r="B807">
        <f>IFERROR(INDEX('[AQ_2021.xlsx]原始数据'!$A:$A,ROW(A1)+806),"")</f>
        <v/>
      </c>
      <c r="C807">
        <f>IFERROR(INDEX('[AQ_2022.xlsx]原始数据'!$A:$A,ROW(A1)+806),"")</f>
        <v/>
      </c>
      <c r="D807">
        <f>IFERROR(INDEX('[AQ_2023.xlsx]原始数据'!$A:$A,ROW(A1)+806),"")</f>
        <v/>
      </c>
      <c r="E807">
        <f>IFERROR(INDEX('[AQ_2024.xlsx]原始数据'!$A:$A,ROW(A1)+806),"")</f>
        <v/>
      </c>
      <c r="G807">
        <f>IF(806&lt;=1000,INDEX($A$2:$A$1001,806),IF(806&lt;=2000,INDEX($B$2:$B$1001,-194),IF(806&lt;=3000,INDEX($C$2:$C$1001,-1194),IF(806&lt;=4000,INDEX($D$2:$D$1001,-2194),IF(806&lt;=5000,INDEX($E$2:$E$1001,-3194),"")))))</f>
        <v/>
      </c>
    </row>
    <row r="808">
      <c r="A808">
        <f>IFERROR(INDEX('[AQ_2020.xlsx]原始数据'!$A:$A,ROW(A1)+807),"")</f>
        <v/>
      </c>
      <c r="B808">
        <f>IFERROR(INDEX('[AQ_2021.xlsx]原始数据'!$A:$A,ROW(A1)+807),"")</f>
        <v/>
      </c>
      <c r="C808">
        <f>IFERROR(INDEX('[AQ_2022.xlsx]原始数据'!$A:$A,ROW(A1)+807),"")</f>
        <v/>
      </c>
      <c r="D808">
        <f>IFERROR(INDEX('[AQ_2023.xlsx]原始数据'!$A:$A,ROW(A1)+807),"")</f>
        <v/>
      </c>
      <c r="E808">
        <f>IFERROR(INDEX('[AQ_2024.xlsx]原始数据'!$A:$A,ROW(A1)+807),"")</f>
        <v/>
      </c>
      <c r="G808">
        <f>IF(807&lt;=1000,INDEX($A$2:$A$1001,807),IF(807&lt;=2000,INDEX($B$2:$B$1001,-193),IF(807&lt;=3000,INDEX($C$2:$C$1001,-1193),IF(807&lt;=4000,INDEX($D$2:$D$1001,-2193),IF(807&lt;=5000,INDEX($E$2:$E$1001,-3193),"")))))</f>
        <v/>
      </c>
    </row>
    <row r="809">
      <c r="A809">
        <f>IFERROR(INDEX('[AQ_2020.xlsx]原始数据'!$A:$A,ROW(A1)+808),"")</f>
        <v/>
      </c>
      <c r="B809">
        <f>IFERROR(INDEX('[AQ_2021.xlsx]原始数据'!$A:$A,ROW(A1)+808),"")</f>
        <v/>
      </c>
      <c r="C809">
        <f>IFERROR(INDEX('[AQ_2022.xlsx]原始数据'!$A:$A,ROW(A1)+808),"")</f>
        <v/>
      </c>
      <c r="D809">
        <f>IFERROR(INDEX('[AQ_2023.xlsx]原始数据'!$A:$A,ROW(A1)+808),"")</f>
        <v/>
      </c>
      <c r="E809">
        <f>IFERROR(INDEX('[AQ_2024.xlsx]原始数据'!$A:$A,ROW(A1)+808),"")</f>
        <v/>
      </c>
      <c r="G809">
        <f>IF(808&lt;=1000,INDEX($A$2:$A$1001,808),IF(808&lt;=2000,INDEX($B$2:$B$1001,-192),IF(808&lt;=3000,INDEX($C$2:$C$1001,-1192),IF(808&lt;=4000,INDEX($D$2:$D$1001,-2192),IF(808&lt;=5000,INDEX($E$2:$E$1001,-3192),"")))))</f>
        <v/>
      </c>
    </row>
    <row r="810">
      <c r="A810">
        <f>IFERROR(INDEX('[AQ_2020.xlsx]原始数据'!$A:$A,ROW(A1)+809),"")</f>
        <v/>
      </c>
      <c r="B810">
        <f>IFERROR(INDEX('[AQ_2021.xlsx]原始数据'!$A:$A,ROW(A1)+809),"")</f>
        <v/>
      </c>
      <c r="C810">
        <f>IFERROR(INDEX('[AQ_2022.xlsx]原始数据'!$A:$A,ROW(A1)+809),"")</f>
        <v/>
      </c>
      <c r="D810">
        <f>IFERROR(INDEX('[AQ_2023.xlsx]原始数据'!$A:$A,ROW(A1)+809),"")</f>
        <v/>
      </c>
      <c r="E810">
        <f>IFERROR(INDEX('[AQ_2024.xlsx]原始数据'!$A:$A,ROW(A1)+809),"")</f>
        <v/>
      </c>
      <c r="G810">
        <f>IF(809&lt;=1000,INDEX($A$2:$A$1001,809),IF(809&lt;=2000,INDEX($B$2:$B$1001,-191),IF(809&lt;=3000,INDEX($C$2:$C$1001,-1191),IF(809&lt;=4000,INDEX($D$2:$D$1001,-2191),IF(809&lt;=5000,INDEX($E$2:$E$1001,-3191),"")))))</f>
        <v/>
      </c>
    </row>
    <row r="811">
      <c r="A811">
        <f>IFERROR(INDEX('[AQ_2020.xlsx]原始数据'!$A:$A,ROW(A1)+810),"")</f>
        <v/>
      </c>
      <c r="B811">
        <f>IFERROR(INDEX('[AQ_2021.xlsx]原始数据'!$A:$A,ROW(A1)+810),"")</f>
        <v/>
      </c>
      <c r="C811">
        <f>IFERROR(INDEX('[AQ_2022.xlsx]原始数据'!$A:$A,ROW(A1)+810),"")</f>
        <v/>
      </c>
      <c r="D811">
        <f>IFERROR(INDEX('[AQ_2023.xlsx]原始数据'!$A:$A,ROW(A1)+810),"")</f>
        <v/>
      </c>
      <c r="E811">
        <f>IFERROR(INDEX('[AQ_2024.xlsx]原始数据'!$A:$A,ROW(A1)+810),"")</f>
        <v/>
      </c>
      <c r="G811">
        <f>IF(810&lt;=1000,INDEX($A$2:$A$1001,810),IF(810&lt;=2000,INDEX($B$2:$B$1001,-190),IF(810&lt;=3000,INDEX($C$2:$C$1001,-1190),IF(810&lt;=4000,INDEX($D$2:$D$1001,-2190),IF(810&lt;=5000,INDEX($E$2:$E$1001,-3190),"")))))</f>
        <v/>
      </c>
    </row>
    <row r="812">
      <c r="A812">
        <f>IFERROR(INDEX('[AQ_2020.xlsx]原始数据'!$A:$A,ROW(A1)+811),"")</f>
        <v/>
      </c>
      <c r="B812">
        <f>IFERROR(INDEX('[AQ_2021.xlsx]原始数据'!$A:$A,ROW(A1)+811),"")</f>
        <v/>
      </c>
      <c r="C812">
        <f>IFERROR(INDEX('[AQ_2022.xlsx]原始数据'!$A:$A,ROW(A1)+811),"")</f>
        <v/>
      </c>
      <c r="D812">
        <f>IFERROR(INDEX('[AQ_2023.xlsx]原始数据'!$A:$A,ROW(A1)+811),"")</f>
        <v/>
      </c>
      <c r="E812">
        <f>IFERROR(INDEX('[AQ_2024.xlsx]原始数据'!$A:$A,ROW(A1)+811),"")</f>
        <v/>
      </c>
      <c r="G812">
        <f>IF(811&lt;=1000,INDEX($A$2:$A$1001,811),IF(811&lt;=2000,INDEX($B$2:$B$1001,-189),IF(811&lt;=3000,INDEX($C$2:$C$1001,-1189),IF(811&lt;=4000,INDEX($D$2:$D$1001,-2189),IF(811&lt;=5000,INDEX($E$2:$E$1001,-3189),"")))))</f>
        <v/>
      </c>
    </row>
    <row r="813">
      <c r="A813">
        <f>IFERROR(INDEX('[AQ_2020.xlsx]原始数据'!$A:$A,ROW(A1)+812),"")</f>
        <v/>
      </c>
      <c r="B813">
        <f>IFERROR(INDEX('[AQ_2021.xlsx]原始数据'!$A:$A,ROW(A1)+812),"")</f>
        <v/>
      </c>
      <c r="C813">
        <f>IFERROR(INDEX('[AQ_2022.xlsx]原始数据'!$A:$A,ROW(A1)+812),"")</f>
        <v/>
      </c>
      <c r="D813">
        <f>IFERROR(INDEX('[AQ_2023.xlsx]原始数据'!$A:$A,ROW(A1)+812),"")</f>
        <v/>
      </c>
      <c r="E813">
        <f>IFERROR(INDEX('[AQ_2024.xlsx]原始数据'!$A:$A,ROW(A1)+812),"")</f>
        <v/>
      </c>
      <c r="G813">
        <f>IF(812&lt;=1000,INDEX($A$2:$A$1001,812),IF(812&lt;=2000,INDEX($B$2:$B$1001,-188),IF(812&lt;=3000,INDEX($C$2:$C$1001,-1188),IF(812&lt;=4000,INDEX($D$2:$D$1001,-2188),IF(812&lt;=5000,INDEX($E$2:$E$1001,-3188),"")))))</f>
        <v/>
      </c>
    </row>
    <row r="814">
      <c r="A814">
        <f>IFERROR(INDEX('[AQ_2020.xlsx]原始数据'!$A:$A,ROW(A1)+813),"")</f>
        <v/>
      </c>
      <c r="B814">
        <f>IFERROR(INDEX('[AQ_2021.xlsx]原始数据'!$A:$A,ROW(A1)+813),"")</f>
        <v/>
      </c>
      <c r="C814">
        <f>IFERROR(INDEX('[AQ_2022.xlsx]原始数据'!$A:$A,ROW(A1)+813),"")</f>
        <v/>
      </c>
      <c r="D814">
        <f>IFERROR(INDEX('[AQ_2023.xlsx]原始数据'!$A:$A,ROW(A1)+813),"")</f>
        <v/>
      </c>
      <c r="E814">
        <f>IFERROR(INDEX('[AQ_2024.xlsx]原始数据'!$A:$A,ROW(A1)+813),"")</f>
        <v/>
      </c>
      <c r="G814">
        <f>IF(813&lt;=1000,INDEX($A$2:$A$1001,813),IF(813&lt;=2000,INDEX($B$2:$B$1001,-187),IF(813&lt;=3000,INDEX($C$2:$C$1001,-1187),IF(813&lt;=4000,INDEX($D$2:$D$1001,-2187),IF(813&lt;=5000,INDEX($E$2:$E$1001,-3187),"")))))</f>
        <v/>
      </c>
    </row>
    <row r="815">
      <c r="A815">
        <f>IFERROR(INDEX('[AQ_2020.xlsx]原始数据'!$A:$A,ROW(A1)+814),"")</f>
        <v/>
      </c>
      <c r="B815">
        <f>IFERROR(INDEX('[AQ_2021.xlsx]原始数据'!$A:$A,ROW(A1)+814),"")</f>
        <v/>
      </c>
      <c r="C815">
        <f>IFERROR(INDEX('[AQ_2022.xlsx]原始数据'!$A:$A,ROW(A1)+814),"")</f>
        <v/>
      </c>
      <c r="D815">
        <f>IFERROR(INDEX('[AQ_2023.xlsx]原始数据'!$A:$A,ROW(A1)+814),"")</f>
        <v/>
      </c>
      <c r="E815">
        <f>IFERROR(INDEX('[AQ_2024.xlsx]原始数据'!$A:$A,ROW(A1)+814),"")</f>
        <v/>
      </c>
      <c r="G815">
        <f>IF(814&lt;=1000,INDEX($A$2:$A$1001,814),IF(814&lt;=2000,INDEX($B$2:$B$1001,-186),IF(814&lt;=3000,INDEX($C$2:$C$1001,-1186),IF(814&lt;=4000,INDEX($D$2:$D$1001,-2186),IF(814&lt;=5000,INDEX($E$2:$E$1001,-3186),"")))))</f>
        <v/>
      </c>
    </row>
    <row r="816">
      <c r="A816">
        <f>IFERROR(INDEX('[AQ_2020.xlsx]原始数据'!$A:$A,ROW(A1)+815),"")</f>
        <v/>
      </c>
      <c r="B816">
        <f>IFERROR(INDEX('[AQ_2021.xlsx]原始数据'!$A:$A,ROW(A1)+815),"")</f>
        <v/>
      </c>
      <c r="C816">
        <f>IFERROR(INDEX('[AQ_2022.xlsx]原始数据'!$A:$A,ROW(A1)+815),"")</f>
        <v/>
      </c>
      <c r="D816">
        <f>IFERROR(INDEX('[AQ_2023.xlsx]原始数据'!$A:$A,ROW(A1)+815),"")</f>
        <v/>
      </c>
      <c r="E816">
        <f>IFERROR(INDEX('[AQ_2024.xlsx]原始数据'!$A:$A,ROW(A1)+815),"")</f>
        <v/>
      </c>
      <c r="G816">
        <f>IF(815&lt;=1000,INDEX($A$2:$A$1001,815),IF(815&lt;=2000,INDEX($B$2:$B$1001,-185),IF(815&lt;=3000,INDEX($C$2:$C$1001,-1185),IF(815&lt;=4000,INDEX($D$2:$D$1001,-2185),IF(815&lt;=5000,INDEX($E$2:$E$1001,-3185),"")))))</f>
        <v/>
      </c>
    </row>
    <row r="817">
      <c r="A817">
        <f>IFERROR(INDEX('[AQ_2020.xlsx]原始数据'!$A:$A,ROW(A1)+816),"")</f>
        <v/>
      </c>
      <c r="B817">
        <f>IFERROR(INDEX('[AQ_2021.xlsx]原始数据'!$A:$A,ROW(A1)+816),"")</f>
        <v/>
      </c>
      <c r="C817">
        <f>IFERROR(INDEX('[AQ_2022.xlsx]原始数据'!$A:$A,ROW(A1)+816),"")</f>
        <v/>
      </c>
      <c r="D817">
        <f>IFERROR(INDEX('[AQ_2023.xlsx]原始数据'!$A:$A,ROW(A1)+816),"")</f>
        <v/>
      </c>
      <c r="E817">
        <f>IFERROR(INDEX('[AQ_2024.xlsx]原始数据'!$A:$A,ROW(A1)+816),"")</f>
        <v/>
      </c>
      <c r="G817">
        <f>IF(816&lt;=1000,INDEX($A$2:$A$1001,816),IF(816&lt;=2000,INDEX($B$2:$B$1001,-184),IF(816&lt;=3000,INDEX($C$2:$C$1001,-1184),IF(816&lt;=4000,INDEX($D$2:$D$1001,-2184),IF(816&lt;=5000,INDEX($E$2:$E$1001,-3184),"")))))</f>
        <v/>
      </c>
    </row>
    <row r="818">
      <c r="A818">
        <f>IFERROR(INDEX('[AQ_2020.xlsx]原始数据'!$A:$A,ROW(A1)+817),"")</f>
        <v/>
      </c>
      <c r="B818">
        <f>IFERROR(INDEX('[AQ_2021.xlsx]原始数据'!$A:$A,ROW(A1)+817),"")</f>
        <v/>
      </c>
      <c r="C818">
        <f>IFERROR(INDEX('[AQ_2022.xlsx]原始数据'!$A:$A,ROW(A1)+817),"")</f>
        <v/>
      </c>
      <c r="D818">
        <f>IFERROR(INDEX('[AQ_2023.xlsx]原始数据'!$A:$A,ROW(A1)+817),"")</f>
        <v/>
      </c>
      <c r="E818">
        <f>IFERROR(INDEX('[AQ_2024.xlsx]原始数据'!$A:$A,ROW(A1)+817),"")</f>
        <v/>
      </c>
      <c r="G818">
        <f>IF(817&lt;=1000,INDEX($A$2:$A$1001,817),IF(817&lt;=2000,INDEX($B$2:$B$1001,-183),IF(817&lt;=3000,INDEX($C$2:$C$1001,-1183),IF(817&lt;=4000,INDEX($D$2:$D$1001,-2183),IF(817&lt;=5000,INDEX($E$2:$E$1001,-3183),"")))))</f>
        <v/>
      </c>
    </row>
    <row r="819">
      <c r="A819">
        <f>IFERROR(INDEX('[AQ_2020.xlsx]原始数据'!$A:$A,ROW(A1)+818),"")</f>
        <v/>
      </c>
      <c r="B819">
        <f>IFERROR(INDEX('[AQ_2021.xlsx]原始数据'!$A:$A,ROW(A1)+818),"")</f>
        <v/>
      </c>
      <c r="C819">
        <f>IFERROR(INDEX('[AQ_2022.xlsx]原始数据'!$A:$A,ROW(A1)+818),"")</f>
        <v/>
      </c>
      <c r="D819">
        <f>IFERROR(INDEX('[AQ_2023.xlsx]原始数据'!$A:$A,ROW(A1)+818),"")</f>
        <v/>
      </c>
      <c r="E819">
        <f>IFERROR(INDEX('[AQ_2024.xlsx]原始数据'!$A:$A,ROW(A1)+818),"")</f>
        <v/>
      </c>
      <c r="G819">
        <f>IF(818&lt;=1000,INDEX($A$2:$A$1001,818),IF(818&lt;=2000,INDEX($B$2:$B$1001,-182),IF(818&lt;=3000,INDEX($C$2:$C$1001,-1182),IF(818&lt;=4000,INDEX($D$2:$D$1001,-2182),IF(818&lt;=5000,INDEX($E$2:$E$1001,-3182),"")))))</f>
        <v/>
      </c>
    </row>
    <row r="820">
      <c r="A820">
        <f>IFERROR(INDEX('[AQ_2020.xlsx]原始数据'!$A:$A,ROW(A1)+819),"")</f>
        <v/>
      </c>
      <c r="B820">
        <f>IFERROR(INDEX('[AQ_2021.xlsx]原始数据'!$A:$A,ROW(A1)+819),"")</f>
        <v/>
      </c>
      <c r="C820">
        <f>IFERROR(INDEX('[AQ_2022.xlsx]原始数据'!$A:$A,ROW(A1)+819),"")</f>
        <v/>
      </c>
      <c r="D820">
        <f>IFERROR(INDEX('[AQ_2023.xlsx]原始数据'!$A:$A,ROW(A1)+819),"")</f>
        <v/>
      </c>
      <c r="E820">
        <f>IFERROR(INDEX('[AQ_2024.xlsx]原始数据'!$A:$A,ROW(A1)+819),"")</f>
        <v/>
      </c>
      <c r="G820">
        <f>IF(819&lt;=1000,INDEX($A$2:$A$1001,819),IF(819&lt;=2000,INDEX($B$2:$B$1001,-181),IF(819&lt;=3000,INDEX($C$2:$C$1001,-1181),IF(819&lt;=4000,INDEX($D$2:$D$1001,-2181),IF(819&lt;=5000,INDEX($E$2:$E$1001,-3181),"")))))</f>
        <v/>
      </c>
    </row>
    <row r="821">
      <c r="A821">
        <f>IFERROR(INDEX('[AQ_2020.xlsx]原始数据'!$A:$A,ROW(A1)+820),"")</f>
        <v/>
      </c>
      <c r="B821">
        <f>IFERROR(INDEX('[AQ_2021.xlsx]原始数据'!$A:$A,ROW(A1)+820),"")</f>
        <v/>
      </c>
      <c r="C821">
        <f>IFERROR(INDEX('[AQ_2022.xlsx]原始数据'!$A:$A,ROW(A1)+820),"")</f>
        <v/>
      </c>
      <c r="D821">
        <f>IFERROR(INDEX('[AQ_2023.xlsx]原始数据'!$A:$A,ROW(A1)+820),"")</f>
        <v/>
      </c>
      <c r="E821">
        <f>IFERROR(INDEX('[AQ_2024.xlsx]原始数据'!$A:$A,ROW(A1)+820),"")</f>
        <v/>
      </c>
      <c r="G821">
        <f>IF(820&lt;=1000,INDEX($A$2:$A$1001,820),IF(820&lt;=2000,INDEX($B$2:$B$1001,-180),IF(820&lt;=3000,INDEX($C$2:$C$1001,-1180),IF(820&lt;=4000,INDEX($D$2:$D$1001,-2180),IF(820&lt;=5000,INDEX($E$2:$E$1001,-3180),"")))))</f>
        <v/>
      </c>
    </row>
    <row r="822">
      <c r="A822">
        <f>IFERROR(INDEX('[AQ_2020.xlsx]原始数据'!$A:$A,ROW(A1)+821),"")</f>
        <v/>
      </c>
      <c r="B822">
        <f>IFERROR(INDEX('[AQ_2021.xlsx]原始数据'!$A:$A,ROW(A1)+821),"")</f>
        <v/>
      </c>
      <c r="C822">
        <f>IFERROR(INDEX('[AQ_2022.xlsx]原始数据'!$A:$A,ROW(A1)+821),"")</f>
        <v/>
      </c>
      <c r="D822">
        <f>IFERROR(INDEX('[AQ_2023.xlsx]原始数据'!$A:$A,ROW(A1)+821),"")</f>
        <v/>
      </c>
      <c r="E822">
        <f>IFERROR(INDEX('[AQ_2024.xlsx]原始数据'!$A:$A,ROW(A1)+821),"")</f>
        <v/>
      </c>
      <c r="G822">
        <f>IF(821&lt;=1000,INDEX($A$2:$A$1001,821),IF(821&lt;=2000,INDEX($B$2:$B$1001,-179),IF(821&lt;=3000,INDEX($C$2:$C$1001,-1179),IF(821&lt;=4000,INDEX($D$2:$D$1001,-2179),IF(821&lt;=5000,INDEX($E$2:$E$1001,-3179),"")))))</f>
        <v/>
      </c>
    </row>
    <row r="823">
      <c r="A823">
        <f>IFERROR(INDEX('[AQ_2020.xlsx]原始数据'!$A:$A,ROW(A1)+822),"")</f>
        <v/>
      </c>
      <c r="B823">
        <f>IFERROR(INDEX('[AQ_2021.xlsx]原始数据'!$A:$A,ROW(A1)+822),"")</f>
        <v/>
      </c>
      <c r="C823">
        <f>IFERROR(INDEX('[AQ_2022.xlsx]原始数据'!$A:$A,ROW(A1)+822),"")</f>
        <v/>
      </c>
      <c r="D823">
        <f>IFERROR(INDEX('[AQ_2023.xlsx]原始数据'!$A:$A,ROW(A1)+822),"")</f>
        <v/>
      </c>
      <c r="E823">
        <f>IFERROR(INDEX('[AQ_2024.xlsx]原始数据'!$A:$A,ROW(A1)+822),"")</f>
        <v/>
      </c>
      <c r="G823">
        <f>IF(822&lt;=1000,INDEX($A$2:$A$1001,822),IF(822&lt;=2000,INDEX($B$2:$B$1001,-178),IF(822&lt;=3000,INDEX($C$2:$C$1001,-1178),IF(822&lt;=4000,INDEX($D$2:$D$1001,-2178),IF(822&lt;=5000,INDEX($E$2:$E$1001,-3178),"")))))</f>
        <v/>
      </c>
    </row>
    <row r="824">
      <c r="A824">
        <f>IFERROR(INDEX('[AQ_2020.xlsx]原始数据'!$A:$A,ROW(A1)+823),"")</f>
        <v/>
      </c>
      <c r="B824">
        <f>IFERROR(INDEX('[AQ_2021.xlsx]原始数据'!$A:$A,ROW(A1)+823),"")</f>
        <v/>
      </c>
      <c r="C824">
        <f>IFERROR(INDEX('[AQ_2022.xlsx]原始数据'!$A:$A,ROW(A1)+823),"")</f>
        <v/>
      </c>
      <c r="D824">
        <f>IFERROR(INDEX('[AQ_2023.xlsx]原始数据'!$A:$A,ROW(A1)+823),"")</f>
        <v/>
      </c>
      <c r="E824">
        <f>IFERROR(INDEX('[AQ_2024.xlsx]原始数据'!$A:$A,ROW(A1)+823),"")</f>
        <v/>
      </c>
      <c r="G824">
        <f>IF(823&lt;=1000,INDEX($A$2:$A$1001,823),IF(823&lt;=2000,INDEX($B$2:$B$1001,-177),IF(823&lt;=3000,INDEX($C$2:$C$1001,-1177),IF(823&lt;=4000,INDEX($D$2:$D$1001,-2177),IF(823&lt;=5000,INDEX($E$2:$E$1001,-3177),"")))))</f>
        <v/>
      </c>
    </row>
    <row r="825">
      <c r="A825">
        <f>IFERROR(INDEX('[AQ_2020.xlsx]原始数据'!$A:$A,ROW(A1)+824),"")</f>
        <v/>
      </c>
      <c r="B825">
        <f>IFERROR(INDEX('[AQ_2021.xlsx]原始数据'!$A:$A,ROW(A1)+824),"")</f>
        <v/>
      </c>
      <c r="C825">
        <f>IFERROR(INDEX('[AQ_2022.xlsx]原始数据'!$A:$A,ROW(A1)+824),"")</f>
        <v/>
      </c>
      <c r="D825">
        <f>IFERROR(INDEX('[AQ_2023.xlsx]原始数据'!$A:$A,ROW(A1)+824),"")</f>
        <v/>
      </c>
      <c r="E825">
        <f>IFERROR(INDEX('[AQ_2024.xlsx]原始数据'!$A:$A,ROW(A1)+824),"")</f>
        <v/>
      </c>
      <c r="G825">
        <f>IF(824&lt;=1000,INDEX($A$2:$A$1001,824),IF(824&lt;=2000,INDEX($B$2:$B$1001,-176),IF(824&lt;=3000,INDEX($C$2:$C$1001,-1176),IF(824&lt;=4000,INDEX($D$2:$D$1001,-2176),IF(824&lt;=5000,INDEX($E$2:$E$1001,-3176),"")))))</f>
        <v/>
      </c>
    </row>
    <row r="826">
      <c r="A826">
        <f>IFERROR(INDEX('[AQ_2020.xlsx]原始数据'!$A:$A,ROW(A1)+825),"")</f>
        <v/>
      </c>
      <c r="B826">
        <f>IFERROR(INDEX('[AQ_2021.xlsx]原始数据'!$A:$A,ROW(A1)+825),"")</f>
        <v/>
      </c>
      <c r="C826">
        <f>IFERROR(INDEX('[AQ_2022.xlsx]原始数据'!$A:$A,ROW(A1)+825),"")</f>
        <v/>
      </c>
      <c r="D826">
        <f>IFERROR(INDEX('[AQ_2023.xlsx]原始数据'!$A:$A,ROW(A1)+825),"")</f>
        <v/>
      </c>
      <c r="E826">
        <f>IFERROR(INDEX('[AQ_2024.xlsx]原始数据'!$A:$A,ROW(A1)+825),"")</f>
        <v/>
      </c>
      <c r="G826">
        <f>IF(825&lt;=1000,INDEX($A$2:$A$1001,825),IF(825&lt;=2000,INDEX($B$2:$B$1001,-175),IF(825&lt;=3000,INDEX($C$2:$C$1001,-1175),IF(825&lt;=4000,INDEX($D$2:$D$1001,-2175),IF(825&lt;=5000,INDEX($E$2:$E$1001,-3175),"")))))</f>
        <v/>
      </c>
    </row>
    <row r="827">
      <c r="A827">
        <f>IFERROR(INDEX('[AQ_2020.xlsx]原始数据'!$A:$A,ROW(A1)+826),"")</f>
        <v/>
      </c>
      <c r="B827">
        <f>IFERROR(INDEX('[AQ_2021.xlsx]原始数据'!$A:$A,ROW(A1)+826),"")</f>
        <v/>
      </c>
      <c r="C827">
        <f>IFERROR(INDEX('[AQ_2022.xlsx]原始数据'!$A:$A,ROW(A1)+826),"")</f>
        <v/>
      </c>
      <c r="D827">
        <f>IFERROR(INDEX('[AQ_2023.xlsx]原始数据'!$A:$A,ROW(A1)+826),"")</f>
        <v/>
      </c>
      <c r="E827">
        <f>IFERROR(INDEX('[AQ_2024.xlsx]原始数据'!$A:$A,ROW(A1)+826),"")</f>
        <v/>
      </c>
      <c r="G827">
        <f>IF(826&lt;=1000,INDEX($A$2:$A$1001,826),IF(826&lt;=2000,INDEX($B$2:$B$1001,-174),IF(826&lt;=3000,INDEX($C$2:$C$1001,-1174),IF(826&lt;=4000,INDEX($D$2:$D$1001,-2174),IF(826&lt;=5000,INDEX($E$2:$E$1001,-3174),"")))))</f>
        <v/>
      </c>
    </row>
    <row r="828">
      <c r="A828">
        <f>IFERROR(INDEX('[AQ_2020.xlsx]原始数据'!$A:$A,ROW(A1)+827),"")</f>
        <v/>
      </c>
      <c r="B828">
        <f>IFERROR(INDEX('[AQ_2021.xlsx]原始数据'!$A:$A,ROW(A1)+827),"")</f>
        <v/>
      </c>
      <c r="C828">
        <f>IFERROR(INDEX('[AQ_2022.xlsx]原始数据'!$A:$A,ROW(A1)+827),"")</f>
        <v/>
      </c>
      <c r="D828">
        <f>IFERROR(INDEX('[AQ_2023.xlsx]原始数据'!$A:$A,ROW(A1)+827),"")</f>
        <v/>
      </c>
      <c r="E828">
        <f>IFERROR(INDEX('[AQ_2024.xlsx]原始数据'!$A:$A,ROW(A1)+827),"")</f>
        <v/>
      </c>
      <c r="G828">
        <f>IF(827&lt;=1000,INDEX($A$2:$A$1001,827),IF(827&lt;=2000,INDEX($B$2:$B$1001,-173),IF(827&lt;=3000,INDEX($C$2:$C$1001,-1173),IF(827&lt;=4000,INDEX($D$2:$D$1001,-2173),IF(827&lt;=5000,INDEX($E$2:$E$1001,-3173),"")))))</f>
        <v/>
      </c>
    </row>
    <row r="829">
      <c r="A829">
        <f>IFERROR(INDEX('[AQ_2020.xlsx]原始数据'!$A:$A,ROW(A1)+828),"")</f>
        <v/>
      </c>
      <c r="B829">
        <f>IFERROR(INDEX('[AQ_2021.xlsx]原始数据'!$A:$A,ROW(A1)+828),"")</f>
        <v/>
      </c>
      <c r="C829">
        <f>IFERROR(INDEX('[AQ_2022.xlsx]原始数据'!$A:$A,ROW(A1)+828),"")</f>
        <v/>
      </c>
      <c r="D829">
        <f>IFERROR(INDEX('[AQ_2023.xlsx]原始数据'!$A:$A,ROW(A1)+828),"")</f>
        <v/>
      </c>
      <c r="E829">
        <f>IFERROR(INDEX('[AQ_2024.xlsx]原始数据'!$A:$A,ROW(A1)+828),"")</f>
        <v/>
      </c>
      <c r="G829">
        <f>IF(828&lt;=1000,INDEX($A$2:$A$1001,828),IF(828&lt;=2000,INDEX($B$2:$B$1001,-172),IF(828&lt;=3000,INDEX($C$2:$C$1001,-1172),IF(828&lt;=4000,INDEX($D$2:$D$1001,-2172),IF(828&lt;=5000,INDEX($E$2:$E$1001,-3172),"")))))</f>
        <v/>
      </c>
    </row>
    <row r="830">
      <c r="A830">
        <f>IFERROR(INDEX('[AQ_2020.xlsx]原始数据'!$A:$A,ROW(A1)+829),"")</f>
        <v/>
      </c>
      <c r="B830">
        <f>IFERROR(INDEX('[AQ_2021.xlsx]原始数据'!$A:$A,ROW(A1)+829),"")</f>
        <v/>
      </c>
      <c r="C830">
        <f>IFERROR(INDEX('[AQ_2022.xlsx]原始数据'!$A:$A,ROW(A1)+829),"")</f>
        <v/>
      </c>
      <c r="D830">
        <f>IFERROR(INDEX('[AQ_2023.xlsx]原始数据'!$A:$A,ROW(A1)+829),"")</f>
        <v/>
      </c>
      <c r="E830">
        <f>IFERROR(INDEX('[AQ_2024.xlsx]原始数据'!$A:$A,ROW(A1)+829),"")</f>
        <v/>
      </c>
      <c r="G830">
        <f>IF(829&lt;=1000,INDEX($A$2:$A$1001,829),IF(829&lt;=2000,INDEX($B$2:$B$1001,-171),IF(829&lt;=3000,INDEX($C$2:$C$1001,-1171),IF(829&lt;=4000,INDEX($D$2:$D$1001,-2171),IF(829&lt;=5000,INDEX($E$2:$E$1001,-3171),"")))))</f>
        <v/>
      </c>
    </row>
    <row r="831">
      <c r="A831">
        <f>IFERROR(INDEX('[AQ_2020.xlsx]原始数据'!$A:$A,ROW(A1)+830),"")</f>
        <v/>
      </c>
      <c r="B831">
        <f>IFERROR(INDEX('[AQ_2021.xlsx]原始数据'!$A:$A,ROW(A1)+830),"")</f>
        <v/>
      </c>
      <c r="C831">
        <f>IFERROR(INDEX('[AQ_2022.xlsx]原始数据'!$A:$A,ROW(A1)+830),"")</f>
        <v/>
      </c>
      <c r="D831">
        <f>IFERROR(INDEX('[AQ_2023.xlsx]原始数据'!$A:$A,ROW(A1)+830),"")</f>
        <v/>
      </c>
      <c r="E831">
        <f>IFERROR(INDEX('[AQ_2024.xlsx]原始数据'!$A:$A,ROW(A1)+830),"")</f>
        <v/>
      </c>
      <c r="G831">
        <f>IF(830&lt;=1000,INDEX($A$2:$A$1001,830),IF(830&lt;=2000,INDEX($B$2:$B$1001,-170),IF(830&lt;=3000,INDEX($C$2:$C$1001,-1170),IF(830&lt;=4000,INDEX($D$2:$D$1001,-2170),IF(830&lt;=5000,INDEX($E$2:$E$1001,-3170),"")))))</f>
        <v/>
      </c>
    </row>
    <row r="832">
      <c r="A832">
        <f>IFERROR(INDEX('[AQ_2020.xlsx]原始数据'!$A:$A,ROW(A1)+831),"")</f>
        <v/>
      </c>
      <c r="B832">
        <f>IFERROR(INDEX('[AQ_2021.xlsx]原始数据'!$A:$A,ROW(A1)+831),"")</f>
        <v/>
      </c>
      <c r="C832">
        <f>IFERROR(INDEX('[AQ_2022.xlsx]原始数据'!$A:$A,ROW(A1)+831),"")</f>
        <v/>
      </c>
      <c r="D832">
        <f>IFERROR(INDEX('[AQ_2023.xlsx]原始数据'!$A:$A,ROW(A1)+831),"")</f>
        <v/>
      </c>
      <c r="E832">
        <f>IFERROR(INDEX('[AQ_2024.xlsx]原始数据'!$A:$A,ROW(A1)+831),"")</f>
        <v/>
      </c>
      <c r="G832">
        <f>IF(831&lt;=1000,INDEX($A$2:$A$1001,831),IF(831&lt;=2000,INDEX($B$2:$B$1001,-169),IF(831&lt;=3000,INDEX($C$2:$C$1001,-1169),IF(831&lt;=4000,INDEX($D$2:$D$1001,-2169),IF(831&lt;=5000,INDEX($E$2:$E$1001,-3169),"")))))</f>
        <v/>
      </c>
    </row>
    <row r="833">
      <c r="A833">
        <f>IFERROR(INDEX('[AQ_2020.xlsx]原始数据'!$A:$A,ROW(A1)+832),"")</f>
        <v/>
      </c>
      <c r="B833">
        <f>IFERROR(INDEX('[AQ_2021.xlsx]原始数据'!$A:$A,ROW(A1)+832),"")</f>
        <v/>
      </c>
      <c r="C833">
        <f>IFERROR(INDEX('[AQ_2022.xlsx]原始数据'!$A:$A,ROW(A1)+832),"")</f>
        <v/>
      </c>
      <c r="D833">
        <f>IFERROR(INDEX('[AQ_2023.xlsx]原始数据'!$A:$A,ROW(A1)+832),"")</f>
        <v/>
      </c>
      <c r="E833">
        <f>IFERROR(INDEX('[AQ_2024.xlsx]原始数据'!$A:$A,ROW(A1)+832),"")</f>
        <v/>
      </c>
      <c r="G833">
        <f>IF(832&lt;=1000,INDEX($A$2:$A$1001,832),IF(832&lt;=2000,INDEX($B$2:$B$1001,-168),IF(832&lt;=3000,INDEX($C$2:$C$1001,-1168),IF(832&lt;=4000,INDEX($D$2:$D$1001,-2168),IF(832&lt;=5000,INDEX($E$2:$E$1001,-3168),"")))))</f>
        <v/>
      </c>
    </row>
    <row r="834">
      <c r="A834">
        <f>IFERROR(INDEX('[AQ_2020.xlsx]原始数据'!$A:$A,ROW(A1)+833),"")</f>
        <v/>
      </c>
      <c r="B834">
        <f>IFERROR(INDEX('[AQ_2021.xlsx]原始数据'!$A:$A,ROW(A1)+833),"")</f>
        <v/>
      </c>
      <c r="C834">
        <f>IFERROR(INDEX('[AQ_2022.xlsx]原始数据'!$A:$A,ROW(A1)+833),"")</f>
        <v/>
      </c>
      <c r="D834">
        <f>IFERROR(INDEX('[AQ_2023.xlsx]原始数据'!$A:$A,ROW(A1)+833),"")</f>
        <v/>
      </c>
      <c r="E834">
        <f>IFERROR(INDEX('[AQ_2024.xlsx]原始数据'!$A:$A,ROW(A1)+833),"")</f>
        <v/>
      </c>
      <c r="G834">
        <f>IF(833&lt;=1000,INDEX($A$2:$A$1001,833),IF(833&lt;=2000,INDEX($B$2:$B$1001,-167),IF(833&lt;=3000,INDEX($C$2:$C$1001,-1167),IF(833&lt;=4000,INDEX($D$2:$D$1001,-2167),IF(833&lt;=5000,INDEX($E$2:$E$1001,-3167),"")))))</f>
        <v/>
      </c>
    </row>
    <row r="835">
      <c r="A835">
        <f>IFERROR(INDEX('[AQ_2020.xlsx]原始数据'!$A:$A,ROW(A1)+834),"")</f>
        <v/>
      </c>
      <c r="B835">
        <f>IFERROR(INDEX('[AQ_2021.xlsx]原始数据'!$A:$A,ROW(A1)+834),"")</f>
        <v/>
      </c>
      <c r="C835">
        <f>IFERROR(INDEX('[AQ_2022.xlsx]原始数据'!$A:$A,ROW(A1)+834),"")</f>
        <v/>
      </c>
      <c r="D835">
        <f>IFERROR(INDEX('[AQ_2023.xlsx]原始数据'!$A:$A,ROW(A1)+834),"")</f>
        <v/>
      </c>
      <c r="E835">
        <f>IFERROR(INDEX('[AQ_2024.xlsx]原始数据'!$A:$A,ROW(A1)+834),"")</f>
        <v/>
      </c>
      <c r="G835">
        <f>IF(834&lt;=1000,INDEX($A$2:$A$1001,834),IF(834&lt;=2000,INDEX($B$2:$B$1001,-166),IF(834&lt;=3000,INDEX($C$2:$C$1001,-1166),IF(834&lt;=4000,INDEX($D$2:$D$1001,-2166),IF(834&lt;=5000,INDEX($E$2:$E$1001,-3166),"")))))</f>
        <v/>
      </c>
    </row>
    <row r="836">
      <c r="A836">
        <f>IFERROR(INDEX('[AQ_2020.xlsx]原始数据'!$A:$A,ROW(A1)+835),"")</f>
        <v/>
      </c>
      <c r="B836">
        <f>IFERROR(INDEX('[AQ_2021.xlsx]原始数据'!$A:$A,ROW(A1)+835),"")</f>
        <v/>
      </c>
      <c r="C836">
        <f>IFERROR(INDEX('[AQ_2022.xlsx]原始数据'!$A:$A,ROW(A1)+835),"")</f>
        <v/>
      </c>
      <c r="D836">
        <f>IFERROR(INDEX('[AQ_2023.xlsx]原始数据'!$A:$A,ROW(A1)+835),"")</f>
        <v/>
      </c>
      <c r="E836">
        <f>IFERROR(INDEX('[AQ_2024.xlsx]原始数据'!$A:$A,ROW(A1)+835),"")</f>
        <v/>
      </c>
      <c r="G836">
        <f>IF(835&lt;=1000,INDEX($A$2:$A$1001,835),IF(835&lt;=2000,INDEX($B$2:$B$1001,-165),IF(835&lt;=3000,INDEX($C$2:$C$1001,-1165),IF(835&lt;=4000,INDEX($D$2:$D$1001,-2165),IF(835&lt;=5000,INDEX($E$2:$E$1001,-3165),"")))))</f>
        <v/>
      </c>
    </row>
    <row r="837">
      <c r="A837">
        <f>IFERROR(INDEX('[AQ_2020.xlsx]原始数据'!$A:$A,ROW(A1)+836),"")</f>
        <v/>
      </c>
      <c r="B837">
        <f>IFERROR(INDEX('[AQ_2021.xlsx]原始数据'!$A:$A,ROW(A1)+836),"")</f>
        <v/>
      </c>
      <c r="C837">
        <f>IFERROR(INDEX('[AQ_2022.xlsx]原始数据'!$A:$A,ROW(A1)+836),"")</f>
        <v/>
      </c>
      <c r="D837">
        <f>IFERROR(INDEX('[AQ_2023.xlsx]原始数据'!$A:$A,ROW(A1)+836),"")</f>
        <v/>
      </c>
      <c r="E837">
        <f>IFERROR(INDEX('[AQ_2024.xlsx]原始数据'!$A:$A,ROW(A1)+836),"")</f>
        <v/>
      </c>
      <c r="G837">
        <f>IF(836&lt;=1000,INDEX($A$2:$A$1001,836),IF(836&lt;=2000,INDEX($B$2:$B$1001,-164),IF(836&lt;=3000,INDEX($C$2:$C$1001,-1164),IF(836&lt;=4000,INDEX($D$2:$D$1001,-2164),IF(836&lt;=5000,INDEX($E$2:$E$1001,-3164),"")))))</f>
        <v/>
      </c>
    </row>
    <row r="838">
      <c r="A838">
        <f>IFERROR(INDEX('[AQ_2020.xlsx]原始数据'!$A:$A,ROW(A1)+837),"")</f>
        <v/>
      </c>
      <c r="B838">
        <f>IFERROR(INDEX('[AQ_2021.xlsx]原始数据'!$A:$A,ROW(A1)+837),"")</f>
        <v/>
      </c>
      <c r="C838">
        <f>IFERROR(INDEX('[AQ_2022.xlsx]原始数据'!$A:$A,ROW(A1)+837),"")</f>
        <v/>
      </c>
      <c r="D838">
        <f>IFERROR(INDEX('[AQ_2023.xlsx]原始数据'!$A:$A,ROW(A1)+837),"")</f>
        <v/>
      </c>
      <c r="E838">
        <f>IFERROR(INDEX('[AQ_2024.xlsx]原始数据'!$A:$A,ROW(A1)+837),"")</f>
        <v/>
      </c>
      <c r="G838">
        <f>IF(837&lt;=1000,INDEX($A$2:$A$1001,837),IF(837&lt;=2000,INDEX($B$2:$B$1001,-163),IF(837&lt;=3000,INDEX($C$2:$C$1001,-1163),IF(837&lt;=4000,INDEX($D$2:$D$1001,-2163),IF(837&lt;=5000,INDEX($E$2:$E$1001,-3163),"")))))</f>
        <v/>
      </c>
    </row>
    <row r="839">
      <c r="A839">
        <f>IFERROR(INDEX('[AQ_2020.xlsx]原始数据'!$A:$A,ROW(A1)+838),"")</f>
        <v/>
      </c>
      <c r="B839">
        <f>IFERROR(INDEX('[AQ_2021.xlsx]原始数据'!$A:$A,ROW(A1)+838),"")</f>
        <v/>
      </c>
      <c r="C839">
        <f>IFERROR(INDEX('[AQ_2022.xlsx]原始数据'!$A:$A,ROW(A1)+838),"")</f>
        <v/>
      </c>
      <c r="D839">
        <f>IFERROR(INDEX('[AQ_2023.xlsx]原始数据'!$A:$A,ROW(A1)+838),"")</f>
        <v/>
      </c>
      <c r="E839">
        <f>IFERROR(INDEX('[AQ_2024.xlsx]原始数据'!$A:$A,ROW(A1)+838),"")</f>
        <v/>
      </c>
      <c r="G839">
        <f>IF(838&lt;=1000,INDEX($A$2:$A$1001,838),IF(838&lt;=2000,INDEX($B$2:$B$1001,-162),IF(838&lt;=3000,INDEX($C$2:$C$1001,-1162),IF(838&lt;=4000,INDEX($D$2:$D$1001,-2162),IF(838&lt;=5000,INDEX($E$2:$E$1001,-3162),"")))))</f>
        <v/>
      </c>
    </row>
    <row r="840">
      <c r="A840">
        <f>IFERROR(INDEX('[AQ_2020.xlsx]原始数据'!$A:$A,ROW(A1)+839),"")</f>
        <v/>
      </c>
      <c r="B840">
        <f>IFERROR(INDEX('[AQ_2021.xlsx]原始数据'!$A:$A,ROW(A1)+839),"")</f>
        <v/>
      </c>
      <c r="C840">
        <f>IFERROR(INDEX('[AQ_2022.xlsx]原始数据'!$A:$A,ROW(A1)+839),"")</f>
        <v/>
      </c>
      <c r="D840">
        <f>IFERROR(INDEX('[AQ_2023.xlsx]原始数据'!$A:$A,ROW(A1)+839),"")</f>
        <v/>
      </c>
      <c r="E840">
        <f>IFERROR(INDEX('[AQ_2024.xlsx]原始数据'!$A:$A,ROW(A1)+839),"")</f>
        <v/>
      </c>
      <c r="G840">
        <f>IF(839&lt;=1000,INDEX($A$2:$A$1001,839),IF(839&lt;=2000,INDEX($B$2:$B$1001,-161),IF(839&lt;=3000,INDEX($C$2:$C$1001,-1161),IF(839&lt;=4000,INDEX($D$2:$D$1001,-2161),IF(839&lt;=5000,INDEX($E$2:$E$1001,-3161),"")))))</f>
        <v/>
      </c>
    </row>
    <row r="841">
      <c r="A841">
        <f>IFERROR(INDEX('[AQ_2020.xlsx]原始数据'!$A:$A,ROW(A1)+840),"")</f>
        <v/>
      </c>
      <c r="B841">
        <f>IFERROR(INDEX('[AQ_2021.xlsx]原始数据'!$A:$A,ROW(A1)+840),"")</f>
        <v/>
      </c>
      <c r="C841">
        <f>IFERROR(INDEX('[AQ_2022.xlsx]原始数据'!$A:$A,ROW(A1)+840),"")</f>
        <v/>
      </c>
      <c r="D841">
        <f>IFERROR(INDEX('[AQ_2023.xlsx]原始数据'!$A:$A,ROW(A1)+840),"")</f>
        <v/>
      </c>
      <c r="E841">
        <f>IFERROR(INDEX('[AQ_2024.xlsx]原始数据'!$A:$A,ROW(A1)+840),"")</f>
        <v/>
      </c>
      <c r="G841">
        <f>IF(840&lt;=1000,INDEX($A$2:$A$1001,840),IF(840&lt;=2000,INDEX($B$2:$B$1001,-160),IF(840&lt;=3000,INDEX($C$2:$C$1001,-1160),IF(840&lt;=4000,INDEX($D$2:$D$1001,-2160),IF(840&lt;=5000,INDEX($E$2:$E$1001,-3160),"")))))</f>
        <v/>
      </c>
    </row>
    <row r="842">
      <c r="A842">
        <f>IFERROR(INDEX('[AQ_2020.xlsx]原始数据'!$A:$A,ROW(A1)+841),"")</f>
        <v/>
      </c>
      <c r="B842">
        <f>IFERROR(INDEX('[AQ_2021.xlsx]原始数据'!$A:$A,ROW(A1)+841),"")</f>
        <v/>
      </c>
      <c r="C842">
        <f>IFERROR(INDEX('[AQ_2022.xlsx]原始数据'!$A:$A,ROW(A1)+841),"")</f>
        <v/>
      </c>
      <c r="D842">
        <f>IFERROR(INDEX('[AQ_2023.xlsx]原始数据'!$A:$A,ROW(A1)+841),"")</f>
        <v/>
      </c>
      <c r="E842">
        <f>IFERROR(INDEX('[AQ_2024.xlsx]原始数据'!$A:$A,ROW(A1)+841),"")</f>
        <v/>
      </c>
      <c r="G842">
        <f>IF(841&lt;=1000,INDEX($A$2:$A$1001,841),IF(841&lt;=2000,INDEX($B$2:$B$1001,-159),IF(841&lt;=3000,INDEX($C$2:$C$1001,-1159),IF(841&lt;=4000,INDEX($D$2:$D$1001,-2159),IF(841&lt;=5000,INDEX($E$2:$E$1001,-3159),"")))))</f>
        <v/>
      </c>
    </row>
    <row r="843">
      <c r="A843">
        <f>IFERROR(INDEX('[AQ_2020.xlsx]原始数据'!$A:$A,ROW(A1)+842),"")</f>
        <v/>
      </c>
      <c r="B843">
        <f>IFERROR(INDEX('[AQ_2021.xlsx]原始数据'!$A:$A,ROW(A1)+842),"")</f>
        <v/>
      </c>
      <c r="C843">
        <f>IFERROR(INDEX('[AQ_2022.xlsx]原始数据'!$A:$A,ROW(A1)+842),"")</f>
        <v/>
      </c>
      <c r="D843">
        <f>IFERROR(INDEX('[AQ_2023.xlsx]原始数据'!$A:$A,ROW(A1)+842),"")</f>
        <v/>
      </c>
      <c r="E843">
        <f>IFERROR(INDEX('[AQ_2024.xlsx]原始数据'!$A:$A,ROW(A1)+842),"")</f>
        <v/>
      </c>
      <c r="G843">
        <f>IF(842&lt;=1000,INDEX($A$2:$A$1001,842),IF(842&lt;=2000,INDEX($B$2:$B$1001,-158),IF(842&lt;=3000,INDEX($C$2:$C$1001,-1158),IF(842&lt;=4000,INDEX($D$2:$D$1001,-2158),IF(842&lt;=5000,INDEX($E$2:$E$1001,-3158),"")))))</f>
        <v/>
      </c>
    </row>
    <row r="844">
      <c r="A844">
        <f>IFERROR(INDEX('[AQ_2020.xlsx]原始数据'!$A:$A,ROW(A1)+843),"")</f>
        <v/>
      </c>
      <c r="B844">
        <f>IFERROR(INDEX('[AQ_2021.xlsx]原始数据'!$A:$A,ROW(A1)+843),"")</f>
        <v/>
      </c>
      <c r="C844">
        <f>IFERROR(INDEX('[AQ_2022.xlsx]原始数据'!$A:$A,ROW(A1)+843),"")</f>
        <v/>
      </c>
      <c r="D844">
        <f>IFERROR(INDEX('[AQ_2023.xlsx]原始数据'!$A:$A,ROW(A1)+843),"")</f>
        <v/>
      </c>
      <c r="E844">
        <f>IFERROR(INDEX('[AQ_2024.xlsx]原始数据'!$A:$A,ROW(A1)+843),"")</f>
        <v/>
      </c>
      <c r="G844">
        <f>IF(843&lt;=1000,INDEX($A$2:$A$1001,843),IF(843&lt;=2000,INDEX($B$2:$B$1001,-157),IF(843&lt;=3000,INDEX($C$2:$C$1001,-1157),IF(843&lt;=4000,INDEX($D$2:$D$1001,-2157),IF(843&lt;=5000,INDEX($E$2:$E$1001,-3157),"")))))</f>
        <v/>
      </c>
    </row>
    <row r="845">
      <c r="A845">
        <f>IFERROR(INDEX('[AQ_2020.xlsx]原始数据'!$A:$A,ROW(A1)+844),"")</f>
        <v/>
      </c>
      <c r="B845">
        <f>IFERROR(INDEX('[AQ_2021.xlsx]原始数据'!$A:$A,ROW(A1)+844),"")</f>
        <v/>
      </c>
      <c r="C845">
        <f>IFERROR(INDEX('[AQ_2022.xlsx]原始数据'!$A:$A,ROW(A1)+844),"")</f>
        <v/>
      </c>
      <c r="D845">
        <f>IFERROR(INDEX('[AQ_2023.xlsx]原始数据'!$A:$A,ROW(A1)+844),"")</f>
        <v/>
      </c>
      <c r="E845">
        <f>IFERROR(INDEX('[AQ_2024.xlsx]原始数据'!$A:$A,ROW(A1)+844),"")</f>
        <v/>
      </c>
      <c r="G845">
        <f>IF(844&lt;=1000,INDEX($A$2:$A$1001,844),IF(844&lt;=2000,INDEX($B$2:$B$1001,-156),IF(844&lt;=3000,INDEX($C$2:$C$1001,-1156),IF(844&lt;=4000,INDEX($D$2:$D$1001,-2156),IF(844&lt;=5000,INDEX($E$2:$E$1001,-3156),"")))))</f>
        <v/>
      </c>
    </row>
    <row r="846">
      <c r="A846">
        <f>IFERROR(INDEX('[AQ_2020.xlsx]原始数据'!$A:$A,ROW(A1)+845),"")</f>
        <v/>
      </c>
      <c r="B846">
        <f>IFERROR(INDEX('[AQ_2021.xlsx]原始数据'!$A:$A,ROW(A1)+845),"")</f>
        <v/>
      </c>
      <c r="C846">
        <f>IFERROR(INDEX('[AQ_2022.xlsx]原始数据'!$A:$A,ROW(A1)+845),"")</f>
        <v/>
      </c>
      <c r="D846">
        <f>IFERROR(INDEX('[AQ_2023.xlsx]原始数据'!$A:$A,ROW(A1)+845),"")</f>
        <v/>
      </c>
      <c r="E846">
        <f>IFERROR(INDEX('[AQ_2024.xlsx]原始数据'!$A:$A,ROW(A1)+845),"")</f>
        <v/>
      </c>
      <c r="G846">
        <f>IF(845&lt;=1000,INDEX($A$2:$A$1001,845),IF(845&lt;=2000,INDEX($B$2:$B$1001,-155),IF(845&lt;=3000,INDEX($C$2:$C$1001,-1155),IF(845&lt;=4000,INDEX($D$2:$D$1001,-2155),IF(845&lt;=5000,INDEX($E$2:$E$1001,-3155),"")))))</f>
        <v/>
      </c>
    </row>
    <row r="847">
      <c r="A847">
        <f>IFERROR(INDEX('[AQ_2020.xlsx]原始数据'!$A:$A,ROW(A1)+846),"")</f>
        <v/>
      </c>
      <c r="B847">
        <f>IFERROR(INDEX('[AQ_2021.xlsx]原始数据'!$A:$A,ROW(A1)+846),"")</f>
        <v/>
      </c>
      <c r="C847">
        <f>IFERROR(INDEX('[AQ_2022.xlsx]原始数据'!$A:$A,ROW(A1)+846),"")</f>
        <v/>
      </c>
      <c r="D847">
        <f>IFERROR(INDEX('[AQ_2023.xlsx]原始数据'!$A:$A,ROW(A1)+846),"")</f>
        <v/>
      </c>
      <c r="E847">
        <f>IFERROR(INDEX('[AQ_2024.xlsx]原始数据'!$A:$A,ROW(A1)+846),"")</f>
        <v/>
      </c>
      <c r="G847">
        <f>IF(846&lt;=1000,INDEX($A$2:$A$1001,846),IF(846&lt;=2000,INDEX($B$2:$B$1001,-154),IF(846&lt;=3000,INDEX($C$2:$C$1001,-1154),IF(846&lt;=4000,INDEX($D$2:$D$1001,-2154),IF(846&lt;=5000,INDEX($E$2:$E$1001,-3154),"")))))</f>
        <v/>
      </c>
    </row>
    <row r="848">
      <c r="A848">
        <f>IFERROR(INDEX('[AQ_2020.xlsx]原始数据'!$A:$A,ROW(A1)+847),"")</f>
        <v/>
      </c>
      <c r="B848">
        <f>IFERROR(INDEX('[AQ_2021.xlsx]原始数据'!$A:$A,ROW(A1)+847),"")</f>
        <v/>
      </c>
      <c r="C848">
        <f>IFERROR(INDEX('[AQ_2022.xlsx]原始数据'!$A:$A,ROW(A1)+847),"")</f>
        <v/>
      </c>
      <c r="D848">
        <f>IFERROR(INDEX('[AQ_2023.xlsx]原始数据'!$A:$A,ROW(A1)+847),"")</f>
        <v/>
      </c>
      <c r="E848">
        <f>IFERROR(INDEX('[AQ_2024.xlsx]原始数据'!$A:$A,ROW(A1)+847),"")</f>
        <v/>
      </c>
      <c r="G848">
        <f>IF(847&lt;=1000,INDEX($A$2:$A$1001,847),IF(847&lt;=2000,INDEX($B$2:$B$1001,-153),IF(847&lt;=3000,INDEX($C$2:$C$1001,-1153),IF(847&lt;=4000,INDEX($D$2:$D$1001,-2153),IF(847&lt;=5000,INDEX($E$2:$E$1001,-3153),"")))))</f>
        <v/>
      </c>
    </row>
    <row r="849">
      <c r="A849">
        <f>IFERROR(INDEX('[AQ_2020.xlsx]原始数据'!$A:$A,ROW(A1)+848),"")</f>
        <v/>
      </c>
      <c r="B849">
        <f>IFERROR(INDEX('[AQ_2021.xlsx]原始数据'!$A:$A,ROW(A1)+848),"")</f>
        <v/>
      </c>
      <c r="C849">
        <f>IFERROR(INDEX('[AQ_2022.xlsx]原始数据'!$A:$A,ROW(A1)+848),"")</f>
        <v/>
      </c>
      <c r="D849">
        <f>IFERROR(INDEX('[AQ_2023.xlsx]原始数据'!$A:$A,ROW(A1)+848),"")</f>
        <v/>
      </c>
      <c r="E849">
        <f>IFERROR(INDEX('[AQ_2024.xlsx]原始数据'!$A:$A,ROW(A1)+848),"")</f>
        <v/>
      </c>
      <c r="G849">
        <f>IF(848&lt;=1000,INDEX($A$2:$A$1001,848),IF(848&lt;=2000,INDEX($B$2:$B$1001,-152),IF(848&lt;=3000,INDEX($C$2:$C$1001,-1152),IF(848&lt;=4000,INDEX($D$2:$D$1001,-2152),IF(848&lt;=5000,INDEX($E$2:$E$1001,-3152),"")))))</f>
        <v/>
      </c>
    </row>
    <row r="850">
      <c r="A850">
        <f>IFERROR(INDEX('[AQ_2020.xlsx]原始数据'!$A:$A,ROW(A1)+849),"")</f>
        <v/>
      </c>
      <c r="B850">
        <f>IFERROR(INDEX('[AQ_2021.xlsx]原始数据'!$A:$A,ROW(A1)+849),"")</f>
        <v/>
      </c>
      <c r="C850">
        <f>IFERROR(INDEX('[AQ_2022.xlsx]原始数据'!$A:$A,ROW(A1)+849),"")</f>
        <v/>
      </c>
      <c r="D850">
        <f>IFERROR(INDEX('[AQ_2023.xlsx]原始数据'!$A:$A,ROW(A1)+849),"")</f>
        <v/>
      </c>
      <c r="E850">
        <f>IFERROR(INDEX('[AQ_2024.xlsx]原始数据'!$A:$A,ROW(A1)+849),"")</f>
        <v/>
      </c>
      <c r="G850">
        <f>IF(849&lt;=1000,INDEX($A$2:$A$1001,849),IF(849&lt;=2000,INDEX($B$2:$B$1001,-151),IF(849&lt;=3000,INDEX($C$2:$C$1001,-1151),IF(849&lt;=4000,INDEX($D$2:$D$1001,-2151),IF(849&lt;=5000,INDEX($E$2:$E$1001,-3151),"")))))</f>
        <v/>
      </c>
    </row>
    <row r="851">
      <c r="A851">
        <f>IFERROR(INDEX('[AQ_2020.xlsx]原始数据'!$A:$A,ROW(A1)+850),"")</f>
        <v/>
      </c>
      <c r="B851">
        <f>IFERROR(INDEX('[AQ_2021.xlsx]原始数据'!$A:$A,ROW(A1)+850),"")</f>
        <v/>
      </c>
      <c r="C851">
        <f>IFERROR(INDEX('[AQ_2022.xlsx]原始数据'!$A:$A,ROW(A1)+850),"")</f>
        <v/>
      </c>
      <c r="D851">
        <f>IFERROR(INDEX('[AQ_2023.xlsx]原始数据'!$A:$A,ROW(A1)+850),"")</f>
        <v/>
      </c>
      <c r="E851">
        <f>IFERROR(INDEX('[AQ_2024.xlsx]原始数据'!$A:$A,ROW(A1)+850),"")</f>
        <v/>
      </c>
      <c r="G851">
        <f>IF(850&lt;=1000,INDEX($A$2:$A$1001,850),IF(850&lt;=2000,INDEX($B$2:$B$1001,-150),IF(850&lt;=3000,INDEX($C$2:$C$1001,-1150),IF(850&lt;=4000,INDEX($D$2:$D$1001,-2150),IF(850&lt;=5000,INDEX($E$2:$E$1001,-3150),"")))))</f>
        <v/>
      </c>
    </row>
    <row r="852">
      <c r="A852">
        <f>IFERROR(INDEX('[AQ_2020.xlsx]原始数据'!$A:$A,ROW(A1)+851),"")</f>
        <v/>
      </c>
      <c r="B852">
        <f>IFERROR(INDEX('[AQ_2021.xlsx]原始数据'!$A:$A,ROW(A1)+851),"")</f>
        <v/>
      </c>
      <c r="C852">
        <f>IFERROR(INDEX('[AQ_2022.xlsx]原始数据'!$A:$A,ROW(A1)+851),"")</f>
        <v/>
      </c>
      <c r="D852">
        <f>IFERROR(INDEX('[AQ_2023.xlsx]原始数据'!$A:$A,ROW(A1)+851),"")</f>
        <v/>
      </c>
      <c r="E852">
        <f>IFERROR(INDEX('[AQ_2024.xlsx]原始数据'!$A:$A,ROW(A1)+851),"")</f>
        <v/>
      </c>
      <c r="G852">
        <f>IF(851&lt;=1000,INDEX($A$2:$A$1001,851),IF(851&lt;=2000,INDEX($B$2:$B$1001,-149),IF(851&lt;=3000,INDEX($C$2:$C$1001,-1149),IF(851&lt;=4000,INDEX($D$2:$D$1001,-2149),IF(851&lt;=5000,INDEX($E$2:$E$1001,-3149),"")))))</f>
        <v/>
      </c>
    </row>
    <row r="853">
      <c r="A853">
        <f>IFERROR(INDEX('[AQ_2020.xlsx]原始数据'!$A:$A,ROW(A1)+852),"")</f>
        <v/>
      </c>
      <c r="B853">
        <f>IFERROR(INDEX('[AQ_2021.xlsx]原始数据'!$A:$A,ROW(A1)+852),"")</f>
        <v/>
      </c>
      <c r="C853">
        <f>IFERROR(INDEX('[AQ_2022.xlsx]原始数据'!$A:$A,ROW(A1)+852),"")</f>
        <v/>
      </c>
      <c r="D853">
        <f>IFERROR(INDEX('[AQ_2023.xlsx]原始数据'!$A:$A,ROW(A1)+852),"")</f>
        <v/>
      </c>
      <c r="E853">
        <f>IFERROR(INDEX('[AQ_2024.xlsx]原始数据'!$A:$A,ROW(A1)+852),"")</f>
        <v/>
      </c>
      <c r="G853">
        <f>IF(852&lt;=1000,INDEX($A$2:$A$1001,852),IF(852&lt;=2000,INDEX($B$2:$B$1001,-148),IF(852&lt;=3000,INDEX($C$2:$C$1001,-1148),IF(852&lt;=4000,INDEX($D$2:$D$1001,-2148),IF(852&lt;=5000,INDEX($E$2:$E$1001,-3148),"")))))</f>
        <v/>
      </c>
    </row>
    <row r="854">
      <c r="A854">
        <f>IFERROR(INDEX('[AQ_2020.xlsx]原始数据'!$A:$A,ROW(A1)+853),"")</f>
        <v/>
      </c>
      <c r="B854">
        <f>IFERROR(INDEX('[AQ_2021.xlsx]原始数据'!$A:$A,ROW(A1)+853),"")</f>
        <v/>
      </c>
      <c r="C854">
        <f>IFERROR(INDEX('[AQ_2022.xlsx]原始数据'!$A:$A,ROW(A1)+853),"")</f>
        <v/>
      </c>
      <c r="D854">
        <f>IFERROR(INDEX('[AQ_2023.xlsx]原始数据'!$A:$A,ROW(A1)+853),"")</f>
        <v/>
      </c>
      <c r="E854">
        <f>IFERROR(INDEX('[AQ_2024.xlsx]原始数据'!$A:$A,ROW(A1)+853),"")</f>
        <v/>
      </c>
      <c r="G854">
        <f>IF(853&lt;=1000,INDEX($A$2:$A$1001,853),IF(853&lt;=2000,INDEX($B$2:$B$1001,-147),IF(853&lt;=3000,INDEX($C$2:$C$1001,-1147),IF(853&lt;=4000,INDEX($D$2:$D$1001,-2147),IF(853&lt;=5000,INDEX($E$2:$E$1001,-3147),"")))))</f>
        <v/>
      </c>
    </row>
    <row r="855">
      <c r="A855">
        <f>IFERROR(INDEX('[AQ_2020.xlsx]原始数据'!$A:$A,ROW(A1)+854),"")</f>
        <v/>
      </c>
      <c r="B855">
        <f>IFERROR(INDEX('[AQ_2021.xlsx]原始数据'!$A:$A,ROW(A1)+854),"")</f>
        <v/>
      </c>
      <c r="C855">
        <f>IFERROR(INDEX('[AQ_2022.xlsx]原始数据'!$A:$A,ROW(A1)+854),"")</f>
        <v/>
      </c>
      <c r="D855">
        <f>IFERROR(INDEX('[AQ_2023.xlsx]原始数据'!$A:$A,ROW(A1)+854),"")</f>
        <v/>
      </c>
      <c r="E855">
        <f>IFERROR(INDEX('[AQ_2024.xlsx]原始数据'!$A:$A,ROW(A1)+854),"")</f>
        <v/>
      </c>
      <c r="G855">
        <f>IF(854&lt;=1000,INDEX($A$2:$A$1001,854),IF(854&lt;=2000,INDEX($B$2:$B$1001,-146),IF(854&lt;=3000,INDEX($C$2:$C$1001,-1146),IF(854&lt;=4000,INDEX($D$2:$D$1001,-2146),IF(854&lt;=5000,INDEX($E$2:$E$1001,-3146),"")))))</f>
        <v/>
      </c>
    </row>
    <row r="856">
      <c r="A856">
        <f>IFERROR(INDEX('[AQ_2020.xlsx]原始数据'!$A:$A,ROW(A1)+855),"")</f>
        <v/>
      </c>
      <c r="B856">
        <f>IFERROR(INDEX('[AQ_2021.xlsx]原始数据'!$A:$A,ROW(A1)+855),"")</f>
        <v/>
      </c>
      <c r="C856">
        <f>IFERROR(INDEX('[AQ_2022.xlsx]原始数据'!$A:$A,ROW(A1)+855),"")</f>
        <v/>
      </c>
      <c r="D856">
        <f>IFERROR(INDEX('[AQ_2023.xlsx]原始数据'!$A:$A,ROW(A1)+855),"")</f>
        <v/>
      </c>
      <c r="E856">
        <f>IFERROR(INDEX('[AQ_2024.xlsx]原始数据'!$A:$A,ROW(A1)+855),"")</f>
        <v/>
      </c>
      <c r="G856">
        <f>IF(855&lt;=1000,INDEX($A$2:$A$1001,855),IF(855&lt;=2000,INDEX($B$2:$B$1001,-145),IF(855&lt;=3000,INDEX($C$2:$C$1001,-1145),IF(855&lt;=4000,INDEX($D$2:$D$1001,-2145),IF(855&lt;=5000,INDEX($E$2:$E$1001,-3145),"")))))</f>
        <v/>
      </c>
    </row>
    <row r="857">
      <c r="A857">
        <f>IFERROR(INDEX('[AQ_2020.xlsx]原始数据'!$A:$A,ROW(A1)+856),"")</f>
        <v/>
      </c>
      <c r="B857">
        <f>IFERROR(INDEX('[AQ_2021.xlsx]原始数据'!$A:$A,ROW(A1)+856),"")</f>
        <v/>
      </c>
      <c r="C857">
        <f>IFERROR(INDEX('[AQ_2022.xlsx]原始数据'!$A:$A,ROW(A1)+856),"")</f>
        <v/>
      </c>
      <c r="D857">
        <f>IFERROR(INDEX('[AQ_2023.xlsx]原始数据'!$A:$A,ROW(A1)+856),"")</f>
        <v/>
      </c>
      <c r="E857">
        <f>IFERROR(INDEX('[AQ_2024.xlsx]原始数据'!$A:$A,ROW(A1)+856),"")</f>
        <v/>
      </c>
      <c r="G857">
        <f>IF(856&lt;=1000,INDEX($A$2:$A$1001,856),IF(856&lt;=2000,INDEX($B$2:$B$1001,-144),IF(856&lt;=3000,INDEX($C$2:$C$1001,-1144),IF(856&lt;=4000,INDEX($D$2:$D$1001,-2144),IF(856&lt;=5000,INDEX($E$2:$E$1001,-3144),"")))))</f>
        <v/>
      </c>
    </row>
    <row r="858">
      <c r="A858">
        <f>IFERROR(INDEX('[AQ_2020.xlsx]原始数据'!$A:$A,ROW(A1)+857),"")</f>
        <v/>
      </c>
      <c r="B858">
        <f>IFERROR(INDEX('[AQ_2021.xlsx]原始数据'!$A:$A,ROW(A1)+857),"")</f>
        <v/>
      </c>
      <c r="C858">
        <f>IFERROR(INDEX('[AQ_2022.xlsx]原始数据'!$A:$A,ROW(A1)+857),"")</f>
        <v/>
      </c>
      <c r="D858">
        <f>IFERROR(INDEX('[AQ_2023.xlsx]原始数据'!$A:$A,ROW(A1)+857),"")</f>
        <v/>
      </c>
      <c r="E858">
        <f>IFERROR(INDEX('[AQ_2024.xlsx]原始数据'!$A:$A,ROW(A1)+857),"")</f>
        <v/>
      </c>
      <c r="G858">
        <f>IF(857&lt;=1000,INDEX($A$2:$A$1001,857),IF(857&lt;=2000,INDEX($B$2:$B$1001,-143),IF(857&lt;=3000,INDEX($C$2:$C$1001,-1143),IF(857&lt;=4000,INDEX($D$2:$D$1001,-2143),IF(857&lt;=5000,INDEX($E$2:$E$1001,-3143),"")))))</f>
        <v/>
      </c>
    </row>
    <row r="859">
      <c r="A859">
        <f>IFERROR(INDEX('[AQ_2020.xlsx]原始数据'!$A:$A,ROW(A1)+858),"")</f>
        <v/>
      </c>
      <c r="B859">
        <f>IFERROR(INDEX('[AQ_2021.xlsx]原始数据'!$A:$A,ROW(A1)+858),"")</f>
        <v/>
      </c>
      <c r="C859">
        <f>IFERROR(INDEX('[AQ_2022.xlsx]原始数据'!$A:$A,ROW(A1)+858),"")</f>
        <v/>
      </c>
      <c r="D859">
        <f>IFERROR(INDEX('[AQ_2023.xlsx]原始数据'!$A:$A,ROW(A1)+858),"")</f>
        <v/>
      </c>
      <c r="E859">
        <f>IFERROR(INDEX('[AQ_2024.xlsx]原始数据'!$A:$A,ROW(A1)+858),"")</f>
        <v/>
      </c>
      <c r="G859">
        <f>IF(858&lt;=1000,INDEX($A$2:$A$1001,858),IF(858&lt;=2000,INDEX($B$2:$B$1001,-142),IF(858&lt;=3000,INDEX($C$2:$C$1001,-1142),IF(858&lt;=4000,INDEX($D$2:$D$1001,-2142),IF(858&lt;=5000,INDEX($E$2:$E$1001,-3142),"")))))</f>
        <v/>
      </c>
    </row>
    <row r="860">
      <c r="A860">
        <f>IFERROR(INDEX('[AQ_2020.xlsx]原始数据'!$A:$A,ROW(A1)+859),"")</f>
        <v/>
      </c>
      <c r="B860">
        <f>IFERROR(INDEX('[AQ_2021.xlsx]原始数据'!$A:$A,ROW(A1)+859),"")</f>
        <v/>
      </c>
      <c r="C860">
        <f>IFERROR(INDEX('[AQ_2022.xlsx]原始数据'!$A:$A,ROW(A1)+859),"")</f>
        <v/>
      </c>
      <c r="D860">
        <f>IFERROR(INDEX('[AQ_2023.xlsx]原始数据'!$A:$A,ROW(A1)+859),"")</f>
        <v/>
      </c>
      <c r="E860">
        <f>IFERROR(INDEX('[AQ_2024.xlsx]原始数据'!$A:$A,ROW(A1)+859),"")</f>
        <v/>
      </c>
      <c r="G860">
        <f>IF(859&lt;=1000,INDEX($A$2:$A$1001,859),IF(859&lt;=2000,INDEX($B$2:$B$1001,-141),IF(859&lt;=3000,INDEX($C$2:$C$1001,-1141),IF(859&lt;=4000,INDEX($D$2:$D$1001,-2141),IF(859&lt;=5000,INDEX($E$2:$E$1001,-3141),"")))))</f>
        <v/>
      </c>
    </row>
    <row r="861">
      <c r="A861">
        <f>IFERROR(INDEX('[AQ_2020.xlsx]原始数据'!$A:$A,ROW(A1)+860),"")</f>
        <v/>
      </c>
      <c r="B861">
        <f>IFERROR(INDEX('[AQ_2021.xlsx]原始数据'!$A:$A,ROW(A1)+860),"")</f>
        <v/>
      </c>
      <c r="C861">
        <f>IFERROR(INDEX('[AQ_2022.xlsx]原始数据'!$A:$A,ROW(A1)+860),"")</f>
        <v/>
      </c>
      <c r="D861">
        <f>IFERROR(INDEX('[AQ_2023.xlsx]原始数据'!$A:$A,ROW(A1)+860),"")</f>
        <v/>
      </c>
      <c r="E861">
        <f>IFERROR(INDEX('[AQ_2024.xlsx]原始数据'!$A:$A,ROW(A1)+860),"")</f>
        <v/>
      </c>
      <c r="G861">
        <f>IF(860&lt;=1000,INDEX($A$2:$A$1001,860),IF(860&lt;=2000,INDEX($B$2:$B$1001,-140),IF(860&lt;=3000,INDEX($C$2:$C$1001,-1140),IF(860&lt;=4000,INDEX($D$2:$D$1001,-2140),IF(860&lt;=5000,INDEX($E$2:$E$1001,-3140),"")))))</f>
        <v/>
      </c>
    </row>
    <row r="862">
      <c r="A862">
        <f>IFERROR(INDEX('[AQ_2020.xlsx]原始数据'!$A:$A,ROW(A1)+861),"")</f>
        <v/>
      </c>
      <c r="B862">
        <f>IFERROR(INDEX('[AQ_2021.xlsx]原始数据'!$A:$A,ROW(A1)+861),"")</f>
        <v/>
      </c>
      <c r="C862">
        <f>IFERROR(INDEX('[AQ_2022.xlsx]原始数据'!$A:$A,ROW(A1)+861),"")</f>
        <v/>
      </c>
      <c r="D862">
        <f>IFERROR(INDEX('[AQ_2023.xlsx]原始数据'!$A:$A,ROW(A1)+861),"")</f>
        <v/>
      </c>
      <c r="E862">
        <f>IFERROR(INDEX('[AQ_2024.xlsx]原始数据'!$A:$A,ROW(A1)+861),"")</f>
        <v/>
      </c>
      <c r="G862">
        <f>IF(861&lt;=1000,INDEX($A$2:$A$1001,861),IF(861&lt;=2000,INDEX($B$2:$B$1001,-139),IF(861&lt;=3000,INDEX($C$2:$C$1001,-1139),IF(861&lt;=4000,INDEX($D$2:$D$1001,-2139),IF(861&lt;=5000,INDEX($E$2:$E$1001,-3139),"")))))</f>
        <v/>
      </c>
    </row>
    <row r="863">
      <c r="A863">
        <f>IFERROR(INDEX('[AQ_2020.xlsx]原始数据'!$A:$A,ROW(A1)+862),"")</f>
        <v/>
      </c>
      <c r="B863">
        <f>IFERROR(INDEX('[AQ_2021.xlsx]原始数据'!$A:$A,ROW(A1)+862),"")</f>
        <v/>
      </c>
      <c r="C863">
        <f>IFERROR(INDEX('[AQ_2022.xlsx]原始数据'!$A:$A,ROW(A1)+862),"")</f>
        <v/>
      </c>
      <c r="D863">
        <f>IFERROR(INDEX('[AQ_2023.xlsx]原始数据'!$A:$A,ROW(A1)+862),"")</f>
        <v/>
      </c>
      <c r="E863">
        <f>IFERROR(INDEX('[AQ_2024.xlsx]原始数据'!$A:$A,ROW(A1)+862),"")</f>
        <v/>
      </c>
      <c r="G863">
        <f>IF(862&lt;=1000,INDEX($A$2:$A$1001,862),IF(862&lt;=2000,INDEX($B$2:$B$1001,-138),IF(862&lt;=3000,INDEX($C$2:$C$1001,-1138),IF(862&lt;=4000,INDEX($D$2:$D$1001,-2138),IF(862&lt;=5000,INDEX($E$2:$E$1001,-3138),"")))))</f>
        <v/>
      </c>
    </row>
    <row r="864">
      <c r="A864">
        <f>IFERROR(INDEX('[AQ_2020.xlsx]原始数据'!$A:$A,ROW(A1)+863),"")</f>
        <v/>
      </c>
      <c r="B864">
        <f>IFERROR(INDEX('[AQ_2021.xlsx]原始数据'!$A:$A,ROW(A1)+863),"")</f>
        <v/>
      </c>
      <c r="C864">
        <f>IFERROR(INDEX('[AQ_2022.xlsx]原始数据'!$A:$A,ROW(A1)+863),"")</f>
        <v/>
      </c>
      <c r="D864">
        <f>IFERROR(INDEX('[AQ_2023.xlsx]原始数据'!$A:$A,ROW(A1)+863),"")</f>
        <v/>
      </c>
      <c r="E864">
        <f>IFERROR(INDEX('[AQ_2024.xlsx]原始数据'!$A:$A,ROW(A1)+863),"")</f>
        <v/>
      </c>
      <c r="G864">
        <f>IF(863&lt;=1000,INDEX($A$2:$A$1001,863),IF(863&lt;=2000,INDEX($B$2:$B$1001,-137),IF(863&lt;=3000,INDEX($C$2:$C$1001,-1137),IF(863&lt;=4000,INDEX($D$2:$D$1001,-2137),IF(863&lt;=5000,INDEX($E$2:$E$1001,-3137),"")))))</f>
        <v/>
      </c>
    </row>
    <row r="865">
      <c r="A865">
        <f>IFERROR(INDEX('[AQ_2020.xlsx]原始数据'!$A:$A,ROW(A1)+864),"")</f>
        <v/>
      </c>
      <c r="B865">
        <f>IFERROR(INDEX('[AQ_2021.xlsx]原始数据'!$A:$A,ROW(A1)+864),"")</f>
        <v/>
      </c>
      <c r="C865">
        <f>IFERROR(INDEX('[AQ_2022.xlsx]原始数据'!$A:$A,ROW(A1)+864),"")</f>
        <v/>
      </c>
      <c r="D865">
        <f>IFERROR(INDEX('[AQ_2023.xlsx]原始数据'!$A:$A,ROW(A1)+864),"")</f>
        <v/>
      </c>
      <c r="E865">
        <f>IFERROR(INDEX('[AQ_2024.xlsx]原始数据'!$A:$A,ROW(A1)+864),"")</f>
        <v/>
      </c>
      <c r="G865">
        <f>IF(864&lt;=1000,INDEX($A$2:$A$1001,864),IF(864&lt;=2000,INDEX($B$2:$B$1001,-136),IF(864&lt;=3000,INDEX($C$2:$C$1001,-1136),IF(864&lt;=4000,INDEX($D$2:$D$1001,-2136),IF(864&lt;=5000,INDEX($E$2:$E$1001,-3136),"")))))</f>
        <v/>
      </c>
    </row>
    <row r="866">
      <c r="A866">
        <f>IFERROR(INDEX('[AQ_2020.xlsx]原始数据'!$A:$A,ROW(A1)+865),"")</f>
        <v/>
      </c>
      <c r="B866">
        <f>IFERROR(INDEX('[AQ_2021.xlsx]原始数据'!$A:$A,ROW(A1)+865),"")</f>
        <v/>
      </c>
      <c r="C866">
        <f>IFERROR(INDEX('[AQ_2022.xlsx]原始数据'!$A:$A,ROW(A1)+865),"")</f>
        <v/>
      </c>
      <c r="D866">
        <f>IFERROR(INDEX('[AQ_2023.xlsx]原始数据'!$A:$A,ROW(A1)+865),"")</f>
        <v/>
      </c>
      <c r="E866">
        <f>IFERROR(INDEX('[AQ_2024.xlsx]原始数据'!$A:$A,ROW(A1)+865),"")</f>
        <v/>
      </c>
      <c r="G866">
        <f>IF(865&lt;=1000,INDEX($A$2:$A$1001,865),IF(865&lt;=2000,INDEX($B$2:$B$1001,-135),IF(865&lt;=3000,INDEX($C$2:$C$1001,-1135),IF(865&lt;=4000,INDEX($D$2:$D$1001,-2135),IF(865&lt;=5000,INDEX($E$2:$E$1001,-3135),"")))))</f>
        <v/>
      </c>
    </row>
    <row r="867">
      <c r="A867">
        <f>IFERROR(INDEX('[AQ_2020.xlsx]原始数据'!$A:$A,ROW(A1)+866),"")</f>
        <v/>
      </c>
      <c r="B867">
        <f>IFERROR(INDEX('[AQ_2021.xlsx]原始数据'!$A:$A,ROW(A1)+866),"")</f>
        <v/>
      </c>
      <c r="C867">
        <f>IFERROR(INDEX('[AQ_2022.xlsx]原始数据'!$A:$A,ROW(A1)+866),"")</f>
        <v/>
      </c>
      <c r="D867">
        <f>IFERROR(INDEX('[AQ_2023.xlsx]原始数据'!$A:$A,ROW(A1)+866),"")</f>
        <v/>
      </c>
      <c r="E867">
        <f>IFERROR(INDEX('[AQ_2024.xlsx]原始数据'!$A:$A,ROW(A1)+866),"")</f>
        <v/>
      </c>
      <c r="G867">
        <f>IF(866&lt;=1000,INDEX($A$2:$A$1001,866),IF(866&lt;=2000,INDEX($B$2:$B$1001,-134),IF(866&lt;=3000,INDEX($C$2:$C$1001,-1134),IF(866&lt;=4000,INDEX($D$2:$D$1001,-2134),IF(866&lt;=5000,INDEX($E$2:$E$1001,-3134),"")))))</f>
        <v/>
      </c>
    </row>
    <row r="868">
      <c r="A868">
        <f>IFERROR(INDEX('[AQ_2020.xlsx]原始数据'!$A:$A,ROW(A1)+867),"")</f>
        <v/>
      </c>
      <c r="B868">
        <f>IFERROR(INDEX('[AQ_2021.xlsx]原始数据'!$A:$A,ROW(A1)+867),"")</f>
        <v/>
      </c>
      <c r="C868">
        <f>IFERROR(INDEX('[AQ_2022.xlsx]原始数据'!$A:$A,ROW(A1)+867),"")</f>
        <v/>
      </c>
      <c r="D868">
        <f>IFERROR(INDEX('[AQ_2023.xlsx]原始数据'!$A:$A,ROW(A1)+867),"")</f>
        <v/>
      </c>
      <c r="E868">
        <f>IFERROR(INDEX('[AQ_2024.xlsx]原始数据'!$A:$A,ROW(A1)+867),"")</f>
        <v/>
      </c>
      <c r="G868">
        <f>IF(867&lt;=1000,INDEX($A$2:$A$1001,867),IF(867&lt;=2000,INDEX($B$2:$B$1001,-133),IF(867&lt;=3000,INDEX($C$2:$C$1001,-1133),IF(867&lt;=4000,INDEX($D$2:$D$1001,-2133),IF(867&lt;=5000,INDEX($E$2:$E$1001,-3133),"")))))</f>
        <v/>
      </c>
    </row>
    <row r="869">
      <c r="A869">
        <f>IFERROR(INDEX('[AQ_2020.xlsx]原始数据'!$A:$A,ROW(A1)+868),"")</f>
        <v/>
      </c>
      <c r="B869">
        <f>IFERROR(INDEX('[AQ_2021.xlsx]原始数据'!$A:$A,ROW(A1)+868),"")</f>
        <v/>
      </c>
      <c r="C869">
        <f>IFERROR(INDEX('[AQ_2022.xlsx]原始数据'!$A:$A,ROW(A1)+868),"")</f>
        <v/>
      </c>
      <c r="D869">
        <f>IFERROR(INDEX('[AQ_2023.xlsx]原始数据'!$A:$A,ROW(A1)+868),"")</f>
        <v/>
      </c>
      <c r="E869">
        <f>IFERROR(INDEX('[AQ_2024.xlsx]原始数据'!$A:$A,ROW(A1)+868),"")</f>
        <v/>
      </c>
      <c r="G869">
        <f>IF(868&lt;=1000,INDEX($A$2:$A$1001,868),IF(868&lt;=2000,INDEX($B$2:$B$1001,-132),IF(868&lt;=3000,INDEX($C$2:$C$1001,-1132),IF(868&lt;=4000,INDEX($D$2:$D$1001,-2132),IF(868&lt;=5000,INDEX($E$2:$E$1001,-3132),"")))))</f>
        <v/>
      </c>
    </row>
    <row r="870">
      <c r="A870">
        <f>IFERROR(INDEX('[AQ_2020.xlsx]原始数据'!$A:$A,ROW(A1)+869),"")</f>
        <v/>
      </c>
      <c r="B870">
        <f>IFERROR(INDEX('[AQ_2021.xlsx]原始数据'!$A:$A,ROW(A1)+869),"")</f>
        <v/>
      </c>
      <c r="C870">
        <f>IFERROR(INDEX('[AQ_2022.xlsx]原始数据'!$A:$A,ROW(A1)+869),"")</f>
        <v/>
      </c>
      <c r="D870">
        <f>IFERROR(INDEX('[AQ_2023.xlsx]原始数据'!$A:$A,ROW(A1)+869),"")</f>
        <v/>
      </c>
      <c r="E870">
        <f>IFERROR(INDEX('[AQ_2024.xlsx]原始数据'!$A:$A,ROW(A1)+869),"")</f>
        <v/>
      </c>
      <c r="G870">
        <f>IF(869&lt;=1000,INDEX($A$2:$A$1001,869),IF(869&lt;=2000,INDEX($B$2:$B$1001,-131),IF(869&lt;=3000,INDEX($C$2:$C$1001,-1131),IF(869&lt;=4000,INDEX($D$2:$D$1001,-2131),IF(869&lt;=5000,INDEX($E$2:$E$1001,-3131),"")))))</f>
        <v/>
      </c>
    </row>
    <row r="871">
      <c r="A871">
        <f>IFERROR(INDEX('[AQ_2020.xlsx]原始数据'!$A:$A,ROW(A1)+870),"")</f>
        <v/>
      </c>
      <c r="B871">
        <f>IFERROR(INDEX('[AQ_2021.xlsx]原始数据'!$A:$A,ROW(A1)+870),"")</f>
        <v/>
      </c>
      <c r="C871">
        <f>IFERROR(INDEX('[AQ_2022.xlsx]原始数据'!$A:$A,ROW(A1)+870),"")</f>
        <v/>
      </c>
      <c r="D871">
        <f>IFERROR(INDEX('[AQ_2023.xlsx]原始数据'!$A:$A,ROW(A1)+870),"")</f>
        <v/>
      </c>
      <c r="E871">
        <f>IFERROR(INDEX('[AQ_2024.xlsx]原始数据'!$A:$A,ROW(A1)+870),"")</f>
        <v/>
      </c>
      <c r="G871">
        <f>IF(870&lt;=1000,INDEX($A$2:$A$1001,870),IF(870&lt;=2000,INDEX($B$2:$B$1001,-130),IF(870&lt;=3000,INDEX($C$2:$C$1001,-1130),IF(870&lt;=4000,INDEX($D$2:$D$1001,-2130),IF(870&lt;=5000,INDEX($E$2:$E$1001,-3130),"")))))</f>
        <v/>
      </c>
    </row>
    <row r="872">
      <c r="A872">
        <f>IFERROR(INDEX('[AQ_2020.xlsx]原始数据'!$A:$A,ROW(A1)+871),"")</f>
        <v/>
      </c>
      <c r="B872">
        <f>IFERROR(INDEX('[AQ_2021.xlsx]原始数据'!$A:$A,ROW(A1)+871),"")</f>
        <v/>
      </c>
      <c r="C872">
        <f>IFERROR(INDEX('[AQ_2022.xlsx]原始数据'!$A:$A,ROW(A1)+871),"")</f>
        <v/>
      </c>
      <c r="D872">
        <f>IFERROR(INDEX('[AQ_2023.xlsx]原始数据'!$A:$A,ROW(A1)+871),"")</f>
        <v/>
      </c>
      <c r="E872">
        <f>IFERROR(INDEX('[AQ_2024.xlsx]原始数据'!$A:$A,ROW(A1)+871),"")</f>
        <v/>
      </c>
      <c r="G872">
        <f>IF(871&lt;=1000,INDEX($A$2:$A$1001,871),IF(871&lt;=2000,INDEX($B$2:$B$1001,-129),IF(871&lt;=3000,INDEX($C$2:$C$1001,-1129),IF(871&lt;=4000,INDEX($D$2:$D$1001,-2129),IF(871&lt;=5000,INDEX($E$2:$E$1001,-3129),"")))))</f>
        <v/>
      </c>
    </row>
    <row r="873">
      <c r="A873">
        <f>IFERROR(INDEX('[AQ_2020.xlsx]原始数据'!$A:$A,ROW(A1)+872),"")</f>
        <v/>
      </c>
      <c r="B873">
        <f>IFERROR(INDEX('[AQ_2021.xlsx]原始数据'!$A:$A,ROW(A1)+872),"")</f>
        <v/>
      </c>
      <c r="C873">
        <f>IFERROR(INDEX('[AQ_2022.xlsx]原始数据'!$A:$A,ROW(A1)+872),"")</f>
        <v/>
      </c>
      <c r="D873">
        <f>IFERROR(INDEX('[AQ_2023.xlsx]原始数据'!$A:$A,ROW(A1)+872),"")</f>
        <v/>
      </c>
      <c r="E873">
        <f>IFERROR(INDEX('[AQ_2024.xlsx]原始数据'!$A:$A,ROW(A1)+872),"")</f>
        <v/>
      </c>
      <c r="G873">
        <f>IF(872&lt;=1000,INDEX($A$2:$A$1001,872),IF(872&lt;=2000,INDEX($B$2:$B$1001,-128),IF(872&lt;=3000,INDEX($C$2:$C$1001,-1128),IF(872&lt;=4000,INDEX($D$2:$D$1001,-2128),IF(872&lt;=5000,INDEX($E$2:$E$1001,-3128),"")))))</f>
        <v/>
      </c>
    </row>
    <row r="874">
      <c r="A874">
        <f>IFERROR(INDEX('[AQ_2020.xlsx]原始数据'!$A:$A,ROW(A1)+873),"")</f>
        <v/>
      </c>
      <c r="B874">
        <f>IFERROR(INDEX('[AQ_2021.xlsx]原始数据'!$A:$A,ROW(A1)+873),"")</f>
        <v/>
      </c>
      <c r="C874">
        <f>IFERROR(INDEX('[AQ_2022.xlsx]原始数据'!$A:$A,ROW(A1)+873),"")</f>
        <v/>
      </c>
      <c r="D874">
        <f>IFERROR(INDEX('[AQ_2023.xlsx]原始数据'!$A:$A,ROW(A1)+873),"")</f>
        <v/>
      </c>
      <c r="E874">
        <f>IFERROR(INDEX('[AQ_2024.xlsx]原始数据'!$A:$A,ROW(A1)+873),"")</f>
        <v/>
      </c>
      <c r="G874">
        <f>IF(873&lt;=1000,INDEX($A$2:$A$1001,873),IF(873&lt;=2000,INDEX($B$2:$B$1001,-127),IF(873&lt;=3000,INDEX($C$2:$C$1001,-1127),IF(873&lt;=4000,INDEX($D$2:$D$1001,-2127),IF(873&lt;=5000,INDEX($E$2:$E$1001,-3127),"")))))</f>
        <v/>
      </c>
    </row>
    <row r="875">
      <c r="A875">
        <f>IFERROR(INDEX('[AQ_2020.xlsx]原始数据'!$A:$A,ROW(A1)+874),"")</f>
        <v/>
      </c>
      <c r="B875">
        <f>IFERROR(INDEX('[AQ_2021.xlsx]原始数据'!$A:$A,ROW(A1)+874),"")</f>
        <v/>
      </c>
      <c r="C875">
        <f>IFERROR(INDEX('[AQ_2022.xlsx]原始数据'!$A:$A,ROW(A1)+874),"")</f>
        <v/>
      </c>
      <c r="D875">
        <f>IFERROR(INDEX('[AQ_2023.xlsx]原始数据'!$A:$A,ROW(A1)+874),"")</f>
        <v/>
      </c>
      <c r="E875">
        <f>IFERROR(INDEX('[AQ_2024.xlsx]原始数据'!$A:$A,ROW(A1)+874),"")</f>
        <v/>
      </c>
      <c r="G875">
        <f>IF(874&lt;=1000,INDEX($A$2:$A$1001,874),IF(874&lt;=2000,INDEX($B$2:$B$1001,-126),IF(874&lt;=3000,INDEX($C$2:$C$1001,-1126),IF(874&lt;=4000,INDEX($D$2:$D$1001,-2126),IF(874&lt;=5000,INDEX($E$2:$E$1001,-3126),"")))))</f>
        <v/>
      </c>
    </row>
    <row r="876">
      <c r="A876">
        <f>IFERROR(INDEX('[AQ_2020.xlsx]原始数据'!$A:$A,ROW(A1)+875),"")</f>
        <v/>
      </c>
      <c r="B876">
        <f>IFERROR(INDEX('[AQ_2021.xlsx]原始数据'!$A:$A,ROW(A1)+875),"")</f>
        <v/>
      </c>
      <c r="C876">
        <f>IFERROR(INDEX('[AQ_2022.xlsx]原始数据'!$A:$A,ROW(A1)+875),"")</f>
        <v/>
      </c>
      <c r="D876">
        <f>IFERROR(INDEX('[AQ_2023.xlsx]原始数据'!$A:$A,ROW(A1)+875),"")</f>
        <v/>
      </c>
      <c r="E876">
        <f>IFERROR(INDEX('[AQ_2024.xlsx]原始数据'!$A:$A,ROW(A1)+875),"")</f>
        <v/>
      </c>
      <c r="G876">
        <f>IF(875&lt;=1000,INDEX($A$2:$A$1001,875),IF(875&lt;=2000,INDEX($B$2:$B$1001,-125),IF(875&lt;=3000,INDEX($C$2:$C$1001,-1125),IF(875&lt;=4000,INDEX($D$2:$D$1001,-2125),IF(875&lt;=5000,INDEX($E$2:$E$1001,-3125),"")))))</f>
        <v/>
      </c>
    </row>
    <row r="877">
      <c r="A877">
        <f>IFERROR(INDEX('[AQ_2020.xlsx]原始数据'!$A:$A,ROW(A1)+876),"")</f>
        <v/>
      </c>
      <c r="B877">
        <f>IFERROR(INDEX('[AQ_2021.xlsx]原始数据'!$A:$A,ROW(A1)+876),"")</f>
        <v/>
      </c>
      <c r="C877">
        <f>IFERROR(INDEX('[AQ_2022.xlsx]原始数据'!$A:$A,ROW(A1)+876),"")</f>
        <v/>
      </c>
      <c r="D877">
        <f>IFERROR(INDEX('[AQ_2023.xlsx]原始数据'!$A:$A,ROW(A1)+876),"")</f>
        <v/>
      </c>
      <c r="E877">
        <f>IFERROR(INDEX('[AQ_2024.xlsx]原始数据'!$A:$A,ROW(A1)+876),"")</f>
        <v/>
      </c>
      <c r="G877">
        <f>IF(876&lt;=1000,INDEX($A$2:$A$1001,876),IF(876&lt;=2000,INDEX($B$2:$B$1001,-124),IF(876&lt;=3000,INDEX($C$2:$C$1001,-1124),IF(876&lt;=4000,INDEX($D$2:$D$1001,-2124),IF(876&lt;=5000,INDEX($E$2:$E$1001,-3124),"")))))</f>
        <v/>
      </c>
    </row>
    <row r="878">
      <c r="A878">
        <f>IFERROR(INDEX('[AQ_2020.xlsx]原始数据'!$A:$A,ROW(A1)+877),"")</f>
        <v/>
      </c>
      <c r="B878">
        <f>IFERROR(INDEX('[AQ_2021.xlsx]原始数据'!$A:$A,ROW(A1)+877),"")</f>
        <v/>
      </c>
      <c r="C878">
        <f>IFERROR(INDEX('[AQ_2022.xlsx]原始数据'!$A:$A,ROW(A1)+877),"")</f>
        <v/>
      </c>
      <c r="D878">
        <f>IFERROR(INDEX('[AQ_2023.xlsx]原始数据'!$A:$A,ROW(A1)+877),"")</f>
        <v/>
      </c>
      <c r="E878">
        <f>IFERROR(INDEX('[AQ_2024.xlsx]原始数据'!$A:$A,ROW(A1)+877),"")</f>
        <v/>
      </c>
      <c r="G878">
        <f>IF(877&lt;=1000,INDEX($A$2:$A$1001,877),IF(877&lt;=2000,INDEX($B$2:$B$1001,-123),IF(877&lt;=3000,INDEX($C$2:$C$1001,-1123),IF(877&lt;=4000,INDEX($D$2:$D$1001,-2123),IF(877&lt;=5000,INDEX($E$2:$E$1001,-3123),"")))))</f>
        <v/>
      </c>
    </row>
    <row r="879">
      <c r="A879">
        <f>IFERROR(INDEX('[AQ_2020.xlsx]原始数据'!$A:$A,ROW(A1)+878),"")</f>
        <v/>
      </c>
      <c r="B879">
        <f>IFERROR(INDEX('[AQ_2021.xlsx]原始数据'!$A:$A,ROW(A1)+878),"")</f>
        <v/>
      </c>
      <c r="C879">
        <f>IFERROR(INDEX('[AQ_2022.xlsx]原始数据'!$A:$A,ROW(A1)+878),"")</f>
        <v/>
      </c>
      <c r="D879">
        <f>IFERROR(INDEX('[AQ_2023.xlsx]原始数据'!$A:$A,ROW(A1)+878),"")</f>
        <v/>
      </c>
      <c r="E879">
        <f>IFERROR(INDEX('[AQ_2024.xlsx]原始数据'!$A:$A,ROW(A1)+878),"")</f>
        <v/>
      </c>
      <c r="G879">
        <f>IF(878&lt;=1000,INDEX($A$2:$A$1001,878),IF(878&lt;=2000,INDEX($B$2:$B$1001,-122),IF(878&lt;=3000,INDEX($C$2:$C$1001,-1122),IF(878&lt;=4000,INDEX($D$2:$D$1001,-2122),IF(878&lt;=5000,INDEX($E$2:$E$1001,-3122),"")))))</f>
        <v/>
      </c>
    </row>
    <row r="880">
      <c r="A880">
        <f>IFERROR(INDEX('[AQ_2020.xlsx]原始数据'!$A:$A,ROW(A1)+879),"")</f>
        <v/>
      </c>
      <c r="B880">
        <f>IFERROR(INDEX('[AQ_2021.xlsx]原始数据'!$A:$A,ROW(A1)+879),"")</f>
        <v/>
      </c>
      <c r="C880">
        <f>IFERROR(INDEX('[AQ_2022.xlsx]原始数据'!$A:$A,ROW(A1)+879),"")</f>
        <v/>
      </c>
      <c r="D880">
        <f>IFERROR(INDEX('[AQ_2023.xlsx]原始数据'!$A:$A,ROW(A1)+879),"")</f>
        <v/>
      </c>
      <c r="E880">
        <f>IFERROR(INDEX('[AQ_2024.xlsx]原始数据'!$A:$A,ROW(A1)+879),"")</f>
        <v/>
      </c>
      <c r="G880">
        <f>IF(879&lt;=1000,INDEX($A$2:$A$1001,879),IF(879&lt;=2000,INDEX($B$2:$B$1001,-121),IF(879&lt;=3000,INDEX($C$2:$C$1001,-1121),IF(879&lt;=4000,INDEX($D$2:$D$1001,-2121),IF(879&lt;=5000,INDEX($E$2:$E$1001,-3121),"")))))</f>
        <v/>
      </c>
    </row>
    <row r="881">
      <c r="A881">
        <f>IFERROR(INDEX('[AQ_2020.xlsx]原始数据'!$A:$A,ROW(A1)+880),"")</f>
        <v/>
      </c>
      <c r="B881">
        <f>IFERROR(INDEX('[AQ_2021.xlsx]原始数据'!$A:$A,ROW(A1)+880),"")</f>
        <v/>
      </c>
      <c r="C881">
        <f>IFERROR(INDEX('[AQ_2022.xlsx]原始数据'!$A:$A,ROW(A1)+880),"")</f>
        <v/>
      </c>
      <c r="D881">
        <f>IFERROR(INDEX('[AQ_2023.xlsx]原始数据'!$A:$A,ROW(A1)+880),"")</f>
        <v/>
      </c>
      <c r="E881">
        <f>IFERROR(INDEX('[AQ_2024.xlsx]原始数据'!$A:$A,ROW(A1)+880),"")</f>
        <v/>
      </c>
      <c r="G881">
        <f>IF(880&lt;=1000,INDEX($A$2:$A$1001,880),IF(880&lt;=2000,INDEX($B$2:$B$1001,-120),IF(880&lt;=3000,INDEX($C$2:$C$1001,-1120),IF(880&lt;=4000,INDEX($D$2:$D$1001,-2120),IF(880&lt;=5000,INDEX($E$2:$E$1001,-3120),"")))))</f>
        <v/>
      </c>
    </row>
    <row r="882">
      <c r="A882">
        <f>IFERROR(INDEX('[AQ_2020.xlsx]原始数据'!$A:$A,ROW(A1)+881),"")</f>
        <v/>
      </c>
      <c r="B882">
        <f>IFERROR(INDEX('[AQ_2021.xlsx]原始数据'!$A:$A,ROW(A1)+881),"")</f>
        <v/>
      </c>
      <c r="C882">
        <f>IFERROR(INDEX('[AQ_2022.xlsx]原始数据'!$A:$A,ROW(A1)+881),"")</f>
        <v/>
      </c>
      <c r="D882">
        <f>IFERROR(INDEX('[AQ_2023.xlsx]原始数据'!$A:$A,ROW(A1)+881),"")</f>
        <v/>
      </c>
      <c r="E882">
        <f>IFERROR(INDEX('[AQ_2024.xlsx]原始数据'!$A:$A,ROW(A1)+881),"")</f>
        <v/>
      </c>
      <c r="G882">
        <f>IF(881&lt;=1000,INDEX($A$2:$A$1001,881),IF(881&lt;=2000,INDEX($B$2:$B$1001,-119),IF(881&lt;=3000,INDEX($C$2:$C$1001,-1119),IF(881&lt;=4000,INDEX($D$2:$D$1001,-2119),IF(881&lt;=5000,INDEX($E$2:$E$1001,-3119),"")))))</f>
        <v/>
      </c>
    </row>
    <row r="883">
      <c r="A883">
        <f>IFERROR(INDEX('[AQ_2020.xlsx]原始数据'!$A:$A,ROW(A1)+882),"")</f>
        <v/>
      </c>
      <c r="B883">
        <f>IFERROR(INDEX('[AQ_2021.xlsx]原始数据'!$A:$A,ROW(A1)+882),"")</f>
        <v/>
      </c>
      <c r="C883">
        <f>IFERROR(INDEX('[AQ_2022.xlsx]原始数据'!$A:$A,ROW(A1)+882),"")</f>
        <v/>
      </c>
      <c r="D883">
        <f>IFERROR(INDEX('[AQ_2023.xlsx]原始数据'!$A:$A,ROW(A1)+882),"")</f>
        <v/>
      </c>
      <c r="E883">
        <f>IFERROR(INDEX('[AQ_2024.xlsx]原始数据'!$A:$A,ROW(A1)+882),"")</f>
        <v/>
      </c>
      <c r="G883">
        <f>IF(882&lt;=1000,INDEX($A$2:$A$1001,882),IF(882&lt;=2000,INDEX($B$2:$B$1001,-118),IF(882&lt;=3000,INDEX($C$2:$C$1001,-1118),IF(882&lt;=4000,INDEX($D$2:$D$1001,-2118),IF(882&lt;=5000,INDEX($E$2:$E$1001,-3118),"")))))</f>
        <v/>
      </c>
    </row>
    <row r="884">
      <c r="A884">
        <f>IFERROR(INDEX('[AQ_2020.xlsx]原始数据'!$A:$A,ROW(A1)+883),"")</f>
        <v/>
      </c>
      <c r="B884">
        <f>IFERROR(INDEX('[AQ_2021.xlsx]原始数据'!$A:$A,ROW(A1)+883),"")</f>
        <v/>
      </c>
      <c r="C884">
        <f>IFERROR(INDEX('[AQ_2022.xlsx]原始数据'!$A:$A,ROW(A1)+883),"")</f>
        <v/>
      </c>
      <c r="D884">
        <f>IFERROR(INDEX('[AQ_2023.xlsx]原始数据'!$A:$A,ROW(A1)+883),"")</f>
        <v/>
      </c>
      <c r="E884">
        <f>IFERROR(INDEX('[AQ_2024.xlsx]原始数据'!$A:$A,ROW(A1)+883),"")</f>
        <v/>
      </c>
      <c r="G884">
        <f>IF(883&lt;=1000,INDEX($A$2:$A$1001,883),IF(883&lt;=2000,INDEX($B$2:$B$1001,-117),IF(883&lt;=3000,INDEX($C$2:$C$1001,-1117),IF(883&lt;=4000,INDEX($D$2:$D$1001,-2117),IF(883&lt;=5000,INDEX($E$2:$E$1001,-3117),"")))))</f>
        <v/>
      </c>
    </row>
    <row r="885">
      <c r="A885">
        <f>IFERROR(INDEX('[AQ_2020.xlsx]原始数据'!$A:$A,ROW(A1)+884),"")</f>
        <v/>
      </c>
      <c r="B885">
        <f>IFERROR(INDEX('[AQ_2021.xlsx]原始数据'!$A:$A,ROW(A1)+884),"")</f>
        <v/>
      </c>
      <c r="C885">
        <f>IFERROR(INDEX('[AQ_2022.xlsx]原始数据'!$A:$A,ROW(A1)+884),"")</f>
        <v/>
      </c>
      <c r="D885">
        <f>IFERROR(INDEX('[AQ_2023.xlsx]原始数据'!$A:$A,ROW(A1)+884),"")</f>
        <v/>
      </c>
      <c r="E885">
        <f>IFERROR(INDEX('[AQ_2024.xlsx]原始数据'!$A:$A,ROW(A1)+884),"")</f>
        <v/>
      </c>
      <c r="G885">
        <f>IF(884&lt;=1000,INDEX($A$2:$A$1001,884),IF(884&lt;=2000,INDEX($B$2:$B$1001,-116),IF(884&lt;=3000,INDEX($C$2:$C$1001,-1116),IF(884&lt;=4000,INDEX($D$2:$D$1001,-2116),IF(884&lt;=5000,INDEX($E$2:$E$1001,-3116),"")))))</f>
        <v/>
      </c>
    </row>
    <row r="886">
      <c r="A886">
        <f>IFERROR(INDEX('[AQ_2020.xlsx]原始数据'!$A:$A,ROW(A1)+885),"")</f>
        <v/>
      </c>
      <c r="B886">
        <f>IFERROR(INDEX('[AQ_2021.xlsx]原始数据'!$A:$A,ROW(A1)+885),"")</f>
        <v/>
      </c>
      <c r="C886">
        <f>IFERROR(INDEX('[AQ_2022.xlsx]原始数据'!$A:$A,ROW(A1)+885),"")</f>
        <v/>
      </c>
      <c r="D886">
        <f>IFERROR(INDEX('[AQ_2023.xlsx]原始数据'!$A:$A,ROW(A1)+885),"")</f>
        <v/>
      </c>
      <c r="E886">
        <f>IFERROR(INDEX('[AQ_2024.xlsx]原始数据'!$A:$A,ROW(A1)+885),"")</f>
        <v/>
      </c>
      <c r="G886">
        <f>IF(885&lt;=1000,INDEX($A$2:$A$1001,885),IF(885&lt;=2000,INDEX($B$2:$B$1001,-115),IF(885&lt;=3000,INDEX($C$2:$C$1001,-1115),IF(885&lt;=4000,INDEX($D$2:$D$1001,-2115),IF(885&lt;=5000,INDEX($E$2:$E$1001,-3115),"")))))</f>
        <v/>
      </c>
    </row>
    <row r="887">
      <c r="A887">
        <f>IFERROR(INDEX('[AQ_2020.xlsx]原始数据'!$A:$A,ROW(A1)+886),"")</f>
        <v/>
      </c>
      <c r="B887">
        <f>IFERROR(INDEX('[AQ_2021.xlsx]原始数据'!$A:$A,ROW(A1)+886),"")</f>
        <v/>
      </c>
      <c r="C887">
        <f>IFERROR(INDEX('[AQ_2022.xlsx]原始数据'!$A:$A,ROW(A1)+886),"")</f>
        <v/>
      </c>
      <c r="D887">
        <f>IFERROR(INDEX('[AQ_2023.xlsx]原始数据'!$A:$A,ROW(A1)+886),"")</f>
        <v/>
      </c>
      <c r="E887">
        <f>IFERROR(INDEX('[AQ_2024.xlsx]原始数据'!$A:$A,ROW(A1)+886),"")</f>
        <v/>
      </c>
      <c r="G887">
        <f>IF(886&lt;=1000,INDEX($A$2:$A$1001,886),IF(886&lt;=2000,INDEX($B$2:$B$1001,-114),IF(886&lt;=3000,INDEX($C$2:$C$1001,-1114),IF(886&lt;=4000,INDEX($D$2:$D$1001,-2114),IF(886&lt;=5000,INDEX($E$2:$E$1001,-3114),"")))))</f>
        <v/>
      </c>
    </row>
    <row r="888">
      <c r="A888">
        <f>IFERROR(INDEX('[AQ_2020.xlsx]原始数据'!$A:$A,ROW(A1)+887),"")</f>
        <v/>
      </c>
      <c r="B888">
        <f>IFERROR(INDEX('[AQ_2021.xlsx]原始数据'!$A:$A,ROW(A1)+887),"")</f>
        <v/>
      </c>
      <c r="C888">
        <f>IFERROR(INDEX('[AQ_2022.xlsx]原始数据'!$A:$A,ROW(A1)+887),"")</f>
        <v/>
      </c>
      <c r="D888">
        <f>IFERROR(INDEX('[AQ_2023.xlsx]原始数据'!$A:$A,ROW(A1)+887),"")</f>
        <v/>
      </c>
      <c r="E888">
        <f>IFERROR(INDEX('[AQ_2024.xlsx]原始数据'!$A:$A,ROW(A1)+887),"")</f>
        <v/>
      </c>
      <c r="G888">
        <f>IF(887&lt;=1000,INDEX($A$2:$A$1001,887),IF(887&lt;=2000,INDEX($B$2:$B$1001,-113),IF(887&lt;=3000,INDEX($C$2:$C$1001,-1113),IF(887&lt;=4000,INDEX($D$2:$D$1001,-2113),IF(887&lt;=5000,INDEX($E$2:$E$1001,-3113),"")))))</f>
        <v/>
      </c>
    </row>
    <row r="889">
      <c r="A889">
        <f>IFERROR(INDEX('[AQ_2020.xlsx]原始数据'!$A:$A,ROW(A1)+888),"")</f>
        <v/>
      </c>
      <c r="B889">
        <f>IFERROR(INDEX('[AQ_2021.xlsx]原始数据'!$A:$A,ROW(A1)+888),"")</f>
        <v/>
      </c>
      <c r="C889">
        <f>IFERROR(INDEX('[AQ_2022.xlsx]原始数据'!$A:$A,ROW(A1)+888),"")</f>
        <v/>
      </c>
      <c r="D889">
        <f>IFERROR(INDEX('[AQ_2023.xlsx]原始数据'!$A:$A,ROW(A1)+888),"")</f>
        <v/>
      </c>
      <c r="E889">
        <f>IFERROR(INDEX('[AQ_2024.xlsx]原始数据'!$A:$A,ROW(A1)+888),"")</f>
        <v/>
      </c>
      <c r="G889">
        <f>IF(888&lt;=1000,INDEX($A$2:$A$1001,888),IF(888&lt;=2000,INDEX($B$2:$B$1001,-112),IF(888&lt;=3000,INDEX($C$2:$C$1001,-1112),IF(888&lt;=4000,INDEX($D$2:$D$1001,-2112),IF(888&lt;=5000,INDEX($E$2:$E$1001,-3112),"")))))</f>
        <v/>
      </c>
    </row>
    <row r="890">
      <c r="A890">
        <f>IFERROR(INDEX('[AQ_2020.xlsx]原始数据'!$A:$A,ROW(A1)+889),"")</f>
        <v/>
      </c>
      <c r="B890">
        <f>IFERROR(INDEX('[AQ_2021.xlsx]原始数据'!$A:$A,ROW(A1)+889),"")</f>
        <v/>
      </c>
      <c r="C890">
        <f>IFERROR(INDEX('[AQ_2022.xlsx]原始数据'!$A:$A,ROW(A1)+889),"")</f>
        <v/>
      </c>
      <c r="D890">
        <f>IFERROR(INDEX('[AQ_2023.xlsx]原始数据'!$A:$A,ROW(A1)+889),"")</f>
        <v/>
      </c>
      <c r="E890">
        <f>IFERROR(INDEX('[AQ_2024.xlsx]原始数据'!$A:$A,ROW(A1)+889),"")</f>
        <v/>
      </c>
      <c r="G890">
        <f>IF(889&lt;=1000,INDEX($A$2:$A$1001,889),IF(889&lt;=2000,INDEX($B$2:$B$1001,-111),IF(889&lt;=3000,INDEX($C$2:$C$1001,-1111),IF(889&lt;=4000,INDEX($D$2:$D$1001,-2111),IF(889&lt;=5000,INDEX($E$2:$E$1001,-3111),"")))))</f>
        <v/>
      </c>
    </row>
    <row r="891">
      <c r="A891">
        <f>IFERROR(INDEX('[AQ_2020.xlsx]原始数据'!$A:$A,ROW(A1)+890),"")</f>
        <v/>
      </c>
      <c r="B891">
        <f>IFERROR(INDEX('[AQ_2021.xlsx]原始数据'!$A:$A,ROW(A1)+890),"")</f>
        <v/>
      </c>
      <c r="C891">
        <f>IFERROR(INDEX('[AQ_2022.xlsx]原始数据'!$A:$A,ROW(A1)+890),"")</f>
        <v/>
      </c>
      <c r="D891">
        <f>IFERROR(INDEX('[AQ_2023.xlsx]原始数据'!$A:$A,ROW(A1)+890),"")</f>
        <v/>
      </c>
      <c r="E891">
        <f>IFERROR(INDEX('[AQ_2024.xlsx]原始数据'!$A:$A,ROW(A1)+890),"")</f>
        <v/>
      </c>
      <c r="G891">
        <f>IF(890&lt;=1000,INDEX($A$2:$A$1001,890),IF(890&lt;=2000,INDEX($B$2:$B$1001,-110),IF(890&lt;=3000,INDEX($C$2:$C$1001,-1110),IF(890&lt;=4000,INDEX($D$2:$D$1001,-2110),IF(890&lt;=5000,INDEX($E$2:$E$1001,-3110),"")))))</f>
        <v/>
      </c>
    </row>
    <row r="892">
      <c r="A892">
        <f>IFERROR(INDEX('[AQ_2020.xlsx]原始数据'!$A:$A,ROW(A1)+891),"")</f>
        <v/>
      </c>
      <c r="B892">
        <f>IFERROR(INDEX('[AQ_2021.xlsx]原始数据'!$A:$A,ROW(A1)+891),"")</f>
        <v/>
      </c>
      <c r="C892">
        <f>IFERROR(INDEX('[AQ_2022.xlsx]原始数据'!$A:$A,ROW(A1)+891),"")</f>
        <v/>
      </c>
      <c r="D892">
        <f>IFERROR(INDEX('[AQ_2023.xlsx]原始数据'!$A:$A,ROW(A1)+891),"")</f>
        <v/>
      </c>
      <c r="E892">
        <f>IFERROR(INDEX('[AQ_2024.xlsx]原始数据'!$A:$A,ROW(A1)+891),"")</f>
        <v/>
      </c>
      <c r="G892">
        <f>IF(891&lt;=1000,INDEX($A$2:$A$1001,891),IF(891&lt;=2000,INDEX($B$2:$B$1001,-109),IF(891&lt;=3000,INDEX($C$2:$C$1001,-1109),IF(891&lt;=4000,INDEX($D$2:$D$1001,-2109),IF(891&lt;=5000,INDEX($E$2:$E$1001,-3109),"")))))</f>
        <v/>
      </c>
    </row>
    <row r="893">
      <c r="A893">
        <f>IFERROR(INDEX('[AQ_2020.xlsx]原始数据'!$A:$A,ROW(A1)+892),"")</f>
        <v/>
      </c>
      <c r="B893">
        <f>IFERROR(INDEX('[AQ_2021.xlsx]原始数据'!$A:$A,ROW(A1)+892),"")</f>
        <v/>
      </c>
      <c r="C893">
        <f>IFERROR(INDEX('[AQ_2022.xlsx]原始数据'!$A:$A,ROW(A1)+892),"")</f>
        <v/>
      </c>
      <c r="D893">
        <f>IFERROR(INDEX('[AQ_2023.xlsx]原始数据'!$A:$A,ROW(A1)+892),"")</f>
        <v/>
      </c>
      <c r="E893">
        <f>IFERROR(INDEX('[AQ_2024.xlsx]原始数据'!$A:$A,ROW(A1)+892),"")</f>
        <v/>
      </c>
      <c r="G893">
        <f>IF(892&lt;=1000,INDEX($A$2:$A$1001,892),IF(892&lt;=2000,INDEX($B$2:$B$1001,-108),IF(892&lt;=3000,INDEX($C$2:$C$1001,-1108),IF(892&lt;=4000,INDEX($D$2:$D$1001,-2108),IF(892&lt;=5000,INDEX($E$2:$E$1001,-3108),"")))))</f>
        <v/>
      </c>
    </row>
    <row r="894">
      <c r="A894">
        <f>IFERROR(INDEX('[AQ_2020.xlsx]原始数据'!$A:$A,ROW(A1)+893),"")</f>
        <v/>
      </c>
      <c r="B894">
        <f>IFERROR(INDEX('[AQ_2021.xlsx]原始数据'!$A:$A,ROW(A1)+893),"")</f>
        <v/>
      </c>
      <c r="C894">
        <f>IFERROR(INDEX('[AQ_2022.xlsx]原始数据'!$A:$A,ROW(A1)+893),"")</f>
        <v/>
      </c>
      <c r="D894">
        <f>IFERROR(INDEX('[AQ_2023.xlsx]原始数据'!$A:$A,ROW(A1)+893),"")</f>
        <v/>
      </c>
      <c r="E894">
        <f>IFERROR(INDEX('[AQ_2024.xlsx]原始数据'!$A:$A,ROW(A1)+893),"")</f>
        <v/>
      </c>
      <c r="G894">
        <f>IF(893&lt;=1000,INDEX($A$2:$A$1001,893),IF(893&lt;=2000,INDEX($B$2:$B$1001,-107),IF(893&lt;=3000,INDEX($C$2:$C$1001,-1107),IF(893&lt;=4000,INDEX($D$2:$D$1001,-2107),IF(893&lt;=5000,INDEX($E$2:$E$1001,-3107),"")))))</f>
        <v/>
      </c>
    </row>
    <row r="895">
      <c r="A895">
        <f>IFERROR(INDEX('[AQ_2020.xlsx]原始数据'!$A:$A,ROW(A1)+894),"")</f>
        <v/>
      </c>
      <c r="B895">
        <f>IFERROR(INDEX('[AQ_2021.xlsx]原始数据'!$A:$A,ROW(A1)+894),"")</f>
        <v/>
      </c>
      <c r="C895">
        <f>IFERROR(INDEX('[AQ_2022.xlsx]原始数据'!$A:$A,ROW(A1)+894),"")</f>
        <v/>
      </c>
      <c r="D895">
        <f>IFERROR(INDEX('[AQ_2023.xlsx]原始数据'!$A:$A,ROW(A1)+894),"")</f>
        <v/>
      </c>
      <c r="E895">
        <f>IFERROR(INDEX('[AQ_2024.xlsx]原始数据'!$A:$A,ROW(A1)+894),"")</f>
        <v/>
      </c>
      <c r="G895">
        <f>IF(894&lt;=1000,INDEX($A$2:$A$1001,894),IF(894&lt;=2000,INDEX($B$2:$B$1001,-106),IF(894&lt;=3000,INDEX($C$2:$C$1001,-1106),IF(894&lt;=4000,INDEX($D$2:$D$1001,-2106),IF(894&lt;=5000,INDEX($E$2:$E$1001,-3106),"")))))</f>
        <v/>
      </c>
    </row>
    <row r="896">
      <c r="A896">
        <f>IFERROR(INDEX('[AQ_2020.xlsx]原始数据'!$A:$A,ROW(A1)+895),"")</f>
        <v/>
      </c>
      <c r="B896">
        <f>IFERROR(INDEX('[AQ_2021.xlsx]原始数据'!$A:$A,ROW(A1)+895),"")</f>
        <v/>
      </c>
      <c r="C896">
        <f>IFERROR(INDEX('[AQ_2022.xlsx]原始数据'!$A:$A,ROW(A1)+895),"")</f>
        <v/>
      </c>
      <c r="D896">
        <f>IFERROR(INDEX('[AQ_2023.xlsx]原始数据'!$A:$A,ROW(A1)+895),"")</f>
        <v/>
      </c>
      <c r="E896">
        <f>IFERROR(INDEX('[AQ_2024.xlsx]原始数据'!$A:$A,ROW(A1)+895),"")</f>
        <v/>
      </c>
      <c r="G896">
        <f>IF(895&lt;=1000,INDEX($A$2:$A$1001,895),IF(895&lt;=2000,INDEX($B$2:$B$1001,-105),IF(895&lt;=3000,INDEX($C$2:$C$1001,-1105),IF(895&lt;=4000,INDEX($D$2:$D$1001,-2105),IF(895&lt;=5000,INDEX($E$2:$E$1001,-3105),"")))))</f>
        <v/>
      </c>
    </row>
    <row r="897">
      <c r="A897">
        <f>IFERROR(INDEX('[AQ_2020.xlsx]原始数据'!$A:$A,ROW(A1)+896),"")</f>
        <v/>
      </c>
      <c r="B897">
        <f>IFERROR(INDEX('[AQ_2021.xlsx]原始数据'!$A:$A,ROW(A1)+896),"")</f>
        <v/>
      </c>
      <c r="C897">
        <f>IFERROR(INDEX('[AQ_2022.xlsx]原始数据'!$A:$A,ROW(A1)+896),"")</f>
        <v/>
      </c>
      <c r="D897">
        <f>IFERROR(INDEX('[AQ_2023.xlsx]原始数据'!$A:$A,ROW(A1)+896),"")</f>
        <v/>
      </c>
      <c r="E897">
        <f>IFERROR(INDEX('[AQ_2024.xlsx]原始数据'!$A:$A,ROW(A1)+896),"")</f>
        <v/>
      </c>
      <c r="G897">
        <f>IF(896&lt;=1000,INDEX($A$2:$A$1001,896),IF(896&lt;=2000,INDEX($B$2:$B$1001,-104),IF(896&lt;=3000,INDEX($C$2:$C$1001,-1104),IF(896&lt;=4000,INDEX($D$2:$D$1001,-2104),IF(896&lt;=5000,INDEX($E$2:$E$1001,-3104),"")))))</f>
        <v/>
      </c>
    </row>
    <row r="898">
      <c r="A898">
        <f>IFERROR(INDEX('[AQ_2020.xlsx]原始数据'!$A:$A,ROW(A1)+897),"")</f>
        <v/>
      </c>
      <c r="B898">
        <f>IFERROR(INDEX('[AQ_2021.xlsx]原始数据'!$A:$A,ROW(A1)+897),"")</f>
        <v/>
      </c>
      <c r="C898">
        <f>IFERROR(INDEX('[AQ_2022.xlsx]原始数据'!$A:$A,ROW(A1)+897),"")</f>
        <v/>
      </c>
      <c r="D898">
        <f>IFERROR(INDEX('[AQ_2023.xlsx]原始数据'!$A:$A,ROW(A1)+897),"")</f>
        <v/>
      </c>
      <c r="E898">
        <f>IFERROR(INDEX('[AQ_2024.xlsx]原始数据'!$A:$A,ROW(A1)+897),"")</f>
        <v/>
      </c>
      <c r="G898">
        <f>IF(897&lt;=1000,INDEX($A$2:$A$1001,897),IF(897&lt;=2000,INDEX($B$2:$B$1001,-103),IF(897&lt;=3000,INDEX($C$2:$C$1001,-1103),IF(897&lt;=4000,INDEX($D$2:$D$1001,-2103),IF(897&lt;=5000,INDEX($E$2:$E$1001,-3103),"")))))</f>
        <v/>
      </c>
    </row>
    <row r="899">
      <c r="A899">
        <f>IFERROR(INDEX('[AQ_2020.xlsx]原始数据'!$A:$A,ROW(A1)+898),"")</f>
        <v/>
      </c>
      <c r="B899">
        <f>IFERROR(INDEX('[AQ_2021.xlsx]原始数据'!$A:$A,ROW(A1)+898),"")</f>
        <v/>
      </c>
      <c r="C899">
        <f>IFERROR(INDEX('[AQ_2022.xlsx]原始数据'!$A:$A,ROW(A1)+898),"")</f>
        <v/>
      </c>
      <c r="D899">
        <f>IFERROR(INDEX('[AQ_2023.xlsx]原始数据'!$A:$A,ROW(A1)+898),"")</f>
        <v/>
      </c>
      <c r="E899">
        <f>IFERROR(INDEX('[AQ_2024.xlsx]原始数据'!$A:$A,ROW(A1)+898),"")</f>
        <v/>
      </c>
      <c r="G899">
        <f>IF(898&lt;=1000,INDEX($A$2:$A$1001,898),IF(898&lt;=2000,INDEX($B$2:$B$1001,-102),IF(898&lt;=3000,INDEX($C$2:$C$1001,-1102),IF(898&lt;=4000,INDEX($D$2:$D$1001,-2102),IF(898&lt;=5000,INDEX($E$2:$E$1001,-3102),"")))))</f>
        <v/>
      </c>
    </row>
    <row r="900">
      <c r="A900">
        <f>IFERROR(INDEX('[AQ_2020.xlsx]原始数据'!$A:$A,ROW(A1)+899),"")</f>
        <v/>
      </c>
      <c r="B900">
        <f>IFERROR(INDEX('[AQ_2021.xlsx]原始数据'!$A:$A,ROW(A1)+899),"")</f>
        <v/>
      </c>
      <c r="C900">
        <f>IFERROR(INDEX('[AQ_2022.xlsx]原始数据'!$A:$A,ROW(A1)+899),"")</f>
        <v/>
      </c>
      <c r="D900">
        <f>IFERROR(INDEX('[AQ_2023.xlsx]原始数据'!$A:$A,ROW(A1)+899),"")</f>
        <v/>
      </c>
      <c r="E900">
        <f>IFERROR(INDEX('[AQ_2024.xlsx]原始数据'!$A:$A,ROW(A1)+899),"")</f>
        <v/>
      </c>
      <c r="G900">
        <f>IF(899&lt;=1000,INDEX($A$2:$A$1001,899),IF(899&lt;=2000,INDEX($B$2:$B$1001,-101),IF(899&lt;=3000,INDEX($C$2:$C$1001,-1101),IF(899&lt;=4000,INDEX($D$2:$D$1001,-2101),IF(899&lt;=5000,INDEX($E$2:$E$1001,-3101),"")))))</f>
        <v/>
      </c>
    </row>
    <row r="901">
      <c r="A901">
        <f>IFERROR(INDEX('[AQ_2020.xlsx]原始数据'!$A:$A,ROW(A1)+900),"")</f>
        <v/>
      </c>
      <c r="B901">
        <f>IFERROR(INDEX('[AQ_2021.xlsx]原始数据'!$A:$A,ROW(A1)+900),"")</f>
        <v/>
      </c>
      <c r="C901">
        <f>IFERROR(INDEX('[AQ_2022.xlsx]原始数据'!$A:$A,ROW(A1)+900),"")</f>
        <v/>
      </c>
      <c r="D901">
        <f>IFERROR(INDEX('[AQ_2023.xlsx]原始数据'!$A:$A,ROW(A1)+900),"")</f>
        <v/>
      </c>
      <c r="E901">
        <f>IFERROR(INDEX('[AQ_2024.xlsx]原始数据'!$A:$A,ROW(A1)+900),"")</f>
        <v/>
      </c>
      <c r="G901">
        <f>IF(900&lt;=1000,INDEX($A$2:$A$1001,900),IF(900&lt;=2000,INDEX($B$2:$B$1001,-100),IF(900&lt;=3000,INDEX($C$2:$C$1001,-1100),IF(900&lt;=4000,INDEX($D$2:$D$1001,-2100),IF(900&lt;=5000,INDEX($E$2:$E$1001,-3100),"")))))</f>
        <v/>
      </c>
    </row>
    <row r="902">
      <c r="A902">
        <f>IFERROR(INDEX('[AQ_2020.xlsx]原始数据'!$A:$A,ROW(A1)+901),"")</f>
        <v/>
      </c>
      <c r="B902">
        <f>IFERROR(INDEX('[AQ_2021.xlsx]原始数据'!$A:$A,ROW(A1)+901),"")</f>
        <v/>
      </c>
      <c r="C902">
        <f>IFERROR(INDEX('[AQ_2022.xlsx]原始数据'!$A:$A,ROW(A1)+901),"")</f>
        <v/>
      </c>
      <c r="D902">
        <f>IFERROR(INDEX('[AQ_2023.xlsx]原始数据'!$A:$A,ROW(A1)+901),"")</f>
        <v/>
      </c>
      <c r="E902">
        <f>IFERROR(INDEX('[AQ_2024.xlsx]原始数据'!$A:$A,ROW(A1)+901),"")</f>
        <v/>
      </c>
      <c r="G902">
        <f>IF(901&lt;=1000,INDEX($A$2:$A$1001,901),IF(901&lt;=2000,INDEX($B$2:$B$1001,-99),IF(901&lt;=3000,INDEX($C$2:$C$1001,-1099),IF(901&lt;=4000,INDEX($D$2:$D$1001,-2099),IF(901&lt;=5000,INDEX($E$2:$E$1001,-3099),"")))))</f>
        <v/>
      </c>
    </row>
    <row r="903">
      <c r="A903">
        <f>IFERROR(INDEX('[AQ_2020.xlsx]原始数据'!$A:$A,ROW(A1)+902),"")</f>
        <v/>
      </c>
      <c r="B903">
        <f>IFERROR(INDEX('[AQ_2021.xlsx]原始数据'!$A:$A,ROW(A1)+902),"")</f>
        <v/>
      </c>
      <c r="C903">
        <f>IFERROR(INDEX('[AQ_2022.xlsx]原始数据'!$A:$A,ROW(A1)+902),"")</f>
        <v/>
      </c>
      <c r="D903">
        <f>IFERROR(INDEX('[AQ_2023.xlsx]原始数据'!$A:$A,ROW(A1)+902),"")</f>
        <v/>
      </c>
      <c r="E903">
        <f>IFERROR(INDEX('[AQ_2024.xlsx]原始数据'!$A:$A,ROW(A1)+902),"")</f>
        <v/>
      </c>
      <c r="G903">
        <f>IF(902&lt;=1000,INDEX($A$2:$A$1001,902),IF(902&lt;=2000,INDEX($B$2:$B$1001,-98),IF(902&lt;=3000,INDEX($C$2:$C$1001,-1098),IF(902&lt;=4000,INDEX($D$2:$D$1001,-2098),IF(902&lt;=5000,INDEX($E$2:$E$1001,-3098),"")))))</f>
        <v/>
      </c>
    </row>
    <row r="904">
      <c r="A904">
        <f>IFERROR(INDEX('[AQ_2020.xlsx]原始数据'!$A:$A,ROW(A1)+903),"")</f>
        <v/>
      </c>
      <c r="B904">
        <f>IFERROR(INDEX('[AQ_2021.xlsx]原始数据'!$A:$A,ROW(A1)+903),"")</f>
        <v/>
      </c>
      <c r="C904">
        <f>IFERROR(INDEX('[AQ_2022.xlsx]原始数据'!$A:$A,ROW(A1)+903),"")</f>
        <v/>
      </c>
      <c r="D904">
        <f>IFERROR(INDEX('[AQ_2023.xlsx]原始数据'!$A:$A,ROW(A1)+903),"")</f>
        <v/>
      </c>
      <c r="E904">
        <f>IFERROR(INDEX('[AQ_2024.xlsx]原始数据'!$A:$A,ROW(A1)+903),"")</f>
        <v/>
      </c>
      <c r="G904">
        <f>IF(903&lt;=1000,INDEX($A$2:$A$1001,903),IF(903&lt;=2000,INDEX($B$2:$B$1001,-97),IF(903&lt;=3000,INDEX($C$2:$C$1001,-1097),IF(903&lt;=4000,INDEX($D$2:$D$1001,-2097),IF(903&lt;=5000,INDEX($E$2:$E$1001,-3097),"")))))</f>
        <v/>
      </c>
    </row>
    <row r="905">
      <c r="A905">
        <f>IFERROR(INDEX('[AQ_2020.xlsx]原始数据'!$A:$A,ROW(A1)+904),"")</f>
        <v/>
      </c>
      <c r="B905">
        <f>IFERROR(INDEX('[AQ_2021.xlsx]原始数据'!$A:$A,ROW(A1)+904),"")</f>
        <v/>
      </c>
      <c r="C905">
        <f>IFERROR(INDEX('[AQ_2022.xlsx]原始数据'!$A:$A,ROW(A1)+904),"")</f>
        <v/>
      </c>
      <c r="D905">
        <f>IFERROR(INDEX('[AQ_2023.xlsx]原始数据'!$A:$A,ROW(A1)+904),"")</f>
        <v/>
      </c>
      <c r="E905">
        <f>IFERROR(INDEX('[AQ_2024.xlsx]原始数据'!$A:$A,ROW(A1)+904),"")</f>
        <v/>
      </c>
      <c r="G905">
        <f>IF(904&lt;=1000,INDEX($A$2:$A$1001,904),IF(904&lt;=2000,INDEX($B$2:$B$1001,-96),IF(904&lt;=3000,INDEX($C$2:$C$1001,-1096),IF(904&lt;=4000,INDEX($D$2:$D$1001,-2096),IF(904&lt;=5000,INDEX($E$2:$E$1001,-3096),"")))))</f>
        <v/>
      </c>
    </row>
    <row r="906">
      <c r="A906">
        <f>IFERROR(INDEX('[AQ_2020.xlsx]原始数据'!$A:$A,ROW(A1)+905),"")</f>
        <v/>
      </c>
      <c r="B906">
        <f>IFERROR(INDEX('[AQ_2021.xlsx]原始数据'!$A:$A,ROW(A1)+905),"")</f>
        <v/>
      </c>
      <c r="C906">
        <f>IFERROR(INDEX('[AQ_2022.xlsx]原始数据'!$A:$A,ROW(A1)+905),"")</f>
        <v/>
      </c>
      <c r="D906">
        <f>IFERROR(INDEX('[AQ_2023.xlsx]原始数据'!$A:$A,ROW(A1)+905),"")</f>
        <v/>
      </c>
      <c r="E906">
        <f>IFERROR(INDEX('[AQ_2024.xlsx]原始数据'!$A:$A,ROW(A1)+905),"")</f>
        <v/>
      </c>
      <c r="G906">
        <f>IF(905&lt;=1000,INDEX($A$2:$A$1001,905),IF(905&lt;=2000,INDEX($B$2:$B$1001,-95),IF(905&lt;=3000,INDEX($C$2:$C$1001,-1095),IF(905&lt;=4000,INDEX($D$2:$D$1001,-2095),IF(905&lt;=5000,INDEX($E$2:$E$1001,-3095),"")))))</f>
        <v/>
      </c>
    </row>
    <row r="907">
      <c r="A907">
        <f>IFERROR(INDEX('[AQ_2020.xlsx]原始数据'!$A:$A,ROW(A1)+906),"")</f>
        <v/>
      </c>
      <c r="B907">
        <f>IFERROR(INDEX('[AQ_2021.xlsx]原始数据'!$A:$A,ROW(A1)+906),"")</f>
        <v/>
      </c>
      <c r="C907">
        <f>IFERROR(INDEX('[AQ_2022.xlsx]原始数据'!$A:$A,ROW(A1)+906),"")</f>
        <v/>
      </c>
      <c r="D907">
        <f>IFERROR(INDEX('[AQ_2023.xlsx]原始数据'!$A:$A,ROW(A1)+906),"")</f>
        <v/>
      </c>
      <c r="E907">
        <f>IFERROR(INDEX('[AQ_2024.xlsx]原始数据'!$A:$A,ROW(A1)+906),"")</f>
        <v/>
      </c>
      <c r="G907">
        <f>IF(906&lt;=1000,INDEX($A$2:$A$1001,906),IF(906&lt;=2000,INDEX($B$2:$B$1001,-94),IF(906&lt;=3000,INDEX($C$2:$C$1001,-1094),IF(906&lt;=4000,INDEX($D$2:$D$1001,-2094),IF(906&lt;=5000,INDEX($E$2:$E$1001,-3094),"")))))</f>
        <v/>
      </c>
    </row>
    <row r="908">
      <c r="A908">
        <f>IFERROR(INDEX('[AQ_2020.xlsx]原始数据'!$A:$A,ROW(A1)+907),"")</f>
        <v/>
      </c>
      <c r="B908">
        <f>IFERROR(INDEX('[AQ_2021.xlsx]原始数据'!$A:$A,ROW(A1)+907),"")</f>
        <v/>
      </c>
      <c r="C908">
        <f>IFERROR(INDEX('[AQ_2022.xlsx]原始数据'!$A:$A,ROW(A1)+907),"")</f>
        <v/>
      </c>
      <c r="D908">
        <f>IFERROR(INDEX('[AQ_2023.xlsx]原始数据'!$A:$A,ROW(A1)+907),"")</f>
        <v/>
      </c>
      <c r="E908">
        <f>IFERROR(INDEX('[AQ_2024.xlsx]原始数据'!$A:$A,ROW(A1)+907),"")</f>
        <v/>
      </c>
      <c r="G908">
        <f>IF(907&lt;=1000,INDEX($A$2:$A$1001,907),IF(907&lt;=2000,INDEX($B$2:$B$1001,-93),IF(907&lt;=3000,INDEX($C$2:$C$1001,-1093),IF(907&lt;=4000,INDEX($D$2:$D$1001,-2093),IF(907&lt;=5000,INDEX($E$2:$E$1001,-3093),"")))))</f>
        <v/>
      </c>
    </row>
    <row r="909">
      <c r="A909">
        <f>IFERROR(INDEX('[AQ_2020.xlsx]原始数据'!$A:$A,ROW(A1)+908),"")</f>
        <v/>
      </c>
      <c r="B909">
        <f>IFERROR(INDEX('[AQ_2021.xlsx]原始数据'!$A:$A,ROW(A1)+908),"")</f>
        <v/>
      </c>
      <c r="C909">
        <f>IFERROR(INDEX('[AQ_2022.xlsx]原始数据'!$A:$A,ROW(A1)+908),"")</f>
        <v/>
      </c>
      <c r="D909">
        <f>IFERROR(INDEX('[AQ_2023.xlsx]原始数据'!$A:$A,ROW(A1)+908),"")</f>
        <v/>
      </c>
      <c r="E909">
        <f>IFERROR(INDEX('[AQ_2024.xlsx]原始数据'!$A:$A,ROW(A1)+908),"")</f>
        <v/>
      </c>
      <c r="G909">
        <f>IF(908&lt;=1000,INDEX($A$2:$A$1001,908),IF(908&lt;=2000,INDEX($B$2:$B$1001,-92),IF(908&lt;=3000,INDEX($C$2:$C$1001,-1092),IF(908&lt;=4000,INDEX($D$2:$D$1001,-2092),IF(908&lt;=5000,INDEX($E$2:$E$1001,-3092),"")))))</f>
        <v/>
      </c>
    </row>
    <row r="910">
      <c r="A910">
        <f>IFERROR(INDEX('[AQ_2020.xlsx]原始数据'!$A:$A,ROW(A1)+909),"")</f>
        <v/>
      </c>
      <c r="B910">
        <f>IFERROR(INDEX('[AQ_2021.xlsx]原始数据'!$A:$A,ROW(A1)+909),"")</f>
        <v/>
      </c>
      <c r="C910">
        <f>IFERROR(INDEX('[AQ_2022.xlsx]原始数据'!$A:$A,ROW(A1)+909),"")</f>
        <v/>
      </c>
      <c r="D910">
        <f>IFERROR(INDEX('[AQ_2023.xlsx]原始数据'!$A:$A,ROW(A1)+909),"")</f>
        <v/>
      </c>
      <c r="E910">
        <f>IFERROR(INDEX('[AQ_2024.xlsx]原始数据'!$A:$A,ROW(A1)+909),"")</f>
        <v/>
      </c>
      <c r="G910">
        <f>IF(909&lt;=1000,INDEX($A$2:$A$1001,909),IF(909&lt;=2000,INDEX($B$2:$B$1001,-91),IF(909&lt;=3000,INDEX($C$2:$C$1001,-1091),IF(909&lt;=4000,INDEX($D$2:$D$1001,-2091),IF(909&lt;=5000,INDEX($E$2:$E$1001,-3091),"")))))</f>
        <v/>
      </c>
    </row>
    <row r="911">
      <c r="A911">
        <f>IFERROR(INDEX('[AQ_2020.xlsx]原始数据'!$A:$A,ROW(A1)+910),"")</f>
        <v/>
      </c>
      <c r="B911">
        <f>IFERROR(INDEX('[AQ_2021.xlsx]原始数据'!$A:$A,ROW(A1)+910),"")</f>
        <v/>
      </c>
      <c r="C911">
        <f>IFERROR(INDEX('[AQ_2022.xlsx]原始数据'!$A:$A,ROW(A1)+910),"")</f>
        <v/>
      </c>
      <c r="D911">
        <f>IFERROR(INDEX('[AQ_2023.xlsx]原始数据'!$A:$A,ROW(A1)+910),"")</f>
        <v/>
      </c>
      <c r="E911">
        <f>IFERROR(INDEX('[AQ_2024.xlsx]原始数据'!$A:$A,ROW(A1)+910),"")</f>
        <v/>
      </c>
      <c r="G911">
        <f>IF(910&lt;=1000,INDEX($A$2:$A$1001,910),IF(910&lt;=2000,INDEX($B$2:$B$1001,-90),IF(910&lt;=3000,INDEX($C$2:$C$1001,-1090),IF(910&lt;=4000,INDEX($D$2:$D$1001,-2090),IF(910&lt;=5000,INDEX($E$2:$E$1001,-3090),"")))))</f>
        <v/>
      </c>
    </row>
    <row r="912">
      <c r="A912">
        <f>IFERROR(INDEX('[AQ_2020.xlsx]原始数据'!$A:$A,ROW(A1)+911),"")</f>
        <v/>
      </c>
      <c r="B912">
        <f>IFERROR(INDEX('[AQ_2021.xlsx]原始数据'!$A:$A,ROW(A1)+911),"")</f>
        <v/>
      </c>
      <c r="C912">
        <f>IFERROR(INDEX('[AQ_2022.xlsx]原始数据'!$A:$A,ROW(A1)+911),"")</f>
        <v/>
      </c>
      <c r="D912">
        <f>IFERROR(INDEX('[AQ_2023.xlsx]原始数据'!$A:$A,ROW(A1)+911),"")</f>
        <v/>
      </c>
      <c r="E912">
        <f>IFERROR(INDEX('[AQ_2024.xlsx]原始数据'!$A:$A,ROW(A1)+911),"")</f>
        <v/>
      </c>
      <c r="G912">
        <f>IF(911&lt;=1000,INDEX($A$2:$A$1001,911),IF(911&lt;=2000,INDEX($B$2:$B$1001,-89),IF(911&lt;=3000,INDEX($C$2:$C$1001,-1089),IF(911&lt;=4000,INDEX($D$2:$D$1001,-2089),IF(911&lt;=5000,INDEX($E$2:$E$1001,-3089),"")))))</f>
        <v/>
      </c>
    </row>
    <row r="913">
      <c r="A913">
        <f>IFERROR(INDEX('[AQ_2020.xlsx]原始数据'!$A:$A,ROW(A1)+912),"")</f>
        <v/>
      </c>
      <c r="B913">
        <f>IFERROR(INDEX('[AQ_2021.xlsx]原始数据'!$A:$A,ROW(A1)+912),"")</f>
        <v/>
      </c>
      <c r="C913">
        <f>IFERROR(INDEX('[AQ_2022.xlsx]原始数据'!$A:$A,ROW(A1)+912),"")</f>
        <v/>
      </c>
      <c r="D913">
        <f>IFERROR(INDEX('[AQ_2023.xlsx]原始数据'!$A:$A,ROW(A1)+912),"")</f>
        <v/>
      </c>
      <c r="E913">
        <f>IFERROR(INDEX('[AQ_2024.xlsx]原始数据'!$A:$A,ROW(A1)+912),"")</f>
        <v/>
      </c>
      <c r="G913">
        <f>IF(912&lt;=1000,INDEX($A$2:$A$1001,912),IF(912&lt;=2000,INDEX($B$2:$B$1001,-88),IF(912&lt;=3000,INDEX($C$2:$C$1001,-1088),IF(912&lt;=4000,INDEX($D$2:$D$1001,-2088),IF(912&lt;=5000,INDEX($E$2:$E$1001,-3088),"")))))</f>
        <v/>
      </c>
    </row>
    <row r="914">
      <c r="A914">
        <f>IFERROR(INDEX('[AQ_2020.xlsx]原始数据'!$A:$A,ROW(A1)+913),"")</f>
        <v/>
      </c>
      <c r="B914">
        <f>IFERROR(INDEX('[AQ_2021.xlsx]原始数据'!$A:$A,ROW(A1)+913),"")</f>
        <v/>
      </c>
      <c r="C914">
        <f>IFERROR(INDEX('[AQ_2022.xlsx]原始数据'!$A:$A,ROW(A1)+913),"")</f>
        <v/>
      </c>
      <c r="D914">
        <f>IFERROR(INDEX('[AQ_2023.xlsx]原始数据'!$A:$A,ROW(A1)+913),"")</f>
        <v/>
      </c>
      <c r="E914">
        <f>IFERROR(INDEX('[AQ_2024.xlsx]原始数据'!$A:$A,ROW(A1)+913),"")</f>
        <v/>
      </c>
      <c r="G914">
        <f>IF(913&lt;=1000,INDEX($A$2:$A$1001,913),IF(913&lt;=2000,INDEX($B$2:$B$1001,-87),IF(913&lt;=3000,INDEX($C$2:$C$1001,-1087),IF(913&lt;=4000,INDEX($D$2:$D$1001,-2087),IF(913&lt;=5000,INDEX($E$2:$E$1001,-3087),"")))))</f>
        <v/>
      </c>
    </row>
    <row r="915">
      <c r="A915">
        <f>IFERROR(INDEX('[AQ_2020.xlsx]原始数据'!$A:$A,ROW(A1)+914),"")</f>
        <v/>
      </c>
      <c r="B915">
        <f>IFERROR(INDEX('[AQ_2021.xlsx]原始数据'!$A:$A,ROW(A1)+914),"")</f>
        <v/>
      </c>
      <c r="C915">
        <f>IFERROR(INDEX('[AQ_2022.xlsx]原始数据'!$A:$A,ROW(A1)+914),"")</f>
        <v/>
      </c>
      <c r="D915">
        <f>IFERROR(INDEX('[AQ_2023.xlsx]原始数据'!$A:$A,ROW(A1)+914),"")</f>
        <v/>
      </c>
      <c r="E915">
        <f>IFERROR(INDEX('[AQ_2024.xlsx]原始数据'!$A:$A,ROW(A1)+914),"")</f>
        <v/>
      </c>
      <c r="G915">
        <f>IF(914&lt;=1000,INDEX($A$2:$A$1001,914),IF(914&lt;=2000,INDEX($B$2:$B$1001,-86),IF(914&lt;=3000,INDEX($C$2:$C$1001,-1086),IF(914&lt;=4000,INDEX($D$2:$D$1001,-2086),IF(914&lt;=5000,INDEX($E$2:$E$1001,-3086),"")))))</f>
        <v/>
      </c>
    </row>
    <row r="916">
      <c r="A916">
        <f>IFERROR(INDEX('[AQ_2020.xlsx]原始数据'!$A:$A,ROW(A1)+915),"")</f>
        <v/>
      </c>
      <c r="B916">
        <f>IFERROR(INDEX('[AQ_2021.xlsx]原始数据'!$A:$A,ROW(A1)+915),"")</f>
        <v/>
      </c>
      <c r="C916">
        <f>IFERROR(INDEX('[AQ_2022.xlsx]原始数据'!$A:$A,ROW(A1)+915),"")</f>
        <v/>
      </c>
      <c r="D916">
        <f>IFERROR(INDEX('[AQ_2023.xlsx]原始数据'!$A:$A,ROW(A1)+915),"")</f>
        <v/>
      </c>
      <c r="E916">
        <f>IFERROR(INDEX('[AQ_2024.xlsx]原始数据'!$A:$A,ROW(A1)+915),"")</f>
        <v/>
      </c>
      <c r="G916">
        <f>IF(915&lt;=1000,INDEX($A$2:$A$1001,915),IF(915&lt;=2000,INDEX($B$2:$B$1001,-85),IF(915&lt;=3000,INDEX($C$2:$C$1001,-1085),IF(915&lt;=4000,INDEX($D$2:$D$1001,-2085),IF(915&lt;=5000,INDEX($E$2:$E$1001,-3085),"")))))</f>
        <v/>
      </c>
    </row>
    <row r="917">
      <c r="A917">
        <f>IFERROR(INDEX('[AQ_2020.xlsx]原始数据'!$A:$A,ROW(A1)+916),"")</f>
        <v/>
      </c>
      <c r="B917">
        <f>IFERROR(INDEX('[AQ_2021.xlsx]原始数据'!$A:$A,ROW(A1)+916),"")</f>
        <v/>
      </c>
      <c r="C917">
        <f>IFERROR(INDEX('[AQ_2022.xlsx]原始数据'!$A:$A,ROW(A1)+916),"")</f>
        <v/>
      </c>
      <c r="D917">
        <f>IFERROR(INDEX('[AQ_2023.xlsx]原始数据'!$A:$A,ROW(A1)+916),"")</f>
        <v/>
      </c>
      <c r="E917">
        <f>IFERROR(INDEX('[AQ_2024.xlsx]原始数据'!$A:$A,ROW(A1)+916),"")</f>
        <v/>
      </c>
      <c r="G917">
        <f>IF(916&lt;=1000,INDEX($A$2:$A$1001,916),IF(916&lt;=2000,INDEX($B$2:$B$1001,-84),IF(916&lt;=3000,INDEX($C$2:$C$1001,-1084),IF(916&lt;=4000,INDEX($D$2:$D$1001,-2084),IF(916&lt;=5000,INDEX($E$2:$E$1001,-3084),"")))))</f>
        <v/>
      </c>
    </row>
    <row r="918">
      <c r="A918">
        <f>IFERROR(INDEX('[AQ_2020.xlsx]原始数据'!$A:$A,ROW(A1)+917),"")</f>
        <v/>
      </c>
      <c r="B918">
        <f>IFERROR(INDEX('[AQ_2021.xlsx]原始数据'!$A:$A,ROW(A1)+917),"")</f>
        <v/>
      </c>
      <c r="C918">
        <f>IFERROR(INDEX('[AQ_2022.xlsx]原始数据'!$A:$A,ROW(A1)+917),"")</f>
        <v/>
      </c>
      <c r="D918">
        <f>IFERROR(INDEX('[AQ_2023.xlsx]原始数据'!$A:$A,ROW(A1)+917),"")</f>
        <v/>
      </c>
      <c r="E918">
        <f>IFERROR(INDEX('[AQ_2024.xlsx]原始数据'!$A:$A,ROW(A1)+917),"")</f>
        <v/>
      </c>
      <c r="G918">
        <f>IF(917&lt;=1000,INDEX($A$2:$A$1001,917),IF(917&lt;=2000,INDEX($B$2:$B$1001,-83),IF(917&lt;=3000,INDEX($C$2:$C$1001,-1083),IF(917&lt;=4000,INDEX($D$2:$D$1001,-2083),IF(917&lt;=5000,INDEX($E$2:$E$1001,-3083),"")))))</f>
        <v/>
      </c>
    </row>
    <row r="919">
      <c r="A919">
        <f>IFERROR(INDEX('[AQ_2020.xlsx]原始数据'!$A:$A,ROW(A1)+918),"")</f>
        <v/>
      </c>
      <c r="B919">
        <f>IFERROR(INDEX('[AQ_2021.xlsx]原始数据'!$A:$A,ROW(A1)+918),"")</f>
        <v/>
      </c>
      <c r="C919">
        <f>IFERROR(INDEX('[AQ_2022.xlsx]原始数据'!$A:$A,ROW(A1)+918),"")</f>
        <v/>
      </c>
      <c r="D919">
        <f>IFERROR(INDEX('[AQ_2023.xlsx]原始数据'!$A:$A,ROW(A1)+918),"")</f>
        <v/>
      </c>
      <c r="E919">
        <f>IFERROR(INDEX('[AQ_2024.xlsx]原始数据'!$A:$A,ROW(A1)+918),"")</f>
        <v/>
      </c>
      <c r="G919">
        <f>IF(918&lt;=1000,INDEX($A$2:$A$1001,918),IF(918&lt;=2000,INDEX($B$2:$B$1001,-82),IF(918&lt;=3000,INDEX($C$2:$C$1001,-1082),IF(918&lt;=4000,INDEX($D$2:$D$1001,-2082),IF(918&lt;=5000,INDEX($E$2:$E$1001,-3082),"")))))</f>
        <v/>
      </c>
    </row>
    <row r="920">
      <c r="A920">
        <f>IFERROR(INDEX('[AQ_2020.xlsx]原始数据'!$A:$A,ROW(A1)+919),"")</f>
        <v/>
      </c>
      <c r="B920">
        <f>IFERROR(INDEX('[AQ_2021.xlsx]原始数据'!$A:$A,ROW(A1)+919),"")</f>
        <v/>
      </c>
      <c r="C920">
        <f>IFERROR(INDEX('[AQ_2022.xlsx]原始数据'!$A:$A,ROW(A1)+919),"")</f>
        <v/>
      </c>
      <c r="D920">
        <f>IFERROR(INDEX('[AQ_2023.xlsx]原始数据'!$A:$A,ROW(A1)+919),"")</f>
        <v/>
      </c>
      <c r="E920">
        <f>IFERROR(INDEX('[AQ_2024.xlsx]原始数据'!$A:$A,ROW(A1)+919),"")</f>
        <v/>
      </c>
      <c r="G920">
        <f>IF(919&lt;=1000,INDEX($A$2:$A$1001,919),IF(919&lt;=2000,INDEX($B$2:$B$1001,-81),IF(919&lt;=3000,INDEX($C$2:$C$1001,-1081),IF(919&lt;=4000,INDEX($D$2:$D$1001,-2081),IF(919&lt;=5000,INDEX($E$2:$E$1001,-3081),"")))))</f>
        <v/>
      </c>
    </row>
    <row r="921">
      <c r="A921">
        <f>IFERROR(INDEX('[AQ_2020.xlsx]原始数据'!$A:$A,ROW(A1)+920),"")</f>
        <v/>
      </c>
      <c r="B921">
        <f>IFERROR(INDEX('[AQ_2021.xlsx]原始数据'!$A:$A,ROW(A1)+920),"")</f>
        <v/>
      </c>
      <c r="C921">
        <f>IFERROR(INDEX('[AQ_2022.xlsx]原始数据'!$A:$A,ROW(A1)+920),"")</f>
        <v/>
      </c>
      <c r="D921">
        <f>IFERROR(INDEX('[AQ_2023.xlsx]原始数据'!$A:$A,ROW(A1)+920),"")</f>
        <v/>
      </c>
      <c r="E921">
        <f>IFERROR(INDEX('[AQ_2024.xlsx]原始数据'!$A:$A,ROW(A1)+920),"")</f>
        <v/>
      </c>
      <c r="G921">
        <f>IF(920&lt;=1000,INDEX($A$2:$A$1001,920),IF(920&lt;=2000,INDEX($B$2:$B$1001,-80),IF(920&lt;=3000,INDEX($C$2:$C$1001,-1080),IF(920&lt;=4000,INDEX($D$2:$D$1001,-2080),IF(920&lt;=5000,INDEX($E$2:$E$1001,-3080),"")))))</f>
        <v/>
      </c>
    </row>
    <row r="922">
      <c r="A922">
        <f>IFERROR(INDEX('[AQ_2020.xlsx]原始数据'!$A:$A,ROW(A1)+921),"")</f>
        <v/>
      </c>
      <c r="B922">
        <f>IFERROR(INDEX('[AQ_2021.xlsx]原始数据'!$A:$A,ROW(A1)+921),"")</f>
        <v/>
      </c>
      <c r="C922">
        <f>IFERROR(INDEX('[AQ_2022.xlsx]原始数据'!$A:$A,ROW(A1)+921),"")</f>
        <v/>
      </c>
      <c r="D922">
        <f>IFERROR(INDEX('[AQ_2023.xlsx]原始数据'!$A:$A,ROW(A1)+921),"")</f>
        <v/>
      </c>
      <c r="E922">
        <f>IFERROR(INDEX('[AQ_2024.xlsx]原始数据'!$A:$A,ROW(A1)+921),"")</f>
        <v/>
      </c>
      <c r="G922">
        <f>IF(921&lt;=1000,INDEX($A$2:$A$1001,921),IF(921&lt;=2000,INDEX($B$2:$B$1001,-79),IF(921&lt;=3000,INDEX($C$2:$C$1001,-1079),IF(921&lt;=4000,INDEX($D$2:$D$1001,-2079),IF(921&lt;=5000,INDEX($E$2:$E$1001,-3079),"")))))</f>
        <v/>
      </c>
    </row>
    <row r="923">
      <c r="A923">
        <f>IFERROR(INDEX('[AQ_2020.xlsx]原始数据'!$A:$A,ROW(A1)+922),"")</f>
        <v/>
      </c>
      <c r="B923">
        <f>IFERROR(INDEX('[AQ_2021.xlsx]原始数据'!$A:$A,ROW(A1)+922),"")</f>
        <v/>
      </c>
      <c r="C923">
        <f>IFERROR(INDEX('[AQ_2022.xlsx]原始数据'!$A:$A,ROW(A1)+922),"")</f>
        <v/>
      </c>
      <c r="D923">
        <f>IFERROR(INDEX('[AQ_2023.xlsx]原始数据'!$A:$A,ROW(A1)+922),"")</f>
        <v/>
      </c>
      <c r="E923">
        <f>IFERROR(INDEX('[AQ_2024.xlsx]原始数据'!$A:$A,ROW(A1)+922),"")</f>
        <v/>
      </c>
      <c r="G923">
        <f>IF(922&lt;=1000,INDEX($A$2:$A$1001,922),IF(922&lt;=2000,INDEX($B$2:$B$1001,-78),IF(922&lt;=3000,INDEX($C$2:$C$1001,-1078),IF(922&lt;=4000,INDEX($D$2:$D$1001,-2078),IF(922&lt;=5000,INDEX($E$2:$E$1001,-3078),"")))))</f>
        <v/>
      </c>
    </row>
    <row r="924">
      <c r="A924">
        <f>IFERROR(INDEX('[AQ_2020.xlsx]原始数据'!$A:$A,ROW(A1)+923),"")</f>
        <v/>
      </c>
      <c r="B924">
        <f>IFERROR(INDEX('[AQ_2021.xlsx]原始数据'!$A:$A,ROW(A1)+923),"")</f>
        <v/>
      </c>
      <c r="C924">
        <f>IFERROR(INDEX('[AQ_2022.xlsx]原始数据'!$A:$A,ROW(A1)+923),"")</f>
        <v/>
      </c>
      <c r="D924">
        <f>IFERROR(INDEX('[AQ_2023.xlsx]原始数据'!$A:$A,ROW(A1)+923),"")</f>
        <v/>
      </c>
      <c r="E924">
        <f>IFERROR(INDEX('[AQ_2024.xlsx]原始数据'!$A:$A,ROW(A1)+923),"")</f>
        <v/>
      </c>
      <c r="G924">
        <f>IF(923&lt;=1000,INDEX($A$2:$A$1001,923),IF(923&lt;=2000,INDEX($B$2:$B$1001,-77),IF(923&lt;=3000,INDEX($C$2:$C$1001,-1077),IF(923&lt;=4000,INDEX($D$2:$D$1001,-2077),IF(923&lt;=5000,INDEX($E$2:$E$1001,-3077),"")))))</f>
        <v/>
      </c>
    </row>
    <row r="925">
      <c r="A925">
        <f>IFERROR(INDEX('[AQ_2020.xlsx]原始数据'!$A:$A,ROW(A1)+924),"")</f>
        <v/>
      </c>
      <c r="B925">
        <f>IFERROR(INDEX('[AQ_2021.xlsx]原始数据'!$A:$A,ROW(A1)+924),"")</f>
        <v/>
      </c>
      <c r="C925">
        <f>IFERROR(INDEX('[AQ_2022.xlsx]原始数据'!$A:$A,ROW(A1)+924),"")</f>
        <v/>
      </c>
      <c r="D925">
        <f>IFERROR(INDEX('[AQ_2023.xlsx]原始数据'!$A:$A,ROW(A1)+924),"")</f>
        <v/>
      </c>
      <c r="E925">
        <f>IFERROR(INDEX('[AQ_2024.xlsx]原始数据'!$A:$A,ROW(A1)+924),"")</f>
        <v/>
      </c>
      <c r="G925">
        <f>IF(924&lt;=1000,INDEX($A$2:$A$1001,924),IF(924&lt;=2000,INDEX($B$2:$B$1001,-76),IF(924&lt;=3000,INDEX($C$2:$C$1001,-1076),IF(924&lt;=4000,INDEX($D$2:$D$1001,-2076),IF(924&lt;=5000,INDEX($E$2:$E$1001,-3076),"")))))</f>
        <v/>
      </c>
    </row>
    <row r="926">
      <c r="A926">
        <f>IFERROR(INDEX('[AQ_2020.xlsx]原始数据'!$A:$A,ROW(A1)+925),"")</f>
        <v/>
      </c>
      <c r="B926">
        <f>IFERROR(INDEX('[AQ_2021.xlsx]原始数据'!$A:$A,ROW(A1)+925),"")</f>
        <v/>
      </c>
      <c r="C926">
        <f>IFERROR(INDEX('[AQ_2022.xlsx]原始数据'!$A:$A,ROW(A1)+925),"")</f>
        <v/>
      </c>
      <c r="D926">
        <f>IFERROR(INDEX('[AQ_2023.xlsx]原始数据'!$A:$A,ROW(A1)+925),"")</f>
        <v/>
      </c>
      <c r="E926">
        <f>IFERROR(INDEX('[AQ_2024.xlsx]原始数据'!$A:$A,ROW(A1)+925),"")</f>
        <v/>
      </c>
      <c r="G926">
        <f>IF(925&lt;=1000,INDEX($A$2:$A$1001,925),IF(925&lt;=2000,INDEX($B$2:$B$1001,-75),IF(925&lt;=3000,INDEX($C$2:$C$1001,-1075),IF(925&lt;=4000,INDEX($D$2:$D$1001,-2075),IF(925&lt;=5000,INDEX($E$2:$E$1001,-3075),"")))))</f>
        <v/>
      </c>
    </row>
    <row r="927">
      <c r="A927">
        <f>IFERROR(INDEX('[AQ_2020.xlsx]原始数据'!$A:$A,ROW(A1)+926),"")</f>
        <v/>
      </c>
      <c r="B927">
        <f>IFERROR(INDEX('[AQ_2021.xlsx]原始数据'!$A:$A,ROW(A1)+926),"")</f>
        <v/>
      </c>
      <c r="C927">
        <f>IFERROR(INDEX('[AQ_2022.xlsx]原始数据'!$A:$A,ROW(A1)+926),"")</f>
        <v/>
      </c>
      <c r="D927">
        <f>IFERROR(INDEX('[AQ_2023.xlsx]原始数据'!$A:$A,ROW(A1)+926),"")</f>
        <v/>
      </c>
      <c r="E927">
        <f>IFERROR(INDEX('[AQ_2024.xlsx]原始数据'!$A:$A,ROW(A1)+926),"")</f>
        <v/>
      </c>
      <c r="G927">
        <f>IF(926&lt;=1000,INDEX($A$2:$A$1001,926),IF(926&lt;=2000,INDEX($B$2:$B$1001,-74),IF(926&lt;=3000,INDEX($C$2:$C$1001,-1074),IF(926&lt;=4000,INDEX($D$2:$D$1001,-2074),IF(926&lt;=5000,INDEX($E$2:$E$1001,-3074),"")))))</f>
        <v/>
      </c>
    </row>
    <row r="928">
      <c r="A928">
        <f>IFERROR(INDEX('[AQ_2020.xlsx]原始数据'!$A:$A,ROW(A1)+927),"")</f>
        <v/>
      </c>
      <c r="B928">
        <f>IFERROR(INDEX('[AQ_2021.xlsx]原始数据'!$A:$A,ROW(A1)+927),"")</f>
        <v/>
      </c>
      <c r="C928">
        <f>IFERROR(INDEX('[AQ_2022.xlsx]原始数据'!$A:$A,ROW(A1)+927),"")</f>
        <v/>
      </c>
      <c r="D928">
        <f>IFERROR(INDEX('[AQ_2023.xlsx]原始数据'!$A:$A,ROW(A1)+927),"")</f>
        <v/>
      </c>
      <c r="E928">
        <f>IFERROR(INDEX('[AQ_2024.xlsx]原始数据'!$A:$A,ROW(A1)+927),"")</f>
        <v/>
      </c>
      <c r="G928">
        <f>IF(927&lt;=1000,INDEX($A$2:$A$1001,927),IF(927&lt;=2000,INDEX($B$2:$B$1001,-73),IF(927&lt;=3000,INDEX($C$2:$C$1001,-1073),IF(927&lt;=4000,INDEX($D$2:$D$1001,-2073),IF(927&lt;=5000,INDEX($E$2:$E$1001,-3073),"")))))</f>
        <v/>
      </c>
    </row>
    <row r="929">
      <c r="A929">
        <f>IFERROR(INDEX('[AQ_2020.xlsx]原始数据'!$A:$A,ROW(A1)+928),"")</f>
        <v/>
      </c>
      <c r="B929">
        <f>IFERROR(INDEX('[AQ_2021.xlsx]原始数据'!$A:$A,ROW(A1)+928),"")</f>
        <v/>
      </c>
      <c r="C929">
        <f>IFERROR(INDEX('[AQ_2022.xlsx]原始数据'!$A:$A,ROW(A1)+928),"")</f>
        <v/>
      </c>
      <c r="D929">
        <f>IFERROR(INDEX('[AQ_2023.xlsx]原始数据'!$A:$A,ROW(A1)+928),"")</f>
        <v/>
      </c>
      <c r="E929">
        <f>IFERROR(INDEX('[AQ_2024.xlsx]原始数据'!$A:$A,ROW(A1)+928),"")</f>
        <v/>
      </c>
      <c r="G929">
        <f>IF(928&lt;=1000,INDEX($A$2:$A$1001,928),IF(928&lt;=2000,INDEX($B$2:$B$1001,-72),IF(928&lt;=3000,INDEX($C$2:$C$1001,-1072),IF(928&lt;=4000,INDEX($D$2:$D$1001,-2072),IF(928&lt;=5000,INDEX($E$2:$E$1001,-3072),"")))))</f>
        <v/>
      </c>
    </row>
    <row r="930">
      <c r="A930">
        <f>IFERROR(INDEX('[AQ_2020.xlsx]原始数据'!$A:$A,ROW(A1)+929),"")</f>
        <v/>
      </c>
      <c r="B930">
        <f>IFERROR(INDEX('[AQ_2021.xlsx]原始数据'!$A:$A,ROW(A1)+929),"")</f>
        <v/>
      </c>
      <c r="C930">
        <f>IFERROR(INDEX('[AQ_2022.xlsx]原始数据'!$A:$A,ROW(A1)+929),"")</f>
        <v/>
      </c>
      <c r="D930">
        <f>IFERROR(INDEX('[AQ_2023.xlsx]原始数据'!$A:$A,ROW(A1)+929),"")</f>
        <v/>
      </c>
      <c r="E930">
        <f>IFERROR(INDEX('[AQ_2024.xlsx]原始数据'!$A:$A,ROW(A1)+929),"")</f>
        <v/>
      </c>
      <c r="G930">
        <f>IF(929&lt;=1000,INDEX($A$2:$A$1001,929),IF(929&lt;=2000,INDEX($B$2:$B$1001,-71),IF(929&lt;=3000,INDEX($C$2:$C$1001,-1071),IF(929&lt;=4000,INDEX($D$2:$D$1001,-2071),IF(929&lt;=5000,INDEX($E$2:$E$1001,-3071),"")))))</f>
        <v/>
      </c>
    </row>
    <row r="931">
      <c r="A931">
        <f>IFERROR(INDEX('[AQ_2020.xlsx]原始数据'!$A:$A,ROW(A1)+930),"")</f>
        <v/>
      </c>
      <c r="B931">
        <f>IFERROR(INDEX('[AQ_2021.xlsx]原始数据'!$A:$A,ROW(A1)+930),"")</f>
        <v/>
      </c>
      <c r="C931">
        <f>IFERROR(INDEX('[AQ_2022.xlsx]原始数据'!$A:$A,ROW(A1)+930),"")</f>
        <v/>
      </c>
      <c r="D931">
        <f>IFERROR(INDEX('[AQ_2023.xlsx]原始数据'!$A:$A,ROW(A1)+930),"")</f>
        <v/>
      </c>
      <c r="E931">
        <f>IFERROR(INDEX('[AQ_2024.xlsx]原始数据'!$A:$A,ROW(A1)+930),"")</f>
        <v/>
      </c>
      <c r="G931">
        <f>IF(930&lt;=1000,INDEX($A$2:$A$1001,930),IF(930&lt;=2000,INDEX($B$2:$B$1001,-70),IF(930&lt;=3000,INDEX($C$2:$C$1001,-1070),IF(930&lt;=4000,INDEX($D$2:$D$1001,-2070),IF(930&lt;=5000,INDEX($E$2:$E$1001,-3070),"")))))</f>
        <v/>
      </c>
    </row>
    <row r="932">
      <c r="A932">
        <f>IFERROR(INDEX('[AQ_2020.xlsx]原始数据'!$A:$A,ROW(A1)+931),"")</f>
        <v/>
      </c>
      <c r="B932">
        <f>IFERROR(INDEX('[AQ_2021.xlsx]原始数据'!$A:$A,ROW(A1)+931),"")</f>
        <v/>
      </c>
      <c r="C932">
        <f>IFERROR(INDEX('[AQ_2022.xlsx]原始数据'!$A:$A,ROW(A1)+931),"")</f>
        <v/>
      </c>
      <c r="D932">
        <f>IFERROR(INDEX('[AQ_2023.xlsx]原始数据'!$A:$A,ROW(A1)+931),"")</f>
        <v/>
      </c>
      <c r="E932">
        <f>IFERROR(INDEX('[AQ_2024.xlsx]原始数据'!$A:$A,ROW(A1)+931),"")</f>
        <v/>
      </c>
      <c r="G932">
        <f>IF(931&lt;=1000,INDEX($A$2:$A$1001,931),IF(931&lt;=2000,INDEX($B$2:$B$1001,-69),IF(931&lt;=3000,INDEX($C$2:$C$1001,-1069),IF(931&lt;=4000,INDEX($D$2:$D$1001,-2069),IF(931&lt;=5000,INDEX($E$2:$E$1001,-3069),"")))))</f>
        <v/>
      </c>
    </row>
    <row r="933">
      <c r="A933">
        <f>IFERROR(INDEX('[AQ_2020.xlsx]原始数据'!$A:$A,ROW(A1)+932),"")</f>
        <v/>
      </c>
      <c r="B933">
        <f>IFERROR(INDEX('[AQ_2021.xlsx]原始数据'!$A:$A,ROW(A1)+932),"")</f>
        <v/>
      </c>
      <c r="C933">
        <f>IFERROR(INDEX('[AQ_2022.xlsx]原始数据'!$A:$A,ROW(A1)+932),"")</f>
        <v/>
      </c>
      <c r="D933">
        <f>IFERROR(INDEX('[AQ_2023.xlsx]原始数据'!$A:$A,ROW(A1)+932),"")</f>
        <v/>
      </c>
      <c r="E933">
        <f>IFERROR(INDEX('[AQ_2024.xlsx]原始数据'!$A:$A,ROW(A1)+932),"")</f>
        <v/>
      </c>
      <c r="G933">
        <f>IF(932&lt;=1000,INDEX($A$2:$A$1001,932),IF(932&lt;=2000,INDEX($B$2:$B$1001,-68),IF(932&lt;=3000,INDEX($C$2:$C$1001,-1068),IF(932&lt;=4000,INDEX($D$2:$D$1001,-2068),IF(932&lt;=5000,INDEX($E$2:$E$1001,-3068),"")))))</f>
        <v/>
      </c>
    </row>
    <row r="934">
      <c r="A934">
        <f>IFERROR(INDEX('[AQ_2020.xlsx]原始数据'!$A:$A,ROW(A1)+933),"")</f>
        <v/>
      </c>
      <c r="B934">
        <f>IFERROR(INDEX('[AQ_2021.xlsx]原始数据'!$A:$A,ROW(A1)+933),"")</f>
        <v/>
      </c>
      <c r="C934">
        <f>IFERROR(INDEX('[AQ_2022.xlsx]原始数据'!$A:$A,ROW(A1)+933),"")</f>
        <v/>
      </c>
      <c r="D934">
        <f>IFERROR(INDEX('[AQ_2023.xlsx]原始数据'!$A:$A,ROW(A1)+933),"")</f>
        <v/>
      </c>
      <c r="E934">
        <f>IFERROR(INDEX('[AQ_2024.xlsx]原始数据'!$A:$A,ROW(A1)+933),"")</f>
        <v/>
      </c>
      <c r="G934">
        <f>IF(933&lt;=1000,INDEX($A$2:$A$1001,933),IF(933&lt;=2000,INDEX($B$2:$B$1001,-67),IF(933&lt;=3000,INDEX($C$2:$C$1001,-1067),IF(933&lt;=4000,INDEX($D$2:$D$1001,-2067),IF(933&lt;=5000,INDEX($E$2:$E$1001,-3067),"")))))</f>
        <v/>
      </c>
    </row>
    <row r="935">
      <c r="A935">
        <f>IFERROR(INDEX('[AQ_2020.xlsx]原始数据'!$A:$A,ROW(A1)+934),"")</f>
        <v/>
      </c>
      <c r="B935">
        <f>IFERROR(INDEX('[AQ_2021.xlsx]原始数据'!$A:$A,ROW(A1)+934),"")</f>
        <v/>
      </c>
      <c r="C935">
        <f>IFERROR(INDEX('[AQ_2022.xlsx]原始数据'!$A:$A,ROW(A1)+934),"")</f>
        <v/>
      </c>
      <c r="D935">
        <f>IFERROR(INDEX('[AQ_2023.xlsx]原始数据'!$A:$A,ROW(A1)+934),"")</f>
        <v/>
      </c>
      <c r="E935">
        <f>IFERROR(INDEX('[AQ_2024.xlsx]原始数据'!$A:$A,ROW(A1)+934),"")</f>
        <v/>
      </c>
      <c r="G935">
        <f>IF(934&lt;=1000,INDEX($A$2:$A$1001,934),IF(934&lt;=2000,INDEX($B$2:$B$1001,-66),IF(934&lt;=3000,INDEX($C$2:$C$1001,-1066),IF(934&lt;=4000,INDEX($D$2:$D$1001,-2066),IF(934&lt;=5000,INDEX($E$2:$E$1001,-3066),"")))))</f>
        <v/>
      </c>
    </row>
    <row r="936">
      <c r="A936">
        <f>IFERROR(INDEX('[AQ_2020.xlsx]原始数据'!$A:$A,ROW(A1)+935),"")</f>
        <v/>
      </c>
      <c r="B936">
        <f>IFERROR(INDEX('[AQ_2021.xlsx]原始数据'!$A:$A,ROW(A1)+935),"")</f>
        <v/>
      </c>
      <c r="C936">
        <f>IFERROR(INDEX('[AQ_2022.xlsx]原始数据'!$A:$A,ROW(A1)+935),"")</f>
        <v/>
      </c>
      <c r="D936">
        <f>IFERROR(INDEX('[AQ_2023.xlsx]原始数据'!$A:$A,ROW(A1)+935),"")</f>
        <v/>
      </c>
      <c r="E936">
        <f>IFERROR(INDEX('[AQ_2024.xlsx]原始数据'!$A:$A,ROW(A1)+935),"")</f>
        <v/>
      </c>
      <c r="G936">
        <f>IF(935&lt;=1000,INDEX($A$2:$A$1001,935),IF(935&lt;=2000,INDEX($B$2:$B$1001,-65),IF(935&lt;=3000,INDEX($C$2:$C$1001,-1065),IF(935&lt;=4000,INDEX($D$2:$D$1001,-2065),IF(935&lt;=5000,INDEX($E$2:$E$1001,-3065),"")))))</f>
        <v/>
      </c>
    </row>
    <row r="937">
      <c r="A937">
        <f>IFERROR(INDEX('[AQ_2020.xlsx]原始数据'!$A:$A,ROW(A1)+936),"")</f>
        <v/>
      </c>
      <c r="B937">
        <f>IFERROR(INDEX('[AQ_2021.xlsx]原始数据'!$A:$A,ROW(A1)+936),"")</f>
        <v/>
      </c>
      <c r="C937">
        <f>IFERROR(INDEX('[AQ_2022.xlsx]原始数据'!$A:$A,ROW(A1)+936),"")</f>
        <v/>
      </c>
      <c r="D937">
        <f>IFERROR(INDEX('[AQ_2023.xlsx]原始数据'!$A:$A,ROW(A1)+936),"")</f>
        <v/>
      </c>
      <c r="E937">
        <f>IFERROR(INDEX('[AQ_2024.xlsx]原始数据'!$A:$A,ROW(A1)+936),"")</f>
        <v/>
      </c>
      <c r="G937">
        <f>IF(936&lt;=1000,INDEX($A$2:$A$1001,936),IF(936&lt;=2000,INDEX($B$2:$B$1001,-64),IF(936&lt;=3000,INDEX($C$2:$C$1001,-1064),IF(936&lt;=4000,INDEX($D$2:$D$1001,-2064),IF(936&lt;=5000,INDEX($E$2:$E$1001,-3064),"")))))</f>
        <v/>
      </c>
    </row>
    <row r="938">
      <c r="A938">
        <f>IFERROR(INDEX('[AQ_2020.xlsx]原始数据'!$A:$A,ROW(A1)+937),"")</f>
        <v/>
      </c>
      <c r="B938">
        <f>IFERROR(INDEX('[AQ_2021.xlsx]原始数据'!$A:$A,ROW(A1)+937),"")</f>
        <v/>
      </c>
      <c r="C938">
        <f>IFERROR(INDEX('[AQ_2022.xlsx]原始数据'!$A:$A,ROW(A1)+937),"")</f>
        <v/>
      </c>
      <c r="D938">
        <f>IFERROR(INDEX('[AQ_2023.xlsx]原始数据'!$A:$A,ROW(A1)+937),"")</f>
        <v/>
      </c>
      <c r="E938">
        <f>IFERROR(INDEX('[AQ_2024.xlsx]原始数据'!$A:$A,ROW(A1)+937),"")</f>
        <v/>
      </c>
      <c r="G938">
        <f>IF(937&lt;=1000,INDEX($A$2:$A$1001,937),IF(937&lt;=2000,INDEX($B$2:$B$1001,-63),IF(937&lt;=3000,INDEX($C$2:$C$1001,-1063),IF(937&lt;=4000,INDEX($D$2:$D$1001,-2063),IF(937&lt;=5000,INDEX($E$2:$E$1001,-3063),"")))))</f>
        <v/>
      </c>
    </row>
    <row r="939">
      <c r="A939">
        <f>IFERROR(INDEX('[AQ_2020.xlsx]原始数据'!$A:$A,ROW(A1)+938),"")</f>
        <v/>
      </c>
      <c r="B939">
        <f>IFERROR(INDEX('[AQ_2021.xlsx]原始数据'!$A:$A,ROW(A1)+938),"")</f>
        <v/>
      </c>
      <c r="C939">
        <f>IFERROR(INDEX('[AQ_2022.xlsx]原始数据'!$A:$A,ROW(A1)+938),"")</f>
        <v/>
      </c>
      <c r="D939">
        <f>IFERROR(INDEX('[AQ_2023.xlsx]原始数据'!$A:$A,ROW(A1)+938),"")</f>
        <v/>
      </c>
      <c r="E939">
        <f>IFERROR(INDEX('[AQ_2024.xlsx]原始数据'!$A:$A,ROW(A1)+938),"")</f>
        <v/>
      </c>
      <c r="G939">
        <f>IF(938&lt;=1000,INDEX($A$2:$A$1001,938),IF(938&lt;=2000,INDEX($B$2:$B$1001,-62),IF(938&lt;=3000,INDEX($C$2:$C$1001,-1062),IF(938&lt;=4000,INDEX($D$2:$D$1001,-2062),IF(938&lt;=5000,INDEX($E$2:$E$1001,-3062),"")))))</f>
        <v/>
      </c>
    </row>
    <row r="940">
      <c r="A940">
        <f>IFERROR(INDEX('[AQ_2020.xlsx]原始数据'!$A:$A,ROW(A1)+939),"")</f>
        <v/>
      </c>
      <c r="B940">
        <f>IFERROR(INDEX('[AQ_2021.xlsx]原始数据'!$A:$A,ROW(A1)+939),"")</f>
        <v/>
      </c>
      <c r="C940">
        <f>IFERROR(INDEX('[AQ_2022.xlsx]原始数据'!$A:$A,ROW(A1)+939),"")</f>
        <v/>
      </c>
      <c r="D940">
        <f>IFERROR(INDEX('[AQ_2023.xlsx]原始数据'!$A:$A,ROW(A1)+939),"")</f>
        <v/>
      </c>
      <c r="E940">
        <f>IFERROR(INDEX('[AQ_2024.xlsx]原始数据'!$A:$A,ROW(A1)+939),"")</f>
        <v/>
      </c>
      <c r="G940">
        <f>IF(939&lt;=1000,INDEX($A$2:$A$1001,939),IF(939&lt;=2000,INDEX($B$2:$B$1001,-61),IF(939&lt;=3000,INDEX($C$2:$C$1001,-1061),IF(939&lt;=4000,INDEX($D$2:$D$1001,-2061),IF(939&lt;=5000,INDEX($E$2:$E$1001,-3061),"")))))</f>
        <v/>
      </c>
    </row>
    <row r="941">
      <c r="A941">
        <f>IFERROR(INDEX('[AQ_2020.xlsx]原始数据'!$A:$A,ROW(A1)+940),"")</f>
        <v/>
      </c>
      <c r="B941">
        <f>IFERROR(INDEX('[AQ_2021.xlsx]原始数据'!$A:$A,ROW(A1)+940),"")</f>
        <v/>
      </c>
      <c r="C941">
        <f>IFERROR(INDEX('[AQ_2022.xlsx]原始数据'!$A:$A,ROW(A1)+940),"")</f>
        <v/>
      </c>
      <c r="D941">
        <f>IFERROR(INDEX('[AQ_2023.xlsx]原始数据'!$A:$A,ROW(A1)+940),"")</f>
        <v/>
      </c>
      <c r="E941">
        <f>IFERROR(INDEX('[AQ_2024.xlsx]原始数据'!$A:$A,ROW(A1)+940),"")</f>
        <v/>
      </c>
      <c r="G941">
        <f>IF(940&lt;=1000,INDEX($A$2:$A$1001,940),IF(940&lt;=2000,INDEX($B$2:$B$1001,-60),IF(940&lt;=3000,INDEX($C$2:$C$1001,-1060),IF(940&lt;=4000,INDEX($D$2:$D$1001,-2060),IF(940&lt;=5000,INDEX($E$2:$E$1001,-3060),"")))))</f>
        <v/>
      </c>
    </row>
    <row r="942">
      <c r="A942">
        <f>IFERROR(INDEX('[AQ_2020.xlsx]原始数据'!$A:$A,ROW(A1)+941),"")</f>
        <v/>
      </c>
      <c r="B942">
        <f>IFERROR(INDEX('[AQ_2021.xlsx]原始数据'!$A:$A,ROW(A1)+941),"")</f>
        <v/>
      </c>
      <c r="C942">
        <f>IFERROR(INDEX('[AQ_2022.xlsx]原始数据'!$A:$A,ROW(A1)+941),"")</f>
        <v/>
      </c>
      <c r="D942">
        <f>IFERROR(INDEX('[AQ_2023.xlsx]原始数据'!$A:$A,ROW(A1)+941),"")</f>
        <v/>
      </c>
      <c r="E942">
        <f>IFERROR(INDEX('[AQ_2024.xlsx]原始数据'!$A:$A,ROW(A1)+941),"")</f>
        <v/>
      </c>
      <c r="G942">
        <f>IF(941&lt;=1000,INDEX($A$2:$A$1001,941),IF(941&lt;=2000,INDEX($B$2:$B$1001,-59),IF(941&lt;=3000,INDEX($C$2:$C$1001,-1059),IF(941&lt;=4000,INDEX($D$2:$D$1001,-2059),IF(941&lt;=5000,INDEX($E$2:$E$1001,-3059),"")))))</f>
        <v/>
      </c>
    </row>
    <row r="943">
      <c r="A943">
        <f>IFERROR(INDEX('[AQ_2020.xlsx]原始数据'!$A:$A,ROW(A1)+942),"")</f>
        <v/>
      </c>
      <c r="B943">
        <f>IFERROR(INDEX('[AQ_2021.xlsx]原始数据'!$A:$A,ROW(A1)+942),"")</f>
        <v/>
      </c>
      <c r="C943">
        <f>IFERROR(INDEX('[AQ_2022.xlsx]原始数据'!$A:$A,ROW(A1)+942),"")</f>
        <v/>
      </c>
      <c r="D943">
        <f>IFERROR(INDEX('[AQ_2023.xlsx]原始数据'!$A:$A,ROW(A1)+942),"")</f>
        <v/>
      </c>
      <c r="E943">
        <f>IFERROR(INDEX('[AQ_2024.xlsx]原始数据'!$A:$A,ROW(A1)+942),"")</f>
        <v/>
      </c>
      <c r="G943">
        <f>IF(942&lt;=1000,INDEX($A$2:$A$1001,942),IF(942&lt;=2000,INDEX($B$2:$B$1001,-58),IF(942&lt;=3000,INDEX($C$2:$C$1001,-1058),IF(942&lt;=4000,INDEX($D$2:$D$1001,-2058),IF(942&lt;=5000,INDEX($E$2:$E$1001,-3058),"")))))</f>
        <v/>
      </c>
    </row>
    <row r="944">
      <c r="A944">
        <f>IFERROR(INDEX('[AQ_2020.xlsx]原始数据'!$A:$A,ROW(A1)+943),"")</f>
        <v/>
      </c>
      <c r="B944">
        <f>IFERROR(INDEX('[AQ_2021.xlsx]原始数据'!$A:$A,ROW(A1)+943),"")</f>
        <v/>
      </c>
      <c r="C944">
        <f>IFERROR(INDEX('[AQ_2022.xlsx]原始数据'!$A:$A,ROW(A1)+943),"")</f>
        <v/>
      </c>
      <c r="D944">
        <f>IFERROR(INDEX('[AQ_2023.xlsx]原始数据'!$A:$A,ROW(A1)+943),"")</f>
        <v/>
      </c>
      <c r="E944">
        <f>IFERROR(INDEX('[AQ_2024.xlsx]原始数据'!$A:$A,ROW(A1)+943),"")</f>
        <v/>
      </c>
      <c r="G944">
        <f>IF(943&lt;=1000,INDEX($A$2:$A$1001,943),IF(943&lt;=2000,INDEX($B$2:$B$1001,-57),IF(943&lt;=3000,INDEX($C$2:$C$1001,-1057),IF(943&lt;=4000,INDEX($D$2:$D$1001,-2057),IF(943&lt;=5000,INDEX($E$2:$E$1001,-3057),"")))))</f>
        <v/>
      </c>
    </row>
    <row r="945">
      <c r="A945">
        <f>IFERROR(INDEX('[AQ_2020.xlsx]原始数据'!$A:$A,ROW(A1)+944),"")</f>
        <v/>
      </c>
      <c r="B945">
        <f>IFERROR(INDEX('[AQ_2021.xlsx]原始数据'!$A:$A,ROW(A1)+944),"")</f>
        <v/>
      </c>
      <c r="C945">
        <f>IFERROR(INDEX('[AQ_2022.xlsx]原始数据'!$A:$A,ROW(A1)+944),"")</f>
        <v/>
      </c>
      <c r="D945">
        <f>IFERROR(INDEX('[AQ_2023.xlsx]原始数据'!$A:$A,ROW(A1)+944),"")</f>
        <v/>
      </c>
      <c r="E945">
        <f>IFERROR(INDEX('[AQ_2024.xlsx]原始数据'!$A:$A,ROW(A1)+944),"")</f>
        <v/>
      </c>
      <c r="G945">
        <f>IF(944&lt;=1000,INDEX($A$2:$A$1001,944),IF(944&lt;=2000,INDEX($B$2:$B$1001,-56),IF(944&lt;=3000,INDEX($C$2:$C$1001,-1056),IF(944&lt;=4000,INDEX($D$2:$D$1001,-2056),IF(944&lt;=5000,INDEX($E$2:$E$1001,-3056),"")))))</f>
        <v/>
      </c>
    </row>
    <row r="946">
      <c r="A946">
        <f>IFERROR(INDEX('[AQ_2020.xlsx]原始数据'!$A:$A,ROW(A1)+945),"")</f>
        <v/>
      </c>
      <c r="B946">
        <f>IFERROR(INDEX('[AQ_2021.xlsx]原始数据'!$A:$A,ROW(A1)+945),"")</f>
        <v/>
      </c>
      <c r="C946">
        <f>IFERROR(INDEX('[AQ_2022.xlsx]原始数据'!$A:$A,ROW(A1)+945),"")</f>
        <v/>
      </c>
      <c r="D946">
        <f>IFERROR(INDEX('[AQ_2023.xlsx]原始数据'!$A:$A,ROW(A1)+945),"")</f>
        <v/>
      </c>
      <c r="E946">
        <f>IFERROR(INDEX('[AQ_2024.xlsx]原始数据'!$A:$A,ROW(A1)+945),"")</f>
        <v/>
      </c>
      <c r="G946">
        <f>IF(945&lt;=1000,INDEX($A$2:$A$1001,945),IF(945&lt;=2000,INDEX($B$2:$B$1001,-55),IF(945&lt;=3000,INDEX($C$2:$C$1001,-1055),IF(945&lt;=4000,INDEX($D$2:$D$1001,-2055),IF(945&lt;=5000,INDEX($E$2:$E$1001,-3055),"")))))</f>
        <v/>
      </c>
    </row>
    <row r="947">
      <c r="A947">
        <f>IFERROR(INDEX('[AQ_2020.xlsx]原始数据'!$A:$A,ROW(A1)+946),"")</f>
        <v/>
      </c>
      <c r="B947">
        <f>IFERROR(INDEX('[AQ_2021.xlsx]原始数据'!$A:$A,ROW(A1)+946),"")</f>
        <v/>
      </c>
      <c r="C947">
        <f>IFERROR(INDEX('[AQ_2022.xlsx]原始数据'!$A:$A,ROW(A1)+946),"")</f>
        <v/>
      </c>
      <c r="D947">
        <f>IFERROR(INDEX('[AQ_2023.xlsx]原始数据'!$A:$A,ROW(A1)+946),"")</f>
        <v/>
      </c>
      <c r="E947">
        <f>IFERROR(INDEX('[AQ_2024.xlsx]原始数据'!$A:$A,ROW(A1)+946),"")</f>
        <v/>
      </c>
      <c r="G947">
        <f>IF(946&lt;=1000,INDEX($A$2:$A$1001,946),IF(946&lt;=2000,INDEX($B$2:$B$1001,-54),IF(946&lt;=3000,INDEX($C$2:$C$1001,-1054),IF(946&lt;=4000,INDEX($D$2:$D$1001,-2054),IF(946&lt;=5000,INDEX($E$2:$E$1001,-3054),"")))))</f>
        <v/>
      </c>
    </row>
    <row r="948">
      <c r="A948">
        <f>IFERROR(INDEX('[AQ_2020.xlsx]原始数据'!$A:$A,ROW(A1)+947),"")</f>
        <v/>
      </c>
      <c r="B948">
        <f>IFERROR(INDEX('[AQ_2021.xlsx]原始数据'!$A:$A,ROW(A1)+947),"")</f>
        <v/>
      </c>
      <c r="C948">
        <f>IFERROR(INDEX('[AQ_2022.xlsx]原始数据'!$A:$A,ROW(A1)+947),"")</f>
        <v/>
      </c>
      <c r="D948">
        <f>IFERROR(INDEX('[AQ_2023.xlsx]原始数据'!$A:$A,ROW(A1)+947),"")</f>
        <v/>
      </c>
      <c r="E948">
        <f>IFERROR(INDEX('[AQ_2024.xlsx]原始数据'!$A:$A,ROW(A1)+947),"")</f>
        <v/>
      </c>
      <c r="G948">
        <f>IF(947&lt;=1000,INDEX($A$2:$A$1001,947),IF(947&lt;=2000,INDEX($B$2:$B$1001,-53),IF(947&lt;=3000,INDEX($C$2:$C$1001,-1053),IF(947&lt;=4000,INDEX($D$2:$D$1001,-2053),IF(947&lt;=5000,INDEX($E$2:$E$1001,-3053),"")))))</f>
        <v/>
      </c>
    </row>
    <row r="949">
      <c r="A949">
        <f>IFERROR(INDEX('[AQ_2020.xlsx]原始数据'!$A:$A,ROW(A1)+948),"")</f>
        <v/>
      </c>
      <c r="B949">
        <f>IFERROR(INDEX('[AQ_2021.xlsx]原始数据'!$A:$A,ROW(A1)+948),"")</f>
        <v/>
      </c>
      <c r="C949">
        <f>IFERROR(INDEX('[AQ_2022.xlsx]原始数据'!$A:$A,ROW(A1)+948),"")</f>
        <v/>
      </c>
      <c r="D949">
        <f>IFERROR(INDEX('[AQ_2023.xlsx]原始数据'!$A:$A,ROW(A1)+948),"")</f>
        <v/>
      </c>
      <c r="E949">
        <f>IFERROR(INDEX('[AQ_2024.xlsx]原始数据'!$A:$A,ROW(A1)+948),"")</f>
        <v/>
      </c>
      <c r="G949">
        <f>IF(948&lt;=1000,INDEX($A$2:$A$1001,948),IF(948&lt;=2000,INDEX($B$2:$B$1001,-52),IF(948&lt;=3000,INDEX($C$2:$C$1001,-1052),IF(948&lt;=4000,INDEX($D$2:$D$1001,-2052),IF(948&lt;=5000,INDEX($E$2:$E$1001,-3052),"")))))</f>
        <v/>
      </c>
    </row>
    <row r="950">
      <c r="A950">
        <f>IFERROR(INDEX('[AQ_2020.xlsx]原始数据'!$A:$A,ROW(A1)+949),"")</f>
        <v/>
      </c>
      <c r="B950">
        <f>IFERROR(INDEX('[AQ_2021.xlsx]原始数据'!$A:$A,ROW(A1)+949),"")</f>
        <v/>
      </c>
      <c r="C950">
        <f>IFERROR(INDEX('[AQ_2022.xlsx]原始数据'!$A:$A,ROW(A1)+949),"")</f>
        <v/>
      </c>
      <c r="D950">
        <f>IFERROR(INDEX('[AQ_2023.xlsx]原始数据'!$A:$A,ROW(A1)+949),"")</f>
        <v/>
      </c>
      <c r="E950">
        <f>IFERROR(INDEX('[AQ_2024.xlsx]原始数据'!$A:$A,ROW(A1)+949),"")</f>
        <v/>
      </c>
      <c r="G950">
        <f>IF(949&lt;=1000,INDEX($A$2:$A$1001,949),IF(949&lt;=2000,INDEX($B$2:$B$1001,-51),IF(949&lt;=3000,INDEX($C$2:$C$1001,-1051),IF(949&lt;=4000,INDEX($D$2:$D$1001,-2051),IF(949&lt;=5000,INDEX($E$2:$E$1001,-3051),"")))))</f>
        <v/>
      </c>
    </row>
    <row r="951">
      <c r="A951">
        <f>IFERROR(INDEX('[AQ_2020.xlsx]原始数据'!$A:$A,ROW(A1)+950),"")</f>
        <v/>
      </c>
      <c r="B951">
        <f>IFERROR(INDEX('[AQ_2021.xlsx]原始数据'!$A:$A,ROW(A1)+950),"")</f>
        <v/>
      </c>
      <c r="C951">
        <f>IFERROR(INDEX('[AQ_2022.xlsx]原始数据'!$A:$A,ROW(A1)+950),"")</f>
        <v/>
      </c>
      <c r="D951">
        <f>IFERROR(INDEX('[AQ_2023.xlsx]原始数据'!$A:$A,ROW(A1)+950),"")</f>
        <v/>
      </c>
      <c r="E951">
        <f>IFERROR(INDEX('[AQ_2024.xlsx]原始数据'!$A:$A,ROW(A1)+950),"")</f>
        <v/>
      </c>
      <c r="G951">
        <f>IF(950&lt;=1000,INDEX($A$2:$A$1001,950),IF(950&lt;=2000,INDEX($B$2:$B$1001,-50),IF(950&lt;=3000,INDEX($C$2:$C$1001,-1050),IF(950&lt;=4000,INDEX($D$2:$D$1001,-2050),IF(950&lt;=5000,INDEX($E$2:$E$1001,-3050),"")))))</f>
        <v/>
      </c>
    </row>
    <row r="952">
      <c r="A952">
        <f>IFERROR(INDEX('[AQ_2020.xlsx]原始数据'!$A:$A,ROW(A1)+951),"")</f>
        <v/>
      </c>
      <c r="B952">
        <f>IFERROR(INDEX('[AQ_2021.xlsx]原始数据'!$A:$A,ROW(A1)+951),"")</f>
        <v/>
      </c>
      <c r="C952">
        <f>IFERROR(INDEX('[AQ_2022.xlsx]原始数据'!$A:$A,ROW(A1)+951),"")</f>
        <v/>
      </c>
      <c r="D952">
        <f>IFERROR(INDEX('[AQ_2023.xlsx]原始数据'!$A:$A,ROW(A1)+951),"")</f>
        <v/>
      </c>
      <c r="E952">
        <f>IFERROR(INDEX('[AQ_2024.xlsx]原始数据'!$A:$A,ROW(A1)+951),"")</f>
        <v/>
      </c>
      <c r="G952">
        <f>IF(951&lt;=1000,INDEX($A$2:$A$1001,951),IF(951&lt;=2000,INDEX($B$2:$B$1001,-49),IF(951&lt;=3000,INDEX($C$2:$C$1001,-1049),IF(951&lt;=4000,INDEX($D$2:$D$1001,-2049),IF(951&lt;=5000,INDEX($E$2:$E$1001,-3049),"")))))</f>
        <v/>
      </c>
    </row>
    <row r="953">
      <c r="A953">
        <f>IFERROR(INDEX('[AQ_2020.xlsx]原始数据'!$A:$A,ROW(A1)+952),"")</f>
        <v/>
      </c>
      <c r="B953">
        <f>IFERROR(INDEX('[AQ_2021.xlsx]原始数据'!$A:$A,ROW(A1)+952),"")</f>
        <v/>
      </c>
      <c r="C953">
        <f>IFERROR(INDEX('[AQ_2022.xlsx]原始数据'!$A:$A,ROW(A1)+952),"")</f>
        <v/>
      </c>
      <c r="D953">
        <f>IFERROR(INDEX('[AQ_2023.xlsx]原始数据'!$A:$A,ROW(A1)+952),"")</f>
        <v/>
      </c>
      <c r="E953">
        <f>IFERROR(INDEX('[AQ_2024.xlsx]原始数据'!$A:$A,ROW(A1)+952),"")</f>
        <v/>
      </c>
      <c r="G953">
        <f>IF(952&lt;=1000,INDEX($A$2:$A$1001,952),IF(952&lt;=2000,INDEX($B$2:$B$1001,-48),IF(952&lt;=3000,INDEX($C$2:$C$1001,-1048),IF(952&lt;=4000,INDEX($D$2:$D$1001,-2048),IF(952&lt;=5000,INDEX($E$2:$E$1001,-3048),"")))))</f>
        <v/>
      </c>
    </row>
    <row r="954">
      <c r="A954">
        <f>IFERROR(INDEX('[AQ_2020.xlsx]原始数据'!$A:$A,ROW(A1)+953),"")</f>
        <v/>
      </c>
      <c r="B954">
        <f>IFERROR(INDEX('[AQ_2021.xlsx]原始数据'!$A:$A,ROW(A1)+953),"")</f>
        <v/>
      </c>
      <c r="C954">
        <f>IFERROR(INDEX('[AQ_2022.xlsx]原始数据'!$A:$A,ROW(A1)+953),"")</f>
        <v/>
      </c>
      <c r="D954">
        <f>IFERROR(INDEX('[AQ_2023.xlsx]原始数据'!$A:$A,ROW(A1)+953),"")</f>
        <v/>
      </c>
      <c r="E954">
        <f>IFERROR(INDEX('[AQ_2024.xlsx]原始数据'!$A:$A,ROW(A1)+953),"")</f>
        <v/>
      </c>
      <c r="G954">
        <f>IF(953&lt;=1000,INDEX($A$2:$A$1001,953),IF(953&lt;=2000,INDEX($B$2:$B$1001,-47),IF(953&lt;=3000,INDEX($C$2:$C$1001,-1047),IF(953&lt;=4000,INDEX($D$2:$D$1001,-2047),IF(953&lt;=5000,INDEX($E$2:$E$1001,-3047),"")))))</f>
        <v/>
      </c>
    </row>
    <row r="955">
      <c r="A955">
        <f>IFERROR(INDEX('[AQ_2020.xlsx]原始数据'!$A:$A,ROW(A1)+954),"")</f>
        <v/>
      </c>
      <c r="B955">
        <f>IFERROR(INDEX('[AQ_2021.xlsx]原始数据'!$A:$A,ROW(A1)+954),"")</f>
        <v/>
      </c>
      <c r="C955">
        <f>IFERROR(INDEX('[AQ_2022.xlsx]原始数据'!$A:$A,ROW(A1)+954),"")</f>
        <v/>
      </c>
      <c r="D955">
        <f>IFERROR(INDEX('[AQ_2023.xlsx]原始数据'!$A:$A,ROW(A1)+954),"")</f>
        <v/>
      </c>
      <c r="E955">
        <f>IFERROR(INDEX('[AQ_2024.xlsx]原始数据'!$A:$A,ROW(A1)+954),"")</f>
        <v/>
      </c>
      <c r="G955">
        <f>IF(954&lt;=1000,INDEX($A$2:$A$1001,954),IF(954&lt;=2000,INDEX($B$2:$B$1001,-46),IF(954&lt;=3000,INDEX($C$2:$C$1001,-1046),IF(954&lt;=4000,INDEX($D$2:$D$1001,-2046),IF(954&lt;=5000,INDEX($E$2:$E$1001,-3046),"")))))</f>
        <v/>
      </c>
    </row>
    <row r="956">
      <c r="A956">
        <f>IFERROR(INDEX('[AQ_2020.xlsx]原始数据'!$A:$A,ROW(A1)+955),"")</f>
        <v/>
      </c>
      <c r="B956">
        <f>IFERROR(INDEX('[AQ_2021.xlsx]原始数据'!$A:$A,ROW(A1)+955),"")</f>
        <v/>
      </c>
      <c r="C956">
        <f>IFERROR(INDEX('[AQ_2022.xlsx]原始数据'!$A:$A,ROW(A1)+955),"")</f>
        <v/>
      </c>
      <c r="D956">
        <f>IFERROR(INDEX('[AQ_2023.xlsx]原始数据'!$A:$A,ROW(A1)+955),"")</f>
        <v/>
      </c>
      <c r="E956">
        <f>IFERROR(INDEX('[AQ_2024.xlsx]原始数据'!$A:$A,ROW(A1)+955),"")</f>
        <v/>
      </c>
      <c r="G956">
        <f>IF(955&lt;=1000,INDEX($A$2:$A$1001,955),IF(955&lt;=2000,INDEX($B$2:$B$1001,-45),IF(955&lt;=3000,INDEX($C$2:$C$1001,-1045),IF(955&lt;=4000,INDEX($D$2:$D$1001,-2045),IF(955&lt;=5000,INDEX($E$2:$E$1001,-3045),"")))))</f>
        <v/>
      </c>
    </row>
    <row r="957">
      <c r="A957">
        <f>IFERROR(INDEX('[AQ_2020.xlsx]原始数据'!$A:$A,ROW(A1)+956),"")</f>
        <v/>
      </c>
      <c r="B957">
        <f>IFERROR(INDEX('[AQ_2021.xlsx]原始数据'!$A:$A,ROW(A1)+956),"")</f>
        <v/>
      </c>
      <c r="C957">
        <f>IFERROR(INDEX('[AQ_2022.xlsx]原始数据'!$A:$A,ROW(A1)+956),"")</f>
        <v/>
      </c>
      <c r="D957">
        <f>IFERROR(INDEX('[AQ_2023.xlsx]原始数据'!$A:$A,ROW(A1)+956),"")</f>
        <v/>
      </c>
      <c r="E957">
        <f>IFERROR(INDEX('[AQ_2024.xlsx]原始数据'!$A:$A,ROW(A1)+956),"")</f>
        <v/>
      </c>
      <c r="G957">
        <f>IF(956&lt;=1000,INDEX($A$2:$A$1001,956),IF(956&lt;=2000,INDEX($B$2:$B$1001,-44),IF(956&lt;=3000,INDEX($C$2:$C$1001,-1044),IF(956&lt;=4000,INDEX($D$2:$D$1001,-2044),IF(956&lt;=5000,INDEX($E$2:$E$1001,-3044),"")))))</f>
        <v/>
      </c>
    </row>
    <row r="958">
      <c r="A958">
        <f>IFERROR(INDEX('[AQ_2020.xlsx]原始数据'!$A:$A,ROW(A1)+957),"")</f>
        <v/>
      </c>
      <c r="B958">
        <f>IFERROR(INDEX('[AQ_2021.xlsx]原始数据'!$A:$A,ROW(A1)+957),"")</f>
        <v/>
      </c>
      <c r="C958">
        <f>IFERROR(INDEX('[AQ_2022.xlsx]原始数据'!$A:$A,ROW(A1)+957),"")</f>
        <v/>
      </c>
      <c r="D958">
        <f>IFERROR(INDEX('[AQ_2023.xlsx]原始数据'!$A:$A,ROW(A1)+957),"")</f>
        <v/>
      </c>
      <c r="E958">
        <f>IFERROR(INDEX('[AQ_2024.xlsx]原始数据'!$A:$A,ROW(A1)+957),"")</f>
        <v/>
      </c>
      <c r="G958">
        <f>IF(957&lt;=1000,INDEX($A$2:$A$1001,957),IF(957&lt;=2000,INDEX($B$2:$B$1001,-43),IF(957&lt;=3000,INDEX($C$2:$C$1001,-1043),IF(957&lt;=4000,INDEX($D$2:$D$1001,-2043),IF(957&lt;=5000,INDEX($E$2:$E$1001,-3043),"")))))</f>
        <v/>
      </c>
    </row>
    <row r="959">
      <c r="A959">
        <f>IFERROR(INDEX('[AQ_2020.xlsx]原始数据'!$A:$A,ROW(A1)+958),"")</f>
        <v/>
      </c>
      <c r="B959">
        <f>IFERROR(INDEX('[AQ_2021.xlsx]原始数据'!$A:$A,ROW(A1)+958),"")</f>
        <v/>
      </c>
      <c r="C959">
        <f>IFERROR(INDEX('[AQ_2022.xlsx]原始数据'!$A:$A,ROW(A1)+958),"")</f>
        <v/>
      </c>
      <c r="D959">
        <f>IFERROR(INDEX('[AQ_2023.xlsx]原始数据'!$A:$A,ROW(A1)+958),"")</f>
        <v/>
      </c>
      <c r="E959">
        <f>IFERROR(INDEX('[AQ_2024.xlsx]原始数据'!$A:$A,ROW(A1)+958),"")</f>
        <v/>
      </c>
      <c r="G959">
        <f>IF(958&lt;=1000,INDEX($A$2:$A$1001,958),IF(958&lt;=2000,INDEX($B$2:$B$1001,-42),IF(958&lt;=3000,INDEX($C$2:$C$1001,-1042),IF(958&lt;=4000,INDEX($D$2:$D$1001,-2042),IF(958&lt;=5000,INDEX($E$2:$E$1001,-3042),"")))))</f>
        <v/>
      </c>
    </row>
    <row r="960">
      <c r="A960">
        <f>IFERROR(INDEX('[AQ_2020.xlsx]原始数据'!$A:$A,ROW(A1)+959),"")</f>
        <v/>
      </c>
      <c r="B960">
        <f>IFERROR(INDEX('[AQ_2021.xlsx]原始数据'!$A:$A,ROW(A1)+959),"")</f>
        <v/>
      </c>
      <c r="C960">
        <f>IFERROR(INDEX('[AQ_2022.xlsx]原始数据'!$A:$A,ROW(A1)+959),"")</f>
        <v/>
      </c>
      <c r="D960">
        <f>IFERROR(INDEX('[AQ_2023.xlsx]原始数据'!$A:$A,ROW(A1)+959),"")</f>
        <v/>
      </c>
      <c r="E960">
        <f>IFERROR(INDEX('[AQ_2024.xlsx]原始数据'!$A:$A,ROW(A1)+959),"")</f>
        <v/>
      </c>
      <c r="G960">
        <f>IF(959&lt;=1000,INDEX($A$2:$A$1001,959),IF(959&lt;=2000,INDEX($B$2:$B$1001,-41),IF(959&lt;=3000,INDEX($C$2:$C$1001,-1041),IF(959&lt;=4000,INDEX($D$2:$D$1001,-2041),IF(959&lt;=5000,INDEX($E$2:$E$1001,-3041),"")))))</f>
        <v/>
      </c>
    </row>
    <row r="961">
      <c r="A961">
        <f>IFERROR(INDEX('[AQ_2020.xlsx]原始数据'!$A:$A,ROW(A1)+960),"")</f>
        <v/>
      </c>
      <c r="B961">
        <f>IFERROR(INDEX('[AQ_2021.xlsx]原始数据'!$A:$A,ROW(A1)+960),"")</f>
        <v/>
      </c>
      <c r="C961">
        <f>IFERROR(INDEX('[AQ_2022.xlsx]原始数据'!$A:$A,ROW(A1)+960),"")</f>
        <v/>
      </c>
      <c r="D961">
        <f>IFERROR(INDEX('[AQ_2023.xlsx]原始数据'!$A:$A,ROW(A1)+960),"")</f>
        <v/>
      </c>
      <c r="E961">
        <f>IFERROR(INDEX('[AQ_2024.xlsx]原始数据'!$A:$A,ROW(A1)+960),"")</f>
        <v/>
      </c>
      <c r="G961">
        <f>IF(960&lt;=1000,INDEX($A$2:$A$1001,960),IF(960&lt;=2000,INDEX($B$2:$B$1001,-40),IF(960&lt;=3000,INDEX($C$2:$C$1001,-1040),IF(960&lt;=4000,INDEX($D$2:$D$1001,-2040),IF(960&lt;=5000,INDEX($E$2:$E$1001,-3040),"")))))</f>
        <v/>
      </c>
    </row>
    <row r="962">
      <c r="A962">
        <f>IFERROR(INDEX('[AQ_2020.xlsx]原始数据'!$A:$A,ROW(A1)+961),"")</f>
        <v/>
      </c>
      <c r="B962">
        <f>IFERROR(INDEX('[AQ_2021.xlsx]原始数据'!$A:$A,ROW(A1)+961),"")</f>
        <v/>
      </c>
      <c r="C962">
        <f>IFERROR(INDEX('[AQ_2022.xlsx]原始数据'!$A:$A,ROW(A1)+961),"")</f>
        <v/>
      </c>
      <c r="D962">
        <f>IFERROR(INDEX('[AQ_2023.xlsx]原始数据'!$A:$A,ROW(A1)+961),"")</f>
        <v/>
      </c>
      <c r="E962">
        <f>IFERROR(INDEX('[AQ_2024.xlsx]原始数据'!$A:$A,ROW(A1)+961),"")</f>
        <v/>
      </c>
      <c r="G962">
        <f>IF(961&lt;=1000,INDEX($A$2:$A$1001,961),IF(961&lt;=2000,INDEX($B$2:$B$1001,-39),IF(961&lt;=3000,INDEX($C$2:$C$1001,-1039),IF(961&lt;=4000,INDEX($D$2:$D$1001,-2039),IF(961&lt;=5000,INDEX($E$2:$E$1001,-3039),"")))))</f>
        <v/>
      </c>
    </row>
    <row r="963">
      <c r="A963">
        <f>IFERROR(INDEX('[AQ_2020.xlsx]原始数据'!$A:$A,ROW(A1)+962),"")</f>
        <v/>
      </c>
      <c r="B963">
        <f>IFERROR(INDEX('[AQ_2021.xlsx]原始数据'!$A:$A,ROW(A1)+962),"")</f>
        <v/>
      </c>
      <c r="C963">
        <f>IFERROR(INDEX('[AQ_2022.xlsx]原始数据'!$A:$A,ROW(A1)+962),"")</f>
        <v/>
      </c>
      <c r="D963">
        <f>IFERROR(INDEX('[AQ_2023.xlsx]原始数据'!$A:$A,ROW(A1)+962),"")</f>
        <v/>
      </c>
      <c r="E963">
        <f>IFERROR(INDEX('[AQ_2024.xlsx]原始数据'!$A:$A,ROW(A1)+962),"")</f>
        <v/>
      </c>
      <c r="G963">
        <f>IF(962&lt;=1000,INDEX($A$2:$A$1001,962),IF(962&lt;=2000,INDEX($B$2:$B$1001,-38),IF(962&lt;=3000,INDEX($C$2:$C$1001,-1038),IF(962&lt;=4000,INDEX($D$2:$D$1001,-2038),IF(962&lt;=5000,INDEX($E$2:$E$1001,-3038),"")))))</f>
        <v/>
      </c>
    </row>
    <row r="964">
      <c r="A964">
        <f>IFERROR(INDEX('[AQ_2020.xlsx]原始数据'!$A:$A,ROW(A1)+963),"")</f>
        <v/>
      </c>
      <c r="B964">
        <f>IFERROR(INDEX('[AQ_2021.xlsx]原始数据'!$A:$A,ROW(A1)+963),"")</f>
        <v/>
      </c>
      <c r="C964">
        <f>IFERROR(INDEX('[AQ_2022.xlsx]原始数据'!$A:$A,ROW(A1)+963),"")</f>
        <v/>
      </c>
      <c r="D964">
        <f>IFERROR(INDEX('[AQ_2023.xlsx]原始数据'!$A:$A,ROW(A1)+963),"")</f>
        <v/>
      </c>
      <c r="E964">
        <f>IFERROR(INDEX('[AQ_2024.xlsx]原始数据'!$A:$A,ROW(A1)+963),"")</f>
        <v/>
      </c>
      <c r="G964">
        <f>IF(963&lt;=1000,INDEX($A$2:$A$1001,963),IF(963&lt;=2000,INDEX($B$2:$B$1001,-37),IF(963&lt;=3000,INDEX($C$2:$C$1001,-1037),IF(963&lt;=4000,INDEX($D$2:$D$1001,-2037),IF(963&lt;=5000,INDEX($E$2:$E$1001,-3037),"")))))</f>
        <v/>
      </c>
    </row>
    <row r="965">
      <c r="A965">
        <f>IFERROR(INDEX('[AQ_2020.xlsx]原始数据'!$A:$A,ROW(A1)+964),"")</f>
        <v/>
      </c>
      <c r="B965">
        <f>IFERROR(INDEX('[AQ_2021.xlsx]原始数据'!$A:$A,ROW(A1)+964),"")</f>
        <v/>
      </c>
      <c r="C965">
        <f>IFERROR(INDEX('[AQ_2022.xlsx]原始数据'!$A:$A,ROW(A1)+964),"")</f>
        <v/>
      </c>
      <c r="D965">
        <f>IFERROR(INDEX('[AQ_2023.xlsx]原始数据'!$A:$A,ROW(A1)+964),"")</f>
        <v/>
      </c>
      <c r="E965">
        <f>IFERROR(INDEX('[AQ_2024.xlsx]原始数据'!$A:$A,ROW(A1)+964),"")</f>
        <v/>
      </c>
      <c r="G965">
        <f>IF(964&lt;=1000,INDEX($A$2:$A$1001,964),IF(964&lt;=2000,INDEX($B$2:$B$1001,-36),IF(964&lt;=3000,INDEX($C$2:$C$1001,-1036),IF(964&lt;=4000,INDEX($D$2:$D$1001,-2036),IF(964&lt;=5000,INDEX($E$2:$E$1001,-3036),"")))))</f>
        <v/>
      </c>
    </row>
    <row r="966">
      <c r="A966">
        <f>IFERROR(INDEX('[AQ_2020.xlsx]原始数据'!$A:$A,ROW(A1)+965),"")</f>
        <v/>
      </c>
      <c r="B966">
        <f>IFERROR(INDEX('[AQ_2021.xlsx]原始数据'!$A:$A,ROW(A1)+965),"")</f>
        <v/>
      </c>
      <c r="C966">
        <f>IFERROR(INDEX('[AQ_2022.xlsx]原始数据'!$A:$A,ROW(A1)+965),"")</f>
        <v/>
      </c>
      <c r="D966">
        <f>IFERROR(INDEX('[AQ_2023.xlsx]原始数据'!$A:$A,ROW(A1)+965),"")</f>
        <v/>
      </c>
      <c r="E966">
        <f>IFERROR(INDEX('[AQ_2024.xlsx]原始数据'!$A:$A,ROW(A1)+965),"")</f>
        <v/>
      </c>
      <c r="G966">
        <f>IF(965&lt;=1000,INDEX($A$2:$A$1001,965),IF(965&lt;=2000,INDEX($B$2:$B$1001,-35),IF(965&lt;=3000,INDEX($C$2:$C$1001,-1035),IF(965&lt;=4000,INDEX($D$2:$D$1001,-2035),IF(965&lt;=5000,INDEX($E$2:$E$1001,-3035),"")))))</f>
        <v/>
      </c>
    </row>
    <row r="967">
      <c r="A967">
        <f>IFERROR(INDEX('[AQ_2020.xlsx]原始数据'!$A:$A,ROW(A1)+966),"")</f>
        <v/>
      </c>
      <c r="B967">
        <f>IFERROR(INDEX('[AQ_2021.xlsx]原始数据'!$A:$A,ROW(A1)+966),"")</f>
        <v/>
      </c>
      <c r="C967">
        <f>IFERROR(INDEX('[AQ_2022.xlsx]原始数据'!$A:$A,ROW(A1)+966),"")</f>
        <v/>
      </c>
      <c r="D967">
        <f>IFERROR(INDEX('[AQ_2023.xlsx]原始数据'!$A:$A,ROW(A1)+966),"")</f>
        <v/>
      </c>
      <c r="E967">
        <f>IFERROR(INDEX('[AQ_2024.xlsx]原始数据'!$A:$A,ROW(A1)+966),"")</f>
        <v/>
      </c>
      <c r="G967">
        <f>IF(966&lt;=1000,INDEX($A$2:$A$1001,966),IF(966&lt;=2000,INDEX($B$2:$B$1001,-34),IF(966&lt;=3000,INDEX($C$2:$C$1001,-1034),IF(966&lt;=4000,INDEX($D$2:$D$1001,-2034),IF(966&lt;=5000,INDEX($E$2:$E$1001,-3034),"")))))</f>
        <v/>
      </c>
    </row>
    <row r="968">
      <c r="A968">
        <f>IFERROR(INDEX('[AQ_2020.xlsx]原始数据'!$A:$A,ROW(A1)+967),"")</f>
        <v/>
      </c>
      <c r="B968">
        <f>IFERROR(INDEX('[AQ_2021.xlsx]原始数据'!$A:$A,ROW(A1)+967),"")</f>
        <v/>
      </c>
      <c r="C968">
        <f>IFERROR(INDEX('[AQ_2022.xlsx]原始数据'!$A:$A,ROW(A1)+967),"")</f>
        <v/>
      </c>
      <c r="D968">
        <f>IFERROR(INDEX('[AQ_2023.xlsx]原始数据'!$A:$A,ROW(A1)+967),"")</f>
        <v/>
      </c>
      <c r="E968">
        <f>IFERROR(INDEX('[AQ_2024.xlsx]原始数据'!$A:$A,ROW(A1)+967),"")</f>
        <v/>
      </c>
      <c r="G968">
        <f>IF(967&lt;=1000,INDEX($A$2:$A$1001,967),IF(967&lt;=2000,INDEX($B$2:$B$1001,-33),IF(967&lt;=3000,INDEX($C$2:$C$1001,-1033),IF(967&lt;=4000,INDEX($D$2:$D$1001,-2033),IF(967&lt;=5000,INDEX($E$2:$E$1001,-3033),"")))))</f>
        <v/>
      </c>
    </row>
    <row r="969">
      <c r="A969">
        <f>IFERROR(INDEX('[AQ_2020.xlsx]原始数据'!$A:$A,ROW(A1)+968),"")</f>
        <v/>
      </c>
      <c r="B969">
        <f>IFERROR(INDEX('[AQ_2021.xlsx]原始数据'!$A:$A,ROW(A1)+968),"")</f>
        <v/>
      </c>
      <c r="C969">
        <f>IFERROR(INDEX('[AQ_2022.xlsx]原始数据'!$A:$A,ROW(A1)+968),"")</f>
        <v/>
      </c>
      <c r="D969">
        <f>IFERROR(INDEX('[AQ_2023.xlsx]原始数据'!$A:$A,ROW(A1)+968),"")</f>
        <v/>
      </c>
      <c r="E969">
        <f>IFERROR(INDEX('[AQ_2024.xlsx]原始数据'!$A:$A,ROW(A1)+968),"")</f>
        <v/>
      </c>
      <c r="G969">
        <f>IF(968&lt;=1000,INDEX($A$2:$A$1001,968),IF(968&lt;=2000,INDEX($B$2:$B$1001,-32),IF(968&lt;=3000,INDEX($C$2:$C$1001,-1032),IF(968&lt;=4000,INDEX($D$2:$D$1001,-2032),IF(968&lt;=5000,INDEX($E$2:$E$1001,-3032),"")))))</f>
        <v/>
      </c>
    </row>
    <row r="970">
      <c r="A970">
        <f>IFERROR(INDEX('[AQ_2020.xlsx]原始数据'!$A:$A,ROW(A1)+969),"")</f>
        <v/>
      </c>
      <c r="B970">
        <f>IFERROR(INDEX('[AQ_2021.xlsx]原始数据'!$A:$A,ROW(A1)+969),"")</f>
        <v/>
      </c>
      <c r="C970">
        <f>IFERROR(INDEX('[AQ_2022.xlsx]原始数据'!$A:$A,ROW(A1)+969),"")</f>
        <v/>
      </c>
      <c r="D970">
        <f>IFERROR(INDEX('[AQ_2023.xlsx]原始数据'!$A:$A,ROW(A1)+969),"")</f>
        <v/>
      </c>
      <c r="E970">
        <f>IFERROR(INDEX('[AQ_2024.xlsx]原始数据'!$A:$A,ROW(A1)+969),"")</f>
        <v/>
      </c>
      <c r="G970">
        <f>IF(969&lt;=1000,INDEX($A$2:$A$1001,969),IF(969&lt;=2000,INDEX($B$2:$B$1001,-31),IF(969&lt;=3000,INDEX($C$2:$C$1001,-1031),IF(969&lt;=4000,INDEX($D$2:$D$1001,-2031),IF(969&lt;=5000,INDEX($E$2:$E$1001,-3031),"")))))</f>
        <v/>
      </c>
    </row>
    <row r="971">
      <c r="A971">
        <f>IFERROR(INDEX('[AQ_2020.xlsx]原始数据'!$A:$A,ROW(A1)+970),"")</f>
        <v/>
      </c>
      <c r="B971">
        <f>IFERROR(INDEX('[AQ_2021.xlsx]原始数据'!$A:$A,ROW(A1)+970),"")</f>
        <v/>
      </c>
      <c r="C971">
        <f>IFERROR(INDEX('[AQ_2022.xlsx]原始数据'!$A:$A,ROW(A1)+970),"")</f>
        <v/>
      </c>
      <c r="D971">
        <f>IFERROR(INDEX('[AQ_2023.xlsx]原始数据'!$A:$A,ROW(A1)+970),"")</f>
        <v/>
      </c>
      <c r="E971">
        <f>IFERROR(INDEX('[AQ_2024.xlsx]原始数据'!$A:$A,ROW(A1)+970),"")</f>
        <v/>
      </c>
      <c r="G971">
        <f>IF(970&lt;=1000,INDEX($A$2:$A$1001,970),IF(970&lt;=2000,INDEX($B$2:$B$1001,-30),IF(970&lt;=3000,INDEX($C$2:$C$1001,-1030),IF(970&lt;=4000,INDEX($D$2:$D$1001,-2030),IF(970&lt;=5000,INDEX($E$2:$E$1001,-3030),"")))))</f>
        <v/>
      </c>
    </row>
    <row r="972">
      <c r="A972">
        <f>IFERROR(INDEX('[AQ_2020.xlsx]原始数据'!$A:$A,ROW(A1)+971),"")</f>
        <v/>
      </c>
      <c r="B972">
        <f>IFERROR(INDEX('[AQ_2021.xlsx]原始数据'!$A:$A,ROW(A1)+971),"")</f>
        <v/>
      </c>
      <c r="C972">
        <f>IFERROR(INDEX('[AQ_2022.xlsx]原始数据'!$A:$A,ROW(A1)+971),"")</f>
        <v/>
      </c>
      <c r="D972">
        <f>IFERROR(INDEX('[AQ_2023.xlsx]原始数据'!$A:$A,ROW(A1)+971),"")</f>
        <v/>
      </c>
      <c r="E972">
        <f>IFERROR(INDEX('[AQ_2024.xlsx]原始数据'!$A:$A,ROW(A1)+971),"")</f>
        <v/>
      </c>
      <c r="G972">
        <f>IF(971&lt;=1000,INDEX($A$2:$A$1001,971),IF(971&lt;=2000,INDEX($B$2:$B$1001,-29),IF(971&lt;=3000,INDEX($C$2:$C$1001,-1029),IF(971&lt;=4000,INDEX($D$2:$D$1001,-2029),IF(971&lt;=5000,INDEX($E$2:$E$1001,-3029),"")))))</f>
        <v/>
      </c>
    </row>
    <row r="973">
      <c r="A973">
        <f>IFERROR(INDEX('[AQ_2020.xlsx]原始数据'!$A:$A,ROW(A1)+972),"")</f>
        <v/>
      </c>
      <c r="B973">
        <f>IFERROR(INDEX('[AQ_2021.xlsx]原始数据'!$A:$A,ROW(A1)+972),"")</f>
        <v/>
      </c>
      <c r="C973">
        <f>IFERROR(INDEX('[AQ_2022.xlsx]原始数据'!$A:$A,ROW(A1)+972),"")</f>
        <v/>
      </c>
      <c r="D973">
        <f>IFERROR(INDEX('[AQ_2023.xlsx]原始数据'!$A:$A,ROW(A1)+972),"")</f>
        <v/>
      </c>
      <c r="E973">
        <f>IFERROR(INDEX('[AQ_2024.xlsx]原始数据'!$A:$A,ROW(A1)+972),"")</f>
        <v/>
      </c>
      <c r="G973">
        <f>IF(972&lt;=1000,INDEX($A$2:$A$1001,972),IF(972&lt;=2000,INDEX($B$2:$B$1001,-28),IF(972&lt;=3000,INDEX($C$2:$C$1001,-1028),IF(972&lt;=4000,INDEX($D$2:$D$1001,-2028),IF(972&lt;=5000,INDEX($E$2:$E$1001,-3028),"")))))</f>
        <v/>
      </c>
    </row>
    <row r="974">
      <c r="A974">
        <f>IFERROR(INDEX('[AQ_2020.xlsx]原始数据'!$A:$A,ROW(A1)+973),"")</f>
        <v/>
      </c>
      <c r="B974">
        <f>IFERROR(INDEX('[AQ_2021.xlsx]原始数据'!$A:$A,ROW(A1)+973),"")</f>
        <v/>
      </c>
      <c r="C974">
        <f>IFERROR(INDEX('[AQ_2022.xlsx]原始数据'!$A:$A,ROW(A1)+973),"")</f>
        <v/>
      </c>
      <c r="D974">
        <f>IFERROR(INDEX('[AQ_2023.xlsx]原始数据'!$A:$A,ROW(A1)+973),"")</f>
        <v/>
      </c>
      <c r="E974">
        <f>IFERROR(INDEX('[AQ_2024.xlsx]原始数据'!$A:$A,ROW(A1)+973),"")</f>
        <v/>
      </c>
      <c r="G974">
        <f>IF(973&lt;=1000,INDEX($A$2:$A$1001,973),IF(973&lt;=2000,INDEX($B$2:$B$1001,-27),IF(973&lt;=3000,INDEX($C$2:$C$1001,-1027),IF(973&lt;=4000,INDEX($D$2:$D$1001,-2027),IF(973&lt;=5000,INDEX($E$2:$E$1001,-3027),"")))))</f>
        <v/>
      </c>
    </row>
    <row r="975">
      <c r="A975">
        <f>IFERROR(INDEX('[AQ_2020.xlsx]原始数据'!$A:$A,ROW(A1)+974),"")</f>
        <v/>
      </c>
      <c r="B975">
        <f>IFERROR(INDEX('[AQ_2021.xlsx]原始数据'!$A:$A,ROW(A1)+974),"")</f>
        <v/>
      </c>
      <c r="C975">
        <f>IFERROR(INDEX('[AQ_2022.xlsx]原始数据'!$A:$A,ROW(A1)+974),"")</f>
        <v/>
      </c>
      <c r="D975">
        <f>IFERROR(INDEX('[AQ_2023.xlsx]原始数据'!$A:$A,ROW(A1)+974),"")</f>
        <v/>
      </c>
      <c r="E975">
        <f>IFERROR(INDEX('[AQ_2024.xlsx]原始数据'!$A:$A,ROW(A1)+974),"")</f>
        <v/>
      </c>
      <c r="G975">
        <f>IF(974&lt;=1000,INDEX($A$2:$A$1001,974),IF(974&lt;=2000,INDEX($B$2:$B$1001,-26),IF(974&lt;=3000,INDEX($C$2:$C$1001,-1026),IF(974&lt;=4000,INDEX($D$2:$D$1001,-2026),IF(974&lt;=5000,INDEX($E$2:$E$1001,-3026),"")))))</f>
        <v/>
      </c>
    </row>
    <row r="976">
      <c r="A976">
        <f>IFERROR(INDEX('[AQ_2020.xlsx]原始数据'!$A:$A,ROW(A1)+975),"")</f>
        <v/>
      </c>
      <c r="B976">
        <f>IFERROR(INDEX('[AQ_2021.xlsx]原始数据'!$A:$A,ROW(A1)+975),"")</f>
        <v/>
      </c>
      <c r="C976">
        <f>IFERROR(INDEX('[AQ_2022.xlsx]原始数据'!$A:$A,ROW(A1)+975),"")</f>
        <v/>
      </c>
      <c r="D976">
        <f>IFERROR(INDEX('[AQ_2023.xlsx]原始数据'!$A:$A,ROW(A1)+975),"")</f>
        <v/>
      </c>
      <c r="E976">
        <f>IFERROR(INDEX('[AQ_2024.xlsx]原始数据'!$A:$A,ROW(A1)+975),"")</f>
        <v/>
      </c>
      <c r="G976">
        <f>IF(975&lt;=1000,INDEX($A$2:$A$1001,975),IF(975&lt;=2000,INDEX($B$2:$B$1001,-25),IF(975&lt;=3000,INDEX($C$2:$C$1001,-1025),IF(975&lt;=4000,INDEX($D$2:$D$1001,-2025),IF(975&lt;=5000,INDEX($E$2:$E$1001,-3025),"")))))</f>
        <v/>
      </c>
    </row>
    <row r="977">
      <c r="A977">
        <f>IFERROR(INDEX('[AQ_2020.xlsx]原始数据'!$A:$A,ROW(A1)+976),"")</f>
        <v/>
      </c>
      <c r="B977">
        <f>IFERROR(INDEX('[AQ_2021.xlsx]原始数据'!$A:$A,ROW(A1)+976),"")</f>
        <v/>
      </c>
      <c r="C977">
        <f>IFERROR(INDEX('[AQ_2022.xlsx]原始数据'!$A:$A,ROW(A1)+976),"")</f>
        <v/>
      </c>
      <c r="D977">
        <f>IFERROR(INDEX('[AQ_2023.xlsx]原始数据'!$A:$A,ROW(A1)+976),"")</f>
        <v/>
      </c>
      <c r="E977">
        <f>IFERROR(INDEX('[AQ_2024.xlsx]原始数据'!$A:$A,ROW(A1)+976),"")</f>
        <v/>
      </c>
      <c r="G977">
        <f>IF(976&lt;=1000,INDEX($A$2:$A$1001,976),IF(976&lt;=2000,INDEX($B$2:$B$1001,-24),IF(976&lt;=3000,INDEX($C$2:$C$1001,-1024),IF(976&lt;=4000,INDEX($D$2:$D$1001,-2024),IF(976&lt;=5000,INDEX($E$2:$E$1001,-3024),"")))))</f>
        <v/>
      </c>
    </row>
    <row r="978">
      <c r="A978">
        <f>IFERROR(INDEX('[AQ_2020.xlsx]原始数据'!$A:$A,ROW(A1)+977),"")</f>
        <v/>
      </c>
      <c r="B978">
        <f>IFERROR(INDEX('[AQ_2021.xlsx]原始数据'!$A:$A,ROW(A1)+977),"")</f>
        <v/>
      </c>
      <c r="C978">
        <f>IFERROR(INDEX('[AQ_2022.xlsx]原始数据'!$A:$A,ROW(A1)+977),"")</f>
        <v/>
      </c>
      <c r="D978">
        <f>IFERROR(INDEX('[AQ_2023.xlsx]原始数据'!$A:$A,ROW(A1)+977),"")</f>
        <v/>
      </c>
      <c r="E978">
        <f>IFERROR(INDEX('[AQ_2024.xlsx]原始数据'!$A:$A,ROW(A1)+977),"")</f>
        <v/>
      </c>
      <c r="G978">
        <f>IF(977&lt;=1000,INDEX($A$2:$A$1001,977),IF(977&lt;=2000,INDEX($B$2:$B$1001,-23),IF(977&lt;=3000,INDEX($C$2:$C$1001,-1023),IF(977&lt;=4000,INDEX($D$2:$D$1001,-2023),IF(977&lt;=5000,INDEX($E$2:$E$1001,-3023),"")))))</f>
        <v/>
      </c>
    </row>
    <row r="979">
      <c r="A979">
        <f>IFERROR(INDEX('[AQ_2020.xlsx]原始数据'!$A:$A,ROW(A1)+978),"")</f>
        <v/>
      </c>
      <c r="B979">
        <f>IFERROR(INDEX('[AQ_2021.xlsx]原始数据'!$A:$A,ROW(A1)+978),"")</f>
        <v/>
      </c>
      <c r="C979">
        <f>IFERROR(INDEX('[AQ_2022.xlsx]原始数据'!$A:$A,ROW(A1)+978),"")</f>
        <v/>
      </c>
      <c r="D979">
        <f>IFERROR(INDEX('[AQ_2023.xlsx]原始数据'!$A:$A,ROW(A1)+978),"")</f>
        <v/>
      </c>
      <c r="E979">
        <f>IFERROR(INDEX('[AQ_2024.xlsx]原始数据'!$A:$A,ROW(A1)+978),"")</f>
        <v/>
      </c>
      <c r="G979">
        <f>IF(978&lt;=1000,INDEX($A$2:$A$1001,978),IF(978&lt;=2000,INDEX($B$2:$B$1001,-22),IF(978&lt;=3000,INDEX($C$2:$C$1001,-1022),IF(978&lt;=4000,INDEX($D$2:$D$1001,-2022),IF(978&lt;=5000,INDEX($E$2:$E$1001,-3022),"")))))</f>
        <v/>
      </c>
    </row>
    <row r="980">
      <c r="A980">
        <f>IFERROR(INDEX('[AQ_2020.xlsx]原始数据'!$A:$A,ROW(A1)+979),"")</f>
        <v/>
      </c>
      <c r="B980">
        <f>IFERROR(INDEX('[AQ_2021.xlsx]原始数据'!$A:$A,ROW(A1)+979),"")</f>
        <v/>
      </c>
      <c r="C980">
        <f>IFERROR(INDEX('[AQ_2022.xlsx]原始数据'!$A:$A,ROW(A1)+979),"")</f>
        <v/>
      </c>
      <c r="D980">
        <f>IFERROR(INDEX('[AQ_2023.xlsx]原始数据'!$A:$A,ROW(A1)+979),"")</f>
        <v/>
      </c>
      <c r="E980">
        <f>IFERROR(INDEX('[AQ_2024.xlsx]原始数据'!$A:$A,ROW(A1)+979),"")</f>
        <v/>
      </c>
      <c r="G980">
        <f>IF(979&lt;=1000,INDEX($A$2:$A$1001,979),IF(979&lt;=2000,INDEX($B$2:$B$1001,-21),IF(979&lt;=3000,INDEX($C$2:$C$1001,-1021),IF(979&lt;=4000,INDEX($D$2:$D$1001,-2021),IF(979&lt;=5000,INDEX($E$2:$E$1001,-3021),"")))))</f>
        <v/>
      </c>
    </row>
    <row r="981">
      <c r="A981">
        <f>IFERROR(INDEX('[AQ_2020.xlsx]原始数据'!$A:$A,ROW(A1)+980),"")</f>
        <v/>
      </c>
      <c r="B981">
        <f>IFERROR(INDEX('[AQ_2021.xlsx]原始数据'!$A:$A,ROW(A1)+980),"")</f>
        <v/>
      </c>
      <c r="C981">
        <f>IFERROR(INDEX('[AQ_2022.xlsx]原始数据'!$A:$A,ROW(A1)+980),"")</f>
        <v/>
      </c>
      <c r="D981">
        <f>IFERROR(INDEX('[AQ_2023.xlsx]原始数据'!$A:$A,ROW(A1)+980),"")</f>
        <v/>
      </c>
      <c r="E981">
        <f>IFERROR(INDEX('[AQ_2024.xlsx]原始数据'!$A:$A,ROW(A1)+980),"")</f>
        <v/>
      </c>
      <c r="G981">
        <f>IF(980&lt;=1000,INDEX($A$2:$A$1001,980),IF(980&lt;=2000,INDEX($B$2:$B$1001,-20),IF(980&lt;=3000,INDEX($C$2:$C$1001,-1020),IF(980&lt;=4000,INDEX($D$2:$D$1001,-2020),IF(980&lt;=5000,INDEX($E$2:$E$1001,-3020),"")))))</f>
        <v/>
      </c>
    </row>
    <row r="982">
      <c r="A982">
        <f>IFERROR(INDEX('[AQ_2020.xlsx]原始数据'!$A:$A,ROW(A1)+981),"")</f>
        <v/>
      </c>
      <c r="B982">
        <f>IFERROR(INDEX('[AQ_2021.xlsx]原始数据'!$A:$A,ROW(A1)+981),"")</f>
        <v/>
      </c>
      <c r="C982">
        <f>IFERROR(INDEX('[AQ_2022.xlsx]原始数据'!$A:$A,ROW(A1)+981),"")</f>
        <v/>
      </c>
      <c r="D982">
        <f>IFERROR(INDEX('[AQ_2023.xlsx]原始数据'!$A:$A,ROW(A1)+981),"")</f>
        <v/>
      </c>
      <c r="E982">
        <f>IFERROR(INDEX('[AQ_2024.xlsx]原始数据'!$A:$A,ROW(A1)+981),"")</f>
        <v/>
      </c>
      <c r="G982">
        <f>IF(981&lt;=1000,INDEX($A$2:$A$1001,981),IF(981&lt;=2000,INDEX($B$2:$B$1001,-19),IF(981&lt;=3000,INDEX($C$2:$C$1001,-1019),IF(981&lt;=4000,INDEX($D$2:$D$1001,-2019),IF(981&lt;=5000,INDEX($E$2:$E$1001,-3019),"")))))</f>
        <v/>
      </c>
    </row>
    <row r="983">
      <c r="A983">
        <f>IFERROR(INDEX('[AQ_2020.xlsx]原始数据'!$A:$A,ROW(A1)+982),"")</f>
        <v/>
      </c>
      <c r="B983">
        <f>IFERROR(INDEX('[AQ_2021.xlsx]原始数据'!$A:$A,ROW(A1)+982),"")</f>
        <v/>
      </c>
      <c r="C983">
        <f>IFERROR(INDEX('[AQ_2022.xlsx]原始数据'!$A:$A,ROW(A1)+982),"")</f>
        <v/>
      </c>
      <c r="D983">
        <f>IFERROR(INDEX('[AQ_2023.xlsx]原始数据'!$A:$A,ROW(A1)+982),"")</f>
        <v/>
      </c>
      <c r="E983">
        <f>IFERROR(INDEX('[AQ_2024.xlsx]原始数据'!$A:$A,ROW(A1)+982),"")</f>
        <v/>
      </c>
      <c r="G983">
        <f>IF(982&lt;=1000,INDEX($A$2:$A$1001,982),IF(982&lt;=2000,INDEX($B$2:$B$1001,-18),IF(982&lt;=3000,INDEX($C$2:$C$1001,-1018),IF(982&lt;=4000,INDEX($D$2:$D$1001,-2018),IF(982&lt;=5000,INDEX($E$2:$E$1001,-3018),"")))))</f>
        <v/>
      </c>
    </row>
    <row r="984">
      <c r="A984">
        <f>IFERROR(INDEX('[AQ_2020.xlsx]原始数据'!$A:$A,ROW(A1)+983),"")</f>
        <v/>
      </c>
      <c r="B984">
        <f>IFERROR(INDEX('[AQ_2021.xlsx]原始数据'!$A:$A,ROW(A1)+983),"")</f>
        <v/>
      </c>
      <c r="C984">
        <f>IFERROR(INDEX('[AQ_2022.xlsx]原始数据'!$A:$A,ROW(A1)+983),"")</f>
        <v/>
      </c>
      <c r="D984">
        <f>IFERROR(INDEX('[AQ_2023.xlsx]原始数据'!$A:$A,ROW(A1)+983),"")</f>
        <v/>
      </c>
      <c r="E984">
        <f>IFERROR(INDEX('[AQ_2024.xlsx]原始数据'!$A:$A,ROW(A1)+983),"")</f>
        <v/>
      </c>
      <c r="G984">
        <f>IF(983&lt;=1000,INDEX($A$2:$A$1001,983),IF(983&lt;=2000,INDEX($B$2:$B$1001,-17),IF(983&lt;=3000,INDEX($C$2:$C$1001,-1017),IF(983&lt;=4000,INDEX($D$2:$D$1001,-2017),IF(983&lt;=5000,INDEX($E$2:$E$1001,-3017),"")))))</f>
        <v/>
      </c>
    </row>
    <row r="985">
      <c r="A985">
        <f>IFERROR(INDEX('[AQ_2020.xlsx]原始数据'!$A:$A,ROW(A1)+984),"")</f>
        <v/>
      </c>
      <c r="B985">
        <f>IFERROR(INDEX('[AQ_2021.xlsx]原始数据'!$A:$A,ROW(A1)+984),"")</f>
        <v/>
      </c>
      <c r="C985">
        <f>IFERROR(INDEX('[AQ_2022.xlsx]原始数据'!$A:$A,ROW(A1)+984),"")</f>
        <v/>
      </c>
      <c r="D985">
        <f>IFERROR(INDEX('[AQ_2023.xlsx]原始数据'!$A:$A,ROW(A1)+984),"")</f>
        <v/>
      </c>
      <c r="E985">
        <f>IFERROR(INDEX('[AQ_2024.xlsx]原始数据'!$A:$A,ROW(A1)+984),"")</f>
        <v/>
      </c>
      <c r="G985">
        <f>IF(984&lt;=1000,INDEX($A$2:$A$1001,984),IF(984&lt;=2000,INDEX($B$2:$B$1001,-16),IF(984&lt;=3000,INDEX($C$2:$C$1001,-1016),IF(984&lt;=4000,INDEX($D$2:$D$1001,-2016),IF(984&lt;=5000,INDEX($E$2:$E$1001,-3016),"")))))</f>
        <v/>
      </c>
    </row>
    <row r="986">
      <c r="A986">
        <f>IFERROR(INDEX('[AQ_2020.xlsx]原始数据'!$A:$A,ROW(A1)+985),"")</f>
        <v/>
      </c>
      <c r="B986">
        <f>IFERROR(INDEX('[AQ_2021.xlsx]原始数据'!$A:$A,ROW(A1)+985),"")</f>
        <v/>
      </c>
      <c r="C986">
        <f>IFERROR(INDEX('[AQ_2022.xlsx]原始数据'!$A:$A,ROW(A1)+985),"")</f>
        <v/>
      </c>
      <c r="D986">
        <f>IFERROR(INDEX('[AQ_2023.xlsx]原始数据'!$A:$A,ROW(A1)+985),"")</f>
        <v/>
      </c>
      <c r="E986">
        <f>IFERROR(INDEX('[AQ_2024.xlsx]原始数据'!$A:$A,ROW(A1)+985),"")</f>
        <v/>
      </c>
      <c r="G986">
        <f>IF(985&lt;=1000,INDEX($A$2:$A$1001,985),IF(985&lt;=2000,INDEX($B$2:$B$1001,-15),IF(985&lt;=3000,INDEX($C$2:$C$1001,-1015),IF(985&lt;=4000,INDEX($D$2:$D$1001,-2015),IF(985&lt;=5000,INDEX($E$2:$E$1001,-3015),"")))))</f>
        <v/>
      </c>
    </row>
    <row r="987">
      <c r="A987">
        <f>IFERROR(INDEX('[AQ_2020.xlsx]原始数据'!$A:$A,ROW(A1)+986),"")</f>
        <v/>
      </c>
      <c r="B987">
        <f>IFERROR(INDEX('[AQ_2021.xlsx]原始数据'!$A:$A,ROW(A1)+986),"")</f>
        <v/>
      </c>
      <c r="C987">
        <f>IFERROR(INDEX('[AQ_2022.xlsx]原始数据'!$A:$A,ROW(A1)+986),"")</f>
        <v/>
      </c>
      <c r="D987">
        <f>IFERROR(INDEX('[AQ_2023.xlsx]原始数据'!$A:$A,ROW(A1)+986),"")</f>
        <v/>
      </c>
      <c r="E987">
        <f>IFERROR(INDEX('[AQ_2024.xlsx]原始数据'!$A:$A,ROW(A1)+986),"")</f>
        <v/>
      </c>
      <c r="G987">
        <f>IF(986&lt;=1000,INDEX($A$2:$A$1001,986),IF(986&lt;=2000,INDEX($B$2:$B$1001,-14),IF(986&lt;=3000,INDEX($C$2:$C$1001,-1014),IF(986&lt;=4000,INDEX($D$2:$D$1001,-2014),IF(986&lt;=5000,INDEX($E$2:$E$1001,-3014),"")))))</f>
        <v/>
      </c>
    </row>
    <row r="988">
      <c r="A988">
        <f>IFERROR(INDEX('[AQ_2020.xlsx]原始数据'!$A:$A,ROW(A1)+987),"")</f>
        <v/>
      </c>
      <c r="B988">
        <f>IFERROR(INDEX('[AQ_2021.xlsx]原始数据'!$A:$A,ROW(A1)+987),"")</f>
        <v/>
      </c>
      <c r="C988">
        <f>IFERROR(INDEX('[AQ_2022.xlsx]原始数据'!$A:$A,ROW(A1)+987),"")</f>
        <v/>
      </c>
      <c r="D988">
        <f>IFERROR(INDEX('[AQ_2023.xlsx]原始数据'!$A:$A,ROW(A1)+987),"")</f>
        <v/>
      </c>
      <c r="E988">
        <f>IFERROR(INDEX('[AQ_2024.xlsx]原始数据'!$A:$A,ROW(A1)+987),"")</f>
        <v/>
      </c>
      <c r="G988">
        <f>IF(987&lt;=1000,INDEX($A$2:$A$1001,987),IF(987&lt;=2000,INDEX($B$2:$B$1001,-13),IF(987&lt;=3000,INDEX($C$2:$C$1001,-1013),IF(987&lt;=4000,INDEX($D$2:$D$1001,-2013),IF(987&lt;=5000,INDEX($E$2:$E$1001,-3013),"")))))</f>
        <v/>
      </c>
    </row>
    <row r="989">
      <c r="A989">
        <f>IFERROR(INDEX('[AQ_2020.xlsx]原始数据'!$A:$A,ROW(A1)+988),"")</f>
        <v/>
      </c>
      <c r="B989">
        <f>IFERROR(INDEX('[AQ_2021.xlsx]原始数据'!$A:$A,ROW(A1)+988),"")</f>
        <v/>
      </c>
      <c r="C989">
        <f>IFERROR(INDEX('[AQ_2022.xlsx]原始数据'!$A:$A,ROW(A1)+988),"")</f>
        <v/>
      </c>
      <c r="D989">
        <f>IFERROR(INDEX('[AQ_2023.xlsx]原始数据'!$A:$A,ROW(A1)+988),"")</f>
        <v/>
      </c>
      <c r="E989">
        <f>IFERROR(INDEX('[AQ_2024.xlsx]原始数据'!$A:$A,ROW(A1)+988),"")</f>
        <v/>
      </c>
      <c r="G989">
        <f>IF(988&lt;=1000,INDEX($A$2:$A$1001,988),IF(988&lt;=2000,INDEX($B$2:$B$1001,-12),IF(988&lt;=3000,INDEX($C$2:$C$1001,-1012),IF(988&lt;=4000,INDEX($D$2:$D$1001,-2012),IF(988&lt;=5000,INDEX($E$2:$E$1001,-3012),"")))))</f>
        <v/>
      </c>
    </row>
    <row r="990">
      <c r="A990">
        <f>IFERROR(INDEX('[AQ_2020.xlsx]原始数据'!$A:$A,ROW(A1)+989),"")</f>
        <v/>
      </c>
      <c r="B990">
        <f>IFERROR(INDEX('[AQ_2021.xlsx]原始数据'!$A:$A,ROW(A1)+989),"")</f>
        <v/>
      </c>
      <c r="C990">
        <f>IFERROR(INDEX('[AQ_2022.xlsx]原始数据'!$A:$A,ROW(A1)+989),"")</f>
        <v/>
      </c>
      <c r="D990">
        <f>IFERROR(INDEX('[AQ_2023.xlsx]原始数据'!$A:$A,ROW(A1)+989),"")</f>
        <v/>
      </c>
      <c r="E990">
        <f>IFERROR(INDEX('[AQ_2024.xlsx]原始数据'!$A:$A,ROW(A1)+989),"")</f>
        <v/>
      </c>
      <c r="G990">
        <f>IF(989&lt;=1000,INDEX($A$2:$A$1001,989),IF(989&lt;=2000,INDEX($B$2:$B$1001,-11),IF(989&lt;=3000,INDEX($C$2:$C$1001,-1011),IF(989&lt;=4000,INDEX($D$2:$D$1001,-2011),IF(989&lt;=5000,INDEX($E$2:$E$1001,-3011),"")))))</f>
        <v/>
      </c>
    </row>
    <row r="991">
      <c r="A991">
        <f>IFERROR(INDEX('[AQ_2020.xlsx]原始数据'!$A:$A,ROW(A1)+990),"")</f>
        <v/>
      </c>
      <c r="B991">
        <f>IFERROR(INDEX('[AQ_2021.xlsx]原始数据'!$A:$A,ROW(A1)+990),"")</f>
        <v/>
      </c>
      <c r="C991">
        <f>IFERROR(INDEX('[AQ_2022.xlsx]原始数据'!$A:$A,ROW(A1)+990),"")</f>
        <v/>
      </c>
      <c r="D991">
        <f>IFERROR(INDEX('[AQ_2023.xlsx]原始数据'!$A:$A,ROW(A1)+990),"")</f>
        <v/>
      </c>
      <c r="E991">
        <f>IFERROR(INDEX('[AQ_2024.xlsx]原始数据'!$A:$A,ROW(A1)+990),"")</f>
        <v/>
      </c>
      <c r="G991">
        <f>IF(990&lt;=1000,INDEX($A$2:$A$1001,990),IF(990&lt;=2000,INDEX($B$2:$B$1001,-10),IF(990&lt;=3000,INDEX($C$2:$C$1001,-1010),IF(990&lt;=4000,INDEX($D$2:$D$1001,-2010),IF(990&lt;=5000,INDEX($E$2:$E$1001,-3010),"")))))</f>
        <v/>
      </c>
    </row>
    <row r="992">
      <c r="A992">
        <f>IFERROR(INDEX('[AQ_2020.xlsx]原始数据'!$A:$A,ROW(A1)+991),"")</f>
        <v/>
      </c>
      <c r="B992">
        <f>IFERROR(INDEX('[AQ_2021.xlsx]原始数据'!$A:$A,ROW(A1)+991),"")</f>
        <v/>
      </c>
      <c r="C992">
        <f>IFERROR(INDEX('[AQ_2022.xlsx]原始数据'!$A:$A,ROW(A1)+991),"")</f>
        <v/>
      </c>
      <c r="D992">
        <f>IFERROR(INDEX('[AQ_2023.xlsx]原始数据'!$A:$A,ROW(A1)+991),"")</f>
        <v/>
      </c>
      <c r="E992">
        <f>IFERROR(INDEX('[AQ_2024.xlsx]原始数据'!$A:$A,ROW(A1)+991),"")</f>
        <v/>
      </c>
      <c r="G992">
        <f>IF(991&lt;=1000,INDEX($A$2:$A$1001,991),IF(991&lt;=2000,INDEX($B$2:$B$1001,-9),IF(991&lt;=3000,INDEX($C$2:$C$1001,-1009),IF(991&lt;=4000,INDEX($D$2:$D$1001,-2009),IF(991&lt;=5000,INDEX($E$2:$E$1001,-3009),"")))))</f>
        <v/>
      </c>
    </row>
    <row r="993">
      <c r="A993">
        <f>IFERROR(INDEX('[AQ_2020.xlsx]原始数据'!$A:$A,ROW(A1)+992),"")</f>
        <v/>
      </c>
      <c r="B993">
        <f>IFERROR(INDEX('[AQ_2021.xlsx]原始数据'!$A:$A,ROW(A1)+992),"")</f>
        <v/>
      </c>
      <c r="C993">
        <f>IFERROR(INDEX('[AQ_2022.xlsx]原始数据'!$A:$A,ROW(A1)+992),"")</f>
        <v/>
      </c>
      <c r="D993">
        <f>IFERROR(INDEX('[AQ_2023.xlsx]原始数据'!$A:$A,ROW(A1)+992),"")</f>
        <v/>
      </c>
      <c r="E993">
        <f>IFERROR(INDEX('[AQ_2024.xlsx]原始数据'!$A:$A,ROW(A1)+992),"")</f>
        <v/>
      </c>
      <c r="G993">
        <f>IF(992&lt;=1000,INDEX($A$2:$A$1001,992),IF(992&lt;=2000,INDEX($B$2:$B$1001,-8),IF(992&lt;=3000,INDEX($C$2:$C$1001,-1008),IF(992&lt;=4000,INDEX($D$2:$D$1001,-2008),IF(992&lt;=5000,INDEX($E$2:$E$1001,-3008),"")))))</f>
        <v/>
      </c>
    </row>
    <row r="994">
      <c r="A994">
        <f>IFERROR(INDEX('[AQ_2020.xlsx]原始数据'!$A:$A,ROW(A1)+993),"")</f>
        <v/>
      </c>
      <c r="B994">
        <f>IFERROR(INDEX('[AQ_2021.xlsx]原始数据'!$A:$A,ROW(A1)+993),"")</f>
        <v/>
      </c>
      <c r="C994">
        <f>IFERROR(INDEX('[AQ_2022.xlsx]原始数据'!$A:$A,ROW(A1)+993),"")</f>
        <v/>
      </c>
      <c r="D994">
        <f>IFERROR(INDEX('[AQ_2023.xlsx]原始数据'!$A:$A,ROW(A1)+993),"")</f>
        <v/>
      </c>
      <c r="E994">
        <f>IFERROR(INDEX('[AQ_2024.xlsx]原始数据'!$A:$A,ROW(A1)+993),"")</f>
        <v/>
      </c>
      <c r="G994">
        <f>IF(993&lt;=1000,INDEX($A$2:$A$1001,993),IF(993&lt;=2000,INDEX($B$2:$B$1001,-7),IF(993&lt;=3000,INDEX($C$2:$C$1001,-1007),IF(993&lt;=4000,INDEX($D$2:$D$1001,-2007),IF(993&lt;=5000,INDEX($E$2:$E$1001,-3007),"")))))</f>
        <v/>
      </c>
    </row>
    <row r="995">
      <c r="A995">
        <f>IFERROR(INDEX('[AQ_2020.xlsx]原始数据'!$A:$A,ROW(A1)+994),"")</f>
        <v/>
      </c>
      <c r="B995">
        <f>IFERROR(INDEX('[AQ_2021.xlsx]原始数据'!$A:$A,ROW(A1)+994),"")</f>
        <v/>
      </c>
      <c r="C995">
        <f>IFERROR(INDEX('[AQ_2022.xlsx]原始数据'!$A:$A,ROW(A1)+994),"")</f>
        <v/>
      </c>
      <c r="D995">
        <f>IFERROR(INDEX('[AQ_2023.xlsx]原始数据'!$A:$A,ROW(A1)+994),"")</f>
        <v/>
      </c>
      <c r="E995">
        <f>IFERROR(INDEX('[AQ_2024.xlsx]原始数据'!$A:$A,ROW(A1)+994),"")</f>
        <v/>
      </c>
      <c r="G995">
        <f>IF(994&lt;=1000,INDEX($A$2:$A$1001,994),IF(994&lt;=2000,INDEX($B$2:$B$1001,-6),IF(994&lt;=3000,INDEX($C$2:$C$1001,-1006),IF(994&lt;=4000,INDEX($D$2:$D$1001,-2006),IF(994&lt;=5000,INDEX($E$2:$E$1001,-3006),"")))))</f>
        <v/>
      </c>
    </row>
    <row r="996">
      <c r="A996">
        <f>IFERROR(INDEX('[AQ_2020.xlsx]原始数据'!$A:$A,ROW(A1)+995),"")</f>
        <v/>
      </c>
      <c r="B996">
        <f>IFERROR(INDEX('[AQ_2021.xlsx]原始数据'!$A:$A,ROW(A1)+995),"")</f>
        <v/>
      </c>
      <c r="C996">
        <f>IFERROR(INDEX('[AQ_2022.xlsx]原始数据'!$A:$A,ROW(A1)+995),"")</f>
        <v/>
      </c>
      <c r="D996">
        <f>IFERROR(INDEX('[AQ_2023.xlsx]原始数据'!$A:$A,ROW(A1)+995),"")</f>
        <v/>
      </c>
      <c r="E996">
        <f>IFERROR(INDEX('[AQ_2024.xlsx]原始数据'!$A:$A,ROW(A1)+995),"")</f>
        <v/>
      </c>
      <c r="G996">
        <f>IF(995&lt;=1000,INDEX($A$2:$A$1001,995),IF(995&lt;=2000,INDEX($B$2:$B$1001,-5),IF(995&lt;=3000,INDEX($C$2:$C$1001,-1005),IF(995&lt;=4000,INDEX($D$2:$D$1001,-2005),IF(995&lt;=5000,INDEX($E$2:$E$1001,-3005),"")))))</f>
        <v/>
      </c>
    </row>
    <row r="997">
      <c r="A997">
        <f>IFERROR(INDEX('[AQ_2020.xlsx]原始数据'!$A:$A,ROW(A1)+996),"")</f>
        <v/>
      </c>
      <c r="B997">
        <f>IFERROR(INDEX('[AQ_2021.xlsx]原始数据'!$A:$A,ROW(A1)+996),"")</f>
        <v/>
      </c>
      <c r="C997">
        <f>IFERROR(INDEX('[AQ_2022.xlsx]原始数据'!$A:$A,ROW(A1)+996),"")</f>
        <v/>
      </c>
      <c r="D997">
        <f>IFERROR(INDEX('[AQ_2023.xlsx]原始数据'!$A:$A,ROW(A1)+996),"")</f>
        <v/>
      </c>
      <c r="E997">
        <f>IFERROR(INDEX('[AQ_2024.xlsx]原始数据'!$A:$A,ROW(A1)+996),"")</f>
        <v/>
      </c>
      <c r="G997">
        <f>IF(996&lt;=1000,INDEX($A$2:$A$1001,996),IF(996&lt;=2000,INDEX($B$2:$B$1001,-4),IF(996&lt;=3000,INDEX($C$2:$C$1001,-1004),IF(996&lt;=4000,INDEX($D$2:$D$1001,-2004),IF(996&lt;=5000,INDEX($E$2:$E$1001,-3004),"")))))</f>
        <v/>
      </c>
    </row>
    <row r="998">
      <c r="A998">
        <f>IFERROR(INDEX('[AQ_2020.xlsx]原始数据'!$A:$A,ROW(A1)+997),"")</f>
        <v/>
      </c>
      <c r="B998">
        <f>IFERROR(INDEX('[AQ_2021.xlsx]原始数据'!$A:$A,ROW(A1)+997),"")</f>
        <v/>
      </c>
      <c r="C998">
        <f>IFERROR(INDEX('[AQ_2022.xlsx]原始数据'!$A:$A,ROW(A1)+997),"")</f>
        <v/>
      </c>
      <c r="D998">
        <f>IFERROR(INDEX('[AQ_2023.xlsx]原始数据'!$A:$A,ROW(A1)+997),"")</f>
        <v/>
      </c>
      <c r="E998">
        <f>IFERROR(INDEX('[AQ_2024.xlsx]原始数据'!$A:$A,ROW(A1)+997),"")</f>
        <v/>
      </c>
      <c r="G998">
        <f>IF(997&lt;=1000,INDEX($A$2:$A$1001,997),IF(997&lt;=2000,INDEX($B$2:$B$1001,-3),IF(997&lt;=3000,INDEX($C$2:$C$1001,-1003),IF(997&lt;=4000,INDEX($D$2:$D$1001,-2003),IF(997&lt;=5000,INDEX($E$2:$E$1001,-3003),"")))))</f>
        <v/>
      </c>
    </row>
    <row r="999">
      <c r="A999">
        <f>IFERROR(INDEX('[AQ_2020.xlsx]原始数据'!$A:$A,ROW(A1)+998),"")</f>
        <v/>
      </c>
      <c r="B999">
        <f>IFERROR(INDEX('[AQ_2021.xlsx]原始数据'!$A:$A,ROW(A1)+998),"")</f>
        <v/>
      </c>
      <c r="C999">
        <f>IFERROR(INDEX('[AQ_2022.xlsx]原始数据'!$A:$A,ROW(A1)+998),"")</f>
        <v/>
      </c>
      <c r="D999">
        <f>IFERROR(INDEX('[AQ_2023.xlsx]原始数据'!$A:$A,ROW(A1)+998),"")</f>
        <v/>
      </c>
      <c r="E999">
        <f>IFERROR(INDEX('[AQ_2024.xlsx]原始数据'!$A:$A,ROW(A1)+998),"")</f>
        <v/>
      </c>
      <c r="G999">
        <f>IF(998&lt;=1000,INDEX($A$2:$A$1001,998),IF(998&lt;=2000,INDEX($B$2:$B$1001,-2),IF(998&lt;=3000,INDEX($C$2:$C$1001,-1002),IF(998&lt;=4000,INDEX($D$2:$D$1001,-2002),IF(998&lt;=5000,INDEX($E$2:$E$1001,-3002),"")))))</f>
        <v/>
      </c>
    </row>
    <row r="1000">
      <c r="A1000">
        <f>IFERROR(INDEX('[AQ_2020.xlsx]原始数据'!$A:$A,ROW(A1)+999),"")</f>
        <v/>
      </c>
      <c r="B1000">
        <f>IFERROR(INDEX('[AQ_2021.xlsx]原始数据'!$A:$A,ROW(A1)+999),"")</f>
        <v/>
      </c>
      <c r="C1000">
        <f>IFERROR(INDEX('[AQ_2022.xlsx]原始数据'!$A:$A,ROW(A1)+999),"")</f>
        <v/>
      </c>
      <c r="D1000">
        <f>IFERROR(INDEX('[AQ_2023.xlsx]原始数据'!$A:$A,ROW(A1)+999),"")</f>
        <v/>
      </c>
      <c r="E1000">
        <f>IFERROR(INDEX('[AQ_2024.xlsx]原始数据'!$A:$A,ROW(A1)+999),"")</f>
        <v/>
      </c>
      <c r="G1000">
        <f>IF(999&lt;=1000,INDEX($A$2:$A$1001,999),IF(999&lt;=2000,INDEX($B$2:$B$1001,-1),IF(999&lt;=3000,INDEX($C$2:$C$1001,-1001),IF(999&lt;=4000,INDEX($D$2:$D$1001,-2001),IF(999&lt;=5000,INDEX($E$2:$E$1001,-3001),"")))))</f>
        <v/>
      </c>
    </row>
    <row r="1001">
      <c r="A1001">
        <f>IFERROR(INDEX('[AQ_2020.xlsx]原始数据'!$A:$A,ROW(A1)+1000),"")</f>
        <v/>
      </c>
      <c r="B1001">
        <f>IFERROR(INDEX('[AQ_2021.xlsx]原始数据'!$A:$A,ROW(A1)+1000),"")</f>
        <v/>
      </c>
      <c r="C1001">
        <f>IFERROR(INDEX('[AQ_2022.xlsx]原始数据'!$A:$A,ROW(A1)+1000),"")</f>
        <v/>
      </c>
      <c r="D1001">
        <f>IFERROR(INDEX('[AQ_2023.xlsx]原始数据'!$A:$A,ROW(A1)+1000),"")</f>
        <v/>
      </c>
      <c r="E1001">
        <f>IFERROR(INDEX('[AQ_2024.xlsx]原始数据'!$A:$A,ROW(A1)+1000),"")</f>
        <v/>
      </c>
      <c r="G1001">
        <f>IF(1000&lt;=1000,INDEX($A$2:$A$1001,1000),IF(1000&lt;=2000,INDEX($B$2:$B$1001,0),IF(1000&lt;=3000,INDEX($C$2:$C$1001,-1000),IF(1000&lt;=4000,INDEX($D$2:$D$1001,-2000),IF(1000&lt;=5000,INDEX($E$2:$E$1001,-3000),"")))))</f>
        <v/>
      </c>
    </row>
    <row r="1002">
      <c r="G1002">
        <f>IF(1001&lt;=1000,INDEX($A$2:$A$1001,1001),IF(1001&lt;=2000,INDEX($B$2:$B$1001,1),IF(1001&lt;=3000,INDEX($C$2:$C$1001,-999),IF(1001&lt;=4000,INDEX($D$2:$D$1001,-1999),IF(1001&lt;=5000,INDEX($E$2:$E$1001,-2999),"")))))</f>
        <v/>
      </c>
    </row>
    <row r="1003">
      <c r="G1003">
        <f>IF(1002&lt;=1000,INDEX($A$2:$A$1001,1002),IF(1002&lt;=2000,INDEX($B$2:$B$1001,2),IF(1002&lt;=3000,INDEX($C$2:$C$1001,-998),IF(1002&lt;=4000,INDEX($D$2:$D$1001,-1998),IF(1002&lt;=5000,INDEX($E$2:$E$1001,-2998),"")))))</f>
        <v/>
      </c>
    </row>
    <row r="1004">
      <c r="G1004">
        <f>IF(1003&lt;=1000,INDEX($A$2:$A$1001,1003),IF(1003&lt;=2000,INDEX($B$2:$B$1001,3),IF(1003&lt;=3000,INDEX($C$2:$C$1001,-997),IF(1003&lt;=4000,INDEX($D$2:$D$1001,-1997),IF(1003&lt;=5000,INDEX($E$2:$E$1001,-2997),"")))))</f>
        <v/>
      </c>
    </row>
    <row r="1005">
      <c r="G1005">
        <f>IF(1004&lt;=1000,INDEX($A$2:$A$1001,1004),IF(1004&lt;=2000,INDEX($B$2:$B$1001,4),IF(1004&lt;=3000,INDEX($C$2:$C$1001,-996),IF(1004&lt;=4000,INDEX($D$2:$D$1001,-1996),IF(1004&lt;=5000,INDEX($E$2:$E$1001,-2996),"")))))</f>
        <v/>
      </c>
    </row>
    <row r="1006">
      <c r="G1006">
        <f>IF(1005&lt;=1000,INDEX($A$2:$A$1001,1005),IF(1005&lt;=2000,INDEX($B$2:$B$1001,5),IF(1005&lt;=3000,INDEX($C$2:$C$1001,-995),IF(1005&lt;=4000,INDEX($D$2:$D$1001,-1995),IF(1005&lt;=5000,INDEX($E$2:$E$1001,-2995),"")))))</f>
        <v/>
      </c>
    </row>
    <row r="1007">
      <c r="G1007">
        <f>IF(1006&lt;=1000,INDEX($A$2:$A$1001,1006),IF(1006&lt;=2000,INDEX($B$2:$B$1001,6),IF(1006&lt;=3000,INDEX($C$2:$C$1001,-994),IF(1006&lt;=4000,INDEX($D$2:$D$1001,-1994),IF(1006&lt;=5000,INDEX($E$2:$E$1001,-2994),"")))))</f>
        <v/>
      </c>
    </row>
    <row r="1008">
      <c r="G1008">
        <f>IF(1007&lt;=1000,INDEX($A$2:$A$1001,1007),IF(1007&lt;=2000,INDEX($B$2:$B$1001,7),IF(1007&lt;=3000,INDEX($C$2:$C$1001,-993),IF(1007&lt;=4000,INDEX($D$2:$D$1001,-1993),IF(1007&lt;=5000,INDEX($E$2:$E$1001,-2993),"")))))</f>
        <v/>
      </c>
    </row>
    <row r="1009">
      <c r="G1009">
        <f>IF(1008&lt;=1000,INDEX($A$2:$A$1001,1008),IF(1008&lt;=2000,INDEX($B$2:$B$1001,8),IF(1008&lt;=3000,INDEX($C$2:$C$1001,-992),IF(1008&lt;=4000,INDEX($D$2:$D$1001,-1992),IF(1008&lt;=5000,INDEX($E$2:$E$1001,-2992),"")))))</f>
        <v/>
      </c>
    </row>
    <row r="1010">
      <c r="G1010">
        <f>IF(1009&lt;=1000,INDEX($A$2:$A$1001,1009),IF(1009&lt;=2000,INDEX($B$2:$B$1001,9),IF(1009&lt;=3000,INDEX($C$2:$C$1001,-991),IF(1009&lt;=4000,INDEX($D$2:$D$1001,-1991),IF(1009&lt;=5000,INDEX($E$2:$E$1001,-2991),"")))))</f>
        <v/>
      </c>
    </row>
    <row r="1011">
      <c r="G1011">
        <f>IF(1010&lt;=1000,INDEX($A$2:$A$1001,1010),IF(1010&lt;=2000,INDEX($B$2:$B$1001,10),IF(1010&lt;=3000,INDEX($C$2:$C$1001,-990),IF(1010&lt;=4000,INDEX($D$2:$D$1001,-1990),IF(1010&lt;=5000,INDEX($E$2:$E$1001,-2990),"")))))</f>
        <v/>
      </c>
    </row>
    <row r="1012">
      <c r="G1012">
        <f>IF(1011&lt;=1000,INDEX($A$2:$A$1001,1011),IF(1011&lt;=2000,INDEX($B$2:$B$1001,11),IF(1011&lt;=3000,INDEX($C$2:$C$1001,-989),IF(1011&lt;=4000,INDEX($D$2:$D$1001,-1989),IF(1011&lt;=5000,INDEX($E$2:$E$1001,-2989),"")))))</f>
        <v/>
      </c>
    </row>
    <row r="1013">
      <c r="G1013">
        <f>IF(1012&lt;=1000,INDEX($A$2:$A$1001,1012),IF(1012&lt;=2000,INDEX($B$2:$B$1001,12),IF(1012&lt;=3000,INDEX($C$2:$C$1001,-988),IF(1012&lt;=4000,INDEX($D$2:$D$1001,-1988),IF(1012&lt;=5000,INDEX($E$2:$E$1001,-2988),"")))))</f>
        <v/>
      </c>
    </row>
    <row r="1014">
      <c r="G1014">
        <f>IF(1013&lt;=1000,INDEX($A$2:$A$1001,1013),IF(1013&lt;=2000,INDEX($B$2:$B$1001,13),IF(1013&lt;=3000,INDEX($C$2:$C$1001,-987),IF(1013&lt;=4000,INDEX($D$2:$D$1001,-1987),IF(1013&lt;=5000,INDEX($E$2:$E$1001,-2987),"")))))</f>
        <v/>
      </c>
    </row>
    <row r="1015">
      <c r="G1015">
        <f>IF(1014&lt;=1000,INDEX($A$2:$A$1001,1014),IF(1014&lt;=2000,INDEX($B$2:$B$1001,14),IF(1014&lt;=3000,INDEX($C$2:$C$1001,-986),IF(1014&lt;=4000,INDEX($D$2:$D$1001,-1986),IF(1014&lt;=5000,INDEX($E$2:$E$1001,-2986),"")))))</f>
        <v/>
      </c>
    </row>
    <row r="1016">
      <c r="G1016">
        <f>IF(1015&lt;=1000,INDEX($A$2:$A$1001,1015),IF(1015&lt;=2000,INDEX($B$2:$B$1001,15),IF(1015&lt;=3000,INDEX($C$2:$C$1001,-985),IF(1015&lt;=4000,INDEX($D$2:$D$1001,-1985),IF(1015&lt;=5000,INDEX($E$2:$E$1001,-2985),"")))))</f>
        <v/>
      </c>
    </row>
    <row r="1017">
      <c r="G1017">
        <f>IF(1016&lt;=1000,INDEX($A$2:$A$1001,1016),IF(1016&lt;=2000,INDEX($B$2:$B$1001,16),IF(1016&lt;=3000,INDEX($C$2:$C$1001,-984),IF(1016&lt;=4000,INDEX($D$2:$D$1001,-1984),IF(1016&lt;=5000,INDEX($E$2:$E$1001,-2984),"")))))</f>
        <v/>
      </c>
    </row>
    <row r="1018">
      <c r="G1018">
        <f>IF(1017&lt;=1000,INDEX($A$2:$A$1001,1017),IF(1017&lt;=2000,INDEX($B$2:$B$1001,17),IF(1017&lt;=3000,INDEX($C$2:$C$1001,-983),IF(1017&lt;=4000,INDEX($D$2:$D$1001,-1983),IF(1017&lt;=5000,INDEX($E$2:$E$1001,-2983),"")))))</f>
        <v/>
      </c>
    </row>
    <row r="1019">
      <c r="G1019">
        <f>IF(1018&lt;=1000,INDEX($A$2:$A$1001,1018),IF(1018&lt;=2000,INDEX($B$2:$B$1001,18),IF(1018&lt;=3000,INDEX($C$2:$C$1001,-982),IF(1018&lt;=4000,INDEX($D$2:$D$1001,-1982),IF(1018&lt;=5000,INDEX($E$2:$E$1001,-2982),"")))))</f>
        <v/>
      </c>
    </row>
    <row r="1020">
      <c r="G1020">
        <f>IF(1019&lt;=1000,INDEX($A$2:$A$1001,1019),IF(1019&lt;=2000,INDEX($B$2:$B$1001,19),IF(1019&lt;=3000,INDEX($C$2:$C$1001,-981),IF(1019&lt;=4000,INDEX($D$2:$D$1001,-1981),IF(1019&lt;=5000,INDEX($E$2:$E$1001,-2981),"")))))</f>
        <v/>
      </c>
    </row>
    <row r="1021">
      <c r="G1021">
        <f>IF(1020&lt;=1000,INDEX($A$2:$A$1001,1020),IF(1020&lt;=2000,INDEX($B$2:$B$1001,20),IF(1020&lt;=3000,INDEX($C$2:$C$1001,-980),IF(1020&lt;=4000,INDEX($D$2:$D$1001,-1980),IF(1020&lt;=5000,INDEX($E$2:$E$1001,-2980),"")))))</f>
        <v/>
      </c>
    </row>
    <row r="1022">
      <c r="G1022">
        <f>IF(1021&lt;=1000,INDEX($A$2:$A$1001,1021),IF(1021&lt;=2000,INDEX($B$2:$B$1001,21),IF(1021&lt;=3000,INDEX($C$2:$C$1001,-979),IF(1021&lt;=4000,INDEX($D$2:$D$1001,-1979),IF(1021&lt;=5000,INDEX($E$2:$E$1001,-2979),"")))))</f>
        <v/>
      </c>
    </row>
    <row r="1023">
      <c r="G1023">
        <f>IF(1022&lt;=1000,INDEX($A$2:$A$1001,1022),IF(1022&lt;=2000,INDEX($B$2:$B$1001,22),IF(1022&lt;=3000,INDEX($C$2:$C$1001,-978),IF(1022&lt;=4000,INDEX($D$2:$D$1001,-1978),IF(1022&lt;=5000,INDEX($E$2:$E$1001,-2978),"")))))</f>
        <v/>
      </c>
    </row>
    <row r="1024">
      <c r="G1024">
        <f>IF(1023&lt;=1000,INDEX($A$2:$A$1001,1023),IF(1023&lt;=2000,INDEX($B$2:$B$1001,23),IF(1023&lt;=3000,INDEX($C$2:$C$1001,-977),IF(1023&lt;=4000,INDEX($D$2:$D$1001,-1977),IF(1023&lt;=5000,INDEX($E$2:$E$1001,-2977),"")))))</f>
        <v/>
      </c>
    </row>
    <row r="1025">
      <c r="G1025">
        <f>IF(1024&lt;=1000,INDEX($A$2:$A$1001,1024),IF(1024&lt;=2000,INDEX($B$2:$B$1001,24),IF(1024&lt;=3000,INDEX($C$2:$C$1001,-976),IF(1024&lt;=4000,INDEX($D$2:$D$1001,-1976),IF(1024&lt;=5000,INDEX($E$2:$E$1001,-2976),"")))))</f>
        <v/>
      </c>
    </row>
    <row r="1026">
      <c r="G1026">
        <f>IF(1025&lt;=1000,INDEX($A$2:$A$1001,1025),IF(1025&lt;=2000,INDEX($B$2:$B$1001,25),IF(1025&lt;=3000,INDEX($C$2:$C$1001,-975),IF(1025&lt;=4000,INDEX($D$2:$D$1001,-1975),IF(1025&lt;=5000,INDEX($E$2:$E$1001,-2975),"")))))</f>
        <v/>
      </c>
    </row>
    <row r="1027">
      <c r="G1027">
        <f>IF(1026&lt;=1000,INDEX($A$2:$A$1001,1026),IF(1026&lt;=2000,INDEX($B$2:$B$1001,26),IF(1026&lt;=3000,INDEX($C$2:$C$1001,-974),IF(1026&lt;=4000,INDEX($D$2:$D$1001,-1974),IF(1026&lt;=5000,INDEX($E$2:$E$1001,-2974),"")))))</f>
        <v/>
      </c>
    </row>
    <row r="1028">
      <c r="G1028">
        <f>IF(1027&lt;=1000,INDEX($A$2:$A$1001,1027),IF(1027&lt;=2000,INDEX($B$2:$B$1001,27),IF(1027&lt;=3000,INDEX($C$2:$C$1001,-973),IF(1027&lt;=4000,INDEX($D$2:$D$1001,-1973),IF(1027&lt;=5000,INDEX($E$2:$E$1001,-2973),"")))))</f>
        <v/>
      </c>
    </row>
    <row r="1029">
      <c r="G1029">
        <f>IF(1028&lt;=1000,INDEX($A$2:$A$1001,1028),IF(1028&lt;=2000,INDEX($B$2:$B$1001,28),IF(1028&lt;=3000,INDEX($C$2:$C$1001,-972),IF(1028&lt;=4000,INDEX($D$2:$D$1001,-1972),IF(1028&lt;=5000,INDEX($E$2:$E$1001,-2972),"")))))</f>
        <v/>
      </c>
    </row>
    <row r="1030">
      <c r="G1030">
        <f>IF(1029&lt;=1000,INDEX($A$2:$A$1001,1029),IF(1029&lt;=2000,INDEX($B$2:$B$1001,29),IF(1029&lt;=3000,INDEX($C$2:$C$1001,-971),IF(1029&lt;=4000,INDEX($D$2:$D$1001,-1971),IF(1029&lt;=5000,INDEX($E$2:$E$1001,-2971),"")))))</f>
        <v/>
      </c>
    </row>
    <row r="1031">
      <c r="G1031">
        <f>IF(1030&lt;=1000,INDEX($A$2:$A$1001,1030),IF(1030&lt;=2000,INDEX($B$2:$B$1001,30),IF(1030&lt;=3000,INDEX($C$2:$C$1001,-970),IF(1030&lt;=4000,INDEX($D$2:$D$1001,-1970),IF(1030&lt;=5000,INDEX($E$2:$E$1001,-2970),"")))))</f>
        <v/>
      </c>
    </row>
    <row r="1032">
      <c r="G1032">
        <f>IF(1031&lt;=1000,INDEX($A$2:$A$1001,1031),IF(1031&lt;=2000,INDEX($B$2:$B$1001,31),IF(1031&lt;=3000,INDEX($C$2:$C$1001,-969),IF(1031&lt;=4000,INDEX($D$2:$D$1001,-1969),IF(1031&lt;=5000,INDEX($E$2:$E$1001,-2969),"")))))</f>
        <v/>
      </c>
    </row>
    <row r="1033">
      <c r="G1033">
        <f>IF(1032&lt;=1000,INDEX($A$2:$A$1001,1032),IF(1032&lt;=2000,INDEX($B$2:$B$1001,32),IF(1032&lt;=3000,INDEX($C$2:$C$1001,-968),IF(1032&lt;=4000,INDEX($D$2:$D$1001,-1968),IF(1032&lt;=5000,INDEX($E$2:$E$1001,-2968),"")))))</f>
        <v/>
      </c>
    </row>
    <row r="1034">
      <c r="G1034">
        <f>IF(1033&lt;=1000,INDEX($A$2:$A$1001,1033),IF(1033&lt;=2000,INDEX($B$2:$B$1001,33),IF(1033&lt;=3000,INDEX($C$2:$C$1001,-967),IF(1033&lt;=4000,INDEX($D$2:$D$1001,-1967),IF(1033&lt;=5000,INDEX($E$2:$E$1001,-2967),"")))))</f>
        <v/>
      </c>
    </row>
    <row r="1035">
      <c r="G1035">
        <f>IF(1034&lt;=1000,INDEX($A$2:$A$1001,1034),IF(1034&lt;=2000,INDEX($B$2:$B$1001,34),IF(1034&lt;=3000,INDEX($C$2:$C$1001,-966),IF(1034&lt;=4000,INDEX($D$2:$D$1001,-1966),IF(1034&lt;=5000,INDEX($E$2:$E$1001,-2966),"")))))</f>
        <v/>
      </c>
    </row>
    <row r="1036">
      <c r="G1036">
        <f>IF(1035&lt;=1000,INDEX($A$2:$A$1001,1035),IF(1035&lt;=2000,INDEX($B$2:$B$1001,35),IF(1035&lt;=3000,INDEX($C$2:$C$1001,-965),IF(1035&lt;=4000,INDEX($D$2:$D$1001,-1965),IF(1035&lt;=5000,INDEX($E$2:$E$1001,-2965),"")))))</f>
        <v/>
      </c>
    </row>
    <row r="1037">
      <c r="G1037">
        <f>IF(1036&lt;=1000,INDEX($A$2:$A$1001,1036),IF(1036&lt;=2000,INDEX($B$2:$B$1001,36),IF(1036&lt;=3000,INDEX($C$2:$C$1001,-964),IF(1036&lt;=4000,INDEX($D$2:$D$1001,-1964),IF(1036&lt;=5000,INDEX($E$2:$E$1001,-2964),"")))))</f>
        <v/>
      </c>
    </row>
    <row r="1038">
      <c r="G1038">
        <f>IF(1037&lt;=1000,INDEX($A$2:$A$1001,1037),IF(1037&lt;=2000,INDEX($B$2:$B$1001,37),IF(1037&lt;=3000,INDEX($C$2:$C$1001,-963),IF(1037&lt;=4000,INDEX($D$2:$D$1001,-1963),IF(1037&lt;=5000,INDEX($E$2:$E$1001,-2963),"")))))</f>
        <v/>
      </c>
    </row>
    <row r="1039">
      <c r="G1039">
        <f>IF(1038&lt;=1000,INDEX($A$2:$A$1001,1038),IF(1038&lt;=2000,INDEX($B$2:$B$1001,38),IF(1038&lt;=3000,INDEX($C$2:$C$1001,-962),IF(1038&lt;=4000,INDEX($D$2:$D$1001,-1962),IF(1038&lt;=5000,INDEX($E$2:$E$1001,-2962),"")))))</f>
        <v/>
      </c>
    </row>
    <row r="1040">
      <c r="G1040">
        <f>IF(1039&lt;=1000,INDEX($A$2:$A$1001,1039),IF(1039&lt;=2000,INDEX($B$2:$B$1001,39),IF(1039&lt;=3000,INDEX($C$2:$C$1001,-961),IF(1039&lt;=4000,INDEX($D$2:$D$1001,-1961),IF(1039&lt;=5000,INDEX($E$2:$E$1001,-2961),"")))))</f>
        <v/>
      </c>
    </row>
    <row r="1041">
      <c r="G1041">
        <f>IF(1040&lt;=1000,INDEX($A$2:$A$1001,1040),IF(1040&lt;=2000,INDEX($B$2:$B$1001,40),IF(1040&lt;=3000,INDEX($C$2:$C$1001,-960),IF(1040&lt;=4000,INDEX($D$2:$D$1001,-1960),IF(1040&lt;=5000,INDEX($E$2:$E$1001,-2960),"")))))</f>
        <v/>
      </c>
    </row>
    <row r="1042">
      <c r="G1042">
        <f>IF(1041&lt;=1000,INDEX($A$2:$A$1001,1041),IF(1041&lt;=2000,INDEX($B$2:$B$1001,41),IF(1041&lt;=3000,INDEX($C$2:$C$1001,-959),IF(1041&lt;=4000,INDEX($D$2:$D$1001,-1959),IF(1041&lt;=5000,INDEX($E$2:$E$1001,-2959),"")))))</f>
        <v/>
      </c>
    </row>
    <row r="1043">
      <c r="G1043">
        <f>IF(1042&lt;=1000,INDEX($A$2:$A$1001,1042),IF(1042&lt;=2000,INDEX($B$2:$B$1001,42),IF(1042&lt;=3000,INDEX($C$2:$C$1001,-958),IF(1042&lt;=4000,INDEX($D$2:$D$1001,-1958),IF(1042&lt;=5000,INDEX($E$2:$E$1001,-2958),"")))))</f>
        <v/>
      </c>
    </row>
    <row r="1044">
      <c r="G1044">
        <f>IF(1043&lt;=1000,INDEX($A$2:$A$1001,1043),IF(1043&lt;=2000,INDEX($B$2:$B$1001,43),IF(1043&lt;=3000,INDEX($C$2:$C$1001,-957),IF(1043&lt;=4000,INDEX($D$2:$D$1001,-1957),IF(1043&lt;=5000,INDEX($E$2:$E$1001,-2957),"")))))</f>
        <v/>
      </c>
    </row>
    <row r="1045">
      <c r="G1045">
        <f>IF(1044&lt;=1000,INDEX($A$2:$A$1001,1044),IF(1044&lt;=2000,INDEX($B$2:$B$1001,44),IF(1044&lt;=3000,INDEX($C$2:$C$1001,-956),IF(1044&lt;=4000,INDEX($D$2:$D$1001,-1956),IF(1044&lt;=5000,INDEX($E$2:$E$1001,-2956),"")))))</f>
        <v/>
      </c>
    </row>
    <row r="1046">
      <c r="G1046">
        <f>IF(1045&lt;=1000,INDEX($A$2:$A$1001,1045),IF(1045&lt;=2000,INDEX($B$2:$B$1001,45),IF(1045&lt;=3000,INDEX($C$2:$C$1001,-955),IF(1045&lt;=4000,INDEX($D$2:$D$1001,-1955),IF(1045&lt;=5000,INDEX($E$2:$E$1001,-2955),"")))))</f>
        <v/>
      </c>
    </row>
    <row r="1047">
      <c r="G1047">
        <f>IF(1046&lt;=1000,INDEX($A$2:$A$1001,1046),IF(1046&lt;=2000,INDEX($B$2:$B$1001,46),IF(1046&lt;=3000,INDEX($C$2:$C$1001,-954),IF(1046&lt;=4000,INDEX($D$2:$D$1001,-1954),IF(1046&lt;=5000,INDEX($E$2:$E$1001,-2954),"")))))</f>
        <v/>
      </c>
    </row>
    <row r="1048">
      <c r="G1048">
        <f>IF(1047&lt;=1000,INDEX($A$2:$A$1001,1047),IF(1047&lt;=2000,INDEX($B$2:$B$1001,47),IF(1047&lt;=3000,INDEX($C$2:$C$1001,-953),IF(1047&lt;=4000,INDEX($D$2:$D$1001,-1953),IF(1047&lt;=5000,INDEX($E$2:$E$1001,-2953),"")))))</f>
        <v/>
      </c>
    </row>
    <row r="1049">
      <c r="G1049">
        <f>IF(1048&lt;=1000,INDEX($A$2:$A$1001,1048),IF(1048&lt;=2000,INDEX($B$2:$B$1001,48),IF(1048&lt;=3000,INDEX($C$2:$C$1001,-952),IF(1048&lt;=4000,INDEX($D$2:$D$1001,-1952),IF(1048&lt;=5000,INDEX($E$2:$E$1001,-2952),"")))))</f>
        <v/>
      </c>
    </row>
    <row r="1050">
      <c r="G1050">
        <f>IF(1049&lt;=1000,INDEX($A$2:$A$1001,1049),IF(1049&lt;=2000,INDEX($B$2:$B$1001,49),IF(1049&lt;=3000,INDEX($C$2:$C$1001,-951),IF(1049&lt;=4000,INDEX($D$2:$D$1001,-1951),IF(1049&lt;=5000,INDEX($E$2:$E$1001,-2951),"")))))</f>
        <v/>
      </c>
    </row>
    <row r="1051">
      <c r="G1051">
        <f>IF(1050&lt;=1000,INDEX($A$2:$A$1001,1050),IF(1050&lt;=2000,INDEX($B$2:$B$1001,50),IF(1050&lt;=3000,INDEX($C$2:$C$1001,-950),IF(1050&lt;=4000,INDEX($D$2:$D$1001,-1950),IF(1050&lt;=5000,INDEX($E$2:$E$1001,-2950),"")))))</f>
        <v/>
      </c>
    </row>
    <row r="1052">
      <c r="G1052">
        <f>IF(1051&lt;=1000,INDEX($A$2:$A$1001,1051),IF(1051&lt;=2000,INDEX($B$2:$B$1001,51),IF(1051&lt;=3000,INDEX($C$2:$C$1001,-949),IF(1051&lt;=4000,INDEX($D$2:$D$1001,-1949),IF(1051&lt;=5000,INDEX($E$2:$E$1001,-2949),"")))))</f>
        <v/>
      </c>
    </row>
    <row r="1053">
      <c r="G1053">
        <f>IF(1052&lt;=1000,INDEX($A$2:$A$1001,1052),IF(1052&lt;=2000,INDEX($B$2:$B$1001,52),IF(1052&lt;=3000,INDEX($C$2:$C$1001,-948),IF(1052&lt;=4000,INDEX($D$2:$D$1001,-1948),IF(1052&lt;=5000,INDEX($E$2:$E$1001,-2948),"")))))</f>
        <v/>
      </c>
    </row>
    <row r="1054">
      <c r="G1054">
        <f>IF(1053&lt;=1000,INDEX($A$2:$A$1001,1053),IF(1053&lt;=2000,INDEX($B$2:$B$1001,53),IF(1053&lt;=3000,INDEX($C$2:$C$1001,-947),IF(1053&lt;=4000,INDEX($D$2:$D$1001,-1947),IF(1053&lt;=5000,INDEX($E$2:$E$1001,-2947),"")))))</f>
        <v/>
      </c>
    </row>
    <row r="1055">
      <c r="G1055">
        <f>IF(1054&lt;=1000,INDEX($A$2:$A$1001,1054),IF(1054&lt;=2000,INDEX($B$2:$B$1001,54),IF(1054&lt;=3000,INDEX($C$2:$C$1001,-946),IF(1054&lt;=4000,INDEX($D$2:$D$1001,-1946),IF(1054&lt;=5000,INDEX($E$2:$E$1001,-2946),"")))))</f>
        <v/>
      </c>
    </row>
    <row r="1056">
      <c r="G1056">
        <f>IF(1055&lt;=1000,INDEX($A$2:$A$1001,1055),IF(1055&lt;=2000,INDEX($B$2:$B$1001,55),IF(1055&lt;=3000,INDEX($C$2:$C$1001,-945),IF(1055&lt;=4000,INDEX($D$2:$D$1001,-1945),IF(1055&lt;=5000,INDEX($E$2:$E$1001,-2945),"")))))</f>
        <v/>
      </c>
    </row>
    <row r="1057">
      <c r="G1057">
        <f>IF(1056&lt;=1000,INDEX($A$2:$A$1001,1056),IF(1056&lt;=2000,INDEX($B$2:$B$1001,56),IF(1056&lt;=3000,INDEX($C$2:$C$1001,-944),IF(1056&lt;=4000,INDEX($D$2:$D$1001,-1944),IF(1056&lt;=5000,INDEX($E$2:$E$1001,-2944),"")))))</f>
        <v/>
      </c>
    </row>
    <row r="1058">
      <c r="G1058">
        <f>IF(1057&lt;=1000,INDEX($A$2:$A$1001,1057),IF(1057&lt;=2000,INDEX($B$2:$B$1001,57),IF(1057&lt;=3000,INDEX($C$2:$C$1001,-943),IF(1057&lt;=4000,INDEX($D$2:$D$1001,-1943),IF(1057&lt;=5000,INDEX($E$2:$E$1001,-2943),"")))))</f>
        <v/>
      </c>
    </row>
    <row r="1059">
      <c r="G1059">
        <f>IF(1058&lt;=1000,INDEX($A$2:$A$1001,1058),IF(1058&lt;=2000,INDEX($B$2:$B$1001,58),IF(1058&lt;=3000,INDEX($C$2:$C$1001,-942),IF(1058&lt;=4000,INDEX($D$2:$D$1001,-1942),IF(1058&lt;=5000,INDEX($E$2:$E$1001,-2942),"")))))</f>
        <v/>
      </c>
    </row>
    <row r="1060">
      <c r="G1060">
        <f>IF(1059&lt;=1000,INDEX($A$2:$A$1001,1059),IF(1059&lt;=2000,INDEX($B$2:$B$1001,59),IF(1059&lt;=3000,INDEX($C$2:$C$1001,-941),IF(1059&lt;=4000,INDEX($D$2:$D$1001,-1941),IF(1059&lt;=5000,INDEX($E$2:$E$1001,-2941),"")))))</f>
        <v/>
      </c>
    </row>
    <row r="1061">
      <c r="G1061">
        <f>IF(1060&lt;=1000,INDEX($A$2:$A$1001,1060),IF(1060&lt;=2000,INDEX($B$2:$B$1001,60),IF(1060&lt;=3000,INDEX($C$2:$C$1001,-940),IF(1060&lt;=4000,INDEX($D$2:$D$1001,-1940),IF(1060&lt;=5000,INDEX($E$2:$E$1001,-2940),"")))))</f>
        <v/>
      </c>
    </row>
    <row r="1062">
      <c r="G1062">
        <f>IF(1061&lt;=1000,INDEX($A$2:$A$1001,1061),IF(1061&lt;=2000,INDEX($B$2:$B$1001,61),IF(1061&lt;=3000,INDEX($C$2:$C$1001,-939),IF(1061&lt;=4000,INDEX($D$2:$D$1001,-1939),IF(1061&lt;=5000,INDEX($E$2:$E$1001,-2939),"")))))</f>
        <v/>
      </c>
    </row>
    <row r="1063">
      <c r="G1063">
        <f>IF(1062&lt;=1000,INDEX($A$2:$A$1001,1062),IF(1062&lt;=2000,INDEX($B$2:$B$1001,62),IF(1062&lt;=3000,INDEX($C$2:$C$1001,-938),IF(1062&lt;=4000,INDEX($D$2:$D$1001,-1938),IF(1062&lt;=5000,INDEX($E$2:$E$1001,-2938),"")))))</f>
        <v/>
      </c>
    </row>
    <row r="1064">
      <c r="G1064">
        <f>IF(1063&lt;=1000,INDEX($A$2:$A$1001,1063),IF(1063&lt;=2000,INDEX($B$2:$B$1001,63),IF(1063&lt;=3000,INDEX($C$2:$C$1001,-937),IF(1063&lt;=4000,INDEX($D$2:$D$1001,-1937),IF(1063&lt;=5000,INDEX($E$2:$E$1001,-2937),"")))))</f>
        <v/>
      </c>
    </row>
    <row r="1065">
      <c r="G1065">
        <f>IF(1064&lt;=1000,INDEX($A$2:$A$1001,1064),IF(1064&lt;=2000,INDEX($B$2:$B$1001,64),IF(1064&lt;=3000,INDEX($C$2:$C$1001,-936),IF(1064&lt;=4000,INDEX($D$2:$D$1001,-1936),IF(1064&lt;=5000,INDEX($E$2:$E$1001,-2936),"")))))</f>
        <v/>
      </c>
    </row>
    <row r="1066">
      <c r="G1066">
        <f>IF(1065&lt;=1000,INDEX($A$2:$A$1001,1065),IF(1065&lt;=2000,INDEX($B$2:$B$1001,65),IF(1065&lt;=3000,INDEX($C$2:$C$1001,-935),IF(1065&lt;=4000,INDEX($D$2:$D$1001,-1935),IF(1065&lt;=5000,INDEX($E$2:$E$1001,-2935),"")))))</f>
        <v/>
      </c>
    </row>
    <row r="1067">
      <c r="G1067">
        <f>IF(1066&lt;=1000,INDEX($A$2:$A$1001,1066),IF(1066&lt;=2000,INDEX($B$2:$B$1001,66),IF(1066&lt;=3000,INDEX($C$2:$C$1001,-934),IF(1066&lt;=4000,INDEX($D$2:$D$1001,-1934),IF(1066&lt;=5000,INDEX($E$2:$E$1001,-2934),"")))))</f>
        <v/>
      </c>
    </row>
    <row r="1068">
      <c r="G1068">
        <f>IF(1067&lt;=1000,INDEX($A$2:$A$1001,1067),IF(1067&lt;=2000,INDEX($B$2:$B$1001,67),IF(1067&lt;=3000,INDEX($C$2:$C$1001,-933),IF(1067&lt;=4000,INDEX($D$2:$D$1001,-1933),IF(1067&lt;=5000,INDEX($E$2:$E$1001,-2933),"")))))</f>
        <v/>
      </c>
    </row>
    <row r="1069">
      <c r="G1069">
        <f>IF(1068&lt;=1000,INDEX($A$2:$A$1001,1068),IF(1068&lt;=2000,INDEX($B$2:$B$1001,68),IF(1068&lt;=3000,INDEX($C$2:$C$1001,-932),IF(1068&lt;=4000,INDEX($D$2:$D$1001,-1932),IF(1068&lt;=5000,INDEX($E$2:$E$1001,-2932),"")))))</f>
        <v/>
      </c>
    </row>
    <row r="1070">
      <c r="G1070">
        <f>IF(1069&lt;=1000,INDEX($A$2:$A$1001,1069),IF(1069&lt;=2000,INDEX($B$2:$B$1001,69),IF(1069&lt;=3000,INDEX($C$2:$C$1001,-931),IF(1069&lt;=4000,INDEX($D$2:$D$1001,-1931),IF(1069&lt;=5000,INDEX($E$2:$E$1001,-2931),"")))))</f>
        <v/>
      </c>
    </row>
    <row r="1071">
      <c r="G1071">
        <f>IF(1070&lt;=1000,INDEX($A$2:$A$1001,1070),IF(1070&lt;=2000,INDEX($B$2:$B$1001,70),IF(1070&lt;=3000,INDEX($C$2:$C$1001,-930),IF(1070&lt;=4000,INDEX($D$2:$D$1001,-1930),IF(1070&lt;=5000,INDEX($E$2:$E$1001,-2930),"")))))</f>
        <v/>
      </c>
    </row>
    <row r="1072">
      <c r="G1072">
        <f>IF(1071&lt;=1000,INDEX($A$2:$A$1001,1071),IF(1071&lt;=2000,INDEX($B$2:$B$1001,71),IF(1071&lt;=3000,INDEX($C$2:$C$1001,-929),IF(1071&lt;=4000,INDEX($D$2:$D$1001,-1929),IF(1071&lt;=5000,INDEX($E$2:$E$1001,-2929),"")))))</f>
        <v/>
      </c>
    </row>
    <row r="1073">
      <c r="G1073">
        <f>IF(1072&lt;=1000,INDEX($A$2:$A$1001,1072),IF(1072&lt;=2000,INDEX($B$2:$B$1001,72),IF(1072&lt;=3000,INDEX($C$2:$C$1001,-928),IF(1072&lt;=4000,INDEX($D$2:$D$1001,-1928),IF(1072&lt;=5000,INDEX($E$2:$E$1001,-2928),"")))))</f>
        <v/>
      </c>
    </row>
    <row r="1074">
      <c r="G1074">
        <f>IF(1073&lt;=1000,INDEX($A$2:$A$1001,1073),IF(1073&lt;=2000,INDEX($B$2:$B$1001,73),IF(1073&lt;=3000,INDEX($C$2:$C$1001,-927),IF(1073&lt;=4000,INDEX($D$2:$D$1001,-1927),IF(1073&lt;=5000,INDEX($E$2:$E$1001,-2927),"")))))</f>
        <v/>
      </c>
    </row>
    <row r="1075">
      <c r="G1075">
        <f>IF(1074&lt;=1000,INDEX($A$2:$A$1001,1074),IF(1074&lt;=2000,INDEX($B$2:$B$1001,74),IF(1074&lt;=3000,INDEX($C$2:$C$1001,-926),IF(1074&lt;=4000,INDEX($D$2:$D$1001,-1926),IF(1074&lt;=5000,INDEX($E$2:$E$1001,-2926),"")))))</f>
        <v/>
      </c>
    </row>
    <row r="1076">
      <c r="G1076">
        <f>IF(1075&lt;=1000,INDEX($A$2:$A$1001,1075),IF(1075&lt;=2000,INDEX($B$2:$B$1001,75),IF(1075&lt;=3000,INDEX($C$2:$C$1001,-925),IF(1075&lt;=4000,INDEX($D$2:$D$1001,-1925),IF(1075&lt;=5000,INDEX($E$2:$E$1001,-2925),"")))))</f>
        <v/>
      </c>
    </row>
    <row r="1077">
      <c r="G1077">
        <f>IF(1076&lt;=1000,INDEX($A$2:$A$1001,1076),IF(1076&lt;=2000,INDEX($B$2:$B$1001,76),IF(1076&lt;=3000,INDEX($C$2:$C$1001,-924),IF(1076&lt;=4000,INDEX($D$2:$D$1001,-1924),IF(1076&lt;=5000,INDEX($E$2:$E$1001,-2924),"")))))</f>
        <v/>
      </c>
    </row>
    <row r="1078">
      <c r="G1078">
        <f>IF(1077&lt;=1000,INDEX($A$2:$A$1001,1077),IF(1077&lt;=2000,INDEX($B$2:$B$1001,77),IF(1077&lt;=3000,INDEX($C$2:$C$1001,-923),IF(1077&lt;=4000,INDEX($D$2:$D$1001,-1923),IF(1077&lt;=5000,INDEX($E$2:$E$1001,-2923),"")))))</f>
        <v/>
      </c>
    </row>
    <row r="1079">
      <c r="G1079">
        <f>IF(1078&lt;=1000,INDEX($A$2:$A$1001,1078),IF(1078&lt;=2000,INDEX($B$2:$B$1001,78),IF(1078&lt;=3000,INDEX($C$2:$C$1001,-922),IF(1078&lt;=4000,INDEX($D$2:$D$1001,-1922),IF(1078&lt;=5000,INDEX($E$2:$E$1001,-2922),"")))))</f>
        <v/>
      </c>
    </row>
    <row r="1080">
      <c r="G1080">
        <f>IF(1079&lt;=1000,INDEX($A$2:$A$1001,1079),IF(1079&lt;=2000,INDEX($B$2:$B$1001,79),IF(1079&lt;=3000,INDEX($C$2:$C$1001,-921),IF(1079&lt;=4000,INDEX($D$2:$D$1001,-1921),IF(1079&lt;=5000,INDEX($E$2:$E$1001,-2921),"")))))</f>
        <v/>
      </c>
    </row>
    <row r="1081">
      <c r="G1081">
        <f>IF(1080&lt;=1000,INDEX($A$2:$A$1001,1080),IF(1080&lt;=2000,INDEX($B$2:$B$1001,80),IF(1080&lt;=3000,INDEX($C$2:$C$1001,-920),IF(1080&lt;=4000,INDEX($D$2:$D$1001,-1920),IF(1080&lt;=5000,INDEX($E$2:$E$1001,-2920),"")))))</f>
        <v/>
      </c>
    </row>
    <row r="1082">
      <c r="G1082">
        <f>IF(1081&lt;=1000,INDEX($A$2:$A$1001,1081),IF(1081&lt;=2000,INDEX($B$2:$B$1001,81),IF(1081&lt;=3000,INDEX($C$2:$C$1001,-919),IF(1081&lt;=4000,INDEX($D$2:$D$1001,-1919),IF(1081&lt;=5000,INDEX($E$2:$E$1001,-2919),"")))))</f>
        <v/>
      </c>
    </row>
    <row r="1083">
      <c r="G1083">
        <f>IF(1082&lt;=1000,INDEX($A$2:$A$1001,1082),IF(1082&lt;=2000,INDEX($B$2:$B$1001,82),IF(1082&lt;=3000,INDEX($C$2:$C$1001,-918),IF(1082&lt;=4000,INDEX($D$2:$D$1001,-1918),IF(1082&lt;=5000,INDEX($E$2:$E$1001,-2918),"")))))</f>
        <v/>
      </c>
    </row>
    <row r="1084">
      <c r="G1084">
        <f>IF(1083&lt;=1000,INDEX($A$2:$A$1001,1083),IF(1083&lt;=2000,INDEX($B$2:$B$1001,83),IF(1083&lt;=3000,INDEX($C$2:$C$1001,-917),IF(1083&lt;=4000,INDEX($D$2:$D$1001,-1917),IF(1083&lt;=5000,INDEX($E$2:$E$1001,-2917),"")))))</f>
        <v/>
      </c>
    </row>
    <row r="1085">
      <c r="G1085">
        <f>IF(1084&lt;=1000,INDEX($A$2:$A$1001,1084),IF(1084&lt;=2000,INDEX($B$2:$B$1001,84),IF(1084&lt;=3000,INDEX($C$2:$C$1001,-916),IF(1084&lt;=4000,INDEX($D$2:$D$1001,-1916),IF(1084&lt;=5000,INDEX($E$2:$E$1001,-2916),"")))))</f>
        <v/>
      </c>
    </row>
    <row r="1086">
      <c r="G1086">
        <f>IF(1085&lt;=1000,INDEX($A$2:$A$1001,1085),IF(1085&lt;=2000,INDEX($B$2:$B$1001,85),IF(1085&lt;=3000,INDEX($C$2:$C$1001,-915),IF(1085&lt;=4000,INDEX($D$2:$D$1001,-1915),IF(1085&lt;=5000,INDEX($E$2:$E$1001,-2915),"")))))</f>
        <v/>
      </c>
    </row>
    <row r="1087">
      <c r="G1087">
        <f>IF(1086&lt;=1000,INDEX($A$2:$A$1001,1086),IF(1086&lt;=2000,INDEX($B$2:$B$1001,86),IF(1086&lt;=3000,INDEX($C$2:$C$1001,-914),IF(1086&lt;=4000,INDEX($D$2:$D$1001,-1914),IF(1086&lt;=5000,INDEX($E$2:$E$1001,-2914),"")))))</f>
        <v/>
      </c>
    </row>
    <row r="1088">
      <c r="G1088">
        <f>IF(1087&lt;=1000,INDEX($A$2:$A$1001,1087),IF(1087&lt;=2000,INDEX($B$2:$B$1001,87),IF(1087&lt;=3000,INDEX($C$2:$C$1001,-913),IF(1087&lt;=4000,INDEX($D$2:$D$1001,-1913),IF(1087&lt;=5000,INDEX($E$2:$E$1001,-2913),"")))))</f>
        <v/>
      </c>
    </row>
    <row r="1089">
      <c r="G1089">
        <f>IF(1088&lt;=1000,INDEX($A$2:$A$1001,1088),IF(1088&lt;=2000,INDEX($B$2:$B$1001,88),IF(1088&lt;=3000,INDEX($C$2:$C$1001,-912),IF(1088&lt;=4000,INDEX($D$2:$D$1001,-1912),IF(1088&lt;=5000,INDEX($E$2:$E$1001,-2912),"")))))</f>
        <v/>
      </c>
    </row>
    <row r="1090">
      <c r="G1090">
        <f>IF(1089&lt;=1000,INDEX($A$2:$A$1001,1089),IF(1089&lt;=2000,INDEX($B$2:$B$1001,89),IF(1089&lt;=3000,INDEX($C$2:$C$1001,-911),IF(1089&lt;=4000,INDEX($D$2:$D$1001,-1911),IF(1089&lt;=5000,INDEX($E$2:$E$1001,-2911),"")))))</f>
        <v/>
      </c>
    </row>
    <row r="1091">
      <c r="G1091">
        <f>IF(1090&lt;=1000,INDEX($A$2:$A$1001,1090),IF(1090&lt;=2000,INDEX($B$2:$B$1001,90),IF(1090&lt;=3000,INDEX($C$2:$C$1001,-910),IF(1090&lt;=4000,INDEX($D$2:$D$1001,-1910),IF(1090&lt;=5000,INDEX($E$2:$E$1001,-2910),"")))))</f>
        <v/>
      </c>
    </row>
    <row r="1092">
      <c r="G1092">
        <f>IF(1091&lt;=1000,INDEX($A$2:$A$1001,1091),IF(1091&lt;=2000,INDEX($B$2:$B$1001,91),IF(1091&lt;=3000,INDEX($C$2:$C$1001,-909),IF(1091&lt;=4000,INDEX($D$2:$D$1001,-1909),IF(1091&lt;=5000,INDEX($E$2:$E$1001,-2909),"")))))</f>
        <v/>
      </c>
    </row>
    <row r="1093">
      <c r="G1093">
        <f>IF(1092&lt;=1000,INDEX($A$2:$A$1001,1092),IF(1092&lt;=2000,INDEX($B$2:$B$1001,92),IF(1092&lt;=3000,INDEX($C$2:$C$1001,-908),IF(1092&lt;=4000,INDEX($D$2:$D$1001,-1908),IF(1092&lt;=5000,INDEX($E$2:$E$1001,-2908),"")))))</f>
        <v/>
      </c>
    </row>
    <row r="1094">
      <c r="G1094">
        <f>IF(1093&lt;=1000,INDEX($A$2:$A$1001,1093),IF(1093&lt;=2000,INDEX($B$2:$B$1001,93),IF(1093&lt;=3000,INDEX($C$2:$C$1001,-907),IF(1093&lt;=4000,INDEX($D$2:$D$1001,-1907),IF(1093&lt;=5000,INDEX($E$2:$E$1001,-2907),"")))))</f>
        <v/>
      </c>
    </row>
    <row r="1095">
      <c r="G1095">
        <f>IF(1094&lt;=1000,INDEX($A$2:$A$1001,1094),IF(1094&lt;=2000,INDEX($B$2:$B$1001,94),IF(1094&lt;=3000,INDEX($C$2:$C$1001,-906),IF(1094&lt;=4000,INDEX($D$2:$D$1001,-1906),IF(1094&lt;=5000,INDEX($E$2:$E$1001,-2906),"")))))</f>
        <v/>
      </c>
    </row>
    <row r="1096">
      <c r="G1096">
        <f>IF(1095&lt;=1000,INDEX($A$2:$A$1001,1095),IF(1095&lt;=2000,INDEX($B$2:$B$1001,95),IF(1095&lt;=3000,INDEX($C$2:$C$1001,-905),IF(1095&lt;=4000,INDEX($D$2:$D$1001,-1905),IF(1095&lt;=5000,INDEX($E$2:$E$1001,-2905),"")))))</f>
        <v/>
      </c>
    </row>
    <row r="1097">
      <c r="G1097">
        <f>IF(1096&lt;=1000,INDEX($A$2:$A$1001,1096),IF(1096&lt;=2000,INDEX($B$2:$B$1001,96),IF(1096&lt;=3000,INDEX($C$2:$C$1001,-904),IF(1096&lt;=4000,INDEX($D$2:$D$1001,-1904),IF(1096&lt;=5000,INDEX($E$2:$E$1001,-2904),"")))))</f>
        <v/>
      </c>
    </row>
    <row r="1098">
      <c r="G1098">
        <f>IF(1097&lt;=1000,INDEX($A$2:$A$1001,1097),IF(1097&lt;=2000,INDEX($B$2:$B$1001,97),IF(1097&lt;=3000,INDEX($C$2:$C$1001,-903),IF(1097&lt;=4000,INDEX($D$2:$D$1001,-1903),IF(1097&lt;=5000,INDEX($E$2:$E$1001,-2903),"")))))</f>
        <v/>
      </c>
    </row>
    <row r="1099">
      <c r="G1099">
        <f>IF(1098&lt;=1000,INDEX($A$2:$A$1001,1098),IF(1098&lt;=2000,INDEX($B$2:$B$1001,98),IF(1098&lt;=3000,INDEX($C$2:$C$1001,-902),IF(1098&lt;=4000,INDEX($D$2:$D$1001,-1902),IF(1098&lt;=5000,INDEX($E$2:$E$1001,-2902),"")))))</f>
        <v/>
      </c>
    </row>
    <row r="1100">
      <c r="G1100">
        <f>IF(1099&lt;=1000,INDEX($A$2:$A$1001,1099),IF(1099&lt;=2000,INDEX($B$2:$B$1001,99),IF(1099&lt;=3000,INDEX($C$2:$C$1001,-901),IF(1099&lt;=4000,INDEX($D$2:$D$1001,-1901),IF(1099&lt;=5000,INDEX($E$2:$E$1001,-2901),"")))))</f>
        <v/>
      </c>
    </row>
    <row r="1101">
      <c r="G1101">
        <f>IF(1100&lt;=1000,INDEX($A$2:$A$1001,1100),IF(1100&lt;=2000,INDEX($B$2:$B$1001,100),IF(1100&lt;=3000,INDEX($C$2:$C$1001,-900),IF(1100&lt;=4000,INDEX($D$2:$D$1001,-1900),IF(1100&lt;=5000,INDEX($E$2:$E$1001,-2900),"")))))</f>
        <v/>
      </c>
    </row>
    <row r="1102">
      <c r="G1102">
        <f>IF(1101&lt;=1000,INDEX($A$2:$A$1001,1101),IF(1101&lt;=2000,INDEX($B$2:$B$1001,101),IF(1101&lt;=3000,INDEX($C$2:$C$1001,-899),IF(1101&lt;=4000,INDEX($D$2:$D$1001,-1899),IF(1101&lt;=5000,INDEX($E$2:$E$1001,-2899),"")))))</f>
        <v/>
      </c>
    </row>
    <row r="1103">
      <c r="G1103">
        <f>IF(1102&lt;=1000,INDEX($A$2:$A$1001,1102),IF(1102&lt;=2000,INDEX($B$2:$B$1001,102),IF(1102&lt;=3000,INDEX($C$2:$C$1001,-898),IF(1102&lt;=4000,INDEX($D$2:$D$1001,-1898),IF(1102&lt;=5000,INDEX($E$2:$E$1001,-2898),"")))))</f>
        <v/>
      </c>
    </row>
    <row r="1104">
      <c r="G1104">
        <f>IF(1103&lt;=1000,INDEX($A$2:$A$1001,1103),IF(1103&lt;=2000,INDEX($B$2:$B$1001,103),IF(1103&lt;=3000,INDEX($C$2:$C$1001,-897),IF(1103&lt;=4000,INDEX($D$2:$D$1001,-1897),IF(1103&lt;=5000,INDEX($E$2:$E$1001,-2897),"")))))</f>
        <v/>
      </c>
    </row>
    <row r="1105">
      <c r="G1105">
        <f>IF(1104&lt;=1000,INDEX($A$2:$A$1001,1104),IF(1104&lt;=2000,INDEX($B$2:$B$1001,104),IF(1104&lt;=3000,INDEX($C$2:$C$1001,-896),IF(1104&lt;=4000,INDEX($D$2:$D$1001,-1896),IF(1104&lt;=5000,INDEX($E$2:$E$1001,-2896),"")))))</f>
        <v/>
      </c>
    </row>
    <row r="1106">
      <c r="G1106">
        <f>IF(1105&lt;=1000,INDEX($A$2:$A$1001,1105),IF(1105&lt;=2000,INDEX($B$2:$B$1001,105),IF(1105&lt;=3000,INDEX($C$2:$C$1001,-895),IF(1105&lt;=4000,INDEX($D$2:$D$1001,-1895),IF(1105&lt;=5000,INDEX($E$2:$E$1001,-2895),"")))))</f>
        <v/>
      </c>
    </row>
    <row r="1107">
      <c r="G1107">
        <f>IF(1106&lt;=1000,INDEX($A$2:$A$1001,1106),IF(1106&lt;=2000,INDEX($B$2:$B$1001,106),IF(1106&lt;=3000,INDEX($C$2:$C$1001,-894),IF(1106&lt;=4000,INDEX($D$2:$D$1001,-1894),IF(1106&lt;=5000,INDEX($E$2:$E$1001,-2894),"")))))</f>
        <v/>
      </c>
    </row>
    <row r="1108">
      <c r="G1108">
        <f>IF(1107&lt;=1000,INDEX($A$2:$A$1001,1107),IF(1107&lt;=2000,INDEX($B$2:$B$1001,107),IF(1107&lt;=3000,INDEX($C$2:$C$1001,-893),IF(1107&lt;=4000,INDEX($D$2:$D$1001,-1893),IF(1107&lt;=5000,INDEX($E$2:$E$1001,-2893),"")))))</f>
        <v/>
      </c>
    </row>
    <row r="1109">
      <c r="G1109">
        <f>IF(1108&lt;=1000,INDEX($A$2:$A$1001,1108),IF(1108&lt;=2000,INDEX($B$2:$B$1001,108),IF(1108&lt;=3000,INDEX($C$2:$C$1001,-892),IF(1108&lt;=4000,INDEX($D$2:$D$1001,-1892),IF(1108&lt;=5000,INDEX($E$2:$E$1001,-2892),"")))))</f>
        <v/>
      </c>
    </row>
    <row r="1110">
      <c r="G1110">
        <f>IF(1109&lt;=1000,INDEX($A$2:$A$1001,1109),IF(1109&lt;=2000,INDEX($B$2:$B$1001,109),IF(1109&lt;=3000,INDEX($C$2:$C$1001,-891),IF(1109&lt;=4000,INDEX($D$2:$D$1001,-1891),IF(1109&lt;=5000,INDEX($E$2:$E$1001,-2891),"")))))</f>
        <v/>
      </c>
    </row>
    <row r="1111">
      <c r="G1111">
        <f>IF(1110&lt;=1000,INDEX($A$2:$A$1001,1110),IF(1110&lt;=2000,INDEX($B$2:$B$1001,110),IF(1110&lt;=3000,INDEX($C$2:$C$1001,-890),IF(1110&lt;=4000,INDEX($D$2:$D$1001,-1890),IF(1110&lt;=5000,INDEX($E$2:$E$1001,-2890),"")))))</f>
        <v/>
      </c>
    </row>
    <row r="1112">
      <c r="G1112">
        <f>IF(1111&lt;=1000,INDEX($A$2:$A$1001,1111),IF(1111&lt;=2000,INDEX($B$2:$B$1001,111),IF(1111&lt;=3000,INDEX($C$2:$C$1001,-889),IF(1111&lt;=4000,INDEX($D$2:$D$1001,-1889),IF(1111&lt;=5000,INDEX($E$2:$E$1001,-2889),"")))))</f>
        <v/>
      </c>
    </row>
    <row r="1113">
      <c r="G1113">
        <f>IF(1112&lt;=1000,INDEX($A$2:$A$1001,1112),IF(1112&lt;=2000,INDEX($B$2:$B$1001,112),IF(1112&lt;=3000,INDEX($C$2:$C$1001,-888),IF(1112&lt;=4000,INDEX($D$2:$D$1001,-1888),IF(1112&lt;=5000,INDEX($E$2:$E$1001,-2888),"")))))</f>
        <v/>
      </c>
    </row>
    <row r="1114">
      <c r="G1114">
        <f>IF(1113&lt;=1000,INDEX($A$2:$A$1001,1113),IF(1113&lt;=2000,INDEX($B$2:$B$1001,113),IF(1113&lt;=3000,INDEX($C$2:$C$1001,-887),IF(1113&lt;=4000,INDEX($D$2:$D$1001,-1887),IF(1113&lt;=5000,INDEX($E$2:$E$1001,-2887),"")))))</f>
        <v/>
      </c>
    </row>
    <row r="1115">
      <c r="G1115">
        <f>IF(1114&lt;=1000,INDEX($A$2:$A$1001,1114),IF(1114&lt;=2000,INDEX($B$2:$B$1001,114),IF(1114&lt;=3000,INDEX($C$2:$C$1001,-886),IF(1114&lt;=4000,INDEX($D$2:$D$1001,-1886),IF(1114&lt;=5000,INDEX($E$2:$E$1001,-2886),"")))))</f>
        <v/>
      </c>
    </row>
    <row r="1116">
      <c r="G1116">
        <f>IF(1115&lt;=1000,INDEX($A$2:$A$1001,1115),IF(1115&lt;=2000,INDEX($B$2:$B$1001,115),IF(1115&lt;=3000,INDEX($C$2:$C$1001,-885),IF(1115&lt;=4000,INDEX($D$2:$D$1001,-1885),IF(1115&lt;=5000,INDEX($E$2:$E$1001,-2885),"")))))</f>
        <v/>
      </c>
    </row>
    <row r="1117">
      <c r="G1117">
        <f>IF(1116&lt;=1000,INDEX($A$2:$A$1001,1116),IF(1116&lt;=2000,INDEX($B$2:$B$1001,116),IF(1116&lt;=3000,INDEX($C$2:$C$1001,-884),IF(1116&lt;=4000,INDEX($D$2:$D$1001,-1884),IF(1116&lt;=5000,INDEX($E$2:$E$1001,-2884),"")))))</f>
        <v/>
      </c>
    </row>
    <row r="1118">
      <c r="G1118">
        <f>IF(1117&lt;=1000,INDEX($A$2:$A$1001,1117),IF(1117&lt;=2000,INDEX($B$2:$B$1001,117),IF(1117&lt;=3000,INDEX($C$2:$C$1001,-883),IF(1117&lt;=4000,INDEX($D$2:$D$1001,-1883),IF(1117&lt;=5000,INDEX($E$2:$E$1001,-2883),"")))))</f>
        <v/>
      </c>
    </row>
    <row r="1119">
      <c r="G1119">
        <f>IF(1118&lt;=1000,INDEX($A$2:$A$1001,1118),IF(1118&lt;=2000,INDEX($B$2:$B$1001,118),IF(1118&lt;=3000,INDEX($C$2:$C$1001,-882),IF(1118&lt;=4000,INDEX($D$2:$D$1001,-1882),IF(1118&lt;=5000,INDEX($E$2:$E$1001,-2882),"")))))</f>
        <v/>
      </c>
    </row>
    <row r="1120">
      <c r="G1120">
        <f>IF(1119&lt;=1000,INDEX($A$2:$A$1001,1119),IF(1119&lt;=2000,INDEX($B$2:$B$1001,119),IF(1119&lt;=3000,INDEX($C$2:$C$1001,-881),IF(1119&lt;=4000,INDEX($D$2:$D$1001,-1881),IF(1119&lt;=5000,INDEX($E$2:$E$1001,-2881),"")))))</f>
        <v/>
      </c>
    </row>
    <row r="1121">
      <c r="G1121">
        <f>IF(1120&lt;=1000,INDEX($A$2:$A$1001,1120),IF(1120&lt;=2000,INDEX($B$2:$B$1001,120),IF(1120&lt;=3000,INDEX($C$2:$C$1001,-880),IF(1120&lt;=4000,INDEX($D$2:$D$1001,-1880),IF(1120&lt;=5000,INDEX($E$2:$E$1001,-2880),"")))))</f>
        <v/>
      </c>
    </row>
    <row r="1122">
      <c r="G1122">
        <f>IF(1121&lt;=1000,INDEX($A$2:$A$1001,1121),IF(1121&lt;=2000,INDEX($B$2:$B$1001,121),IF(1121&lt;=3000,INDEX($C$2:$C$1001,-879),IF(1121&lt;=4000,INDEX($D$2:$D$1001,-1879),IF(1121&lt;=5000,INDEX($E$2:$E$1001,-2879),"")))))</f>
        <v/>
      </c>
    </row>
    <row r="1123">
      <c r="G1123">
        <f>IF(1122&lt;=1000,INDEX($A$2:$A$1001,1122),IF(1122&lt;=2000,INDEX($B$2:$B$1001,122),IF(1122&lt;=3000,INDEX($C$2:$C$1001,-878),IF(1122&lt;=4000,INDEX($D$2:$D$1001,-1878),IF(1122&lt;=5000,INDEX($E$2:$E$1001,-2878),"")))))</f>
        <v/>
      </c>
    </row>
    <row r="1124">
      <c r="G1124">
        <f>IF(1123&lt;=1000,INDEX($A$2:$A$1001,1123),IF(1123&lt;=2000,INDEX($B$2:$B$1001,123),IF(1123&lt;=3000,INDEX($C$2:$C$1001,-877),IF(1123&lt;=4000,INDEX($D$2:$D$1001,-1877),IF(1123&lt;=5000,INDEX($E$2:$E$1001,-2877),"")))))</f>
        <v/>
      </c>
    </row>
    <row r="1125">
      <c r="G1125">
        <f>IF(1124&lt;=1000,INDEX($A$2:$A$1001,1124),IF(1124&lt;=2000,INDEX($B$2:$B$1001,124),IF(1124&lt;=3000,INDEX($C$2:$C$1001,-876),IF(1124&lt;=4000,INDEX($D$2:$D$1001,-1876),IF(1124&lt;=5000,INDEX($E$2:$E$1001,-2876),"")))))</f>
        <v/>
      </c>
    </row>
    <row r="1126">
      <c r="G1126">
        <f>IF(1125&lt;=1000,INDEX($A$2:$A$1001,1125),IF(1125&lt;=2000,INDEX($B$2:$B$1001,125),IF(1125&lt;=3000,INDEX($C$2:$C$1001,-875),IF(1125&lt;=4000,INDEX($D$2:$D$1001,-1875),IF(1125&lt;=5000,INDEX($E$2:$E$1001,-2875),"")))))</f>
        <v/>
      </c>
    </row>
    <row r="1127">
      <c r="G1127">
        <f>IF(1126&lt;=1000,INDEX($A$2:$A$1001,1126),IF(1126&lt;=2000,INDEX($B$2:$B$1001,126),IF(1126&lt;=3000,INDEX($C$2:$C$1001,-874),IF(1126&lt;=4000,INDEX($D$2:$D$1001,-1874),IF(1126&lt;=5000,INDEX($E$2:$E$1001,-2874),"")))))</f>
        <v/>
      </c>
    </row>
    <row r="1128">
      <c r="G1128">
        <f>IF(1127&lt;=1000,INDEX($A$2:$A$1001,1127),IF(1127&lt;=2000,INDEX($B$2:$B$1001,127),IF(1127&lt;=3000,INDEX($C$2:$C$1001,-873),IF(1127&lt;=4000,INDEX($D$2:$D$1001,-1873),IF(1127&lt;=5000,INDEX($E$2:$E$1001,-2873),"")))))</f>
        <v/>
      </c>
    </row>
    <row r="1129">
      <c r="G1129">
        <f>IF(1128&lt;=1000,INDEX($A$2:$A$1001,1128),IF(1128&lt;=2000,INDEX($B$2:$B$1001,128),IF(1128&lt;=3000,INDEX($C$2:$C$1001,-872),IF(1128&lt;=4000,INDEX($D$2:$D$1001,-1872),IF(1128&lt;=5000,INDEX($E$2:$E$1001,-2872),"")))))</f>
        <v/>
      </c>
    </row>
    <row r="1130">
      <c r="G1130">
        <f>IF(1129&lt;=1000,INDEX($A$2:$A$1001,1129),IF(1129&lt;=2000,INDEX($B$2:$B$1001,129),IF(1129&lt;=3000,INDEX($C$2:$C$1001,-871),IF(1129&lt;=4000,INDEX($D$2:$D$1001,-1871),IF(1129&lt;=5000,INDEX($E$2:$E$1001,-2871),"")))))</f>
        <v/>
      </c>
    </row>
    <row r="1131">
      <c r="G1131">
        <f>IF(1130&lt;=1000,INDEX($A$2:$A$1001,1130),IF(1130&lt;=2000,INDEX($B$2:$B$1001,130),IF(1130&lt;=3000,INDEX($C$2:$C$1001,-870),IF(1130&lt;=4000,INDEX($D$2:$D$1001,-1870),IF(1130&lt;=5000,INDEX($E$2:$E$1001,-2870),"")))))</f>
        <v/>
      </c>
    </row>
    <row r="1132">
      <c r="G1132">
        <f>IF(1131&lt;=1000,INDEX($A$2:$A$1001,1131),IF(1131&lt;=2000,INDEX($B$2:$B$1001,131),IF(1131&lt;=3000,INDEX($C$2:$C$1001,-869),IF(1131&lt;=4000,INDEX($D$2:$D$1001,-1869),IF(1131&lt;=5000,INDEX($E$2:$E$1001,-2869),"")))))</f>
        <v/>
      </c>
    </row>
    <row r="1133">
      <c r="G1133">
        <f>IF(1132&lt;=1000,INDEX($A$2:$A$1001,1132),IF(1132&lt;=2000,INDEX($B$2:$B$1001,132),IF(1132&lt;=3000,INDEX($C$2:$C$1001,-868),IF(1132&lt;=4000,INDEX($D$2:$D$1001,-1868),IF(1132&lt;=5000,INDEX($E$2:$E$1001,-2868),"")))))</f>
        <v/>
      </c>
    </row>
    <row r="1134">
      <c r="G1134">
        <f>IF(1133&lt;=1000,INDEX($A$2:$A$1001,1133),IF(1133&lt;=2000,INDEX($B$2:$B$1001,133),IF(1133&lt;=3000,INDEX($C$2:$C$1001,-867),IF(1133&lt;=4000,INDEX($D$2:$D$1001,-1867),IF(1133&lt;=5000,INDEX($E$2:$E$1001,-2867),"")))))</f>
        <v/>
      </c>
    </row>
    <row r="1135">
      <c r="G1135">
        <f>IF(1134&lt;=1000,INDEX($A$2:$A$1001,1134),IF(1134&lt;=2000,INDEX($B$2:$B$1001,134),IF(1134&lt;=3000,INDEX($C$2:$C$1001,-866),IF(1134&lt;=4000,INDEX($D$2:$D$1001,-1866),IF(1134&lt;=5000,INDEX($E$2:$E$1001,-2866),"")))))</f>
        <v/>
      </c>
    </row>
    <row r="1136">
      <c r="G1136">
        <f>IF(1135&lt;=1000,INDEX($A$2:$A$1001,1135),IF(1135&lt;=2000,INDEX($B$2:$B$1001,135),IF(1135&lt;=3000,INDEX($C$2:$C$1001,-865),IF(1135&lt;=4000,INDEX($D$2:$D$1001,-1865),IF(1135&lt;=5000,INDEX($E$2:$E$1001,-2865),"")))))</f>
        <v/>
      </c>
    </row>
    <row r="1137">
      <c r="G1137">
        <f>IF(1136&lt;=1000,INDEX($A$2:$A$1001,1136),IF(1136&lt;=2000,INDEX($B$2:$B$1001,136),IF(1136&lt;=3000,INDEX($C$2:$C$1001,-864),IF(1136&lt;=4000,INDEX($D$2:$D$1001,-1864),IF(1136&lt;=5000,INDEX($E$2:$E$1001,-2864),"")))))</f>
        <v/>
      </c>
    </row>
    <row r="1138">
      <c r="G1138">
        <f>IF(1137&lt;=1000,INDEX($A$2:$A$1001,1137),IF(1137&lt;=2000,INDEX($B$2:$B$1001,137),IF(1137&lt;=3000,INDEX($C$2:$C$1001,-863),IF(1137&lt;=4000,INDEX($D$2:$D$1001,-1863),IF(1137&lt;=5000,INDEX($E$2:$E$1001,-2863),"")))))</f>
        <v/>
      </c>
    </row>
    <row r="1139">
      <c r="G1139">
        <f>IF(1138&lt;=1000,INDEX($A$2:$A$1001,1138),IF(1138&lt;=2000,INDEX($B$2:$B$1001,138),IF(1138&lt;=3000,INDEX($C$2:$C$1001,-862),IF(1138&lt;=4000,INDEX($D$2:$D$1001,-1862),IF(1138&lt;=5000,INDEX($E$2:$E$1001,-2862),"")))))</f>
        <v/>
      </c>
    </row>
    <row r="1140">
      <c r="G1140">
        <f>IF(1139&lt;=1000,INDEX($A$2:$A$1001,1139),IF(1139&lt;=2000,INDEX($B$2:$B$1001,139),IF(1139&lt;=3000,INDEX($C$2:$C$1001,-861),IF(1139&lt;=4000,INDEX($D$2:$D$1001,-1861),IF(1139&lt;=5000,INDEX($E$2:$E$1001,-2861),"")))))</f>
        <v/>
      </c>
    </row>
    <row r="1141">
      <c r="G1141">
        <f>IF(1140&lt;=1000,INDEX($A$2:$A$1001,1140),IF(1140&lt;=2000,INDEX($B$2:$B$1001,140),IF(1140&lt;=3000,INDEX($C$2:$C$1001,-860),IF(1140&lt;=4000,INDEX($D$2:$D$1001,-1860),IF(1140&lt;=5000,INDEX($E$2:$E$1001,-2860),"")))))</f>
        <v/>
      </c>
    </row>
    <row r="1142">
      <c r="G1142">
        <f>IF(1141&lt;=1000,INDEX($A$2:$A$1001,1141),IF(1141&lt;=2000,INDEX($B$2:$B$1001,141),IF(1141&lt;=3000,INDEX($C$2:$C$1001,-859),IF(1141&lt;=4000,INDEX($D$2:$D$1001,-1859),IF(1141&lt;=5000,INDEX($E$2:$E$1001,-2859),"")))))</f>
        <v/>
      </c>
    </row>
    <row r="1143">
      <c r="G1143">
        <f>IF(1142&lt;=1000,INDEX($A$2:$A$1001,1142),IF(1142&lt;=2000,INDEX($B$2:$B$1001,142),IF(1142&lt;=3000,INDEX($C$2:$C$1001,-858),IF(1142&lt;=4000,INDEX($D$2:$D$1001,-1858),IF(1142&lt;=5000,INDEX($E$2:$E$1001,-2858),"")))))</f>
        <v/>
      </c>
    </row>
    <row r="1144">
      <c r="G1144">
        <f>IF(1143&lt;=1000,INDEX($A$2:$A$1001,1143),IF(1143&lt;=2000,INDEX($B$2:$B$1001,143),IF(1143&lt;=3000,INDEX($C$2:$C$1001,-857),IF(1143&lt;=4000,INDEX($D$2:$D$1001,-1857),IF(1143&lt;=5000,INDEX($E$2:$E$1001,-2857),"")))))</f>
        <v/>
      </c>
    </row>
    <row r="1145">
      <c r="G1145">
        <f>IF(1144&lt;=1000,INDEX($A$2:$A$1001,1144),IF(1144&lt;=2000,INDEX($B$2:$B$1001,144),IF(1144&lt;=3000,INDEX($C$2:$C$1001,-856),IF(1144&lt;=4000,INDEX($D$2:$D$1001,-1856),IF(1144&lt;=5000,INDEX($E$2:$E$1001,-2856),"")))))</f>
        <v/>
      </c>
    </row>
    <row r="1146">
      <c r="G1146">
        <f>IF(1145&lt;=1000,INDEX($A$2:$A$1001,1145),IF(1145&lt;=2000,INDEX($B$2:$B$1001,145),IF(1145&lt;=3000,INDEX($C$2:$C$1001,-855),IF(1145&lt;=4000,INDEX($D$2:$D$1001,-1855),IF(1145&lt;=5000,INDEX($E$2:$E$1001,-2855),"")))))</f>
        <v/>
      </c>
    </row>
    <row r="1147">
      <c r="G1147">
        <f>IF(1146&lt;=1000,INDEX($A$2:$A$1001,1146),IF(1146&lt;=2000,INDEX($B$2:$B$1001,146),IF(1146&lt;=3000,INDEX($C$2:$C$1001,-854),IF(1146&lt;=4000,INDEX($D$2:$D$1001,-1854),IF(1146&lt;=5000,INDEX($E$2:$E$1001,-2854),"")))))</f>
        <v/>
      </c>
    </row>
    <row r="1148">
      <c r="G1148">
        <f>IF(1147&lt;=1000,INDEX($A$2:$A$1001,1147),IF(1147&lt;=2000,INDEX($B$2:$B$1001,147),IF(1147&lt;=3000,INDEX($C$2:$C$1001,-853),IF(1147&lt;=4000,INDEX($D$2:$D$1001,-1853),IF(1147&lt;=5000,INDEX($E$2:$E$1001,-2853),"")))))</f>
        <v/>
      </c>
    </row>
    <row r="1149">
      <c r="G1149">
        <f>IF(1148&lt;=1000,INDEX($A$2:$A$1001,1148),IF(1148&lt;=2000,INDEX($B$2:$B$1001,148),IF(1148&lt;=3000,INDEX($C$2:$C$1001,-852),IF(1148&lt;=4000,INDEX($D$2:$D$1001,-1852),IF(1148&lt;=5000,INDEX($E$2:$E$1001,-2852),"")))))</f>
        <v/>
      </c>
    </row>
    <row r="1150">
      <c r="G1150">
        <f>IF(1149&lt;=1000,INDEX($A$2:$A$1001,1149),IF(1149&lt;=2000,INDEX($B$2:$B$1001,149),IF(1149&lt;=3000,INDEX($C$2:$C$1001,-851),IF(1149&lt;=4000,INDEX($D$2:$D$1001,-1851),IF(1149&lt;=5000,INDEX($E$2:$E$1001,-2851),"")))))</f>
        <v/>
      </c>
    </row>
    <row r="1151">
      <c r="G1151">
        <f>IF(1150&lt;=1000,INDEX($A$2:$A$1001,1150),IF(1150&lt;=2000,INDEX($B$2:$B$1001,150),IF(1150&lt;=3000,INDEX($C$2:$C$1001,-850),IF(1150&lt;=4000,INDEX($D$2:$D$1001,-1850),IF(1150&lt;=5000,INDEX($E$2:$E$1001,-2850),"")))))</f>
        <v/>
      </c>
    </row>
    <row r="1152">
      <c r="G1152">
        <f>IF(1151&lt;=1000,INDEX($A$2:$A$1001,1151),IF(1151&lt;=2000,INDEX($B$2:$B$1001,151),IF(1151&lt;=3000,INDEX($C$2:$C$1001,-849),IF(1151&lt;=4000,INDEX($D$2:$D$1001,-1849),IF(1151&lt;=5000,INDEX($E$2:$E$1001,-2849),"")))))</f>
        <v/>
      </c>
    </row>
    <row r="1153">
      <c r="G1153">
        <f>IF(1152&lt;=1000,INDEX($A$2:$A$1001,1152),IF(1152&lt;=2000,INDEX($B$2:$B$1001,152),IF(1152&lt;=3000,INDEX($C$2:$C$1001,-848),IF(1152&lt;=4000,INDEX($D$2:$D$1001,-1848),IF(1152&lt;=5000,INDEX($E$2:$E$1001,-2848),"")))))</f>
        <v/>
      </c>
    </row>
    <row r="1154">
      <c r="G1154">
        <f>IF(1153&lt;=1000,INDEX($A$2:$A$1001,1153),IF(1153&lt;=2000,INDEX($B$2:$B$1001,153),IF(1153&lt;=3000,INDEX($C$2:$C$1001,-847),IF(1153&lt;=4000,INDEX($D$2:$D$1001,-1847),IF(1153&lt;=5000,INDEX($E$2:$E$1001,-2847),"")))))</f>
        <v/>
      </c>
    </row>
    <row r="1155">
      <c r="G1155">
        <f>IF(1154&lt;=1000,INDEX($A$2:$A$1001,1154),IF(1154&lt;=2000,INDEX($B$2:$B$1001,154),IF(1154&lt;=3000,INDEX($C$2:$C$1001,-846),IF(1154&lt;=4000,INDEX($D$2:$D$1001,-1846),IF(1154&lt;=5000,INDEX($E$2:$E$1001,-2846),"")))))</f>
        <v/>
      </c>
    </row>
    <row r="1156">
      <c r="G1156">
        <f>IF(1155&lt;=1000,INDEX($A$2:$A$1001,1155),IF(1155&lt;=2000,INDEX($B$2:$B$1001,155),IF(1155&lt;=3000,INDEX($C$2:$C$1001,-845),IF(1155&lt;=4000,INDEX($D$2:$D$1001,-1845),IF(1155&lt;=5000,INDEX($E$2:$E$1001,-2845),"")))))</f>
        <v/>
      </c>
    </row>
    <row r="1157">
      <c r="G1157">
        <f>IF(1156&lt;=1000,INDEX($A$2:$A$1001,1156),IF(1156&lt;=2000,INDEX($B$2:$B$1001,156),IF(1156&lt;=3000,INDEX($C$2:$C$1001,-844),IF(1156&lt;=4000,INDEX($D$2:$D$1001,-1844),IF(1156&lt;=5000,INDEX($E$2:$E$1001,-2844),"")))))</f>
        <v/>
      </c>
    </row>
    <row r="1158">
      <c r="G1158">
        <f>IF(1157&lt;=1000,INDEX($A$2:$A$1001,1157),IF(1157&lt;=2000,INDEX($B$2:$B$1001,157),IF(1157&lt;=3000,INDEX($C$2:$C$1001,-843),IF(1157&lt;=4000,INDEX($D$2:$D$1001,-1843),IF(1157&lt;=5000,INDEX($E$2:$E$1001,-2843),"")))))</f>
        <v/>
      </c>
    </row>
    <row r="1159">
      <c r="G1159">
        <f>IF(1158&lt;=1000,INDEX($A$2:$A$1001,1158),IF(1158&lt;=2000,INDEX($B$2:$B$1001,158),IF(1158&lt;=3000,INDEX($C$2:$C$1001,-842),IF(1158&lt;=4000,INDEX($D$2:$D$1001,-1842),IF(1158&lt;=5000,INDEX($E$2:$E$1001,-2842),"")))))</f>
        <v/>
      </c>
    </row>
    <row r="1160">
      <c r="G1160">
        <f>IF(1159&lt;=1000,INDEX($A$2:$A$1001,1159),IF(1159&lt;=2000,INDEX($B$2:$B$1001,159),IF(1159&lt;=3000,INDEX($C$2:$C$1001,-841),IF(1159&lt;=4000,INDEX($D$2:$D$1001,-1841),IF(1159&lt;=5000,INDEX($E$2:$E$1001,-2841),"")))))</f>
        <v/>
      </c>
    </row>
    <row r="1161">
      <c r="G1161">
        <f>IF(1160&lt;=1000,INDEX($A$2:$A$1001,1160),IF(1160&lt;=2000,INDEX($B$2:$B$1001,160),IF(1160&lt;=3000,INDEX($C$2:$C$1001,-840),IF(1160&lt;=4000,INDEX($D$2:$D$1001,-1840),IF(1160&lt;=5000,INDEX($E$2:$E$1001,-2840),"")))))</f>
        <v/>
      </c>
    </row>
    <row r="1162">
      <c r="G1162">
        <f>IF(1161&lt;=1000,INDEX($A$2:$A$1001,1161),IF(1161&lt;=2000,INDEX($B$2:$B$1001,161),IF(1161&lt;=3000,INDEX($C$2:$C$1001,-839),IF(1161&lt;=4000,INDEX($D$2:$D$1001,-1839),IF(1161&lt;=5000,INDEX($E$2:$E$1001,-2839),"")))))</f>
        <v/>
      </c>
    </row>
    <row r="1163">
      <c r="G1163">
        <f>IF(1162&lt;=1000,INDEX($A$2:$A$1001,1162),IF(1162&lt;=2000,INDEX($B$2:$B$1001,162),IF(1162&lt;=3000,INDEX($C$2:$C$1001,-838),IF(1162&lt;=4000,INDEX($D$2:$D$1001,-1838),IF(1162&lt;=5000,INDEX($E$2:$E$1001,-2838),"")))))</f>
        <v/>
      </c>
    </row>
    <row r="1164">
      <c r="G1164">
        <f>IF(1163&lt;=1000,INDEX($A$2:$A$1001,1163),IF(1163&lt;=2000,INDEX($B$2:$B$1001,163),IF(1163&lt;=3000,INDEX($C$2:$C$1001,-837),IF(1163&lt;=4000,INDEX($D$2:$D$1001,-1837),IF(1163&lt;=5000,INDEX($E$2:$E$1001,-2837),"")))))</f>
        <v/>
      </c>
    </row>
    <row r="1165">
      <c r="G1165">
        <f>IF(1164&lt;=1000,INDEX($A$2:$A$1001,1164),IF(1164&lt;=2000,INDEX($B$2:$B$1001,164),IF(1164&lt;=3000,INDEX($C$2:$C$1001,-836),IF(1164&lt;=4000,INDEX($D$2:$D$1001,-1836),IF(1164&lt;=5000,INDEX($E$2:$E$1001,-2836),"")))))</f>
        <v/>
      </c>
    </row>
    <row r="1166">
      <c r="G1166">
        <f>IF(1165&lt;=1000,INDEX($A$2:$A$1001,1165),IF(1165&lt;=2000,INDEX($B$2:$B$1001,165),IF(1165&lt;=3000,INDEX($C$2:$C$1001,-835),IF(1165&lt;=4000,INDEX($D$2:$D$1001,-1835),IF(1165&lt;=5000,INDEX($E$2:$E$1001,-2835),"")))))</f>
        <v/>
      </c>
    </row>
    <row r="1167">
      <c r="G1167">
        <f>IF(1166&lt;=1000,INDEX($A$2:$A$1001,1166),IF(1166&lt;=2000,INDEX($B$2:$B$1001,166),IF(1166&lt;=3000,INDEX($C$2:$C$1001,-834),IF(1166&lt;=4000,INDEX($D$2:$D$1001,-1834),IF(1166&lt;=5000,INDEX($E$2:$E$1001,-2834),"")))))</f>
        <v/>
      </c>
    </row>
    <row r="1168">
      <c r="G1168">
        <f>IF(1167&lt;=1000,INDEX($A$2:$A$1001,1167),IF(1167&lt;=2000,INDEX($B$2:$B$1001,167),IF(1167&lt;=3000,INDEX($C$2:$C$1001,-833),IF(1167&lt;=4000,INDEX($D$2:$D$1001,-1833),IF(1167&lt;=5000,INDEX($E$2:$E$1001,-2833),"")))))</f>
        <v/>
      </c>
    </row>
    <row r="1169">
      <c r="G1169">
        <f>IF(1168&lt;=1000,INDEX($A$2:$A$1001,1168),IF(1168&lt;=2000,INDEX($B$2:$B$1001,168),IF(1168&lt;=3000,INDEX($C$2:$C$1001,-832),IF(1168&lt;=4000,INDEX($D$2:$D$1001,-1832),IF(1168&lt;=5000,INDEX($E$2:$E$1001,-2832),"")))))</f>
        <v/>
      </c>
    </row>
    <row r="1170">
      <c r="G1170">
        <f>IF(1169&lt;=1000,INDEX($A$2:$A$1001,1169),IF(1169&lt;=2000,INDEX($B$2:$B$1001,169),IF(1169&lt;=3000,INDEX($C$2:$C$1001,-831),IF(1169&lt;=4000,INDEX($D$2:$D$1001,-1831),IF(1169&lt;=5000,INDEX($E$2:$E$1001,-2831),"")))))</f>
        <v/>
      </c>
    </row>
    <row r="1171">
      <c r="G1171">
        <f>IF(1170&lt;=1000,INDEX($A$2:$A$1001,1170),IF(1170&lt;=2000,INDEX($B$2:$B$1001,170),IF(1170&lt;=3000,INDEX($C$2:$C$1001,-830),IF(1170&lt;=4000,INDEX($D$2:$D$1001,-1830),IF(1170&lt;=5000,INDEX($E$2:$E$1001,-2830),"")))))</f>
        <v/>
      </c>
    </row>
    <row r="1172">
      <c r="G1172">
        <f>IF(1171&lt;=1000,INDEX($A$2:$A$1001,1171),IF(1171&lt;=2000,INDEX($B$2:$B$1001,171),IF(1171&lt;=3000,INDEX($C$2:$C$1001,-829),IF(1171&lt;=4000,INDEX($D$2:$D$1001,-1829),IF(1171&lt;=5000,INDEX($E$2:$E$1001,-2829),"")))))</f>
        <v/>
      </c>
    </row>
    <row r="1173">
      <c r="G1173">
        <f>IF(1172&lt;=1000,INDEX($A$2:$A$1001,1172),IF(1172&lt;=2000,INDEX($B$2:$B$1001,172),IF(1172&lt;=3000,INDEX($C$2:$C$1001,-828),IF(1172&lt;=4000,INDEX($D$2:$D$1001,-1828),IF(1172&lt;=5000,INDEX($E$2:$E$1001,-2828),"")))))</f>
        <v/>
      </c>
    </row>
    <row r="1174">
      <c r="G1174">
        <f>IF(1173&lt;=1000,INDEX($A$2:$A$1001,1173),IF(1173&lt;=2000,INDEX($B$2:$B$1001,173),IF(1173&lt;=3000,INDEX($C$2:$C$1001,-827),IF(1173&lt;=4000,INDEX($D$2:$D$1001,-1827),IF(1173&lt;=5000,INDEX($E$2:$E$1001,-2827),"")))))</f>
        <v/>
      </c>
    </row>
    <row r="1175">
      <c r="G1175">
        <f>IF(1174&lt;=1000,INDEX($A$2:$A$1001,1174),IF(1174&lt;=2000,INDEX($B$2:$B$1001,174),IF(1174&lt;=3000,INDEX($C$2:$C$1001,-826),IF(1174&lt;=4000,INDEX($D$2:$D$1001,-1826),IF(1174&lt;=5000,INDEX($E$2:$E$1001,-2826),"")))))</f>
        <v/>
      </c>
    </row>
    <row r="1176">
      <c r="G1176">
        <f>IF(1175&lt;=1000,INDEX($A$2:$A$1001,1175),IF(1175&lt;=2000,INDEX($B$2:$B$1001,175),IF(1175&lt;=3000,INDEX($C$2:$C$1001,-825),IF(1175&lt;=4000,INDEX($D$2:$D$1001,-1825),IF(1175&lt;=5000,INDEX($E$2:$E$1001,-2825),"")))))</f>
        <v/>
      </c>
    </row>
    <row r="1177">
      <c r="G1177">
        <f>IF(1176&lt;=1000,INDEX($A$2:$A$1001,1176),IF(1176&lt;=2000,INDEX($B$2:$B$1001,176),IF(1176&lt;=3000,INDEX($C$2:$C$1001,-824),IF(1176&lt;=4000,INDEX($D$2:$D$1001,-1824),IF(1176&lt;=5000,INDEX($E$2:$E$1001,-2824),"")))))</f>
        <v/>
      </c>
    </row>
    <row r="1178">
      <c r="G1178">
        <f>IF(1177&lt;=1000,INDEX($A$2:$A$1001,1177),IF(1177&lt;=2000,INDEX($B$2:$B$1001,177),IF(1177&lt;=3000,INDEX($C$2:$C$1001,-823),IF(1177&lt;=4000,INDEX($D$2:$D$1001,-1823),IF(1177&lt;=5000,INDEX($E$2:$E$1001,-2823),"")))))</f>
        <v/>
      </c>
    </row>
    <row r="1179">
      <c r="G1179">
        <f>IF(1178&lt;=1000,INDEX($A$2:$A$1001,1178),IF(1178&lt;=2000,INDEX($B$2:$B$1001,178),IF(1178&lt;=3000,INDEX($C$2:$C$1001,-822),IF(1178&lt;=4000,INDEX($D$2:$D$1001,-1822),IF(1178&lt;=5000,INDEX($E$2:$E$1001,-2822),"")))))</f>
        <v/>
      </c>
    </row>
    <row r="1180">
      <c r="G1180">
        <f>IF(1179&lt;=1000,INDEX($A$2:$A$1001,1179),IF(1179&lt;=2000,INDEX($B$2:$B$1001,179),IF(1179&lt;=3000,INDEX($C$2:$C$1001,-821),IF(1179&lt;=4000,INDEX($D$2:$D$1001,-1821),IF(1179&lt;=5000,INDEX($E$2:$E$1001,-2821),"")))))</f>
        <v/>
      </c>
    </row>
    <row r="1181">
      <c r="G1181">
        <f>IF(1180&lt;=1000,INDEX($A$2:$A$1001,1180),IF(1180&lt;=2000,INDEX($B$2:$B$1001,180),IF(1180&lt;=3000,INDEX($C$2:$C$1001,-820),IF(1180&lt;=4000,INDEX($D$2:$D$1001,-1820),IF(1180&lt;=5000,INDEX($E$2:$E$1001,-2820),"")))))</f>
        <v/>
      </c>
    </row>
    <row r="1182">
      <c r="G1182">
        <f>IF(1181&lt;=1000,INDEX($A$2:$A$1001,1181),IF(1181&lt;=2000,INDEX($B$2:$B$1001,181),IF(1181&lt;=3000,INDEX($C$2:$C$1001,-819),IF(1181&lt;=4000,INDEX($D$2:$D$1001,-1819),IF(1181&lt;=5000,INDEX($E$2:$E$1001,-2819),"")))))</f>
        <v/>
      </c>
    </row>
    <row r="1183">
      <c r="G1183">
        <f>IF(1182&lt;=1000,INDEX($A$2:$A$1001,1182),IF(1182&lt;=2000,INDEX($B$2:$B$1001,182),IF(1182&lt;=3000,INDEX($C$2:$C$1001,-818),IF(1182&lt;=4000,INDEX($D$2:$D$1001,-1818),IF(1182&lt;=5000,INDEX($E$2:$E$1001,-2818),"")))))</f>
        <v/>
      </c>
    </row>
    <row r="1184">
      <c r="G1184">
        <f>IF(1183&lt;=1000,INDEX($A$2:$A$1001,1183),IF(1183&lt;=2000,INDEX($B$2:$B$1001,183),IF(1183&lt;=3000,INDEX($C$2:$C$1001,-817),IF(1183&lt;=4000,INDEX($D$2:$D$1001,-1817),IF(1183&lt;=5000,INDEX($E$2:$E$1001,-2817),"")))))</f>
        <v/>
      </c>
    </row>
    <row r="1185">
      <c r="G1185">
        <f>IF(1184&lt;=1000,INDEX($A$2:$A$1001,1184),IF(1184&lt;=2000,INDEX($B$2:$B$1001,184),IF(1184&lt;=3000,INDEX($C$2:$C$1001,-816),IF(1184&lt;=4000,INDEX($D$2:$D$1001,-1816),IF(1184&lt;=5000,INDEX($E$2:$E$1001,-2816),"")))))</f>
        <v/>
      </c>
    </row>
    <row r="1186">
      <c r="G1186">
        <f>IF(1185&lt;=1000,INDEX($A$2:$A$1001,1185),IF(1185&lt;=2000,INDEX($B$2:$B$1001,185),IF(1185&lt;=3000,INDEX($C$2:$C$1001,-815),IF(1185&lt;=4000,INDEX($D$2:$D$1001,-1815),IF(1185&lt;=5000,INDEX($E$2:$E$1001,-2815),"")))))</f>
        <v/>
      </c>
    </row>
    <row r="1187">
      <c r="G1187">
        <f>IF(1186&lt;=1000,INDEX($A$2:$A$1001,1186),IF(1186&lt;=2000,INDEX($B$2:$B$1001,186),IF(1186&lt;=3000,INDEX($C$2:$C$1001,-814),IF(1186&lt;=4000,INDEX($D$2:$D$1001,-1814),IF(1186&lt;=5000,INDEX($E$2:$E$1001,-2814),"")))))</f>
        <v/>
      </c>
    </row>
    <row r="1188">
      <c r="G1188">
        <f>IF(1187&lt;=1000,INDEX($A$2:$A$1001,1187),IF(1187&lt;=2000,INDEX($B$2:$B$1001,187),IF(1187&lt;=3000,INDEX($C$2:$C$1001,-813),IF(1187&lt;=4000,INDEX($D$2:$D$1001,-1813),IF(1187&lt;=5000,INDEX($E$2:$E$1001,-2813),"")))))</f>
        <v/>
      </c>
    </row>
    <row r="1189">
      <c r="G1189">
        <f>IF(1188&lt;=1000,INDEX($A$2:$A$1001,1188),IF(1188&lt;=2000,INDEX($B$2:$B$1001,188),IF(1188&lt;=3000,INDEX($C$2:$C$1001,-812),IF(1188&lt;=4000,INDEX($D$2:$D$1001,-1812),IF(1188&lt;=5000,INDEX($E$2:$E$1001,-2812),"")))))</f>
        <v/>
      </c>
    </row>
    <row r="1190">
      <c r="G1190">
        <f>IF(1189&lt;=1000,INDEX($A$2:$A$1001,1189),IF(1189&lt;=2000,INDEX($B$2:$B$1001,189),IF(1189&lt;=3000,INDEX($C$2:$C$1001,-811),IF(1189&lt;=4000,INDEX($D$2:$D$1001,-1811),IF(1189&lt;=5000,INDEX($E$2:$E$1001,-2811),"")))))</f>
        <v/>
      </c>
    </row>
    <row r="1191">
      <c r="G1191">
        <f>IF(1190&lt;=1000,INDEX($A$2:$A$1001,1190),IF(1190&lt;=2000,INDEX($B$2:$B$1001,190),IF(1190&lt;=3000,INDEX($C$2:$C$1001,-810),IF(1190&lt;=4000,INDEX($D$2:$D$1001,-1810),IF(1190&lt;=5000,INDEX($E$2:$E$1001,-2810),"")))))</f>
        <v/>
      </c>
    </row>
    <row r="1192">
      <c r="G1192">
        <f>IF(1191&lt;=1000,INDEX($A$2:$A$1001,1191),IF(1191&lt;=2000,INDEX($B$2:$B$1001,191),IF(1191&lt;=3000,INDEX($C$2:$C$1001,-809),IF(1191&lt;=4000,INDEX($D$2:$D$1001,-1809),IF(1191&lt;=5000,INDEX($E$2:$E$1001,-2809),"")))))</f>
        <v/>
      </c>
    </row>
    <row r="1193">
      <c r="G1193">
        <f>IF(1192&lt;=1000,INDEX($A$2:$A$1001,1192),IF(1192&lt;=2000,INDEX($B$2:$B$1001,192),IF(1192&lt;=3000,INDEX($C$2:$C$1001,-808),IF(1192&lt;=4000,INDEX($D$2:$D$1001,-1808),IF(1192&lt;=5000,INDEX($E$2:$E$1001,-2808),"")))))</f>
        <v/>
      </c>
    </row>
    <row r="1194">
      <c r="G1194">
        <f>IF(1193&lt;=1000,INDEX($A$2:$A$1001,1193),IF(1193&lt;=2000,INDEX($B$2:$B$1001,193),IF(1193&lt;=3000,INDEX($C$2:$C$1001,-807),IF(1193&lt;=4000,INDEX($D$2:$D$1001,-1807),IF(1193&lt;=5000,INDEX($E$2:$E$1001,-2807),"")))))</f>
        <v/>
      </c>
    </row>
    <row r="1195">
      <c r="G1195">
        <f>IF(1194&lt;=1000,INDEX($A$2:$A$1001,1194),IF(1194&lt;=2000,INDEX($B$2:$B$1001,194),IF(1194&lt;=3000,INDEX($C$2:$C$1001,-806),IF(1194&lt;=4000,INDEX($D$2:$D$1001,-1806),IF(1194&lt;=5000,INDEX($E$2:$E$1001,-2806),"")))))</f>
        <v/>
      </c>
    </row>
    <row r="1196">
      <c r="G1196">
        <f>IF(1195&lt;=1000,INDEX($A$2:$A$1001,1195),IF(1195&lt;=2000,INDEX($B$2:$B$1001,195),IF(1195&lt;=3000,INDEX($C$2:$C$1001,-805),IF(1195&lt;=4000,INDEX($D$2:$D$1001,-1805),IF(1195&lt;=5000,INDEX($E$2:$E$1001,-2805),"")))))</f>
        <v/>
      </c>
    </row>
    <row r="1197">
      <c r="G1197">
        <f>IF(1196&lt;=1000,INDEX($A$2:$A$1001,1196),IF(1196&lt;=2000,INDEX($B$2:$B$1001,196),IF(1196&lt;=3000,INDEX($C$2:$C$1001,-804),IF(1196&lt;=4000,INDEX($D$2:$D$1001,-1804),IF(1196&lt;=5000,INDEX($E$2:$E$1001,-2804),"")))))</f>
        <v/>
      </c>
    </row>
    <row r="1198">
      <c r="G1198">
        <f>IF(1197&lt;=1000,INDEX($A$2:$A$1001,1197),IF(1197&lt;=2000,INDEX($B$2:$B$1001,197),IF(1197&lt;=3000,INDEX($C$2:$C$1001,-803),IF(1197&lt;=4000,INDEX($D$2:$D$1001,-1803),IF(1197&lt;=5000,INDEX($E$2:$E$1001,-2803),"")))))</f>
        <v/>
      </c>
    </row>
    <row r="1199">
      <c r="G1199">
        <f>IF(1198&lt;=1000,INDEX($A$2:$A$1001,1198),IF(1198&lt;=2000,INDEX($B$2:$B$1001,198),IF(1198&lt;=3000,INDEX($C$2:$C$1001,-802),IF(1198&lt;=4000,INDEX($D$2:$D$1001,-1802),IF(1198&lt;=5000,INDEX($E$2:$E$1001,-2802),"")))))</f>
        <v/>
      </c>
    </row>
    <row r="1200">
      <c r="G1200">
        <f>IF(1199&lt;=1000,INDEX($A$2:$A$1001,1199),IF(1199&lt;=2000,INDEX($B$2:$B$1001,199),IF(1199&lt;=3000,INDEX($C$2:$C$1001,-801),IF(1199&lt;=4000,INDEX($D$2:$D$1001,-1801),IF(1199&lt;=5000,INDEX($E$2:$E$1001,-2801),"")))))</f>
        <v/>
      </c>
    </row>
    <row r="1201">
      <c r="G1201">
        <f>IF(1200&lt;=1000,INDEX($A$2:$A$1001,1200),IF(1200&lt;=2000,INDEX($B$2:$B$1001,200),IF(1200&lt;=3000,INDEX($C$2:$C$1001,-800),IF(1200&lt;=4000,INDEX($D$2:$D$1001,-1800),IF(1200&lt;=5000,INDEX($E$2:$E$1001,-2800),"")))))</f>
        <v/>
      </c>
    </row>
    <row r="1202">
      <c r="G1202">
        <f>IF(1201&lt;=1000,INDEX($A$2:$A$1001,1201),IF(1201&lt;=2000,INDEX($B$2:$B$1001,201),IF(1201&lt;=3000,INDEX($C$2:$C$1001,-799),IF(1201&lt;=4000,INDEX($D$2:$D$1001,-1799),IF(1201&lt;=5000,INDEX($E$2:$E$1001,-2799),"")))))</f>
        <v/>
      </c>
    </row>
    <row r="1203">
      <c r="G1203">
        <f>IF(1202&lt;=1000,INDEX($A$2:$A$1001,1202),IF(1202&lt;=2000,INDEX($B$2:$B$1001,202),IF(1202&lt;=3000,INDEX($C$2:$C$1001,-798),IF(1202&lt;=4000,INDEX($D$2:$D$1001,-1798),IF(1202&lt;=5000,INDEX($E$2:$E$1001,-2798),"")))))</f>
        <v/>
      </c>
    </row>
    <row r="1204">
      <c r="G1204">
        <f>IF(1203&lt;=1000,INDEX($A$2:$A$1001,1203),IF(1203&lt;=2000,INDEX($B$2:$B$1001,203),IF(1203&lt;=3000,INDEX($C$2:$C$1001,-797),IF(1203&lt;=4000,INDEX($D$2:$D$1001,-1797),IF(1203&lt;=5000,INDEX($E$2:$E$1001,-2797),"")))))</f>
        <v/>
      </c>
    </row>
    <row r="1205">
      <c r="G1205">
        <f>IF(1204&lt;=1000,INDEX($A$2:$A$1001,1204),IF(1204&lt;=2000,INDEX($B$2:$B$1001,204),IF(1204&lt;=3000,INDEX($C$2:$C$1001,-796),IF(1204&lt;=4000,INDEX($D$2:$D$1001,-1796),IF(1204&lt;=5000,INDEX($E$2:$E$1001,-2796),"")))))</f>
        <v/>
      </c>
    </row>
    <row r="1206">
      <c r="G1206">
        <f>IF(1205&lt;=1000,INDEX($A$2:$A$1001,1205),IF(1205&lt;=2000,INDEX($B$2:$B$1001,205),IF(1205&lt;=3000,INDEX($C$2:$C$1001,-795),IF(1205&lt;=4000,INDEX($D$2:$D$1001,-1795),IF(1205&lt;=5000,INDEX($E$2:$E$1001,-2795),"")))))</f>
        <v/>
      </c>
    </row>
    <row r="1207">
      <c r="G1207">
        <f>IF(1206&lt;=1000,INDEX($A$2:$A$1001,1206),IF(1206&lt;=2000,INDEX($B$2:$B$1001,206),IF(1206&lt;=3000,INDEX($C$2:$C$1001,-794),IF(1206&lt;=4000,INDEX($D$2:$D$1001,-1794),IF(1206&lt;=5000,INDEX($E$2:$E$1001,-2794),"")))))</f>
        <v/>
      </c>
    </row>
    <row r="1208">
      <c r="G1208">
        <f>IF(1207&lt;=1000,INDEX($A$2:$A$1001,1207),IF(1207&lt;=2000,INDEX($B$2:$B$1001,207),IF(1207&lt;=3000,INDEX($C$2:$C$1001,-793),IF(1207&lt;=4000,INDEX($D$2:$D$1001,-1793),IF(1207&lt;=5000,INDEX($E$2:$E$1001,-2793),"")))))</f>
        <v/>
      </c>
    </row>
    <row r="1209">
      <c r="G1209">
        <f>IF(1208&lt;=1000,INDEX($A$2:$A$1001,1208),IF(1208&lt;=2000,INDEX($B$2:$B$1001,208),IF(1208&lt;=3000,INDEX($C$2:$C$1001,-792),IF(1208&lt;=4000,INDEX($D$2:$D$1001,-1792),IF(1208&lt;=5000,INDEX($E$2:$E$1001,-2792),"")))))</f>
        <v/>
      </c>
    </row>
    <row r="1210">
      <c r="G1210">
        <f>IF(1209&lt;=1000,INDEX($A$2:$A$1001,1209),IF(1209&lt;=2000,INDEX($B$2:$B$1001,209),IF(1209&lt;=3000,INDEX($C$2:$C$1001,-791),IF(1209&lt;=4000,INDEX($D$2:$D$1001,-1791),IF(1209&lt;=5000,INDEX($E$2:$E$1001,-2791),"")))))</f>
        <v/>
      </c>
    </row>
    <row r="1211">
      <c r="G1211">
        <f>IF(1210&lt;=1000,INDEX($A$2:$A$1001,1210),IF(1210&lt;=2000,INDEX($B$2:$B$1001,210),IF(1210&lt;=3000,INDEX($C$2:$C$1001,-790),IF(1210&lt;=4000,INDEX($D$2:$D$1001,-1790),IF(1210&lt;=5000,INDEX($E$2:$E$1001,-2790),"")))))</f>
        <v/>
      </c>
    </row>
    <row r="1212">
      <c r="G1212">
        <f>IF(1211&lt;=1000,INDEX($A$2:$A$1001,1211),IF(1211&lt;=2000,INDEX($B$2:$B$1001,211),IF(1211&lt;=3000,INDEX($C$2:$C$1001,-789),IF(1211&lt;=4000,INDEX($D$2:$D$1001,-1789),IF(1211&lt;=5000,INDEX($E$2:$E$1001,-2789),"")))))</f>
        <v/>
      </c>
    </row>
    <row r="1213">
      <c r="G1213">
        <f>IF(1212&lt;=1000,INDEX($A$2:$A$1001,1212),IF(1212&lt;=2000,INDEX($B$2:$B$1001,212),IF(1212&lt;=3000,INDEX($C$2:$C$1001,-788),IF(1212&lt;=4000,INDEX($D$2:$D$1001,-1788),IF(1212&lt;=5000,INDEX($E$2:$E$1001,-2788),"")))))</f>
        <v/>
      </c>
    </row>
    <row r="1214">
      <c r="G1214">
        <f>IF(1213&lt;=1000,INDEX($A$2:$A$1001,1213),IF(1213&lt;=2000,INDEX($B$2:$B$1001,213),IF(1213&lt;=3000,INDEX($C$2:$C$1001,-787),IF(1213&lt;=4000,INDEX($D$2:$D$1001,-1787),IF(1213&lt;=5000,INDEX($E$2:$E$1001,-2787),"")))))</f>
        <v/>
      </c>
    </row>
    <row r="1215">
      <c r="G1215">
        <f>IF(1214&lt;=1000,INDEX($A$2:$A$1001,1214),IF(1214&lt;=2000,INDEX($B$2:$B$1001,214),IF(1214&lt;=3000,INDEX($C$2:$C$1001,-786),IF(1214&lt;=4000,INDEX($D$2:$D$1001,-1786),IF(1214&lt;=5000,INDEX($E$2:$E$1001,-2786),"")))))</f>
        <v/>
      </c>
    </row>
    <row r="1216">
      <c r="G1216">
        <f>IF(1215&lt;=1000,INDEX($A$2:$A$1001,1215),IF(1215&lt;=2000,INDEX($B$2:$B$1001,215),IF(1215&lt;=3000,INDEX($C$2:$C$1001,-785),IF(1215&lt;=4000,INDEX($D$2:$D$1001,-1785),IF(1215&lt;=5000,INDEX($E$2:$E$1001,-2785),"")))))</f>
        <v/>
      </c>
    </row>
    <row r="1217">
      <c r="G1217">
        <f>IF(1216&lt;=1000,INDEX($A$2:$A$1001,1216),IF(1216&lt;=2000,INDEX($B$2:$B$1001,216),IF(1216&lt;=3000,INDEX($C$2:$C$1001,-784),IF(1216&lt;=4000,INDEX($D$2:$D$1001,-1784),IF(1216&lt;=5000,INDEX($E$2:$E$1001,-2784),"")))))</f>
        <v/>
      </c>
    </row>
    <row r="1218">
      <c r="G1218">
        <f>IF(1217&lt;=1000,INDEX($A$2:$A$1001,1217),IF(1217&lt;=2000,INDEX($B$2:$B$1001,217),IF(1217&lt;=3000,INDEX($C$2:$C$1001,-783),IF(1217&lt;=4000,INDEX($D$2:$D$1001,-1783),IF(1217&lt;=5000,INDEX($E$2:$E$1001,-2783),"")))))</f>
        <v/>
      </c>
    </row>
    <row r="1219">
      <c r="G1219">
        <f>IF(1218&lt;=1000,INDEX($A$2:$A$1001,1218),IF(1218&lt;=2000,INDEX($B$2:$B$1001,218),IF(1218&lt;=3000,INDEX($C$2:$C$1001,-782),IF(1218&lt;=4000,INDEX($D$2:$D$1001,-1782),IF(1218&lt;=5000,INDEX($E$2:$E$1001,-2782),"")))))</f>
        <v/>
      </c>
    </row>
    <row r="1220">
      <c r="G1220">
        <f>IF(1219&lt;=1000,INDEX($A$2:$A$1001,1219),IF(1219&lt;=2000,INDEX($B$2:$B$1001,219),IF(1219&lt;=3000,INDEX($C$2:$C$1001,-781),IF(1219&lt;=4000,INDEX($D$2:$D$1001,-1781),IF(1219&lt;=5000,INDEX($E$2:$E$1001,-2781),"")))))</f>
        <v/>
      </c>
    </row>
    <row r="1221">
      <c r="G1221">
        <f>IF(1220&lt;=1000,INDEX($A$2:$A$1001,1220),IF(1220&lt;=2000,INDEX($B$2:$B$1001,220),IF(1220&lt;=3000,INDEX($C$2:$C$1001,-780),IF(1220&lt;=4000,INDEX($D$2:$D$1001,-1780),IF(1220&lt;=5000,INDEX($E$2:$E$1001,-2780),"")))))</f>
        <v/>
      </c>
    </row>
    <row r="1222">
      <c r="G1222">
        <f>IF(1221&lt;=1000,INDEX($A$2:$A$1001,1221),IF(1221&lt;=2000,INDEX($B$2:$B$1001,221),IF(1221&lt;=3000,INDEX($C$2:$C$1001,-779),IF(1221&lt;=4000,INDEX($D$2:$D$1001,-1779),IF(1221&lt;=5000,INDEX($E$2:$E$1001,-2779),"")))))</f>
        <v/>
      </c>
    </row>
    <row r="1223">
      <c r="G1223">
        <f>IF(1222&lt;=1000,INDEX($A$2:$A$1001,1222),IF(1222&lt;=2000,INDEX($B$2:$B$1001,222),IF(1222&lt;=3000,INDEX($C$2:$C$1001,-778),IF(1222&lt;=4000,INDEX($D$2:$D$1001,-1778),IF(1222&lt;=5000,INDEX($E$2:$E$1001,-2778),"")))))</f>
        <v/>
      </c>
    </row>
    <row r="1224">
      <c r="G1224">
        <f>IF(1223&lt;=1000,INDEX($A$2:$A$1001,1223),IF(1223&lt;=2000,INDEX($B$2:$B$1001,223),IF(1223&lt;=3000,INDEX($C$2:$C$1001,-777),IF(1223&lt;=4000,INDEX($D$2:$D$1001,-1777),IF(1223&lt;=5000,INDEX($E$2:$E$1001,-2777),"")))))</f>
        <v/>
      </c>
    </row>
    <row r="1225">
      <c r="G1225">
        <f>IF(1224&lt;=1000,INDEX($A$2:$A$1001,1224),IF(1224&lt;=2000,INDEX($B$2:$B$1001,224),IF(1224&lt;=3000,INDEX($C$2:$C$1001,-776),IF(1224&lt;=4000,INDEX($D$2:$D$1001,-1776),IF(1224&lt;=5000,INDEX($E$2:$E$1001,-2776),"")))))</f>
        <v/>
      </c>
    </row>
    <row r="1226">
      <c r="G1226">
        <f>IF(1225&lt;=1000,INDEX($A$2:$A$1001,1225),IF(1225&lt;=2000,INDEX($B$2:$B$1001,225),IF(1225&lt;=3000,INDEX($C$2:$C$1001,-775),IF(1225&lt;=4000,INDEX($D$2:$D$1001,-1775),IF(1225&lt;=5000,INDEX($E$2:$E$1001,-2775),"")))))</f>
        <v/>
      </c>
    </row>
    <row r="1227">
      <c r="G1227">
        <f>IF(1226&lt;=1000,INDEX($A$2:$A$1001,1226),IF(1226&lt;=2000,INDEX($B$2:$B$1001,226),IF(1226&lt;=3000,INDEX($C$2:$C$1001,-774),IF(1226&lt;=4000,INDEX($D$2:$D$1001,-1774),IF(1226&lt;=5000,INDEX($E$2:$E$1001,-2774),"")))))</f>
        <v/>
      </c>
    </row>
    <row r="1228">
      <c r="G1228">
        <f>IF(1227&lt;=1000,INDEX($A$2:$A$1001,1227),IF(1227&lt;=2000,INDEX($B$2:$B$1001,227),IF(1227&lt;=3000,INDEX($C$2:$C$1001,-773),IF(1227&lt;=4000,INDEX($D$2:$D$1001,-1773),IF(1227&lt;=5000,INDEX($E$2:$E$1001,-2773),"")))))</f>
        <v/>
      </c>
    </row>
    <row r="1229">
      <c r="G1229">
        <f>IF(1228&lt;=1000,INDEX($A$2:$A$1001,1228),IF(1228&lt;=2000,INDEX($B$2:$B$1001,228),IF(1228&lt;=3000,INDEX($C$2:$C$1001,-772),IF(1228&lt;=4000,INDEX($D$2:$D$1001,-1772),IF(1228&lt;=5000,INDEX($E$2:$E$1001,-2772),"")))))</f>
        <v/>
      </c>
    </row>
    <row r="1230">
      <c r="G1230">
        <f>IF(1229&lt;=1000,INDEX($A$2:$A$1001,1229),IF(1229&lt;=2000,INDEX($B$2:$B$1001,229),IF(1229&lt;=3000,INDEX($C$2:$C$1001,-771),IF(1229&lt;=4000,INDEX($D$2:$D$1001,-1771),IF(1229&lt;=5000,INDEX($E$2:$E$1001,-2771),"")))))</f>
        <v/>
      </c>
    </row>
    <row r="1231">
      <c r="G1231">
        <f>IF(1230&lt;=1000,INDEX($A$2:$A$1001,1230),IF(1230&lt;=2000,INDEX($B$2:$B$1001,230),IF(1230&lt;=3000,INDEX($C$2:$C$1001,-770),IF(1230&lt;=4000,INDEX($D$2:$D$1001,-1770),IF(1230&lt;=5000,INDEX($E$2:$E$1001,-2770),"")))))</f>
        <v/>
      </c>
    </row>
    <row r="1232">
      <c r="G1232">
        <f>IF(1231&lt;=1000,INDEX($A$2:$A$1001,1231),IF(1231&lt;=2000,INDEX($B$2:$B$1001,231),IF(1231&lt;=3000,INDEX($C$2:$C$1001,-769),IF(1231&lt;=4000,INDEX($D$2:$D$1001,-1769),IF(1231&lt;=5000,INDEX($E$2:$E$1001,-2769),"")))))</f>
        <v/>
      </c>
    </row>
    <row r="1233">
      <c r="G1233">
        <f>IF(1232&lt;=1000,INDEX($A$2:$A$1001,1232),IF(1232&lt;=2000,INDEX($B$2:$B$1001,232),IF(1232&lt;=3000,INDEX($C$2:$C$1001,-768),IF(1232&lt;=4000,INDEX($D$2:$D$1001,-1768),IF(1232&lt;=5000,INDEX($E$2:$E$1001,-2768),"")))))</f>
        <v/>
      </c>
    </row>
    <row r="1234">
      <c r="G1234">
        <f>IF(1233&lt;=1000,INDEX($A$2:$A$1001,1233),IF(1233&lt;=2000,INDEX($B$2:$B$1001,233),IF(1233&lt;=3000,INDEX($C$2:$C$1001,-767),IF(1233&lt;=4000,INDEX($D$2:$D$1001,-1767),IF(1233&lt;=5000,INDEX($E$2:$E$1001,-2767),"")))))</f>
        <v/>
      </c>
    </row>
    <row r="1235">
      <c r="G1235">
        <f>IF(1234&lt;=1000,INDEX($A$2:$A$1001,1234),IF(1234&lt;=2000,INDEX($B$2:$B$1001,234),IF(1234&lt;=3000,INDEX($C$2:$C$1001,-766),IF(1234&lt;=4000,INDEX($D$2:$D$1001,-1766),IF(1234&lt;=5000,INDEX($E$2:$E$1001,-2766),"")))))</f>
        <v/>
      </c>
    </row>
    <row r="1236">
      <c r="G1236">
        <f>IF(1235&lt;=1000,INDEX($A$2:$A$1001,1235),IF(1235&lt;=2000,INDEX($B$2:$B$1001,235),IF(1235&lt;=3000,INDEX($C$2:$C$1001,-765),IF(1235&lt;=4000,INDEX($D$2:$D$1001,-1765),IF(1235&lt;=5000,INDEX($E$2:$E$1001,-2765),"")))))</f>
        <v/>
      </c>
    </row>
    <row r="1237">
      <c r="G1237">
        <f>IF(1236&lt;=1000,INDEX($A$2:$A$1001,1236),IF(1236&lt;=2000,INDEX($B$2:$B$1001,236),IF(1236&lt;=3000,INDEX($C$2:$C$1001,-764),IF(1236&lt;=4000,INDEX($D$2:$D$1001,-1764),IF(1236&lt;=5000,INDEX($E$2:$E$1001,-2764),"")))))</f>
        <v/>
      </c>
    </row>
    <row r="1238">
      <c r="G1238">
        <f>IF(1237&lt;=1000,INDEX($A$2:$A$1001,1237),IF(1237&lt;=2000,INDEX($B$2:$B$1001,237),IF(1237&lt;=3000,INDEX($C$2:$C$1001,-763),IF(1237&lt;=4000,INDEX($D$2:$D$1001,-1763),IF(1237&lt;=5000,INDEX($E$2:$E$1001,-2763),"")))))</f>
        <v/>
      </c>
    </row>
    <row r="1239">
      <c r="G1239">
        <f>IF(1238&lt;=1000,INDEX($A$2:$A$1001,1238),IF(1238&lt;=2000,INDEX($B$2:$B$1001,238),IF(1238&lt;=3000,INDEX($C$2:$C$1001,-762),IF(1238&lt;=4000,INDEX($D$2:$D$1001,-1762),IF(1238&lt;=5000,INDEX($E$2:$E$1001,-2762),"")))))</f>
        <v/>
      </c>
    </row>
    <row r="1240">
      <c r="G1240">
        <f>IF(1239&lt;=1000,INDEX($A$2:$A$1001,1239),IF(1239&lt;=2000,INDEX($B$2:$B$1001,239),IF(1239&lt;=3000,INDEX($C$2:$C$1001,-761),IF(1239&lt;=4000,INDEX($D$2:$D$1001,-1761),IF(1239&lt;=5000,INDEX($E$2:$E$1001,-2761),"")))))</f>
        <v/>
      </c>
    </row>
    <row r="1241">
      <c r="G1241">
        <f>IF(1240&lt;=1000,INDEX($A$2:$A$1001,1240),IF(1240&lt;=2000,INDEX($B$2:$B$1001,240),IF(1240&lt;=3000,INDEX($C$2:$C$1001,-760),IF(1240&lt;=4000,INDEX($D$2:$D$1001,-1760),IF(1240&lt;=5000,INDEX($E$2:$E$1001,-2760),"")))))</f>
        <v/>
      </c>
    </row>
    <row r="1242">
      <c r="G1242">
        <f>IF(1241&lt;=1000,INDEX($A$2:$A$1001,1241),IF(1241&lt;=2000,INDEX($B$2:$B$1001,241),IF(1241&lt;=3000,INDEX($C$2:$C$1001,-759),IF(1241&lt;=4000,INDEX($D$2:$D$1001,-1759),IF(1241&lt;=5000,INDEX($E$2:$E$1001,-2759),"")))))</f>
        <v/>
      </c>
    </row>
    <row r="1243">
      <c r="G1243">
        <f>IF(1242&lt;=1000,INDEX($A$2:$A$1001,1242),IF(1242&lt;=2000,INDEX($B$2:$B$1001,242),IF(1242&lt;=3000,INDEX($C$2:$C$1001,-758),IF(1242&lt;=4000,INDEX($D$2:$D$1001,-1758),IF(1242&lt;=5000,INDEX($E$2:$E$1001,-2758),"")))))</f>
        <v/>
      </c>
    </row>
    <row r="1244">
      <c r="G1244">
        <f>IF(1243&lt;=1000,INDEX($A$2:$A$1001,1243),IF(1243&lt;=2000,INDEX($B$2:$B$1001,243),IF(1243&lt;=3000,INDEX($C$2:$C$1001,-757),IF(1243&lt;=4000,INDEX($D$2:$D$1001,-1757),IF(1243&lt;=5000,INDEX($E$2:$E$1001,-2757),"")))))</f>
        <v/>
      </c>
    </row>
    <row r="1245">
      <c r="G1245">
        <f>IF(1244&lt;=1000,INDEX($A$2:$A$1001,1244),IF(1244&lt;=2000,INDEX($B$2:$B$1001,244),IF(1244&lt;=3000,INDEX($C$2:$C$1001,-756),IF(1244&lt;=4000,INDEX($D$2:$D$1001,-1756),IF(1244&lt;=5000,INDEX($E$2:$E$1001,-2756),"")))))</f>
        <v/>
      </c>
    </row>
    <row r="1246">
      <c r="G1246">
        <f>IF(1245&lt;=1000,INDEX($A$2:$A$1001,1245),IF(1245&lt;=2000,INDEX($B$2:$B$1001,245),IF(1245&lt;=3000,INDEX($C$2:$C$1001,-755),IF(1245&lt;=4000,INDEX($D$2:$D$1001,-1755),IF(1245&lt;=5000,INDEX($E$2:$E$1001,-2755),"")))))</f>
        <v/>
      </c>
    </row>
    <row r="1247">
      <c r="G1247">
        <f>IF(1246&lt;=1000,INDEX($A$2:$A$1001,1246),IF(1246&lt;=2000,INDEX($B$2:$B$1001,246),IF(1246&lt;=3000,INDEX($C$2:$C$1001,-754),IF(1246&lt;=4000,INDEX($D$2:$D$1001,-1754),IF(1246&lt;=5000,INDEX($E$2:$E$1001,-2754),"")))))</f>
        <v/>
      </c>
    </row>
    <row r="1248">
      <c r="G1248">
        <f>IF(1247&lt;=1000,INDEX($A$2:$A$1001,1247),IF(1247&lt;=2000,INDEX($B$2:$B$1001,247),IF(1247&lt;=3000,INDEX($C$2:$C$1001,-753),IF(1247&lt;=4000,INDEX($D$2:$D$1001,-1753),IF(1247&lt;=5000,INDEX($E$2:$E$1001,-2753),"")))))</f>
        <v/>
      </c>
    </row>
    <row r="1249">
      <c r="G1249">
        <f>IF(1248&lt;=1000,INDEX($A$2:$A$1001,1248),IF(1248&lt;=2000,INDEX($B$2:$B$1001,248),IF(1248&lt;=3000,INDEX($C$2:$C$1001,-752),IF(1248&lt;=4000,INDEX($D$2:$D$1001,-1752),IF(1248&lt;=5000,INDEX($E$2:$E$1001,-2752),"")))))</f>
        <v/>
      </c>
    </row>
    <row r="1250">
      <c r="G1250">
        <f>IF(1249&lt;=1000,INDEX($A$2:$A$1001,1249),IF(1249&lt;=2000,INDEX($B$2:$B$1001,249),IF(1249&lt;=3000,INDEX($C$2:$C$1001,-751),IF(1249&lt;=4000,INDEX($D$2:$D$1001,-1751),IF(1249&lt;=5000,INDEX($E$2:$E$1001,-2751),"")))))</f>
        <v/>
      </c>
    </row>
    <row r="1251">
      <c r="G1251">
        <f>IF(1250&lt;=1000,INDEX($A$2:$A$1001,1250),IF(1250&lt;=2000,INDEX($B$2:$B$1001,250),IF(1250&lt;=3000,INDEX($C$2:$C$1001,-750),IF(1250&lt;=4000,INDEX($D$2:$D$1001,-1750),IF(1250&lt;=5000,INDEX($E$2:$E$1001,-2750),"")))))</f>
        <v/>
      </c>
    </row>
    <row r="1252">
      <c r="G1252">
        <f>IF(1251&lt;=1000,INDEX($A$2:$A$1001,1251),IF(1251&lt;=2000,INDEX($B$2:$B$1001,251),IF(1251&lt;=3000,INDEX($C$2:$C$1001,-749),IF(1251&lt;=4000,INDEX($D$2:$D$1001,-1749),IF(1251&lt;=5000,INDEX($E$2:$E$1001,-2749),"")))))</f>
        <v/>
      </c>
    </row>
    <row r="1253">
      <c r="G1253">
        <f>IF(1252&lt;=1000,INDEX($A$2:$A$1001,1252),IF(1252&lt;=2000,INDEX($B$2:$B$1001,252),IF(1252&lt;=3000,INDEX($C$2:$C$1001,-748),IF(1252&lt;=4000,INDEX($D$2:$D$1001,-1748),IF(1252&lt;=5000,INDEX($E$2:$E$1001,-2748),"")))))</f>
        <v/>
      </c>
    </row>
    <row r="1254">
      <c r="G1254">
        <f>IF(1253&lt;=1000,INDEX($A$2:$A$1001,1253),IF(1253&lt;=2000,INDEX($B$2:$B$1001,253),IF(1253&lt;=3000,INDEX($C$2:$C$1001,-747),IF(1253&lt;=4000,INDEX($D$2:$D$1001,-1747),IF(1253&lt;=5000,INDEX($E$2:$E$1001,-2747),"")))))</f>
        <v/>
      </c>
    </row>
    <row r="1255">
      <c r="G1255">
        <f>IF(1254&lt;=1000,INDEX($A$2:$A$1001,1254),IF(1254&lt;=2000,INDEX($B$2:$B$1001,254),IF(1254&lt;=3000,INDEX($C$2:$C$1001,-746),IF(1254&lt;=4000,INDEX($D$2:$D$1001,-1746),IF(1254&lt;=5000,INDEX($E$2:$E$1001,-2746),"")))))</f>
        <v/>
      </c>
    </row>
    <row r="1256">
      <c r="G1256">
        <f>IF(1255&lt;=1000,INDEX($A$2:$A$1001,1255),IF(1255&lt;=2000,INDEX($B$2:$B$1001,255),IF(1255&lt;=3000,INDEX($C$2:$C$1001,-745),IF(1255&lt;=4000,INDEX($D$2:$D$1001,-1745),IF(1255&lt;=5000,INDEX($E$2:$E$1001,-2745),"")))))</f>
        <v/>
      </c>
    </row>
    <row r="1257">
      <c r="G1257">
        <f>IF(1256&lt;=1000,INDEX($A$2:$A$1001,1256),IF(1256&lt;=2000,INDEX($B$2:$B$1001,256),IF(1256&lt;=3000,INDEX($C$2:$C$1001,-744),IF(1256&lt;=4000,INDEX($D$2:$D$1001,-1744),IF(1256&lt;=5000,INDEX($E$2:$E$1001,-2744),"")))))</f>
        <v/>
      </c>
    </row>
    <row r="1258">
      <c r="G1258">
        <f>IF(1257&lt;=1000,INDEX($A$2:$A$1001,1257),IF(1257&lt;=2000,INDEX($B$2:$B$1001,257),IF(1257&lt;=3000,INDEX($C$2:$C$1001,-743),IF(1257&lt;=4000,INDEX($D$2:$D$1001,-1743),IF(1257&lt;=5000,INDEX($E$2:$E$1001,-2743),"")))))</f>
        <v/>
      </c>
    </row>
    <row r="1259">
      <c r="G1259">
        <f>IF(1258&lt;=1000,INDEX($A$2:$A$1001,1258),IF(1258&lt;=2000,INDEX($B$2:$B$1001,258),IF(1258&lt;=3000,INDEX($C$2:$C$1001,-742),IF(1258&lt;=4000,INDEX($D$2:$D$1001,-1742),IF(1258&lt;=5000,INDEX($E$2:$E$1001,-2742),"")))))</f>
        <v/>
      </c>
    </row>
    <row r="1260">
      <c r="G1260">
        <f>IF(1259&lt;=1000,INDEX($A$2:$A$1001,1259),IF(1259&lt;=2000,INDEX($B$2:$B$1001,259),IF(1259&lt;=3000,INDEX($C$2:$C$1001,-741),IF(1259&lt;=4000,INDEX($D$2:$D$1001,-1741),IF(1259&lt;=5000,INDEX($E$2:$E$1001,-2741),"")))))</f>
        <v/>
      </c>
    </row>
    <row r="1261">
      <c r="G1261">
        <f>IF(1260&lt;=1000,INDEX($A$2:$A$1001,1260),IF(1260&lt;=2000,INDEX($B$2:$B$1001,260),IF(1260&lt;=3000,INDEX($C$2:$C$1001,-740),IF(1260&lt;=4000,INDEX($D$2:$D$1001,-1740),IF(1260&lt;=5000,INDEX($E$2:$E$1001,-2740),"")))))</f>
        <v/>
      </c>
    </row>
    <row r="1262">
      <c r="G1262">
        <f>IF(1261&lt;=1000,INDEX($A$2:$A$1001,1261),IF(1261&lt;=2000,INDEX($B$2:$B$1001,261),IF(1261&lt;=3000,INDEX($C$2:$C$1001,-739),IF(1261&lt;=4000,INDEX($D$2:$D$1001,-1739),IF(1261&lt;=5000,INDEX($E$2:$E$1001,-2739),"")))))</f>
        <v/>
      </c>
    </row>
    <row r="1263">
      <c r="G1263">
        <f>IF(1262&lt;=1000,INDEX($A$2:$A$1001,1262),IF(1262&lt;=2000,INDEX($B$2:$B$1001,262),IF(1262&lt;=3000,INDEX($C$2:$C$1001,-738),IF(1262&lt;=4000,INDEX($D$2:$D$1001,-1738),IF(1262&lt;=5000,INDEX($E$2:$E$1001,-2738),"")))))</f>
        <v/>
      </c>
    </row>
    <row r="1264">
      <c r="G1264">
        <f>IF(1263&lt;=1000,INDEX($A$2:$A$1001,1263),IF(1263&lt;=2000,INDEX($B$2:$B$1001,263),IF(1263&lt;=3000,INDEX($C$2:$C$1001,-737),IF(1263&lt;=4000,INDEX($D$2:$D$1001,-1737),IF(1263&lt;=5000,INDEX($E$2:$E$1001,-2737),"")))))</f>
        <v/>
      </c>
    </row>
    <row r="1265">
      <c r="G1265">
        <f>IF(1264&lt;=1000,INDEX($A$2:$A$1001,1264),IF(1264&lt;=2000,INDEX($B$2:$B$1001,264),IF(1264&lt;=3000,INDEX($C$2:$C$1001,-736),IF(1264&lt;=4000,INDEX($D$2:$D$1001,-1736),IF(1264&lt;=5000,INDEX($E$2:$E$1001,-2736),"")))))</f>
        <v/>
      </c>
    </row>
    <row r="1266">
      <c r="G1266">
        <f>IF(1265&lt;=1000,INDEX($A$2:$A$1001,1265),IF(1265&lt;=2000,INDEX($B$2:$B$1001,265),IF(1265&lt;=3000,INDEX($C$2:$C$1001,-735),IF(1265&lt;=4000,INDEX($D$2:$D$1001,-1735),IF(1265&lt;=5000,INDEX($E$2:$E$1001,-2735),"")))))</f>
        <v/>
      </c>
    </row>
    <row r="1267">
      <c r="G1267">
        <f>IF(1266&lt;=1000,INDEX($A$2:$A$1001,1266),IF(1266&lt;=2000,INDEX($B$2:$B$1001,266),IF(1266&lt;=3000,INDEX($C$2:$C$1001,-734),IF(1266&lt;=4000,INDEX($D$2:$D$1001,-1734),IF(1266&lt;=5000,INDEX($E$2:$E$1001,-2734),"")))))</f>
        <v/>
      </c>
    </row>
    <row r="1268">
      <c r="G1268">
        <f>IF(1267&lt;=1000,INDEX($A$2:$A$1001,1267),IF(1267&lt;=2000,INDEX($B$2:$B$1001,267),IF(1267&lt;=3000,INDEX($C$2:$C$1001,-733),IF(1267&lt;=4000,INDEX($D$2:$D$1001,-1733),IF(1267&lt;=5000,INDEX($E$2:$E$1001,-2733),"")))))</f>
        <v/>
      </c>
    </row>
    <row r="1269">
      <c r="G1269">
        <f>IF(1268&lt;=1000,INDEX($A$2:$A$1001,1268),IF(1268&lt;=2000,INDEX($B$2:$B$1001,268),IF(1268&lt;=3000,INDEX($C$2:$C$1001,-732),IF(1268&lt;=4000,INDEX($D$2:$D$1001,-1732),IF(1268&lt;=5000,INDEX($E$2:$E$1001,-2732),"")))))</f>
        <v/>
      </c>
    </row>
    <row r="1270">
      <c r="G1270">
        <f>IF(1269&lt;=1000,INDEX($A$2:$A$1001,1269),IF(1269&lt;=2000,INDEX($B$2:$B$1001,269),IF(1269&lt;=3000,INDEX($C$2:$C$1001,-731),IF(1269&lt;=4000,INDEX($D$2:$D$1001,-1731),IF(1269&lt;=5000,INDEX($E$2:$E$1001,-2731),"")))))</f>
        <v/>
      </c>
    </row>
    <row r="1271">
      <c r="G1271">
        <f>IF(1270&lt;=1000,INDEX($A$2:$A$1001,1270),IF(1270&lt;=2000,INDEX($B$2:$B$1001,270),IF(1270&lt;=3000,INDEX($C$2:$C$1001,-730),IF(1270&lt;=4000,INDEX($D$2:$D$1001,-1730),IF(1270&lt;=5000,INDEX($E$2:$E$1001,-2730),"")))))</f>
        <v/>
      </c>
    </row>
    <row r="1272">
      <c r="G1272">
        <f>IF(1271&lt;=1000,INDEX($A$2:$A$1001,1271),IF(1271&lt;=2000,INDEX($B$2:$B$1001,271),IF(1271&lt;=3000,INDEX($C$2:$C$1001,-729),IF(1271&lt;=4000,INDEX($D$2:$D$1001,-1729),IF(1271&lt;=5000,INDEX($E$2:$E$1001,-2729),"")))))</f>
        <v/>
      </c>
    </row>
    <row r="1273">
      <c r="G1273">
        <f>IF(1272&lt;=1000,INDEX($A$2:$A$1001,1272),IF(1272&lt;=2000,INDEX($B$2:$B$1001,272),IF(1272&lt;=3000,INDEX($C$2:$C$1001,-728),IF(1272&lt;=4000,INDEX($D$2:$D$1001,-1728),IF(1272&lt;=5000,INDEX($E$2:$E$1001,-2728),"")))))</f>
        <v/>
      </c>
    </row>
    <row r="1274">
      <c r="G1274">
        <f>IF(1273&lt;=1000,INDEX($A$2:$A$1001,1273),IF(1273&lt;=2000,INDEX($B$2:$B$1001,273),IF(1273&lt;=3000,INDEX($C$2:$C$1001,-727),IF(1273&lt;=4000,INDEX($D$2:$D$1001,-1727),IF(1273&lt;=5000,INDEX($E$2:$E$1001,-2727),"")))))</f>
        <v/>
      </c>
    </row>
    <row r="1275">
      <c r="G1275">
        <f>IF(1274&lt;=1000,INDEX($A$2:$A$1001,1274),IF(1274&lt;=2000,INDEX($B$2:$B$1001,274),IF(1274&lt;=3000,INDEX($C$2:$C$1001,-726),IF(1274&lt;=4000,INDEX($D$2:$D$1001,-1726),IF(1274&lt;=5000,INDEX($E$2:$E$1001,-2726),"")))))</f>
        <v/>
      </c>
    </row>
    <row r="1276">
      <c r="G1276">
        <f>IF(1275&lt;=1000,INDEX($A$2:$A$1001,1275),IF(1275&lt;=2000,INDEX($B$2:$B$1001,275),IF(1275&lt;=3000,INDEX($C$2:$C$1001,-725),IF(1275&lt;=4000,INDEX($D$2:$D$1001,-1725),IF(1275&lt;=5000,INDEX($E$2:$E$1001,-2725),"")))))</f>
        <v/>
      </c>
    </row>
    <row r="1277">
      <c r="G1277">
        <f>IF(1276&lt;=1000,INDEX($A$2:$A$1001,1276),IF(1276&lt;=2000,INDEX($B$2:$B$1001,276),IF(1276&lt;=3000,INDEX($C$2:$C$1001,-724),IF(1276&lt;=4000,INDEX($D$2:$D$1001,-1724),IF(1276&lt;=5000,INDEX($E$2:$E$1001,-2724),"")))))</f>
        <v/>
      </c>
    </row>
    <row r="1278">
      <c r="G1278">
        <f>IF(1277&lt;=1000,INDEX($A$2:$A$1001,1277),IF(1277&lt;=2000,INDEX($B$2:$B$1001,277),IF(1277&lt;=3000,INDEX($C$2:$C$1001,-723),IF(1277&lt;=4000,INDEX($D$2:$D$1001,-1723),IF(1277&lt;=5000,INDEX($E$2:$E$1001,-2723),"")))))</f>
        <v/>
      </c>
    </row>
    <row r="1279">
      <c r="G1279">
        <f>IF(1278&lt;=1000,INDEX($A$2:$A$1001,1278),IF(1278&lt;=2000,INDEX($B$2:$B$1001,278),IF(1278&lt;=3000,INDEX($C$2:$C$1001,-722),IF(1278&lt;=4000,INDEX($D$2:$D$1001,-1722),IF(1278&lt;=5000,INDEX($E$2:$E$1001,-2722),"")))))</f>
        <v/>
      </c>
    </row>
    <row r="1280">
      <c r="G1280">
        <f>IF(1279&lt;=1000,INDEX($A$2:$A$1001,1279),IF(1279&lt;=2000,INDEX($B$2:$B$1001,279),IF(1279&lt;=3000,INDEX($C$2:$C$1001,-721),IF(1279&lt;=4000,INDEX($D$2:$D$1001,-1721),IF(1279&lt;=5000,INDEX($E$2:$E$1001,-2721),"")))))</f>
        <v/>
      </c>
    </row>
    <row r="1281">
      <c r="G1281">
        <f>IF(1280&lt;=1000,INDEX($A$2:$A$1001,1280),IF(1280&lt;=2000,INDEX($B$2:$B$1001,280),IF(1280&lt;=3000,INDEX($C$2:$C$1001,-720),IF(1280&lt;=4000,INDEX($D$2:$D$1001,-1720),IF(1280&lt;=5000,INDEX($E$2:$E$1001,-2720),"")))))</f>
        <v/>
      </c>
    </row>
    <row r="1282">
      <c r="G1282">
        <f>IF(1281&lt;=1000,INDEX($A$2:$A$1001,1281),IF(1281&lt;=2000,INDEX($B$2:$B$1001,281),IF(1281&lt;=3000,INDEX($C$2:$C$1001,-719),IF(1281&lt;=4000,INDEX($D$2:$D$1001,-1719),IF(1281&lt;=5000,INDEX($E$2:$E$1001,-2719),"")))))</f>
        <v/>
      </c>
    </row>
    <row r="1283">
      <c r="G1283">
        <f>IF(1282&lt;=1000,INDEX($A$2:$A$1001,1282),IF(1282&lt;=2000,INDEX($B$2:$B$1001,282),IF(1282&lt;=3000,INDEX($C$2:$C$1001,-718),IF(1282&lt;=4000,INDEX($D$2:$D$1001,-1718),IF(1282&lt;=5000,INDEX($E$2:$E$1001,-2718),"")))))</f>
        <v/>
      </c>
    </row>
    <row r="1284">
      <c r="G1284">
        <f>IF(1283&lt;=1000,INDEX($A$2:$A$1001,1283),IF(1283&lt;=2000,INDEX($B$2:$B$1001,283),IF(1283&lt;=3000,INDEX($C$2:$C$1001,-717),IF(1283&lt;=4000,INDEX($D$2:$D$1001,-1717),IF(1283&lt;=5000,INDEX($E$2:$E$1001,-2717),"")))))</f>
        <v/>
      </c>
    </row>
    <row r="1285">
      <c r="G1285">
        <f>IF(1284&lt;=1000,INDEX($A$2:$A$1001,1284),IF(1284&lt;=2000,INDEX($B$2:$B$1001,284),IF(1284&lt;=3000,INDEX($C$2:$C$1001,-716),IF(1284&lt;=4000,INDEX($D$2:$D$1001,-1716),IF(1284&lt;=5000,INDEX($E$2:$E$1001,-2716),"")))))</f>
        <v/>
      </c>
    </row>
    <row r="1286">
      <c r="G1286">
        <f>IF(1285&lt;=1000,INDEX($A$2:$A$1001,1285),IF(1285&lt;=2000,INDEX($B$2:$B$1001,285),IF(1285&lt;=3000,INDEX($C$2:$C$1001,-715),IF(1285&lt;=4000,INDEX($D$2:$D$1001,-1715),IF(1285&lt;=5000,INDEX($E$2:$E$1001,-2715),"")))))</f>
        <v/>
      </c>
    </row>
    <row r="1287">
      <c r="G1287">
        <f>IF(1286&lt;=1000,INDEX($A$2:$A$1001,1286),IF(1286&lt;=2000,INDEX($B$2:$B$1001,286),IF(1286&lt;=3000,INDEX($C$2:$C$1001,-714),IF(1286&lt;=4000,INDEX($D$2:$D$1001,-1714),IF(1286&lt;=5000,INDEX($E$2:$E$1001,-2714),"")))))</f>
        <v/>
      </c>
    </row>
    <row r="1288">
      <c r="G1288">
        <f>IF(1287&lt;=1000,INDEX($A$2:$A$1001,1287),IF(1287&lt;=2000,INDEX($B$2:$B$1001,287),IF(1287&lt;=3000,INDEX($C$2:$C$1001,-713),IF(1287&lt;=4000,INDEX($D$2:$D$1001,-1713),IF(1287&lt;=5000,INDEX($E$2:$E$1001,-2713),"")))))</f>
        <v/>
      </c>
    </row>
    <row r="1289">
      <c r="G1289">
        <f>IF(1288&lt;=1000,INDEX($A$2:$A$1001,1288),IF(1288&lt;=2000,INDEX($B$2:$B$1001,288),IF(1288&lt;=3000,INDEX($C$2:$C$1001,-712),IF(1288&lt;=4000,INDEX($D$2:$D$1001,-1712),IF(1288&lt;=5000,INDEX($E$2:$E$1001,-2712),"")))))</f>
        <v/>
      </c>
    </row>
    <row r="1290">
      <c r="G1290">
        <f>IF(1289&lt;=1000,INDEX($A$2:$A$1001,1289),IF(1289&lt;=2000,INDEX($B$2:$B$1001,289),IF(1289&lt;=3000,INDEX($C$2:$C$1001,-711),IF(1289&lt;=4000,INDEX($D$2:$D$1001,-1711),IF(1289&lt;=5000,INDEX($E$2:$E$1001,-2711),"")))))</f>
        <v/>
      </c>
    </row>
    <row r="1291">
      <c r="G1291">
        <f>IF(1290&lt;=1000,INDEX($A$2:$A$1001,1290),IF(1290&lt;=2000,INDEX($B$2:$B$1001,290),IF(1290&lt;=3000,INDEX($C$2:$C$1001,-710),IF(1290&lt;=4000,INDEX($D$2:$D$1001,-1710),IF(1290&lt;=5000,INDEX($E$2:$E$1001,-2710),"")))))</f>
        <v/>
      </c>
    </row>
    <row r="1292">
      <c r="G1292">
        <f>IF(1291&lt;=1000,INDEX($A$2:$A$1001,1291),IF(1291&lt;=2000,INDEX($B$2:$B$1001,291),IF(1291&lt;=3000,INDEX($C$2:$C$1001,-709),IF(1291&lt;=4000,INDEX($D$2:$D$1001,-1709),IF(1291&lt;=5000,INDEX($E$2:$E$1001,-2709),"")))))</f>
        <v/>
      </c>
    </row>
    <row r="1293">
      <c r="G1293">
        <f>IF(1292&lt;=1000,INDEX($A$2:$A$1001,1292),IF(1292&lt;=2000,INDEX($B$2:$B$1001,292),IF(1292&lt;=3000,INDEX($C$2:$C$1001,-708),IF(1292&lt;=4000,INDEX($D$2:$D$1001,-1708),IF(1292&lt;=5000,INDEX($E$2:$E$1001,-2708),"")))))</f>
        <v/>
      </c>
    </row>
    <row r="1294">
      <c r="G1294">
        <f>IF(1293&lt;=1000,INDEX($A$2:$A$1001,1293),IF(1293&lt;=2000,INDEX($B$2:$B$1001,293),IF(1293&lt;=3000,INDEX($C$2:$C$1001,-707),IF(1293&lt;=4000,INDEX($D$2:$D$1001,-1707),IF(1293&lt;=5000,INDEX($E$2:$E$1001,-2707),"")))))</f>
        <v/>
      </c>
    </row>
    <row r="1295">
      <c r="G1295">
        <f>IF(1294&lt;=1000,INDEX($A$2:$A$1001,1294),IF(1294&lt;=2000,INDEX($B$2:$B$1001,294),IF(1294&lt;=3000,INDEX($C$2:$C$1001,-706),IF(1294&lt;=4000,INDEX($D$2:$D$1001,-1706),IF(1294&lt;=5000,INDEX($E$2:$E$1001,-2706),"")))))</f>
        <v/>
      </c>
    </row>
    <row r="1296">
      <c r="G1296">
        <f>IF(1295&lt;=1000,INDEX($A$2:$A$1001,1295),IF(1295&lt;=2000,INDEX($B$2:$B$1001,295),IF(1295&lt;=3000,INDEX($C$2:$C$1001,-705),IF(1295&lt;=4000,INDEX($D$2:$D$1001,-1705),IF(1295&lt;=5000,INDEX($E$2:$E$1001,-2705),"")))))</f>
        <v/>
      </c>
    </row>
    <row r="1297">
      <c r="G1297">
        <f>IF(1296&lt;=1000,INDEX($A$2:$A$1001,1296),IF(1296&lt;=2000,INDEX($B$2:$B$1001,296),IF(1296&lt;=3000,INDEX($C$2:$C$1001,-704),IF(1296&lt;=4000,INDEX($D$2:$D$1001,-1704),IF(1296&lt;=5000,INDEX($E$2:$E$1001,-2704),"")))))</f>
        <v/>
      </c>
    </row>
    <row r="1298">
      <c r="G1298">
        <f>IF(1297&lt;=1000,INDEX($A$2:$A$1001,1297),IF(1297&lt;=2000,INDEX($B$2:$B$1001,297),IF(1297&lt;=3000,INDEX($C$2:$C$1001,-703),IF(1297&lt;=4000,INDEX($D$2:$D$1001,-1703),IF(1297&lt;=5000,INDEX($E$2:$E$1001,-2703),"")))))</f>
        <v/>
      </c>
    </row>
    <row r="1299">
      <c r="G1299">
        <f>IF(1298&lt;=1000,INDEX($A$2:$A$1001,1298),IF(1298&lt;=2000,INDEX($B$2:$B$1001,298),IF(1298&lt;=3000,INDEX($C$2:$C$1001,-702),IF(1298&lt;=4000,INDEX($D$2:$D$1001,-1702),IF(1298&lt;=5000,INDEX($E$2:$E$1001,-2702),"")))))</f>
        <v/>
      </c>
    </row>
    <row r="1300">
      <c r="G1300">
        <f>IF(1299&lt;=1000,INDEX($A$2:$A$1001,1299),IF(1299&lt;=2000,INDEX($B$2:$B$1001,299),IF(1299&lt;=3000,INDEX($C$2:$C$1001,-701),IF(1299&lt;=4000,INDEX($D$2:$D$1001,-1701),IF(1299&lt;=5000,INDEX($E$2:$E$1001,-2701),"")))))</f>
        <v/>
      </c>
    </row>
    <row r="1301">
      <c r="G1301">
        <f>IF(1300&lt;=1000,INDEX($A$2:$A$1001,1300),IF(1300&lt;=2000,INDEX($B$2:$B$1001,300),IF(1300&lt;=3000,INDEX($C$2:$C$1001,-700),IF(1300&lt;=4000,INDEX($D$2:$D$1001,-1700),IF(1300&lt;=5000,INDEX($E$2:$E$1001,-2700),"")))))</f>
        <v/>
      </c>
    </row>
    <row r="1302">
      <c r="G1302">
        <f>IF(1301&lt;=1000,INDEX($A$2:$A$1001,1301),IF(1301&lt;=2000,INDEX($B$2:$B$1001,301),IF(1301&lt;=3000,INDEX($C$2:$C$1001,-699),IF(1301&lt;=4000,INDEX($D$2:$D$1001,-1699),IF(1301&lt;=5000,INDEX($E$2:$E$1001,-2699),"")))))</f>
        <v/>
      </c>
    </row>
    <row r="1303">
      <c r="G1303">
        <f>IF(1302&lt;=1000,INDEX($A$2:$A$1001,1302),IF(1302&lt;=2000,INDEX($B$2:$B$1001,302),IF(1302&lt;=3000,INDEX($C$2:$C$1001,-698),IF(1302&lt;=4000,INDEX($D$2:$D$1001,-1698),IF(1302&lt;=5000,INDEX($E$2:$E$1001,-2698),"")))))</f>
        <v/>
      </c>
    </row>
    <row r="1304">
      <c r="G1304">
        <f>IF(1303&lt;=1000,INDEX($A$2:$A$1001,1303),IF(1303&lt;=2000,INDEX($B$2:$B$1001,303),IF(1303&lt;=3000,INDEX($C$2:$C$1001,-697),IF(1303&lt;=4000,INDEX($D$2:$D$1001,-1697),IF(1303&lt;=5000,INDEX($E$2:$E$1001,-2697),"")))))</f>
        <v/>
      </c>
    </row>
    <row r="1305">
      <c r="G1305">
        <f>IF(1304&lt;=1000,INDEX($A$2:$A$1001,1304),IF(1304&lt;=2000,INDEX($B$2:$B$1001,304),IF(1304&lt;=3000,INDEX($C$2:$C$1001,-696),IF(1304&lt;=4000,INDEX($D$2:$D$1001,-1696),IF(1304&lt;=5000,INDEX($E$2:$E$1001,-2696),"")))))</f>
        <v/>
      </c>
    </row>
    <row r="1306">
      <c r="G1306">
        <f>IF(1305&lt;=1000,INDEX($A$2:$A$1001,1305),IF(1305&lt;=2000,INDEX($B$2:$B$1001,305),IF(1305&lt;=3000,INDEX($C$2:$C$1001,-695),IF(1305&lt;=4000,INDEX($D$2:$D$1001,-1695),IF(1305&lt;=5000,INDEX($E$2:$E$1001,-2695),"")))))</f>
        <v/>
      </c>
    </row>
    <row r="1307">
      <c r="G1307">
        <f>IF(1306&lt;=1000,INDEX($A$2:$A$1001,1306),IF(1306&lt;=2000,INDEX($B$2:$B$1001,306),IF(1306&lt;=3000,INDEX($C$2:$C$1001,-694),IF(1306&lt;=4000,INDEX($D$2:$D$1001,-1694),IF(1306&lt;=5000,INDEX($E$2:$E$1001,-2694),"")))))</f>
        <v/>
      </c>
    </row>
    <row r="1308">
      <c r="G1308">
        <f>IF(1307&lt;=1000,INDEX($A$2:$A$1001,1307),IF(1307&lt;=2000,INDEX($B$2:$B$1001,307),IF(1307&lt;=3000,INDEX($C$2:$C$1001,-693),IF(1307&lt;=4000,INDEX($D$2:$D$1001,-1693),IF(1307&lt;=5000,INDEX($E$2:$E$1001,-2693),"")))))</f>
        <v/>
      </c>
    </row>
    <row r="1309">
      <c r="G1309">
        <f>IF(1308&lt;=1000,INDEX($A$2:$A$1001,1308),IF(1308&lt;=2000,INDEX($B$2:$B$1001,308),IF(1308&lt;=3000,INDEX($C$2:$C$1001,-692),IF(1308&lt;=4000,INDEX($D$2:$D$1001,-1692),IF(1308&lt;=5000,INDEX($E$2:$E$1001,-2692),"")))))</f>
        <v/>
      </c>
    </row>
    <row r="1310">
      <c r="G1310">
        <f>IF(1309&lt;=1000,INDEX($A$2:$A$1001,1309),IF(1309&lt;=2000,INDEX($B$2:$B$1001,309),IF(1309&lt;=3000,INDEX($C$2:$C$1001,-691),IF(1309&lt;=4000,INDEX($D$2:$D$1001,-1691),IF(1309&lt;=5000,INDEX($E$2:$E$1001,-2691),"")))))</f>
        <v/>
      </c>
    </row>
    <row r="1311">
      <c r="G1311">
        <f>IF(1310&lt;=1000,INDEX($A$2:$A$1001,1310),IF(1310&lt;=2000,INDEX($B$2:$B$1001,310),IF(1310&lt;=3000,INDEX($C$2:$C$1001,-690),IF(1310&lt;=4000,INDEX($D$2:$D$1001,-1690),IF(1310&lt;=5000,INDEX($E$2:$E$1001,-2690),"")))))</f>
        <v/>
      </c>
    </row>
    <row r="1312">
      <c r="G1312">
        <f>IF(1311&lt;=1000,INDEX($A$2:$A$1001,1311),IF(1311&lt;=2000,INDEX($B$2:$B$1001,311),IF(1311&lt;=3000,INDEX($C$2:$C$1001,-689),IF(1311&lt;=4000,INDEX($D$2:$D$1001,-1689),IF(1311&lt;=5000,INDEX($E$2:$E$1001,-2689),"")))))</f>
        <v/>
      </c>
    </row>
    <row r="1313">
      <c r="G1313">
        <f>IF(1312&lt;=1000,INDEX($A$2:$A$1001,1312),IF(1312&lt;=2000,INDEX($B$2:$B$1001,312),IF(1312&lt;=3000,INDEX($C$2:$C$1001,-688),IF(1312&lt;=4000,INDEX($D$2:$D$1001,-1688),IF(1312&lt;=5000,INDEX($E$2:$E$1001,-2688),"")))))</f>
        <v/>
      </c>
    </row>
    <row r="1314">
      <c r="G1314">
        <f>IF(1313&lt;=1000,INDEX($A$2:$A$1001,1313),IF(1313&lt;=2000,INDEX($B$2:$B$1001,313),IF(1313&lt;=3000,INDEX($C$2:$C$1001,-687),IF(1313&lt;=4000,INDEX($D$2:$D$1001,-1687),IF(1313&lt;=5000,INDEX($E$2:$E$1001,-2687),"")))))</f>
        <v/>
      </c>
    </row>
    <row r="1315">
      <c r="G1315">
        <f>IF(1314&lt;=1000,INDEX($A$2:$A$1001,1314),IF(1314&lt;=2000,INDEX($B$2:$B$1001,314),IF(1314&lt;=3000,INDEX($C$2:$C$1001,-686),IF(1314&lt;=4000,INDEX($D$2:$D$1001,-1686),IF(1314&lt;=5000,INDEX($E$2:$E$1001,-2686),"")))))</f>
        <v/>
      </c>
    </row>
    <row r="1316">
      <c r="G1316">
        <f>IF(1315&lt;=1000,INDEX($A$2:$A$1001,1315),IF(1315&lt;=2000,INDEX($B$2:$B$1001,315),IF(1315&lt;=3000,INDEX($C$2:$C$1001,-685),IF(1315&lt;=4000,INDEX($D$2:$D$1001,-1685),IF(1315&lt;=5000,INDEX($E$2:$E$1001,-2685),"")))))</f>
        <v/>
      </c>
    </row>
    <row r="1317">
      <c r="G1317">
        <f>IF(1316&lt;=1000,INDEX($A$2:$A$1001,1316),IF(1316&lt;=2000,INDEX($B$2:$B$1001,316),IF(1316&lt;=3000,INDEX($C$2:$C$1001,-684),IF(1316&lt;=4000,INDEX($D$2:$D$1001,-1684),IF(1316&lt;=5000,INDEX($E$2:$E$1001,-2684),"")))))</f>
        <v/>
      </c>
    </row>
    <row r="1318">
      <c r="G1318">
        <f>IF(1317&lt;=1000,INDEX($A$2:$A$1001,1317),IF(1317&lt;=2000,INDEX($B$2:$B$1001,317),IF(1317&lt;=3000,INDEX($C$2:$C$1001,-683),IF(1317&lt;=4000,INDEX($D$2:$D$1001,-1683),IF(1317&lt;=5000,INDEX($E$2:$E$1001,-2683),"")))))</f>
        <v/>
      </c>
    </row>
    <row r="1319">
      <c r="G1319">
        <f>IF(1318&lt;=1000,INDEX($A$2:$A$1001,1318),IF(1318&lt;=2000,INDEX($B$2:$B$1001,318),IF(1318&lt;=3000,INDEX($C$2:$C$1001,-682),IF(1318&lt;=4000,INDEX($D$2:$D$1001,-1682),IF(1318&lt;=5000,INDEX($E$2:$E$1001,-2682),"")))))</f>
        <v/>
      </c>
    </row>
    <row r="1320">
      <c r="G1320">
        <f>IF(1319&lt;=1000,INDEX($A$2:$A$1001,1319),IF(1319&lt;=2000,INDEX($B$2:$B$1001,319),IF(1319&lt;=3000,INDEX($C$2:$C$1001,-681),IF(1319&lt;=4000,INDEX($D$2:$D$1001,-1681),IF(1319&lt;=5000,INDEX($E$2:$E$1001,-2681),"")))))</f>
        <v/>
      </c>
    </row>
    <row r="1321">
      <c r="G1321">
        <f>IF(1320&lt;=1000,INDEX($A$2:$A$1001,1320),IF(1320&lt;=2000,INDEX($B$2:$B$1001,320),IF(1320&lt;=3000,INDEX($C$2:$C$1001,-680),IF(1320&lt;=4000,INDEX($D$2:$D$1001,-1680),IF(1320&lt;=5000,INDEX($E$2:$E$1001,-2680),"")))))</f>
        <v/>
      </c>
    </row>
    <row r="1322">
      <c r="G1322">
        <f>IF(1321&lt;=1000,INDEX($A$2:$A$1001,1321),IF(1321&lt;=2000,INDEX($B$2:$B$1001,321),IF(1321&lt;=3000,INDEX($C$2:$C$1001,-679),IF(1321&lt;=4000,INDEX($D$2:$D$1001,-1679),IF(1321&lt;=5000,INDEX($E$2:$E$1001,-2679),"")))))</f>
        <v/>
      </c>
    </row>
    <row r="1323">
      <c r="G1323">
        <f>IF(1322&lt;=1000,INDEX($A$2:$A$1001,1322),IF(1322&lt;=2000,INDEX($B$2:$B$1001,322),IF(1322&lt;=3000,INDEX($C$2:$C$1001,-678),IF(1322&lt;=4000,INDEX($D$2:$D$1001,-1678),IF(1322&lt;=5000,INDEX($E$2:$E$1001,-2678),"")))))</f>
        <v/>
      </c>
    </row>
    <row r="1324">
      <c r="G1324">
        <f>IF(1323&lt;=1000,INDEX($A$2:$A$1001,1323),IF(1323&lt;=2000,INDEX($B$2:$B$1001,323),IF(1323&lt;=3000,INDEX($C$2:$C$1001,-677),IF(1323&lt;=4000,INDEX($D$2:$D$1001,-1677),IF(1323&lt;=5000,INDEX($E$2:$E$1001,-2677),"")))))</f>
        <v/>
      </c>
    </row>
    <row r="1325">
      <c r="G1325">
        <f>IF(1324&lt;=1000,INDEX($A$2:$A$1001,1324),IF(1324&lt;=2000,INDEX($B$2:$B$1001,324),IF(1324&lt;=3000,INDEX($C$2:$C$1001,-676),IF(1324&lt;=4000,INDEX($D$2:$D$1001,-1676),IF(1324&lt;=5000,INDEX($E$2:$E$1001,-2676),"")))))</f>
        <v/>
      </c>
    </row>
    <row r="1326">
      <c r="G1326">
        <f>IF(1325&lt;=1000,INDEX($A$2:$A$1001,1325),IF(1325&lt;=2000,INDEX($B$2:$B$1001,325),IF(1325&lt;=3000,INDEX($C$2:$C$1001,-675),IF(1325&lt;=4000,INDEX($D$2:$D$1001,-1675),IF(1325&lt;=5000,INDEX($E$2:$E$1001,-2675),"")))))</f>
        <v/>
      </c>
    </row>
    <row r="1327">
      <c r="G1327">
        <f>IF(1326&lt;=1000,INDEX($A$2:$A$1001,1326),IF(1326&lt;=2000,INDEX($B$2:$B$1001,326),IF(1326&lt;=3000,INDEX($C$2:$C$1001,-674),IF(1326&lt;=4000,INDEX($D$2:$D$1001,-1674),IF(1326&lt;=5000,INDEX($E$2:$E$1001,-2674),"")))))</f>
        <v/>
      </c>
    </row>
    <row r="1328">
      <c r="G1328">
        <f>IF(1327&lt;=1000,INDEX($A$2:$A$1001,1327),IF(1327&lt;=2000,INDEX($B$2:$B$1001,327),IF(1327&lt;=3000,INDEX($C$2:$C$1001,-673),IF(1327&lt;=4000,INDEX($D$2:$D$1001,-1673),IF(1327&lt;=5000,INDEX($E$2:$E$1001,-2673),"")))))</f>
        <v/>
      </c>
    </row>
    <row r="1329">
      <c r="G1329">
        <f>IF(1328&lt;=1000,INDEX($A$2:$A$1001,1328),IF(1328&lt;=2000,INDEX($B$2:$B$1001,328),IF(1328&lt;=3000,INDEX($C$2:$C$1001,-672),IF(1328&lt;=4000,INDEX($D$2:$D$1001,-1672),IF(1328&lt;=5000,INDEX($E$2:$E$1001,-2672),"")))))</f>
        <v/>
      </c>
    </row>
    <row r="1330">
      <c r="G1330">
        <f>IF(1329&lt;=1000,INDEX($A$2:$A$1001,1329),IF(1329&lt;=2000,INDEX($B$2:$B$1001,329),IF(1329&lt;=3000,INDEX($C$2:$C$1001,-671),IF(1329&lt;=4000,INDEX($D$2:$D$1001,-1671),IF(1329&lt;=5000,INDEX($E$2:$E$1001,-2671),"")))))</f>
        <v/>
      </c>
    </row>
    <row r="1331">
      <c r="G1331">
        <f>IF(1330&lt;=1000,INDEX($A$2:$A$1001,1330),IF(1330&lt;=2000,INDEX($B$2:$B$1001,330),IF(1330&lt;=3000,INDEX($C$2:$C$1001,-670),IF(1330&lt;=4000,INDEX($D$2:$D$1001,-1670),IF(1330&lt;=5000,INDEX($E$2:$E$1001,-2670),"")))))</f>
        <v/>
      </c>
    </row>
    <row r="1332">
      <c r="G1332">
        <f>IF(1331&lt;=1000,INDEX($A$2:$A$1001,1331),IF(1331&lt;=2000,INDEX($B$2:$B$1001,331),IF(1331&lt;=3000,INDEX($C$2:$C$1001,-669),IF(1331&lt;=4000,INDEX($D$2:$D$1001,-1669),IF(1331&lt;=5000,INDEX($E$2:$E$1001,-2669),"")))))</f>
        <v/>
      </c>
    </row>
    <row r="1333">
      <c r="G1333">
        <f>IF(1332&lt;=1000,INDEX($A$2:$A$1001,1332),IF(1332&lt;=2000,INDEX($B$2:$B$1001,332),IF(1332&lt;=3000,INDEX($C$2:$C$1001,-668),IF(1332&lt;=4000,INDEX($D$2:$D$1001,-1668),IF(1332&lt;=5000,INDEX($E$2:$E$1001,-2668),"")))))</f>
        <v/>
      </c>
    </row>
    <row r="1334">
      <c r="G1334">
        <f>IF(1333&lt;=1000,INDEX($A$2:$A$1001,1333),IF(1333&lt;=2000,INDEX($B$2:$B$1001,333),IF(1333&lt;=3000,INDEX($C$2:$C$1001,-667),IF(1333&lt;=4000,INDEX($D$2:$D$1001,-1667),IF(1333&lt;=5000,INDEX($E$2:$E$1001,-2667),"")))))</f>
        <v/>
      </c>
    </row>
    <row r="1335">
      <c r="G1335">
        <f>IF(1334&lt;=1000,INDEX($A$2:$A$1001,1334),IF(1334&lt;=2000,INDEX($B$2:$B$1001,334),IF(1334&lt;=3000,INDEX($C$2:$C$1001,-666),IF(1334&lt;=4000,INDEX($D$2:$D$1001,-1666),IF(1334&lt;=5000,INDEX($E$2:$E$1001,-2666),"")))))</f>
        <v/>
      </c>
    </row>
    <row r="1336">
      <c r="G1336">
        <f>IF(1335&lt;=1000,INDEX($A$2:$A$1001,1335),IF(1335&lt;=2000,INDEX($B$2:$B$1001,335),IF(1335&lt;=3000,INDEX($C$2:$C$1001,-665),IF(1335&lt;=4000,INDEX($D$2:$D$1001,-1665),IF(1335&lt;=5000,INDEX($E$2:$E$1001,-2665),"")))))</f>
        <v/>
      </c>
    </row>
    <row r="1337">
      <c r="G1337">
        <f>IF(1336&lt;=1000,INDEX($A$2:$A$1001,1336),IF(1336&lt;=2000,INDEX($B$2:$B$1001,336),IF(1336&lt;=3000,INDEX($C$2:$C$1001,-664),IF(1336&lt;=4000,INDEX($D$2:$D$1001,-1664),IF(1336&lt;=5000,INDEX($E$2:$E$1001,-2664),"")))))</f>
        <v/>
      </c>
    </row>
    <row r="1338">
      <c r="G1338">
        <f>IF(1337&lt;=1000,INDEX($A$2:$A$1001,1337),IF(1337&lt;=2000,INDEX($B$2:$B$1001,337),IF(1337&lt;=3000,INDEX($C$2:$C$1001,-663),IF(1337&lt;=4000,INDEX($D$2:$D$1001,-1663),IF(1337&lt;=5000,INDEX($E$2:$E$1001,-2663),"")))))</f>
        <v/>
      </c>
    </row>
    <row r="1339">
      <c r="G1339">
        <f>IF(1338&lt;=1000,INDEX($A$2:$A$1001,1338),IF(1338&lt;=2000,INDEX($B$2:$B$1001,338),IF(1338&lt;=3000,INDEX($C$2:$C$1001,-662),IF(1338&lt;=4000,INDEX($D$2:$D$1001,-1662),IF(1338&lt;=5000,INDEX($E$2:$E$1001,-2662),"")))))</f>
        <v/>
      </c>
    </row>
    <row r="1340">
      <c r="G1340">
        <f>IF(1339&lt;=1000,INDEX($A$2:$A$1001,1339),IF(1339&lt;=2000,INDEX($B$2:$B$1001,339),IF(1339&lt;=3000,INDEX($C$2:$C$1001,-661),IF(1339&lt;=4000,INDEX($D$2:$D$1001,-1661),IF(1339&lt;=5000,INDEX($E$2:$E$1001,-2661),"")))))</f>
        <v/>
      </c>
    </row>
    <row r="1341">
      <c r="G1341">
        <f>IF(1340&lt;=1000,INDEX($A$2:$A$1001,1340),IF(1340&lt;=2000,INDEX($B$2:$B$1001,340),IF(1340&lt;=3000,INDEX($C$2:$C$1001,-660),IF(1340&lt;=4000,INDEX($D$2:$D$1001,-1660),IF(1340&lt;=5000,INDEX($E$2:$E$1001,-2660),"")))))</f>
        <v/>
      </c>
    </row>
    <row r="1342">
      <c r="G1342">
        <f>IF(1341&lt;=1000,INDEX($A$2:$A$1001,1341),IF(1341&lt;=2000,INDEX($B$2:$B$1001,341),IF(1341&lt;=3000,INDEX($C$2:$C$1001,-659),IF(1341&lt;=4000,INDEX($D$2:$D$1001,-1659),IF(1341&lt;=5000,INDEX($E$2:$E$1001,-2659),"")))))</f>
        <v/>
      </c>
    </row>
    <row r="1343">
      <c r="G1343">
        <f>IF(1342&lt;=1000,INDEX($A$2:$A$1001,1342),IF(1342&lt;=2000,INDEX($B$2:$B$1001,342),IF(1342&lt;=3000,INDEX($C$2:$C$1001,-658),IF(1342&lt;=4000,INDEX($D$2:$D$1001,-1658),IF(1342&lt;=5000,INDEX($E$2:$E$1001,-2658),"")))))</f>
        <v/>
      </c>
    </row>
    <row r="1344">
      <c r="G1344">
        <f>IF(1343&lt;=1000,INDEX($A$2:$A$1001,1343),IF(1343&lt;=2000,INDEX($B$2:$B$1001,343),IF(1343&lt;=3000,INDEX($C$2:$C$1001,-657),IF(1343&lt;=4000,INDEX($D$2:$D$1001,-1657),IF(1343&lt;=5000,INDEX($E$2:$E$1001,-2657),"")))))</f>
        <v/>
      </c>
    </row>
    <row r="1345">
      <c r="G1345">
        <f>IF(1344&lt;=1000,INDEX($A$2:$A$1001,1344),IF(1344&lt;=2000,INDEX($B$2:$B$1001,344),IF(1344&lt;=3000,INDEX($C$2:$C$1001,-656),IF(1344&lt;=4000,INDEX($D$2:$D$1001,-1656),IF(1344&lt;=5000,INDEX($E$2:$E$1001,-2656),"")))))</f>
        <v/>
      </c>
    </row>
    <row r="1346">
      <c r="G1346">
        <f>IF(1345&lt;=1000,INDEX($A$2:$A$1001,1345),IF(1345&lt;=2000,INDEX($B$2:$B$1001,345),IF(1345&lt;=3000,INDEX($C$2:$C$1001,-655),IF(1345&lt;=4000,INDEX($D$2:$D$1001,-1655),IF(1345&lt;=5000,INDEX($E$2:$E$1001,-2655),"")))))</f>
        <v/>
      </c>
    </row>
    <row r="1347">
      <c r="G1347">
        <f>IF(1346&lt;=1000,INDEX($A$2:$A$1001,1346),IF(1346&lt;=2000,INDEX($B$2:$B$1001,346),IF(1346&lt;=3000,INDEX($C$2:$C$1001,-654),IF(1346&lt;=4000,INDEX($D$2:$D$1001,-1654),IF(1346&lt;=5000,INDEX($E$2:$E$1001,-2654),"")))))</f>
        <v/>
      </c>
    </row>
    <row r="1348">
      <c r="G1348">
        <f>IF(1347&lt;=1000,INDEX($A$2:$A$1001,1347),IF(1347&lt;=2000,INDEX($B$2:$B$1001,347),IF(1347&lt;=3000,INDEX($C$2:$C$1001,-653),IF(1347&lt;=4000,INDEX($D$2:$D$1001,-1653),IF(1347&lt;=5000,INDEX($E$2:$E$1001,-2653),"")))))</f>
        <v/>
      </c>
    </row>
    <row r="1349">
      <c r="G1349">
        <f>IF(1348&lt;=1000,INDEX($A$2:$A$1001,1348),IF(1348&lt;=2000,INDEX($B$2:$B$1001,348),IF(1348&lt;=3000,INDEX($C$2:$C$1001,-652),IF(1348&lt;=4000,INDEX($D$2:$D$1001,-1652),IF(1348&lt;=5000,INDEX($E$2:$E$1001,-2652),"")))))</f>
        <v/>
      </c>
    </row>
    <row r="1350">
      <c r="G1350">
        <f>IF(1349&lt;=1000,INDEX($A$2:$A$1001,1349),IF(1349&lt;=2000,INDEX($B$2:$B$1001,349),IF(1349&lt;=3000,INDEX($C$2:$C$1001,-651),IF(1349&lt;=4000,INDEX($D$2:$D$1001,-1651),IF(1349&lt;=5000,INDEX($E$2:$E$1001,-2651),"")))))</f>
        <v/>
      </c>
    </row>
    <row r="1351">
      <c r="G1351">
        <f>IF(1350&lt;=1000,INDEX($A$2:$A$1001,1350),IF(1350&lt;=2000,INDEX($B$2:$B$1001,350),IF(1350&lt;=3000,INDEX($C$2:$C$1001,-650),IF(1350&lt;=4000,INDEX($D$2:$D$1001,-1650),IF(1350&lt;=5000,INDEX($E$2:$E$1001,-2650),"")))))</f>
        <v/>
      </c>
    </row>
    <row r="1352">
      <c r="G1352">
        <f>IF(1351&lt;=1000,INDEX($A$2:$A$1001,1351),IF(1351&lt;=2000,INDEX($B$2:$B$1001,351),IF(1351&lt;=3000,INDEX($C$2:$C$1001,-649),IF(1351&lt;=4000,INDEX($D$2:$D$1001,-1649),IF(1351&lt;=5000,INDEX($E$2:$E$1001,-2649),"")))))</f>
        <v/>
      </c>
    </row>
    <row r="1353">
      <c r="G1353">
        <f>IF(1352&lt;=1000,INDEX($A$2:$A$1001,1352),IF(1352&lt;=2000,INDEX($B$2:$B$1001,352),IF(1352&lt;=3000,INDEX($C$2:$C$1001,-648),IF(1352&lt;=4000,INDEX($D$2:$D$1001,-1648),IF(1352&lt;=5000,INDEX($E$2:$E$1001,-2648),"")))))</f>
        <v/>
      </c>
    </row>
    <row r="1354">
      <c r="G1354">
        <f>IF(1353&lt;=1000,INDEX($A$2:$A$1001,1353),IF(1353&lt;=2000,INDEX($B$2:$B$1001,353),IF(1353&lt;=3000,INDEX($C$2:$C$1001,-647),IF(1353&lt;=4000,INDEX($D$2:$D$1001,-1647),IF(1353&lt;=5000,INDEX($E$2:$E$1001,-2647),"")))))</f>
        <v/>
      </c>
    </row>
    <row r="1355">
      <c r="G1355">
        <f>IF(1354&lt;=1000,INDEX($A$2:$A$1001,1354),IF(1354&lt;=2000,INDEX($B$2:$B$1001,354),IF(1354&lt;=3000,INDEX($C$2:$C$1001,-646),IF(1354&lt;=4000,INDEX($D$2:$D$1001,-1646),IF(1354&lt;=5000,INDEX($E$2:$E$1001,-2646),"")))))</f>
        <v/>
      </c>
    </row>
    <row r="1356">
      <c r="G1356">
        <f>IF(1355&lt;=1000,INDEX($A$2:$A$1001,1355),IF(1355&lt;=2000,INDEX($B$2:$B$1001,355),IF(1355&lt;=3000,INDEX($C$2:$C$1001,-645),IF(1355&lt;=4000,INDEX($D$2:$D$1001,-1645),IF(1355&lt;=5000,INDEX($E$2:$E$1001,-2645),"")))))</f>
        <v/>
      </c>
    </row>
    <row r="1357">
      <c r="G1357">
        <f>IF(1356&lt;=1000,INDEX($A$2:$A$1001,1356),IF(1356&lt;=2000,INDEX($B$2:$B$1001,356),IF(1356&lt;=3000,INDEX($C$2:$C$1001,-644),IF(1356&lt;=4000,INDEX($D$2:$D$1001,-1644),IF(1356&lt;=5000,INDEX($E$2:$E$1001,-2644),"")))))</f>
        <v/>
      </c>
    </row>
    <row r="1358">
      <c r="G1358">
        <f>IF(1357&lt;=1000,INDEX($A$2:$A$1001,1357),IF(1357&lt;=2000,INDEX($B$2:$B$1001,357),IF(1357&lt;=3000,INDEX($C$2:$C$1001,-643),IF(1357&lt;=4000,INDEX($D$2:$D$1001,-1643),IF(1357&lt;=5000,INDEX($E$2:$E$1001,-2643),"")))))</f>
        <v/>
      </c>
    </row>
    <row r="1359">
      <c r="G1359">
        <f>IF(1358&lt;=1000,INDEX($A$2:$A$1001,1358),IF(1358&lt;=2000,INDEX($B$2:$B$1001,358),IF(1358&lt;=3000,INDEX($C$2:$C$1001,-642),IF(1358&lt;=4000,INDEX($D$2:$D$1001,-1642),IF(1358&lt;=5000,INDEX($E$2:$E$1001,-2642),"")))))</f>
        <v/>
      </c>
    </row>
    <row r="1360">
      <c r="G1360">
        <f>IF(1359&lt;=1000,INDEX($A$2:$A$1001,1359),IF(1359&lt;=2000,INDEX($B$2:$B$1001,359),IF(1359&lt;=3000,INDEX($C$2:$C$1001,-641),IF(1359&lt;=4000,INDEX($D$2:$D$1001,-1641),IF(1359&lt;=5000,INDEX($E$2:$E$1001,-2641),"")))))</f>
        <v/>
      </c>
    </row>
    <row r="1361">
      <c r="G1361">
        <f>IF(1360&lt;=1000,INDEX($A$2:$A$1001,1360),IF(1360&lt;=2000,INDEX($B$2:$B$1001,360),IF(1360&lt;=3000,INDEX($C$2:$C$1001,-640),IF(1360&lt;=4000,INDEX($D$2:$D$1001,-1640),IF(1360&lt;=5000,INDEX($E$2:$E$1001,-2640),"")))))</f>
        <v/>
      </c>
    </row>
    <row r="1362">
      <c r="G1362">
        <f>IF(1361&lt;=1000,INDEX($A$2:$A$1001,1361),IF(1361&lt;=2000,INDEX($B$2:$B$1001,361),IF(1361&lt;=3000,INDEX($C$2:$C$1001,-639),IF(1361&lt;=4000,INDEX($D$2:$D$1001,-1639),IF(1361&lt;=5000,INDEX($E$2:$E$1001,-2639),"")))))</f>
        <v/>
      </c>
    </row>
    <row r="1363">
      <c r="G1363">
        <f>IF(1362&lt;=1000,INDEX($A$2:$A$1001,1362),IF(1362&lt;=2000,INDEX($B$2:$B$1001,362),IF(1362&lt;=3000,INDEX($C$2:$C$1001,-638),IF(1362&lt;=4000,INDEX($D$2:$D$1001,-1638),IF(1362&lt;=5000,INDEX($E$2:$E$1001,-2638),"")))))</f>
        <v/>
      </c>
    </row>
    <row r="1364">
      <c r="G1364">
        <f>IF(1363&lt;=1000,INDEX($A$2:$A$1001,1363),IF(1363&lt;=2000,INDEX($B$2:$B$1001,363),IF(1363&lt;=3000,INDEX($C$2:$C$1001,-637),IF(1363&lt;=4000,INDEX($D$2:$D$1001,-1637),IF(1363&lt;=5000,INDEX($E$2:$E$1001,-2637),"")))))</f>
        <v/>
      </c>
    </row>
    <row r="1365">
      <c r="G1365">
        <f>IF(1364&lt;=1000,INDEX($A$2:$A$1001,1364),IF(1364&lt;=2000,INDEX($B$2:$B$1001,364),IF(1364&lt;=3000,INDEX($C$2:$C$1001,-636),IF(1364&lt;=4000,INDEX($D$2:$D$1001,-1636),IF(1364&lt;=5000,INDEX($E$2:$E$1001,-2636),"")))))</f>
        <v/>
      </c>
    </row>
    <row r="1366">
      <c r="G1366">
        <f>IF(1365&lt;=1000,INDEX($A$2:$A$1001,1365),IF(1365&lt;=2000,INDEX($B$2:$B$1001,365),IF(1365&lt;=3000,INDEX($C$2:$C$1001,-635),IF(1365&lt;=4000,INDEX($D$2:$D$1001,-1635),IF(1365&lt;=5000,INDEX($E$2:$E$1001,-2635),"")))))</f>
        <v/>
      </c>
    </row>
    <row r="1367">
      <c r="G1367">
        <f>IF(1366&lt;=1000,INDEX($A$2:$A$1001,1366),IF(1366&lt;=2000,INDEX($B$2:$B$1001,366),IF(1366&lt;=3000,INDEX($C$2:$C$1001,-634),IF(1366&lt;=4000,INDEX($D$2:$D$1001,-1634),IF(1366&lt;=5000,INDEX($E$2:$E$1001,-2634),"")))))</f>
        <v/>
      </c>
    </row>
    <row r="1368">
      <c r="G1368">
        <f>IF(1367&lt;=1000,INDEX($A$2:$A$1001,1367),IF(1367&lt;=2000,INDEX($B$2:$B$1001,367),IF(1367&lt;=3000,INDEX($C$2:$C$1001,-633),IF(1367&lt;=4000,INDEX($D$2:$D$1001,-1633),IF(1367&lt;=5000,INDEX($E$2:$E$1001,-2633),"")))))</f>
        <v/>
      </c>
    </row>
    <row r="1369">
      <c r="G1369">
        <f>IF(1368&lt;=1000,INDEX($A$2:$A$1001,1368),IF(1368&lt;=2000,INDEX($B$2:$B$1001,368),IF(1368&lt;=3000,INDEX($C$2:$C$1001,-632),IF(1368&lt;=4000,INDEX($D$2:$D$1001,-1632),IF(1368&lt;=5000,INDEX($E$2:$E$1001,-2632),"")))))</f>
        <v/>
      </c>
    </row>
    <row r="1370">
      <c r="G1370">
        <f>IF(1369&lt;=1000,INDEX($A$2:$A$1001,1369),IF(1369&lt;=2000,INDEX($B$2:$B$1001,369),IF(1369&lt;=3000,INDEX($C$2:$C$1001,-631),IF(1369&lt;=4000,INDEX($D$2:$D$1001,-1631),IF(1369&lt;=5000,INDEX($E$2:$E$1001,-2631),"")))))</f>
        <v/>
      </c>
    </row>
    <row r="1371">
      <c r="G1371">
        <f>IF(1370&lt;=1000,INDEX($A$2:$A$1001,1370),IF(1370&lt;=2000,INDEX($B$2:$B$1001,370),IF(1370&lt;=3000,INDEX($C$2:$C$1001,-630),IF(1370&lt;=4000,INDEX($D$2:$D$1001,-1630),IF(1370&lt;=5000,INDEX($E$2:$E$1001,-2630),"")))))</f>
        <v/>
      </c>
    </row>
    <row r="1372">
      <c r="G1372">
        <f>IF(1371&lt;=1000,INDEX($A$2:$A$1001,1371),IF(1371&lt;=2000,INDEX($B$2:$B$1001,371),IF(1371&lt;=3000,INDEX($C$2:$C$1001,-629),IF(1371&lt;=4000,INDEX($D$2:$D$1001,-1629),IF(1371&lt;=5000,INDEX($E$2:$E$1001,-2629),"")))))</f>
        <v/>
      </c>
    </row>
    <row r="1373">
      <c r="G1373">
        <f>IF(1372&lt;=1000,INDEX($A$2:$A$1001,1372),IF(1372&lt;=2000,INDEX($B$2:$B$1001,372),IF(1372&lt;=3000,INDEX($C$2:$C$1001,-628),IF(1372&lt;=4000,INDEX($D$2:$D$1001,-1628),IF(1372&lt;=5000,INDEX($E$2:$E$1001,-2628),"")))))</f>
        <v/>
      </c>
    </row>
    <row r="1374">
      <c r="G1374">
        <f>IF(1373&lt;=1000,INDEX($A$2:$A$1001,1373),IF(1373&lt;=2000,INDEX($B$2:$B$1001,373),IF(1373&lt;=3000,INDEX($C$2:$C$1001,-627),IF(1373&lt;=4000,INDEX($D$2:$D$1001,-1627),IF(1373&lt;=5000,INDEX($E$2:$E$1001,-2627),"")))))</f>
        <v/>
      </c>
    </row>
    <row r="1375">
      <c r="G1375">
        <f>IF(1374&lt;=1000,INDEX($A$2:$A$1001,1374),IF(1374&lt;=2000,INDEX($B$2:$B$1001,374),IF(1374&lt;=3000,INDEX($C$2:$C$1001,-626),IF(1374&lt;=4000,INDEX($D$2:$D$1001,-1626),IF(1374&lt;=5000,INDEX($E$2:$E$1001,-2626),"")))))</f>
        <v/>
      </c>
    </row>
    <row r="1376">
      <c r="G1376">
        <f>IF(1375&lt;=1000,INDEX($A$2:$A$1001,1375),IF(1375&lt;=2000,INDEX($B$2:$B$1001,375),IF(1375&lt;=3000,INDEX($C$2:$C$1001,-625),IF(1375&lt;=4000,INDEX($D$2:$D$1001,-1625),IF(1375&lt;=5000,INDEX($E$2:$E$1001,-2625),"")))))</f>
        <v/>
      </c>
    </row>
    <row r="1377">
      <c r="G1377">
        <f>IF(1376&lt;=1000,INDEX($A$2:$A$1001,1376),IF(1376&lt;=2000,INDEX($B$2:$B$1001,376),IF(1376&lt;=3000,INDEX($C$2:$C$1001,-624),IF(1376&lt;=4000,INDEX($D$2:$D$1001,-1624),IF(1376&lt;=5000,INDEX($E$2:$E$1001,-2624),"")))))</f>
        <v/>
      </c>
    </row>
    <row r="1378">
      <c r="G1378">
        <f>IF(1377&lt;=1000,INDEX($A$2:$A$1001,1377),IF(1377&lt;=2000,INDEX($B$2:$B$1001,377),IF(1377&lt;=3000,INDEX($C$2:$C$1001,-623),IF(1377&lt;=4000,INDEX($D$2:$D$1001,-1623),IF(1377&lt;=5000,INDEX($E$2:$E$1001,-2623),"")))))</f>
        <v/>
      </c>
    </row>
    <row r="1379">
      <c r="G1379">
        <f>IF(1378&lt;=1000,INDEX($A$2:$A$1001,1378),IF(1378&lt;=2000,INDEX($B$2:$B$1001,378),IF(1378&lt;=3000,INDEX($C$2:$C$1001,-622),IF(1378&lt;=4000,INDEX($D$2:$D$1001,-1622),IF(1378&lt;=5000,INDEX($E$2:$E$1001,-2622),"")))))</f>
        <v/>
      </c>
    </row>
    <row r="1380">
      <c r="G1380">
        <f>IF(1379&lt;=1000,INDEX($A$2:$A$1001,1379),IF(1379&lt;=2000,INDEX($B$2:$B$1001,379),IF(1379&lt;=3000,INDEX($C$2:$C$1001,-621),IF(1379&lt;=4000,INDEX($D$2:$D$1001,-1621),IF(1379&lt;=5000,INDEX($E$2:$E$1001,-2621),"")))))</f>
        <v/>
      </c>
    </row>
    <row r="1381">
      <c r="G1381">
        <f>IF(1380&lt;=1000,INDEX($A$2:$A$1001,1380),IF(1380&lt;=2000,INDEX($B$2:$B$1001,380),IF(1380&lt;=3000,INDEX($C$2:$C$1001,-620),IF(1380&lt;=4000,INDEX($D$2:$D$1001,-1620),IF(1380&lt;=5000,INDEX($E$2:$E$1001,-2620),"")))))</f>
        <v/>
      </c>
    </row>
    <row r="1382">
      <c r="G1382">
        <f>IF(1381&lt;=1000,INDEX($A$2:$A$1001,1381),IF(1381&lt;=2000,INDEX($B$2:$B$1001,381),IF(1381&lt;=3000,INDEX($C$2:$C$1001,-619),IF(1381&lt;=4000,INDEX($D$2:$D$1001,-1619),IF(1381&lt;=5000,INDEX($E$2:$E$1001,-2619),"")))))</f>
        <v/>
      </c>
    </row>
    <row r="1383">
      <c r="G1383">
        <f>IF(1382&lt;=1000,INDEX($A$2:$A$1001,1382),IF(1382&lt;=2000,INDEX($B$2:$B$1001,382),IF(1382&lt;=3000,INDEX($C$2:$C$1001,-618),IF(1382&lt;=4000,INDEX($D$2:$D$1001,-1618),IF(1382&lt;=5000,INDEX($E$2:$E$1001,-2618),"")))))</f>
        <v/>
      </c>
    </row>
    <row r="1384">
      <c r="G1384">
        <f>IF(1383&lt;=1000,INDEX($A$2:$A$1001,1383),IF(1383&lt;=2000,INDEX($B$2:$B$1001,383),IF(1383&lt;=3000,INDEX($C$2:$C$1001,-617),IF(1383&lt;=4000,INDEX($D$2:$D$1001,-1617),IF(1383&lt;=5000,INDEX($E$2:$E$1001,-2617),"")))))</f>
        <v/>
      </c>
    </row>
    <row r="1385">
      <c r="G1385">
        <f>IF(1384&lt;=1000,INDEX($A$2:$A$1001,1384),IF(1384&lt;=2000,INDEX($B$2:$B$1001,384),IF(1384&lt;=3000,INDEX($C$2:$C$1001,-616),IF(1384&lt;=4000,INDEX($D$2:$D$1001,-1616),IF(1384&lt;=5000,INDEX($E$2:$E$1001,-2616),"")))))</f>
        <v/>
      </c>
    </row>
    <row r="1386">
      <c r="G1386">
        <f>IF(1385&lt;=1000,INDEX($A$2:$A$1001,1385),IF(1385&lt;=2000,INDEX($B$2:$B$1001,385),IF(1385&lt;=3000,INDEX($C$2:$C$1001,-615),IF(1385&lt;=4000,INDEX($D$2:$D$1001,-1615),IF(1385&lt;=5000,INDEX($E$2:$E$1001,-2615),"")))))</f>
        <v/>
      </c>
    </row>
    <row r="1387">
      <c r="G1387">
        <f>IF(1386&lt;=1000,INDEX($A$2:$A$1001,1386),IF(1386&lt;=2000,INDEX($B$2:$B$1001,386),IF(1386&lt;=3000,INDEX($C$2:$C$1001,-614),IF(1386&lt;=4000,INDEX($D$2:$D$1001,-1614),IF(1386&lt;=5000,INDEX($E$2:$E$1001,-2614),"")))))</f>
        <v/>
      </c>
    </row>
    <row r="1388">
      <c r="G1388">
        <f>IF(1387&lt;=1000,INDEX($A$2:$A$1001,1387),IF(1387&lt;=2000,INDEX($B$2:$B$1001,387),IF(1387&lt;=3000,INDEX($C$2:$C$1001,-613),IF(1387&lt;=4000,INDEX($D$2:$D$1001,-1613),IF(1387&lt;=5000,INDEX($E$2:$E$1001,-2613),"")))))</f>
        <v/>
      </c>
    </row>
    <row r="1389">
      <c r="G1389">
        <f>IF(1388&lt;=1000,INDEX($A$2:$A$1001,1388),IF(1388&lt;=2000,INDEX($B$2:$B$1001,388),IF(1388&lt;=3000,INDEX($C$2:$C$1001,-612),IF(1388&lt;=4000,INDEX($D$2:$D$1001,-1612),IF(1388&lt;=5000,INDEX($E$2:$E$1001,-2612),"")))))</f>
        <v/>
      </c>
    </row>
    <row r="1390">
      <c r="G1390">
        <f>IF(1389&lt;=1000,INDEX($A$2:$A$1001,1389),IF(1389&lt;=2000,INDEX($B$2:$B$1001,389),IF(1389&lt;=3000,INDEX($C$2:$C$1001,-611),IF(1389&lt;=4000,INDEX($D$2:$D$1001,-1611),IF(1389&lt;=5000,INDEX($E$2:$E$1001,-2611),"")))))</f>
        <v/>
      </c>
    </row>
    <row r="1391">
      <c r="G1391">
        <f>IF(1390&lt;=1000,INDEX($A$2:$A$1001,1390),IF(1390&lt;=2000,INDEX($B$2:$B$1001,390),IF(1390&lt;=3000,INDEX($C$2:$C$1001,-610),IF(1390&lt;=4000,INDEX($D$2:$D$1001,-1610),IF(1390&lt;=5000,INDEX($E$2:$E$1001,-2610),"")))))</f>
        <v/>
      </c>
    </row>
    <row r="1392">
      <c r="G1392">
        <f>IF(1391&lt;=1000,INDEX($A$2:$A$1001,1391),IF(1391&lt;=2000,INDEX($B$2:$B$1001,391),IF(1391&lt;=3000,INDEX($C$2:$C$1001,-609),IF(1391&lt;=4000,INDEX($D$2:$D$1001,-1609),IF(1391&lt;=5000,INDEX($E$2:$E$1001,-2609),"")))))</f>
        <v/>
      </c>
    </row>
    <row r="1393">
      <c r="G1393">
        <f>IF(1392&lt;=1000,INDEX($A$2:$A$1001,1392),IF(1392&lt;=2000,INDEX($B$2:$B$1001,392),IF(1392&lt;=3000,INDEX($C$2:$C$1001,-608),IF(1392&lt;=4000,INDEX($D$2:$D$1001,-1608),IF(1392&lt;=5000,INDEX($E$2:$E$1001,-2608),"")))))</f>
        <v/>
      </c>
    </row>
    <row r="1394">
      <c r="G1394">
        <f>IF(1393&lt;=1000,INDEX($A$2:$A$1001,1393),IF(1393&lt;=2000,INDEX($B$2:$B$1001,393),IF(1393&lt;=3000,INDEX($C$2:$C$1001,-607),IF(1393&lt;=4000,INDEX($D$2:$D$1001,-1607),IF(1393&lt;=5000,INDEX($E$2:$E$1001,-2607),"")))))</f>
        <v/>
      </c>
    </row>
    <row r="1395">
      <c r="G1395">
        <f>IF(1394&lt;=1000,INDEX($A$2:$A$1001,1394),IF(1394&lt;=2000,INDEX($B$2:$B$1001,394),IF(1394&lt;=3000,INDEX($C$2:$C$1001,-606),IF(1394&lt;=4000,INDEX($D$2:$D$1001,-1606),IF(1394&lt;=5000,INDEX($E$2:$E$1001,-2606),"")))))</f>
        <v/>
      </c>
    </row>
    <row r="1396">
      <c r="G1396">
        <f>IF(1395&lt;=1000,INDEX($A$2:$A$1001,1395),IF(1395&lt;=2000,INDEX($B$2:$B$1001,395),IF(1395&lt;=3000,INDEX($C$2:$C$1001,-605),IF(1395&lt;=4000,INDEX($D$2:$D$1001,-1605),IF(1395&lt;=5000,INDEX($E$2:$E$1001,-2605),"")))))</f>
        <v/>
      </c>
    </row>
    <row r="1397">
      <c r="G1397">
        <f>IF(1396&lt;=1000,INDEX($A$2:$A$1001,1396),IF(1396&lt;=2000,INDEX($B$2:$B$1001,396),IF(1396&lt;=3000,INDEX($C$2:$C$1001,-604),IF(1396&lt;=4000,INDEX($D$2:$D$1001,-1604),IF(1396&lt;=5000,INDEX($E$2:$E$1001,-2604),"")))))</f>
        <v/>
      </c>
    </row>
    <row r="1398">
      <c r="G1398">
        <f>IF(1397&lt;=1000,INDEX($A$2:$A$1001,1397),IF(1397&lt;=2000,INDEX($B$2:$B$1001,397),IF(1397&lt;=3000,INDEX($C$2:$C$1001,-603),IF(1397&lt;=4000,INDEX($D$2:$D$1001,-1603),IF(1397&lt;=5000,INDEX($E$2:$E$1001,-2603),"")))))</f>
        <v/>
      </c>
    </row>
    <row r="1399">
      <c r="G1399">
        <f>IF(1398&lt;=1000,INDEX($A$2:$A$1001,1398),IF(1398&lt;=2000,INDEX($B$2:$B$1001,398),IF(1398&lt;=3000,INDEX($C$2:$C$1001,-602),IF(1398&lt;=4000,INDEX($D$2:$D$1001,-1602),IF(1398&lt;=5000,INDEX($E$2:$E$1001,-2602),"")))))</f>
        <v/>
      </c>
    </row>
    <row r="1400">
      <c r="G1400">
        <f>IF(1399&lt;=1000,INDEX($A$2:$A$1001,1399),IF(1399&lt;=2000,INDEX($B$2:$B$1001,399),IF(1399&lt;=3000,INDEX($C$2:$C$1001,-601),IF(1399&lt;=4000,INDEX($D$2:$D$1001,-1601),IF(1399&lt;=5000,INDEX($E$2:$E$1001,-2601),"")))))</f>
        <v/>
      </c>
    </row>
    <row r="1401">
      <c r="G1401">
        <f>IF(1400&lt;=1000,INDEX($A$2:$A$1001,1400),IF(1400&lt;=2000,INDEX($B$2:$B$1001,400),IF(1400&lt;=3000,INDEX($C$2:$C$1001,-600),IF(1400&lt;=4000,INDEX($D$2:$D$1001,-1600),IF(1400&lt;=5000,INDEX($E$2:$E$1001,-2600),"")))))</f>
        <v/>
      </c>
    </row>
    <row r="1402">
      <c r="G1402">
        <f>IF(1401&lt;=1000,INDEX($A$2:$A$1001,1401),IF(1401&lt;=2000,INDEX($B$2:$B$1001,401),IF(1401&lt;=3000,INDEX($C$2:$C$1001,-599),IF(1401&lt;=4000,INDEX($D$2:$D$1001,-1599),IF(1401&lt;=5000,INDEX($E$2:$E$1001,-2599),"")))))</f>
        <v/>
      </c>
    </row>
    <row r="1403">
      <c r="G1403">
        <f>IF(1402&lt;=1000,INDEX($A$2:$A$1001,1402),IF(1402&lt;=2000,INDEX($B$2:$B$1001,402),IF(1402&lt;=3000,INDEX($C$2:$C$1001,-598),IF(1402&lt;=4000,INDEX($D$2:$D$1001,-1598),IF(1402&lt;=5000,INDEX($E$2:$E$1001,-2598),"")))))</f>
        <v/>
      </c>
    </row>
    <row r="1404">
      <c r="G1404">
        <f>IF(1403&lt;=1000,INDEX($A$2:$A$1001,1403),IF(1403&lt;=2000,INDEX($B$2:$B$1001,403),IF(1403&lt;=3000,INDEX($C$2:$C$1001,-597),IF(1403&lt;=4000,INDEX($D$2:$D$1001,-1597),IF(1403&lt;=5000,INDEX($E$2:$E$1001,-2597),"")))))</f>
        <v/>
      </c>
    </row>
    <row r="1405">
      <c r="G1405">
        <f>IF(1404&lt;=1000,INDEX($A$2:$A$1001,1404),IF(1404&lt;=2000,INDEX($B$2:$B$1001,404),IF(1404&lt;=3000,INDEX($C$2:$C$1001,-596),IF(1404&lt;=4000,INDEX($D$2:$D$1001,-1596),IF(1404&lt;=5000,INDEX($E$2:$E$1001,-2596),"")))))</f>
        <v/>
      </c>
    </row>
    <row r="1406">
      <c r="G1406">
        <f>IF(1405&lt;=1000,INDEX($A$2:$A$1001,1405),IF(1405&lt;=2000,INDEX($B$2:$B$1001,405),IF(1405&lt;=3000,INDEX($C$2:$C$1001,-595),IF(1405&lt;=4000,INDEX($D$2:$D$1001,-1595),IF(1405&lt;=5000,INDEX($E$2:$E$1001,-2595),"")))))</f>
        <v/>
      </c>
    </row>
    <row r="1407">
      <c r="G1407">
        <f>IF(1406&lt;=1000,INDEX($A$2:$A$1001,1406),IF(1406&lt;=2000,INDEX($B$2:$B$1001,406),IF(1406&lt;=3000,INDEX($C$2:$C$1001,-594),IF(1406&lt;=4000,INDEX($D$2:$D$1001,-1594),IF(1406&lt;=5000,INDEX($E$2:$E$1001,-2594),"")))))</f>
        <v/>
      </c>
    </row>
    <row r="1408">
      <c r="G1408">
        <f>IF(1407&lt;=1000,INDEX($A$2:$A$1001,1407),IF(1407&lt;=2000,INDEX($B$2:$B$1001,407),IF(1407&lt;=3000,INDEX($C$2:$C$1001,-593),IF(1407&lt;=4000,INDEX($D$2:$D$1001,-1593),IF(1407&lt;=5000,INDEX($E$2:$E$1001,-2593),"")))))</f>
        <v/>
      </c>
    </row>
    <row r="1409">
      <c r="G1409">
        <f>IF(1408&lt;=1000,INDEX($A$2:$A$1001,1408),IF(1408&lt;=2000,INDEX($B$2:$B$1001,408),IF(1408&lt;=3000,INDEX($C$2:$C$1001,-592),IF(1408&lt;=4000,INDEX($D$2:$D$1001,-1592),IF(1408&lt;=5000,INDEX($E$2:$E$1001,-2592),"")))))</f>
        <v/>
      </c>
    </row>
    <row r="1410">
      <c r="G1410">
        <f>IF(1409&lt;=1000,INDEX($A$2:$A$1001,1409),IF(1409&lt;=2000,INDEX($B$2:$B$1001,409),IF(1409&lt;=3000,INDEX($C$2:$C$1001,-591),IF(1409&lt;=4000,INDEX($D$2:$D$1001,-1591),IF(1409&lt;=5000,INDEX($E$2:$E$1001,-2591),"")))))</f>
        <v/>
      </c>
    </row>
    <row r="1411">
      <c r="G1411">
        <f>IF(1410&lt;=1000,INDEX($A$2:$A$1001,1410),IF(1410&lt;=2000,INDEX($B$2:$B$1001,410),IF(1410&lt;=3000,INDEX($C$2:$C$1001,-590),IF(1410&lt;=4000,INDEX($D$2:$D$1001,-1590),IF(1410&lt;=5000,INDEX($E$2:$E$1001,-2590),"")))))</f>
        <v/>
      </c>
    </row>
    <row r="1412">
      <c r="G1412">
        <f>IF(1411&lt;=1000,INDEX($A$2:$A$1001,1411),IF(1411&lt;=2000,INDEX($B$2:$B$1001,411),IF(1411&lt;=3000,INDEX($C$2:$C$1001,-589),IF(1411&lt;=4000,INDEX($D$2:$D$1001,-1589),IF(1411&lt;=5000,INDEX($E$2:$E$1001,-2589),"")))))</f>
        <v/>
      </c>
    </row>
    <row r="1413">
      <c r="G1413">
        <f>IF(1412&lt;=1000,INDEX($A$2:$A$1001,1412),IF(1412&lt;=2000,INDEX($B$2:$B$1001,412),IF(1412&lt;=3000,INDEX($C$2:$C$1001,-588),IF(1412&lt;=4000,INDEX($D$2:$D$1001,-1588),IF(1412&lt;=5000,INDEX($E$2:$E$1001,-2588),"")))))</f>
        <v/>
      </c>
    </row>
    <row r="1414">
      <c r="G1414">
        <f>IF(1413&lt;=1000,INDEX($A$2:$A$1001,1413),IF(1413&lt;=2000,INDEX($B$2:$B$1001,413),IF(1413&lt;=3000,INDEX($C$2:$C$1001,-587),IF(1413&lt;=4000,INDEX($D$2:$D$1001,-1587),IF(1413&lt;=5000,INDEX($E$2:$E$1001,-2587),"")))))</f>
        <v/>
      </c>
    </row>
    <row r="1415">
      <c r="G1415">
        <f>IF(1414&lt;=1000,INDEX($A$2:$A$1001,1414),IF(1414&lt;=2000,INDEX($B$2:$B$1001,414),IF(1414&lt;=3000,INDEX($C$2:$C$1001,-586),IF(1414&lt;=4000,INDEX($D$2:$D$1001,-1586),IF(1414&lt;=5000,INDEX($E$2:$E$1001,-2586),"")))))</f>
        <v/>
      </c>
    </row>
    <row r="1416">
      <c r="G1416">
        <f>IF(1415&lt;=1000,INDEX($A$2:$A$1001,1415),IF(1415&lt;=2000,INDEX($B$2:$B$1001,415),IF(1415&lt;=3000,INDEX($C$2:$C$1001,-585),IF(1415&lt;=4000,INDEX($D$2:$D$1001,-1585),IF(1415&lt;=5000,INDEX($E$2:$E$1001,-2585),"")))))</f>
        <v/>
      </c>
    </row>
    <row r="1417">
      <c r="G1417">
        <f>IF(1416&lt;=1000,INDEX($A$2:$A$1001,1416),IF(1416&lt;=2000,INDEX($B$2:$B$1001,416),IF(1416&lt;=3000,INDEX($C$2:$C$1001,-584),IF(1416&lt;=4000,INDEX($D$2:$D$1001,-1584),IF(1416&lt;=5000,INDEX($E$2:$E$1001,-2584),"")))))</f>
        <v/>
      </c>
    </row>
    <row r="1418">
      <c r="G1418">
        <f>IF(1417&lt;=1000,INDEX($A$2:$A$1001,1417),IF(1417&lt;=2000,INDEX($B$2:$B$1001,417),IF(1417&lt;=3000,INDEX($C$2:$C$1001,-583),IF(1417&lt;=4000,INDEX($D$2:$D$1001,-1583),IF(1417&lt;=5000,INDEX($E$2:$E$1001,-2583),"")))))</f>
        <v/>
      </c>
    </row>
    <row r="1419">
      <c r="G1419">
        <f>IF(1418&lt;=1000,INDEX($A$2:$A$1001,1418),IF(1418&lt;=2000,INDEX($B$2:$B$1001,418),IF(1418&lt;=3000,INDEX($C$2:$C$1001,-582),IF(1418&lt;=4000,INDEX($D$2:$D$1001,-1582),IF(1418&lt;=5000,INDEX($E$2:$E$1001,-2582),"")))))</f>
        <v/>
      </c>
    </row>
    <row r="1420">
      <c r="G1420">
        <f>IF(1419&lt;=1000,INDEX($A$2:$A$1001,1419),IF(1419&lt;=2000,INDEX($B$2:$B$1001,419),IF(1419&lt;=3000,INDEX($C$2:$C$1001,-581),IF(1419&lt;=4000,INDEX($D$2:$D$1001,-1581),IF(1419&lt;=5000,INDEX($E$2:$E$1001,-2581),"")))))</f>
        <v/>
      </c>
    </row>
    <row r="1421">
      <c r="G1421">
        <f>IF(1420&lt;=1000,INDEX($A$2:$A$1001,1420),IF(1420&lt;=2000,INDEX($B$2:$B$1001,420),IF(1420&lt;=3000,INDEX($C$2:$C$1001,-580),IF(1420&lt;=4000,INDEX($D$2:$D$1001,-1580),IF(1420&lt;=5000,INDEX($E$2:$E$1001,-2580),"")))))</f>
        <v/>
      </c>
    </row>
    <row r="1422">
      <c r="G1422">
        <f>IF(1421&lt;=1000,INDEX($A$2:$A$1001,1421),IF(1421&lt;=2000,INDEX($B$2:$B$1001,421),IF(1421&lt;=3000,INDEX($C$2:$C$1001,-579),IF(1421&lt;=4000,INDEX($D$2:$D$1001,-1579),IF(1421&lt;=5000,INDEX($E$2:$E$1001,-2579),"")))))</f>
        <v/>
      </c>
    </row>
    <row r="1423">
      <c r="G1423">
        <f>IF(1422&lt;=1000,INDEX($A$2:$A$1001,1422),IF(1422&lt;=2000,INDEX($B$2:$B$1001,422),IF(1422&lt;=3000,INDEX($C$2:$C$1001,-578),IF(1422&lt;=4000,INDEX($D$2:$D$1001,-1578),IF(1422&lt;=5000,INDEX($E$2:$E$1001,-2578),"")))))</f>
        <v/>
      </c>
    </row>
    <row r="1424">
      <c r="G1424">
        <f>IF(1423&lt;=1000,INDEX($A$2:$A$1001,1423),IF(1423&lt;=2000,INDEX($B$2:$B$1001,423),IF(1423&lt;=3000,INDEX($C$2:$C$1001,-577),IF(1423&lt;=4000,INDEX($D$2:$D$1001,-1577),IF(1423&lt;=5000,INDEX($E$2:$E$1001,-2577),"")))))</f>
        <v/>
      </c>
    </row>
    <row r="1425">
      <c r="G1425">
        <f>IF(1424&lt;=1000,INDEX($A$2:$A$1001,1424),IF(1424&lt;=2000,INDEX($B$2:$B$1001,424),IF(1424&lt;=3000,INDEX($C$2:$C$1001,-576),IF(1424&lt;=4000,INDEX($D$2:$D$1001,-1576),IF(1424&lt;=5000,INDEX($E$2:$E$1001,-2576),"")))))</f>
        <v/>
      </c>
    </row>
    <row r="1426">
      <c r="G1426">
        <f>IF(1425&lt;=1000,INDEX($A$2:$A$1001,1425),IF(1425&lt;=2000,INDEX($B$2:$B$1001,425),IF(1425&lt;=3000,INDEX($C$2:$C$1001,-575),IF(1425&lt;=4000,INDEX($D$2:$D$1001,-1575),IF(1425&lt;=5000,INDEX($E$2:$E$1001,-2575),"")))))</f>
        <v/>
      </c>
    </row>
    <row r="1427">
      <c r="G1427">
        <f>IF(1426&lt;=1000,INDEX($A$2:$A$1001,1426),IF(1426&lt;=2000,INDEX($B$2:$B$1001,426),IF(1426&lt;=3000,INDEX($C$2:$C$1001,-574),IF(1426&lt;=4000,INDEX($D$2:$D$1001,-1574),IF(1426&lt;=5000,INDEX($E$2:$E$1001,-2574),"")))))</f>
        <v/>
      </c>
    </row>
    <row r="1428">
      <c r="G1428">
        <f>IF(1427&lt;=1000,INDEX($A$2:$A$1001,1427),IF(1427&lt;=2000,INDEX($B$2:$B$1001,427),IF(1427&lt;=3000,INDEX($C$2:$C$1001,-573),IF(1427&lt;=4000,INDEX($D$2:$D$1001,-1573),IF(1427&lt;=5000,INDEX($E$2:$E$1001,-2573),"")))))</f>
        <v/>
      </c>
    </row>
    <row r="1429">
      <c r="G1429">
        <f>IF(1428&lt;=1000,INDEX($A$2:$A$1001,1428),IF(1428&lt;=2000,INDEX($B$2:$B$1001,428),IF(1428&lt;=3000,INDEX($C$2:$C$1001,-572),IF(1428&lt;=4000,INDEX($D$2:$D$1001,-1572),IF(1428&lt;=5000,INDEX($E$2:$E$1001,-2572),"")))))</f>
        <v/>
      </c>
    </row>
    <row r="1430">
      <c r="G1430">
        <f>IF(1429&lt;=1000,INDEX($A$2:$A$1001,1429),IF(1429&lt;=2000,INDEX($B$2:$B$1001,429),IF(1429&lt;=3000,INDEX($C$2:$C$1001,-571),IF(1429&lt;=4000,INDEX($D$2:$D$1001,-1571),IF(1429&lt;=5000,INDEX($E$2:$E$1001,-2571),"")))))</f>
        <v/>
      </c>
    </row>
    <row r="1431">
      <c r="G1431">
        <f>IF(1430&lt;=1000,INDEX($A$2:$A$1001,1430),IF(1430&lt;=2000,INDEX($B$2:$B$1001,430),IF(1430&lt;=3000,INDEX($C$2:$C$1001,-570),IF(1430&lt;=4000,INDEX($D$2:$D$1001,-1570),IF(1430&lt;=5000,INDEX($E$2:$E$1001,-2570),"")))))</f>
        <v/>
      </c>
    </row>
    <row r="1432">
      <c r="G1432">
        <f>IF(1431&lt;=1000,INDEX($A$2:$A$1001,1431),IF(1431&lt;=2000,INDEX($B$2:$B$1001,431),IF(1431&lt;=3000,INDEX($C$2:$C$1001,-569),IF(1431&lt;=4000,INDEX($D$2:$D$1001,-1569),IF(1431&lt;=5000,INDEX($E$2:$E$1001,-2569),"")))))</f>
        <v/>
      </c>
    </row>
    <row r="1433">
      <c r="G1433">
        <f>IF(1432&lt;=1000,INDEX($A$2:$A$1001,1432),IF(1432&lt;=2000,INDEX($B$2:$B$1001,432),IF(1432&lt;=3000,INDEX($C$2:$C$1001,-568),IF(1432&lt;=4000,INDEX($D$2:$D$1001,-1568),IF(1432&lt;=5000,INDEX($E$2:$E$1001,-2568),"")))))</f>
        <v/>
      </c>
    </row>
    <row r="1434">
      <c r="G1434">
        <f>IF(1433&lt;=1000,INDEX($A$2:$A$1001,1433),IF(1433&lt;=2000,INDEX($B$2:$B$1001,433),IF(1433&lt;=3000,INDEX($C$2:$C$1001,-567),IF(1433&lt;=4000,INDEX($D$2:$D$1001,-1567),IF(1433&lt;=5000,INDEX($E$2:$E$1001,-2567),"")))))</f>
        <v/>
      </c>
    </row>
    <row r="1435">
      <c r="G1435">
        <f>IF(1434&lt;=1000,INDEX($A$2:$A$1001,1434),IF(1434&lt;=2000,INDEX($B$2:$B$1001,434),IF(1434&lt;=3000,INDEX($C$2:$C$1001,-566),IF(1434&lt;=4000,INDEX($D$2:$D$1001,-1566),IF(1434&lt;=5000,INDEX($E$2:$E$1001,-2566),"")))))</f>
        <v/>
      </c>
    </row>
    <row r="1436">
      <c r="G1436">
        <f>IF(1435&lt;=1000,INDEX($A$2:$A$1001,1435),IF(1435&lt;=2000,INDEX($B$2:$B$1001,435),IF(1435&lt;=3000,INDEX($C$2:$C$1001,-565),IF(1435&lt;=4000,INDEX($D$2:$D$1001,-1565),IF(1435&lt;=5000,INDEX($E$2:$E$1001,-2565),"")))))</f>
        <v/>
      </c>
    </row>
    <row r="1437">
      <c r="G1437">
        <f>IF(1436&lt;=1000,INDEX($A$2:$A$1001,1436),IF(1436&lt;=2000,INDEX($B$2:$B$1001,436),IF(1436&lt;=3000,INDEX($C$2:$C$1001,-564),IF(1436&lt;=4000,INDEX($D$2:$D$1001,-1564),IF(1436&lt;=5000,INDEX($E$2:$E$1001,-2564),"")))))</f>
        <v/>
      </c>
    </row>
    <row r="1438">
      <c r="G1438">
        <f>IF(1437&lt;=1000,INDEX($A$2:$A$1001,1437),IF(1437&lt;=2000,INDEX($B$2:$B$1001,437),IF(1437&lt;=3000,INDEX($C$2:$C$1001,-563),IF(1437&lt;=4000,INDEX($D$2:$D$1001,-1563),IF(1437&lt;=5000,INDEX($E$2:$E$1001,-2563),"")))))</f>
        <v/>
      </c>
    </row>
    <row r="1439">
      <c r="G1439">
        <f>IF(1438&lt;=1000,INDEX($A$2:$A$1001,1438),IF(1438&lt;=2000,INDEX($B$2:$B$1001,438),IF(1438&lt;=3000,INDEX($C$2:$C$1001,-562),IF(1438&lt;=4000,INDEX($D$2:$D$1001,-1562),IF(1438&lt;=5000,INDEX($E$2:$E$1001,-2562),"")))))</f>
        <v/>
      </c>
    </row>
    <row r="1440">
      <c r="G1440">
        <f>IF(1439&lt;=1000,INDEX($A$2:$A$1001,1439),IF(1439&lt;=2000,INDEX($B$2:$B$1001,439),IF(1439&lt;=3000,INDEX($C$2:$C$1001,-561),IF(1439&lt;=4000,INDEX($D$2:$D$1001,-1561),IF(1439&lt;=5000,INDEX($E$2:$E$1001,-2561),"")))))</f>
        <v/>
      </c>
    </row>
    <row r="1441">
      <c r="G1441">
        <f>IF(1440&lt;=1000,INDEX($A$2:$A$1001,1440),IF(1440&lt;=2000,INDEX($B$2:$B$1001,440),IF(1440&lt;=3000,INDEX($C$2:$C$1001,-560),IF(1440&lt;=4000,INDEX($D$2:$D$1001,-1560),IF(1440&lt;=5000,INDEX($E$2:$E$1001,-2560),"")))))</f>
        <v/>
      </c>
    </row>
    <row r="1442">
      <c r="G1442">
        <f>IF(1441&lt;=1000,INDEX($A$2:$A$1001,1441),IF(1441&lt;=2000,INDEX($B$2:$B$1001,441),IF(1441&lt;=3000,INDEX($C$2:$C$1001,-559),IF(1441&lt;=4000,INDEX($D$2:$D$1001,-1559),IF(1441&lt;=5000,INDEX($E$2:$E$1001,-2559),"")))))</f>
        <v/>
      </c>
    </row>
    <row r="1443">
      <c r="G1443">
        <f>IF(1442&lt;=1000,INDEX($A$2:$A$1001,1442),IF(1442&lt;=2000,INDEX($B$2:$B$1001,442),IF(1442&lt;=3000,INDEX($C$2:$C$1001,-558),IF(1442&lt;=4000,INDEX($D$2:$D$1001,-1558),IF(1442&lt;=5000,INDEX($E$2:$E$1001,-2558),"")))))</f>
        <v/>
      </c>
    </row>
    <row r="1444">
      <c r="G1444">
        <f>IF(1443&lt;=1000,INDEX($A$2:$A$1001,1443),IF(1443&lt;=2000,INDEX($B$2:$B$1001,443),IF(1443&lt;=3000,INDEX($C$2:$C$1001,-557),IF(1443&lt;=4000,INDEX($D$2:$D$1001,-1557),IF(1443&lt;=5000,INDEX($E$2:$E$1001,-2557),"")))))</f>
        <v/>
      </c>
    </row>
    <row r="1445">
      <c r="G1445">
        <f>IF(1444&lt;=1000,INDEX($A$2:$A$1001,1444),IF(1444&lt;=2000,INDEX($B$2:$B$1001,444),IF(1444&lt;=3000,INDEX($C$2:$C$1001,-556),IF(1444&lt;=4000,INDEX($D$2:$D$1001,-1556),IF(1444&lt;=5000,INDEX($E$2:$E$1001,-2556),"")))))</f>
        <v/>
      </c>
    </row>
    <row r="1446">
      <c r="G1446">
        <f>IF(1445&lt;=1000,INDEX($A$2:$A$1001,1445),IF(1445&lt;=2000,INDEX($B$2:$B$1001,445),IF(1445&lt;=3000,INDEX($C$2:$C$1001,-555),IF(1445&lt;=4000,INDEX($D$2:$D$1001,-1555),IF(1445&lt;=5000,INDEX($E$2:$E$1001,-2555),"")))))</f>
        <v/>
      </c>
    </row>
    <row r="1447">
      <c r="G1447">
        <f>IF(1446&lt;=1000,INDEX($A$2:$A$1001,1446),IF(1446&lt;=2000,INDEX($B$2:$B$1001,446),IF(1446&lt;=3000,INDEX($C$2:$C$1001,-554),IF(1446&lt;=4000,INDEX($D$2:$D$1001,-1554),IF(1446&lt;=5000,INDEX($E$2:$E$1001,-2554),"")))))</f>
        <v/>
      </c>
    </row>
    <row r="1448">
      <c r="G1448">
        <f>IF(1447&lt;=1000,INDEX($A$2:$A$1001,1447),IF(1447&lt;=2000,INDEX($B$2:$B$1001,447),IF(1447&lt;=3000,INDEX($C$2:$C$1001,-553),IF(1447&lt;=4000,INDEX($D$2:$D$1001,-1553),IF(1447&lt;=5000,INDEX($E$2:$E$1001,-2553),"")))))</f>
        <v/>
      </c>
    </row>
    <row r="1449">
      <c r="G1449">
        <f>IF(1448&lt;=1000,INDEX($A$2:$A$1001,1448),IF(1448&lt;=2000,INDEX($B$2:$B$1001,448),IF(1448&lt;=3000,INDEX($C$2:$C$1001,-552),IF(1448&lt;=4000,INDEX($D$2:$D$1001,-1552),IF(1448&lt;=5000,INDEX($E$2:$E$1001,-2552),"")))))</f>
        <v/>
      </c>
    </row>
    <row r="1450">
      <c r="G1450">
        <f>IF(1449&lt;=1000,INDEX($A$2:$A$1001,1449),IF(1449&lt;=2000,INDEX($B$2:$B$1001,449),IF(1449&lt;=3000,INDEX($C$2:$C$1001,-551),IF(1449&lt;=4000,INDEX($D$2:$D$1001,-1551),IF(1449&lt;=5000,INDEX($E$2:$E$1001,-2551),"")))))</f>
        <v/>
      </c>
    </row>
    <row r="1451">
      <c r="G1451">
        <f>IF(1450&lt;=1000,INDEX($A$2:$A$1001,1450),IF(1450&lt;=2000,INDEX($B$2:$B$1001,450),IF(1450&lt;=3000,INDEX($C$2:$C$1001,-550),IF(1450&lt;=4000,INDEX($D$2:$D$1001,-1550),IF(1450&lt;=5000,INDEX($E$2:$E$1001,-2550),"")))))</f>
        <v/>
      </c>
    </row>
    <row r="1452">
      <c r="G1452">
        <f>IF(1451&lt;=1000,INDEX($A$2:$A$1001,1451),IF(1451&lt;=2000,INDEX($B$2:$B$1001,451),IF(1451&lt;=3000,INDEX($C$2:$C$1001,-549),IF(1451&lt;=4000,INDEX($D$2:$D$1001,-1549),IF(1451&lt;=5000,INDEX($E$2:$E$1001,-2549),"")))))</f>
        <v/>
      </c>
    </row>
    <row r="1453">
      <c r="G1453">
        <f>IF(1452&lt;=1000,INDEX($A$2:$A$1001,1452),IF(1452&lt;=2000,INDEX($B$2:$B$1001,452),IF(1452&lt;=3000,INDEX($C$2:$C$1001,-548),IF(1452&lt;=4000,INDEX($D$2:$D$1001,-1548),IF(1452&lt;=5000,INDEX($E$2:$E$1001,-2548),"")))))</f>
        <v/>
      </c>
    </row>
    <row r="1454">
      <c r="G1454">
        <f>IF(1453&lt;=1000,INDEX($A$2:$A$1001,1453),IF(1453&lt;=2000,INDEX($B$2:$B$1001,453),IF(1453&lt;=3000,INDEX($C$2:$C$1001,-547),IF(1453&lt;=4000,INDEX($D$2:$D$1001,-1547),IF(1453&lt;=5000,INDEX($E$2:$E$1001,-2547),"")))))</f>
        <v/>
      </c>
    </row>
    <row r="1455">
      <c r="G1455">
        <f>IF(1454&lt;=1000,INDEX($A$2:$A$1001,1454),IF(1454&lt;=2000,INDEX($B$2:$B$1001,454),IF(1454&lt;=3000,INDEX($C$2:$C$1001,-546),IF(1454&lt;=4000,INDEX($D$2:$D$1001,-1546),IF(1454&lt;=5000,INDEX($E$2:$E$1001,-2546),"")))))</f>
        <v/>
      </c>
    </row>
    <row r="1456">
      <c r="G1456">
        <f>IF(1455&lt;=1000,INDEX($A$2:$A$1001,1455),IF(1455&lt;=2000,INDEX($B$2:$B$1001,455),IF(1455&lt;=3000,INDEX($C$2:$C$1001,-545),IF(1455&lt;=4000,INDEX($D$2:$D$1001,-1545),IF(1455&lt;=5000,INDEX($E$2:$E$1001,-2545),"")))))</f>
        <v/>
      </c>
    </row>
    <row r="1457">
      <c r="G1457">
        <f>IF(1456&lt;=1000,INDEX($A$2:$A$1001,1456),IF(1456&lt;=2000,INDEX($B$2:$B$1001,456),IF(1456&lt;=3000,INDEX($C$2:$C$1001,-544),IF(1456&lt;=4000,INDEX($D$2:$D$1001,-1544),IF(1456&lt;=5000,INDEX($E$2:$E$1001,-2544),"")))))</f>
        <v/>
      </c>
    </row>
    <row r="1458">
      <c r="G1458">
        <f>IF(1457&lt;=1000,INDEX($A$2:$A$1001,1457),IF(1457&lt;=2000,INDEX($B$2:$B$1001,457),IF(1457&lt;=3000,INDEX($C$2:$C$1001,-543),IF(1457&lt;=4000,INDEX($D$2:$D$1001,-1543),IF(1457&lt;=5000,INDEX($E$2:$E$1001,-2543),"")))))</f>
        <v/>
      </c>
    </row>
    <row r="1459">
      <c r="G1459">
        <f>IF(1458&lt;=1000,INDEX($A$2:$A$1001,1458),IF(1458&lt;=2000,INDEX($B$2:$B$1001,458),IF(1458&lt;=3000,INDEX($C$2:$C$1001,-542),IF(1458&lt;=4000,INDEX($D$2:$D$1001,-1542),IF(1458&lt;=5000,INDEX($E$2:$E$1001,-2542),"")))))</f>
        <v/>
      </c>
    </row>
    <row r="1460">
      <c r="G1460">
        <f>IF(1459&lt;=1000,INDEX($A$2:$A$1001,1459),IF(1459&lt;=2000,INDEX($B$2:$B$1001,459),IF(1459&lt;=3000,INDEX($C$2:$C$1001,-541),IF(1459&lt;=4000,INDEX($D$2:$D$1001,-1541),IF(1459&lt;=5000,INDEX($E$2:$E$1001,-2541),"")))))</f>
        <v/>
      </c>
    </row>
    <row r="1461">
      <c r="G1461">
        <f>IF(1460&lt;=1000,INDEX($A$2:$A$1001,1460),IF(1460&lt;=2000,INDEX($B$2:$B$1001,460),IF(1460&lt;=3000,INDEX($C$2:$C$1001,-540),IF(1460&lt;=4000,INDEX($D$2:$D$1001,-1540),IF(1460&lt;=5000,INDEX($E$2:$E$1001,-2540),"")))))</f>
        <v/>
      </c>
    </row>
    <row r="1462">
      <c r="G1462">
        <f>IF(1461&lt;=1000,INDEX($A$2:$A$1001,1461),IF(1461&lt;=2000,INDEX($B$2:$B$1001,461),IF(1461&lt;=3000,INDEX($C$2:$C$1001,-539),IF(1461&lt;=4000,INDEX($D$2:$D$1001,-1539),IF(1461&lt;=5000,INDEX($E$2:$E$1001,-2539),"")))))</f>
        <v/>
      </c>
    </row>
    <row r="1463">
      <c r="G1463">
        <f>IF(1462&lt;=1000,INDEX($A$2:$A$1001,1462),IF(1462&lt;=2000,INDEX($B$2:$B$1001,462),IF(1462&lt;=3000,INDEX($C$2:$C$1001,-538),IF(1462&lt;=4000,INDEX($D$2:$D$1001,-1538),IF(1462&lt;=5000,INDEX($E$2:$E$1001,-2538),"")))))</f>
        <v/>
      </c>
    </row>
    <row r="1464">
      <c r="G1464">
        <f>IF(1463&lt;=1000,INDEX($A$2:$A$1001,1463),IF(1463&lt;=2000,INDEX($B$2:$B$1001,463),IF(1463&lt;=3000,INDEX($C$2:$C$1001,-537),IF(1463&lt;=4000,INDEX($D$2:$D$1001,-1537),IF(1463&lt;=5000,INDEX($E$2:$E$1001,-2537),"")))))</f>
        <v/>
      </c>
    </row>
    <row r="1465">
      <c r="G1465">
        <f>IF(1464&lt;=1000,INDEX($A$2:$A$1001,1464),IF(1464&lt;=2000,INDEX($B$2:$B$1001,464),IF(1464&lt;=3000,INDEX($C$2:$C$1001,-536),IF(1464&lt;=4000,INDEX($D$2:$D$1001,-1536),IF(1464&lt;=5000,INDEX($E$2:$E$1001,-2536),"")))))</f>
        <v/>
      </c>
    </row>
    <row r="1466">
      <c r="G1466">
        <f>IF(1465&lt;=1000,INDEX($A$2:$A$1001,1465),IF(1465&lt;=2000,INDEX($B$2:$B$1001,465),IF(1465&lt;=3000,INDEX($C$2:$C$1001,-535),IF(1465&lt;=4000,INDEX($D$2:$D$1001,-1535),IF(1465&lt;=5000,INDEX($E$2:$E$1001,-2535),"")))))</f>
        <v/>
      </c>
    </row>
    <row r="1467">
      <c r="G1467">
        <f>IF(1466&lt;=1000,INDEX($A$2:$A$1001,1466),IF(1466&lt;=2000,INDEX($B$2:$B$1001,466),IF(1466&lt;=3000,INDEX($C$2:$C$1001,-534),IF(1466&lt;=4000,INDEX($D$2:$D$1001,-1534),IF(1466&lt;=5000,INDEX($E$2:$E$1001,-2534),"")))))</f>
        <v/>
      </c>
    </row>
    <row r="1468">
      <c r="G1468">
        <f>IF(1467&lt;=1000,INDEX($A$2:$A$1001,1467),IF(1467&lt;=2000,INDEX($B$2:$B$1001,467),IF(1467&lt;=3000,INDEX($C$2:$C$1001,-533),IF(1467&lt;=4000,INDEX($D$2:$D$1001,-1533),IF(1467&lt;=5000,INDEX($E$2:$E$1001,-2533),"")))))</f>
        <v/>
      </c>
    </row>
    <row r="1469">
      <c r="G1469">
        <f>IF(1468&lt;=1000,INDEX($A$2:$A$1001,1468),IF(1468&lt;=2000,INDEX($B$2:$B$1001,468),IF(1468&lt;=3000,INDEX($C$2:$C$1001,-532),IF(1468&lt;=4000,INDEX($D$2:$D$1001,-1532),IF(1468&lt;=5000,INDEX($E$2:$E$1001,-2532),"")))))</f>
        <v/>
      </c>
    </row>
    <row r="1470">
      <c r="G1470">
        <f>IF(1469&lt;=1000,INDEX($A$2:$A$1001,1469),IF(1469&lt;=2000,INDEX($B$2:$B$1001,469),IF(1469&lt;=3000,INDEX($C$2:$C$1001,-531),IF(1469&lt;=4000,INDEX($D$2:$D$1001,-1531),IF(1469&lt;=5000,INDEX($E$2:$E$1001,-2531),"")))))</f>
        <v/>
      </c>
    </row>
    <row r="1471">
      <c r="G1471">
        <f>IF(1470&lt;=1000,INDEX($A$2:$A$1001,1470),IF(1470&lt;=2000,INDEX($B$2:$B$1001,470),IF(1470&lt;=3000,INDEX($C$2:$C$1001,-530),IF(1470&lt;=4000,INDEX($D$2:$D$1001,-1530),IF(1470&lt;=5000,INDEX($E$2:$E$1001,-2530),"")))))</f>
        <v/>
      </c>
    </row>
    <row r="1472">
      <c r="G1472">
        <f>IF(1471&lt;=1000,INDEX($A$2:$A$1001,1471),IF(1471&lt;=2000,INDEX($B$2:$B$1001,471),IF(1471&lt;=3000,INDEX($C$2:$C$1001,-529),IF(1471&lt;=4000,INDEX($D$2:$D$1001,-1529),IF(1471&lt;=5000,INDEX($E$2:$E$1001,-2529),"")))))</f>
        <v/>
      </c>
    </row>
    <row r="1473">
      <c r="G1473">
        <f>IF(1472&lt;=1000,INDEX($A$2:$A$1001,1472),IF(1472&lt;=2000,INDEX($B$2:$B$1001,472),IF(1472&lt;=3000,INDEX($C$2:$C$1001,-528),IF(1472&lt;=4000,INDEX($D$2:$D$1001,-1528),IF(1472&lt;=5000,INDEX($E$2:$E$1001,-2528),"")))))</f>
        <v/>
      </c>
    </row>
    <row r="1474">
      <c r="G1474">
        <f>IF(1473&lt;=1000,INDEX($A$2:$A$1001,1473),IF(1473&lt;=2000,INDEX($B$2:$B$1001,473),IF(1473&lt;=3000,INDEX($C$2:$C$1001,-527),IF(1473&lt;=4000,INDEX($D$2:$D$1001,-1527),IF(1473&lt;=5000,INDEX($E$2:$E$1001,-2527),"")))))</f>
        <v/>
      </c>
    </row>
    <row r="1475">
      <c r="G1475">
        <f>IF(1474&lt;=1000,INDEX($A$2:$A$1001,1474),IF(1474&lt;=2000,INDEX($B$2:$B$1001,474),IF(1474&lt;=3000,INDEX($C$2:$C$1001,-526),IF(1474&lt;=4000,INDEX($D$2:$D$1001,-1526),IF(1474&lt;=5000,INDEX($E$2:$E$1001,-2526),"")))))</f>
        <v/>
      </c>
    </row>
    <row r="1476">
      <c r="G1476">
        <f>IF(1475&lt;=1000,INDEX($A$2:$A$1001,1475),IF(1475&lt;=2000,INDEX($B$2:$B$1001,475),IF(1475&lt;=3000,INDEX($C$2:$C$1001,-525),IF(1475&lt;=4000,INDEX($D$2:$D$1001,-1525),IF(1475&lt;=5000,INDEX($E$2:$E$1001,-2525),"")))))</f>
        <v/>
      </c>
    </row>
    <row r="1477">
      <c r="G1477">
        <f>IF(1476&lt;=1000,INDEX($A$2:$A$1001,1476),IF(1476&lt;=2000,INDEX($B$2:$B$1001,476),IF(1476&lt;=3000,INDEX($C$2:$C$1001,-524),IF(1476&lt;=4000,INDEX($D$2:$D$1001,-1524),IF(1476&lt;=5000,INDEX($E$2:$E$1001,-2524),"")))))</f>
        <v/>
      </c>
    </row>
    <row r="1478">
      <c r="G1478">
        <f>IF(1477&lt;=1000,INDEX($A$2:$A$1001,1477),IF(1477&lt;=2000,INDEX($B$2:$B$1001,477),IF(1477&lt;=3000,INDEX($C$2:$C$1001,-523),IF(1477&lt;=4000,INDEX($D$2:$D$1001,-1523),IF(1477&lt;=5000,INDEX($E$2:$E$1001,-2523),"")))))</f>
        <v/>
      </c>
    </row>
    <row r="1479">
      <c r="G1479">
        <f>IF(1478&lt;=1000,INDEX($A$2:$A$1001,1478),IF(1478&lt;=2000,INDEX($B$2:$B$1001,478),IF(1478&lt;=3000,INDEX($C$2:$C$1001,-522),IF(1478&lt;=4000,INDEX($D$2:$D$1001,-1522),IF(1478&lt;=5000,INDEX($E$2:$E$1001,-2522),"")))))</f>
        <v/>
      </c>
    </row>
    <row r="1480">
      <c r="G1480">
        <f>IF(1479&lt;=1000,INDEX($A$2:$A$1001,1479),IF(1479&lt;=2000,INDEX($B$2:$B$1001,479),IF(1479&lt;=3000,INDEX($C$2:$C$1001,-521),IF(1479&lt;=4000,INDEX($D$2:$D$1001,-1521),IF(1479&lt;=5000,INDEX($E$2:$E$1001,-2521),"")))))</f>
        <v/>
      </c>
    </row>
    <row r="1481">
      <c r="G1481">
        <f>IF(1480&lt;=1000,INDEX($A$2:$A$1001,1480),IF(1480&lt;=2000,INDEX($B$2:$B$1001,480),IF(1480&lt;=3000,INDEX($C$2:$C$1001,-520),IF(1480&lt;=4000,INDEX($D$2:$D$1001,-1520),IF(1480&lt;=5000,INDEX($E$2:$E$1001,-2520),"")))))</f>
        <v/>
      </c>
    </row>
    <row r="1482">
      <c r="G1482">
        <f>IF(1481&lt;=1000,INDEX($A$2:$A$1001,1481),IF(1481&lt;=2000,INDEX($B$2:$B$1001,481),IF(1481&lt;=3000,INDEX($C$2:$C$1001,-519),IF(1481&lt;=4000,INDEX($D$2:$D$1001,-1519),IF(1481&lt;=5000,INDEX($E$2:$E$1001,-2519),"")))))</f>
        <v/>
      </c>
    </row>
    <row r="1483">
      <c r="G1483">
        <f>IF(1482&lt;=1000,INDEX($A$2:$A$1001,1482),IF(1482&lt;=2000,INDEX($B$2:$B$1001,482),IF(1482&lt;=3000,INDEX($C$2:$C$1001,-518),IF(1482&lt;=4000,INDEX($D$2:$D$1001,-1518),IF(1482&lt;=5000,INDEX($E$2:$E$1001,-2518),"")))))</f>
        <v/>
      </c>
    </row>
    <row r="1484">
      <c r="G1484">
        <f>IF(1483&lt;=1000,INDEX($A$2:$A$1001,1483),IF(1483&lt;=2000,INDEX($B$2:$B$1001,483),IF(1483&lt;=3000,INDEX($C$2:$C$1001,-517),IF(1483&lt;=4000,INDEX($D$2:$D$1001,-1517),IF(1483&lt;=5000,INDEX($E$2:$E$1001,-2517),"")))))</f>
        <v/>
      </c>
    </row>
    <row r="1485">
      <c r="G1485">
        <f>IF(1484&lt;=1000,INDEX($A$2:$A$1001,1484),IF(1484&lt;=2000,INDEX($B$2:$B$1001,484),IF(1484&lt;=3000,INDEX($C$2:$C$1001,-516),IF(1484&lt;=4000,INDEX($D$2:$D$1001,-1516),IF(1484&lt;=5000,INDEX($E$2:$E$1001,-2516),"")))))</f>
        <v/>
      </c>
    </row>
    <row r="1486">
      <c r="G1486">
        <f>IF(1485&lt;=1000,INDEX($A$2:$A$1001,1485),IF(1485&lt;=2000,INDEX($B$2:$B$1001,485),IF(1485&lt;=3000,INDEX($C$2:$C$1001,-515),IF(1485&lt;=4000,INDEX($D$2:$D$1001,-1515),IF(1485&lt;=5000,INDEX($E$2:$E$1001,-2515),"")))))</f>
        <v/>
      </c>
    </row>
    <row r="1487">
      <c r="G1487">
        <f>IF(1486&lt;=1000,INDEX($A$2:$A$1001,1486),IF(1486&lt;=2000,INDEX($B$2:$B$1001,486),IF(1486&lt;=3000,INDEX($C$2:$C$1001,-514),IF(1486&lt;=4000,INDEX($D$2:$D$1001,-1514),IF(1486&lt;=5000,INDEX($E$2:$E$1001,-2514),"")))))</f>
        <v/>
      </c>
    </row>
    <row r="1488">
      <c r="G1488">
        <f>IF(1487&lt;=1000,INDEX($A$2:$A$1001,1487),IF(1487&lt;=2000,INDEX($B$2:$B$1001,487),IF(1487&lt;=3000,INDEX($C$2:$C$1001,-513),IF(1487&lt;=4000,INDEX($D$2:$D$1001,-1513),IF(1487&lt;=5000,INDEX($E$2:$E$1001,-2513),"")))))</f>
        <v/>
      </c>
    </row>
    <row r="1489">
      <c r="G1489">
        <f>IF(1488&lt;=1000,INDEX($A$2:$A$1001,1488),IF(1488&lt;=2000,INDEX($B$2:$B$1001,488),IF(1488&lt;=3000,INDEX($C$2:$C$1001,-512),IF(1488&lt;=4000,INDEX($D$2:$D$1001,-1512),IF(1488&lt;=5000,INDEX($E$2:$E$1001,-2512),"")))))</f>
        <v/>
      </c>
    </row>
    <row r="1490">
      <c r="G1490">
        <f>IF(1489&lt;=1000,INDEX($A$2:$A$1001,1489),IF(1489&lt;=2000,INDEX($B$2:$B$1001,489),IF(1489&lt;=3000,INDEX($C$2:$C$1001,-511),IF(1489&lt;=4000,INDEX($D$2:$D$1001,-1511),IF(1489&lt;=5000,INDEX($E$2:$E$1001,-2511),"")))))</f>
        <v/>
      </c>
    </row>
    <row r="1491">
      <c r="G1491">
        <f>IF(1490&lt;=1000,INDEX($A$2:$A$1001,1490),IF(1490&lt;=2000,INDEX($B$2:$B$1001,490),IF(1490&lt;=3000,INDEX($C$2:$C$1001,-510),IF(1490&lt;=4000,INDEX($D$2:$D$1001,-1510),IF(1490&lt;=5000,INDEX($E$2:$E$1001,-2510),"")))))</f>
        <v/>
      </c>
    </row>
    <row r="1492">
      <c r="G1492">
        <f>IF(1491&lt;=1000,INDEX($A$2:$A$1001,1491),IF(1491&lt;=2000,INDEX($B$2:$B$1001,491),IF(1491&lt;=3000,INDEX($C$2:$C$1001,-509),IF(1491&lt;=4000,INDEX($D$2:$D$1001,-1509),IF(1491&lt;=5000,INDEX($E$2:$E$1001,-2509),"")))))</f>
        <v/>
      </c>
    </row>
    <row r="1493">
      <c r="G1493">
        <f>IF(1492&lt;=1000,INDEX($A$2:$A$1001,1492),IF(1492&lt;=2000,INDEX($B$2:$B$1001,492),IF(1492&lt;=3000,INDEX($C$2:$C$1001,-508),IF(1492&lt;=4000,INDEX($D$2:$D$1001,-1508),IF(1492&lt;=5000,INDEX($E$2:$E$1001,-2508),"")))))</f>
        <v/>
      </c>
    </row>
    <row r="1494">
      <c r="G1494">
        <f>IF(1493&lt;=1000,INDEX($A$2:$A$1001,1493),IF(1493&lt;=2000,INDEX($B$2:$B$1001,493),IF(1493&lt;=3000,INDEX($C$2:$C$1001,-507),IF(1493&lt;=4000,INDEX($D$2:$D$1001,-1507),IF(1493&lt;=5000,INDEX($E$2:$E$1001,-2507),"")))))</f>
        <v/>
      </c>
    </row>
    <row r="1495">
      <c r="G1495">
        <f>IF(1494&lt;=1000,INDEX($A$2:$A$1001,1494),IF(1494&lt;=2000,INDEX($B$2:$B$1001,494),IF(1494&lt;=3000,INDEX($C$2:$C$1001,-506),IF(1494&lt;=4000,INDEX($D$2:$D$1001,-1506),IF(1494&lt;=5000,INDEX($E$2:$E$1001,-2506),"")))))</f>
        <v/>
      </c>
    </row>
    <row r="1496">
      <c r="G1496">
        <f>IF(1495&lt;=1000,INDEX($A$2:$A$1001,1495),IF(1495&lt;=2000,INDEX($B$2:$B$1001,495),IF(1495&lt;=3000,INDEX($C$2:$C$1001,-505),IF(1495&lt;=4000,INDEX($D$2:$D$1001,-1505),IF(1495&lt;=5000,INDEX($E$2:$E$1001,-2505),"")))))</f>
        <v/>
      </c>
    </row>
    <row r="1497">
      <c r="G1497">
        <f>IF(1496&lt;=1000,INDEX($A$2:$A$1001,1496),IF(1496&lt;=2000,INDEX($B$2:$B$1001,496),IF(1496&lt;=3000,INDEX($C$2:$C$1001,-504),IF(1496&lt;=4000,INDEX($D$2:$D$1001,-1504),IF(1496&lt;=5000,INDEX($E$2:$E$1001,-2504),"")))))</f>
        <v/>
      </c>
    </row>
    <row r="1498">
      <c r="G1498">
        <f>IF(1497&lt;=1000,INDEX($A$2:$A$1001,1497),IF(1497&lt;=2000,INDEX($B$2:$B$1001,497),IF(1497&lt;=3000,INDEX($C$2:$C$1001,-503),IF(1497&lt;=4000,INDEX($D$2:$D$1001,-1503),IF(1497&lt;=5000,INDEX($E$2:$E$1001,-2503),"")))))</f>
        <v/>
      </c>
    </row>
    <row r="1499">
      <c r="G1499">
        <f>IF(1498&lt;=1000,INDEX($A$2:$A$1001,1498),IF(1498&lt;=2000,INDEX($B$2:$B$1001,498),IF(1498&lt;=3000,INDEX($C$2:$C$1001,-502),IF(1498&lt;=4000,INDEX($D$2:$D$1001,-1502),IF(1498&lt;=5000,INDEX($E$2:$E$1001,-2502),"")))))</f>
        <v/>
      </c>
    </row>
    <row r="1500">
      <c r="G1500">
        <f>IF(1499&lt;=1000,INDEX($A$2:$A$1001,1499),IF(1499&lt;=2000,INDEX($B$2:$B$1001,499),IF(1499&lt;=3000,INDEX($C$2:$C$1001,-501),IF(1499&lt;=4000,INDEX($D$2:$D$1001,-1501),IF(1499&lt;=5000,INDEX($E$2:$E$1001,-2501),"")))))</f>
        <v/>
      </c>
    </row>
    <row r="1501">
      <c r="G1501">
        <f>IF(1500&lt;=1000,INDEX($A$2:$A$1001,1500),IF(1500&lt;=2000,INDEX($B$2:$B$1001,500),IF(1500&lt;=3000,INDEX($C$2:$C$1001,-500),IF(1500&lt;=4000,INDEX($D$2:$D$1001,-1500),IF(1500&lt;=5000,INDEX($E$2:$E$1001,-2500),"")))))</f>
        <v/>
      </c>
    </row>
    <row r="1502">
      <c r="G1502">
        <f>IF(1501&lt;=1000,INDEX($A$2:$A$1001,1501),IF(1501&lt;=2000,INDEX($B$2:$B$1001,501),IF(1501&lt;=3000,INDEX($C$2:$C$1001,-499),IF(1501&lt;=4000,INDEX($D$2:$D$1001,-1499),IF(1501&lt;=5000,INDEX($E$2:$E$1001,-2499),"")))))</f>
        <v/>
      </c>
    </row>
    <row r="1503">
      <c r="G1503">
        <f>IF(1502&lt;=1000,INDEX($A$2:$A$1001,1502),IF(1502&lt;=2000,INDEX($B$2:$B$1001,502),IF(1502&lt;=3000,INDEX($C$2:$C$1001,-498),IF(1502&lt;=4000,INDEX($D$2:$D$1001,-1498),IF(1502&lt;=5000,INDEX($E$2:$E$1001,-2498),"")))))</f>
        <v/>
      </c>
    </row>
    <row r="1504">
      <c r="G1504">
        <f>IF(1503&lt;=1000,INDEX($A$2:$A$1001,1503),IF(1503&lt;=2000,INDEX($B$2:$B$1001,503),IF(1503&lt;=3000,INDEX($C$2:$C$1001,-497),IF(1503&lt;=4000,INDEX($D$2:$D$1001,-1497),IF(1503&lt;=5000,INDEX($E$2:$E$1001,-2497),"")))))</f>
        <v/>
      </c>
    </row>
    <row r="1505">
      <c r="G1505">
        <f>IF(1504&lt;=1000,INDEX($A$2:$A$1001,1504),IF(1504&lt;=2000,INDEX($B$2:$B$1001,504),IF(1504&lt;=3000,INDEX($C$2:$C$1001,-496),IF(1504&lt;=4000,INDEX($D$2:$D$1001,-1496),IF(1504&lt;=5000,INDEX($E$2:$E$1001,-2496),"")))))</f>
        <v/>
      </c>
    </row>
    <row r="1506">
      <c r="G1506">
        <f>IF(1505&lt;=1000,INDEX($A$2:$A$1001,1505),IF(1505&lt;=2000,INDEX($B$2:$B$1001,505),IF(1505&lt;=3000,INDEX($C$2:$C$1001,-495),IF(1505&lt;=4000,INDEX($D$2:$D$1001,-1495),IF(1505&lt;=5000,INDEX($E$2:$E$1001,-2495),"")))))</f>
        <v/>
      </c>
    </row>
    <row r="1507">
      <c r="G1507">
        <f>IF(1506&lt;=1000,INDEX($A$2:$A$1001,1506),IF(1506&lt;=2000,INDEX($B$2:$B$1001,506),IF(1506&lt;=3000,INDEX($C$2:$C$1001,-494),IF(1506&lt;=4000,INDEX($D$2:$D$1001,-1494),IF(1506&lt;=5000,INDEX($E$2:$E$1001,-2494),"")))))</f>
        <v/>
      </c>
    </row>
    <row r="1508">
      <c r="G1508">
        <f>IF(1507&lt;=1000,INDEX($A$2:$A$1001,1507),IF(1507&lt;=2000,INDEX($B$2:$B$1001,507),IF(1507&lt;=3000,INDEX($C$2:$C$1001,-493),IF(1507&lt;=4000,INDEX($D$2:$D$1001,-1493),IF(1507&lt;=5000,INDEX($E$2:$E$1001,-2493),"")))))</f>
        <v/>
      </c>
    </row>
    <row r="1509">
      <c r="G1509">
        <f>IF(1508&lt;=1000,INDEX($A$2:$A$1001,1508),IF(1508&lt;=2000,INDEX($B$2:$B$1001,508),IF(1508&lt;=3000,INDEX($C$2:$C$1001,-492),IF(1508&lt;=4000,INDEX($D$2:$D$1001,-1492),IF(1508&lt;=5000,INDEX($E$2:$E$1001,-2492),"")))))</f>
        <v/>
      </c>
    </row>
    <row r="1510">
      <c r="G1510">
        <f>IF(1509&lt;=1000,INDEX($A$2:$A$1001,1509),IF(1509&lt;=2000,INDEX($B$2:$B$1001,509),IF(1509&lt;=3000,INDEX($C$2:$C$1001,-491),IF(1509&lt;=4000,INDEX($D$2:$D$1001,-1491),IF(1509&lt;=5000,INDEX($E$2:$E$1001,-2491),"")))))</f>
        <v/>
      </c>
    </row>
    <row r="1511">
      <c r="G1511">
        <f>IF(1510&lt;=1000,INDEX($A$2:$A$1001,1510),IF(1510&lt;=2000,INDEX($B$2:$B$1001,510),IF(1510&lt;=3000,INDEX($C$2:$C$1001,-490),IF(1510&lt;=4000,INDEX($D$2:$D$1001,-1490),IF(1510&lt;=5000,INDEX($E$2:$E$1001,-2490),"")))))</f>
        <v/>
      </c>
    </row>
    <row r="1512">
      <c r="G1512">
        <f>IF(1511&lt;=1000,INDEX($A$2:$A$1001,1511),IF(1511&lt;=2000,INDEX($B$2:$B$1001,511),IF(1511&lt;=3000,INDEX($C$2:$C$1001,-489),IF(1511&lt;=4000,INDEX($D$2:$D$1001,-1489),IF(1511&lt;=5000,INDEX($E$2:$E$1001,-2489),"")))))</f>
        <v/>
      </c>
    </row>
    <row r="1513">
      <c r="G1513">
        <f>IF(1512&lt;=1000,INDEX($A$2:$A$1001,1512),IF(1512&lt;=2000,INDEX($B$2:$B$1001,512),IF(1512&lt;=3000,INDEX($C$2:$C$1001,-488),IF(1512&lt;=4000,INDEX($D$2:$D$1001,-1488),IF(1512&lt;=5000,INDEX($E$2:$E$1001,-2488),"")))))</f>
        <v/>
      </c>
    </row>
    <row r="1514">
      <c r="G1514">
        <f>IF(1513&lt;=1000,INDEX($A$2:$A$1001,1513),IF(1513&lt;=2000,INDEX($B$2:$B$1001,513),IF(1513&lt;=3000,INDEX($C$2:$C$1001,-487),IF(1513&lt;=4000,INDEX($D$2:$D$1001,-1487),IF(1513&lt;=5000,INDEX($E$2:$E$1001,-2487),"")))))</f>
        <v/>
      </c>
    </row>
    <row r="1515">
      <c r="G1515">
        <f>IF(1514&lt;=1000,INDEX($A$2:$A$1001,1514),IF(1514&lt;=2000,INDEX($B$2:$B$1001,514),IF(1514&lt;=3000,INDEX($C$2:$C$1001,-486),IF(1514&lt;=4000,INDEX($D$2:$D$1001,-1486),IF(1514&lt;=5000,INDEX($E$2:$E$1001,-2486),"")))))</f>
        <v/>
      </c>
    </row>
    <row r="1516">
      <c r="G1516">
        <f>IF(1515&lt;=1000,INDEX($A$2:$A$1001,1515),IF(1515&lt;=2000,INDEX($B$2:$B$1001,515),IF(1515&lt;=3000,INDEX($C$2:$C$1001,-485),IF(1515&lt;=4000,INDEX($D$2:$D$1001,-1485),IF(1515&lt;=5000,INDEX($E$2:$E$1001,-2485),"")))))</f>
        <v/>
      </c>
    </row>
    <row r="1517">
      <c r="G1517">
        <f>IF(1516&lt;=1000,INDEX($A$2:$A$1001,1516),IF(1516&lt;=2000,INDEX($B$2:$B$1001,516),IF(1516&lt;=3000,INDEX($C$2:$C$1001,-484),IF(1516&lt;=4000,INDEX($D$2:$D$1001,-1484),IF(1516&lt;=5000,INDEX($E$2:$E$1001,-2484),"")))))</f>
        <v/>
      </c>
    </row>
    <row r="1518">
      <c r="G1518">
        <f>IF(1517&lt;=1000,INDEX($A$2:$A$1001,1517),IF(1517&lt;=2000,INDEX($B$2:$B$1001,517),IF(1517&lt;=3000,INDEX($C$2:$C$1001,-483),IF(1517&lt;=4000,INDEX($D$2:$D$1001,-1483),IF(1517&lt;=5000,INDEX($E$2:$E$1001,-2483),"")))))</f>
        <v/>
      </c>
    </row>
    <row r="1519">
      <c r="G1519">
        <f>IF(1518&lt;=1000,INDEX($A$2:$A$1001,1518),IF(1518&lt;=2000,INDEX($B$2:$B$1001,518),IF(1518&lt;=3000,INDEX($C$2:$C$1001,-482),IF(1518&lt;=4000,INDEX($D$2:$D$1001,-1482),IF(1518&lt;=5000,INDEX($E$2:$E$1001,-2482),"")))))</f>
        <v/>
      </c>
    </row>
    <row r="1520">
      <c r="G1520">
        <f>IF(1519&lt;=1000,INDEX($A$2:$A$1001,1519),IF(1519&lt;=2000,INDEX($B$2:$B$1001,519),IF(1519&lt;=3000,INDEX($C$2:$C$1001,-481),IF(1519&lt;=4000,INDEX($D$2:$D$1001,-1481),IF(1519&lt;=5000,INDEX($E$2:$E$1001,-2481),"")))))</f>
        <v/>
      </c>
    </row>
    <row r="1521">
      <c r="G1521">
        <f>IF(1520&lt;=1000,INDEX($A$2:$A$1001,1520),IF(1520&lt;=2000,INDEX($B$2:$B$1001,520),IF(1520&lt;=3000,INDEX($C$2:$C$1001,-480),IF(1520&lt;=4000,INDEX($D$2:$D$1001,-1480),IF(1520&lt;=5000,INDEX($E$2:$E$1001,-2480),"")))))</f>
        <v/>
      </c>
    </row>
    <row r="1522">
      <c r="G1522">
        <f>IF(1521&lt;=1000,INDEX($A$2:$A$1001,1521),IF(1521&lt;=2000,INDEX($B$2:$B$1001,521),IF(1521&lt;=3000,INDEX($C$2:$C$1001,-479),IF(1521&lt;=4000,INDEX($D$2:$D$1001,-1479),IF(1521&lt;=5000,INDEX($E$2:$E$1001,-2479),"")))))</f>
        <v/>
      </c>
    </row>
    <row r="1523">
      <c r="G1523">
        <f>IF(1522&lt;=1000,INDEX($A$2:$A$1001,1522),IF(1522&lt;=2000,INDEX($B$2:$B$1001,522),IF(1522&lt;=3000,INDEX($C$2:$C$1001,-478),IF(1522&lt;=4000,INDEX($D$2:$D$1001,-1478),IF(1522&lt;=5000,INDEX($E$2:$E$1001,-2478),"")))))</f>
        <v/>
      </c>
    </row>
    <row r="1524">
      <c r="G1524">
        <f>IF(1523&lt;=1000,INDEX($A$2:$A$1001,1523),IF(1523&lt;=2000,INDEX($B$2:$B$1001,523),IF(1523&lt;=3000,INDEX($C$2:$C$1001,-477),IF(1523&lt;=4000,INDEX($D$2:$D$1001,-1477),IF(1523&lt;=5000,INDEX($E$2:$E$1001,-2477),"")))))</f>
        <v/>
      </c>
    </row>
    <row r="1525">
      <c r="G1525">
        <f>IF(1524&lt;=1000,INDEX($A$2:$A$1001,1524),IF(1524&lt;=2000,INDEX($B$2:$B$1001,524),IF(1524&lt;=3000,INDEX($C$2:$C$1001,-476),IF(1524&lt;=4000,INDEX($D$2:$D$1001,-1476),IF(1524&lt;=5000,INDEX($E$2:$E$1001,-2476),"")))))</f>
        <v/>
      </c>
    </row>
    <row r="1526">
      <c r="G1526">
        <f>IF(1525&lt;=1000,INDEX($A$2:$A$1001,1525),IF(1525&lt;=2000,INDEX($B$2:$B$1001,525),IF(1525&lt;=3000,INDEX($C$2:$C$1001,-475),IF(1525&lt;=4000,INDEX($D$2:$D$1001,-1475),IF(1525&lt;=5000,INDEX($E$2:$E$1001,-2475),"")))))</f>
        <v/>
      </c>
    </row>
    <row r="1527">
      <c r="G1527">
        <f>IF(1526&lt;=1000,INDEX($A$2:$A$1001,1526),IF(1526&lt;=2000,INDEX($B$2:$B$1001,526),IF(1526&lt;=3000,INDEX($C$2:$C$1001,-474),IF(1526&lt;=4000,INDEX($D$2:$D$1001,-1474),IF(1526&lt;=5000,INDEX($E$2:$E$1001,-2474),"")))))</f>
        <v/>
      </c>
    </row>
    <row r="1528">
      <c r="G1528">
        <f>IF(1527&lt;=1000,INDEX($A$2:$A$1001,1527),IF(1527&lt;=2000,INDEX($B$2:$B$1001,527),IF(1527&lt;=3000,INDEX($C$2:$C$1001,-473),IF(1527&lt;=4000,INDEX($D$2:$D$1001,-1473),IF(1527&lt;=5000,INDEX($E$2:$E$1001,-2473),"")))))</f>
        <v/>
      </c>
    </row>
    <row r="1529">
      <c r="G1529">
        <f>IF(1528&lt;=1000,INDEX($A$2:$A$1001,1528),IF(1528&lt;=2000,INDEX($B$2:$B$1001,528),IF(1528&lt;=3000,INDEX($C$2:$C$1001,-472),IF(1528&lt;=4000,INDEX($D$2:$D$1001,-1472),IF(1528&lt;=5000,INDEX($E$2:$E$1001,-2472),"")))))</f>
        <v/>
      </c>
    </row>
    <row r="1530">
      <c r="G1530">
        <f>IF(1529&lt;=1000,INDEX($A$2:$A$1001,1529),IF(1529&lt;=2000,INDEX($B$2:$B$1001,529),IF(1529&lt;=3000,INDEX($C$2:$C$1001,-471),IF(1529&lt;=4000,INDEX($D$2:$D$1001,-1471),IF(1529&lt;=5000,INDEX($E$2:$E$1001,-2471),"")))))</f>
        <v/>
      </c>
    </row>
    <row r="1531">
      <c r="G1531">
        <f>IF(1530&lt;=1000,INDEX($A$2:$A$1001,1530),IF(1530&lt;=2000,INDEX($B$2:$B$1001,530),IF(1530&lt;=3000,INDEX($C$2:$C$1001,-470),IF(1530&lt;=4000,INDEX($D$2:$D$1001,-1470),IF(1530&lt;=5000,INDEX($E$2:$E$1001,-2470),"")))))</f>
        <v/>
      </c>
    </row>
    <row r="1532">
      <c r="G1532">
        <f>IF(1531&lt;=1000,INDEX($A$2:$A$1001,1531),IF(1531&lt;=2000,INDEX($B$2:$B$1001,531),IF(1531&lt;=3000,INDEX($C$2:$C$1001,-469),IF(1531&lt;=4000,INDEX($D$2:$D$1001,-1469),IF(1531&lt;=5000,INDEX($E$2:$E$1001,-2469),"")))))</f>
        <v/>
      </c>
    </row>
    <row r="1533">
      <c r="G1533">
        <f>IF(1532&lt;=1000,INDEX($A$2:$A$1001,1532),IF(1532&lt;=2000,INDEX($B$2:$B$1001,532),IF(1532&lt;=3000,INDEX($C$2:$C$1001,-468),IF(1532&lt;=4000,INDEX($D$2:$D$1001,-1468),IF(1532&lt;=5000,INDEX($E$2:$E$1001,-2468),"")))))</f>
        <v/>
      </c>
    </row>
    <row r="1534">
      <c r="G1534">
        <f>IF(1533&lt;=1000,INDEX($A$2:$A$1001,1533),IF(1533&lt;=2000,INDEX($B$2:$B$1001,533),IF(1533&lt;=3000,INDEX($C$2:$C$1001,-467),IF(1533&lt;=4000,INDEX($D$2:$D$1001,-1467),IF(1533&lt;=5000,INDEX($E$2:$E$1001,-2467),"")))))</f>
        <v/>
      </c>
    </row>
    <row r="1535">
      <c r="G1535">
        <f>IF(1534&lt;=1000,INDEX($A$2:$A$1001,1534),IF(1534&lt;=2000,INDEX($B$2:$B$1001,534),IF(1534&lt;=3000,INDEX($C$2:$C$1001,-466),IF(1534&lt;=4000,INDEX($D$2:$D$1001,-1466),IF(1534&lt;=5000,INDEX($E$2:$E$1001,-2466),"")))))</f>
        <v/>
      </c>
    </row>
    <row r="1536">
      <c r="G1536">
        <f>IF(1535&lt;=1000,INDEX($A$2:$A$1001,1535),IF(1535&lt;=2000,INDEX($B$2:$B$1001,535),IF(1535&lt;=3000,INDEX($C$2:$C$1001,-465),IF(1535&lt;=4000,INDEX($D$2:$D$1001,-1465),IF(1535&lt;=5000,INDEX($E$2:$E$1001,-2465),"")))))</f>
        <v/>
      </c>
    </row>
    <row r="1537">
      <c r="G1537">
        <f>IF(1536&lt;=1000,INDEX($A$2:$A$1001,1536),IF(1536&lt;=2000,INDEX($B$2:$B$1001,536),IF(1536&lt;=3000,INDEX($C$2:$C$1001,-464),IF(1536&lt;=4000,INDEX($D$2:$D$1001,-1464),IF(1536&lt;=5000,INDEX($E$2:$E$1001,-2464),"")))))</f>
        <v/>
      </c>
    </row>
    <row r="1538">
      <c r="G1538">
        <f>IF(1537&lt;=1000,INDEX($A$2:$A$1001,1537),IF(1537&lt;=2000,INDEX($B$2:$B$1001,537),IF(1537&lt;=3000,INDEX($C$2:$C$1001,-463),IF(1537&lt;=4000,INDEX($D$2:$D$1001,-1463),IF(1537&lt;=5000,INDEX($E$2:$E$1001,-2463),"")))))</f>
        <v/>
      </c>
    </row>
    <row r="1539">
      <c r="G1539">
        <f>IF(1538&lt;=1000,INDEX($A$2:$A$1001,1538),IF(1538&lt;=2000,INDEX($B$2:$B$1001,538),IF(1538&lt;=3000,INDEX($C$2:$C$1001,-462),IF(1538&lt;=4000,INDEX($D$2:$D$1001,-1462),IF(1538&lt;=5000,INDEX($E$2:$E$1001,-2462),"")))))</f>
        <v/>
      </c>
    </row>
    <row r="1540">
      <c r="G1540">
        <f>IF(1539&lt;=1000,INDEX($A$2:$A$1001,1539),IF(1539&lt;=2000,INDEX($B$2:$B$1001,539),IF(1539&lt;=3000,INDEX($C$2:$C$1001,-461),IF(1539&lt;=4000,INDEX($D$2:$D$1001,-1461),IF(1539&lt;=5000,INDEX($E$2:$E$1001,-2461),"")))))</f>
        <v/>
      </c>
    </row>
    <row r="1541">
      <c r="G1541">
        <f>IF(1540&lt;=1000,INDEX($A$2:$A$1001,1540),IF(1540&lt;=2000,INDEX($B$2:$B$1001,540),IF(1540&lt;=3000,INDEX($C$2:$C$1001,-460),IF(1540&lt;=4000,INDEX($D$2:$D$1001,-1460),IF(1540&lt;=5000,INDEX($E$2:$E$1001,-2460),"")))))</f>
        <v/>
      </c>
    </row>
    <row r="1542">
      <c r="G1542">
        <f>IF(1541&lt;=1000,INDEX($A$2:$A$1001,1541),IF(1541&lt;=2000,INDEX($B$2:$B$1001,541),IF(1541&lt;=3000,INDEX($C$2:$C$1001,-459),IF(1541&lt;=4000,INDEX($D$2:$D$1001,-1459),IF(1541&lt;=5000,INDEX($E$2:$E$1001,-2459),"")))))</f>
        <v/>
      </c>
    </row>
    <row r="1543">
      <c r="G1543">
        <f>IF(1542&lt;=1000,INDEX($A$2:$A$1001,1542),IF(1542&lt;=2000,INDEX($B$2:$B$1001,542),IF(1542&lt;=3000,INDEX($C$2:$C$1001,-458),IF(1542&lt;=4000,INDEX($D$2:$D$1001,-1458),IF(1542&lt;=5000,INDEX($E$2:$E$1001,-2458),"")))))</f>
        <v/>
      </c>
    </row>
    <row r="1544">
      <c r="G1544">
        <f>IF(1543&lt;=1000,INDEX($A$2:$A$1001,1543),IF(1543&lt;=2000,INDEX($B$2:$B$1001,543),IF(1543&lt;=3000,INDEX($C$2:$C$1001,-457),IF(1543&lt;=4000,INDEX($D$2:$D$1001,-1457),IF(1543&lt;=5000,INDEX($E$2:$E$1001,-2457),"")))))</f>
        <v/>
      </c>
    </row>
    <row r="1545">
      <c r="G1545">
        <f>IF(1544&lt;=1000,INDEX($A$2:$A$1001,1544),IF(1544&lt;=2000,INDEX($B$2:$B$1001,544),IF(1544&lt;=3000,INDEX($C$2:$C$1001,-456),IF(1544&lt;=4000,INDEX($D$2:$D$1001,-1456),IF(1544&lt;=5000,INDEX($E$2:$E$1001,-2456),"")))))</f>
        <v/>
      </c>
    </row>
    <row r="1546">
      <c r="G1546">
        <f>IF(1545&lt;=1000,INDEX($A$2:$A$1001,1545),IF(1545&lt;=2000,INDEX($B$2:$B$1001,545),IF(1545&lt;=3000,INDEX($C$2:$C$1001,-455),IF(1545&lt;=4000,INDEX($D$2:$D$1001,-1455),IF(1545&lt;=5000,INDEX($E$2:$E$1001,-2455),"")))))</f>
        <v/>
      </c>
    </row>
    <row r="1547">
      <c r="G1547">
        <f>IF(1546&lt;=1000,INDEX($A$2:$A$1001,1546),IF(1546&lt;=2000,INDEX($B$2:$B$1001,546),IF(1546&lt;=3000,INDEX($C$2:$C$1001,-454),IF(1546&lt;=4000,INDEX($D$2:$D$1001,-1454),IF(1546&lt;=5000,INDEX($E$2:$E$1001,-2454),"")))))</f>
        <v/>
      </c>
    </row>
    <row r="1548">
      <c r="G1548">
        <f>IF(1547&lt;=1000,INDEX($A$2:$A$1001,1547),IF(1547&lt;=2000,INDEX($B$2:$B$1001,547),IF(1547&lt;=3000,INDEX($C$2:$C$1001,-453),IF(1547&lt;=4000,INDEX($D$2:$D$1001,-1453),IF(1547&lt;=5000,INDEX($E$2:$E$1001,-2453),"")))))</f>
        <v/>
      </c>
    </row>
    <row r="1549">
      <c r="G1549">
        <f>IF(1548&lt;=1000,INDEX($A$2:$A$1001,1548),IF(1548&lt;=2000,INDEX($B$2:$B$1001,548),IF(1548&lt;=3000,INDEX($C$2:$C$1001,-452),IF(1548&lt;=4000,INDEX($D$2:$D$1001,-1452),IF(1548&lt;=5000,INDEX($E$2:$E$1001,-2452),"")))))</f>
        <v/>
      </c>
    </row>
    <row r="1550">
      <c r="G1550">
        <f>IF(1549&lt;=1000,INDEX($A$2:$A$1001,1549),IF(1549&lt;=2000,INDEX($B$2:$B$1001,549),IF(1549&lt;=3000,INDEX($C$2:$C$1001,-451),IF(1549&lt;=4000,INDEX($D$2:$D$1001,-1451),IF(1549&lt;=5000,INDEX($E$2:$E$1001,-2451),"")))))</f>
        <v/>
      </c>
    </row>
    <row r="1551">
      <c r="G1551">
        <f>IF(1550&lt;=1000,INDEX($A$2:$A$1001,1550),IF(1550&lt;=2000,INDEX($B$2:$B$1001,550),IF(1550&lt;=3000,INDEX($C$2:$C$1001,-450),IF(1550&lt;=4000,INDEX($D$2:$D$1001,-1450),IF(1550&lt;=5000,INDEX($E$2:$E$1001,-2450),"")))))</f>
        <v/>
      </c>
    </row>
    <row r="1552">
      <c r="G1552">
        <f>IF(1551&lt;=1000,INDEX($A$2:$A$1001,1551),IF(1551&lt;=2000,INDEX($B$2:$B$1001,551),IF(1551&lt;=3000,INDEX($C$2:$C$1001,-449),IF(1551&lt;=4000,INDEX($D$2:$D$1001,-1449),IF(1551&lt;=5000,INDEX($E$2:$E$1001,-2449),"")))))</f>
        <v/>
      </c>
    </row>
    <row r="1553">
      <c r="G1553">
        <f>IF(1552&lt;=1000,INDEX($A$2:$A$1001,1552),IF(1552&lt;=2000,INDEX($B$2:$B$1001,552),IF(1552&lt;=3000,INDEX($C$2:$C$1001,-448),IF(1552&lt;=4000,INDEX($D$2:$D$1001,-1448),IF(1552&lt;=5000,INDEX($E$2:$E$1001,-2448),"")))))</f>
        <v/>
      </c>
    </row>
    <row r="1554">
      <c r="G1554">
        <f>IF(1553&lt;=1000,INDEX($A$2:$A$1001,1553),IF(1553&lt;=2000,INDEX($B$2:$B$1001,553),IF(1553&lt;=3000,INDEX($C$2:$C$1001,-447),IF(1553&lt;=4000,INDEX($D$2:$D$1001,-1447),IF(1553&lt;=5000,INDEX($E$2:$E$1001,-2447),"")))))</f>
        <v/>
      </c>
    </row>
    <row r="1555">
      <c r="G1555">
        <f>IF(1554&lt;=1000,INDEX($A$2:$A$1001,1554),IF(1554&lt;=2000,INDEX($B$2:$B$1001,554),IF(1554&lt;=3000,INDEX($C$2:$C$1001,-446),IF(1554&lt;=4000,INDEX($D$2:$D$1001,-1446),IF(1554&lt;=5000,INDEX($E$2:$E$1001,-2446),"")))))</f>
        <v/>
      </c>
    </row>
    <row r="1556">
      <c r="G1556">
        <f>IF(1555&lt;=1000,INDEX($A$2:$A$1001,1555),IF(1555&lt;=2000,INDEX($B$2:$B$1001,555),IF(1555&lt;=3000,INDEX($C$2:$C$1001,-445),IF(1555&lt;=4000,INDEX($D$2:$D$1001,-1445),IF(1555&lt;=5000,INDEX($E$2:$E$1001,-2445),"")))))</f>
        <v/>
      </c>
    </row>
    <row r="1557">
      <c r="G1557">
        <f>IF(1556&lt;=1000,INDEX($A$2:$A$1001,1556),IF(1556&lt;=2000,INDEX($B$2:$B$1001,556),IF(1556&lt;=3000,INDEX($C$2:$C$1001,-444),IF(1556&lt;=4000,INDEX($D$2:$D$1001,-1444),IF(1556&lt;=5000,INDEX($E$2:$E$1001,-2444),"")))))</f>
        <v/>
      </c>
    </row>
    <row r="1558">
      <c r="G1558">
        <f>IF(1557&lt;=1000,INDEX($A$2:$A$1001,1557),IF(1557&lt;=2000,INDEX($B$2:$B$1001,557),IF(1557&lt;=3000,INDEX($C$2:$C$1001,-443),IF(1557&lt;=4000,INDEX($D$2:$D$1001,-1443),IF(1557&lt;=5000,INDEX($E$2:$E$1001,-2443),"")))))</f>
        <v/>
      </c>
    </row>
    <row r="1559">
      <c r="G1559">
        <f>IF(1558&lt;=1000,INDEX($A$2:$A$1001,1558),IF(1558&lt;=2000,INDEX($B$2:$B$1001,558),IF(1558&lt;=3000,INDEX($C$2:$C$1001,-442),IF(1558&lt;=4000,INDEX($D$2:$D$1001,-1442),IF(1558&lt;=5000,INDEX($E$2:$E$1001,-2442),"")))))</f>
        <v/>
      </c>
    </row>
    <row r="1560">
      <c r="G1560">
        <f>IF(1559&lt;=1000,INDEX($A$2:$A$1001,1559),IF(1559&lt;=2000,INDEX($B$2:$B$1001,559),IF(1559&lt;=3000,INDEX($C$2:$C$1001,-441),IF(1559&lt;=4000,INDEX($D$2:$D$1001,-1441),IF(1559&lt;=5000,INDEX($E$2:$E$1001,-2441),"")))))</f>
        <v/>
      </c>
    </row>
    <row r="1561">
      <c r="G1561">
        <f>IF(1560&lt;=1000,INDEX($A$2:$A$1001,1560),IF(1560&lt;=2000,INDEX($B$2:$B$1001,560),IF(1560&lt;=3000,INDEX($C$2:$C$1001,-440),IF(1560&lt;=4000,INDEX($D$2:$D$1001,-1440),IF(1560&lt;=5000,INDEX($E$2:$E$1001,-2440),"")))))</f>
        <v/>
      </c>
    </row>
    <row r="1562">
      <c r="G1562">
        <f>IF(1561&lt;=1000,INDEX($A$2:$A$1001,1561),IF(1561&lt;=2000,INDEX($B$2:$B$1001,561),IF(1561&lt;=3000,INDEX($C$2:$C$1001,-439),IF(1561&lt;=4000,INDEX($D$2:$D$1001,-1439),IF(1561&lt;=5000,INDEX($E$2:$E$1001,-2439),"")))))</f>
        <v/>
      </c>
    </row>
    <row r="1563">
      <c r="G1563">
        <f>IF(1562&lt;=1000,INDEX($A$2:$A$1001,1562),IF(1562&lt;=2000,INDEX($B$2:$B$1001,562),IF(1562&lt;=3000,INDEX($C$2:$C$1001,-438),IF(1562&lt;=4000,INDEX($D$2:$D$1001,-1438),IF(1562&lt;=5000,INDEX($E$2:$E$1001,-2438),"")))))</f>
        <v/>
      </c>
    </row>
    <row r="1564">
      <c r="G1564">
        <f>IF(1563&lt;=1000,INDEX($A$2:$A$1001,1563),IF(1563&lt;=2000,INDEX($B$2:$B$1001,563),IF(1563&lt;=3000,INDEX($C$2:$C$1001,-437),IF(1563&lt;=4000,INDEX($D$2:$D$1001,-1437),IF(1563&lt;=5000,INDEX($E$2:$E$1001,-2437),"")))))</f>
        <v/>
      </c>
    </row>
    <row r="1565">
      <c r="G1565">
        <f>IF(1564&lt;=1000,INDEX($A$2:$A$1001,1564),IF(1564&lt;=2000,INDEX($B$2:$B$1001,564),IF(1564&lt;=3000,INDEX($C$2:$C$1001,-436),IF(1564&lt;=4000,INDEX($D$2:$D$1001,-1436),IF(1564&lt;=5000,INDEX($E$2:$E$1001,-2436),"")))))</f>
        <v/>
      </c>
    </row>
    <row r="1566">
      <c r="G1566">
        <f>IF(1565&lt;=1000,INDEX($A$2:$A$1001,1565),IF(1565&lt;=2000,INDEX($B$2:$B$1001,565),IF(1565&lt;=3000,INDEX($C$2:$C$1001,-435),IF(1565&lt;=4000,INDEX($D$2:$D$1001,-1435),IF(1565&lt;=5000,INDEX($E$2:$E$1001,-2435),"")))))</f>
        <v/>
      </c>
    </row>
    <row r="1567">
      <c r="G1567">
        <f>IF(1566&lt;=1000,INDEX($A$2:$A$1001,1566),IF(1566&lt;=2000,INDEX($B$2:$B$1001,566),IF(1566&lt;=3000,INDEX($C$2:$C$1001,-434),IF(1566&lt;=4000,INDEX($D$2:$D$1001,-1434),IF(1566&lt;=5000,INDEX($E$2:$E$1001,-2434),"")))))</f>
        <v/>
      </c>
    </row>
    <row r="1568">
      <c r="G1568">
        <f>IF(1567&lt;=1000,INDEX($A$2:$A$1001,1567),IF(1567&lt;=2000,INDEX($B$2:$B$1001,567),IF(1567&lt;=3000,INDEX($C$2:$C$1001,-433),IF(1567&lt;=4000,INDEX($D$2:$D$1001,-1433),IF(1567&lt;=5000,INDEX($E$2:$E$1001,-2433),"")))))</f>
        <v/>
      </c>
    </row>
    <row r="1569">
      <c r="G1569">
        <f>IF(1568&lt;=1000,INDEX($A$2:$A$1001,1568),IF(1568&lt;=2000,INDEX($B$2:$B$1001,568),IF(1568&lt;=3000,INDEX($C$2:$C$1001,-432),IF(1568&lt;=4000,INDEX($D$2:$D$1001,-1432),IF(1568&lt;=5000,INDEX($E$2:$E$1001,-2432),"")))))</f>
        <v/>
      </c>
    </row>
    <row r="1570">
      <c r="G1570">
        <f>IF(1569&lt;=1000,INDEX($A$2:$A$1001,1569),IF(1569&lt;=2000,INDEX($B$2:$B$1001,569),IF(1569&lt;=3000,INDEX($C$2:$C$1001,-431),IF(1569&lt;=4000,INDEX($D$2:$D$1001,-1431),IF(1569&lt;=5000,INDEX($E$2:$E$1001,-2431),"")))))</f>
        <v/>
      </c>
    </row>
    <row r="1571">
      <c r="G1571">
        <f>IF(1570&lt;=1000,INDEX($A$2:$A$1001,1570),IF(1570&lt;=2000,INDEX($B$2:$B$1001,570),IF(1570&lt;=3000,INDEX($C$2:$C$1001,-430),IF(1570&lt;=4000,INDEX($D$2:$D$1001,-1430),IF(1570&lt;=5000,INDEX($E$2:$E$1001,-2430),"")))))</f>
        <v/>
      </c>
    </row>
    <row r="1572">
      <c r="G1572">
        <f>IF(1571&lt;=1000,INDEX($A$2:$A$1001,1571),IF(1571&lt;=2000,INDEX($B$2:$B$1001,571),IF(1571&lt;=3000,INDEX($C$2:$C$1001,-429),IF(1571&lt;=4000,INDEX($D$2:$D$1001,-1429),IF(1571&lt;=5000,INDEX($E$2:$E$1001,-2429),"")))))</f>
        <v/>
      </c>
    </row>
    <row r="1573">
      <c r="G1573">
        <f>IF(1572&lt;=1000,INDEX($A$2:$A$1001,1572),IF(1572&lt;=2000,INDEX($B$2:$B$1001,572),IF(1572&lt;=3000,INDEX($C$2:$C$1001,-428),IF(1572&lt;=4000,INDEX($D$2:$D$1001,-1428),IF(1572&lt;=5000,INDEX($E$2:$E$1001,-2428),"")))))</f>
        <v/>
      </c>
    </row>
    <row r="1574">
      <c r="G1574">
        <f>IF(1573&lt;=1000,INDEX($A$2:$A$1001,1573),IF(1573&lt;=2000,INDEX($B$2:$B$1001,573),IF(1573&lt;=3000,INDEX($C$2:$C$1001,-427),IF(1573&lt;=4000,INDEX($D$2:$D$1001,-1427),IF(1573&lt;=5000,INDEX($E$2:$E$1001,-2427),"")))))</f>
        <v/>
      </c>
    </row>
    <row r="1575">
      <c r="G1575">
        <f>IF(1574&lt;=1000,INDEX($A$2:$A$1001,1574),IF(1574&lt;=2000,INDEX($B$2:$B$1001,574),IF(1574&lt;=3000,INDEX($C$2:$C$1001,-426),IF(1574&lt;=4000,INDEX($D$2:$D$1001,-1426),IF(1574&lt;=5000,INDEX($E$2:$E$1001,-2426),"")))))</f>
        <v/>
      </c>
    </row>
    <row r="1576">
      <c r="G1576">
        <f>IF(1575&lt;=1000,INDEX($A$2:$A$1001,1575),IF(1575&lt;=2000,INDEX($B$2:$B$1001,575),IF(1575&lt;=3000,INDEX($C$2:$C$1001,-425),IF(1575&lt;=4000,INDEX($D$2:$D$1001,-1425),IF(1575&lt;=5000,INDEX($E$2:$E$1001,-2425),"")))))</f>
        <v/>
      </c>
    </row>
    <row r="1577">
      <c r="G1577">
        <f>IF(1576&lt;=1000,INDEX($A$2:$A$1001,1576),IF(1576&lt;=2000,INDEX($B$2:$B$1001,576),IF(1576&lt;=3000,INDEX($C$2:$C$1001,-424),IF(1576&lt;=4000,INDEX($D$2:$D$1001,-1424),IF(1576&lt;=5000,INDEX($E$2:$E$1001,-2424),"")))))</f>
        <v/>
      </c>
    </row>
    <row r="1578">
      <c r="G1578">
        <f>IF(1577&lt;=1000,INDEX($A$2:$A$1001,1577),IF(1577&lt;=2000,INDEX($B$2:$B$1001,577),IF(1577&lt;=3000,INDEX($C$2:$C$1001,-423),IF(1577&lt;=4000,INDEX($D$2:$D$1001,-1423),IF(1577&lt;=5000,INDEX($E$2:$E$1001,-2423),"")))))</f>
        <v/>
      </c>
    </row>
    <row r="1579">
      <c r="G1579">
        <f>IF(1578&lt;=1000,INDEX($A$2:$A$1001,1578),IF(1578&lt;=2000,INDEX($B$2:$B$1001,578),IF(1578&lt;=3000,INDEX($C$2:$C$1001,-422),IF(1578&lt;=4000,INDEX($D$2:$D$1001,-1422),IF(1578&lt;=5000,INDEX($E$2:$E$1001,-2422),"")))))</f>
        <v/>
      </c>
    </row>
    <row r="1580">
      <c r="G1580">
        <f>IF(1579&lt;=1000,INDEX($A$2:$A$1001,1579),IF(1579&lt;=2000,INDEX($B$2:$B$1001,579),IF(1579&lt;=3000,INDEX($C$2:$C$1001,-421),IF(1579&lt;=4000,INDEX($D$2:$D$1001,-1421),IF(1579&lt;=5000,INDEX($E$2:$E$1001,-2421),"")))))</f>
        <v/>
      </c>
    </row>
    <row r="1581">
      <c r="G1581">
        <f>IF(1580&lt;=1000,INDEX($A$2:$A$1001,1580),IF(1580&lt;=2000,INDEX($B$2:$B$1001,580),IF(1580&lt;=3000,INDEX($C$2:$C$1001,-420),IF(1580&lt;=4000,INDEX($D$2:$D$1001,-1420),IF(1580&lt;=5000,INDEX($E$2:$E$1001,-2420),"")))))</f>
        <v/>
      </c>
    </row>
    <row r="1582">
      <c r="G1582">
        <f>IF(1581&lt;=1000,INDEX($A$2:$A$1001,1581),IF(1581&lt;=2000,INDEX($B$2:$B$1001,581),IF(1581&lt;=3000,INDEX($C$2:$C$1001,-419),IF(1581&lt;=4000,INDEX($D$2:$D$1001,-1419),IF(1581&lt;=5000,INDEX($E$2:$E$1001,-2419),"")))))</f>
        <v/>
      </c>
    </row>
    <row r="1583">
      <c r="G1583">
        <f>IF(1582&lt;=1000,INDEX($A$2:$A$1001,1582),IF(1582&lt;=2000,INDEX($B$2:$B$1001,582),IF(1582&lt;=3000,INDEX($C$2:$C$1001,-418),IF(1582&lt;=4000,INDEX($D$2:$D$1001,-1418),IF(1582&lt;=5000,INDEX($E$2:$E$1001,-2418),"")))))</f>
        <v/>
      </c>
    </row>
    <row r="1584">
      <c r="G1584">
        <f>IF(1583&lt;=1000,INDEX($A$2:$A$1001,1583),IF(1583&lt;=2000,INDEX($B$2:$B$1001,583),IF(1583&lt;=3000,INDEX($C$2:$C$1001,-417),IF(1583&lt;=4000,INDEX($D$2:$D$1001,-1417),IF(1583&lt;=5000,INDEX($E$2:$E$1001,-2417),"")))))</f>
        <v/>
      </c>
    </row>
    <row r="1585">
      <c r="G1585">
        <f>IF(1584&lt;=1000,INDEX($A$2:$A$1001,1584),IF(1584&lt;=2000,INDEX($B$2:$B$1001,584),IF(1584&lt;=3000,INDEX($C$2:$C$1001,-416),IF(1584&lt;=4000,INDEX($D$2:$D$1001,-1416),IF(1584&lt;=5000,INDEX($E$2:$E$1001,-2416),"")))))</f>
        <v/>
      </c>
    </row>
    <row r="1586">
      <c r="G1586">
        <f>IF(1585&lt;=1000,INDEX($A$2:$A$1001,1585),IF(1585&lt;=2000,INDEX($B$2:$B$1001,585),IF(1585&lt;=3000,INDEX($C$2:$C$1001,-415),IF(1585&lt;=4000,INDEX($D$2:$D$1001,-1415),IF(1585&lt;=5000,INDEX($E$2:$E$1001,-2415),"")))))</f>
        <v/>
      </c>
    </row>
    <row r="1587">
      <c r="G1587">
        <f>IF(1586&lt;=1000,INDEX($A$2:$A$1001,1586),IF(1586&lt;=2000,INDEX($B$2:$B$1001,586),IF(1586&lt;=3000,INDEX($C$2:$C$1001,-414),IF(1586&lt;=4000,INDEX($D$2:$D$1001,-1414),IF(1586&lt;=5000,INDEX($E$2:$E$1001,-2414),"")))))</f>
        <v/>
      </c>
    </row>
    <row r="1588">
      <c r="G1588">
        <f>IF(1587&lt;=1000,INDEX($A$2:$A$1001,1587),IF(1587&lt;=2000,INDEX($B$2:$B$1001,587),IF(1587&lt;=3000,INDEX($C$2:$C$1001,-413),IF(1587&lt;=4000,INDEX($D$2:$D$1001,-1413),IF(1587&lt;=5000,INDEX($E$2:$E$1001,-2413),"")))))</f>
        <v/>
      </c>
    </row>
    <row r="1589">
      <c r="G1589">
        <f>IF(1588&lt;=1000,INDEX($A$2:$A$1001,1588),IF(1588&lt;=2000,INDEX($B$2:$B$1001,588),IF(1588&lt;=3000,INDEX($C$2:$C$1001,-412),IF(1588&lt;=4000,INDEX($D$2:$D$1001,-1412),IF(1588&lt;=5000,INDEX($E$2:$E$1001,-2412),"")))))</f>
        <v/>
      </c>
    </row>
    <row r="1590">
      <c r="G1590">
        <f>IF(1589&lt;=1000,INDEX($A$2:$A$1001,1589),IF(1589&lt;=2000,INDEX($B$2:$B$1001,589),IF(1589&lt;=3000,INDEX($C$2:$C$1001,-411),IF(1589&lt;=4000,INDEX($D$2:$D$1001,-1411),IF(1589&lt;=5000,INDEX($E$2:$E$1001,-2411),"")))))</f>
        <v/>
      </c>
    </row>
    <row r="1591">
      <c r="G1591">
        <f>IF(1590&lt;=1000,INDEX($A$2:$A$1001,1590),IF(1590&lt;=2000,INDEX($B$2:$B$1001,590),IF(1590&lt;=3000,INDEX($C$2:$C$1001,-410),IF(1590&lt;=4000,INDEX($D$2:$D$1001,-1410),IF(1590&lt;=5000,INDEX($E$2:$E$1001,-2410),"")))))</f>
        <v/>
      </c>
    </row>
    <row r="1592">
      <c r="G1592">
        <f>IF(1591&lt;=1000,INDEX($A$2:$A$1001,1591),IF(1591&lt;=2000,INDEX($B$2:$B$1001,591),IF(1591&lt;=3000,INDEX($C$2:$C$1001,-409),IF(1591&lt;=4000,INDEX($D$2:$D$1001,-1409),IF(1591&lt;=5000,INDEX($E$2:$E$1001,-2409),"")))))</f>
        <v/>
      </c>
    </row>
    <row r="1593">
      <c r="G1593">
        <f>IF(1592&lt;=1000,INDEX($A$2:$A$1001,1592),IF(1592&lt;=2000,INDEX($B$2:$B$1001,592),IF(1592&lt;=3000,INDEX($C$2:$C$1001,-408),IF(1592&lt;=4000,INDEX($D$2:$D$1001,-1408),IF(1592&lt;=5000,INDEX($E$2:$E$1001,-2408),"")))))</f>
        <v/>
      </c>
    </row>
    <row r="1594">
      <c r="G1594">
        <f>IF(1593&lt;=1000,INDEX($A$2:$A$1001,1593),IF(1593&lt;=2000,INDEX($B$2:$B$1001,593),IF(1593&lt;=3000,INDEX($C$2:$C$1001,-407),IF(1593&lt;=4000,INDEX($D$2:$D$1001,-1407),IF(1593&lt;=5000,INDEX($E$2:$E$1001,-2407),"")))))</f>
        <v/>
      </c>
    </row>
    <row r="1595">
      <c r="G1595">
        <f>IF(1594&lt;=1000,INDEX($A$2:$A$1001,1594),IF(1594&lt;=2000,INDEX($B$2:$B$1001,594),IF(1594&lt;=3000,INDEX($C$2:$C$1001,-406),IF(1594&lt;=4000,INDEX($D$2:$D$1001,-1406),IF(1594&lt;=5000,INDEX($E$2:$E$1001,-2406),"")))))</f>
        <v/>
      </c>
    </row>
    <row r="1596">
      <c r="G1596">
        <f>IF(1595&lt;=1000,INDEX($A$2:$A$1001,1595),IF(1595&lt;=2000,INDEX($B$2:$B$1001,595),IF(1595&lt;=3000,INDEX($C$2:$C$1001,-405),IF(1595&lt;=4000,INDEX($D$2:$D$1001,-1405),IF(1595&lt;=5000,INDEX($E$2:$E$1001,-2405),"")))))</f>
        <v/>
      </c>
    </row>
    <row r="1597">
      <c r="G1597">
        <f>IF(1596&lt;=1000,INDEX($A$2:$A$1001,1596),IF(1596&lt;=2000,INDEX($B$2:$B$1001,596),IF(1596&lt;=3000,INDEX($C$2:$C$1001,-404),IF(1596&lt;=4000,INDEX($D$2:$D$1001,-1404),IF(1596&lt;=5000,INDEX($E$2:$E$1001,-2404),"")))))</f>
        <v/>
      </c>
    </row>
    <row r="1598">
      <c r="G1598">
        <f>IF(1597&lt;=1000,INDEX($A$2:$A$1001,1597),IF(1597&lt;=2000,INDEX($B$2:$B$1001,597),IF(1597&lt;=3000,INDEX($C$2:$C$1001,-403),IF(1597&lt;=4000,INDEX($D$2:$D$1001,-1403),IF(1597&lt;=5000,INDEX($E$2:$E$1001,-2403),"")))))</f>
        <v/>
      </c>
    </row>
    <row r="1599">
      <c r="G1599">
        <f>IF(1598&lt;=1000,INDEX($A$2:$A$1001,1598),IF(1598&lt;=2000,INDEX($B$2:$B$1001,598),IF(1598&lt;=3000,INDEX($C$2:$C$1001,-402),IF(1598&lt;=4000,INDEX($D$2:$D$1001,-1402),IF(1598&lt;=5000,INDEX($E$2:$E$1001,-2402),"")))))</f>
        <v/>
      </c>
    </row>
    <row r="1600">
      <c r="G1600">
        <f>IF(1599&lt;=1000,INDEX($A$2:$A$1001,1599),IF(1599&lt;=2000,INDEX($B$2:$B$1001,599),IF(1599&lt;=3000,INDEX($C$2:$C$1001,-401),IF(1599&lt;=4000,INDEX($D$2:$D$1001,-1401),IF(1599&lt;=5000,INDEX($E$2:$E$1001,-2401),"")))))</f>
        <v/>
      </c>
    </row>
    <row r="1601">
      <c r="G1601">
        <f>IF(1600&lt;=1000,INDEX($A$2:$A$1001,1600),IF(1600&lt;=2000,INDEX($B$2:$B$1001,600),IF(1600&lt;=3000,INDEX($C$2:$C$1001,-400),IF(1600&lt;=4000,INDEX($D$2:$D$1001,-1400),IF(1600&lt;=5000,INDEX($E$2:$E$1001,-2400),"")))))</f>
        <v/>
      </c>
    </row>
    <row r="1602">
      <c r="G1602">
        <f>IF(1601&lt;=1000,INDEX($A$2:$A$1001,1601),IF(1601&lt;=2000,INDEX($B$2:$B$1001,601),IF(1601&lt;=3000,INDEX($C$2:$C$1001,-399),IF(1601&lt;=4000,INDEX($D$2:$D$1001,-1399),IF(1601&lt;=5000,INDEX($E$2:$E$1001,-2399),"")))))</f>
        <v/>
      </c>
    </row>
    <row r="1603">
      <c r="G1603">
        <f>IF(1602&lt;=1000,INDEX($A$2:$A$1001,1602),IF(1602&lt;=2000,INDEX($B$2:$B$1001,602),IF(1602&lt;=3000,INDEX($C$2:$C$1001,-398),IF(1602&lt;=4000,INDEX($D$2:$D$1001,-1398),IF(1602&lt;=5000,INDEX($E$2:$E$1001,-2398),"")))))</f>
        <v/>
      </c>
    </row>
    <row r="1604">
      <c r="G1604">
        <f>IF(1603&lt;=1000,INDEX($A$2:$A$1001,1603),IF(1603&lt;=2000,INDEX($B$2:$B$1001,603),IF(1603&lt;=3000,INDEX($C$2:$C$1001,-397),IF(1603&lt;=4000,INDEX($D$2:$D$1001,-1397),IF(1603&lt;=5000,INDEX($E$2:$E$1001,-2397),"")))))</f>
        <v/>
      </c>
    </row>
    <row r="1605">
      <c r="G1605">
        <f>IF(1604&lt;=1000,INDEX($A$2:$A$1001,1604),IF(1604&lt;=2000,INDEX($B$2:$B$1001,604),IF(1604&lt;=3000,INDEX($C$2:$C$1001,-396),IF(1604&lt;=4000,INDEX($D$2:$D$1001,-1396),IF(1604&lt;=5000,INDEX($E$2:$E$1001,-2396),"")))))</f>
        <v/>
      </c>
    </row>
    <row r="1606">
      <c r="G1606">
        <f>IF(1605&lt;=1000,INDEX($A$2:$A$1001,1605),IF(1605&lt;=2000,INDEX($B$2:$B$1001,605),IF(1605&lt;=3000,INDEX($C$2:$C$1001,-395),IF(1605&lt;=4000,INDEX($D$2:$D$1001,-1395),IF(1605&lt;=5000,INDEX($E$2:$E$1001,-2395),"")))))</f>
        <v/>
      </c>
    </row>
    <row r="1607">
      <c r="G1607">
        <f>IF(1606&lt;=1000,INDEX($A$2:$A$1001,1606),IF(1606&lt;=2000,INDEX($B$2:$B$1001,606),IF(1606&lt;=3000,INDEX($C$2:$C$1001,-394),IF(1606&lt;=4000,INDEX($D$2:$D$1001,-1394),IF(1606&lt;=5000,INDEX($E$2:$E$1001,-2394),"")))))</f>
        <v/>
      </c>
    </row>
    <row r="1608">
      <c r="G1608">
        <f>IF(1607&lt;=1000,INDEX($A$2:$A$1001,1607),IF(1607&lt;=2000,INDEX($B$2:$B$1001,607),IF(1607&lt;=3000,INDEX($C$2:$C$1001,-393),IF(1607&lt;=4000,INDEX($D$2:$D$1001,-1393),IF(1607&lt;=5000,INDEX($E$2:$E$1001,-2393),"")))))</f>
        <v/>
      </c>
    </row>
    <row r="1609">
      <c r="G1609">
        <f>IF(1608&lt;=1000,INDEX($A$2:$A$1001,1608),IF(1608&lt;=2000,INDEX($B$2:$B$1001,608),IF(1608&lt;=3000,INDEX($C$2:$C$1001,-392),IF(1608&lt;=4000,INDEX($D$2:$D$1001,-1392),IF(1608&lt;=5000,INDEX($E$2:$E$1001,-2392),"")))))</f>
        <v/>
      </c>
    </row>
    <row r="1610">
      <c r="G1610">
        <f>IF(1609&lt;=1000,INDEX($A$2:$A$1001,1609),IF(1609&lt;=2000,INDEX($B$2:$B$1001,609),IF(1609&lt;=3000,INDEX($C$2:$C$1001,-391),IF(1609&lt;=4000,INDEX($D$2:$D$1001,-1391),IF(1609&lt;=5000,INDEX($E$2:$E$1001,-2391),"")))))</f>
        <v/>
      </c>
    </row>
    <row r="1611">
      <c r="G1611">
        <f>IF(1610&lt;=1000,INDEX($A$2:$A$1001,1610),IF(1610&lt;=2000,INDEX($B$2:$B$1001,610),IF(1610&lt;=3000,INDEX($C$2:$C$1001,-390),IF(1610&lt;=4000,INDEX($D$2:$D$1001,-1390),IF(1610&lt;=5000,INDEX($E$2:$E$1001,-2390),"")))))</f>
        <v/>
      </c>
    </row>
    <row r="1612">
      <c r="G1612">
        <f>IF(1611&lt;=1000,INDEX($A$2:$A$1001,1611),IF(1611&lt;=2000,INDEX($B$2:$B$1001,611),IF(1611&lt;=3000,INDEX($C$2:$C$1001,-389),IF(1611&lt;=4000,INDEX($D$2:$D$1001,-1389),IF(1611&lt;=5000,INDEX($E$2:$E$1001,-2389),"")))))</f>
        <v/>
      </c>
    </row>
    <row r="1613">
      <c r="G1613">
        <f>IF(1612&lt;=1000,INDEX($A$2:$A$1001,1612),IF(1612&lt;=2000,INDEX($B$2:$B$1001,612),IF(1612&lt;=3000,INDEX($C$2:$C$1001,-388),IF(1612&lt;=4000,INDEX($D$2:$D$1001,-1388),IF(1612&lt;=5000,INDEX($E$2:$E$1001,-2388),"")))))</f>
        <v/>
      </c>
    </row>
    <row r="1614">
      <c r="G1614">
        <f>IF(1613&lt;=1000,INDEX($A$2:$A$1001,1613),IF(1613&lt;=2000,INDEX($B$2:$B$1001,613),IF(1613&lt;=3000,INDEX($C$2:$C$1001,-387),IF(1613&lt;=4000,INDEX($D$2:$D$1001,-1387),IF(1613&lt;=5000,INDEX($E$2:$E$1001,-2387),"")))))</f>
        <v/>
      </c>
    </row>
    <row r="1615">
      <c r="G1615">
        <f>IF(1614&lt;=1000,INDEX($A$2:$A$1001,1614),IF(1614&lt;=2000,INDEX($B$2:$B$1001,614),IF(1614&lt;=3000,INDEX($C$2:$C$1001,-386),IF(1614&lt;=4000,INDEX($D$2:$D$1001,-1386),IF(1614&lt;=5000,INDEX($E$2:$E$1001,-2386),"")))))</f>
        <v/>
      </c>
    </row>
    <row r="1616">
      <c r="G1616">
        <f>IF(1615&lt;=1000,INDEX($A$2:$A$1001,1615),IF(1615&lt;=2000,INDEX($B$2:$B$1001,615),IF(1615&lt;=3000,INDEX($C$2:$C$1001,-385),IF(1615&lt;=4000,INDEX($D$2:$D$1001,-1385),IF(1615&lt;=5000,INDEX($E$2:$E$1001,-2385),"")))))</f>
        <v/>
      </c>
    </row>
    <row r="1617">
      <c r="G1617">
        <f>IF(1616&lt;=1000,INDEX($A$2:$A$1001,1616),IF(1616&lt;=2000,INDEX($B$2:$B$1001,616),IF(1616&lt;=3000,INDEX($C$2:$C$1001,-384),IF(1616&lt;=4000,INDEX($D$2:$D$1001,-1384),IF(1616&lt;=5000,INDEX($E$2:$E$1001,-2384),"")))))</f>
        <v/>
      </c>
    </row>
    <row r="1618">
      <c r="G1618">
        <f>IF(1617&lt;=1000,INDEX($A$2:$A$1001,1617),IF(1617&lt;=2000,INDEX($B$2:$B$1001,617),IF(1617&lt;=3000,INDEX($C$2:$C$1001,-383),IF(1617&lt;=4000,INDEX($D$2:$D$1001,-1383),IF(1617&lt;=5000,INDEX($E$2:$E$1001,-2383),"")))))</f>
        <v/>
      </c>
    </row>
    <row r="1619">
      <c r="G1619">
        <f>IF(1618&lt;=1000,INDEX($A$2:$A$1001,1618),IF(1618&lt;=2000,INDEX($B$2:$B$1001,618),IF(1618&lt;=3000,INDEX($C$2:$C$1001,-382),IF(1618&lt;=4000,INDEX($D$2:$D$1001,-1382),IF(1618&lt;=5000,INDEX($E$2:$E$1001,-2382),"")))))</f>
        <v/>
      </c>
    </row>
    <row r="1620">
      <c r="G1620">
        <f>IF(1619&lt;=1000,INDEX($A$2:$A$1001,1619),IF(1619&lt;=2000,INDEX($B$2:$B$1001,619),IF(1619&lt;=3000,INDEX($C$2:$C$1001,-381),IF(1619&lt;=4000,INDEX($D$2:$D$1001,-1381),IF(1619&lt;=5000,INDEX($E$2:$E$1001,-2381),"")))))</f>
        <v/>
      </c>
    </row>
    <row r="1621">
      <c r="G1621">
        <f>IF(1620&lt;=1000,INDEX($A$2:$A$1001,1620),IF(1620&lt;=2000,INDEX($B$2:$B$1001,620),IF(1620&lt;=3000,INDEX($C$2:$C$1001,-380),IF(1620&lt;=4000,INDEX($D$2:$D$1001,-1380),IF(1620&lt;=5000,INDEX($E$2:$E$1001,-2380),"")))))</f>
        <v/>
      </c>
    </row>
    <row r="1622">
      <c r="G1622">
        <f>IF(1621&lt;=1000,INDEX($A$2:$A$1001,1621),IF(1621&lt;=2000,INDEX($B$2:$B$1001,621),IF(1621&lt;=3000,INDEX($C$2:$C$1001,-379),IF(1621&lt;=4000,INDEX($D$2:$D$1001,-1379),IF(1621&lt;=5000,INDEX($E$2:$E$1001,-2379),"")))))</f>
        <v/>
      </c>
    </row>
    <row r="1623">
      <c r="G1623">
        <f>IF(1622&lt;=1000,INDEX($A$2:$A$1001,1622),IF(1622&lt;=2000,INDEX($B$2:$B$1001,622),IF(1622&lt;=3000,INDEX($C$2:$C$1001,-378),IF(1622&lt;=4000,INDEX($D$2:$D$1001,-1378),IF(1622&lt;=5000,INDEX($E$2:$E$1001,-2378),"")))))</f>
        <v/>
      </c>
    </row>
    <row r="1624">
      <c r="G1624">
        <f>IF(1623&lt;=1000,INDEX($A$2:$A$1001,1623),IF(1623&lt;=2000,INDEX($B$2:$B$1001,623),IF(1623&lt;=3000,INDEX($C$2:$C$1001,-377),IF(1623&lt;=4000,INDEX($D$2:$D$1001,-1377),IF(1623&lt;=5000,INDEX($E$2:$E$1001,-2377),"")))))</f>
        <v/>
      </c>
    </row>
    <row r="1625">
      <c r="G1625">
        <f>IF(1624&lt;=1000,INDEX($A$2:$A$1001,1624),IF(1624&lt;=2000,INDEX($B$2:$B$1001,624),IF(1624&lt;=3000,INDEX($C$2:$C$1001,-376),IF(1624&lt;=4000,INDEX($D$2:$D$1001,-1376),IF(1624&lt;=5000,INDEX($E$2:$E$1001,-2376),"")))))</f>
        <v/>
      </c>
    </row>
    <row r="1626">
      <c r="G1626">
        <f>IF(1625&lt;=1000,INDEX($A$2:$A$1001,1625),IF(1625&lt;=2000,INDEX($B$2:$B$1001,625),IF(1625&lt;=3000,INDEX($C$2:$C$1001,-375),IF(1625&lt;=4000,INDEX($D$2:$D$1001,-1375),IF(1625&lt;=5000,INDEX($E$2:$E$1001,-2375),"")))))</f>
        <v/>
      </c>
    </row>
    <row r="1627">
      <c r="G1627">
        <f>IF(1626&lt;=1000,INDEX($A$2:$A$1001,1626),IF(1626&lt;=2000,INDEX($B$2:$B$1001,626),IF(1626&lt;=3000,INDEX($C$2:$C$1001,-374),IF(1626&lt;=4000,INDEX($D$2:$D$1001,-1374),IF(1626&lt;=5000,INDEX($E$2:$E$1001,-2374),"")))))</f>
        <v/>
      </c>
    </row>
    <row r="1628">
      <c r="G1628">
        <f>IF(1627&lt;=1000,INDEX($A$2:$A$1001,1627),IF(1627&lt;=2000,INDEX($B$2:$B$1001,627),IF(1627&lt;=3000,INDEX($C$2:$C$1001,-373),IF(1627&lt;=4000,INDEX($D$2:$D$1001,-1373),IF(1627&lt;=5000,INDEX($E$2:$E$1001,-2373),"")))))</f>
        <v/>
      </c>
    </row>
    <row r="1629">
      <c r="G1629">
        <f>IF(1628&lt;=1000,INDEX($A$2:$A$1001,1628),IF(1628&lt;=2000,INDEX($B$2:$B$1001,628),IF(1628&lt;=3000,INDEX($C$2:$C$1001,-372),IF(1628&lt;=4000,INDEX($D$2:$D$1001,-1372),IF(1628&lt;=5000,INDEX($E$2:$E$1001,-2372),"")))))</f>
        <v/>
      </c>
    </row>
    <row r="1630">
      <c r="G1630">
        <f>IF(1629&lt;=1000,INDEX($A$2:$A$1001,1629),IF(1629&lt;=2000,INDEX($B$2:$B$1001,629),IF(1629&lt;=3000,INDEX($C$2:$C$1001,-371),IF(1629&lt;=4000,INDEX($D$2:$D$1001,-1371),IF(1629&lt;=5000,INDEX($E$2:$E$1001,-2371),"")))))</f>
        <v/>
      </c>
    </row>
    <row r="1631">
      <c r="G1631">
        <f>IF(1630&lt;=1000,INDEX($A$2:$A$1001,1630),IF(1630&lt;=2000,INDEX($B$2:$B$1001,630),IF(1630&lt;=3000,INDEX($C$2:$C$1001,-370),IF(1630&lt;=4000,INDEX($D$2:$D$1001,-1370),IF(1630&lt;=5000,INDEX($E$2:$E$1001,-2370),"")))))</f>
        <v/>
      </c>
    </row>
    <row r="1632">
      <c r="G1632">
        <f>IF(1631&lt;=1000,INDEX($A$2:$A$1001,1631),IF(1631&lt;=2000,INDEX($B$2:$B$1001,631),IF(1631&lt;=3000,INDEX($C$2:$C$1001,-369),IF(1631&lt;=4000,INDEX($D$2:$D$1001,-1369),IF(1631&lt;=5000,INDEX($E$2:$E$1001,-2369),"")))))</f>
        <v/>
      </c>
    </row>
    <row r="1633">
      <c r="G1633">
        <f>IF(1632&lt;=1000,INDEX($A$2:$A$1001,1632),IF(1632&lt;=2000,INDEX($B$2:$B$1001,632),IF(1632&lt;=3000,INDEX($C$2:$C$1001,-368),IF(1632&lt;=4000,INDEX($D$2:$D$1001,-1368),IF(1632&lt;=5000,INDEX($E$2:$E$1001,-2368),"")))))</f>
        <v/>
      </c>
    </row>
    <row r="1634">
      <c r="G1634">
        <f>IF(1633&lt;=1000,INDEX($A$2:$A$1001,1633),IF(1633&lt;=2000,INDEX($B$2:$B$1001,633),IF(1633&lt;=3000,INDEX($C$2:$C$1001,-367),IF(1633&lt;=4000,INDEX($D$2:$D$1001,-1367),IF(1633&lt;=5000,INDEX($E$2:$E$1001,-2367),"")))))</f>
        <v/>
      </c>
    </row>
    <row r="1635">
      <c r="G1635">
        <f>IF(1634&lt;=1000,INDEX($A$2:$A$1001,1634),IF(1634&lt;=2000,INDEX($B$2:$B$1001,634),IF(1634&lt;=3000,INDEX($C$2:$C$1001,-366),IF(1634&lt;=4000,INDEX($D$2:$D$1001,-1366),IF(1634&lt;=5000,INDEX($E$2:$E$1001,-2366),"")))))</f>
        <v/>
      </c>
    </row>
    <row r="1636">
      <c r="G1636">
        <f>IF(1635&lt;=1000,INDEX($A$2:$A$1001,1635),IF(1635&lt;=2000,INDEX($B$2:$B$1001,635),IF(1635&lt;=3000,INDEX($C$2:$C$1001,-365),IF(1635&lt;=4000,INDEX($D$2:$D$1001,-1365),IF(1635&lt;=5000,INDEX($E$2:$E$1001,-2365),"")))))</f>
        <v/>
      </c>
    </row>
    <row r="1637">
      <c r="G1637">
        <f>IF(1636&lt;=1000,INDEX($A$2:$A$1001,1636),IF(1636&lt;=2000,INDEX($B$2:$B$1001,636),IF(1636&lt;=3000,INDEX($C$2:$C$1001,-364),IF(1636&lt;=4000,INDEX($D$2:$D$1001,-1364),IF(1636&lt;=5000,INDEX($E$2:$E$1001,-2364),"")))))</f>
        <v/>
      </c>
    </row>
    <row r="1638">
      <c r="G1638">
        <f>IF(1637&lt;=1000,INDEX($A$2:$A$1001,1637),IF(1637&lt;=2000,INDEX($B$2:$B$1001,637),IF(1637&lt;=3000,INDEX($C$2:$C$1001,-363),IF(1637&lt;=4000,INDEX($D$2:$D$1001,-1363),IF(1637&lt;=5000,INDEX($E$2:$E$1001,-2363),"")))))</f>
        <v/>
      </c>
    </row>
    <row r="1639">
      <c r="G1639">
        <f>IF(1638&lt;=1000,INDEX($A$2:$A$1001,1638),IF(1638&lt;=2000,INDEX($B$2:$B$1001,638),IF(1638&lt;=3000,INDEX($C$2:$C$1001,-362),IF(1638&lt;=4000,INDEX($D$2:$D$1001,-1362),IF(1638&lt;=5000,INDEX($E$2:$E$1001,-2362),"")))))</f>
        <v/>
      </c>
    </row>
    <row r="1640">
      <c r="G1640">
        <f>IF(1639&lt;=1000,INDEX($A$2:$A$1001,1639),IF(1639&lt;=2000,INDEX($B$2:$B$1001,639),IF(1639&lt;=3000,INDEX($C$2:$C$1001,-361),IF(1639&lt;=4000,INDEX($D$2:$D$1001,-1361),IF(1639&lt;=5000,INDEX($E$2:$E$1001,-2361),"")))))</f>
        <v/>
      </c>
    </row>
    <row r="1641">
      <c r="G1641">
        <f>IF(1640&lt;=1000,INDEX($A$2:$A$1001,1640),IF(1640&lt;=2000,INDEX($B$2:$B$1001,640),IF(1640&lt;=3000,INDEX($C$2:$C$1001,-360),IF(1640&lt;=4000,INDEX($D$2:$D$1001,-1360),IF(1640&lt;=5000,INDEX($E$2:$E$1001,-2360),"")))))</f>
        <v/>
      </c>
    </row>
    <row r="1642">
      <c r="G1642">
        <f>IF(1641&lt;=1000,INDEX($A$2:$A$1001,1641),IF(1641&lt;=2000,INDEX($B$2:$B$1001,641),IF(1641&lt;=3000,INDEX($C$2:$C$1001,-359),IF(1641&lt;=4000,INDEX($D$2:$D$1001,-1359),IF(1641&lt;=5000,INDEX($E$2:$E$1001,-2359),"")))))</f>
        <v/>
      </c>
    </row>
    <row r="1643">
      <c r="G1643">
        <f>IF(1642&lt;=1000,INDEX($A$2:$A$1001,1642),IF(1642&lt;=2000,INDEX($B$2:$B$1001,642),IF(1642&lt;=3000,INDEX($C$2:$C$1001,-358),IF(1642&lt;=4000,INDEX($D$2:$D$1001,-1358),IF(1642&lt;=5000,INDEX($E$2:$E$1001,-2358),"")))))</f>
        <v/>
      </c>
    </row>
    <row r="1644">
      <c r="G1644">
        <f>IF(1643&lt;=1000,INDEX($A$2:$A$1001,1643),IF(1643&lt;=2000,INDEX($B$2:$B$1001,643),IF(1643&lt;=3000,INDEX($C$2:$C$1001,-357),IF(1643&lt;=4000,INDEX($D$2:$D$1001,-1357),IF(1643&lt;=5000,INDEX($E$2:$E$1001,-2357),"")))))</f>
        <v/>
      </c>
    </row>
    <row r="1645">
      <c r="G1645">
        <f>IF(1644&lt;=1000,INDEX($A$2:$A$1001,1644),IF(1644&lt;=2000,INDEX($B$2:$B$1001,644),IF(1644&lt;=3000,INDEX($C$2:$C$1001,-356),IF(1644&lt;=4000,INDEX($D$2:$D$1001,-1356),IF(1644&lt;=5000,INDEX($E$2:$E$1001,-2356),"")))))</f>
        <v/>
      </c>
    </row>
    <row r="1646">
      <c r="G1646">
        <f>IF(1645&lt;=1000,INDEX($A$2:$A$1001,1645),IF(1645&lt;=2000,INDEX($B$2:$B$1001,645),IF(1645&lt;=3000,INDEX($C$2:$C$1001,-355),IF(1645&lt;=4000,INDEX($D$2:$D$1001,-1355),IF(1645&lt;=5000,INDEX($E$2:$E$1001,-2355),"")))))</f>
        <v/>
      </c>
    </row>
    <row r="1647">
      <c r="G1647">
        <f>IF(1646&lt;=1000,INDEX($A$2:$A$1001,1646),IF(1646&lt;=2000,INDEX($B$2:$B$1001,646),IF(1646&lt;=3000,INDEX($C$2:$C$1001,-354),IF(1646&lt;=4000,INDEX($D$2:$D$1001,-1354),IF(1646&lt;=5000,INDEX($E$2:$E$1001,-2354),"")))))</f>
        <v/>
      </c>
    </row>
    <row r="1648">
      <c r="G1648">
        <f>IF(1647&lt;=1000,INDEX($A$2:$A$1001,1647),IF(1647&lt;=2000,INDEX($B$2:$B$1001,647),IF(1647&lt;=3000,INDEX($C$2:$C$1001,-353),IF(1647&lt;=4000,INDEX($D$2:$D$1001,-1353),IF(1647&lt;=5000,INDEX($E$2:$E$1001,-2353),"")))))</f>
        <v/>
      </c>
    </row>
    <row r="1649">
      <c r="G1649">
        <f>IF(1648&lt;=1000,INDEX($A$2:$A$1001,1648),IF(1648&lt;=2000,INDEX($B$2:$B$1001,648),IF(1648&lt;=3000,INDEX($C$2:$C$1001,-352),IF(1648&lt;=4000,INDEX($D$2:$D$1001,-1352),IF(1648&lt;=5000,INDEX($E$2:$E$1001,-2352),"")))))</f>
        <v/>
      </c>
    </row>
    <row r="1650">
      <c r="G1650">
        <f>IF(1649&lt;=1000,INDEX($A$2:$A$1001,1649),IF(1649&lt;=2000,INDEX($B$2:$B$1001,649),IF(1649&lt;=3000,INDEX($C$2:$C$1001,-351),IF(1649&lt;=4000,INDEX($D$2:$D$1001,-1351),IF(1649&lt;=5000,INDEX($E$2:$E$1001,-2351),"")))))</f>
        <v/>
      </c>
    </row>
    <row r="1651">
      <c r="G1651">
        <f>IF(1650&lt;=1000,INDEX($A$2:$A$1001,1650),IF(1650&lt;=2000,INDEX($B$2:$B$1001,650),IF(1650&lt;=3000,INDEX($C$2:$C$1001,-350),IF(1650&lt;=4000,INDEX($D$2:$D$1001,-1350),IF(1650&lt;=5000,INDEX($E$2:$E$1001,-2350),"")))))</f>
        <v/>
      </c>
    </row>
    <row r="1652">
      <c r="G1652">
        <f>IF(1651&lt;=1000,INDEX($A$2:$A$1001,1651),IF(1651&lt;=2000,INDEX($B$2:$B$1001,651),IF(1651&lt;=3000,INDEX($C$2:$C$1001,-349),IF(1651&lt;=4000,INDEX($D$2:$D$1001,-1349),IF(1651&lt;=5000,INDEX($E$2:$E$1001,-2349),"")))))</f>
        <v/>
      </c>
    </row>
    <row r="1653">
      <c r="G1653">
        <f>IF(1652&lt;=1000,INDEX($A$2:$A$1001,1652),IF(1652&lt;=2000,INDEX($B$2:$B$1001,652),IF(1652&lt;=3000,INDEX($C$2:$C$1001,-348),IF(1652&lt;=4000,INDEX($D$2:$D$1001,-1348),IF(1652&lt;=5000,INDEX($E$2:$E$1001,-2348),"")))))</f>
        <v/>
      </c>
    </row>
    <row r="1654">
      <c r="G1654">
        <f>IF(1653&lt;=1000,INDEX($A$2:$A$1001,1653),IF(1653&lt;=2000,INDEX($B$2:$B$1001,653),IF(1653&lt;=3000,INDEX($C$2:$C$1001,-347),IF(1653&lt;=4000,INDEX($D$2:$D$1001,-1347),IF(1653&lt;=5000,INDEX($E$2:$E$1001,-2347),"")))))</f>
        <v/>
      </c>
    </row>
    <row r="1655">
      <c r="G1655">
        <f>IF(1654&lt;=1000,INDEX($A$2:$A$1001,1654),IF(1654&lt;=2000,INDEX($B$2:$B$1001,654),IF(1654&lt;=3000,INDEX($C$2:$C$1001,-346),IF(1654&lt;=4000,INDEX($D$2:$D$1001,-1346),IF(1654&lt;=5000,INDEX($E$2:$E$1001,-2346),"")))))</f>
        <v/>
      </c>
    </row>
    <row r="1656">
      <c r="G1656">
        <f>IF(1655&lt;=1000,INDEX($A$2:$A$1001,1655),IF(1655&lt;=2000,INDEX($B$2:$B$1001,655),IF(1655&lt;=3000,INDEX($C$2:$C$1001,-345),IF(1655&lt;=4000,INDEX($D$2:$D$1001,-1345),IF(1655&lt;=5000,INDEX($E$2:$E$1001,-2345),"")))))</f>
        <v/>
      </c>
    </row>
    <row r="1657">
      <c r="G1657">
        <f>IF(1656&lt;=1000,INDEX($A$2:$A$1001,1656),IF(1656&lt;=2000,INDEX($B$2:$B$1001,656),IF(1656&lt;=3000,INDEX($C$2:$C$1001,-344),IF(1656&lt;=4000,INDEX($D$2:$D$1001,-1344),IF(1656&lt;=5000,INDEX($E$2:$E$1001,-2344),"")))))</f>
        <v/>
      </c>
    </row>
    <row r="1658">
      <c r="G1658">
        <f>IF(1657&lt;=1000,INDEX($A$2:$A$1001,1657),IF(1657&lt;=2000,INDEX($B$2:$B$1001,657),IF(1657&lt;=3000,INDEX($C$2:$C$1001,-343),IF(1657&lt;=4000,INDEX($D$2:$D$1001,-1343),IF(1657&lt;=5000,INDEX($E$2:$E$1001,-2343),"")))))</f>
        <v/>
      </c>
    </row>
    <row r="1659">
      <c r="G1659">
        <f>IF(1658&lt;=1000,INDEX($A$2:$A$1001,1658),IF(1658&lt;=2000,INDEX($B$2:$B$1001,658),IF(1658&lt;=3000,INDEX($C$2:$C$1001,-342),IF(1658&lt;=4000,INDEX($D$2:$D$1001,-1342),IF(1658&lt;=5000,INDEX($E$2:$E$1001,-2342),"")))))</f>
        <v/>
      </c>
    </row>
    <row r="1660">
      <c r="G1660">
        <f>IF(1659&lt;=1000,INDEX($A$2:$A$1001,1659),IF(1659&lt;=2000,INDEX($B$2:$B$1001,659),IF(1659&lt;=3000,INDEX($C$2:$C$1001,-341),IF(1659&lt;=4000,INDEX($D$2:$D$1001,-1341),IF(1659&lt;=5000,INDEX($E$2:$E$1001,-2341),"")))))</f>
        <v/>
      </c>
    </row>
    <row r="1661">
      <c r="G1661">
        <f>IF(1660&lt;=1000,INDEX($A$2:$A$1001,1660),IF(1660&lt;=2000,INDEX($B$2:$B$1001,660),IF(1660&lt;=3000,INDEX($C$2:$C$1001,-340),IF(1660&lt;=4000,INDEX($D$2:$D$1001,-1340),IF(1660&lt;=5000,INDEX($E$2:$E$1001,-2340),"")))))</f>
        <v/>
      </c>
    </row>
    <row r="1662">
      <c r="G1662">
        <f>IF(1661&lt;=1000,INDEX($A$2:$A$1001,1661),IF(1661&lt;=2000,INDEX($B$2:$B$1001,661),IF(1661&lt;=3000,INDEX($C$2:$C$1001,-339),IF(1661&lt;=4000,INDEX($D$2:$D$1001,-1339),IF(1661&lt;=5000,INDEX($E$2:$E$1001,-2339),"")))))</f>
        <v/>
      </c>
    </row>
    <row r="1663">
      <c r="G1663">
        <f>IF(1662&lt;=1000,INDEX($A$2:$A$1001,1662),IF(1662&lt;=2000,INDEX($B$2:$B$1001,662),IF(1662&lt;=3000,INDEX($C$2:$C$1001,-338),IF(1662&lt;=4000,INDEX($D$2:$D$1001,-1338),IF(1662&lt;=5000,INDEX($E$2:$E$1001,-2338),"")))))</f>
        <v/>
      </c>
    </row>
    <row r="1664">
      <c r="G1664">
        <f>IF(1663&lt;=1000,INDEX($A$2:$A$1001,1663),IF(1663&lt;=2000,INDEX($B$2:$B$1001,663),IF(1663&lt;=3000,INDEX($C$2:$C$1001,-337),IF(1663&lt;=4000,INDEX($D$2:$D$1001,-1337),IF(1663&lt;=5000,INDEX($E$2:$E$1001,-2337),"")))))</f>
        <v/>
      </c>
    </row>
    <row r="1665">
      <c r="G1665">
        <f>IF(1664&lt;=1000,INDEX($A$2:$A$1001,1664),IF(1664&lt;=2000,INDEX($B$2:$B$1001,664),IF(1664&lt;=3000,INDEX($C$2:$C$1001,-336),IF(1664&lt;=4000,INDEX($D$2:$D$1001,-1336),IF(1664&lt;=5000,INDEX($E$2:$E$1001,-2336),"")))))</f>
        <v/>
      </c>
    </row>
    <row r="1666">
      <c r="G1666">
        <f>IF(1665&lt;=1000,INDEX($A$2:$A$1001,1665),IF(1665&lt;=2000,INDEX($B$2:$B$1001,665),IF(1665&lt;=3000,INDEX($C$2:$C$1001,-335),IF(1665&lt;=4000,INDEX($D$2:$D$1001,-1335),IF(1665&lt;=5000,INDEX($E$2:$E$1001,-2335),"")))))</f>
        <v/>
      </c>
    </row>
    <row r="1667">
      <c r="G1667">
        <f>IF(1666&lt;=1000,INDEX($A$2:$A$1001,1666),IF(1666&lt;=2000,INDEX($B$2:$B$1001,666),IF(1666&lt;=3000,INDEX($C$2:$C$1001,-334),IF(1666&lt;=4000,INDEX($D$2:$D$1001,-1334),IF(1666&lt;=5000,INDEX($E$2:$E$1001,-2334),"")))))</f>
        <v/>
      </c>
    </row>
    <row r="1668">
      <c r="G1668">
        <f>IF(1667&lt;=1000,INDEX($A$2:$A$1001,1667),IF(1667&lt;=2000,INDEX($B$2:$B$1001,667),IF(1667&lt;=3000,INDEX($C$2:$C$1001,-333),IF(1667&lt;=4000,INDEX($D$2:$D$1001,-1333),IF(1667&lt;=5000,INDEX($E$2:$E$1001,-2333),"")))))</f>
        <v/>
      </c>
    </row>
    <row r="1669">
      <c r="G1669">
        <f>IF(1668&lt;=1000,INDEX($A$2:$A$1001,1668),IF(1668&lt;=2000,INDEX($B$2:$B$1001,668),IF(1668&lt;=3000,INDEX($C$2:$C$1001,-332),IF(1668&lt;=4000,INDEX($D$2:$D$1001,-1332),IF(1668&lt;=5000,INDEX($E$2:$E$1001,-2332),"")))))</f>
        <v/>
      </c>
    </row>
    <row r="1670">
      <c r="G1670">
        <f>IF(1669&lt;=1000,INDEX($A$2:$A$1001,1669),IF(1669&lt;=2000,INDEX($B$2:$B$1001,669),IF(1669&lt;=3000,INDEX($C$2:$C$1001,-331),IF(1669&lt;=4000,INDEX($D$2:$D$1001,-1331),IF(1669&lt;=5000,INDEX($E$2:$E$1001,-2331),"")))))</f>
        <v/>
      </c>
    </row>
    <row r="1671">
      <c r="G1671">
        <f>IF(1670&lt;=1000,INDEX($A$2:$A$1001,1670),IF(1670&lt;=2000,INDEX($B$2:$B$1001,670),IF(1670&lt;=3000,INDEX($C$2:$C$1001,-330),IF(1670&lt;=4000,INDEX($D$2:$D$1001,-1330),IF(1670&lt;=5000,INDEX($E$2:$E$1001,-2330),"")))))</f>
        <v/>
      </c>
    </row>
    <row r="1672">
      <c r="G1672">
        <f>IF(1671&lt;=1000,INDEX($A$2:$A$1001,1671),IF(1671&lt;=2000,INDEX($B$2:$B$1001,671),IF(1671&lt;=3000,INDEX($C$2:$C$1001,-329),IF(1671&lt;=4000,INDEX($D$2:$D$1001,-1329),IF(1671&lt;=5000,INDEX($E$2:$E$1001,-2329),"")))))</f>
        <v/>
      </c>
    </row>
    <row r="1673">
      <c r="G1673">
        <f>IF(1672&lt;=1000,INDEX($A$2:$A$1001,1672),IF(1672&lt;=2000,INDEX($B$2:$B$1001,672),IF(1672&lt;=3000,INDEX($C$2:$C$1001,-328),IF(1672&lt;=4000,INDEX($D$2:$D$1001,-1328),IF(1672&lt;=5000,INDEX($E$2:$E$1001,-2328),"")))))</f>
        <v/>
      </c>
    </row>
    <row r="1674">
      <c r="G1674">
        <f>IF(1673&lt;=1000,INDEX($A$2:$A$1001,1673),IF(1673&lt;=2000,INDEX($B$2:$B$1001,673),IF(1673&lt;=3000,INDEX($C$2:$C$1001,-327),IF(1673&lt;=4000,INDEX($D$2:$D$1001,-1327),IF(1673&lt;=5000,INDEX($E$2:$E$1001,-2327),"")))))</f>
        <v/>
      </c>
    </row>
    <row r="1675">
      <c r="G1675">
        <f>IF(1674&lt;=1000,INDEX($A$2:$A$1001,1674),IF(1674&lt;=2000,INDEX($B$2:$B$1001,674),IF(1674&lt;=3000,INDEX($C$2:$C$1001,-326),IF(1674&lt;=4000,INDEX($D$2:$D$1001,-1326),IF(1674&lt;=5000,INDEX($E$2:$E$1001,-2326),"")))))</f>
        <v/>
      </c>
    </row>
    <row r="1676">
      <c r="G1676">
        <f>IF(1675&lt;=1000,INDEX($A$2:$A$1001,1675),IF(1675&lt;=2000,INDEX($B$2:$B$1001,675),IF(1675&lt;=3000,INDEX($C$2:$C$1001,-325),IF(1675&lt;=4000,INDEX($D$2:$D$1001,-1325),IF(1675&lt;=5000,INDEX($E$2:$E$1001,-2325),"")))))</f>
        <v/>
      </c>
    </row>
    <row r="1677">
      <c r="G1677">
        <f>IF(1676&lt;=1000,INDEX($A$2:$A$1001,1676),IF(1676&lt;=2000,INDEX($B$2:$B$1001,676),IF(1676&lt;=3000,INDEX($C$2:$C$1001,-324),IF(1676&lt;=4000,INDEX($D$2:$D$1001,-1324),IF(1676&lt;=5000,INDEX($E$2:$E$1001,-2324),"")))))</f>
        <v/>
      </c>
    </row>
    <row r="1678">
      <c r="G1678">
        <f>IF(1677&lt;=1000,INDEX($A$2:$A$1001,1677),IF(1677&lt;=2000,INDEX($B$2:$B$1001,677),IF(1677&lt;=3000,INDEX($C$2:$C$1001,-323),IF(1677&lt;=4000,INDEX($D$2:$D$1001,-1323),IF(1677&lt;=5000,INDEX($E$2:$E$1001,-2323),"")))))</f>
        <v/>
      </c>
    </row>
    <row r="1679">
      <c r="G1679">
        <f>IF(1678&lt;=1000,INDEX($A$2:$A$1001,1678),IF(1678&lt;=2000,INDEX($B$2:$B$1001,678),IF(1678&lt;=3000,INDEX($C$2:$C$1001,-322),IF(1678&lt;=4000,INDEX($D$2:$D$1001,-1322),IF(1678&lt;=5000,INDEX($E$2:$E$1001,-2322),"")))))</f>
        <v/>
      </c>
    </row>
    <row r="1680">
      <c r="G1680">
        <f>IF(1679&lt;=1000,INDEX($A$2:$A$1001,1679),IF(1679&lt;=2000,INDEX($B$2:$B$1001,679),IF(1679&lt;=3000,INDEX($C$2:$C$1001,-321),IF(1679&lt;=4000,INDEX($D$2:$D$1001,-1321),IF(1679&lt;=5000,INDEX($E$2:$E$1001,-2321),"")))))</f>
        <v/>
      </c>
    </row>
    <row r="1681">
      <c r="G1681">
        <f>IF(1680&lt;=1000,INDEX($A$2:$A$1001,1680),IF(1680&lt;=2000,INDEX($B$2:$B$1001,680),IF(1680&lt;=3000,INDEX($C$2:$C$1001,-320),IF(1680&lt;=4000,INDEX($D$2:$D$1001,-1320),IF(1680&lt;=5000,INDEX($E$2:$E$1001,-2320),"")))))</f>
        <v/>
      </c>
    </row>
    <row r="1682">
      <c r="G1682">
        <f>IF(1681&lt;=1000,INDEX($A$2:$A$1001,1681),IF(1681&lt;=2000,INDEX($B$2:$B$1001,681),IF(1681&lt;=3000,INDEX($C$2:$C$1001,-319),IF(1681&lt;=4000,INDEX($D$2:$D$1001,-1319),IF(1681&lt;=5000,INDEX($E$2:$E$1001,-2319),"")))))</f>
        <v/>
      </c>
    </row>
    <row r="1683">
      <c r="G1683">
        <f>IF(1682&lt;=1000,INDEX($A$2:$A$1001,1682),IF(1682&lt;=2000,INDEX($B$2:$B$1001,682),IF(1682&lt;=3000,INDEX($C$2:$C$1001,-318),IF(1682&lt;=4000,INDEX($D$2:$D$1001,-1318),IF(1682&lt;=5000,INDEX($E$2:$E$1001,-2318),"")))))</f>
        <v/>
      </c>
    </row>
    <row r="1684">
      <c r="G1684">
        <f>IF(1683&lt;=1000,INDEX($A$2:$A$1001,1683),IF(1683&lt;=2000,INDEX($B$2:$B$1001,683),IF(1683&lt;=3000,INDEX($C$2:$C$1001,-317),IF(1683&lt;=4000,INDEX($D$2:$D$1001,-1317),IF(1683&lt;=5000,INDEX($E$2:$E$1001,-2317),"")))))</f>
        <v/>
      </c>
    </row>
    <row r="1685">
      <c r="G1685">
        <f>IF(1684&lt;=1000,INDEX($A$2:$A$1001,1684),IF(1684&lt;=2000,INDEX($B$2:$B$1001,684),IF(1684&lt;=3000,INDEX($C$2:$C$1001,-316),IF(1684&lt;=4000,INDEX($D$2:$D$1001,-1316),IF(1684&lt;=5000,INDEX($E$2:$E$1001,-2316),"")))))</f>
        <v/>
      </c>
    </row>
    <row r="1686">
      <c r="G1686">
        <f>IF(1685&lt;=1000,INDEX($A$2:$A$1001,1685),IF(1685&lt;=2000,INDEX($B$2:$B$1001,685),IF(1685&lt;=3000,INDEX($C$2:$C$1001,-315),IF(1685&lt;=4000,INDEX($D$2:$D$1001,-1315),IF(1685&lt;=5000,INDEX($E$2:$E$1001,-2315),"")))))</f>
        <v/>
      </c>
    </row>
    <row r="1687">
      <c r="G1687">
        <f>IF(1686&lt;=1000,INDEX($A$2:$A$1001,1686),IF(1686&lt;=2000,INDEX($B$2:$B$1001,686),IF(1686&lt;=3000,INDEX($C$2:$C$1001,-314),IF(1686&lt;=4000,INDEX($D$2:$D$1001,-1314),IF(1686&lt;=5000,INDEX($E$2:$E$1001,-2314),"")))))</f>
        <v/>
      </c>
    </row>
    <row r="1688">
      <c r="G1688">
        <f>IF(1687&lt;=1000,INDEX($A$2:$A$1001,1687),IF(1687&lt;=2000,INDEX($B$2:$B$1001,687),IF(1687&lt;=3000,INDEX($C$2:$C$1001,-313),IF(1687&lt;=4000,INDEX($D$2:$D$1001,-1313),IF(1687&lt;=5000,INDEX($E$2:$E$1001,-2313),"")))))</f>
        <v/>
      </c>
    </row>
    <row r="1689">
      <c r="G1689">
        <f>IF(1688&lt;=1000,INDEX($A$2:$A$1001,1688),IF(1688&lt;=2000,INDEX($B$2:$B$1001,688),IF(1688&lt;=3000,INDEX($C$2:$C$1001,-312),IF(1688&lt;=4000,INDEX($D$2:$D$1001,-1312),IF(1688&lt;=5000,INDEX($E$2:$E$1001,-2312),"")))))</f>
        <v/>
      </c>
    </row>
    <row r="1690">
      <c r="G1690">
        <f>IF(1689&lt;=1000,INDEX($A$2:$A$1001,1689),IF(1689&lt;=2000,INDEX($B$2:$B$1001,689),IF(1689&lt;=3000,INDEX($C$2:$C$1001,-311),IF(1689&lt;=4000,INDEX($D$2:$D$1001,-1311),IF(1689&lt;=5000,INDEX($E$2:$E$1001,-2311),"")))))</f>
        <v/>
      </c>
    </row>
    <row r="1691">
      <c r="G1691">
        <f>IF(1690&lt;=1000,INDEX($A$2:$A$1001,1690),IF(1690&lt;=2000,INDEX($B$2:$B$1001,690),IF(1690&lt;=3000,INDEX($C$2:$C$1001,-310),IF(1690&lt;=4000,INDEX($D$2:$D$1001,-1310),IF(1690&lt;=5000,INDEX($E$2:$E$1001,-2310),"")))))</f>
        <v/>
      </c>
    </row>
    <row r="1692">
      <c r="G1692">
        <f>IF(1691&lt;=1000,INDEX($A$2:$A$1001,1691),IF(1691&lt;=2000,INDEX($B$2:$B$1001,691),IF(1691&lt;=3000,INDEX($C$2:$C$1001,-309),IF(1691&lt;=4000,INDEX($D$2:$D$1001,-1309),IF(1691&lt;=5000,INDEX($E$2:$E$1001,-2309),"")))))</f>
        <v/>
      </c>
    </row>
    <row r="1693">
      <c r="G1693">
        <f>IF(1692&lt;=1000,INDEX($A$2:$A$1001,1692),IF(1692&lt;=2000,INDEX($B$2:$B$1001,692),IF(1692&lt;=3000,INDEX($C$2:$C$1001,-308),IF(1692&lt;=4000,INDEX($D$2:$D$1001,-1308),IF(1692&lt;=5000,INDEX($E$2:$E$1001,-2308),"")))))</f>
        <v/>
      </c>
    </row>
    <row r="1694">
      <c r="G1694">
        <f>IF(1693&lt;=1000,INDEX($A$2:$A$1001,1693),IF(1693&lt;=2000,INDEX($B$2:$B$1001,693),IF(1693&lt;=3000,INDEX($C$2:$C$1001,-307),IF(1693&lt;=4000,INDEX($D$2:$D$1001,-1307),IF(1693&lt;=5000,INDEX($E$2:$E$1001,-2307),"")))))</f>
        <v/>
      </c>
    </row>
    <row r="1695">
      <c r="G1695">
        <f>IF(1694&lt;=1000,INDEX($A$2:$A$1001,1694),IF(1694&lt;=2000,INDEX($B$2:$B$1001,694),IF(1694&lt;=3000,INDEX($C$2:$C$1001,-306),IF(1694&lt;=4000,INDEX($D$2:$D$1001,-1306),IF(1694&lt;=5000,INDEX($E$2:$E$1001,-2306),"")))))</f>
        <v/>
      </c>
    </row>
    <row r="1696">
      <c r="G1696">
        <f>IF(1695&lt;=1000,INDEX($A$2:$A$1001,1695),IF(1695&lt;=2000,INDEX($B$2:$B$1001,695),IF(1695&lt;=3000,INDEX($C$2:$C$1001,-305),IF(1695&lt;=4000,INDEX($D$2:$D$1001,-1305),IF(1695&lt;=5000,INDEX($E$2:$E$1001,-2305),"")))))</f>
        <v/>
      </c>
    </row>
    <row r="1697">
      <c r="G1697">
        <f>IF(1696&lt;=1000,INDEX($A$2:$A$1001,1696),IF(1696&lt;=2000,INDEX($B$2:$B$1001,696),IF(1696&lt;=3000,INDEX($C$2:$C$1001,-304),IF(1696&lt;=4000,INDEX($D$2:$D$1001,-1304),IF(1696&lt;=5000,INDEX($E$2:$E$1001,-2304),"")))))</f>
        <v/>
      </c>
    </row>
    <row r="1698">
      <c r="G1698">
        <f>IF(1697&lt;=1000,INDEX($A$2:$A$1001,1697),IF(1697&lt;=2000,INDEX($B$2:$B$1001,697),IF(1697&lt;=3000,INDEX($C$2:$C$1001,-303),IF(1697&lt;=4000,INDEX($D$2:$D$1001,-1303),IF(1697&lt;=5000,INDEX($E$2:$E$1001,-2303),"")))))</f>
        <v/>
      </c>
    </row>
    <row r="1699">
      <c r="G1699">
        <f>IF(1698&lt;=1000,INDEX($A$2:$A$1001,1698),IF(1698&lt;=2000,INDEX($B$2:$B$1001,698),IF(1698&lt;=3000,INDEX($C$2:$C$1001,-302),IF(1698&lt;=4000,INDEX($D$2:$D$1001,-1302),IF(1698&lt;=5000,INDEX($E$2:$E$1001,-2302),"")))))</f>
        <v/>
      </c>
    </row>
    <row r="1700">
      <c r="G1700">
        <f>IF(1699&lt;=1000,INDEX($A$2:$A$1001,1699),IF(1699&lt;=2000,INDEX($B$2:$B$1001,699),IF(1699&lt;=3000,INDEX($C$2:$C$1001,-301),IF(1699&lt;=4000,INDEX($D$2:$D$1001,-1301),IF(1699&lt;=5000,INDEX($E$2:$E$1001,-2301),"")))))</f>
        <v/>
      </c>
    </row>
    <row r="1701">
      <c r="G1701">
        <f>IF(1700&lt;=1000,INDEX($A$2:$A$1001,1700),IF(1700&lt;=2000,INDEX($B$2:$B$1001,700),IF(1700&lt;=3000,INDEX($C$2:$C$1001,-300),IF(1700&lt;=4000,INDEX($D$2:$D$1001,-1300),IF(1700&lt;=5000,INDEX($E$2:$E$1001,-2300),"")))))</f>
        <v/>
      </c>
    </row>
    <row r="1702">
      <c r="G1702">
        <f>IF(1701&lt;=1000,INDEX($A$2:$A$1001,1701),IF(1701&lt;=2000,INDEX($B$2:$B$1001,701),IF(1701&lt;=3000,INDEX($C$2:$C$1001,-299),IF(1701&lt;=4000,INDEX($D$2:$D$1001,-1299),IF(1701&lt;=5000,INDEX($E$2:$E$1001,-2299),"")))))</f>
        <v/>
      </c>
    </row>
    <row r="1703">
      <c r="G1703">
        <f>IF(1702&lt;=1000,INDEX($A$2:$A$1001,1702),IF(1702&lt;=2000,INDEX($B$2:$B$1001,702),IF(1702&lt;=3000,INDEX($C$2:$C$1001,-298),IF(1702&lt;=4000,INDEX($D$2:$D$1001,-1298),IF(1702&lt;=5000,INDEX($E$2:$E$1001,-2298),"")))))</f>
        <v/>
      </c>
    </row>
    <row r="1704">
      <c r="G1704">
        <f>IF(1703&lt;=1000,INDEX($A$2:$A$1001,1703),IF(1703&lt;=2000,INDEX($B$2:$B$1001,703),IF(1703&lt;=3000,INDEX($C$2:$C$1001,-297),IF(1703&lt;=4000,INDEX($D$2:$D$1001,-1297),IF(1703&lt;=5000,INDEX($E$2:$E$1001,-2297),"")))))</f>
        <v/>
      </c>
    </row>
    <row r="1705">
      <c r="G1705">
        <f>IF(1704&lt;=1000,INDEX($A$2:$A$1001,1704),IF(1704&lt;=2000,INDEX($B$2:$B$1001,704),IF(1704&lt;=3000,INDEX($C$2:$C$1001,-296),IF(1704&lt;=4000,INDEX($D$2:$D$1001,-1296),IF(1704&lt;=5000,INDEX($E$2:$E$1001,-2296),"")))))</f>
        <v/>
      </c>
    </row>
    <row r="1706">
      <c r="G1706">
        <f>IF(1705&lt;=1000,INDEX($A$2:$A$1001,1705),IF(1705&lt;=2000,INDEX($B$2:$B$1001,705),IF(1705&lt;=3000,INDEX($C$2:$C$1001,-295),IF(1705&lt;=4000,INDEX($D$2:$D$1001,-1295),IF(1705&lt;=5000,INDEX($E$2:$E$1001,-2295),"")))))</f>
        <v/>
      </c>
    </row>
    <row r="1707">
      <c r="G1707">
        <f>IF(1706&lt;=1000,INDEX($A$2:$A$1001,1706),IF(1706&lt;=2000,INDEX($B$2:$B$1001,706),IF(1706&lt;=3000,INDEX($C$2:$C$1001,-294),IF(1706&lt;=4000,INDEX($D$2:$D$1001,-1294),IF(1706&lt;=5000,INDEX($E$2:$E$1001,-2294),"")))))</f>
        <v/>
      </c>
    </row>
    <row r="1708">
      <c r="G1708">
        <f>IF(1707&lt;=1000,INDEX($A$2:$A$1001,1707),IF(1707&lt;=2000,INDEX($B$2:$B$1001,707),IF(1707&lt;=3000,INDEX($C$2:$C$1001,-293),IF(1707&lt;=4000,INDEX($D$2:$D$1001,-1293),IF(1707&lt;=5000,INDEX($E$2:$E$1001,-2293),"")))))</f>
        <v/>
      </c>
    </row>
    <row r="1709">
      <c r="G1709">
        <f>IF(1708&lt;=1000,INDEX($A$2:$A$1001,1708),IF(1708&lt;=2000,INDEX($B$2:$B$1001,708),IF(1708&lt;=3000,INDEX($C$2:$C$1001,-292),IF(1708&lt;=4000,INDEX($D$2:$D$1001,-1292),IF(1708&lt;=5000,INDEX($E$2:$E$1001,-2292),"")))))</f>
        <v/>
      </c>
    </row>
    <row r="1710">
      <c r="G1710">
        <f>IF(1709&lt;=1000,INDEX($A$2:$A$1001,1709),IF(1709&lt;=2000,INDEX($B$2:$B$1001,709),IF(1709&lt;=3000,INDEX($C$2:$C$1001,-291),IF(1709&lt;=4000,INDEX($D$2:$D$1001,-1291),IF(1709&lt;=5000,INDEX($E$2:$E$1001,-2291),"")))))</f>
        <v/>
      </c>
    </row>
    <row r="1711">
      <c r="G1711">
        <f>IF(1710&lt;=1000,INDEX($A$2:$A$1001,1710),IF(1710&lt;=2000,INDEX($B$2:$B$1001,710),IF(1710&lt;=3000,INDEX($C$2:$C$1001,-290),IF(1710&lt;=4000,INDEX($D$2:$D$1001,-1290),IF(1710&lt;=5000,INDEX($E$2:$E$1001,-2290),"")))))</f>
        <v/>
      </c>
    </row>
    <row r="1712">
      <c r="G1712">
        <f>IF(1711&lt;=1000,INDEX($A$2:$A$1001,1711),IF(1711&lt;=2000,INDEX($B$2:$B$1001,711),IF(1711&lt;=3000,INDEX($C$2:$C$1001,-289),IF(1711&lt;=4000,INDEX($D$2:$D$1001,-1289),IF(1711&lt;=5000,INDEX($E$2:$E$1001,-2289),"")))))</f>
        <v/>
      </c>
    </row>
    <row r="1713">
      <c r="G1713">
        <f>IF(1712&lt;=1000,INDEX($A$2:$A$1001,1712),IF(1712&lt;=2000,INDEX($B$2:$B$1001,712),IF(1712&lt;=3000,INDEX($C$2:$C$1001,-288),IF(1712&lt;=4000,INDEX($D$2:$D$1001,-1288),IF(1712&lt;=5000,INDEX($E$2:$E$1001,-2288),"")))))</f>
        <v/>
      </c>
    </row>
    <row r="1714">
      <c r="G1714">
        <f>IF(1713&lt;=1000,INDEX($A$2:$A$1001,1713),IF(1713&lt;=2000,INDEX($B$2:$B$1001,713),IF(1713&lt;=3000,INDEX($C$2:$C$1001,-287),IF(1713&lt;=4000,INDEX($D$2:$D$1001,-1287),IF(1713&lt;=5000,INDEX($E$2:$E$1001,-2287),"")))))</f>
        <v/>
      </c>
    </row>
    <row r="1715">
      <c r="G1715">
        <f>IF(1714&lt;=1000,INDEX($A$2:$A$1001,1714),IF(1714&lt;=2000,INDEX($B$2:$B$1001,714),IF(1714&lt;=3000,INDEX($C$2:$C$1001,-286),IF(1714&lt;=4000,INDEX($D$2:$D$1001,-1286),IF(1714&lt;=5000,INDEX($E$2:$E$1001,-2286),"")))))</f>
        <v/>
      </c>
    </row>
    <row r="1716">
      <c r="G1716">
        <f>IF(1715&lt;=1000,INDEX($A$2:$A$1001,1715),IF(1715&lt;=2000,INDEX($B$2:$B$1001,715),IF(1715&lt;=3000,INDEX($C$2:$C$1001,-285),IF(1715&lt;=4000,INDEX($D$2:$D$1001,-1285),IF(1715&lt;=5000,INDEX($E$2:$E$1001,-2285),"")))))</f>
        <v/>
      </c>
    </row>
    <row r="1717">
      <c r="G1717">
        <f>IF(1716&lt;=1000,INDEX($A$2:$A$1001,1716),IF(1716&lt;=2000,INDEX($B$2:$B$1001,716),IF(1716&lt;=3000,INDEX($C$2:$C$1001,-284),IF(1716&lt;=4000,INDEX($D$2:$D$1001,-1284),IF(1716&lt;=5000,INDEX($E$2:$E$1001,-2284),"")))))</f>
        <v/>
      </c>
    </row>
    <row r="1718">
      <c r="G1718">
        <f>IF(1717&lt;=1000,INDEX($A$2:$A$1001,1717),IF(1717&lt;=2000,INDEX($B$2:$B$1001,717),IF(1717&lt;=3000,INDEX($C$2:$C$1001,-283),IF(1717&lt;=4000,INDEX($D$2:$D$1001,-1283),IF(1717&lt;=5000,INDEX($E$2:$E$1001,-2283),"")))))</f>
        <v/>
      </c>
    </row>
    <row r="1719">
      <c r="G1719">
        <f>IF(1718&lt;=1000,INDEX($A$2:$A$1001,1718),IF(1718&lt;=2000,INDEX($B$2:$B$1001,718),IF(1718&lt;=3000,INDEX($C$2:$C$1001,-282),IF(1718&lt;=4000,INDEX($D$2:$D$1001,-1282),IF(1718&lt;=5000,INDEX($E$2:$E$1001,-2282),"")))))</f>
        <v/>
      </c>
    </row>
    <row r="1720">
      <c r="G1720">
        <f>IF(1719&lt;=1000,INDEX($A$2:$A$1001,1719),IF(1719&lt;=2000,INDEX($B$2:$B$1001,719),IF(1719&lt;=3000,INDEX($C$2:$C$1001,-281),IF(1719&lt;=4000,INDEX($D$2:$D$1001,-1281),IF(1719&lt;=5000,INDEX($E$2:$E$1001,-2281),"")))))</f>
        <v/>
      </c>
    </row>
    <row r="1721">
      <c r="G1721">
        <f>IF(1720&lt;=1000,INDEX($A$2:$A$1001,1720),IF(1720&lt;=2000,INDEX($B$2:$B$1001,720),IF(1720&lt;=3000,INDEX($C$2:$C$1001,-280),IF(1720&lt;=4000,INDEX($D$2:$D$1001,-1280),IF(1720&lt;=5000,INDEX($E$2:$E$1001,-2280),"")))))</f>
        <v/>
      </c>
    </row>
    <row r="1722">
      <c r="G1722">
        <f>IF(1721&lt;=1000,INDEX($A$2:$A$1001,1721),IF(1721&lt;=2000,INDEX($B$2:$B$1001,721),IF(1721&lt;=3000,INDEX($C$2:$C$1001,-279),IF(1721&lt;=4000,INDEX($D$2:$D$1001,-1279),IF(1721&lt;=5000,INDEX($E$2:$E$1001,-2279),"")))))</f>
        <v/>
      </c>
    </row>
    <row r="1723">
      <c r="G1723">
        <f>IF(1722&lt;=1000,INDEX($A$2:$A$1001,1722),IF(1722&lt;=2000,INDEX($B$2:$B$1001,722),IF(1722&lt;=3000,INDEX($C$2:$C$1001,-278),IF(1722&lt;=4000,INDEX($D$2:$D$1001,-1278),IF(1722&lt;=5000,INDEX($E$2:$E$1001,-2278),"")))))</f>
        <v/>
      </c>
    </row>
    <row r="1724">
      <c r="G1724">
        <f>IF(1723&lt;=1000,INDEX($A$2:$A$1001,1723),IF(1723&lt;=2000,INDEX($B$2:$B$1001,723),IF(1723&lt;=3000,INDEX($C$2:$C$1001,-277),IF(1723&lt;=4000,INDEX($D$2:$D$1001,-1277),IF(1723&lt;=5000,INDEX($E$2:$E$1001,-2277),"")))))</f>
        <v/>
      </c>
    </row>
    <row r="1725">
      <c r="G1725">
        <f>IF(1724&lt;=1000,INDEX($A$2:$A$1001,1724),IF(1724&lt;=2000,INDEX($B$2:$B$1001,724),IF(1724&lt;=3000,INDEX($C$2:$C$1001,-276),IF(1724&lt;=4000,INDEX($D$2:$D$1001,-1276),IF(1724&lt;=5000,INDEX($E$2:$E$1001,-2276),"")))))</f>
        <v/>
      </c>
    </row>
    <row r="1726">
      <c r="G1726">
        <f>IF(1725&lt;=1000,INDEX($A$2:$A$1001,1725),IF(1725&lt;=2000,INDEX($B$2:$B$1001,725),IF(1725&lt;=3000,INDEX($C$2:$C$1001,-275),IF(1725&lt;=4000,INDEX($D$2:$D$1001,-1275),IF(1725&lt;=5000,INDEX($E$2:$E$1001,-2275),"")))))</f>
        <v/>
      </c>
    </row>
    <row r="1727">
      <c r="G1727">
        <f>IF(1726&lt;=1000,INDEX($A$2:$A$1001,1726),IF(1726&lt;=2000,INDEX($B$2:$B$1001,726),IF(1726&lt;=3000,INDEX($C$2:$C$1001,-274),IF(1726&lt;=4000,INDEX($D$2:$D$1001,-1274),IF(1726&lt;=5000,INDEX($E$2:$E$1001,-2274),"")))))</f>
        <v/>
      </c>
    </row>
    <row r="1728">
      <c r="G1728">
        <f>IF(1727&lt;=1000,INDEX($A$2:$A$1001,1727),IF(1727&lt;=2000,INDEX($B$2:$B$1001,727),IF(1727&lt;=3000,INDEX($C$2:$C$1001,-273),IF(1727&lt;=4000,INDEX($D$2:$D$1001,-1273),IF(1727&lt;=5000,INDEX($E$2:$E$1001,-2273),"")))))</f>
        <v/>
      </c>
    </row>
    <row r="1729">
      <c r="G1729">
        <f>IF(1728&lt;=1000,INDEX($A$2:$A$1001,1728),IF(1728&lt;=2000,INDEX($B$2:$B$1001,728),IF(1728&lt;=3000,INDEX($C$2:$C$1001,-272),IF(1728&lt;=4000,INDEX($D$2:$D$1001,-1272),IF(1728&lt;=5000,INDEX($E$2:$E$1001,-2272),"")))))</f>
        <v/>
      </c>
    </row>
    <row r="1730">
      <c r="G1730">
        <f>IF(1729&lt;=1000,INDEX($A$2:$A$1001,1729),IF(1729&lt;=2000,INDEX($B$2:$B$1001,729),IF(1729&lt;=3000,INDEX($C$2:$C$1001,-271),IF(1729&lt;=4000,INDEX($D$2:$D$1001,-1271),IF(1729&lt;=5000,INDEX($E$2:$E$1001,-2271),"")))))</f>
        <v/>
      </c>
    </row>
    <row r="1731">
      <c r="G1731">
        <f>IF(1730&lt;=1000,INDEX($A$2:$A$1001,1730),IF(1730&lt;=2000,INDEX($B$2:$B$1001,730),IF(1730&lt;=3000,INDEX($C$2:$C$1001,-270),IF(1730&lt;=4000,INDEX($D$2:$D$1001,-1270),IF(1730&lt;=5000,INDEX($E$2:$E$1001,-2270),"")))))</f>
        <v/>
      </c>
    </row>
    <row r="1732">
      <c r="G1732">
        <f>IF(1731&lt;=1000,INDEX($A$2:$A$1001,1731),IF(1731&lt;=2000,INDEX($B$2:$B$1001,731),IF(1731&lt;=3000,INDEX($C$2:$C$1001,-269),IF(1731&lt;=4000,INDEX($D$2:$D$1001,-1269),IF(1731&lt;=5000,INDEX($E$2:$E$1001,-2269),"")))))</f>
        <v/>
      </c>
    </row>
    <row r="1733">
      <c r="G1733">
        <f>IF(1732&lt;=1000,INDEX($A$2:$A$1001,1732),IF(1732&lt;=2000,INDEX($B$2:$B$1001,732),IF(1732&lt;=3000,INDEX($C$2:$C$1001,-268),IF(1732&lt;=4000,INDEX($D$2:$D$1001,-1268),IF(1732&lt;=5000,INDEX($E$2:$E$1001,-2268),"")))))</f>
        <v/>
      </c>
    </row>
    <row r="1734">
      <c r="G1734">
        <f>IF(1733&lt;=1000,INDEX($A$2:$A$1001,1733),IF(1733&lt;=2000,INDEX($B$2:$B$1001,733),IF(1733&lt;=3000,INDEX($C$2:$C$1001,-267),IF(1733&lt;=4000,INDEX($D$2:$D$1001,-1267),IF(1733&lt;=5000,INDEX($E$2:$E$1001,-2267),"")))))</f>
        <v/>
      </c>
    </row>
    <row r="1735">
      <c r="G1735">
        <f>IF(1734&lt;=1000,INDEX($A$2:$A$1001,1734),IF(1734&lt;=2000,INDEX($B$2:$B$1001,734),IF(1734&lt;=3000,INDEX($C$2:$C$1001,-266),IF(1734&lt;=4000,INDEX($D$2:$D$1001,-1266),IF(1734&lt;=5000,INDEX($E$2:$E$1001,-2266),"")))))</f>
        <v/>
      </c>
    </row>
    <row r="1736">
      <c r="G1736">
        <f>IF(1735&lt;=1000,INDEX($A$2:$A$1001,1735),IF(1735&lt;=2000,INDEX($B$2:$B$1001,735),IF(1735&lt;=3000,INDEX($C$2:$C$1001,-265),IF(1735&lt;=4000,INDEX($D$2:$D$1001,-1265),IF(1735&lt;=5000,INDEX($E$2:$E$1001,-2265),"")))))</f>
        <v/>
      </c>
    </row>
    <row r="1737">
      <c r="G1737">
        <f>IF(1736&lt;=1000,INDEX($A$2:$A$1001,1736),IF(1736&lt;=2000,INDEX($B$2:$B$1001,736),IF(1736&lt;=3000,INDEX($C$2:$C$1001,-264),IF(1736&lt;=4000,INDEX($D$2:$D$1001,-1264),IF(1736&lt;=5000,INDEX($E$2:$E$1001,-2264),"")))))</f>
        <v/>
      </c>
    </row>
    <row r="1738">
      <c r="G1738">
        <f>IF(1737&lt;=1000,INDEX($A$2:$A$1001,1737),IF(1737&lt;=2000,INDEX($B$2:$B$1001,737),IF(1737&lt;=3000,INDEX($C$2:$C$1001,-263),IF(1737&lt;=4000,INDEX($D$2:$D$1001,-1263),IF(1737&lt;=5000,INDEX($E$2:$E$1001,-2263),"")))))</f>
        <v/>
      </c>
    </row>
    <row r="1739">
      <c r="G1739">
        <f>IF(1738&lt;=1000,INDEX($A$2:$A$1001,1738),IF(1738&lt;=2000,INDEX($B$2:$B$1001,738),IF(1738&lt;=3000,INDEX($C$2:$C$1001,-262),IF(1738&lt;=4000,INDEX($D$2:$D$1001,-1262),IF(1738&lt;=5000,INDEX($E$2:$E$1001,-2262),"")))))</f>
        <v/>
      </c>
    </row>
    <row r="1740">
      <c r="G1740">
        <f>IF(1739&lt;=1000,INDEX($A$2:$A$1001,1739),IF(1739&lt;=2000,INDEX($B$2:$B$1001,739),IF(1739&lt;=3000,INDEX($C$2:$C$1001,-261),IF(1739&lt;=4000,INDEX($D$2:$D$1001,-1261),IF(1739&lt;=5000,INDEX($E$2:$E$1001,-2261),"")))))</f>
        <v/>
      </c>
    </row>
    <row r="1741">
      <c r="G1741">
        <f>IF(1740&lt;=1000,INDEX($A$2:$A$1001,1740),IF(1740&lt;=2000,INDEX($B$2:$B$1001,740),IF(1740&lt;=3000,INDEX($C$2:$C$1001,-260),IF(1740&lt;=4000,INDEX($D$2:$D$1001,-1260),IF(1740&lt;=5000,INDEX($E$2:$E$1001,-2260),"")))))</f>
        <v/>
      </c>
    </row>
    <row r="1742">
      <c r="G1742">
        <f>IF(1741&lt;=1000,INDEX($A$2:$A$1001,1741),IF(1741&lt;=2000,INDEX($B$2:$B$1001,741),IF(1741&lt;=3000,INDEX($C$2:$C$1001,-259),IF(1741&lt;=4000,INDEX($D$2:$D$1001,-1259),IF(1741&lt;=5000,INDEX($E$2:$E$1001,-2259),"")))))</f>
        <v/>
      </c>
    </row>
    <row r="1743">
      <c r="G1743">
        <f>IF(1742&lt;=1000,INDEX($A$2:$A$1001,1742),IF(1742&lt;=2000,INDEX($B$2:$B$1001,742),IF(1742&lt;=3000,INDEX($C$2:$C$1001,-258),IF(1742&lt;=4000,INDEX($D$2:$D$1001,-1258),IF(1742&lt;=5000,INDEX($E$2:$E$1001,-2258),"")))))</f>
        <v/>
      </c>
    </row>
    <row r="1744">
      <c r="G1744">
        <f>IF(1743&lt;=1000,INDEX($A$2:$A$1001,1743),IF(1743&lt;=2000,INDEX($B$2:$B$1001,743),IF(1743&lt;=3000,INDEX($C$2:$C$1001,-257),IF(1743&lt;=4000,INDEX($D$2:$D$1001,-1257),IF(1743&lt;=5000,INDEX($E$2:$E$1001,-2257),"")))))</f>
        <v/>
      </c>
    </row>
    <row r="1745">
      <c r="G1745">
        <f>IF(1744&lt;=1000,INDEX($A$2:$A$1001,1744),IF(1744&lt;=2000,INDEX($B$2:$B$1001,744),IF(1744&lt;=3000,INDEX($C$2:$C$1001,-256),IF(1744&lt;=4000,INDEX($D$2:$D$1001,-1256),IF(1744&lt;=5000,INDEX($E$2:$E$1001,-2256),"")))))</f>
        <v/>
      </c>
    </row>
    <row r="1746">
      <c r="G1746">
        <f>IF(1745&lt;=1000,INDEX($A$2:$A$1001,1745),IF(1745&lt;=2000,INDEX($B$2:$B$1001,745),IF(1745&lt;=3000,INDEX($C$2:$C$1001,-255),IF(1745&lt;=4000,INDEX($D$2:$D$1001,-1255),IF(1745&lt;=5000,INDEX($E$2:$E$1001,-2255),"")))))</f>
        <v/>
      </c>
    </row>
    <row r="1747">
      <c r="G1747">
        <f>IF(1746&lt;=1000,INDEX($A$2:$A$1001,1746),IF(1746&lt;=2000,INDEX($B$2:$B$1001,746),IF(1746&lt;=3000,INDEX($C$2:$C$1001,-254),IF(1746&lt;=4000,INDEX($D$2:$D$1001,-1254),IF(1746&lt;=5000,INDEX($E$2:$E$1001,-2254),"")))))</f>
        <v/>
      </c>
    </row>
    <row r="1748">
      <c r="G1748">
        <f>IF(1747&lt;=1000,INDEX($A$2:$A$1001,1747),IF(1747&lt;=2000,INDEX($B$2:$B$1001,747),IF(1747&lt;=3000,INDEX($C$2:$C$1001,-253),IF(1747&lt;=4000,INDEX($D$2:$D$1001,-1253),IF(1747&lt;=5000,INDEX($E$2:$E$1001,-2253),"")))))</f>
        <v/>
      </c>
    </row>
    <row r="1749">
      <c r="G1749">
        <f>IF(1748&lt;=1000,INDEX($A$2:$A$1001,1748),IF(1748&lt;=2000,INDEX($B$2:$B$1001,748),IF(1748&lt;=3000,INDEX($C$2:$C$1001,-252),IF(1748&lt;=4000,INDEX($D$2:$D$1001,-1252),IF(1748&lt;=5000,INDEX($E$2:$E$1001,-2252),"")))))</f>
        <v/>
      </c>
    </row>
    <row r="1750">
      <c r="G1750">
        <f>IF(1749&lt;=1000,INDEX($A$2:$A$1001,1749),IF(1749&lt;=2000,INDEX($B$2:$B$1001,749),IF(1749&lt;=3000,INDEX($C$2:$C$1001,-251),IF(1749&lt;=4000,INDEX($D$2:$D$1001,-1251),IF(1749&lt;=5000,INDEX($E$2:$E$1001,-2251),"")))))</f>
        <v/>
      </c>
    </row>
    <row r="1751">
      <c r="G1751">
        <f>IF(1750&lt;=1000,INDEX($A$2:$A$1001,1750),IF(1750&lt;=2000,INDEX($B$2:$B$1001,750),IF(1750&lt;=3000,INDEX($C$2:$C$1001,-250),IF(1750&lt;=4000,INDEX($D$2:$D$1001,-1250),IF(1750&lt;=5000,INDEX($E$2:$E$1001,-2250),"")))))</f>
        <v/>
      </c>
    </row>
    <row r="1752">
      <c r="G1752">
        <f>IF(1751&lt;=1000,INDEX($A$2:$A$1001,1751),IF(1751&lt;=2000,INDEX($B$2:$B$1001,751),IF(1751&lt;=3000,INDEX($C$2:$C$1001,-249),IF(1751&lt;=4000,INDEX($D$2:$D$1001,-1249),IF(1751&lt;=5000,INDEX($E$2:$E$1001,-2249),"")))))</f>
        <v/>
      </c>
    </row>
    <row r="1753">
      <c r="G1753">
        <f>IF(1752&lt;=1000,INDEX($A$2:$A$1001,1752),IF(1752&lt;=2000,INDEX($B$2:$B$1001,752),IF(1752&lt;=3000,INDEX($C$2:$C$1001,-248),IF(1752&lt;=4000,INDEX($D$2:$D$1001,-1248),IF(1752&lt;=5000,INDEX($E$2:$E$1001,-2248),"")))))</f>
        <v/>
      </c>
    </row>
    <row r="1754">
      <c r="G1754">
        <f>IF(1753&lt;=1000,INDEX($A$2:$A$1001,1753),IF(1753&lt;=2000,INDEX($B$2:$B$1001,753),IF(1753&lt;=3000,INDEX($C$2:$C$1001,-247),IF(1753&lt;=4000,INDEX($D$2:$D$1001,-1247),IF(1753&lt;=5000,INDEX($E$2:$E$1001,-2247),"")))))</f>
        <v/>
      </c>
    </row>
    <row r="1755">
      <c r="G1755">
        <f>IF(1754&lt;=1000,INDEX($A$2:$A$1001,1754),IF(1754&lt;=2000,INDEX($B$2:$B$1001,754),IF(1754&lt;=3000,INDEX($C$2:$C$1001,-246),IF(1754&lt;=4000,INDEX($D$2:$D$1001,-1246),IF(1754&lt;=5000,INDEX($E$2:$E$1001,-2246),"")))))</f>
        <v/>
      </c>
    </row>
    <row r="1756">
      <c r="G1756">
        <f>IF(1755&lt;=1000,INDEX($A$2:$A$1001,1755),IF(1755&lt;=2000,INDEX($B$2:$B$1001,755),IF(1755&lt;=3000,INDEX($C$2:$C$1001,-245),IF(1755&lt;=4000,INDEX($D$2:$D$1001,-1245),IF(1755&lt;=5000,INDEX($E$2:$E$1001,-2245),"")))))</f>
        <v/>
      </c>
    </row>
    <row r="1757">
      <c r="G1757">
        <f>IF(1756&lt;=1000,INDEX($A$2:$A$1001,1756),IF(1756&lt;=2000,INDEX($B$2:$B$1001,756),IF(1756&lt;=3000,INDEX($C$2:$C$1001,-244),IF(1756&lt;=4000,INDEX($D$2:$D$1001,-1244),IF(1756&lt;=5000,INDEX($E$2:$E$1001,-2244),"")))))</f>
        <v/>
      </c>
    </row>
    <row r="1758">
      <c r="G1758">
        <f>IF(1757&lt;=1000,INDEX($A$2:$A$1001,1757),IF(1757&lt;=2000,INDEX($B$2:$B$1001,757),IF(1757&lt;=3000,INDEX($C$2:$C$1001,-243),IF(1757&lt;=4000,INDEX($D$2:$D$1001,-1243),IF(1757&lt;=5000,INDEX($E$2:$E$1001,-2243),"")))))</f>
        <v/>
      </c>
    </row>
    <row r="1759">
      <c r="G1759">
        <f>IF(1758&lt;=1000,INDEX($A$2:$A$1001,1758),IF(1758&lt;=2000,INDEX($B$2:$B$1001,758),IF(1758&lt;=3000,INDEX($C$2:$C$1001,-242),IF(1758&lt;=4000,INDEX($D$2:$D$1001,-1242),IF(1758&lt;=5000,INDEX($E$2:$E$1001,-2242),"")))))</f>
        <v/>
      </c>
    </row>
    <row r="1760">
      <c r="G1760">
        <f>IF(1759&lt;=1000,INDEX($A$2:$A$1001,1759),IF(1759&lt;=2000,INDEX($B$2:$B$1001,759),IF(1759&lt;=3000,INDEX($C$2:$C$1001,-241),IF(1759&lt;=4000,INDEX($D$2:$D$1001,-1241),IF(1759&lt;=5000,INDEX($E$2:$E$1001,-2241),"")))))</f>
        <v/>
      </c>
    </row>
    <row r="1761">
      <c r="G1761">
        <f>IF(1760&lt;=1000,INDEX($A$2:$A$1001,1760),IF(1760&lt;=2000,INDEX($B$2:$B$1001,760),IF(1760&lt;=3000,INDEX($C$2:$C$1001,-240),IF(1760&lt;=4000,INDEX($D$2:$D$1001,-1240),IF(1760&lt;=5000,INDEX($E$2:$E$1001,-2240),"")))))</f>
        <v/>
      </c>
    </row>
    <row r="1762">
      <c r="G1762">
        <f>IF(1761&lt;=1000,INDEX($A$2:$A$1001,1761),IF(1761&lt;=2000,INDEX($B$2:$B$1001,761),IF(1761&lt;=3000,INDEX($C$2:$C$1001,-239),IF(1761&lt;=4000,INDEX($D$2:$D$1001,-1239),IF(1761&lt;=5000,INDEX($E$2:$E$1001,-2239),"")))))</f>
        <v/>
      </c>
    </row>
    <row r="1763">
      <c r="G1763">
        <f>IF(1762&lt;=1000,INDEX($A$2:$A$1001,1762),IF(1762&lt;=2000,INDEX($B$2:$B$1001,762),IF(1762&lt;=3000,INDEX($C$2:$C$1001,-238),IF(1762&lt;=4000,INDEX($D$2:$D$1001,-1238),IF(1762&lt;=5000,INDEX($E$2:$E$1001,-2238),"")))))</f>
        <v/>
      </c>
    </row>
    <row r="1764">
      <c r="G1764">
        <f>IF(1763&lt;=1000,INDEX($A$2:$A$1001,1763),IF(1763&lt;=2000,INDEX($B$2:$B$1001,763),IF(1763&lt;=3000,INDEX($C$2:$C$1001,-237),IF(1763&lt;=4000,INDEX($D$2:$D$1001,-1237),IF(1763&lt;=5000,INDEX($E$2:$E$1001,-2237),"")))))</f>
        <v/>
      </c>
    </row>
    <row r="1765">
      <c r="G1765">
        <f>IF(1764&lt;=1000,INDEX($A$2:$A$1001,1764),IF(1764&lt;=2000,INDEX($B$2:$B$1001,764),IF(1764&lt;=3000,INDEX($C$2:$C$1001,-236),IF(1764&lt;=4000,INDEX($D$2:$D$1001,-1236),IF(1764&lt;=5000,INDEX($E$2:$E$1001,-2236),"")))))</f>
        <v/>
      </c>
    </row>
    <row r="1766">
      <c r="G1766">
        <f>IF(1765&lt;=1000,INDEX($A$2:$A$1001,1765),IF(1765&lt;=2000,INDEX($B$2:$B$1001,765),IF(1765&lt;=3000,INDEX($C$2:$C$1001,-235),IF(1765&lt;=4000,INDEX($D$2:$D$1001,-1235),IF(1765&lt;=5000,INDEX($E$2:$E$1001,-2235),"")))))</f>
        <v/>
      </c>
    </row>
    <row r="1767">
      <c r="G1767">
        <f>IF(1766&lt;=1000,INDEX($A$2:$A$1001,1766),IF(1766&lt;=2000,INDEX($B$2:$B$1001,766),IF(1766&lt;=3000,INDEX($C$2:$C$1001,-234),IF(1766&lt;=4000,INDEX($D$2:$D$1001,-1234),IF(1766&lt;=5000,INDEX($E$2:$E$1001,-2234),"")))))</f>
        <v/>
      </c>
    </row>
    <row r="1768">
      <c r="G1768">
        <f>IF(1767&lt;=1000,INDEX($A$2:$A$1001,1767),IF(1767&lt;=2000,INDEX($B$2:$B$1001,767),IF(1767&lt;=3000,INDEX($C$2:$C$1001,-233),IF(1767&lt;=4000,INDEX($D$2:$D$1001,-1233),IF(1767&lt;=5000,INDEX($E$2:$E$1001,-2233),"")))))</f>
        <v/>
      </c>
    </row>
    <row r="1769">
      <c r="G1769">
        <f>IF(1768&lt;=1000,INDEX($A$2:$A$1001,1768),IF(1768&lt;=2000,INDEX($B$2:$B$1001,768),IF(1768&lt;=3000,INDEX($C$2:$C$1001,-232),IF(1768&lt;=4000,INDEX($D$2:$D$1001,-1232),IF(1768&lt;=5000,INDEX($E$2:$E$1001,-2232),"")))))</f>
        <v/>
      </c>
    </row>
    <row r="1770">
      <c r="G1770">
        <f>IF(1769&lt;=1000,INDEX($A$2:$A$1001,1769),IF(1769&lt;=2000,INDEX($B$2:$B$1001,769),IF(1769&lt;=3000,INDEX($C$2:$C$1001,-231),IF(1769&lt;=4000,INDEX($D$2:$D$1001,-1231),IF(1769&lt;=5000,INDEX($E$2:$E$1001,-2231),"")))))</f>
        <v/>
      </c>
    </row>
    <row r="1771">
      <c r="G1771">
        <f>IF(1770&lt;=1000,INDEX($A$2:$A$1001,1770),IF(1770&lt;=2000,INDEX($B$2:$B$1001,770),IF(1770&lt;=3000,INDEX($C$2:$C$1001,-230),IF(1770&lt;=4000,INDEX($D$2:$D$1001,-1230),IF(1770&lt;=5000,INDEX($E$2:$E$1001,-2230),"")))))</f>
        <v/>
      </c>
    </row>
    <row r="1772">
      <c r="G1772">
        <f>IF(1771&lt;=1000,INDEX($A$2:$A$1001,1771),IF(1771&lt;=2000,INDEX($B$2:$B$1001,771),IF(1771&lt;=3000,INDEX($C$2:$C$1001,-229),IF(1771&lt;=4000,INDEX($D$2:$D$1001,-1229),IF(1771&lt;=5000,INDEX($E$2:$E$1001,-2229),"")))))</f>
        <v/>
      </c>
    </row>
    <row r="1773">
      <c r="G1773">
        <f>IF(1772&lt;=1000,INDEX($A$2:$A$1001,1772),IF(1772&lt;=2000,INDEX($B$2:$B$1001,772),IF(1772&lt;=3000,INDEX($C$2:$C$1001,-228),IF(1772&lt;=4000,INDEX($D$2:$D$1001,-1228),IF(1772&lt;=5000,INDEX($E$2:$E$1001,-2228),"")))))</f>
        <v/>
      </c>
    </row>
    <row r="1774">
      <c r="G1774">
        <f>IF(1773&lt;=1000,INDEX($A$2:$A$1001,1773),IF(1773&lt;=2000,INDEX($B$2:$B$1001,773),IF(1773&lt;=3000,INDEX($C$2:$C$1001,-227),IF(1773&lt;=4000,INDEX($D$2:$D$1001,-1227),IF(1773&lt;=5000,INDEX($E$2:$E$1001,-2227),"")))))</f>
        <v/>
      </c>
    </row>
    <row r="1775">
      <c r="G1775">
        <f>IF(1774&lt;=1000,INDEX($A$2:$A$1001,1774),IF(1774&lt;=2000,INDEX($B$2:$B$1001,774),IF(1774&lt;=3000,INDEX($C$2:$C$1001,-226),IF(1774&lt;=4000,INDEX($D$2:$D$1001,-1226),IF(1774&lt;=5000,INDEX($E$2:$E$1001,-2226),"")))))</f>
        <v/>
      </c>
    </row>
    <row r="1776">
      <c r="G1776">
        <f>IF(1775&lt;=1000,INDEX($A$2:$A$1001,1775),IF(1775&lt;=2000,INDEX($B$2:$B$1001,775),IF(1775&lt;=3000,INDEX($C$2:$C$1001,-225),IF(1775&lt;=4000,INDEX($D$2:$D$1001,-1225),IF(1775&lt;=5000,INDEX($E$2:$E$1001,-2225),"")))))</f>
        <v/>
      </c>
    </row>
    <row r="1777">
      <c r="G1777">
        <f>IF(1776&lt;=1000,INDEX($A$2:$A$1001,1776),IF(1776&lt;=2000,INDEX($B$2:$B$1001,776),IF(1776&lt;=3000,INDEX($C$2:$C$1001,-224),IF(1776&lt;=4000,INDEX($D$2:$D$1001,-1224),IF(1776&lt;=5000,INDEX($E$2:$E$1001,-2224),"")))))</f>
        <v/>
      </c>
    </row>
    <row r="1778">
      <c r="G1778">
        <f>IF(1777&lt;=1000,INDEX($A$2:$A$1001,1777),IF(1777&lt;=2000,INDEX($B$2:$B$1001,777),IF(1777&lt;=3000,INDEX($C$2:$C$1001,-223),IF(1777&lt;=4000,INDEX($D$2:$D$1001,-1223),IF(1777&lt;=5000,INDEX($E$2:$E$1001,-2223),"")))))</f>
        <v/>
      </c>
    </row>
    <row r="1779">
      <c r="G1779">
        <f>IF(1778&lt;=1000,INDEX($A$2:$A$1001,1778),IF(1778&lt;=2000,INDEX($B$2:$B$1001,778),IF(1778&lt;=3000,INDEX($C$2:$C$1001,-222),IF(1778&lt;=4000,INDEX($D$2:$D$1001,-1222),IF(1778&lt;=5000,INDEX($E$2:$E$1001,-2222),"")))))</f>
        <v/>
      </c>
    </row>
    <row r="1780">
      <c r="G1780">
        <f>IF(1779&lt;=1000,INDEX($A$2:$A$1001,1779),IF(1779&lt;=2000,INDEX($B$2:$B$1001,779),IF(1779&lt;=3000,INDEX($C$2:$C$1001,-221),IF(1779&lt;=4000,INDEX($D$2:$D$1001,-1221),IF(1779&lt;=5000,INDEX($E$2:$E$1001,-2221),"")))))</f>
        <v/>
      </c>
    </row>
    <row r="1781">
      <c r="G1781">
        <f>IF(1780&lt;=1000,INDEX($A$2:$A$1001,1780),IF(1780&lt;=2000,INDEX($B$2:$B$1001,780),IF(1780&lt;=3000,INDEX($C$2:$C$1001,-220),IF(1780&lt;=4000,INDEX($D$2:$D$1001,-1220),IF(1780&lt;=5000,INDEX($E$2:$E$1001,-2220),"")))))</f>
        <v/>
      </c>
    </row>
    <row r="1782">
      <c r="G1782">
        <f>IF(1781&lt;=1000,INDEX($A$2:$A$1001,1781),IF(1781&lt;=2000,INDEX($B$2:$B$1001,781),IF(1781&lt;=3000,INDEX($C$2:$C$1001,-219),IF(1781&lt;=4000,INDEX($D$2:$D$1001,-1219),IF(1781&lt;=5000,INDEX($E$2:$E$1001,-2219),"")))))</f>
        <v/>
      </c>
    </row>
    <row r="1783">
      <c r="G1783">
        <f>IF(1782&lt;=1000,INDEX($A$2:$A$1001,1782),IF(1782&lt;=2000,INDEX($B$2:$B$1001,782),IF(1782&lt;=3000,INDEX($C$2:$C$1001,-218),IF(1782&lt;=4000,INDEX($D$2:$D$1001,-1218),IF(1782&lt;=5000,INDEX($E$2:$E$1001,-2218),"")))))</f>
        <v/>
      </c>
    </row>
    <row r="1784">
      <c r="G1784">
        <f>IF(1783&lt;=1000,INDEX($A$2:$A$1001,1783),IF(1783&lt;=2000,INDEX($B$2:$B$1001,783),IF(1783&lt;=3000,INDEX($C$2:$C$1001,-217),IF(1783&lt;=4000,INDEX($D$2:$D$1001,-1217),IF(1783&lt;=5000,INDEX($E$2:$E$1001,-2217),"")))))</f>
        <v/>
      </c>
    </row>
    <row r="1785">
      <c r="G1785">
        <f>IF(1784&lt;=1000,INDEX($A$2:$A$1001,1784),IF(1784&lt;=2000,INDEX($B$2:$B$1001,784),IF(1784&lt;=3000,INDEX($C$2:$C$1001,-216),IF(1784&lt;=4000,INDEX($D$2:$D$1001,-1216),IF(1784&lt;=5000,INDEX($E$2:$E$1001,-2216),"")))))</f>
        <v/>
      </c>
    </row>
    <row r="1786">
      <c r="G1786">
        <f>IF(1785&lt;=1000,INDEX($A$2:$A$1001,1785),IF(1785&lt;=2000,INDEX($B$2:$B$1001,785),IF(1785&lt;=3000,INDEX($C$2:$C$1001,-215),IF(1785&lt;=4000,INDEX($D$2:$D$1001,-1215),IF(1785&lt;=5000,INDEX($E$2:$E$1001,-2215),"")))))</f>
        <v/>
      </c>
    </row>
    <row r="1787">
      <c r="G1787">
        <f>IF(1786&lt;=1000,INDEX($A$2:$A$1001,1786),IF(1786&lt;=2000,INDEX($B$2:$B$1001,786),IF(1786&lt;=3000,INDEX($C$2:$C$1001,-214),IF(1786&lt;=4000,INDEX($D$2:$D$1001,-1214),IF(1786&lt;=5000,INDEX($E$2:$E$1001,-2214),"")))))</f>
        <v/>
      </c>
    </row>
    <row r="1788">
      <c r="G1788">
        <f>IF(1787&lt;=1000,INDEX($A$2:$A$1001,1787),IF(1787&lt;=2000,INDEX($B$2:$B$1001,787),IF(1787&lt;=3000,INDEX($C$2:$C$1001,-213),IF(1787&lt;=4000,INDEX($D$2:$D$1001,-1213),IF(1787&lt;=5000,INDEX($E$2:$E$1001,-2213),"")))))</f>
        <v/>
      </c>
    </row>
    <row r="1789">
      <c r="G1789">
        <f>IF(1788&lt;=1000,INDEX($A$2:$A$1001,1788),IF(1788&lt;=2000,INDEX($B$2:$B$1001,788),IF(1788&lt;=3000,INDEX($C$2:$C$1001,-212),IF(1788&lt;=4000,INDEX($D$2:$D$1001,-1212),IF(1788&lt;=5000,INDEX($E$2:$E$1001,-2212),"")))))</f>
        <v/>
      </c>
    </row>
    <row r="1790">
      <c r="G1790">
        <f>IF(1789&lt;=1000,INDEX($A$2:$A$1001,1789),IF(1789&lt;=2000,INDEX($B$2:$B$1001,789),IF(1789&lt;=3000,INDEX($C$2:$C$1001,-211),IF(1789&lt;=4000,INDEX($D$2:$D$1001,-1211),IF(1789&lt;=5000,INDEX($E$2:$E$1001,-2211),"")))))</f>
        <v/>
      </c>
    </row>
    <row r="1791">
      <c r="G1791">
        <f>IF(1790&lt;=1000,INDEX($A$2:$A$1001,1790),IF(1790&lt;=2000,INDEX($B$2:$B$1001,790),IF(1790&lt;=3000,INDEX($C$2:$C$1001,-210),IF(1790&lt;=4000,INDEX($D$2:$D$1001,-1210),IF(1790&lt;=5000,INDEX($E$2:$E$1001,-2210),"")))))</f>
        <v/>
      </c>
    </row>
    <row r="1792">
      <c r="G1792">
        <f>IF(1791&lt;=1000,INDEX($A$2:$A$1001,1791),IF(1791&lt;=2000,INDEX($B$2:$B$1001,791),IF(1791&lt;=3000,INDEX($C$2:$C$1001,-209),IF(1791&lt;=4000,INDEX($D$2:$D$1001,-1209),IF(1791&lt;=5000,INDEX($E$2:$E$1001,-2209),"")))))</f>
        <v/>
      </c>
    </row>
    <row r="1793">
      <c r="G1793">
        <f>IF(1792&lt;=1000,INDEX($A$2:$A$1001,1792),IF(1792&lt;=2000,INDEX($B$2:$B$1001,792),IF(1792&lt;=3000,INDEX($C$2:$C$1001,-208),IF(1792&lt;=4000,INDEX($D$2:$D$1001,-1208),IF(1792&lt;=5000,INDEX($E$2:$E$1001,-2208),"")))))</f>
        <v/>
      </c>
    </row>
    <row r="1794">
      <c r="G1794">
        <f>IF(1793&lt;=1000,INDEX($A$2:$A$1001,1793),IF(1793&lt;=2000,INDEX($B$2:$B$1001,793),IF(1793&lt;=3000,INDEX($C$2:$C$1001,-207),IF(1793&lt;=4000,INDEX($D$2:$D$1001,-1207),IF(1793&lt;=5000,INDEX($E$2:$E$1001,-2207),"")))))</f>
        <v/>
      </c>
    </row>
    <row r="1795">
      <c r="G1795">
        <f>IF(1794&lt;=1000,INDEX($A$2:$A$1001,1794),IF(1794&lt;=2000,INDEX($B$2:$B$1001,794),IF(1794&lt;=3000,INDEX($C$2:$C$1001,-206),IF(1794&lt;=4000,INDEX($D$2:$D$1001,-1206),IF(1794&lt;=5000,INDEX($E$2:$E$1001,-2206),"")))))</f>
        <v/>
      </c>
    </row>
    <row r="1796">
      <c r="G1796">
        <f>IF(1795&lt;=1000,INDEX($A$2:$A$1001,1795),IF(1795&lt;=2000,INDEX($B$2:$B$1001,795),IF(1795&lt;=3000,INDEX($C$2:$C$1001,-205),IF(1795&lt;=4000,INDEX($D$2:$D$1001,-1205),IF(1795&lt;=5000,INDEX($E$2:$E$1001,-2205),"")))))</f>
        <v/>
      </c>
    </row>
    <row r="1797">
      <c r="G1797">
        <f>IF(1796&lt;=1000,INDEX($A$2:$A$1001,1796),IF(1796&lt;=2000,INDEX($B$2:$B$1001,796),IF(1796&lt;=3000,INDEX($C$2:$C$1001,-204),IF(1796&lt;=4000,INDEX($D$2:$D$1001,-1204),IF(1796&lt;=5000,INDEX($E$2:$E$1001,-2204),"")))))</f>
        <v/>
      </c>
    </row>
    <row r="1798">
      <c r="G1798">
        <f>IF(1797&lt;=1000,INDEX($A$2:$A$1001,1797),IF(1797&lt;=2000,INDEX($B$2:$B$1001,797),IF(1797&lt;=3000,INDEX($C$2:$C$1001,-203),IF(1797&lt;=4000,INDEX($D$2:$D$1001,-1203),IF(1797&lt;=5000,INDEX($E$2:$E$1001,-2203),"")))))</f>
        <v/>
      </c>
    </row>
    <row r="1799">
      <c r="G1799">
        <f>IF(1798&lt;=1000,INDEX($A$2:$A$1001,1798),IF(1798&lt;=2000,INDEX($B$2:$B$1001,798),IF(1798&lt;=3000,INDEX($C$2:$C$1001,-202),IF(1798&lt;=4000,INDEX($D$2:$D$1001,-1202),IF(1798&lt;=5000,INDEX($E$2:$E$1001,-2202),"")))))</f>
        <v/>
      </c>
    </row>
    <row r="1800">
      <c r="G1800">
        <f>IF(1799&lt;=1000,INDEX($A$2:$A$1001,1799),IF(1799&lt;=2000,INDEX($B$2:$B$1001,799),IF(1799&lt;=3000,INDEX($C$2:$C$1001,-201),IF(1799&lt;=4000,INDEX($D$2:$D$1001,-1201),IF(1799&lt;=5000,INDEX($E$2:$E$1001,-2201),"")))))</f>
        <v/>
      </c>
    </row>
    <row r="1801">
      <c r="G1801">
        <f>IF(1800&lt;=1000,INDEX($A$2:$A$1001,1800),IF(1800&lt;=2000,INDEX($B$2:$B$1001,800),IF(1800&lt;=3000,INDEX($C$2:$C$1001,-200),IF(1800&lt;=4000,INDEX($D$2:$D$1001,-1200),IF(1800&lt;=5000,INDEX($E$2:$E$1001,-2200),"")))))</f>
        <v/>
      </c>
    </row>
    <row r="1802">
      <c r="G1802">
        <f>IF(1801&lt;=1000,INDEX($A$2:$A$1001,1801),IF(1801&lt;=2000,INDEX($B$2:$B$1001,801),IF(1801&lt;=3000,INDEX($C$2:$C$1001,-199),IF(1801&lt;=4000,INDEX($D$2:$D$1001,-1199),IF(1801&lt;=5000,INDEX($E$2:$E$1001,-2199),"")))))</f>
        <v/>
      </c>
    </row>
    <row r="1803">
      <c r="G1803">
        <f>IF(1802&lt;=1000,INDEX($A$2:$A$1001,1802),IF(1802&lt;=2000,INDEX($B$2:$B$1001,802),IF(1802&lt;=3000,INDEX($C$2:$C$1001,-198),IF(1802&lt;=4000,INDEX($D$2:$D$1001,-1198),IF(1802&lt;=5000,INDEX($E$2:$E$1001,-2198),"")))))</f>
        <v/>
      </c>
    </row>
    <row r="1804">
      <c r="G1804">
        <f>IF(1803&lt;=1000,INDEX($A$2:$A$1001,1803),IF(1803&lt;=2000,INDEX($B$2:$B$1001,803),IF(1803&lt;=3000,INDEX($C$2:$C$1001,-197),IF(1803&lt;=4000,INDEX($D$2:$D$1001,-1197),IF(1803&lt;=5000,INDEX($E$2:$E$1001,-2197),"")))))</f>
        <v/>
      </c>
    </row>
    <row r="1805">
      <c r="G1805">
        <f>IF(1804&lt;=1000,INDEX($A$2:$A$1001,1804),IF(1804&lt;=2000,INDEX($B$2:$B$1001,804),IF(1804&lt;=3000,INDEX($C$2:$C$1001,-196),IF(1804&lt;=4000,INDEX($D$2:$D$1001,-1196),IF(1804&lt;=5000,INDEX($E$2:$E$1001,-2196),"")))))</f>
        <v/>
      </c>
    </row>
    <row r="1806">
      <c r="G1806">
        <f>IF(1805&lt;=1000,INDEX($A$2:$A$1001,1805),IF(1805&lt;=2000,INDEX($B$2:$B$1001,805),IF(1805&lt;=3000,INDEX($C$2:$C$1001,-195),IF(1805&lt;=4000,INDEX($D$2:$D$1001,-1195),IF(1805&lt;=5000,INDEX($E$2:$E$1001,-2195),"")))))</f>
        <v/>
      </c>
    </row>
    <row r="1807">
      <c r="G1807">
        <f>IF(1806&lt;=1000,INDEX($A$2:$A$1001,1806),IF(1806&lt;=2000,INDEX($B$2:$B$1001,806),IF(1806&lt;=3000,INDEX($C$2:$C$1001,-194),IF(1806&lt;=4000,INDEX($D$2:$D$1001,-1194),IF(1806&lt;=5000,INDEX($E$2:$E$1001,-2194),"")))))</f>
        <v/>
      </c>
    </row>
    <row r="1808">
      <c r="G1808">
        <f>IF(1807&lt;=1000,INDEX($A$2:$A$1001,1807),IF(1807&lt;=2000,INDEX($B$2:$B$1001,807),IF(1807&lt;=3000,INDEX($C$2:$C$1001,-193),IF(1807&lt;=4000,INDEX($D$2:$D$1001,-1193),IF(1807&lt;=5000,INDEX($E$2:$E$1001,-2193),"")))))</f>
        <v/>
      </c>
    </row>
    <row r="1809">
      <c r="G1809">
        <f>IF(1808&lt;=1000,INDEX($A$2:$A$1001,1808),IF(1808&lt;=2000,INDEX($B$2:$B$1001,808),IF(1808&lt;=3000,INDEX($C$2:$C$1001,-192),IF(1808&lt;=4000,INDEX($D$2:$D$1001,-1192),IF(1808&lt;=5000,INDEX($E$2:$E$1001,-2192),"")))))</f>
        <v/>
      </c>
    </row>
    <row r="1810">
      <c r="G1810">
        <f>IF(1809&lt;=1000,INDEX($A$2:$A$1001,1809),IF(1809&lt;=2000,INDEX($B$2:$B$1001,809),IF(1809&lt;=3000,INDEX($C$2:$C$1001,-191),IF(1809&lt;=4000,INDEX($D$2:$D$1001,-1191),IF(1809&lt;=5000,INDEX($E$2:$E$1001,-2191),"")))))</f>
        <v/>
      </c>
    </row>
    <row r="1811">
      <c r="G1811">
        <f>IF(1810&lt;=1000,INDEX($A$2:$A$1001,1810),IF(1810&lt;=2000,INDEX($B$2:$B$1001,810),IF(1810&lt;=3000,INDEX($C$2:$C$1001,-190),IF(1810&lt;=4000,INDEX($D$2:$D$1001,-1190),IF(1810&lt;=5000,INDEX($E$2:$E$1001,-2190),"")))))</f>
        <v/>
      </c>
    </row>
    <row r="1812">
      <c r="G1812">
        <f>IF(1811&lt;=1000,INDEX($A$2:$A$1001,1811),IF(1811&lt;=2000,INDEX($B$2:$B$1001,811),IF(1811&lt;=3000,INDEX($C$2:$C$1001,-189),IF(1811&lt;=4000,INDEX($D$2:$D$1001,-1189),IF(1811&lt;=5000,INDEX($E$2:$E$1001,-2189),"")))))</f>
        <v/>
      </c>
    </row>
    <row r="1813">
      <c r="G1813">
        <f>IF(1812&lt;=1000,INDEX($A$2:$A$1001,1812),IF(1812&lt;=2000,INDEX($B$2:$B$1001,812),IF(1812&lt;=3000,INDEX($C$2:$C$1001,-188),IF(1812&lt;=4000,INDEX($D$2:$D$1001,-1188),IF(1812&lt;=5000,INDEX($E$2:$E$1001,-2188),"")))))</f>
        <v/>
      </c>
    </row>
    <row r="1814">
      <c r="G1814">
        <f>IF(1813&lt;=1000,INDEX($A$2:$A$1001,1813),IF(1813&lt;=2000,INDEX($B$2:$B$1001,813),IF(1813&lt;=3000,INDEX($C$2:$C$1001,-187),IF(1813&lt;=4000,INDEX($D$2:$D$1001,-1187),IF(1813&lt;=5000,INDEX($E$2:$E$1001,-2187),"")))))</f>
        <v/>
      </c>
    </row>
    <row r="1815">
      <c r="G1815">
        <f>IF(1814&lt;=1000,INDEX($A$2:$A$1001,1814),IF(1814&lt;=2000,INDEX($B$2:$B$1001,814),IF(1814&lt;=3000,INDEX($C$2:$C$1001,-186),IF(1814&lt;=4000,INDEX($D$2:$D$1001,-1186),IF(1814&lt;=5000,INDEX($E$2:$E$1001,-2186),"")))))</f>
        <v/>
      </c>
    </row>
    <row r="1816">
      <c r="G1816">
        <f>IF(1815&lt;=1000,INDEX($A$2:$A$1001,1815),IF(1815&lt;=2000,INDEX($B$2:$B$1001,815),IF(1815&lt;=3000,INDEX($C$2:$C$1001,-185),IF(1815&lt;=4000,INDEX($D$2:$D$1001,-1185),IF(1815&lt;=5000,INDEX($E$2:$E$1001,-2185),"")))))</f>
        <v/>
      </c>
    </row>
    <row r="1817">
      <c r="G1817">
        <f>IF(1816&lt;=1000,INDEX($A$2:$A$1001,1816),IF(1816&lt;=2000,INDEX($B$2:$B$1001,816),IF(1816&lt;=3000,INDEX($C$2:$C$1001,-184),IF(1816&lt;=4000,INDEX($D$2:$D$1001,-1184),IF(1816&lt;=5000,INDEX($E$2:$E$1001,-2184),"")))))</f>
        <v/>
      </c>
    </row>
    <row r="1818">
      <c r="G1818">
        <f>IF(1817&lt;=1000,INDEX($A$2:$A$1001,1817),IF(1817&lt;=2000,INDEX($B$2:$B$1001,817),IF(1817&lt;=3000,INDEX($C$2:$C$1001,-183),IF(1817&lt;=4000,INDEX($D$2:$D$1001,-1183),IF(1817&lt;=5000,INDEX($E$2:$E$1001,-2183),"")))))</f>
        <v/>
      </c>
    </row>
    <row r="1819">
      <c r="G1819">
        <f>IF(1818&lt;=1000,INDEX($A$2:$A$1001,1818),IF(1818&lt;=2000,INDEX($B$2:$B$1001,818),IF(1818&lt;=3000,INDEX($C$2:$C$1001,-182),IF(1818&lt;=4000,INDEX($D$2:$D$1001,-1182),IF(1818&lt;=5000,INDEX($E$2:$E$1001,-2182),"")))))</f>
        <v/>
      </c>
    </row>
    <row r="1820">
      <c r="G1820">
        <f>IF(1819&lt;=1000,INDEX($A$2:$A$1001,1819),IF(1819&lt;=2000,INDEX($B$2:$B$1001,819),IF(1819&lt;=3000,INDEX($C$2:$C$1001,-181),IF(1819&lt;=4000,INDEX($D$2:$D$1001,-1181),IF(1819&lt;=5000,INDEX($E$2:$E$1001,-2181),"")))))</f>
        <v/>
      </c>
    </row>
    <row r="1821">
      <c r="G1821">
        <f>IF(1820&lt;=1000,INDEX($A$2:$A$1001,1820),IF(1820&lt;=2000,INDEX($B$2:$B$1001,820),IF(1820&lt;=3000,INDEX($C$2:$C$1001,-180),IF(1820&lt;=4000,INDEX($D$2:$D$1001,-1180),IF(1820&lt;=5000,INDEX($E$2:$E$1001,-2180),"")))))</f>
        <v/>
      </c>
    </row>
    <row r="1822">
      <c r="G1822">
        <f>IF(1821&lt;=1000,INDEX($A$2:$A$1001,1821),IF(1821&lt;=2000,INDEX($B$2:$B$1001,821),IF(1821&lt;=3000,INDEX($C$2:$C$1001,-179),IF(1821&lt;=4000,INDEX($D$2:$D$1001,-1179),IF(1821&lt;=5000,INDEX($E$2:$E$1001,-2179),"")))))</f>
        <v/>
      </c>
    </row>
    <row r="1823">
      <c r="G1823">
        <f>IF(1822&lt;=1000,INDEX($A$2:$A$1001,1822),IF(1822&lt;=2000,INDEX($B$2:$B$1001,822),IF(1822&lt;=3000,INDEX($C$2:$C$1001,-178),IF(1822&lt;=4000,INDEX($D$2:$D$1001,-1178),IF(1822&lt;=5000,INDEX($E$2:$E$1001,-2178),"")))))</f>
        <v/>
      </c>
    </row>
    <row r="1824">
      <c r="G1824">
        <f>IF(1823&lt;=1000,INDEX($A$2:$A$1001,1823),IF(1823&lt;=2000,INDEX($B$2:$B$1001,823),IF(1823&lt;=3000,INDEX($C$2:$C$1001,-177),IF(1823&lt;=4000,INDEX($D$2:$D$1001,-1177),IF(1823&lt;=5000,INDEX($E$2:$E$1001,-2177),"")))))</f>
        <v/>
      </c>
    </row>
    <row r="1825">
      <c r="G1825">
        <f>IF(1824&lt;=1000,INDEX($A$2:$A$1001,1824),IF(1824&lt;=2000,INDEX($B$2:$B$1001,824),IF(1824&lt;=3000,INDEX($C$2:$C$1001,-176),IF(1824&lt;=4000,INDEX($D$2:$D$1001,-1176),IF(1824&lt;=5000,INDEX($E$2:$E$1001,-2176),"")))))</f>
        <v/>
      </c>
    </row>
    <row r="1826">
      <c r="G1826">
        <f>IF(1825&lt;=1000,INDEX($A$2:$A$1001,1825),IF(1825&lt;=2000,INDEX($B$2:$B$1001,825),IF(1825&lt;=3000,INDEX($C$2:$C$1001,-175),IF(1825&lt;=4000,INDEX($D$2:$D$1001,-1175),IF(1825&lt;=5000,INDEX($E$2:$E$1001,-2175),"")))))</f>
        <v/>
      </c>
    </row>
    <row r="1827">
      <c r="G1827">
        <f>IF(1826&lt;=1000,INDEX($A$2:$A$1001,1826),IF(1826&lt;=2000,INDEX($B$2:$B$1001,826),IF(1826&lt;=3000,INDEX($C$2:$C$1001,-174),IF(1826&lt;=4000,INDEX($D$2:$D$1001,-1174),IF(1826&lt;=5000,INDEX($E$2:$E$1001,-2174),"")))))</f>
        <v/>
      </c>
    </row>
    <row r="1828">
      <c r="G1828">
        <f>IF(1827&lt;=1000,INDEX($A$2:$A$1001,1827),IF(1827&lt;=2000,INDEX($B$2:$B$1001,827),IF(1827&lt;=3000,INDEX($C$2:$C$1001,-173),IF(1827&lt;=4000,INDEX($D$2:$D$1001,-1173),IF(1827&lt;=5000,INDEX($E$2:$E$1001,-2173),"")))))</f>
        <v/>
      </c>
    </row>
    <row r="1829">
      <c r="G1829">
        <f>IF(1828&lt;=1000,INDEX($A$2:$A$1001,1828),IF(1828&lt;=2000,INDEX($B$2:$B$1001,828),IF(1828&lt;=3000,INDEX($C$2:$C$1001,-172),IF(1828&lt;=4000,INDEX($D$2:$D$1001,-1172),IF(1828&lt;=5000,INDEX($E$2:$E$1001,-2172),"")))))</f>
        <v/>
      </c>
    </row>
    <row r="1830">
      <c r="G1830">
        <f>IF(1829&lt;=1000,INDEX($A$2:$A$1001,1829),IF(1829&lt;=2000,INDEX($B$2:$B$1001,829),IF(1829&lt;=3000,INDEX($C$2:$C$1001,-171),IF(1829&lt;=4000,INDEX($D$2:$D$1001,-1171),IF(1829&lt;=5000,INDEX($E$2:$E$1001,-2171),"")))))</f>
        <v/>
      </c>
    </row>
    <row r="1831">
      <c r="G1831">
        <f>IF(1830&lt;=1000,INDEX($A$2:$A$1001,1830),IF(1830&lt;=2000,INDEX($B$2:$B$1001,830),IF(1830&lt;=3000,INDEX($C$2:$C$1001,-170),IF(1830&lt;=4000,INDEX($D$2:$D$1001,-1170),IF(1830&lt;=5000,INDEX($E$2:$E$1001,-2170),"")))))</f>
        <v/>
      </c>
    </row>
    <row r="1832">
      <c r="G1832">
        <f>IF(1831&lt;=1000,INDEX($A$2:$A$1001,1831),IF(1831&lt;=2000,INDEX($B$2:$B$1001,831),IF(1831&lt;=3000,INDEX($C$2:$C$1001,-169),IF(1831&lt;=4000,INDEX($D$2:$D$1001,-1169),IF(1831&lt;=5000,INDEX($E$2:$E$1001,-2169),"")))))</f>
        <v/>
      </c>
    </row>
    <row r="1833">
      <c r="G1833">
        <f>IF(1832&lt;=1000,INDEX($A$2:$A$1001,1832),IF(1832&lt;=2000,INDEX($B$2:$B$1001,832),IF(1832&lt;=3000,INDEX($C$2:$C$1001,-168),IF(1832&lt;=4000,INDEX($D$2:$D$1001,-1168),IF(1832&lt;=5000,INDEX($E$2:$E$1001,-2168),"")))))</f>
        <v/>
      </c>
    </row>
    <row r="1834">
      <c r="G1834">
        <f>IF(1833&lt;=1000,INDEX($A$2:$A$1001,1833),IF(1833&lt;=2000,INDEX($B$2:$B$1001,833),IF(1833&lt;=3000,INDEX($C$2:$C$1001,-167),IF(1833&lt;=4000,INDEX($D$2:$D$1001,-1167),IF(1833&lt;=5000,INDEX($E$2:$E$1001,-2167),"")))))</f>
        <v/>
      </c>
    </row>
    <row r="1835">
      <c r="G1835">
        <f>IF(1834&lt;=1000,INDEX($A$2:$A$1001,1834),IF(1834&lt;=2000,INDEX($B$2:$B$1001,834),IF(1834&lt;=3000,INDEX($C$2:$C$1001,-166),IF(1834&lt;=4000,INDEX($D$2:$D$1001,-1166),IF(1834&lt;=5000,INDEX($E$2:$E$1001,-2166),"")))))</f>
        <v/>
      </c>
    </row>
    <row r="1836">
      <c r="G1836">
        <f>IF(1835&lt;=1000,INDEX($A$2:$A$1001,1835),IF(1835&lt;=2000,INDEX($B$2:$B$1001,835),IF(1835&lt;=3000,INDEX($C$2:$C$1001,-165),IF(1835&lt;=4000,INDEX($D$2:$D$1001,-1165),IF(1835&lt;=5000,INDEX($E$2:$E$1001,-2165),"")))))</f>
        <v/>
      </c>
    </row>
    <row r="1837">
      <c r="G1837">
        <f>IF(1836&lt;=1000,INDEX($A$2:$A$1001,1836),IF(1836&lt;=2000,INDEX($B$2:$B$1001,836),IF(1836&lt;=3000,INDEX($C$2:$C$1001,-164),IF(1836&lt;=4000,INDEX($D$2:$D$1001,-1164),IF(1836&lt;=5000,INDEX($E$2:$E$1001,-2164),"")))))</f>
        <v/>
      </c>
    </row>
    <row r="1838">
      <c r="G1838">
        <f>IF(1837&lt;=1000,INDEX($A$2:$A$1001,1837),IF(1837&lt;=2000,INDEX($B$2:$B$1001,837),IF(1837&lt;=3000,INDEX($C$2:$C$1001,-163),IF(1837&lt;=4000,INDEX($D$2:$D$1001,-1163),IF(1837&lt;=5000,INDEX($E$2:$E$1001,-2163),"")))))</f>
        <v/>
      </c>
    </row>
    <row r="1839">
      <c r="G1839">
        <f>IF(1838&lt;=1000,INDEX($A$2:$A$1001,1838),IF(1838&lt;=2000,INDEX($B$2:$B$1001,838),IF(1838&lt;=3000,INDEX($C$2:$C$1001,-162),IF(1838&lt;=4000,INDEX($D$2:$D$1001,-1162),IF(1838&lt;=5000,INDEX($E$2:$E$1001,-2162),"")))))</f>
        <v/>
      </c>
    </row>
    <row r="1840">
      <c r="G1840">
        <f>IF(1839&lt;=1000,INDEX($A$2:$A$1001,1839),IF(1839&lt;=2000,INDEX($B$2:$B$1001,839),IF(1839&lt;=3000,INDEX($C$2:$C$1001,-161),IF(1839&lt;=4000,INDEX($D$2:$D$1001,-1161),IF(1839&lt;=5000,INDEX($E$2:$E$1001,-2161),"")))))</f>
        <v/>
      </c>
    </row>
    <row r="1841">
      <c r="G1841">
        <f>IF(1840&lt;=1000,INDEX($A$2:$A$1001,1840),IF(1840&lt;=2000,INDEX($B$2:$B$1001,840),IF(1840&lt;=3000,INDEX($C$2:$C$1001,-160),IF(1840&lt;=4000,INDEX($D$2:$D$1001,-1160),IF(1840&lt;=5000,INDEX($E$2:$E$1001,-2160),"")))))</f>
        <v/>
      </c>
    </row>
    <row r="1842">
      <c r="G1842">
        <f>IF(1841&lt;=1000,INDEX($A$2:$A$1001,1841),IF(1841&lt;=2000,INDEX($B$2:$B$1001,841),IF(1841&lt;=3000,INDEX($C$2:$C$1001,-159),IF(1841&lt;=4000,INDEX($D$2:$D$1001,-1159),IF(1841&lt;=5000,INDEX($E$2:$E$1001,-2159),"")))))</f>
        <v/>
      </c>
    </row>
    <row r="1843">
      <c r="G1843">
        <f>IF(1842&lt;=1000,INDEX($A$2:$A$1001,1842),IF(1842&lt;=2000,INDEX($B$2:$B$1001,842),IF(1842&lt;=3000,INDEX($C$2:$C$1001,-158),IF(1842&lt;=4000,INDEX($D$2:$D$1001,-1158),IF(1842&lt;=5000,INDEX($E$2:$E$1001,-2158),"")))))</f>
        <v/>
      </c>
    </row>
    <row r="1844">
      <c r="G1844">
        <f>IF(1843&lt;=1000,INDEX($A$2:$A$1001,1843),IF(1843&lt;=2000,INDEX($B$2:$B$1001,843),IF(1843&lt;=3000,INDEX($C$2:$C$1001,-157),IF(1843&lt;=4000,INDEX($D$2:$D$1001,-1157),IF(1843&lt;=5000,INDEX($E$2:$E$1001,-2157),"")))))</f>
        <v/>
      </c>
    </row>
    <row r="1845">
      <c r="G1845">
        <f>IF(1844&lt;=1000,INDEX($A$2:$A$1001,1844),IF(1844&lt;=2000,INDEX($B$2:$B$1001,844),IF(1844&lt;=3000,INDEX($C$2:$C$1001,-156),IF(1844&lt;=4000,INDEX($D$2:$D$1001,-1156),IF(1844&lt;=5000,INDEX($E$2:$E$1001,-2156),"")))))</f>
        <v/>
      </c>
    </row>
    <row r="1846">
      <c r="G1846">
        <f>IF(1845&lt;=1000,INDEX($A$2:$A$1001,1845),IF(1845&lt;=2000,INDEX($B$2:$B$1001,845),IF(1845&lt;=3000,INDEX($C$2:$C$1001,-155),IF(1845&lt;=4000,INDEX($D$2:$D$1001,-1155),IF(1845&lt;=5000,INDEX($E$2:$E$1001,-2155),"")))))</f>
        <v/>
      </c>
    </row>
    <row r="1847">
      <c r="G1847">
        <f>IF(1846&lt;=1000,INDEX($A$2:$A$1001,1846),IF(1846&lt;=2000,INDEX($B$2:$B$1001,846),IF(1846&lt;=3000,INDEX($C$2:$C$1001,-154),IF(1846&lt;=4000,INDEX($D$2:$D$1001,-1154),IF(1846&lt;=5000,INDEX($E$2:$E$1001,-2154),"")))))</f>
        <v/>
      </c>
    </row>
    <row r="1848">
      <c r="G1848">
        <f>IF(1847&lt;=1000,INDEX($A$2:$A$1001,1847),IF(1847&lt;=2000,INDEX($B$2:$B$1001,847),IF(1847&lt;=3000,INDEX($C$2:$C$1001,-153),IF(1847&lt;=4000,INDEX($D$2:$D$1001,-1153),IF(1847&lt;=5000,INDEX($E$2:$E$1001,-2153),"")))))</f>
        <v/>
      </c>
    </row>
    <row r="1849">
      <c r="G1849">
        <f>IF(1848&lt;=1000,INDEX($A$2:$A$1001,1848),IF(1848&lt;=2000,INDEX($B$2:$B$1001,848),IF(1848&lt;=3000,INDEX($C$2:$C$1001,-152),IF(1848&lt;=4000,INDEX($D$2:$D$1001,-1152),IF(1848&lt;=5000,INDEX($E$2:$E$1001,-2152),"")))))</f>
        <v/>
      </c>
    </row>
    <row r="1850">
      <c r="G1850">
        <f>IF(1849&lt;=1000,INDEX($A$2:$A$1001,1849),IF(1849&lt;=2000,INDEX($B$2:$B$1001,849),IF(1849&lt;=3000,INDEX($C$2:$C$1001,-151),IF(1849&lt;=4000,INDEX($D$2:$D$1001,-1151),IF(1849&lt;=5000,INDEX($E$2:$E$1001,-2151),"")))))</f>
        <v/>
      </c>
    </row>
    <row r="1851">
      <c r="G1851">
        <f>IF(1850&lt;=1000,INDEX($A$2:$A$1001,1850),IF(1850&lt;=2000,INDEX($B$2:$B$1001,850),IF(1850&lt;=3000,INDEX($C$2:$C$1001,-150),IF(1850&lt;=4000,INDEX($D$2:$D$1001,-1150),IF(1850&lt;=5000,INDEX($E$2:$E$1001,-2150),"")))))</f>
        <v/>
      </c>
    </row>
    <row r="1852">
      <c r="G1852">
        <f>IF(1851&lt;=1000,INDEX($A$2:$A$1001,1851),IF(1851&lt;=2000,INDEX($B$2:$B$1001,851),IF(1851&lt;=3000,INDEX($C$2:$C$1001,-149),IF(1851&lt;=4000,INDEX($D$2:$D$1001,-1149),IF(1851&lt;=5000,INDEX($E$2:$E$1001,-2149),"")))))</f>
        <v/>
      </c>
    </row>
    <row r="1853">
      <c r="G1853">
        <f>IF(1852&lt;=1000,INDEX($A$2:$A$1001,1852),IF(1852&lt;=2000,INDEX($B$2:$B$1001,852),IF(1852&lt;=3000,INDEX($C$2:$C$1001,-148),IF(1852&lt;=4000,INDEX($D$2:$D$1001,-1148),IF(1852&lt;=5000,INDEX($E$2:$E$1001,-2148),"")))))</f>
        <v/>
      </c>
    </row>
    <row r="1854">
      <c r="G1854">
        <f>IF(1853&lt;=1000,INDEX($A$2:$A$1001,1853),IF(1853&lt;=2000,INDEX($B$2:$B$1001,853),IF(1853&lt;=3000,INDEX($C$2:$C$1001,-147),IF(1853&lt;=4000,INDEX($D$2:$D$1001,-1147),IF(1853&lt;=5000,INDEX($E$2:$E$1001,-2147),"")))))</f>
        <v/>
      </c>
    </row>
    <row r="1855">
      <c r="G1855">
        <f>IF(1854&lt;=1000,INDEX($A$2:$A$1001,1854),IF(1854&lt;=2000,INDEX($B$2:$B$1001,854),IF(1854&lt;=3000,INDEX($C$2:$C$1001,-146),IF(1854&lt;=4000,INDEX($D$2:$D$1001,-1146),IF(1854&lt;=5000,INDEX($E$2:$E$1001,-2146),"")))))</f>
        <v/>
      </c>
    </row>
    <row r="1856">
      <c r="G1856">
        <f>IF(1855&lt;=1000,INDEX($A$2:$A$1001,1855),IF(1855&lt;=2000,INDEX($B$2:$B$1001,855),IF(1855&lt;=3000,INDEX($C$2:$C$1001,-145),IF(1855&lt;=4000,INDEX($D$2:$D$1001,-1145),IF(1855&lt;=5000,INDEX($E$2:$E$1001,-2145),"")))))</f>
        <v/>
      </c>
    </row>
    <row r="1857">
      <c r="G1857">
        <f>IF(1856&lt;=1000,INDEX($A$2:$A$1001,1856),IF(1856&lt;=2000,INDEX($B$2:$B$1001,856),IF(1856&lt;=3000,INDEX($C$2:$C$1001,-144),IF(1856&lt;=4000,INDEX($D$2:$D$1001,-1144),IF(1856&lt;=5000,INDEX($E$2:$E$1001,-2144),"")))))</f>
        <v/>
      </c>
    </row>
    <row r="1858">
      <c r="G1858">
        <f>IF(1857&lt;=1000,INDEX($A$2:$A$1001,1857),IF(1857&lt;=2000,INDEX($B$2:$B$1001,857),IF(1857&lt;=3000,INDEX($C$2:$C$1001,-143),IF(1857&lt;=4000,INDEX($D$2:$D$1001,-1143),IF(1857&lt;=5000,INDEX($E$2:$E$1001,-2143),"")))))</f>
        <v/>
      </c>
    </row>
    <row r="1859">
      <c r="G1859">
        <f>IF(1858&lt;=1000,INDEX($A$2:$A$1001,1858),IF(1858&lt;=2000,INDEX($B$2:$B$1001,858),IF(1858&lt;=3000,INDEX($C$2:$C$1001,-142),IF(1858&lt;=4000,INDEX($D$2:$D$1001,-1142),IF(1858&lt;=5000,INDEX($E$2:$E$1001,-2142),"")))))</f>
        <v/>
      </c>
    </row>
    <row r="1860">
      <c r="G1860">
        <f>IF(1859&lt;=1000,INDEX($A$2:$A$1001,1859),IF(1859&lt;=2000,INDEX($B$2:$B$1001,859),IF(1859&lt;=3000,INDEX($C$2:$C$1001,-141),IF(1859&lt;=4000,INDEX($D$2:$D$1001,-1141),IF(1859&lt;=5000,INDEX($E$2:$E$1001,-2141),"")))))</f>
        <v/>
      </c>
    </row>
    <row r="1861">
      <c r="G1861">
        <f>IF(1860&lt;=1000,INDEX($A$2:$A$1001,1860),IF(1860&lt;=2000,INDEX($B$2:$B$1001,860),IF(1860&lt;=3000,INDEX($C$2:$C$1001,-140),IF(1860&lt;=4000,INDEX($D$2:$D$1001,-1140),IF(1860&lt;=5000,INDEX($E$2:$E$1001,-2140),"")))))</f>
        <v/>
      </c>
    </row>
    <row r="1862">
      <c r="G1862">
        <f>IF(1861&lt;=1000,INDEX($A$2:$A$1001,1861),IF(1861&lt;=2000,INDEX($B$2:$B$1001,861),IF(1861&lt;=3000,INDEX($C$2:$C$1001,-139),IF(1861&lt;=4000,INDEX($D$2:$D$1001,-1139),IF(1861&lt;=5000,INDEX($E$2:$E$1001,-2139),"")))))</f>
        <v/>
      </c>
    </row>
    <row r="1863">
      <c r="G1863">
        <f>IF(1862&lt;=1000,INDEX($A$2:$A$1001,1862),IF(1862&lt;=2000,INDEX($B$2:$B$1001,862),IF(1862&lt;=3000,INDEX($C$2:$C$1001,-138),IF(1862&lt;=4000,INDEX($D$2:$D$1001,-1138),IF(1862&lt;=5000,INDEX($E$2:$E$1001,-2138),"")))))</f>
        <v/>
      </c>
    </row>
    <row r="1864">
      <c r="G1864">
        <f>IF(1863&lt;=1000,INDEX($A$2:$A$1001,1863),IF(1863&lt;=2000,INDEX($B$2:$B$1001,863),IF(1863&lt;=3000,INDEX($C$2:$C$1001,-137),IF(1863&lt;=4000,INDEX($D$2:$D$1001,-1137),IF(1863&lt;=5000,INDEX($E$2:$E$1001,-2137),"")))))</f>
        <v/>
      </c>
    </row>
    <row r="1865">
      <c r="G1865">
        <f>IF(1864&lt;=1000,INDEX($A$2:$A$1001,1864),IF(1864&lt;=2000,INDEX($B$2:$B$1001,864),IF(1864&lt;=3000,INDEX($C$2:$C$1001,-136),IF(1864&lt;=4000,INDEX($D$2:$D$1001,-1136),IF(1864&lt;=5000,INDEX($E$2:$E$1001,-2136),"")))))</f>
        <v/>
      </c>
    </row>
    <row r="1866">
      <c r="G1866">
        <f>IF(1865&lt;=1000,INDEX($A$2:$A$1001,1865),IF(1865&lt;=2000,INDEX($B$2:$B$1001,865),IF(1865&lt;=3000,INDEX($C$2:$C$1001,-135),IF(1865&lt;=4000,INDEX($D$2:$D$1001,-1135),IF(1865&lt;=5000,INDEX($E$2:$E$1001,-2135),"")))))</f>
        <v/>
      </c>
    </row>
    <row r="1867">
      <c r="G1867">
        <f>IF(1866&lt;=1000,INDEX($A$2:$A$1001,1866),IF(1866&lt;=2000,INDEX($B$2:$B$1001,866),IF(1866&lt;=3000,INDEX($C$2:$C$1001,-134),IF(1866&lt;=4000,INDEX($D$2:$D$1001,-1134),IF(1866&lt;=5000,INDEX($E$2:$E$1001,-2134),"")))))</f>
        <v/>
      </c>
    </row>
    <row r="1868">
      <c r="G1868">
        <f>IF(1867&lt;=1000,INDEX($A$2:$A$1001,1867),IF(1867&lt;=2000,INDEX($B$2:$B$1001,867),IF(1867&lt;=3000,INDEX($C$2:$C$1001,-133),IF(1867&lt;=4000,INDEX($D$2:$D$1001,-1133),IF(1867&lt;=5000,INDEX($E$2:$E$1001,-2133),"")))))</f>
        <v/>
      </c>
    </row>
    <row r="1869">
      <c r="G1869">
        <f>IF(1868&lt;=1000,INDEX($A$2:$A$1001,1868),IF(1868&lt;=2000,INDEX($B$2:$B$1001,868),IF(1868&lt;=3000,INDEX($C$2:$C$1001,-132),IF(1868&lt;=4000,INDEX($D$2:$D$1001,-1132),IF(1868&lt;=5000,INDEX($E$2:$E$1001,-2132),"")))))</f>
        <v/>
      </c>
    </row>
    <row r="1870">
      <c r="G1870">
        <f>IF(1869&lt;=1000,INDEX($A$2:$A$1001,1869),IF(1869&lt;=2000,INDEX($B$2:$B$1001,869),IF(1869&lt;=3000,INDEX($C$2:$C$1001,-131),IF(1869&lt;=4000,INDEX($D$2:$D$1001,-1131),IF(1869&lt;=5000,INDEX($E$2:$E$1001,-2131),"")))))</f>
        <v/>
      </c>
    </row>
    <row r="1871">
      <c r="G1871">
        <f>IF(1870&lt;=1000,INDEX($A$2:$A$1001,1870),IF(1870&lt;=2000,INDEX($B$2:$B$1001,870),IF(1870&lt;=3000,INDEX($C$2:$C$1001,-130),IF(1870&lt;=4000,INDEX($D$2:$D$1001,-1130),IF(1870&lt;=5000,INDEX($E$2:$E$1001,-2130),"")))))</f>
        <v/>
      </c>
    </row>
    <row r="1872">
      <c r="G1872">
        <f>IF(1871&lt;=1000,INDEX($A$2:$A$1001,1871),IF(1871&lt;=2000,INDEX($B$2:$B$1001,871),IF(1871&lt;=3000,INDEX($C$2:$C$1001,-129),IF(1871&lt;=4000,INDEX($D$2:$D$1001,-1129),IF(1871&lt;=5000,INDEX($E$2:$E$1001,-2129),"")))))</f>
        <v/>
      </c>
    </row>
    <row r="1873">
      <c r="G1873">
        <f>IF(1872&lt;=1000,INDEX($A$2:$A$1001,1872),IF(1872&lt;=2000,INDEX($B$2:$B$1001,872),IF(1872&lt;=3000,INDEX($C$2:$C$1001,-128),IF(1872&lt;=4000,INDEX($D$2:$D$1001,-1128),IF(1872&lt;=5000,INDEX($E$2:$E$1001,-2128),"")))))</f>
        <v/>
      </c>
    </row>
    <row r="1874">
      <c r="G1874">
        <f>IF(1873&lt;=1000,INDEX($A$2:$A$1001,1873),IF(1873&lt;=2000,INDEX($B$2:$B$1001,873),IF(1873&lt;=3000,INDEX($C$2:$C$1001,-127),IF(1873&lt;=4000,INDEX($D$2:$D$1001,-1127),IF(1873&lt;=5000,INDEX($E$2:$E$1001,-2127),"")))))</f>
        <v/>
      </c>
    </row>
    <row r="1875">
      <c r="G1875">
        <f>IF(1874&lt;=1000,INDEX($A$2:$A$1001,1874),IF(1874&lt;=2000,INDEX($B$2:$B$1001,874),IF(1874&lt;=3000,INDEX($C$2:$C$1001,-126),IF(1874&lt;=4000,INDEX($D$2:$D$1001,-1126),IF(1874&lt;=5000,INDEX($E$2:$E$1001,-2126),"")))))</f>
        <v/>
      </c>
    </row>
    <row r="1876">
      <c r="G1876">
        <f>IF(1875&lt;=1000,INDEX($A$2:$A$1001,1875),IF(1875&lt;=2000,INDEX($B$2:$B$1001,875),IF(1875&lt;=3000,INDEX($C$2:$C$1001,-125),IF(1875&lt;=4000,INDEX($D$2:$D$1001,-1125),IF(1875&lt;=5000,INDEX($E$2:$E$1001,-2125),"")))))</f>
        <v/>
      </c>
    </row>
    <row r="1877">
      <c r="G1877">
        <f>IF(1876&lt;=1000,INDEX($A$2:$A$1001,1876),IF(1876&lt;=2000,INDEX($B$2:$B$1001,876),IF(1876&lt;=3000,INDEX($C$2:$C$1001,-124),IF(1876&lt;=4000,INDEX($D$2:$D$1001,-1124),IF(1876&lt;=5000,INDEX($E$2:$E$1001,-2124),"")))))</f>
        <v/>
      </c>
    </row>
    <row r="1878">
      <c r="G1878">
        <f>IF(1877&lt;=1000,INDEX($A$2:$A$1001,1877),IF(1877&lt;=2000,INDEX($B$2:$B$1001,877),IF(1877&lt;=3000,INDEX($C$2:$C$1001,-123),IF(1877&lt;=4000,INDEX($D$2:$D$1001,-1123),IF(1877&lt;=5000,INDEX($E$2:$E$1001,-2123),"")))))</f>
        <v/>
      </c>
    </row>
    <row r="1879">
      <c r="G1879">
        <f>IF(1878&lt;=1000,INDEX($A$2:$A$1001,1878),IF(1878&lt;=2000,INDEX($B$2:$B$1001,878),IF(1878&lt;=3000,INDEX($C$2:$C$1001,-122),IF(1878&lt;=4000,INDEX($D$2:$D$1001,-1122),IF(1878&lt;=5000,INDEX($E$2:$E$1001,-2122),"")))))</f>
        <v/>
      </c>
    </row>
    <row r="1880">
      <c r="G1880">
        <f>IF(1879&lt;=1000,INDEX($A$2:$A$1001,1879),IF(1879&lt;=2000,INDEX($B$2:$B$1001,879),IF(1879&lt;=3000,INDEX($C$2:$C$1001,-121),IF(1879&lt;=4000,INDEX($D$2:$D$1001,-1121),IF(1879&lt;=5000,INDEX($E$2:$E$1001,-2121),"")))))</f>
        <v/>
      </c>
    </row>
    <row r="1881">
      <c r="G1881">
        <f>IF(1880&lt;=1000,INDEX($A$2:$A$1001,1880),IF(1880&lt;=2000,INDEX($B$2:$B$1001,880),IF(1880&lt;=3000,INDEX($C$2:$C$1001,-120),IF(1880&lt;=4000,INDEX($D$2:$D$1001,-1120),IF(1880&lt;=5000,INDEX($E$2:$E$1001,-2120),"")))))</f>
        <v/>
      </c>
    </row>
    <row r="1882">
      <c r="G1882">
        <f>IF(1881&lt;=1000,INDEX($A$2:$A$1001,1881),IF(1881&lt;=2000,INDEX($B$2:$B$1001,881),IF(1881&lt;=3000,INDEX($C$2:$C$1001,-119),IF(1881&lt;=4000,INDEX($D$2:$D$1001,-1119),IF(1881&lt;=5000,INDEX($E$2:$E$1001,-2119),"")))))</f>
        <v/>
      </c>
    </row>
    <row r="1883">
      <c r="G1883">
        <f>IF(1882&lt;=1000,INDEX($A$2:$A$1001,1882),IF(1882&lt;=2000,INDEX($B$2:$B$1001,882),IF(1882&lt;=3000,INDEX($C$2:$C$1001,-118),IF(1882&lt;=4000,INDEX($D$2:$D$1001,-1118),IF(1882&lt;=5000,INDEX($E$2:$E$1001,-2118),"")))))</f>
        <v/>
      </c>
    </row>
    <row r="1884">
      <c r="G1884">
        <f>IF(1883&lt;=1000,INDEX($A$2:$A$1001,1883),IF(1883&lt;=2000,INDEX($B$2:$B$1001,883),IF(1883&lt;=3000,INDEX($C$2:$C$1001,-117),IF(1883&lt;=4000,INDEX($D$2:$D$1001,-1117),IF(1883&lt;=5000,INDEX($E$2:$E$1001,-2117),"")))))</f>
        <v/>
      </c>
    </row>
    <row r="1885">
      <c r="G1885">
        <f>IF(1884&lt;=1000,INDEX($A$2:$A$1001,1884),IF(1884&lt;=2000,INDEX($B$2:$B$1001,884),IF(1884&lt;=3000,INDEX($C$2:$C$1001,-116),IF(1884&lt;=4000,INDEX($D$2:$D$1001,-1116),IF(1884&lt;=5000,INDEX($E$2:$E$1001,-2116),"")))))</f>
        <v/>
      </c>
    </row>
    <row r="1886">
      <c r="G1886">
        <f>IF(1885&lt;=1000,INDEX($A$2:$A$1001,1885),IF(1885&lt;=2000,INDEX($B$2:$B$1001,885),IF(1885&lt;=3000,INDEX($C$2:$C$1001,-115),IF(1885&lt;=4000,INDEX($D$2:$D$1001,-1115),IF(1885&lt;=5000,INDEX($E$2:$E$1001,-2115),"")))))</f>
        <v/>
      </c>
    </row>
    <row r="1887">
      <c r="G1887">
        <f>IF(1886&lt;=1000,INDEX($A$2:$A$1001,1886),IF(1886&lt;=2000,INDEX($B$2:$B$1001,886),IF(1886&lt;=3000,INDEX($C$2:$C$1001,-114),IF(1886&lt;=4000,INDEX($D$2:$D$1001,-1114),IF(1886&lt;=5000,INDEX($E$2:$E$1001,-2114),"")))))</f>
        <v/>
      </c>
    </row>
    <row r="1888">
      <c r="G1888">
        <f>IF(1887&lt;=1000,INDEX($A$2:$A$1001,1887),IF(1887&lt;=2000,INDEX($B$2:$B$1001,887),IF(1887&lt;=3000,INDEX($C$2:$C$1001,-113),IF(1887&lt;=4000,INDEX($D$2:$D$1001,-1113),IF(1887&lt;=5000,INDEX($E$2:$E$1001,-2113),"")))))</f>
        <v/>
      </c>
    </row>
    <row r="1889">
      <c r="G1889">
        <f>IF(1888&lt;=1000,INDEX($A$2:$A$1001,1888),IF(1888&lt;=2000,INDEX($B$2:$B$1001,888),IF(1888&lt;=3000,INDEX($C$2:$C$1001,-112),IF(1888&lt;=4000,INDEX($D$2:$D$1001,-1112),IF(1888&lt;=5000,INDEX($E$2:$E$1001,-2112),"")))))</f>
        <v/>
      </c>
    </row>
    <row r="1890">
      <c r="G1890">
        <f>IF(1889&lt;=1000,INDEX($A$2:$A$1001,1889),IF(1889&lt;=2000,INDEX($B$2:$B$1001,889),IF(1889&lt;=3000,INDEX($C$2:$C$1001,-111),IF(1889&lt;=4000,INDEX($D$2:$D$1001,-1111),IF(1889&lt;=5000,INDEX($E$2:$E$1001,-2111),"")))))</f>
        <v/>
      </c>
    </row>
    <row r="1891">
      <c r="G1891">
        <f>IF(1890&lt;=1000,INDEX($A$2:$A$1001,1890),IF(1890&lt;=2000,INDEX($B$2:$B$1001,890),IF(1890&lt;=3000,INDEX($C$2:$C$1001,-110),IF(1890&lt;=4000,INDEX($D$2:$D$1001,-1110),IF(1890&lt;=5000,INDEX($E$2:$E$1001,-2110),"")))))</f>
        <v/>
      </c>
    </row>
    <row r="1892">
      <c r="G1892">
        <f>IF(1891&lt;=1000,INDEX($A$2:$A$1001,1891),IF(1891&lt;=2000,INDEX($B$2:$B$1001,891),IF(1891&lt;=3000,INDEX($C$2:$C$1001,-109),IF(1891&lt;=4000,INDEX($D$2:$D$1001,-1109),IF(1891&lt;=5000,INDEX($E$2:$E$1001,-2109),"")))))</f>
        <v/>
      </c>
    </row>
    <row r="1893">
      <c r="G1893">
        <f>IF(1892&lt;=1000,INDEX($A$2:$A$1001,1892),IF(1892&lt;=2000,INDEX($B$2:$B$1001,892),IF(1892&lt;=3000,INDEX($C$2:$C$1001,-108),IF(1892&lt;=4000,INDEX($D$2:$D$1001,-1108),IF(1892&lt;=5000,INDEX($E$2:$E$1001,-2108),"")))))</f>
        <v/>
      </c>
    </row>
    <row r="1894">
      <c r="G1894">
        <f>IF(1893&lt;=1000,INDEX($A$2:$A$1001,1893),IF(1893&lt;=2000,INDEX($B$2:$B$1001,893),IF(1893&lt;=3000,INDEX($C$2:$C$1001,-107),IF(1893&lt;=4000,INDEX($D$2:$D$1001,-1107),IF(1893&lt;=5000,INDEX($E$2:$E$1001,-2107),"")))))</f>
        <v/>
      </c>
    </row>
    <row r="1895">
      <c r="G1895">
        <f>IF(1894&lt;=1000,INDEX($A$2:$A$1001,1894),IF(1894&lt;=2000,INDEX($B$2:$B$1001,894),IF(1894&lt;=3000,INDEX($C$2:$C$1001,-106),IF(1894&lt;=4000,INDEX($D$2:$D$1001,-1106),IF(1894&lt;=5000,INDEX($E$2:$E$1001,-2106),"")))))</f>
        <v/>
      </c>
    </row>
    <row r="1896">
      <c r="G1896">
        <f>IF(1895&lt;=1000,INDEX($A$2:$A$1001,1895),IF(1895&lt;=2000,INDEX($B$2:$B$1001,895),IF(1895&lt;=3000,INDEX($C$2:$C$1001,-105),IF(1895&lt;=4000,INDEX($D$2:$D$1001,-1105),IF(1895&lt;=5000,INDEX($E$2:$E$1001,-2105),"")))))</f>
        <v/>
      </c>
    </row>
    <row r="1897">
      <c r="G1897">
        <f>IF(1896&lt;=1000,INDEX($A$2:$A$1001,1896),IF(1896&lt;=2000,INDEX($B$2:$B$1001,896),IF(1896&lt;=3000,INDEX($C$2:$C$1001,-104),IF(1896&lt;=4000,INDEX($D$2:$D$1001,-1104),IF(1896&lt;=5000,INDEX($E$2:$E$1001,-2104),"")))))</f>
        <v/>
      </c>
    </row>
    <row r="1898">
      <c r="G1898">
        <f>IF(1897&lt;=1000,INDEX($A$2:$A$1001,1897),IF(1897&lt;=2000,INDEX($B$2:$B$1001,897),IF(1897&lt;=3000,INDEX($C$2:$C$1001,-103),IF(1897&lt;=4000,INDEX($D$2:$D$1001,-1103),IF(1897&lt;=5000,INDEX($E$2:$E$1001,-2103),"")))))</f>
        <v/>
      </c>
    </row>
    <row r="1899">
      <c r="G1899">
        <f>IF(1898&lt;=1000,INDEX($A$2:$A$1001,1898),IF(1898&lt;=2000,INDEX($B$2:$B$1001,898),IF(1898&lt;=3000,INDEX($C$2:$C$1001,-102),IF(1898&lt;=4000,INDEX($D$2:$D$1001,-1102),IF(1898&lt;=5000,INDEX($E$2:$E$1001,-2102),"")))))</f>
        <v/>
      </c>
    </row>
    <row r="1900">
      <c r="G1900">
        <f>IF(1899&lt;=1000,INDEX($A$2:$A$1001,1899),IF(1899&lt;=2000,INDEX($B$2:$B$1001,899),IF(1899&lt;=3000,INDEX($C$2:$C$1001,-101),IF(1899&lt;=4000,INDEX($D$2:$D$1001,-1101),IF(1899&lt;=5000,INDEX($E$2:$E$1001,-2101),"")))))</f>
        <v/>
      </c>
    </row>
    <row r="1901">
      <c r="G1901">
        <f>IF(1900&lt;=1000,INDEX($A$2:$A$1001,1900),IF(1900&lt;=2000,INDEX($B$2:$B$1001,900),IF(1900&lt;=3000,INDEX($C$2:$C$1001,-100),IF(1900&lt;=4000,INDEX($D$2:$D$1001,-1100),IF(1900&lt;=5000,INDEX($E$2:$E$1001,-2100),"")))))</f>
        <v/>
      </c>
    </row>
    <row r="1902">
      <c r="G1902">
        <f>IF(1901&lt;=1000,INDEX($A$2:$A$1001,1901),IF(1901&lt;=2000,INDEX($B$2:$B$1001,901),IF(1901&lt;=3000,INDEX($C$2:$C$1001,-99),IF(1901&lt;=4000,INDEX($D$2:$D$1001,-1099),IF(1901&lt;=5000,INDEX($E$2:$E$1001,-2099),"")))))</f>
        <v/>
      </c>
    </row>
    <row r="1903">
      <c r="G1903">
        <f>IF(1902&lt;=1000,INDEX($A$2:$A$1001,1902),IF(1902&lt;=2000,INDEX($B$2:$B$1001,902),IF(1902&lt;=3000,INDEX($C$2:$C$1001,-98),IF(1902&lt;=4000,INDEX($D$2:$D$1001,-1098),IF(1902&lt;=5000,INDEX($E$2:$E$1001,-2098),"")))))</f>
        <v/>
      </c>
    </row>
    <row r="1904">
      <c r="G1904">
        <f>IF(1903&lt;=1000,INDEX($A$2:$A$1001,1903),IF(1903&lt;=2000,INDEX($B$2:$B$1001,903),IF(1903&lt;=3000,INDEX($C$2:$C$1001,-97),IF(1903&lt;=4000,INDEX($D$2:$D$1001,-1097),IF(1903&lt;=5000,INDEX($E$2:$E$1001,-2097),"")))))</f>
        <v/>
      </c>
    </row>
    <row r="1905">
      <c r="G1905">
        <f>IF(1904&lt;=1000,INDEX($A$2:$A$1001,1904),IF(1904&lt;=2000,INDEX($B$2:$B$1001,904),IF(1904&lt;=3000,INDEX($C$2:$C$1001,-96),IF(1904&lt;=4000,INDEX($D$2:$D$1001,-1096),IF(1904&lt;=5000,INDEX($E$2:$E$1001,-2096),"")))))</f>
        <v/>
      </c>
    </row>
    <row r="1906">
      <c r="G1906">
        <f>IF(1905&lt;=1000,INDEX($A$2:$A$1001,1905),IF(1905&lt;=2000,INDEX($B$2:$B$1001,905),IF(1905&lt;=3000,INDEX($C$2:$C$1001,-95),IF(1905&lt;=4000,INDEX($D$2:$D$1001,-1095),IF(1905&lt;=5000,INDEX($E$2:$E$1001,-2095),"")))))</f>
        <v/>
      </c>
    </row>
    <row r="1907">
      <c r="G1907">
        <f>IF(1906&lt;=1000,INDEX($A$2:$A$1001,1906),IF(1906&lt;=2000,INDEX($B$2:$B$1001,906),IF(1906&lt;=3000,INDEX($C$2:$C$1001,-94),IF(1906&lt;=4000,INDEX($D$2:$D$1001,-1094),IF(1906&lt;=5000,INDEX($E$2:$E$1001,-2094),"")))))</f>
        <v/>
      </c>
    </row>
    <row r="1908">
      <c r="G1908">
        <f>IF(1907&lt;=1000,INDEX($A$2:$A$1001,1907),IF(1907&lt;=2000,INDEX($B$2:$B$1001,907),IF(1907&lt;=3000,INDEX($C$2:$C$1001,-93),IF(1907&lt;=4000,INDEX($D$2:$D$1001,-1093),IF(1907&lt;=5000,INDEX($E$2:$E$1001,-2093),"")))))</f>
        <v/>
      </c>
    </row>
    <row r="1909">
      <c r="G1909">
        <f>IF(1908&lt;=1000,INDEX($A$2:$A$1001,1908),IF(1908&lt;=2000,INDEX($B$2:$B$1001,908),IF(1908&lt;=3000,INDEX($C$2:$C$1001,-92),IF(1908&lt;=4000,INDEX($D$2:$D$1001,-1092),IF(1908&lt;=5000,INDEX($E$2:$E$1001,-2092),"")))))</f>
        <v/>
      </c>
    </row>
    <row r="1910">
      <c r="G1910">
        <f>IF(1909&lt;=1000,INDEX($A$2:$A$1001,1909),IF(1909&lt;=2000,INDEX($B$2:$B$1001,909),IF(1909&lt;=3000,INDEX($C$2:$C$1001,-91),IF(1909&lt;=4000,INDEX($D$2:$D$1001,-1091),IF(1909&lt;=5000,INDEX($E$2:$E$1001,-2091),"")))))</f>
        <v/>
      </c>
    </row>
    <row r="1911">
      <c r="G1911">
        <f>IF(1910&lt;=1000,INDEX($A$2:$A$1001,1910),IF(1910&lt;=2000,INDEX($B$2:$B$1001,910),IF(1910&lt;=3000,INDEX($C$2:$C$1001,-90),IF(1910&lt;=4000,INDEX($D$2:$D$1001,-1090),IF(1910&lt;=5000,INDEX($E$2:$E$1001,-2090),"")))))</f>
        <v/>
      </c>
    </row>
    <row r="1912">
      <c r="G1912">
        <f>IF(1911&lt;=1000,INDEX($A$2:$A$1001,1911),IF(1911&lt;=2000,INDEX($B$2:$B$1001,911),IF(1911&lt;=3000,INDEX($C$2:$C$1001,-89),IF(1911&lt;=4000,INDEX($D$2:$D$1001,-1089),IF(1911&lt;=5000,INDEX($E$2:$E$1001,-2089),"")))))</f>
        <v/>
      </c>
    </row>
    <row r="1913">
      <c r="G1913">
        <f>IF(1912&lt;=1000,INDEX($A$2:$A$1001,1912),IF(1912&lt;=2000,INDEX($B$2:$B$1001,912),IF(1912&lt;=3000,INDEX($C$2:$C$1001,-88),IF(1912&lt;=4000,INDEX($D$2:$D$1001,-1088),IF(1912&lt;=5000,INDEX($E$2:$E$1001,-2088),"")))))</f>
        <v/>
      </c>
    </row>
    <row r="1914">
      <c r="G1914">
        <f>IF(1913&lt;=1000,INDEX($A$2:$A$1001,1913),IF(1913&lt;=2000,INDEX($B$2:$B$1001,913),IF(1913&lt;=3000,INDEX($C$2:$C$1001,-87),IF(1913&lt;=4000,INDEX($D$2:$D$1001,-1087),IF(1913&lt;=5000,INDEX($E$2:$E$1001,-2087),"")))))</f>
        <v/>
      </c>
    </row>
    <row r="1915">
      <c r="G1915">
        <f>IF(1914&lt;=1000,INDEX($A$2:$A$1001,1914),IF(1914&lt;=2000,INDEX($B$2:$B$1001,914),IF(1914&lt;=3000,INDEX($C$2:$C$1001,-86),IF(1914&lt;=4000,INDEX($D$2:$D$1001,-1086),IF(1914&lt;=5000,INDEX($E$2:$E$1001,-2086),"")))))</f>
        <v/>
      </c>
    </row>
    <row r="1916">
      <c r="G1916">
        <f>IF(1915&lt;=1000,INDEX($A$2:$A$1001,1915),IF(1915&lt;=2000,INDEX($B$2:$B$1001,915),IF(1915&lt;=3000,INDEX($C$2:$C$1001,-85),IF(1915&lt;=4000,INDEX($D$2:$D$1001,-1085),IF(1915&lt;=5000,INDEX($E$2:$E$1001,-2085),"")))))</f>
        <v/>
      </c>
    </row>
    <row r="1917">
      <c r="G1917">
        <f>IF(1916&lt;=1000,INDEX($A$2:$A$1001,1916),IF(1916&lt;=2000,INDEX($B$2:$B$1001,916),IF(1916&lt;=3000,INDEX($C$2:$C$1001,-84),IF(1916&lt;=4000,INDEX($D$2:$D$1001,-1084),IF(1916&lt;=5000,INDEX($E$2:$E$1001,-2084),"")))))</f>
        <v/>
      </c>
    </row>
    <row r="1918">
      <c r="G1918">
        <f>IF(1917&lt;=1000,INDEX($A$2:$A$1001,1917),IF(1917&lt;=2000,INDEX($B$2:$B$1001,917),IF(1917&lt;=3000,INDEX($C$2:$C$1001,-83),IF(1917&lt;=4000,INDEX($D$2:$D$1001,-1083),IF(1917&lt;=5000,INDEX($E$2:$E$1001,-2083),"")))))</f>
        <v/>
      </c>
    </row>
    <row r="1919">
      <c r="G1919">
        <f>IF(1918&lt;=1000,INDEX($A$2:$A$1001,1918),IF(1918&lt;=2000,INDEX($B$2:$B$1001,918),IF(1918&lt;=3000,INDEX($C$2:$C$1001,-82),IF(1918&lt;=4000,INDEX($D$2:$D$1001,-1082),IF(1918&lt;=5000,INDEX($E$2:$E$1001,-2082),"")))))</f>
        <v/>
      </c>
    </row>
    <row r="1920">
      <c r="G1920">
        <f>IF(1919&lt;=1000,INDEX($A$2:$A$1001,1919),IF(1919&lt;=2000,INDEX($B$2:$B$1001,919),IF(1919&lt;=3000,INDEX($C$2:$C$1001,-81),IF(1919&lt;=4000,INDEX($D$2:$D$1001,-1081),IF(1919&lt;=5000,INDEX($E$2:$E$1001,-2081),"")))))</f>
        <v/>
      </c>
    </row>
    <row r="1921">
      <c r="G1921">
        <f>IF(1920&lt;=1000,INDEX($A$2:$A$1001,1920),IF(1920&lt;=2000,INDEX($B$2:$B$1001,920),IF(1920&lt;=3000,INDEX($C$2:$C$1001,-80),IF(1920&lt;=4000,INDEX($D$2:$D$1001,-1080),IF(1920&lt;=5000,INDEX($E$2:$E$1001,-2080),"")))))</f>
        <v/>
      </c>
    </row>
    <row r="1922">
      <c r="G1922">
        <f>IF(1921&lt;=1000,INDEX($A$2:$A$1001,1921),IF(1921&lt;=2000,INDEX($B$2:$B$1001,921),IF(1921&lt;=3000,INDEX($C$2:$C$1001,-79),IF(1921&lt;=4000,INDEX($D$2:$D$1001,-1079),IF(1921&lt;=5000,INDEX($E$2:$E$1001,-2079),"")))))</f>
        <v/>
      </c>
    </row>
    <row r="1923">
      <c r="G1923">
        <f>IF(1922&lt;=1000,INDEX($A$2:$A$1001,1922),IF(1922&lt;=2000,INDEX($B$2:$B$1001,922),IF(1922&lt;=3000,INDEX($C$2:$C$1001,-78),IF(1922&lt;=4000,INDEX($D$2:$D$1001,-1078),IF(1922&lt;=5000,INDEX($E$2:$E$1001,-2078),"")))))</f>
        <v/>
      </c>
    </row>
    <row r="1924">
      <c r="G1924">
        <f>IF(1923&lt;=1000,INDEX($A$2:$A$1001,1923),IF(1923&lt;=2000,INDEX($B$2:$B$1001,923),IF(1923&lt;=3000,INDEX($C$2:$C$1001,-77),IF(1923&lt;=4000,INDEX($D$2:$D$1001,-1077),IF(1923&lt;=5000,INDEX($E$2:$E$1001,-2077),"")))))</f>
        <v/>
      </c>
    </row>
    <row r="1925">
      <c r="G1925">
        <f>IF(1924&lt;=1000,INDEX($A$2:$A$1001,1924),IF(1924&lt;=2000,INDEX($B$2:$B$1001,924),IF(1924&lt;=3000,INDEX($C$2:$C$1001,-76),IF(1924&lt;=4000,INDEX($D$2:$D$1001,-1076),IF(1924&lt;=5000,INDEX($E$2:$E$1001,-2076),"")))))</f>
        <v/>
      </c>
    </row>
    <row r="1926">
      <c r="G1926">
        <f>IF(1925&lt;=1000,INDEX($A$2:$A$1001,1925),IF(1925&lt;=2000,INDEX($B$2:$B$1001,925),IF(1925&lt;=3000,INDEX($C$2:$C$1001,-75),IF(1925&lt;=4000,INDEX($D$2:$D$1001,-1075),IF(1925&lt;=5000,INDEX($E$2:$E$1001,-2075),"")))))</f>
        <v/>
      </c>
    </row>
    <row r="1927">
      <c r="G1927">
        <f>IF(1926&lt;=1000,INDEX($A$2:$A$1001,1926),IF(1926&lt;=2000,INDEX($B$2:$B$1001,926),IF(1926&lt;=3000,INDEX($C$2:$C$1001,-74),IF(1926&lt;=4000,INDEX($D$2:$D$1001,-1074),IF(1926&lt;=5000,INDEX($E$2:$E$1001,-2074),"")))))</f>
        <v/>
      </c>
    </row>
    <row r="1928">
      <c r="G1928">
        <f>IF(1927&lt;=1000,INDEX($A$2:$A$1001,1927),IF(1927&lt;=2000,INDEX($B$2:$B$1001,927),IF(1927&lt;=3000,INDEX($C$2:$C$1001,-73),IF(1927&lt;=4000,INDEX($D$2:$D$1001,-1073),IF(1927&lt;=5000,INDEX($E$2:$E$1001,-2073),"")))))</f>
        <v/>
      </c>
    </row>
    <row r="1929">
      <c r="G1929">
        <f>IF(1928&lt;=1000,INDEX($A$2:$A$1001,1928),IF(1928&lt;=2000,INDEX($B$2:$B$1001,928),IF(1928&lt;=3000,INDEX($C$2:$C$1001,-72),IF(1928&lt;=4000,INDEX($D$2:$D$1001,-1072),IF(1928&lt;=5000,INDEX($E$2:$E$1001,-2072),"")))))</f>
        <v/>
      </c>
    </row>
    <row r="1930">
      <c r="G1930">
        <f>IF(1929&lt;=1000,INDEX($A$2:$A$1001,1929),IF(1929&lt;=2000,INDEX($B$2:$B$1001,929),IF(1929&lt;=3000,INDEX($C$2:$C$1001,-71),IF(1929&lt;=4000,INDEX($D$2:$D$1001,-1071),IF(1929&lt;=5000,INDEX($E$2:$E$1001,-2071),"")))))</f>
        <v/>
      </c>
    </row>
    <row r="1931">
      <c r="G1931">
        <f>IF(1930&lt;=1000,INDEX($A$2:$A$1001,1930),IF(1930&lt;=2000,INDEX($B$2:$B$1001,930),IF(1930&lt;=3000,INDEX($C$2:$C$1001,-70),IF(1930&lt;=4000,INDEX($D$2:$D$1001,-1070),IF(1930&lt;=5000,INDEX($E$2:$E$1001,-2070),"")))))</f>
        <v/>
      </c>
    </row>
    <row r="1932">
      <c r="G1932">
        <f>IF(1931&lt;=1000,INDEX($A$2:$A$1001,1931),IF(1931&lt;=2000,INDEX($B$2:$B$1001,931),IF(1931&lt;=3000,INDEX($C$2:$C$1001,-69),IF(1931&lt;=4000,INDEX($D$2:$D$1001,-1069),IF(1931&lt;=5000,INDEX($E$2:$E$1001,-2069),"")))))</f>
        <v/>
      </c>
    </row>
    <row r="1933">
      <c r="G1933">
        <f>IF(1932&lt;=1000,INDEX($A$2:$A$1001,1932),IF(1932&lt;=2000,INDEX($B$2:$B$1001,932),IF(1932&lt;=3000,INDEX($C$2:$C$1001,-68),IF(1932&lt;=4000,INDEX($D$2:$D$1001,-1068),IF(1932&lt;=5000,INDEX($E$2:$E$1001,-2068),"")))))</f>
        <v/>
      </c>
    </row>
    <row r="1934">
      <c r="G1934">
        <f>IF(1933&lt;=1000,INDEX($A$2:$A$1001,1933),IF(1933&lt;=2000,INDEX($B$2:$B$1001,933),IF(1933&lt;=3000,INDEX($C$2:$C$1001,-67),IF(1933&lt;=4000,INDEX($D$2:$D$1001,-1067),IF(1933&lt;=5000,INDEX($E$2:$E$1001,-2067),"")))))</f>
        <v/>
      </c>
    </row>
    <row r="1935">
      <c r="G1935">
        <f>IF(1934&lt;=1000,INDEX($A$2:$A$1001,1934),IF(1934&lt;=2000,INDEX($B$2:$B$1001,934),IF(1934&lt;=3000,INDEX($C$2:$C$1001,-66),IF(1934&lt;=4000,INDEX($D$2:$D$1001,-1066),IF(1934&lt;=5000,INDEX($E$2:$E$1001,-2066),"")))))</f>
        <v/>
      </c>
    </row>
    <row r="1936">
      <c r="G1936">
        <f>IF(1935&lt;=1000,INDEX($A$2:$A$1001,1935),IF(1935&lt;=2000,INDEX($B$2:$B$1001,935),IF(1935&lt;=3000,INDEX($C$2:$C$1001,-65),IF(1935&lt;=4000,INDEX($D$2:$D$1001,-1065),IF(1935&lt;=5000,INDEX($E$2:$E$1001,-2065),"")))))</f>
        <v/>
      </c>
    </row>
    <row r="1937">
      <c r="G1937">
        <f>IF(1936&lt;=1000,INDEX($A$2:$A$1001,1936),IF(1936&lt;=2000,INDEX($B$2:$B$1001,936),IF(1936&lt;=3000,INDEX($C$2:$C$1001,-64),IF(1936&lt;=4000,INDEX($D$2:$D$1001,-1064),IF(1936&lt;=5000,INDEX($E$2:$E$1001,-2064),"")))))</f>
        <v/>
      </c>
    </row>
    <row r="1938">
      <c r="G1938">
        <f>IF(1937&lt;=1000,INDEX($A$2:$A$1001,1937),IF(1937&lt;=2000,INDEX($B$2:$B$1001,937),IF(1937&lt;=3000,INDEX($C$2:$C$1001,-63),IF(1937&lt;=4000,INDEX($D$2:$D$1001,-1063),IF(1937&lt;=5000,INDEX($E$2:$E$1001,-2063),"")))))</f>
        <v/>
      </c>
    </row>
    <row r="1939">
      <c r="G1939">
        <f>IF(1938&lt;=1000,INDEX($A$2:$A$1001,1938),IF(1938&lt;=2000,INDEX($B$2:$B$1001,938),IF(1938&lt;=3000,INDEX($C$2:$C$1001,-62),IF(1938&lt;=4000,INDEX($D$2:$D$1001,-1062),IF(1938&lt;=5000,INDEX($E$2:$E$1001,-2062),"")))))</f>
        <v/>
      </c>
    </row>
    <row r="1940">
      <c r="G1940">
        <f>IF(1939&lt;=1000,INDEX($A$2:$A$1001,1939),IF(1939&lt;=2000,INDEX($B$2:$B$1001,939),IF(1939&lt;=3000,INDEX($C$2:$C$1001,-61),IF(1939&lt;=4000,INDEX($D$2:$D$1001,-1061),IF(1939&lt;=5000,INDEX($E$2:$E$1001,-2061),"")))))</f>
        <v/>
      </c>
    </row>
    <row r="1941">
      <c r="G1941">
        <f>IF(1940&lt;=1000,INDEX($A$2:$A$1001,1940),IF(1940&lt;=2000,INDEX($B$2:$B$1001,940),IF(1940&lt;=3000,INDEX($C$2:$C$1001,-60),IF(1940&lt;=4000,INDEX($D$2:$D$1001,-1060),IF(1940&lt;=5000,INDEX($E$2:$E$1001,-2060),"")))))</f>
        <v/>
      </c>
    </row>
    <row r="1942">
      <c r="G1942">
        <f>IF(1941&lt;=1000,INDEX($A$2:$A$1001,1941),IF(1941&lt;=2000,INDEX($B$2:$B$1001,941),IF(1941&lt;=3000,INDEX($C$2:$C$1001,-59),IF(1941&lt;=4000,INDEX($D$2:$D$1001,-1059),IF(1941&lt;=5000,INDEX($E$2:$E$1001,-2059),"")))))</f>
        <v/>
      </c>
    </row>
    <row r="1943">
      <c r="G1943">
        <f>IF(1942&lt;=1000,INDEX($A$2:$A$1001,1942),IF(1942&lt;=2000,INDEX($B$2:$B$1001,942),IF(1942&lt;=3000,INDEX($C$2:$C$1001,-58),IF(1942&lt;=4000,INDEX($D$2:$D$1001,-1058),IF(1942&lt;=5000,INDEX($E$2:$E$1001,-2058),"")))))</f>
        <v/>
      </c>
    </row>
    <row r="1944">
      <c r="G1944">
        <f>IF(1943&lt;=1000,INDEX($A$2:$A$1001,1943),IF(1943&lt;=2000,INDEX($B$2:$B$1001,943),IF(1943&lt;=3000,INDEX($C$2:$C$1001,-57),IF(1943&lt;=4000,INDEX($D$2:$D$1001,-1057),IF(1943&lt;=5000,INDEX($E$2:$E$1001,-2057),"")))))</f>
        <v/>
      </c>
    </row>
    <row r="1945">
      <c r="G1945">
        <f>IF(1944&lt;=1000,INDEX($A$2:$A$1001,1944),IF(1944&lt;=2000,INDEX($B$2:$B$1001,944),IF(1944&lt;=3000,INDEX($C$2:$C$1001,-56),IF(1944&lt;=4000,INDEX($D$2:$D$1001,-1056),IF(1944&lt;=5000,INDEX($E$2:$E$1001,-2056),"")))))</f>
        <v/>
      </c>
    </row>
    <row r="1946">
      <c r="G1946">
        <f>IF(1945&lt;=1000,INDEX($A$2:$A$1001,1945),IF(1945&lt;=2000,INDEX($B$2:$B$1001,945),IF(1945&lt;=3000,INDEX($C$2:$C$1001,-55),IF(1945&lt;=4000,INDEX($D$2:$D$1001,-1055),IF(1945&lt;=5000,INDEX($E$2:$E$1001,-2055),"")))))</f>
        <v/>
      </c>
    </row>
    <row r="1947">
      <c r="G1947">
        <f>IF(1946&lt;=1000,INDEX($A$2:$A$1001,1946),IF(1946&lt;=2000,INDEX($B$2:$B$1001,946),IF(1946&lt;=3000,INDEX($C$2:$C$1001,-54),IF(1946&lt;=4000,INDEX($D$2:$D$1001,-1054),IF(1946&lt;=5000,INDEX($E$2:$E$1001,-2054),"")))))</f>
        <v/>
      </c>
    </row>
    <row r="1948">
      <c r="G1948">
        <f>IF(1947&lt;=1000,INDEX($A$2:$A$1001,1947),IF(1947&lt;=2000,INDEX($B$2:$B$1001,947),IF(1947&lt;=3000,INDEX($C$2:$C$1001,-53),IF(1947&lt;=4000,INDEX($D$2:$D$1001,-1053),IF(1947&lt;=5000,INDEX($E$2:$E$1001,-2053),"")))))</f>
        <v/>
      </c>
    </row>
    <row r="1949">
      <c r="G1949">
        <f>IF(1948&lt;=1000,INDEX($A$2:$A$1001,1948),IF(1948&lt;=2000,INDEX($B$2:$B$1001,948),IF(1948&lt;=3000,INDEX($C$2:$C$1001,-52),IF(1948&lt;=4000,INDEX($D$2:$D$1001,-1052),IF(1948&lt;=5000,INDEX($E$2:$E$1001,-2052),"")))))</f>
        <v/>
      </c>
    </row>
    <row r="1950">
      <c r="G1950">
        <f>IF(1949&lt;=1000,INDEX($A$2:$A$1001,1949),IF(1949&lt;=2000,INDEX($B$2:$B$1001,949),IF(1949&lt;=3000,INDEX($C$2:$C$1001,-51),IF(1949&lt;=4000,INDEX($D$2:$D$1001,-1051),IF(1949&lt;=5000,INDEX($E$2:$E$1001,-2051),"")))))</f>
        <v/>
      </c>
    </row>
    <row r="1951">
      <c r="G1951">
        <f>IF(1950&lt;=1000,INDEX($A$2:$A$1001,1950),IF(1950&lt;=2000,INDEX($B$2:$B$1001,950),IF(1950&lt;=3000,INDEX($C$2:$C$1001,-50),IF(1950&lt;=4000,INDEX($D$2:$D$1001,-1050),IF(1950&lt;=5000,INDEX($E$2:$E$1001,-2050),"")))))</f>
        <v/>
      </c>
    </row>
    <row r="1952">
      <c r="G1952">
        <f>IF(1951&lt;=1000,INDEX($A$2:$A$1001,1951),IF(1951&lt;=2000,INDEX($B$2:$B$1001,951),IF(1951&lt;=3000,INDEX($C$2:$C$1001,-49),IF(1951&lt;=4000,INDEX($D$2:$D$1001,-1049),IF(1951&lt;=5000,INDEX($E$2:$E$1001,-2049),"")))))</f>
        <v/>
      </c>
    </row>
    <row r="1953">
      <c r="G1953">
        <f>IF(1952&lt;=1000,INDEX($A$2:$A$1001,1952),IF(1952&lt;=2000,INDEX($B$2:$B$1001,952),IF(1952&lt;=3000,INDEX($C$2:$C$1001,-48),IF(1952&lt;=4000,INDEX($D$2:$D$1001,-1048),IF(1952&lt;=5000,INDEX($E$2:$E$1001,-2048),"")))))</f>
        <v/>
      </c>
    </row>
    <row r="1954">
      <c r="G1954">
        <f>IF(1953&lt;=1000,INDEX($A$2:$A$1001,1953),IF(1953&lt;=2000,INDEX($B$2:$B$1001,953),IF(1953&lt;=3000,INDEX($C$2:$C$1001,-47),IF(1953&lt;=4000,INDEX($D$2:$D$1001,-1047),IF(1953&lt;=5000,INDEX($E$2:$E$1001,-2047),"")))))</f>
        <v/>
      </c>
    </row>
    <row r="1955">
      <c r="G1955">
        <f>IF(1954&lt;=1000,INDEX($A$2:$A$1001,1954),IF(1954&lt;=2000,INDEX($B$2:$B$1001,954),IF(1954&lt;=3000,INDEX($C$2:$C$1001,-46),IF(1954&lt;=4000,INDEX($D$2:$D$1001,-1046),IF(1954&lt;=5000,INDEX($E$2:$E$1001,-2046),"")))))</f>
        <v/>
      </c>
    </row>
    <row r="1956">
      <c r="G1956">
        <f>IF(1955&lt;=1000,INDEX($A$2:$A$1001,1955),IF(1955&lt;=2000,INDEX($B$2:$B$1001,955),IF(1955&lt;=3000,INDEX($C$2:$C$1001,-45),IF(1955&lt;=4000,INDEX($D$2:$D$1001,-1045),IF(1955&lt;=5000,INDEX($E$2:$E$1001,-2045),"")))))</f>
        <v/>
      </c>
    </row>
    <row r="1957">
      <c r="G1957">
        <f>IF(1956&lt;=1000,INDEX($A$2:$A$1001,1956),IF(1956&lt;=2000,INDEX($B$2:$B$1001,956),IF(1956&lt;=3000,INDEX($C$2:$C$1001,-44),IF(1956&lt;=4000,INDEX($D$2:$D$1001,-1044),IF(1956&lt;=5000,INDEX($E$2:$E$1001,-2044),"")))))</f>
        <v/>
      </c>
    </row>
    <row r="1958">
      <c r="G1958">
        <f>IF(1957&lt;=1000,INDEX($A$2:$A$1001,1957),IF(1957&lt;=2000,INDEX($B$2:$B$1001,957),IF(1957&lt;=3000,INDEX($C$2:$C$1001,-43),IF(1957&lt;=4000,INDEX($D$2:$D$1001,-1043),IF(1957&lt;=5000,INDEX($E$2:$E$1001,-2043),"")))))</f>
        <v/>
      </c>
    </row>
    <row r="1959">
      <c r="G1959">
        <f>IF(1958&lt;=1000,INDEX($A$2:$A$1001,1958),IF(1958&lt;=2000,INDEX($B$2:$B$1001,958),IF(1958&lt;=3000,INDEX($C$2:$C$1001,-42),IF(1958&lt;=4000,INDEX($D$2:$D$1001,-1042),IF(1958&lt;=5000,INDEX($E$2:$E$1001,-2042),"")))))</f>
        <v/>
      </c>
    </row>
    <row r="1960">
      <c r="G1960">
        <f>IF(1959&lt;=1000,INDEX($A$2:$A$1001,1959),IF(1959&lt;=2000,INDEX($B$2:$B$1001,959),IF(1959&lt;=3000,INDEX($C$2:$C$1001,-41),IF(1959&lt;=4000,INDEX($D$2:$D$1001,-1041),IF(1959&lt;=5000,INDEX($E$2:$E$1001,-2041),"")))))</f>
        <v/>
      </c>
    </row>
    <row r="1961">
      <c r="G1961">
        <f>IF(1960&lt;=1000,INDEX($A$2:$A$1001,1960),IF(1960&lt;=2000,INDEX($B$2:$B$1001,960),IF(1960&lt;=3000,INDEX($C$2:$C$1001,-40),IF(1960&lt;=4000,INDEX($D$2:$D$1001,-1040),IF(1960&lt;=5000,INDEX($E$2:$E$1001,-2040),"")))))</f>
        <v/>
      </c>
    </row>
    <row r="1962">
      <c r="G1962">
        <f>IF(1961&lt;=1000,INDEX($A$2:$A$1001,1961),IF(1961&lt;=2000,INDEX($B$2:$B$1001,961),IF(1961&lt;=3000,INDEX($C$2:$C$1001,-39),IF(1961&lt;=4000,INDEX($D$2:$D$1001,-1039),IF(1961&lt;=5000,INDEX($E$2:$E$1001,-2039),"")))))</f>
        <v/>
      </c>
    </row>
    <row r="1963">
      <c r="G1963">
        <f>IF(1962&lt;=1000,INDEX($A$2:$A$1001,1962),IF(1962&lt;=2000,INDEX($B$2:$B$1001,962),IF(1962&lt;=3000,INDEX($C$2:$C$1001,-38),IF(1962&lt;=4000,INDEX($D$2:$D$1001,-1038),IF(1962&lt;=5000,INDEX($E$2:$E$1001,-2038),"")))))</f>
        <v/>
      </c>
    </row>
    <row r="1964">
      <c r="G1964">
        <f>IF(1963&lt;=1000,INDEX($A$2:$A$1001,1963),IF(1963&lt;=2000,INDEX($B$2:$B$1001,963),IF(1963&lt;=3000,INDEX($C$2:$C$1001,-37),IF(1963&lt;=4000,INDEX($D$2:$D$1001,-1037),IF(1963&lt;=5000,INDEX($E$2:$E$1001,-2037),"")))))</f>
        <v/>
      </c>
    </row>
    <row r="1965">
      <c r="G1965">
        <f>IF(1964&lt;=1000,INDEX($A$2:$A$1001,1964),IF(1964&lt;=2000,INDEX($B$2:$B$1001,964),IF(1964&lt;=3000,INDEX($C$2:$C$1001,-36),IF(1964&lt;=4000,INDEX($D$2:$D$1001,-1036),IF(1964&lt;=5000,INDEX($E$2:$E$1001,-2036),"")))))</f>
        <v/>
      </c>
    </row>
    <row r="1966">
      <c r="G1966">
        <f>IF(1965&lt;=1000,INDEX($A$2:$A$1001,1965),IF(1965&lt;=2000,INDEX($B$2:$B$1001,965),IF(1965&lt;=3000,INDEX($C$2:$C$1001,-35),IF(1965&lt;=4000,INDEX($D$2:$D$1001,-1035),IF(1965&lt;=5000,INDEX($E$2:$E$1001,-2035),"")))))</f>
        <v/>
      </c>
    </row>
    <row r="1967">
      <c r="G1967">
        <f>IF(1966&lt;=1000,INDEX($A$2:$A$1001,1966),IF(1966&lt;=2000,INDEX($B$2:$B$1001,966),IF(1966&lt;=3000,INDEX($C$2:$C$1001,-34),IF(1966&lt;=4000,INDEX($D$2:$D$1001,-1034),IF(1966&lt;=5000,INDEX($E$2:$E$1001,-2034),"")))))</f>
        <v/>
      </c>
    </row>
    <row r="1968">
      <c r="G1968">
        <f>IF(1967&lt;=1000,INDEX($A$2:$A$1001,1967),IF(1967&lt;=2000,INDEX($B$2:$B$1001,967),IF(1967&lt;=3000,INDEX($C$2:$C$1001,-33),IF(1967&lt;=4000,INDEX($D$2:$D$1001,-1033),IF(1967&lt;=5000,INDEX($E$2:$E$1001,-2033),"")))))</f>
        <v/>
      </c>
    </row>
    <row r="1969">
      <c r="G1969">
        <f>IF(1968&lt;=1000,INDEX($A$2:$A$1001,1968),IF(1968&lt;=2000,INDEX($B$2:$B$1001,968),IF(1968&lt;=3000,INDEX($C$2:$C$1001,-32),IF(1968&lt;=4000,INDEX($D$2:$D$1001,-1032),IF(1968&lt;=5000,INDEX($E$2:$E$1001,-2032),"")))))</f>
        <v/>
      </c>
    </row>
    <row r="1970">
      <c r="G1970">
        <f>IF(1969&lt;=1000,INDEX($A$2:$A$1001,1969),IF(1969&lt;=2000,INDEX($B$2:$B$1001,969),IF(1969&lt;=3000,INDEX($C$2:$C$1001,-31),IF(1969&lt;=4000,INDEX($D$2:$D$1001,-1031),IF(1969&lt;=5000,INDEX($E$2:$E$1001,-2031),"")))))</f>
        <v/>
      </c>
    </row>
    <row r="1971">
      <c r="G1971">
        <f>IF(1970&lt;=1000,INDEX($A$2:$A$1001,1970),IF(1970&lt;=2000,INDEX($B$2:$B$1001,970),IF(1970&lt;=3000,INDEX($C$2:$C$1001,-30),IF(1970&lt;=4000,INDEX($D$2:$D$1001,-1030),IF(1970&lt;=5000,INDEX($E$2:$E$1001,-2030),"")))))</f>
        <v/>
      </c>
    </row>
    <row r="1972">
      <c r="G1972">
        <f>IF(1971&lt;=1000,INDEX($A$2:$A$1001,1971),IF(1971&lt;=2000,INDEX($B$2:$B$1001,971),IF(1971&lt;=3000,INDEX($C$2:$C$1001,-29),IF(1971&lt;=4000,INDEX($D$2:$D$1001,-1029),IF(1971&lt;=5000,INDEX($E$2:$E$1001,-2029),"")))))</f>
        <v/>
      </c>
    </row>
    <row r="1973">
      <c r="G1973">
        <f>IF(1972&lt;=1000,INDEX($A$2:$A$1001,1972),IF(1972&lt;=2000,INDEX($B$2:$B$1001,972),IF(1972&lt;=3000,INDEX($C$2:$C$1001,-28),IF(1972&lt;=4000,INDEX($D$2:$D$1001,-1028),IF(1972&lt;=5000,INDEX($E$2:$E$1001,-2028),"")))))</f>
        <v/>
      </c>
    </row>
    <row r="1974">
      <c r="G1974">
        <f>IF(1973&lt;=1000,INDEX($A$2:$A$1001,1973),IF(1973&lt;=2000,INDEX($B$2:$B$1001,973),IF(1973&lt;=3000,INDEX($C$2:$C$1001,-27),IF(1973&lt;=4000,INDEX($D$2:$D$1001,-1027),IF(1973&lt;=5000,INDEX($E$2:$E$1001,-2027),"")))))</f>
        <v/>
      </c>
    </row>
    <row r="1975">
      <c r="G1975">
        <f>IF(1974&lt;=1000,INDEX($A$2:$A$1001,1974),IF(1974&lt;=2000,INDEX($B$2:$B$1001,974),IF(1974&lt;=3000,INDEX($C$2:$C$1001,-26),IF(1974&lt;=4000,INDEX($D$2:$D$1001,-1026),IF(1974&lt;=5000,INDEX($E$2:$E$1001,-2026),"")))))</f>
        <v/>
      </c>
    </row>
    <row r="1976">
      <c r="G1976">
        <f>IF(1975&lt;=1000,INDEX($A$2:$A$1001,1975),IF(1975&lt;=2000,INDEX($B$2:$B$1001,975),IF(1975&lt;=3000,INDEX($C$2:$C$1001,-25),IF(1975&lt;=4000,INDEX($D$2:$D$1001,-1025),IF(1975&lt;=5000,INDEX($E$2:$E$1001,-2025),"")))))</f>
        <v/>
      </c>
    </row>
    <row r="1977">
      <c r="G1977">
        <f>IF(1976&lt;=1000,INDEX($A$2:$A$1001,1976),IF(1976&lt;=2000,INDEX($B$2:$B$1001,976),IF(1976&lt;=3000,INDEX($C$2:$C$1001,-24),IF(1976&lt;=4000,INDEX($D$2:$D$1001,-1024),IF(1976&lt;=5000,INDEX($E$2:$E$1001,-2024),"")))))</f>
        <v/>
      </c>
    </row>
    <row r="1978">
      <c r="G1978">
        <f>IF(1977&lt;=1000,INDEX($A$2:$A$1001,1977),IF(1977&lt;=2000,INDEX($B$2:$B$1001,977),IF(1977&lt;=3000,INDEX($C$2:$C$1001,-23),IF(1977&lt;=4000,INDEX($D$2:$D$1001,-1023),IF(1977&lt;=5000,INDEX($E$2:$E$1001,-2023),"")))))</f>
        <v/>
      </c>
    </row>
    <row r="1979">
      <c r="G1979">
        <f>IF(1978&lt;=1000,INDEX($A$2:$A$1001,1978),IF(1978&lt;=2000,INDEX($B$2:$B$1001,978),IF(1978&lt;=3000,INDEX($C$2:$C$1001,-22),IF(1978&lt;=4000,INDEX($D$2:$D$1001,-1022),IF(1978&lt;=5000,INDEX($E$2:$E$1001,-2022),"")))))</f>
        <v/>
      </c>
    </row>
    <row r="1980">
      <c r="G1980">
        <f>IF(1979&lt;=1000,INDEX($A$2:$A$1001,1979),IF(1979&lt;=2000,INDEX($B$2:$B$1001,979),IF(1979&lt;=3000,INDEX($C$2:$C$1001,-21),IF(1979&lt;=4000,INDEX($D$2:$D$1001,-1021),IF(1979&lt;=5000,INDEX($E$2:$E$1001,-2021),"")))))</f>
        <v/>
      </c>
    </row>
    <row r="1981">
      <c r="G1981">
        <f>IF(1980&lt;=1000,INDEX($A$2:$A$1001,1980),IF(1980&lt;=2000,INDEX($B$2:$B$1001,980),IF(1980&lt;=3000,INDEX($C$2:$C$1001,-20),IF(1980&lt;=4000,INDEX($D$2:$D$1001,-1020),IF(1980&lt;=5000,INDEX($E$2:$E$1001,-2020),"")))))</f>
        <v/>
      </c>
    </row>
    <row r="1982">
      <c r="G1982">
        <f>IF(1981&lt;=1000,INDEX($A$2:$A$1001,1981),IF(1981&lt;=2000,INDEX($B$2:$B$1001,981),IF(1981&lt;=3000,INDEX($C$2:$C$1001,-19),IF(1981&lt;=4000,INDEX($D$2:$D$1001,-1019),IF(1981&lt;=5000,INDEX($E$2:$E$1001,-2019),"")))))</f>
        <v/>
      </c>
    </row>
    <row r="1983">
      <c r="G1983">
        <f>IF(1982&lt;=1000,INDEX($A$2:$A$1001,1982),IF(1982&lt;=2000,INDEX($B$2:$B$1001,982),IF(1982&lt;=3000,INDEX($C$2:$C$1001,-18),IF(1982&lt;=4000,INDEX($D$2:$D$1001,-1018),IF(1982&lt;=5000,INDEX($E$2:$E$1001,-2018),"")))))</f>
        <v/>
      </c>
    </row>
    <row r="1984">
      <c r="G1984">
        <f>IF(1983&lt;=1000,INDEX($A$2:$A$1001,1983),IF(1983&lt;=2000,INDEX($B$2:$B$1001,983),IF(1983&lt;=3000,INDEX($C$2:$C$1001,-17),IF(1983&lt;=4000,INDEX($D$2:$D$1001,-1017),IF(1983&lt;=5000,INDEX($E$2:$E$1001,-2017),"")))))</f>
        <v/>
      </c>
    </row>
    <row r="1985">
      <c r="G1985">
        <f>IF(1984&lt;=1000,INDEX($A$2:$A$1001,1984),IF(1984&lt;=2000,INDEX($B$2:$B$1001,984),IF(1984&lt;=3000,INDEX($C$2:$C$1001,-16),IF(1984&lt;=4000,INDEX($D$2:$D$1001,-1016),IF(1984&lt;=5000,INDEX($E$2:$E$1001,-2016),"")))))</f>
        <v/>
      </c>
    </row>
    <row r="1986">
      <c r="G1986">
        <f>IF(1985&lt;=1000,INDEX($A$2:$A$1001,1985),IF(1985&lt;=2000,INDEX($B$2:$B$1001,985),IF(1985&lt;=3000,INDEX($C$2:$C$1001,-15),IF(1985&lt;=4000,INDEX($D$2:$D$1001,-1015),IF(1985&lt;=5000,INDEX($E$2:$E$1001,-2015),"")))))</f>
        <v/>
      </c>
    </row>
    <row r="1987">
      <c r="G1987">
        <f>IF(1986&lt;=1000,INDEX($A$2:$A$1001,1986),IF(1986&lt;=2000,INDEX($B$2:$B$1001,986),IF(1986&lt;=3000,INDEX($C$2:$C$1001,-14),IF(1986&lt;=4000,INDEX($D$2:$D$1001,-1014),IF(1986&lt;=5000,INDEX($E$2:$E$1001,-2014),"")))))</f>
        <v/>
      </c>
    </row>
    <row r="1988">
      <c r="G1988">
        <f>IF(1987&lt;=1000,INDEX($A$2:$A$1001,1987),IF(1987&lt;=2000,INDEX($B$2:$B$1001,987),IF(1987&lt;=3000,INDEX($C$2:$C$1001,-13),IF(1987&lt;=4000,INDEX($D$2:$D$1001,-1013),IF(1987&lt;=5000,INDEX($E$2:$E$1001,-2013),"")))))</f>
        <v/>
      </c>
    </row>
    <row r="1989">
      <c r="G1989">
        <f>IF(1988&lt;=1000,INDEX($A$2:$A$1001,1988),IF(1988&lt;=2000,INDEX($B$2:$B$1001,988),IF(1988&lt;=3000,INDEX($C$2:$C$1001,-12),IF(1988&lt;=4000,INDEX($D$2:$D$1001,-1012),IF(1988&lt;=5000,INDEX($E$2:$E$1001,-2012),"")))))</f>
        <v/>
      </c>
    </row>
    <row r="1990">
      <c r="G1990">
        <f>IF(1989&lt;=1000,INDEX($A$2:$A$1001,1989),IF(1989&lt;=2000,INDEX($B$2:$B$1001,989),IF(1989&lt;=3000,INDEX($C$2:$C$1001,-11),IF(1989&lt;=4000,INDEX($D$2:$D$1001,-1011),IF(1989&lt;=5000,INDEX($E$2:$E$1001,-2011),"")))))</f>
        <v/>
      </c>
    </row>
    <row r="1991">
      <c r="G1991">
        <f>IF(1990&lt;=1000,INDEX($A$2:$A$1001,1990),IF(1990&lt;=2000,INDEX($B$2:$B$1001,990),IF(1990&lt;=3000,INDEX($C$2:$C$1001,-10),IF(1990&lt;=4000,INDEX($D$2:$D$1001,-1010),IF(1990&lt;=5000,INDEX($E$2:$E$1001,-2010),"")))))</f>
        <v/>
      </c>
    </row>
    <row r="1992">
      <c r="G1992">
        <f>IF(1991&lt;=1000,INDEX($A$2:$A$1001,1991),IF(1991&lt;=2000,INDEX($B$2:$B$1001,991),IF(1991&lt;=3000,INDEX($C$2:$C$1001,-9),IF(1991&lt;=4000,INDEX($D$2:$D$1001,-1009),IF(1991&lt;=5000,INDEX($E$2:$E$1001,-2009),"")))))</f>
        <v/>
      </c>
    </row>
    <row r="1993">
      <c r="G1993">
        <f>IF(1992&lt;=1000,INDEX($A$2:$A$1001,1992),IF(1992&lt;=2000,INDEX($B$2:$B$1001,992),IF(1992&lt;=3000,INDEX($C$2:$C$1001,-8),IF(1992&lt;=4000,INDEX($D$2:$D$1001,-1008),IF(1992&lt;=5000,INDEX($E$2:$E$1001,-2008),"")))))</f>
        <v/>
      </c>
    </row>
    <row r="1994">
      <c r="G1994">
        <f>IF(1993&lt;=1000,INDEX($A$2:$A$1001,1993),IF(1993&lt;=2000,INDEX($B$2:$B$1001,993),IF(1993&lt;=3000,INDEX($C$2:$C$1001,-7),IF(1993&lt;=4000,INDEX($D$2:$D$1001,-1007),IF(1993&lt;=5000,INDEX($E$2:$E$1001,-2007),"")))))</f>
        <v/>
      </c>
    </row>
    <row r="1995">
      <c r="G1995">
        <f>IF(1994&lt;=1000,INDEX($A$2:$A$1001,1994),IF(1994&lt;=2000,INDEX($B$2:$B$1001,994),IF(1994&lt;=3000,INDEX($C$2:$C$1001,-6),IF(1994&lt;=4000,INDEX($D$2:$D$1001,-1006),IF(1994&lt;=5000,INDEX($E$2:$E$1001,-2006),"")))))</f>
        <v/>
      </c>
    </row>
    <row r="1996">
      <c r="G1996">
        <f>IF(1995&lt;=1000,INDEX($A$2:$A$1001,1995),IF(1995&lt;=2000,INDEX($B$2:$B$1001,995),IF(1995&lt;=3000,INDEX($C$2:$C$1001,-5),IF(1995&lt;=4000,INDEX($D$2:$D$1001,-1005),IF(1995&lt;=5000,INDEX($E$2:$E$1001,-2005),"")))))</f>
        <v/>
      </c>
    </row>
    <row r="1997">
      <c r="G1997">
        <f>IF(1996&lt;=1000,INDEX($A$2:$A$1001,1996),IF(1996&lt;=2000,INDEX($B$2:$B$1001,996),IF(1996&lt;=3000,INDEX($C$2:$C$1001,-4),IF(1996&lt;=4000,INDEX($D$2:$D$1001,-1004),IF(1996&lt;=5000,INDEX($E$2:$E$1001,-2004),"")))))</f>
        <v/>
      </c>
    </row>
    <row r="1998">
      <c r="G1998">
        <f>IF(1997&lt;=1000,INDEX($A$2:$A$1001,1997),IF(1997&lt;=2000,INDEX($B$2:$B$1001,997),IF(1997&lt;=3000,INDEX($C$2:$C$1001,-3),IF(1997&lt;=4000,INDEX($D$2:$D$1001,-1003),IF(1997&lt;=5000,INDEX($E$2:$E$1001,-2003),"")))))</f>
        <v/>
      </c>
    </row>
    <row r="1999">
      <c r="G1999">
        <f>IF(1998&lt;=1000,INDEX($A$2:$A$1001,1998),IF(1998&lt;=2000,INDEX($B$2:$B$1001,998),IF(1998&lt;=3000,INDEX($C$2:$C$1001,-2),IF(1998&lt;=4000,INDEX($D$2:$D$1001,-1002),IF(1998&lt;=5000,INDEX($E$2:$E$1001,-2002),"")))))</f>
        <v/>
      </c>
    </row>
    <row r="2000">
      <c r="G2000">
        <f>IF(1999&lt;=1000,INDEX($A$2:$A$1001,1999),IF(1999&lt;=2000,INDEX($B$2:$B$1001,999),IF(1999&lt;=3000,INDEX($C$2:$C$1001,-1),IF(1999&lt;=4000,INDEX($D$2:$D$1001,-1001),IF(1999&lt;=5000,INDEX($E$2:$E$1001,-2001),"")))))</f>
        <v/>
      </c>
    </row>
    <row r="2001">
      <c r="G2001">
        <f>IF(2000&lt;=1000,INDEX($A$2:$A$1001,2000),IF(2000&lt;=2000,INDEX($B$2:$B$1001,1000),IF(2000&lt;=3000,INDEX($C$2:$C$1001,0),IF(2000&lt;=4000,INDEX($D$2:$D$1001,-1000),IF(2000&lt;=5000,INDEX($E$2:$E$1001,-2000),"")))))</f>
        <v/>
      </c>
    </row>
    <row r="2002">
      <c r="G2002">
        <f>IF(2001&lt;=1000,INDEX($A$2:$A$1001,2001),IF(2001&lt;=2000,INDEX($B$2:$B$1001,1001),IF(2001&lt;=3000,INDEX($C$2:$C$1001,1),IF(2001&lt;=4000,INDEX($D$2:$D$1001,-999),IF(2001&lt;=5000,INDEX($E$2:$E$1001,-1999),"")))))</f>
        <v/>
      </c>
    </row>
    <row r="2003">
      <c r="G2003">
        <f>IF(2002&lt;=1000,INDEX($A$2:$A$1001,2002),IF(2002&lt;=2000,INDEX($B$2:$B$1001,1002),IF(2002&lt;=3000,INDEX($C$2:$C$1001,2),IF(2002&lt;=4000,INDEX($D$2:$D$1001,-998),IF(2002&lt;=5000,INDEX($E$2:$E$1001,-1998),"")))))</f>
        <v/>
      </c>
    </row>
    <row r="2004">
      <c r="G2004">
        <f>IF(2003&lt;=1000,INDEX($A$2:$A$1001,2003),IF(2003&lt;=2000,INDEX($B$2:$B$1001,1003),IF(2003&lt;=3000,INDEX($C$2:$C$1001,3),IF(2003&lt;=4000,INDEX($D$2:$D$1001,-997),IF(2003&lt;=5000,INDEX($E$2:$E$1001,-1997),"")))))</f>
        <v/>
      </c>
    </row>
    <row r="2005">
      <c r="G2005">
        <f>IF(2004&lt;=1000,INDEX($A$2:$A$1001,2004),IF(2004&lt;=2000,INDEX($B$2:$B$1001,1004),IF(2004&lt;=3000,INDEX($C$2:$C$1001,4),IF(2004&lt;=4000,INDEX($D$2:$D$1001,-996),IF(2004&lt;=5000,INDEX($E$2:$E$1001,-1996),"")))))</f>
        <v/>
      </c>
    </row>
    <row r="2006">
      <c r="G2006">
        <f>IF(2005&lt;=1000,INDEX($A$2:$A$1001,2005),IF(2005&lt;=2000,INDEX($B$2:$B$1001,1005),IF(2005&lt;=3000,INDEX($C$2:$C$1001,5),IF(2005&lt;=4000,INDEX($D$2:$D$1001,-995),IF(2005&lt;=5000,INDEX($E$2:$E$1001,-1995),"")))))</f>
        <v/>
      </c>
    </row>
    <row r="2007">
      <c r="G2007">
        <f>IF(2006&lt;=1000,INDEX($A$2:$A$1001,2006),IF(2006&lt;=2000,INDEX($B$2:$B$1001,1006),IF(2006&lt;=3000,INDEX($C$2:$C$1001,6),IF(2006&lt;=4000,INDEX($D$2:$D$1001,-994),IF(2006&lt;=5000,INDEX($E$2:$E$1001,-1994),"")))))</f>
        <v/>
      </c>
    </row>
    <row r="2008">
      <c r="G2008">
        <f>IF(2007&lt;=1000,INDEX($A$2:$A$1001,2007),IF(2007&lt;=2000,INDEX($B$2:$B$1001,1007),IF(2007&lt;=3000,INDEX($C$2:$C$1001,7),IF(2007&lt;=4000,INDEX($D$2:$D$1001,-993),IF(2007&lt;=5000,INDEX($E$2:$E$1001,-1993),"")))))</f>
        <v/>
      </c>
    </row>
    <row r="2009">
      <c r="G2009">
        <f>IF(2008&lt;=1000,INDEX($A$2:$A$1001,2008),IF(2008&lt;=2000,INDEX($B$2:$B$1001,1008),IF(2008&lt;=3000,INDEX($C$2:$C$1001,8),IF(2008&lt;=4000,INDEX($D$2:$D$1001,-992),IF(2008&lt;=5000,INDEX($E$2:$E$1001,-1992),"")))))</f>
        <v/>
      </c>
    </row>
    <row r="2010">
      <c r="G2010">
        <f>IF(2009&lt;=1000,INDEX($A$2:$A$1001,2009),IF(2009&lt;=2000,INDEX($B$2:$B$1001,1009),IF(2009&lt;=3000,INDEX($C$2:$C$1001,9),IF(2009&lt;=4000,INDEX($D$2:$D$1001,-991),IF(2009&lt;=5000,INDEX($E$2:$E$1001,-1991),"")))))</f>
        <v/>
      </c>
    </row>
    <row r="2011">
      <c r="G2011">
        <f>IF(2010&lt;=1000,INDEX($A$2:$A$1001,2010),IF(2010&lt;=2000,INDEX($B$2:$B$1001,1010),IF(2010&lt;=3000,INDEX($C$2:$C$1001,10),IF(2010&lt;=4000,INDEX($D$2:$D$1001,-990),IF(2010&lt;=5000,INDEX($E$2:$E$1001,-1990),"")))))</f>
        <v/>
      </c>
    </row>
    <row r="2012">
      <c r="G2012">
        <f>IF(2011&lt;=1000,INDEX($A$2:$A$1001,2011),IF(2011&lt;=2000,INDEX($B$2:$B$1001,1011),IF(2011&lt;=3000,INDEX($C$2:$C$1001,11),IF(2011&lt;=4000,INDEX($D$2:$D$1001,-989),IF(2011&lt;=5000,INDEX($E$2:$E$1001,-1989),"")))))</f>
        <v/>
      </c>
    </row>
    <row r="2013">
      <c r="G2013">
        <f>IF(2012&lt;=1000,INDEX($A$2:$A$1001,2012),IF(2012&lt;=2000,INDEX($B$2:$B$1001,1012),IF(2012&lt;=3000,INDEX($C$2:$C$1001,12),IF(2012&lt;=4000,INDEX($D$2:$D$1001,-988),IF(2012&lt;=5000,INDEX($E$2:$E$1001,-1988),"")))))</f>
        <v/>
      </c>
    </row>
    <row r="2014">
      <c r="G2014">
        <f>IF(2013&lt;=1000,INDEX($A$2:$A$1001,2013),IF(2013&lt;=2000,INDEX($B$2:$B$1001,1013),IF(2013&lt;=3000,INDEX($C$2:$C$1001,13),IF(2013&lt;=4000,INDEX($D$2:$D$1001,-987),IF(2013&lt;=5000,INDEX($E$2:$E$1001,-1987),"")))))</f>
        <v/>
      </c>
    </row>
    <row r="2015">
      <c r="G2015">
        <f>IF(2014&lt;=1000,INDEX($A$2:$A$1001,2014),IF(2014&lt;=2000,INDEX($B$2:$B$1001,1014),IF(2014&lt;=3000,INDEX($C$2:$C$1001,14),IF(2014&lt;=4000,INDEX($D$2:$D$1001,-986),IF(2014&lt;=5000,INDEX($E$2:$E$1001,-1986),"")))))</f>
        <v/>
      </c>
    </row>
    <row r="2016">
      <c r="G2016">
        <f>IF(2015&lt;=1000,INDEX($A$2:$A$1001,2015),IF(2015&lt;=2000,INDEX($B$2:$B$1001,1015),IF(2015&lt;=3000,INDEX($C$2:$C$1001,15),IF(2015&lt;=4000,INDEX($D$2:$D$1001,-985),IF(2015&lt;=5000,INDEX($E$2:$E$1001,-1985),"")))))</f>
        <v/>
      </c>
    </row>
    <row r="2017">
      <c r="G2017">
        <f>IF(2016&lt;=1000,INDEX($A$2:$A$1001,2016),IF(2016&lt;=2000,INDEX($B$2:$B$1001,1016),IF(2016&lt;=3000,INDEX($C$2:$C$1001,16),IF(2016&lt;=4000,INDEX($D$2:$D$1001,-984),IF(2016&lt;=5000,INDEX($E$2:$E$1001,-1984),"")))))</f>
        <v/>
      </c>
    </row>
    <row r="2018">
      <c r="G2018">
        <f>IF(2017&lt;=1000,INDEX($A$2:$A$1001,2017),IF(2017&lt;=2000,INDEX($B$2:$B$1001,1017),IF(2017&lt;=3000,INDEX($C$2:$C$1001,17),IF(2017&lt;=4000,INDEX($D$2:$D$1001,-983),IF(2017&lt;=5000,INDEX($E$2:$E$1001,-1983),"")))))</f>
        <v/>
      </c>
    </row>
    <row r="2019">
      <c r="G2019">
        <f>IF(2018&lt;=1000,INDEX($A$2:$A$1001,2018),IF(2018&lt;=2000,INDEX($B$2:$B$1001,1018),IF(2018&lt;=3000,INDEX($C$2:$C$1001,18),IF(2018&lt;=4000,INDEX($D$2:$D$1001,-982),IF(2018&lt;=5000,INDEX($E$2:$E$1001,-1982),"")))))</f>
        <v/>
      </c>
    </row>
    <row r="2020">
      <c r="G2020">
        <f>IF(2019&lt;=1000,INDEX($A$2:$A$1001,2019),IF(2019&lt;=2000,INDEX($B$2:$B$1001,1019),IF(2019&lt;=3000,INDEX($C$2:$C$1001,19),IF(2019&lt;=4000,INDEX($D$2:$D$1001,-981),IF(2019&lt;=5000,INDEX($E$2:$E$1001,-1981),"")))))</f>
        <v/>
      </c>
    </row>
    <row r="2021">
      <c r="G2021">
        <f>IF(2020&lt;=1000,INDEX($A$2:$A$1001,2020),IF(2020&lt;=2000,INDEX($B$2:$B$1001,1020),IF(2020&lt;=3000,INDEX($C$2:$C$1001,20),IF(2020&lt;=4000,INDEX($D$2:$D$1001,-980),IF(2020&lt;=5000,INDEX($E$2:$E$1001,-1980),"")))))</f>
        <v/>
      </c>
    </row>
    <row r="2022">
      <c r="G2022">
        <f>IF(2021&lt;=1000,INDEX($A$2:$A$1001,2021),IF(2021&lt;=2000,INDEX($B$2:$B$1001,1021),IF(2021&lt;=3000,INDEX($C$2:$C$1001,21),IF(2021&lt;=4000,INDEX($D$2:$D$1001,-979),IF(2021&lt;=5000,INDEX($E$2:$E$1001,-1979),"")))))</f>
        <v/>
      </c>
    </row>
    <row r="2023">
      <c r="G2023">
        <f>IF(2022&lt;=1000,INDEX($A$2:$A$1001,2022),IF(2022&lt;=2000,INDEX($B$2:$B$1001,1022),IF(2022&lt;=3000,INDEX($C$2:$C$1001,22),IF(2022&lt;=4000,INDEX($D$2:$D$1001,-978),IF(2022&lt;=5000,INDEX($E$2:$E$1001,-1978),"")))))</f>
        <v/>
      </c>
    </row>
    <row r="2024">
      <c r="G2024">
        <f>IF(2023&lt;=1000,INDEX($A$2:$A$1001,2023),IF(2023&lt;=2000,INDEX($B$2:$B$1001,1023),IF(2023&lt;=3000,INDEX($C$2:$C$1001,23),IF(2023&lt;=4000,INDEX($D$2:$D$1001,-977),IF(2023&lt;=5000,INDEX($E$2:$E$1001,-1977),"")))))</f>
        <v/>
      </c>
    </row>
    <row r="2025">
      <c r="G2025">
        <f>IF(2024&lt;=1000,INDEX($A$2:$A$1001,2024),IF(2024&lt;=2000,INDEX($B$2:$B$1001,1024),IF(2024&lt;=3000,INDEX($C$2:$C$1001,24),IF(2024&lt;=4000,INDEX($D$2:$D$1001,-976),IF(2024&lt;=5000,INDEX($E$2:$E$1001,-1976),"")))))</f>
        <v/>
      </c>
    </row>
    <row r="2026">
      <c r="G2026">
        <f>IF(2025&lt;=1000,INDEX($A$2:$A$1001,2025),IF(2025&lt;=2000,INDEX($B$2:$B$1001,1025),IF(2025&lt;=3000,INDEX($C$2:$C$1001,25),IF(2025&lt;=4000,INDEX($D$2:$D$1001,-975),IF(2025&lt;=5000,INDEX($E$2:$E$1001,-1975),"")))))</f>
        <v/>
      </c>
    </row>
    <row r="2027">
      <c r="G2027">
        <f>IF(2026&lt;=1000,INDEX($A$2:$A$1001,2026),IF(2026&lt;=2000,INDEX($B$2:$B$1001,1026),IF(2026&lt;=3000,INDEX($C$2:$C$1001,26),IF(2026&lt;=4000,INDEX($D$2:$D$1001,-974),IF(2026&lt;=5000,INDEX($E$2:$E$1001,-1974),"")))))</f>
        <v/>
      </c>
    </row>
    <row r="2028">
      <c r="G2028">
        <f>IF(2027&lt;=1000,INDEX($A$2:$A$1001,2027),IF(2027&lt;=2000,INDEX($B$2:$B$1001,1027),IF(2027&lt;=3000,INDEX($C$2:$C$1001,27),IF(2027&lt;=4000,INDEX($D$2:$D$1001,-973),IF(2027&lt;=5000,INDEX($E$2:$E$1001,-1973),"")))))</f>
        <v/>
      </c>
    </row>
    <row r="2029">
      <c r="G2029">
        <f>IF(2028&lt;=1000,INDEX($A$2:$A$1001,2028),IF(2028&lt;=2000,INDEX($B$2:$B$1001,1028),IF(2028&lt;=3000,INDEX($C$2:$C$1001,28),IF(2028&lt;=4000,INDEX($D$2:$D$1001,-972),IF(2028&lt;=5000,INDEX($E$2:$E$1001,-1972),"")))))</f>
        <v/>
      </c>
    </row>
    <row r="2030">
      <c r="G2030">
        <f>IF(2029&lt;=1000,INDEX($A$2:$A$1001,2029),IF(2029&lt;=2000,INDEX($B$2:$B$1001,1029),IF(2029&lt;=3000,INDEX($C$2:$C$1001,29),IF(2029&lt;=4000,INDEX($D$2:$D$1001,-971),IF(2029&lt;=5000,INDEX($E$2:$E$1001,-1971),"")))))</f>
        <v/>
      </c>
    </row>
    <row r="2031">
      <c r="G2031">
        <f>IF(2030&lt;=1000,INDEX($A$2:$A$1001,2030),IF(2030&lt;=2000,INDEX($B$2:$B$1001,1030),IF(2030&lt;=3000,INDEX($C$2:$C$1001,30),IF(2030&lt;=4000,INDEX($D$2:$D$1001,-970),IF(2030&lt;=5000,INDEX($E$2:$E$1001,-1970),"")))))</f>
        <v/>
      </c>
    </row>
    <row r="2032">
      <c r="G2032">
        <f>IF(2031&lt;=1000,INDEX($A$2:$A$1001,2031),IF(2031&lt;=2000,INDEX($B$2:$B$1001,1031),IF(2031&lt;=3000,INDEX($C$2:$C$1001,31),IF(2031&lt;=4000,INDEX($D$2:$D$1001,-969),IF(2031&lt;=5000,INDEX($E$2:$E$1001,-1969),"")))))</f>
        <v/>
      </c>
    </row>
    <row r="2033">
      <c r="G2033">
        <f>IF(2032&lt;=1000,INDEX($A$2:$A$1001,2032),IF(2032&lt;=2000,INDEX($B$2:$B$1001,1032),IF(2032&lt;=3000,INDEX($C$2:$C$1001,32),IF(2032&lt;=4000,INDEX($D$2:$D$1001,-968),IF(2032&lt;=5000,INDEX($E$2:$E$1001,-1968),"")))))</f>
        <v/>
      </c>
    </row>
    <row r="2034">
      <c r="G2034">
        <f>IF(2033&lt;=1000,INDEX($A$2:$A$1001,2033),IF(2033&lt;=2000,INDEX($B$2:$B$1001,1033),IF(2033&lt;=3000,INDEX($C$2:$C$1001,33),IF(2033&lt;=4000,INDEX($D$2:$D$1001,-967),IF(2033&lt;=5000,INDEX($E$2:$E$1001,-1967),"")))))</f>
        <v/>
      </c>
    </row>
    <row r="2035">
      <c r="G2035">
        <f>IF(2034&lt;=1000,INDEX($A$2:$A$1001,2034),IF(2034&lt;=2000,INDEX($B$2:$B$1001,1034),IF(2034&lt;=3000,INDEX($C$2:$C$1001,34),IF(2034&lt;=4000,INDEX($D$2:$D$1001,-966),IF(2034&lt;=5000,INDEX($E$2:$E$1001,-1966),"")))))</f>
        <v/>
      </c>
    </row>
    <row r="2036">
      <c r="G2036">
        <f>IF(2035&lt;=1000,INDEX($A$2:$A$1001,2035),IF(2035&lt;=2000,INDEX($B$2:$B$1001,1035),IF(2035&lt;=3000,INDEX($C$2:$C$1001,35),IF(2035&lt;=4000,INDEX($D$2:$D$1001,-965),IF(2035&lt;=5000,INDEX($E$2:$E$1001,-1965),"")))))</f>
        <v/>
      </c>
    </row>
    <row r="2037">
      <c r="G2037">
        <f>IF(2036&lt;=1000,INDEX($A$2:$A$1001,2036),IF(2036&lt;=2000,INDEX($B$2:$B$1001,1036),IF(2036&lt;=3000,INDEX($C$2:$C$1001,36),IF(2036&lt;=4000,INDEX($D$2:$D$1001,-964),IF(2036&lt;=5000,INDEX($E$2:$E$1001,-1964),"")))))</f>
        <v/>
      </c>
    </row>
    <row r="2038">
      <c r="G2038">
        <f>IF(2037&lt;=1000,INDEX($A$2:$A$1001,2037),IF(2037&lt;=2000,INDEX($B$2:$B$1001,1037),IF(2037&lt;=3000,INDEX($C$2:$C$1001,37),IF(2037&lt;=4000,INDEX($D$2:$D$1001,-963),IF(2037&lt;=5000,INDEX($E$2:$E$1001,-1963),"")))))</f>
        <v/>
      </c>
    </row>
    <row r="2039">
      <c r="G2039">
        <f>IF(2038&lt;=1000,INDEX($A$2:$A$1001,2038),IF(2038&lt;=2000,INDEX($B$2:$B$1001,1038),IF(2038&lt;=3000,INDEX($C$2:$C$1001,38),IF(2038&lt;=4000,INDEX($D$2:$D$1001,-962),IF(2038&lt;=5000,INDEX($E$2:$E$1001,-1962),"")))))</f>
        <v/>
      </c>
    </row>
    <row r="2040">
      <c r="G2040">
        <f>IF(2039&lt;=1000,INDEX($A$2:$A$1001,2039),IF(2039&lt;=2000,INDEX($B$2:$B$1001,1039),IF(2039&lt;=3000,INDEX($C$2:$C$1001,39),IF(2039&lt;=4000,INDEX($D$2:$D$1001,-961),IF(2039&lt;=5000,INDEX($E$2:$E$1001,-1961),"")))))</f>
        <v/>
      </c>
    </row>
    <row r="2041">
      <c r="G2041">
        <f>IF(2040&lt;=1000,INDEX($A$2:$A$1001,2040),IF(2040&lt;=2000,INDEX($B$2:$B$1001,1040),IF(2040&lt;=3000,INDEX($C$2:$C$1001,40),IF(2040&lt;=4000,INDEX($D$2:$D$1001,-960),IF(2040&lt;=5000,INDEX($E$2:$E$1001,-1960),"")))))</f>
        <v/>
      </c>
    </row>
    <row r="2042">
      <c r="G2042">
        <f>IF(2041&lt;=1000,INDEX($A$2:$A$1001,2041),IF(2041&lt;=2000,INDEX($B$2:$B$1001,1041),IF(2041&lt;=3000,INDEX($C$2:$C$1001,41),IF(2041&lt;=4000,INDEX($D$2:$D$1001,-959),IF(2041&lt;=5000,INDEX($E$2:$E$1001,-1959),"")))))</f>
        <v/>
      </c>
    </row>
    <row r="2043">
      <c r="G2043">
        <f>IF(2042&lt;=1000,INDEX($A$2:$A$1001,2042),IF(2042&lt;=2000,INDEX($B$2:$B$1001,1042),IF(2042&lt;=3000,INDEX($C$2:$C$1001,42),IF(2042&lt;=4000,INDEX($D$2:$D$1001,-958),IF(2042&lt;=5000,INDEX($E$2:$E$1001,-1958),"")))))</f>
        <v/>
      </c>
    </row>
    <row r="2044">
      <c r="G2044">
        <f>IF(2043&lt;=1000,INDEX($A$2:$A$1001,2043),IF(2043&lt;=2000,INDEX($B$2:$B$1001,1043),IF(2043&lt;=3000,INDEX($C$2:$C$1001,43),IF(2043&lt;=4000,INDEX($D$2:$D$1001,-957),IF(2043&lt;=5000,INDEX($E$2:$E$1001,-1957),"")))))</f>
        <v/>
      </c>
    </row>
    <row r="2045">
      <c r="G2045">
        <f>IF(2044&lt;=1000,INDEX($A$2:$A$1001,2044),IF(2044&lt;=2000,INDEX($B$2:$B$1001,1044),IF(2044&lt;=3000,INDEX($C$2:$C$1001,44),IF(2044&lt;=4000,INDEX($D$2:$D$1001,-956),IF(2044&lt;=5000,INDEX($E$2:$E$1001,-1956),"")))))</f>
        <v/>
      </c>
    </row>
    <row r="2046">
      <c r="G2046">
        <f>IF(2045&lt;=1000,INDEX($A$2:$A$1001,2045),IF(2045&lt;=2000,INDEX($B$2:$B$1001,1045),IF(2045&lt;=3000,INDEX($C$2:$C$1001,45),IF(2045&lt;=4000,INDEX($D$2:$D$1001,-955),IF(2045&lt;=5000,INDEX($E$2:$E$1001,-1955),"")))))</f>
        <v/>
      </c>
    </row>
    <row r="2047">
      <c r="G2047">
        <f>IF(2046&lt;=1000,INDEX($A$2:$A$1001,2046),IF(2046&lt;=2000,INDEX($B$2:$B$1001,1046),IF(2046&lt;=3000,INDEX($C$2:$C$1001,46),IF(2046&lt;=4000,INDEX($D$2:$D$1001,-954),IF(2046&lt;=5000,INDEX($E$2:$E$1001,-1954),"")))))</f>
        <v/>
      </c>
    </row>
    <row r="2048">
      <c r="G2048">
        <f>IF(2047&lt;=1000,INDEX($A$2:$A$1001,2047),IF(2047&lt;=2000,INDEX($B$2:$B$1001,1047),IF(2047&lt;=3000,INDEX($C$2:$C$1001,47),IF(2047&lt;=4000,INDEX($D$2:$D$1001,-953),IF(2047&lt;=5000,INDEX($E$2:$E$1001,-1953),"")))))</f>
        <v/>
      </c>
    </row>
    <row r="2049">
      <c r="G2049">
        <f>IF(2048&lt;=1000,INDEX($A$2:$A$1001,2048),IF(2048&lt;=2000,INDEX($B$2:$B$1001,1048),IF(2048&lt;=3000,INDEX($C$2:$C$1001,48),IF(2048&lt;=4000,INDEX($D$2:$D$1001,-952),IF(2048&lt;=5000,INDEX($E$2:$E$1001,-1952),"")))))</f>
        <v/>
      </c>
    </row>
    <row r="2050">
      <c r="G2050">
        <f>IF(2049&lt;=1000,INDEX($A$2:$A$1001,2049),IF(2049&lt;=2000,INDEX($B$2:$B$1001,1049),IF(2049&lt;=3000,INDEX($C$2:$C$1001,49),IF(2049&lt;=4000,INDEX($D$2:$D$1001,-951),IF(2049&lt;=5000,INDEX($E$2:$E$1001,-1951),"")))))</f>
        <v/>
      </c>
    </row>
    <row r="2051">
      <c r="G2051">
        <f>IF(2050&lt;=1000,INDEX($A$2:$A$1001,2050),IF(2050&lt;=2000,INDEX($B$2:$B$1001,1050),IF(2050&lt;=3000,INDEX($C$2:$C$1001,50),IF(2050&lt;=4000,INDEX($D$2:$D$1001,-950),IF(2050&lt;=5000,INDEX($E$2:$E$1001,-1950),"")))))</f>
        <v/>
      </c>
    </row>
    <row r="2052">
      <c r="G2052">
        <f>IF(2051&lt;=1000,INDEX($A$2:$A$1001,2051),IF(2051&lt;=2000,INDEX($B$2:$B$1001,1051),IF(2051&lt;=3000,INDEX($C$2:$C$1001,51),IF(2051&lt;=4000,INDEX($D$2:$D$1001,-949),IF(2051&lt;=5000,INDEX($E$2:$E$1001,-1949),"")))))</f>
        <v/>
      </c>
    </row>
    <row r="2053">
      <c r="G2053">
        <f>IF(2052&lt;=1000,INDEX($A$2:$A$1001,2052),IF(2052&lt;=2000,INDEX($B$2:$B$1001,1052),IF(2052&lt;=3000,INDEX($C$2:$C$1001,52),IF(2052&lt;=4000,INDEX($D$2:$D$1001,-948),IF(2052&lt;=5000,INDEX($E$2:$E$1001,-1948),"")))))</f>
        <v/>
      </c>
    </row>
    <row r="2054">
      <c r="G2054">
        <f>IF(2053&lt;=1000,INDEX($A$2:$A$1001,2053),IF(2053&lt;=2000,INDEX($B$2:$B$1001,1053),IF(2053&lt;=3000,INDEX($C$2:$C$1001,53),IF(2053&lt;=4000,INDEX($D$2:$D$1001,-947),IF(2053&lt;=5000,INDEX($E$2:$E$1001,-1947),"")))))</f>
        <v/>
      </c>
    </row>
    <row r="2055">
      <c r="G2055">
        <f>IF(2054&lt;=1000,INDEX($A$2:$A$1001,2054),IF(2054&lt;=2000,INDEX($B$2:$B$1001,1054),IF(2054&lt;=3000,INDEX($C$2:$C$1001,54),IF(2054&lt;=4000,INDEX($D$2:$D$1001,-946),IF(2054&lt;=5000,INDEX($E$2:$E$1001,-1946),"")))))</f>
        <v/>
      </c>
    </row>
    <row r="2056">
      <c r="G2056">
        <f>IF(2055&lt;=1000,INDEX($A$2:$A$1001,2055),IF(2055&lt;=2000,INDEX($B$2:$B$1001,1055),IF(2055&lt;=3000,INDEX($C$2:$C$1001,55),IF(2055&lt;=4000,INDEX($D$2:$D$1001,-945),IF(2055&lt;=5000,INDEX($E$2:$E$1001,-1945),"")))))</f>
        <v/>
      </c>
    </row>
    <row r="2057">
      <c r="G2057">
        <f>IF(2056&lt;=1000,INDEX($A$2:$A$1001,2056),IF(2056&lt;=2000,INDEX($B$2:$B$1001,1056),IF(2056&lt;=3000,INDEX($C$2:$C$1001,56),IF(2056&lt;=4000,INDEX($D$2:$D$1001,-944),IF(2056&lt;=5000,INDEX($E$2:$E$1001,-1944),"")))))</f>
        <v/>
      </c>
    </row>
    <row r="2058">
      <c r="G2058">
        <f>IF(2057&lt;=1000,INDEX($A$2:$A$1001,2057),IF(2057&lt;=2000,INDEX($B$2:$B$1001,1057),IF(2057&lt;=3000,INDEX($C$2:$C$1001,57),IF(2057&lt;=4000,INDEX($D$2:$D$1001,-943),IF(2057&lt;=5000,INDEX($E$2:$E$1001,-1943),"")))))</f>
        <v/>
      </c>
    </row>
    <row r="2059">
      <c r="G2059">
        <f>IF(2058&lt;=1000,INDEX($A$2:$A$1001,2058),IF(2058&lt;=2000,INDEX($B$2:$B$1001,1058),IF(2058&lt;=3000,INDEX($C$2:$C$1001,58),IF(2058&lt;=4000,INDEX($D$2:$D$1001,-942),IF(2058&lt;=5000,INDEX($E$2:$E$1001,-1942),"")))))</f>
        <v/>
      </c>
    </row>
    <row r="2060">
      <c r="G2060">
        <f>IF(2059&lt;=1000,INDEX($A$2:$A$1001,2059),IF(2059&lt;=2000,INDEX($B$2:$B$1001,1059),IF(2059&lt;=3000,INDEX($C$2:$C$1001,59),IF(2059&lt;=4000,INDEX($D$2:$D$1001,-941),IF(2059&lt;=5000,INDEX($E$2:$E$1001,-1941),"")))))</f>
        <v/>
      </c>
    </row>
    <row r="2061">
      <c r="G2061">
        <f>IF(2060&lt;=1000,INDEX($A$2:$A$1001,2060),IF(2060&lt;=2000,INDEX($B$2:$B$1001,1060),IF(2060&lt;=3000,INDEX($C$2:$C$1001,60),IF(2060&lt;=4000,INDEX($D$2:$D$1001,-940),IF(2060&lt;=5000,INDEX($E$2:$E$1001,-1940),"")))))</f>
        <v/>
      </c>
    </row>
    <row r="2062">
      <c r="G2062">
        <f>IF(2061&lt;=1000,INDEX($A$2:$A$1001,2061),IF(2061&lt;=2000,INDEX($B$2:$B$1001,1061),IF(2061&lt;=3000,INDEX($C$2:$C$1001,61),IF(2061&lt;=4000,INDEX($D$2:$D$1001,-939),IF(2061&lt;=5000,INDEX($E$2:$E$1001,-1939),"")))))</f>
        <v/>
      </c>
    </row>
    <row r="2063">
      <c r="G2063">
        <f>IF(2062&lt;=1000,INDEX($A$2:$A$1001,2062),IF(2062&lt;=2000,INDEX($B$2:$B$1001,1062),IF(2062&lt;=3000,INDEX($C$2:$C$1001,62),IF(2062&lt;=4000,INDEX($D$2:$D$1001,-938),IF(2062&lt;=5000,INDEX($E$2:$E$1001,-1938),"")))))</f>
        <v/>
      </c>
    </row>
    <row r="2064">
      <c r="G2064">
        <f>IF(2063&lt;=1000,INDEX($A$2:$A$1001,2063),IF(2063&lt;=2000,INDEX($B$2:$B$1001,1063),IF(2063&lt;=3000,INDEX($C$2:$C$1001,63),IF(2063&lt;=4000,INDEX($D$2:$D$1001,-937),IF(2063&lt;=5000,INDEX($E$2:$E$1001,-1937),"")))))</f>
        <v/>
      </c>
    </row>
    <row r="2065">
      <c r="G2065">
        <f>IF(2064&lt;=1000,INDEX($A$2:$A$1001,2064),IF(2064&lt;=2000,INDEX($B$2:$B$1001,1064),IF(2064&lt;=3000,INDEX($C$2:$C$1001,64),IF(2064&lt;=4000,INDEX($D$2:$D$1001,-936),IF(2064&lt;=5000,INDEX($E$2:$E$1001,-1936),"")))))</f>
        <v/>
      </c>
    </row>
    <row r="2066">
      <c r="G2066">
        <f>IF(2065&lt;=1000,INDEX($A$2:$A$1001,2065),IF(2065&lt;=2000,INDEX($B$2:$B$1001,1065),IF(2065&lt;=3000,INDEX($C$2:$C$1001,65),IF(2065&lt;=4000,INDEX($D$2:$D$1001,-935),IF(2065&lt;=5000,INDEX($E$2:$E$1001,-1935),"")))))</f>
        <v/>
      </c>
    </row>
    <row r="2067">
      <c r="G2067">
        <f>IF(2066&lt;=1000,INDEX($A$2:$A$1001,2066),IF(2066&lt;=2000,INDEX($B$2:$B$1001,1066),IF(2066&lt;=3000,INDEX($C$2:$C$1001,66),IF(2066&lt;=4000,INDEX($D$2:$D$1001,-934),IF(2066&lt;=5000,INDEX($E$2:$E$1001,-1934),"")))))</f>
        <v/>
      </c>
    </row>
    <row r="2068">
      <c r="G2068">
        <f>IF(2067&lt;=1000,INDEX($A$2:$A$1001,2067),IF(2067&lt;=2000,INDEX($B$2:$B$1001,1067),IF(2067&lt;=3000,INDEX($C$2:$C$1001,67),IF(2067&lt;=4000,INDEX($D$2:$D$1001,-933),IF(2067&lt;=5000,INDEX($E$2:$E$1001,-1933),"")))))</f>
        <v/>
      </c>
    </row>
    <row r="2069">
      <c r="G2069">
        <f>IF(2068&lt;=1000,INDEX($A$2:$A$1001,2068),IF(2068&lt;=2000,INDEX($B$2:$B$1001,1068),IF(2068&lt;=3000,INDEX($C$2:$C$1001,68),IF(2068&lt;=4000,INDEX($D$2:$D$1001,-932),IF(2068&lt;=5000,INDEX($E$2:$E$1001,-1932),"")))))</f>
        <v/>
      </c>
    </row>
    <row r="2070">
      <c r="G2070">
        <f>IF(2069&lt;=1000,INDEX($A$2:$A$1001,2069),IF(2069&lt;=2000,INDEX($B$2:$B$1001,1069),IF(2069&lt;=3000,INDEX($C$2:$C$1001,69),IF(2069&lt;=4000,INDEX($D$2:$D$1001,-931),IF(2069&lt;=5000,INDEX($E$2:$E$1001,-1931),"")))))</f>
        <v/>
      </c>
    </row>
    <row r="2071">
      <c r="G2071">
        <f>IF(2070&lt;=1000,INDEX($A$2:$A$1001,2070),IF(2070&lt;=2000,INDEX($B$2:$B$1001,1070),IF(2070&lt;=3000,INDEX($C$2:$C$1001,70),IF(2070&lt;=4000,INDEX($D$2:$D$1001,-930),IF(2070&lt;=5000,INDEX($E$2:$E$1001,-1930),"")))))</f>
        <v/>
      </c>
    </row>
    <row r="2072">
      <c r="G2072">
        <f>IF(2071&lt;=1000,INDEX($A$2:$A$1001,2071),IF(2071&lt;=2000,INDEX($B$2:$B$1001,1071),IF(2071&lt;=3000,INDEX($C$2:$C$1001,71),IF(2071&lt;=4000,INDEX($D$2:$D$1001,-929),IF(2071&lt;=5000,INDEX($E$2:$E$1001,-1929),"")))))</f>
        <v/>
      </c>
    </row>
    <row r="2073">
      <c r="G2073">
        <f>IF(2072&lt;=1000,INDEX($A$2:$A$1001,2072),IF(2072&lt;=2000,INDEX($B$2:$B$1001,1072),IF(2072&lt;=3000,INDEX($C$2:$C$1001,72),IF(2072&lt;=4000,INDEX($D$2:$D$1001,-928),IF(2072&lt;=5000,INDEX($E$2:$E$1001,-1928),"")))))</f>
        <v/>
      </c>
    </row>
    <row r="2074">
      <c r="G2074">
        <f>IF(2073&lt;=1000,INDEX($A$2:$A$1001,2073),IF(2073&lt;=2000,INDEX($B$2:$B$1001,1073),IF(2073&lt;=3000,INDEX($C$2:$C$1001,73),IF(2073&lt;=4000,INDEX($D$2:$D$1001,-927),IF(2073&lt;=5000,INDEX($E$2:$E$1001,-1927),"")))))</f>
        <v/>
      </c>
    </row>
    <row r="2075">
      <c r="G2075">
        <f>IF(2074&lt;=1000,INDEX($A$2:$A$1001,2074),IF(2074&lt;=2000,INDEX($B$2:$B$1001,1074),IF(2074&lt;=3000,INDEX($C$2:$C$1001,74),IF(2074&lt;=4000,INDEX($D$2:$D$1001,-926),IF(2074&lt;=5000,INDEX($E$2:$E$1001,-1926),"")))))</f>
        <v/>
      </c>
    </row>
    <row r="2076">
      <c r="G2076">
        <f>IF(2075&lt;=1000,INDEX($A$2:$A$1001,2075),IF(2075&lt;=2000,INDEX($B$2:$B$1001,1075),IF(2075&lt;=3000,INDEX($C$2:$C$1001,75),IF(2075&lt;=4000,INDEX($D$2:$D$1001,-925),IF(2075&lt;=5000,INDEX($E$2:$E$1001,-1925),"")))))</f>
        <v/>
      </c>
    </row>
    <row r="2077">
      <c r="G2077">
        <f>IF(2076&lt;=1000,INDEX($A$2:$A$1001,2076),IF(2076&lt;=2000,INDEX($B$2:$B$1001,1076),IF(2076&lt;=3000,INDEX($C$2:$C$1001,76),IF(2076&lt;=4000,INDEX($D$2:$D$1001,-924),IF(2076&lt;=5000,INDEX($E$2:$E$1001,-1924),"")))))</f>
        <v/>
      </c>
    </row>
    <row r="2078">
      <c r="G2078">
        <f>IF(2077&lt;=1000,INDEX($A$2:$A$1001,2077),IF(2077&lt;=2000,INDEX($B$2:$B$1001,1077),IF(2077&lt;=3000,INDEX($C$2:$C$1001,77),IF(2077&lt;=4000,INDEX($D$2:$D$1001,-923),IF(2077&lt;=5000,INDEX($E$2:$E$1001,-1923),"")))))</f>
        <v/>
      </c>
    </row>
    <row r="2079">
      <c r="G2079">
        <f>IF(2078&lt;=1000,INDEX($A$2:$A$1001,2078),IF(2078&lt;=2000,INDEX($B$2:$B$1001,1078),IF(2078&lt;=3000,INDEX($C$2:$C$1001,78),IF(2078&lt;=4000,INDEX($D$2:$D$1001,-922),IF(2078&lt;=5000,INDEX($E$2:$E$1001,-1922),"")))))</f>
        <v/>
      </c>
    </row>
    <row r="2080">
      <c r="G2080">
        <f>IF(2079&lt;=1000,INDEX($A$2:$A$1001,2079),IF(2079&lt;=2000,INDEX($B$2:$B$1001,1079),IF(2079&lt;=3000,INDEX($C$2:$C$1001,79),IF(2079&lt;=4000,INDEX($D$2:$D$1001,-921),IF(2079&lt;=5000,INDEX($E$2:$E$1001,-1921),"")))))</f>
        <v/>
      </c>
    </row>
    <row r="2081">
      <c r="G2081">
        <f>IF(2080&lt;=1000,INDEX($A$2:$A$1001,2080),IF(2080&lt;=2000,INDEX($B$2:$B$1001,1080),IF(2080&lt;=3000,INDEX($C$2:$C$1001,80),IF(2080&lt;=4000,INDEX($D$2:$D$1001,-920),IF(2080&lt;=5000,INDEX($E$2:$E$1001,-1920),"")))))</f>
        <v/>
      </c>
    </row>
    <row r="2082">
      <c r="G2082">
        <f>IF(2081&lt;=1000,INDEX($A$2:$A$1001,2081),IF(2081&lt;=2000,INDEX($B$2:$B$1001,1081),IF(2081&lt;=3000,INDEX($C$2:$C$1001,81),IF(2081&lt;=4000,INDEX($D$2:$D$1001,-919),IF(2081&lt;=5000,INDEX($E$2:$E$1001,-1919),"")))))</f>
        <v/>
      </c>
    </row>
    <row r="2083">
      <c r="G2083">
        <f>IF(2082&lt;=1000,INDEX($A$2:$A$1001,2082),IF(2082&lt;=2000,INDEX($B$2:$B$1001,1082),IF(2082&lt;=3000,INDEX($C$2:$C$1001,82),IF(2082&lt;=4000,INDEX($D$2:$D$1001,-918),IF(2082&lt;=5000,INDEX($E$2:$E$1001,-1918),"")))))</f>
        <v/>
      </c>
    </row>
    <row r="2084">
      <c r="G2084">
        <f>IF(2083&lt;=1000,INDEX($A$2:$A$1001,2083),IF(2083&lt;=2000,INDEX($B$2:$B$1001,1083),IF(2083&lt;=3000,INDEX($C$2:$C$1001,83),IF(2083&lt;=4000,INDEX($D$2:$D$1001,-917),IF(2083&lt;=5000,INDEX($E$2:$E$1001,-1917),"")))))</f>
        <v/>
      </c>
    </row>
    <row r="2085">
      <c r="G2085">
        <f>IF(2084&lt;=1000,INDEX($A$2:$A$1001,2084),IF(2084&lt;=2000,INDEX($B$2:$B$1001,1084),IF(2084&lt;=3000,INDEX($C$2:$C$1001,84),IF(2084&lt;=4000,INDEX($D$2:$D$1001,-916),IF(2084&lt;=5000,INDEX($E$2:$E$1001,-1916),"")))))</f>
        <v/>
      </c>
    </row>
    <row r="2086">
      <c r="G2086">
        <f>IF(2085&lt;=1000,INDEX($A$2:$A$1001,2085),IF(2085&lt;=2000,INDEX($B$2:$B$1001,1085),IF(2085&lt;=3000,INDEX($C$2:$C$1001,85),IF(2085&lt;=4000,INDEX($D$2:$D$1001,-915),IF(2085&lt;=5000,INDEX($E$2:$E$1001,-1915),"")))))</f>
        <v/>
      </c>
    </row>
    <row r="2087">
      <c r="G2087">
        <f>IF(2086&lt;=1000,INDEX($A$2:$A$1001,2086),IF(2086&lt;=2000,INDEX($B$2:$B$1001,1086),IF(2086&lt;=3000,INDEX($C$2:$C$1001,86),IF(2086&lt;=4000,INDEX($D$2:$D$1001,-914),IF(2086&lt;=5000,INDEX($E$2:$E$1001,-1914),"")))))</f>
        <v/>
      </c>
    </row>
    <row r="2088">
      <c r="G2088">
        <f>IF(2087&lt;=1000,INDEX($A$2:$A$1001,2087),IF(2087&lt;=2000,INDEX($B$2:$B$1001,1087),IF(2087&lt;=3000,INDEX($C$2:$C$1001,87),IF(2087&lt;=4000,INDEX($D$2:$D$1001,-913),IF(2087&lt;=5000,INDEX($E$2:$E$1001,-1913),"")))))</f>
        <v/>
      </c>
    </row>
    <row r="2089">
      <c r="G2089">
        <f>IF(2088&lt;=1000,INDEX($A$2:$A$1001,2088),IF(2088&lt;=2000,INDEX($B$2:$B$1001,1088),IF(2088&lt;=3000,INDEX($C$2:$C$1001,88),IF(2088&lt;=4000,INDEX($D$2:$D$1001,-912),IF(2088&lt;=5000,INDEX($E$2:$E$1001,-1912),"")))))</f>
        <v/>
      </c>
    </row>
    <row r="2090">
      <c r="G2090">
        <f>IF(2089&lt;=1000,INDEX($A$2:$A$1001,2089),IF(2089&lt;=2000,INDEX($B$2:$B$1001,1089),IF(2089&lt;=3000,INDEX($C$2:$C$1001,89),IF(2089&lt;=4000,INDEX($D$2:$D$1001,-911),IF(2089&lt;=5000,INDEX($E$2:$E$1001,-1911),"")))))</f>
        <v/>
      </c>
    </row>
    <row r="2091">
      <c r="G2091">
        <f>IF(2090&lt;=1000,INDEX($A$2:$A$1001,2090),IF(2090&lt;=2000,INDEX($B$2:$B$1001,1090),IF(2090&lt;=3000,INDEX($C$2:$C$1001,90),IF(2090&lt;=4000,INDEX($D$2:$D$1001,-910),IF(2090&lt;=5000,INDEX($E$2:$E$1001,-1910),"")))))</f>
        <v/>
      </c>
    </row>
    <row r="2092">
      <c r="G2092">
        <f>IF(2091&lt;=1000,INDEX($A$2:$A$1001,2091),IF(2091&lt;=2000,INDEX($B$2:$B$1001,1091),IF(2091&lt;=3000,INDEX($C$2:$C$1001,91),IF(2091&lt;=4000,INDEX($D$2:$D$1001,-909),IF(2091&lt;=5000,INDEX($E$2:$E$1001,-1909),"")))))</f>
        <v/>
      </c>
    </row>
    <row r="2093">
      <c r="G2093">
        <f>IF(2092&lt;=1000,INDEX($A$2:$A$1001,2092),IF(2092&lt;=2000,INDEX($B$2:$B$1001,1092),IF(2092&lt;=3000,INDEX($C$2:$C$1001,92),IF(2092&lt;=4000,INDEX($D$2:$D$1001,-908),IF(2092&lt;=5000,INDEX($E$2:$E$1001,-1908),"")))))</f>
        <v/>
      </c>
    </row>
    <row r="2094">
      <c r="G2094">
        <f>IF(2093&lt;=1000,INDEX($A$2:$A$1001,2093),IF(2093&lt;=2000,INDEX($B$2:$B$1001,1093),IF(2093&lt;=3000,INDEX($C$2:$C$1001,93),IF(2093&lt;=4000,INDEX($D$2:$D$1001,-907),IF(2093&lt;=5000,INDEX($E$2:$E$1001,-1907),"")))))</f>
        <v/>
      </c>
    </row>
    <row r="2095">
      <c r="G2095">
        <f>IF(2094&lt;=1000,INDEX($A$2:$A$1001,2094),IF(2094&lt;=2000,INDEX($B$2:$B$1001,1094),IF(2094&lt;=3000,INDEX($C$2:$C$1001,94),IF(2094&lt;=4000,INDEX($D$2:$D$1001,-906),IF(2094&lt;=5000,INDEX($E$2:$E$1001,-1906),"")))))</f>
        <v/>
      </c>
    </row>
    <row r="2096">
      <c r="G2096">
        <f>IF(2095&lt;=1000,INDEX($A$2:$A$1001,2095),IF(2095&lt;=2000,INDEX($B$2:$B$1001,1095),IF(2095&lt;=3000,INDEX($C$2:$C$1001,95),IF(2095&lt;=4000,INDEX($D$2:$D$1001,-905),IF(2095&lt;=5000,INDEX($E$2:$E$1001,-1905),"")))))</f>
        <v/>
      </c>
    </row>
    <row r="2097">
      <c r="G2097">
        <f>IF(2096&lt;=1000,INDEX($A$2:$A$1001,2096),IF(2096&lt;=2000,INDEX($B$2:$B$1001,1096),IF(2096&lt;=3000,INDEX($C$2:$C$1001,96),IF(2096&lt;=4000,INDEX($D$2:$D$1001,-904),IF(2096&lt;=5000,INDEX($E$2:$E$1001,-1904),"")))))</f>
        <v/>
      </c>
    </row>
    <row r="2098">
      <c r="G2098">
        <f>IF(2097&lt;=1000,INDEX($A$2:$A$1001,2097),IF(2097&lt;=2000,INDEX($B$2:$B$1001,1097),IF(2097&lt;=3000,INDEX($C$2:$C$1001,97),IF(2097&lt;=4000,INDEX($D$2:$D$1001,-903),IF(2097&lt;=5000,INDEX($E$2:$E$1001,-1903),"")))))</f>
        <v/>
      </c>
    </row>
    <row r="2099">
      <c r="G2099">
        <f>IF(2098&lt;=1000,INDEX($A$2:$A$1001,2098),IF(2098&lt;=2000,INDEX($B$2:$B$1001,1098),IF(2098&lt;=3000,INDEX($C$2:$C$1001,98),IF(2098&lt;=4000,INDEX($D$2:$D$1001,-902),IF(2098&lt;=5000,INDEX($E$2:$E$1001,-1902),"")))))</f>
        <v/>
      </c>
    </row>
    <row r="2100">
      <c r="G2100">
        <f>IF(2099&lt;=1000,INDEX($A$2:$A$1001,2099),IF(2099&lt;=2000,INDEX($B$2:$B$1001,1099),IF(2099&lt;=3000,INDEX($C$2:$C$1001,99),IF(2099&lt;=4000,INDEX($D$2:$D$1001,-901),IF(2099&lt;=5000,INDEX($E$2:$E$1001,-1901),"")))))</f>
        <v/>
      </c>
    </row>
    <row r="2101">
      <c r="G2101">
        <f>IF(2100&lt;=1000,INDEX($A$2:$A$1001,2100),IF(2100&lt;=2000,INDEX($B$2:$B$1001,1100),IF(2100&lt;=3000,INDEX($C$2:$C$1001,100),IF(2100&lt;=4000,INDEX($D$2:$D$1001,-900),IF(2100&lt;=5000,INDEX($E$2:$E$1001,-1900),"")))))</f>
        <v/>
      </c>
    </row>
    <row r="2102">
      <c r="G2102">
        <f>IF(2101&lt;=1000,INDEX($A$2:$A$1001,2101),IF(2101&lt;=2000,INDEX($B$2:$B$1001,1101),IF(2101&lt;=3000,INDEX($C$2:$C$1001,101),IF(2101&lt;=4000,INDEX($D$2:$D$1001,-899),IF(2101&lt;=5000,INDEX($E$2:$E$1001,-1899),"")))))</f>
        <v/>
      </c>
    </row>
    <row r="2103">
      <c r="G2103">
        <f>IF(2102&lt;=1000,INDEX($A$2:$A$1001,2102),IF(2102&lt;=2000,INDEX($B$2:$B$1001,1102),IF(2102&lt;=3000,INDEX($C$2:$C$1001,102),IF(2102&lt;=4000,INDEX($D$2:$D$1001,-898),IF(2102&lt;=5000,INDEX($E$2:$E$1001,-1898),"")))))</f>
        <v/>
      </c>
    </row>
    <row r="2104">
      <c r="G2104">
        <f>IF(2103&lt;=1000,INDEX($A$2:$A$1001,2103),IF(2103&lt;=2000,INDEX($B$2:$B$1001,1103),IF(2103&lt;=3000,INDEX($C$2:$C$1001,103),IF(2103&lt;=4000,INDEX($D$2:$D$1001,-897),IF(2103&lt;=5000,INDEX($E$2:$E$1001,-1897),"")))))</f>
        <v/>
      </c>
    </row>
    <row r="2105">
      <c r="G2105">
        <f>IF(2104&lt;=1000,INDEX($A$2:$A$1001,2104),IF(2104&lt;=2000,INDEX($B$2:$B$1001,1104),IF(2104&lt;=3000,INDEX($C$2:$C$1001,104),IF(2104&lt;=4000,INDEX($D$2:$D$1001,-896),IF(2104&lt;=5000,INDEX($E$2:$E$1001,-1896),"")))))</f>
        <v/>
      </c>
    </row>
    <row r="2106">
      <c r="G2106">
        <f>IF(2105&lt;=1000,INDEX($A$2:$A$1001,2105),IF(2105&lt;=2000,INDEX($B$2:$B$1001,1105),IF(2105&lt;=3000,INDEX($C$2:$C$1001,105),IF(2105&lt;=4000,INDEX($D$2:$D$1001,-895),IF(2105&lt;=5000,INDEX($E$2:$E$1001,-1895),"")))))</f>
        <v/>
      </c>
    </row>
    <row r="2107">
      <c r="G2107">
        <f>IF(2106&lt;=1000,INDEX($A$2:$A$1001,2106),IF(2106&lt;=2000,INDEX($B$2:$B$1001,1106),IF(2106&lt;=3000,INDEX($C$2:$C$1001,106),IF(2106&lt;=4000,INDEX($D$2:$D$1001,-894),IF(2106&lt;=5000,INDEX($E$2:$E$1001,-1894),"")))))</f>
        <v/>
      </c>
    </row>
    <row r="2108">
      <c r="G2108">
        <f>IF(2107&lt;=1000,INDEX($A$2:$A$1001,2107),IF(2107&lt;=2000,INDEX($B$2:$B$1001,1107),IF(2107&lt;=3000,INDEX($C$2:$C$1001,107),IF(2107&lt;=4000,INDEX($D$2:$D$1001,-893),IF(2107&lt;=5000,INDEX($E$2:$E$1001,-1893),"")))))</f>
        <v/>
      </c>
    </row>
    <row r="2109">
      <c r="G2109">
        <f>IF(2108&lt;=1000,INDEX($A$2:$A$1001,2108),IF(2108&lt;=2000,INDEX($B$2:$B$1001,1108),IF(2108&lt;=3000,INDEX($C$2:$C$1001,108),IF(2108&lt;=4000,INDEX($D$2:$D$1001,-892),IF(2108&lt;=5000,INDEX($E$2:$E$1001,-1892),"")))))</f>
        <v/>
      </c>
    </row>
    <row r="2110">
      <c r="G2110">
        <f>IF(2109&lt;=1000,INDEX($A$2:$A$1001,2109),IF(2109&lt;=2000,INDEX($B$2:$B$1001,1109),IF(2109&lt;=3000,INDEX($C$2:$C$1001,109),IF(2109&lt;=4000,INDEX($D$2:$D$1001,-891),IF(2109&lt;=5000,INDEX($E$2:$E$1001,-1891),"")))))</f>
        <v/>
      </c>
    </row>
    <row r="2111">
      <c r="G2111">
        <f>IF(2110&lt;=1000,INDEX($A$2:$A$1001,2110),IF(2110&lt;=2000,INDEX($B$2:$B$1001,1110),IF(2110&lt;=3000,INDEX($C$2:$C$1001,110),IF(2110&lt;=4000,INDEX($D$2:$D$1001,-890),IF(2110&lt;=5000,INDEX($E$2:$E$1001,-1890),"")))))</f>
        <v/>
      </c>
    </row>
    <row r="2112">
      <c r="G2112">
        <f>IF(2111&lt;=1000,INDEX($A$2:$A$1001,2111),IF(2111&lt;=2000,INDEX($B$2:$B$1001,1111),IF(2111&lt;=3000,INDEX($C$2:$C$1001,111),IF(2111&lt;=4000,INDEX($D$2:$D$1001,-889),IF(2111&lt;=5000,INDEX($E$2:$E$1001,-1889),"")))))</f>
        <v/>
      </c>
    </row>
    <row r="2113">
      <c r="G2113">
        <f>IF(2112&lt;=1000,INDEX($A$2:$A$1001,2112),IF(2112&lt;=2000,INDEX($B$2:$B$1001,1112),IF(2112&lt;=3000,INDEX($C$2:$C$1001,112),IF(2112&lt;=4000,INDEX($D$2:$D$1001,-888),IF(2112&lt;=5000,INDEX($E$2:$E$1001,-1888),"")))))</f>
        <v/>
      </c>
    </row>
    <row r="2114">
      <c r="G2114">
        <f>IF(2113&lt;=1000,INDEX($A$2:$A$1001,2113),IF(2113&lt;=2000,INDEX($B$2:$B$1001,1113),IF(2113&lt;=3000,INDEX($C$2:$C$1001,113),IF(2113&lt;=4000,INDEX($D$2:$D$1001,-887),IF(2113&lt;=5000,INDEX($E$2:$E$1001,-1887),"")))))</f>
        <v/>
      </c>
    </row>
    <row r="2115">
      <c r="G2115">
        <f>IF(2114&lt;=1000,INDEX($A$2:$A$1001,2114),IF(2114&lt;=2000,INDEX($B$2:$B$1001,1114),IF(2114&lt;=3000,INDEX($C$2:$C$1001,114),IF(2114&lt;=4000,INDEX($D$2:$D$1001,-886),IF(2114&lt;=5000,INDEX($E$2:$E$1001,-1886),"")))))</f>
        <v/>
      </c>
    </row>
    <row r="2116">
      <c r="G2116">
        <f>IF(2115&lt;=1000,INDEX($A$2:$A$1001,2115),IF(2115&lt;=2000,INDEX($B$2:$B$1001,1115),IF(2115&lt;=3000,INDEX($C$2:$C$1001,115),IF(2115&lt;=4000,INDEX($D$2:$D$1001,-885),IF(2115&lt;=5000,INDEX($E$2:$E$1001,-1885),"")))))</f>
        <v/>
      </c>
    </row>
    <row r="2117">
      <c r="G2117">
        <f>IF(2116&lt;=1000,INDEX($A$2:$A$1001,2116),IF(2116&lt;=2000,INDEX($B$2:$B$1001,1116),IF(2116&lt;=3000,INDEX($C$2:$C$1001,116),IF(2116&lt;=4000,INDEX($D$2:$D$1001,-884),IF(2116&lt;=5000,INDEX($E$2:$E$1001,-1884),"")))))</f>
        <v/>
      </c>
    </row>
    <row r="2118">
      <c r="G2118">
        <f>IF(2117&lt;=1000,INDEX($A$2:$A$1001,2117),IF(2117&lt;=2000,INDEX($B$2:$B$1001,1117),IF(2117&lt;=3000,INDEX($C$2:$C$1001,117),IF(2117&lt;=4000,INDEX($D$2:$D$1001,-883),IF(2117&lt;=5000,INDEX($E$2:$E$1001,-1883),"")))))</f>
        <v/>
      </c>
    </row>
    <row r="2119">
      <c r="G2119">
        <f>IF(2118&lt;=1000,INDEX($A$2:$A$1001,2118),IF(2118&lt;=2000,INDEX($B$2:$B$1001,1118),IF(2118&lt;=3000,INDEX($C$2:$C$1001,118),IF(2118&lt;=4000,INDEX($D$2:$D$1001,-882),IF(2118&lt;=5000,INDEX($E$2:$E$1001,-1882),"")))))</f>
        <v/>
      </c>
    </row>
    <row r="2120">
      <c r="G2120">
        <f>IF(2119&lt;=1000,INDEX($A$2:$A$1001,2119),IF(2119&lt;=2000,INDEX($B$2:$B$1001,1119),IF(2119&lt;=3000,INDEX($C$2:$C$1001,119),IF(2119&lt;=4000,INDEX($D$2:$D$1001,-881),IF(2119&lt;=5000,INDEX($E$2:$E$1001,-1881),"")))))</f>
        <v/>
      </c>
    </row>
    <row r="2121">
      <c r="G2121">
        <f>IF(2120&lt;=1000,INDEX($A$2:$A$1001,2120),IF(2120&lt;=2000,INDEX($B$2:$B$1001,1120),IF(2120&lt;=3000,INDEX($C$2:$C$1001,120),IF(2120&lt;=4000,INDEX($D$2:$D$1001,-880),IF(2120&lt;=5000,INDEX($E$2:$E$1001,-1880),"")))))</f>
        <v/>
      </c>
    </row>
    <row r="2122">
      <c r="G2122">
        <f>IF(2121&lt;=1000,INDEX($A$2:$A$1001,2121),IF(2121&lt;=2000,INDEX($B$2:$B$1001,1121),IF(2121&lt;=3000,INDEX($C$2:$C$1001,121),IF(2121&lt;=4000,INDEX($D$2:$D$1001,-879),IF(2121&lt;=5000,INDEX($E$2:$E$1001,-1879),"")))))</f>
        <v/>
      </c>
    </row>
    <row r="2123">
      <c r="G2123">
        <f>IF(2122&lt;=1000,INDEX($A$2:$A$1001,2122),IF(2122&lt;=2000,INDEX($B$2:$B$1001,1122),IF(2122&lt;=3000,INDEX($C$2:$C$1001,122),IF(2122&lt;=4000,INDEX($D$2:$D$1001,-878),IF(2122&lt;=5000,INDEX($E$2:$E$1001,-1878),"")))))</f>
        <v/>
      </c>
    </row>
    <row r="2124">
      <c r="G2124">
        <f>IF(2123&lt;=1000,INDEX($A$2:$A$1001,2123),IF(2123&lt;=2000,INDEX($B$2:$B$1001,1123),IF(2123&lt;=3000,INDEX($C$2:$C$1001,123),IF(2123&lt;=4000,INDEX($D$2:$D$1001,-877),IF(2123&lt;=5000,INDEX($E$2:$E$1001,-1877),"")))))</f>
        <v/>
      </c>
    </row>
    <row r="2125">
      <c r="G2125">
        <f>IF(2124&lt;=1000,INDEX($A$2:$A$1001,2124),IF(2124&lt;=2000,INDEX($B$2:$B$1001,1124),IF(2124&lt;=3000,INDEX($C$2:$C$1001,124),IF(2124&lt;=4000,INDEX($D$2:$D$1001,-876),IF(2124&lt;=5000,INDEX($E$2:$E$1001,-1876),"")))))</f>
        <v/>
      </c>
    </row>
    <row r="2126">
      <c r="G2126">
        <f>IF(2125&lt;=1000,INDEX($A$2:$A$1001,2125),IF(2125&lt;=2000,INDEX($B$2:$B$1001,1125),IF(2125&lt;=3000,INDEX($C$2:$C$1001,125),IF(2125&lt;=4000,INDEX($D$2:$D$1001,-875),IF(2125&lt;=5000,INDEX($E$2:$E$1001,-1875),"")))))</f>
        <v/>
      </c>
    </row>
    <row r="2127">
      <c r="G2127">
        <f>IF(2126&lt;=1000,INDEX($A$2:$A$1001,2126),IF(2126&lt;=2000,INDEX($B$2:$B$1001,1126),IF(2126&lt;=3000,INDEX($C$2:$C$1001,126),IF(2126&lt;=4000,INDEX($D$2:$D$1001,-874),IF(2126&lt;=5000,INDEX($E$2:$E$1001,-1874),"")))))</f>
        <v/>
      </c>
    </row>
    <row r="2128">
      <c r="G2128">
        <f>IF(2127&lt;=1000,INDEX($A$2:$A$1001,2127),IF(2127&lt;=2000,INDEX($B$2:$B$1001,1127),IF(2127&lt;=3000,INDEX($C$2:$C$1001,127),IF(2127&lt;=4000,INDEX($D$2:$D$1001,-873),IF(2127&lt;=5000,INDEX($E$2:$E$1001,-1873),"")))))</f>
        <v/>
      </c>
    </row>
    <row r="2129">
      <c r="G2129">
        <f>IF(2128&lt;=1000,INDEX($A$2:$A$1001,2128),IF(2128&lt;=2000,INDEX($B$2:$B$1001,1128),IF(2128&lt;=3000,INDEX($C$2:$C$1001,128),IF(2128&lt;=4000,INDEX($D$2:$D$1001,-872),IF(2128&lt;=5000,INDEX($E$2:$E$1001,-1872),"")))))</f>
        <v/>
      </c>
    </row>
    <row r="2130">
      <c r="G2130">
        <f>IF(2129&lt;=1000,INDEX($A$2:$A$1001,2129),IF(2129&lt;=2000,INDEX($B$2:$B$1001,1129),IF(2129&lt;=3000,INDEX($C$2:$C$1001,129),IF(2129&lt;=4000,INDEX($D$2:$D$1001,-871),IF(2129&lt;=5000,INDEX($E$2:$E$1001,-1871),"")))))</f>
        <v/>
      </c>
    </row>
    <row r="2131">
      <c r="G2131">
        <f>IF(2130&lt;=1000,INDEX($A$2:$A$1001,2130),IF(2130&lt;=2000,INDEX($B$2:$B$1001,1130),IF(2130&lt;=3000,INDEX($C$2:$C$1001,130),IF(2130&lt;=4000,INDEX($D$2:$D$1001,-870),IF(2130&lt;=5000,INDEX($E$2:$E$1001,-1870),"")))))</f>
        <v/>
      </c>
    </row>
    <row r="2132">
      <c r="G2132">
        <f>IF(2131&lt;=1000,INDEX($A$2:$A$1001,2131),IF(2131&lt;=2000,INDEX($B$2:$B$1001,1131),IF(2131&lt;=3000,INDEX($C$2:$C$1001,131),IF(2131&lt;=4000,INDEX($D$2:$D$1001,-869),IF(2131&lt;=5000,INDEX($E$2:$E$1001,-1869),"")))))</f>
        <v/>
      </c>
    </row>
    <row r="2133">
      <c r="G2133">
        <f>IF(2132&lt;=1000,INDEX($A$2:$A$1001,2132),IF(2132&lt;=2000,INDEX($B$2:$B$1001,1132),IF(2132&lt;=3000,INDEX($C$2:$C$1001,132),IF(2132&lt;=4000,INDEX($D$2:$D$1001,-868),IF(2132&lt;=5000,INDEX($E$2:$E$1001,-1868),"")))))</f>
        <v/>
      </c>
    </row>
    <row r="2134">
      <c r="G2134">
        <f>IF(2133&lt;=1000,INDEX($A$2:$A$1001,2133),IF(2133&lt;=2000,INDEX($B$2:$B$1001,1133),IF(2133&lt;=3000,INDEX($C$2:$C$1001,133),IF(2133&lt;=4000,INDEX($D$2:$D$1001,-867),IF(2133&lt;=5000,INDEX($E$2:$E$1001,-1867),"")))))</f>
        <v/>
      </c>
    </row>
    <row r="2135">
      <c r="G2135">
        <f>IF(2134&lt;=1000,INDEX($A$2:$A$1001,2134),IF(2134&lt;=2000,INDEX($B$2:$B$1001,1134),IF(2134&lt;=3000,INDEX($C$2:$C$1001,134),IF(2134&lt;=4000,INDEX($D$2:$D$1001,-866),IF(2134&lt;=5000,INDEX($E$2:$E$1001,-1866),"")))))</f>
        <v/>
      </c>
    </row>
    <row r="2136">
      <c r="G2136">
        <f>IF(2135&lt;=1000,INDEX($A$2:$A$1001,2135),IF(2135&lt;=2000,INDEX($B$2:$B$1001,1135),IF(2135&lt;=3000,INDEX($C$2:$C$1001,135),IF(2135&lt;=4000,INDEX($D$2:$D$1001,-865),IF(2135&lt;=5000,INDEX($E$2:$E$1001,-1865),"")))))</f>
        <v/>
      </c>
    </row>
    <row r="2137">
      <c r="G2137">
        <f>IF(2136&lt;=1000,INDEX($A$2:$A$1001,2136),IF(2136&lt;=2000,INDEX($B$2:$B$1001,1136),IF(2136&lt;=3000,INDEX($C$2:$C$1001,136),IF(2136&lt;=4000,INDEX($D$2:$D$1001,-864),IF(2136&lt;=5000,INDEX($E$2:$E$1001,-1864),"")))))</f>
        <v/>
      </c>
    </row>
    <row r="2138">
      <c r="G2138">
        <f>IF(2137&lt;=1000,INDEX($A$2:$A$1001,2137),IF(2137&lt;=2000,INDEX($B$2:$B$1001,1137),IF(2137&lt;=3000,INDEX($C$2:$C$1001,137),IF(2137&lt;=4000,INDEX($D$2:$D$1001,-863),IF(2137&lt;=5000,INDEX($E$2:$E$1001,-1863),"")))))</f>
        <v/>
      </c>
    </row>
    <row r="2139">
      <c r="G2139">
        <f>IF(2138&lt;=1000,INDEX($A$2:$A$1001,2138),IF(2138&lt;=2000,INDEX($B$2:$B$1001,1138),IF(2138&lt;=3000,INDEX($C$2:$C$1001,138),IF(2138&lt;=4000,INDEX($D$2:$D$1001,-862),IF(2138&lt;=5000,INDEX($E$2:$E$1001,-1862),"")))))</f>
        <v/>
      </c>
    </row>
    <row r="2140">
      <c r="G2140">
        <f>IF(2139&lt;=1000,INDEX($A$2:$A$1001,2139),IF(2139&lt;=2000,INDEX($B$2:$B$1001,1139),IF(2139&lt;=3000,INDEX($C$2:$C$1001,139),IF(2139&lt;=4000,INDEX($D$2:$D$1001,-861),IF(2139&lt;=5000,INDEX($E$2:$E$1001,-1861),"")))))</f>
        <v/>
      </c>
    </row>
    <row r="2141">
      <c r="G2141">
        <f>IF(2140&lt;=1000,INDEX($A$2:$A$1001,2140),IF(2140&lt;=2000,INDEX($B$2:$B$1001,1140),IF(2140&lt;=3000,INDEX($C$2:$C$1001,140),IF(2140&lt;=4000,INDEX($D$2:$D$1001,-860),IF(2140&lt;=5000,INDEX($E$2:$E$1001,-1860),"")))))</f>
        <v/>
      </c>
    </row>
    <row r="2142">
      <c r="G2142">
        <f>IF(2141&lt;=1000,INDEX($A$2:$A$1001,2141),IF(2141&lt;=2000,INDEX($B$2:$B$1001,1141),IF(2141&lt;=3000,INDEX($C$2:$C$1001,141),IF(2141&lt;=4000,INDEX($D$2:$D$1001,-859),IF(2141&lt;=5000,INDEX($E$2:$E$1001,-1859),"")))))</f>
        <v/>
      </c>
    </row>
    <row r="2143">
      <c r="G2143">
        <f>IF(2142&lt;=1000,INDEX($A$2:$A$1001,2142),IF(2142&lt;=2000,INDEX($B$2:$B$1001,1142),IF(2142&lt;=3000,INDEX($C$2:$C$1001,142),IF(2142&lt;=4000,INDEX($D$2:$D$1001,-858),IF(2142&lt;=5000,INDEX($E$2:$E$1001,-1858),"")))))</f>
        <v/>
      </c>
    </row>
    <row r="2144">
      <c r="G2144">
        <f>IF(2143&lt;=1000,INDEX($A$2:$A$1001,2143),IF(2143&lt;=2000,INDEX($B$2:$B$1001,1143),IF(2143&lt;=3000,INDEX($C$2:$C$1001,143),IF(2143&lt;=4000,INDEX($D$2:$D$1001,-857),IF(2143&lt;=5000,INDEX($E$2:$E$1001,-1857),"")))))</f>
        <v/>
      </c>
    </row>
    <row r="2145">
      <c r="G2145">
        <f>IF(2144&lt;=1000,INDEX($A$2:$A$1001,2144),IF(2144&lt;=2000,INDEX($B$2:$B$1001,1144),IF(2144&lt;=3000,INDEX($C$2:$C$1001,144),IF(2144&lt;=4000,INDEX($D$2:$D$1001,-856),IF(2144&lt;=5000,INDEX($E$2:$E$1001,-1856),"")))))</f>
        <v/>
      </c>
    </row>
    <row r="2146">
      <c r="G2146">
        <f>IF(2145&lt;=1000,INDEX($A$2:$A$1001,2145),IF(2145&lt;=2000,INDEX($B$2:$B$1001,1145),IF(2145&lt;=3000,INDEX($C$2:$C$1001,145),IF(2145&lt;=4000,INDEX($D$2:$D$1001,-855),IF(2145&lt;=5000,INDEX($E$2:$E$1001,-1855),"")))))</f>
        <v/>
      </c>
    </row>
    <row r="2147">
      <c r="G2147">
        <f>IF(2146&lt;=1000,INDEX($A$2:$A$1001,2146),IF(2146&lt;=2000,INDEX($B$2:$B$1001,1146),IF(2146&lt;=3000,INDEX($C$2:$C$1001,146),IF(2146&lt;=4000,INDEX($D$2:$D$1001,-854),IF(2146&lt;=5000,INDEX($E$2:$E$1001,-1854),"")))))</f>
        <v/>
      </c>
    </row>
    <row r="2148">
      <c r="G2148">
        <f>IF(2147&lt;=1000,INDEX($A$2:$A$1001,2147),IF(2147&lt;=2000,INDEX($B$2:$B$1001,1147),IF(2147&lt;=3000,INDEX($C$2:$C$1001,147),IF(2147&lt;=4000,INDEX($D$2:$D$1001,-853),IF(2147&lt;=5000,INDEX($E$2:$E$1001,-1853),"")))))</f>
        <v/>
      </c>
    </row>
    <row r="2149">
      <c r="G2149">
        <f>IF(2148&lt;=1000,INDEX($A$2:$A$1001,2148),IF(2148&lt;=2000,INDEX($B$2:$B$1001,1148),IF(2148&lt;=3000,INDEX($C$2:$C$1001,148),IF(2148&lt;=4000,INDEX($D$2:$D$1001,-852),IF(2148&lt;=5000,INDEX($E$2:$E$1001,-1852),"")))))</f>
        <v/>
      </c>
    </row>
    <row r="2150">
      <c r="G2150">
        <f>IF(2149&lt;=1000,INDEX($A$2:$A$1001,2149),IF(2149&lt;=2000,INDEX($B$2:$B$1001,1149),IF(2149&lt;=3000,INDEX($C$2:$C$1001,149),IF(2149&lt;=4000,INDEX($D$2:$D$1001,-851),IF(2149&lt;=5000,INDEX($E$2:$E$1001,-1851),"")))))</f>
        <v/>
      </c>
    </row>
    <row r="2151">
      <c r="G2151">
        <f>IF(2150&lt;=1000,INDEX($A$2:$A$1001,2150),IF(2150&lt;=2000,INDEX($B$2:$B$1001,1150),IF(2150&lt;=3000,INDEX($C$2:$C$1001,150),IF(2150&lt;=4000,INDEX($D$2:$D$1001,-850),IF(2150&lt;=5000,INDEX($E$2:$E$1001,-1850),"")))))</f>
        <v/>
      </c>
    </row>
    <row r="2152">
      <c r="G2152">
        <f>IF(2151&lt;=1000,INDEX($A$2:$A$1001,2151),IF(2151&lt;=2000,INDEX($B$2:$B$1001,1151),IF(2151&lt;=3000,INDEX($C$2:$C$1001,151),IF(2151&lt;=4000,INDEX($D$2:$D$1001,-849),IF(2151&lt;=5000,INDEX($E$2:$E$1001,-1849),"")))))</f>
        <v/>
      </c>
    </row>
    <row r="2153">
      <c r="G2153">
        <f>IF(2152&lt;=1000,INDEX($A$2:$A$1001,2152),IF(2152&lt;=2000,INDEX($B$2:$B$1001,1152),IF(2152&lt;=3000,INDEX($C$2:$C$1001,152),IF(2152&lt;=4000,INDEX($D$2:$D$1001,-848),IF(2152&lt;=5000,INDEX($E$2:$E$1001,-1848),"")))))</f>
        <v/>
      </c>
    </row>
    <row r="2154">
      <c r="G2154">
        <f>IF(2153&lt;=1000,INDEX($A$2:$A$1001,2153),IF(2153&lt;=2000,INDEX($B$2:$B$1001,1153),IF(2153&lt;=3000,INDEX($C$2:$C$1001,153),IF(2153&lt;=4000,INDEX($D$2:$D$1001,-847),IF(2153&lt;=5000,INDEX($E$2:$E$1001,-1847),"")))))</f>
        <v/>
      </c>
    </row>
    <row r="2155">
      <c r="G2155">
        <f>IF(2154&lt;=1000,INDEX($A$2:$A$1001,2154),IF(2154&lt;=2000,INDEX($B$2:$B$1001,1154),IF(2154&lt;=3000,INDEX($C$2:$C$1001,154),IF(2154&lt;=4000,INDEX($D$2:$D$1001,-846),IF(2154&lt;=5000,INDEX($E$2:$E$1001,-1846),"")))))</f>
        <v/>
      </c>
    </row>
    <row r="2156">
      <c r="G2156">
        <f>IF(2155&lt;=1000,INDEX($A$2:$A$1001,2155),IF(2155&lt;=2000,INDEX($B$2:$B$1001,1155),IF(2155&lt;=3000,INDEX($C$2:$C$1001,155),IF(2155&lt;=4000,INDEX($D$2:$D$1001,-845),IF(2155&lt;=5000,INDEX($E$2:$E$1001,-1845),"")))))</f>
        <v/>
      </c>
    </row>
    <row r="2157">
      <c r="G2157">
        <f>IF(2156&lt;=1000,INDEX($A$2:$A$1001,2156),IF(2156&lt;=2000,INDEX($B$2:$B$1001,1156),IF(2156&lt;=3000,INDEX($C$2:$C$1001,156),IF(2156&lt;=4000,INDEX($D$2:$D$1001,-844),IF(2156&lt;=5000,INDEX($E$2:$E$1001,-1844),"")))))</f>
        <v/>
      </c>
    </row>
    <row r="2158">
      <c r="G2158">
        <f>IF(2157&lt;=1000,INDEX($A$2:$A$1001,2157),IF(2157&lt;=2000,INDEX($B$2:$B$1001,1157),IF(2157&lt;=3000,INDEX($C$2:$C$1001,157),IF(2157&lt;=4000,INDEX($D$2:$D$1001,-843),IF(2157&lt;=5000,INDEX($E$2:$E$1001,-1843),"")))))</f>
        <v/>
      </c>
    </row>
    <row r="2159">
      <c r="G2159">
        <f>IF(2158&lt;=1000,INDEX($A$2:$A$1001,2158),IF(2158&lt;=2000,INDEX($B$2:$B$1001,1158),IF(2158&lt;=3000,INDEX($C$2:$C$1001,158),IF(2158&lt;=4000,INDEX($D$2:$D$1001,-842),IF(2158&lt;=5000,INDEX($E$2:$E$1001,-1842),"")))))</f>
        <v/>
      </c>
    </row>
    <row r="2160">
      <c r="G2160">
        <f>IF(2159&lt;=1000,INDEX($A$2:$A$1001,2159),IF(2159&lt;=2000,INDEX($B$2:$B$1001,1159),IF(2159&lt;=3000,INDEX($C$2:$C$1001,159),IF(2159&lt;=4000,INDEX($D$2:$D$1001,-841),IF(2159&lt;=5000,INDEX($E$2:$E$1001,-1841),"")))))</f>
        <v/>
      </c>
    </row>
    <row r="2161">
      <c r="G2161">
        <f>IF(2160&lt;=1000,INDEX($A$2:$A$1001,2160),IF(2160&lt;=2000,INDEX($B$2:$B$1001,1160),IF(2160&lt;=3000,INDEX($C$2:$C$1001,160),IF(2160&lt;=4000,INDEX($D$2:$D$1001,-840),IF(2160&lt;=5000,INDEX($E$2:$E$1001,-1840),"")))))</f>
        <v/>
      </c>
    </row>
    <row r="2162">
      <c r="G2162">
        <f>IF(2161&lt;=1000,INDEX($A$2:$A$1001,2161),IF(2161&lt;=2000,INDEX($B$2:$B$1001,1161),IF(2161&lt;=3000,INDEX($C$2:$C$1001,161),IF(2161&lt;=4000,INDEX($D$2:$D$1001,-839),IF(2161&lt;=5000,INDEX($E$2:$E$1001,-1839),"")))))</f>
        <v/>
      </c>
    </row>
    <row r="2163">
      <c r="G2163">
        <f>IF(2162&lt;=1000,INDEX($A$2:$A$1001,2162),IF(2162&lt;=2000,INDEX($B$2:$B$1001,1162),IF(2162&lt;=3000,INDEX($C$2:$C$1001,162),IF(2162&lt;=4000,INDEX($D$2:$D$1001,-838),IF(2162&lt;=5000,INDEX($E$2:$E$1001,-1838),"")))))</f>
        <v/>
      </c>
    </row>
    <row r="2164">
      <c r="G2164">
        <f>IF(2163&lt;=1000,INDEX($A$2:$A$1001,2163),IF(2163&lt;=2000,INDEX($B$2:$B$1001,1163),IF(2163&lt;=3000,INDEX($C$2:$C$1001,163),IF(2163&lt;=4000,INDEX($D$2:$D$1001,-837),IF(2163&lt;=5000,INDEX($E$2:$E$1001,-1837),"")))))</f>
        <v/>
      </c>
    </row>
    <row r="2165">
      <c r="G2165">
        <f>IF(2164&lt;=1000,INDEX($A$2:$A$1001,2164),IF(2164&lt;=2000,INDEX($B$2:$B$1001,1164),IF(2164&lt;=3000,INDEX($C$2:$C$1001,164),IF(2164&lt;=4000,INDEX($D$2:$D$1001,-836),IF(2164&lt;=5000,INDEX($E$2:$E$1001,-1836),"")))))</f>
        <v/>
      </c>
    </row>
    <row r="2166">
      <c r="G2166">
        <f>IF(2165&lt;=1000,INDEX($A$2:$A$1001,2165),IF(2165&lt;=2000,INDEX($B$2:$B$1001,1165),IF(2165&lt;=3000,INDEX($C$2:$C$1001,165),IF(2165&lt;=4000,INDEX($D$2:$D$1001,-835),IF(2165&lt;=5000,INDEX($E$2:$E$1001,-1835),"")))))</f>
        <v/>
      </c>
    </row>
    <row r="2167">
      <c r="G2167">
        <f>IF(2166&lt;=1000,INDEX($A$2:$A$1001,2166),IF(2166&lt;=2000,INDEX($B$2:$B$1001,1166),IF(2166&lt;=3000,INDEX($C$2:$C$1001,166),IF(2166&lt;=4000,INDEX($D$2:$D$1001,-834),IF(2166&lt;=5000,INDEX($E$2:$E$1001,-1834),"")))))</f>
        <v/>
      </c>
    </row>
    <row r="2168">
      <c r="G2168">
        <f>IF(2167&lt;=1000,INDEX($A$2:$A$1001,2167),IF(2167&lt;=2000,INDEX($B$2:$B$1001,1167),IF(2167&lt;=3000,INDEX($C$2:$C$1001,167),IF(2167&lt;=4000,INDEX($D$2:$D$1001,-833),IF(2167&lt;=5000,INDEX($E$2:$E$1001,-1833),"")))))</f>
        <v/>
      </c>
    </row>
    <row r="2169">
      <c r="G2169">
        <f>IF(2168&lt;=1000,INDEX($A$2:$A$1001,2168),IF(2168&lt;=2000,INDEX($B$2:$B$1001,1168),IF(2168&lt;=3000,INDEX($C$2:$C$1001,168),IF(2168&lt;=4000,INDEX($D$2:$D$1001,-832),IF(2168&lt;=5000,INDEX($E$2:$E$1001,-1832),"")))))</f>
        <v/>
      </c>
    </row>
    <row r="2170">
      <c r="G2170">
        <f>IF(2169&lt;=1000,INDEX($A$2:$A$1001,2169),IF(2169&lt;=2000,INDEX($B$2:$B$1001,1169),IF(2169&lt;=3000,INDEX($C$2:$C$1001,169),IF(2169&lt;=4000,INDEX($D$2:$D$1001,-831),IF(2169&lt;=5000,INDEX($E$2:$E$1001,-1831),"")))))</f>
        <v/>
      </c>
    </row>
    <row r="2171">
      <c r="G2171">
        <f>IF(2170&lt;=1000,INDEX($A$2:$A$1001,2170),IF(2170&lt;=2000,INDEX($B$2:$B$1001,1170),IF(2170&lt;=3000,INDEX($C$2:$C$1001,170),IF(2170&lt;=4000,INDEX($D$2:$D$1001,-830),IF(2170&lt;=5000,INDEX($E$2:$E$1001,-1830),"")))))</f>
        <v/>
      </c>
    </row>
    <row r="2172">
      <c r="G2172">
        <f>IF(2171&lt;=1000,INDEX($A$2:$A$1001,2171),IF(2171&lt;=2000,INDEX($B$2:$B$1001,1171),IF(2171&lt;=3000,INDEX($C$2:$C$1001,171),IF(2171&lt;=4000,INDEX($D$2:$D$1001,-829),IF(2171&lt;=5000,INDEX($E$2:$E$1001,-1829),"")))))</f>
        <v/>
      </c>
    </row>
    <row r="2173">
      <c r="G2173">
        <f>IF(2172&lt;=1000,INDEX($A$2:$A$1001,2172),IF(2172&lt;=2000,INDEX($B$2:$B$1001,1172),IF(2172&lt;=3000,INDEX($C$2:$C$1001,172),IF(2172&lt;=4000,INDEX($D$2:$D$1001,-828),IF(2172&lt;=5000,INDEX($E$2:$E$1001,-1828),"")))))</f>
        <v/>
      </c>
    </row>
    <row r="2174">
      <c r="G2174">
        <f>IF(2173&lt;=1000,INDEX($A$2:$A$1001,2173),IF(2173&lt;=2000,INDEX($B$2:$B$1001,1173),IF(2173&lt;=3000,INDEX($C$2:$C$1001,173),IF(2173&lt;=4000,INDEX($D$2:$D$1001,-827),IF(2173&lt;=5000,INDEX($E$2:$E$1001,-1827),"")))))</f>
        <v/>
      </c>
    </row>
    <row r="2175">
      <c r="G2175">
        <f>IF(2174&lt;=1000,INDEX($A$2:$A$1001,2174),IF(2174&lt;=2000,INDEX($B$2:$B$1001,1174),IF(2174&lt;=3000,INDEX($C$2:$C$1001,174),IF(2174&lt;=4000,INDEX($D$2:$D$1001,-826),IF(2174&lt;=5000,INDEX($E$2:$E$1001,-1826),"")))))</f>
        <v/>
      </c>
    </row>
    <row r="2176">
      <c r="G2176">
        <f>IF(2175&lt;=1000,INDEX($A$2:$A$1001,2175),IF(2175&lt;=2000,INDEX($B$2:$B$1001,1175),IF(2175&lt;=3000,INDEX($C$2:$C$1001,175),IF(2175&lt;=4000,INDEX($D$2:$D$1001,-825),IF(2175&lt;=5000,INDEX($E$2:$E$1001,-1825),"")))))</f>
        <v/>
      </c>
    </row>
    <row r="2177">
      <c r="G2177">
        <f>IF(2176&lt;=1000,INDEX($A$2:$A$1001,2176),IF(2176&lt;=2000,INDEX($B$2:$B$1001,1176),IF(2176&lt;=3000,INDEX($C$2:$C$1001,176),IF(2176&lt;=4000,INDEX($D$2:$D$1001,-824),IF(2176&lt;=5000,INDEX($E$2:$E$1001,-1824),"")))))</f>
        <v/>
      </c>
    </row>
    <row r="2178">
      <c r="G2178">
        <f>IF(2177&lt;=1000,INDEX($A$2:$A$1001,2177),IF(2177&lt;=2000,INDEX($B$2:$B$1001,1177),IF(2177&lt;=3000,INDEX($C$2:$C$1001,177),IF(2177&lt;=4000,INDEX($D$2:$D$1001,-823),IF(2177&lt;=5000,INDEX($E$2:$E$1001,-1823),"")))))</f>
        <v/>
      </c>
    </row>
    <row r="2179">
      <c r="G2179">
        <f>IF(2178&lt;=1000,INDEX($A$2:$A$1001,2178),IF(2178&lt;=2000,INDEX($B$2:$B$1001,1178),IF(2178&lt;=3000,INDEX($C$2:$C$1001,178),IF(2178&lt;=4000,INDEX($D$2:$D$1001,-822),IF(2178&lt;=5000,INDEX($E$2:$E$1001,-1822),"")))))</f>
        <v/>
      </c>
    </row>
    <row r="2180">
      <c r="G2180">
        <f>IF(2179&lt;=1000,INDEX($A$2:$A$1001,2179),IF(2179&lt;=2000,INDEX($B$2:$B$1001,1179),IF(2179&lt;=3000,INDEX($C$2:$C$1001,179),IF(2179&lt;=4000,INDEX($D$2:$D$1001,-821),IF(2179&lt;=5000,INDEX($E$2:$E$1001,-1821),"")))))</f>
        <v/>
      </c>
    </row>
    <row r="2181">
      <c r="G2181">
        <f>IF(2180&lt;=1000,INDEX($A$2:$A$1001,2180),IF(2180&lt;=2000,INDEX($B$2:$B$1001,1180),IF(2180&lt;=3000,INDEX($C$2:$C$1001,180),IF(2180&lt;=4000,INDEX($D$2:$D$1001,-820),IF(2180&lt;=5000,INDEX($E$2:$E$1001,-1820),"")))))</f>
        <v/>
      </c>
    </row>
    <row r="2182">
      <c r="G2182">
        <f>IF(2181&lt;=1000,INDEX($A$2:$A$1001,2181),IF(2181&lt;=2000,INDEX($B$2:$B$1001,1181),IF(2181&lt;=3000,INDEX($C$2:$C$1001,181),IF(2181&lt;=4000,INDEX($D$2:$D$1001,-819),IF(2181&lt;=5000,INDEX($E$2:$E$1001,-1819),"")))))</f>
        <v/>
      </c>
    </row>
    <row r="2183">
      <c r="G2183">
        <f>IF(2182&lt;=1000,INDEX($A$2:$A$1001,2182),IF(2182&lt;=2000,INDEX($B$2:$B$1001,1182),IF(2182&lt;=3000,INDEX($C$2:$C$1001,182),IF(2182&lt;=4000,INDEX($D$2:$D$1001,-818),IF(2182&lt;=5000,INDEX($E$2:$E$1001,-1818),"")))))</f>
        <v/>
      </c>
    </row>
    <row r="2184">
      <c r="G2184">
        <f>IF(2183&lt;=1000,INDEX($A$2:$A$1001,2183),IF(2183&lt;=2000,INDEX($B$2:$B$1001,1183),IF(2183&lt;=3000,INDEX($C$2:$C$1001,183),IF(2183&lt;=4000,INDEX($D$2:$D$1001,-817),IF(2183&lt;=5000,INDEX($E$2:$E$1001,-1817),"")))))</f>
        <v/>
      </c>
    </row>
    <row r="2185">
      <c r="G2185">
        <f>IF(2184&lt;=1000,INDEX($A$2:$A$1001,2184),IF(2184&lt;=2000,INDEX($B$2:$B$1001,1184),IF(2184&lt;=3000,INDEX($C$2:$C$1001,184),IF(2184&lt;=4000,INDEX($D$2:$D$1001,-816),IF(2184&lt;=5000,INDEX($E$2:$E$1001,-1816),"")))))</f>
        <v/>
      </c>
    </row>
    <row r="2186">
      <c r="G2186">
        <f>IF(2185&lt;=1000,INDEX($A$2:$A$1001,2185),IF(2185&lt;=2000,INDEX($B$2:$B$1001,1185),IF(2185&lt;=3000,INDEX($C$2:$C$1001,185),IF(2185&lt;=4000,INDEX($D$2:$D$1001,-815),IF(2185&lt;=5000,INDEX($E$2:$E$1001,-1815),"")))))</f>
        <v/>
      </c>
    </row>
    <row r="2187">
      <c r="G2187">
        <f>IF(2186&lt;=1000,INDEX($A$2:$A$1001,2186),IF(2186&lt;=2000,INDEX($B$2:$B$1001,1186),IF(2186&lt;=3000,INDEX($C$2:$C$1001,186),IF(2186&lt;=4000,INDEX($D$2:$D$1001,-814),IF(2186&lt;=5000,INDEX($E$2:$E$1001,-1814),"")))))</f>
        <v/>
      </c>
    </row>
    <row r="2188">
      <c r="G2188">
        <f>IF(2187&lt;=1000,INDEX($A$2:$A$1001,2187),IF(2187&lt;=2000,INDEX($B$2:$B$1001,1187),IF(2187&lt;=3000,INDEX($C$2:$C$1001,187),IF(2187&lt;=4000,INDEX($D$2:$D$1001,-813),IF(2187&lt;=5000,INDEX($E$2:$E$1001,-1813),"")))))</f>
        <v/>
      </c>
    </row>
    <row r="2189">
      <c r="G2189">
        <f>IF(2188&lt;=1000,INDEX($A$2:$A$1001,2188),IF(2188&lt;=2000,INDEX($B$2:$B$1001,1188),IF(2188&lt;=3000,INDEX($C$2:$C$1001,188),IF(2188&lt;=4000,INDEX($D$2:$D$1001,-812),IF(2188&lt;=5000,INDEX($E$2:$E$1001,-1812),"")))))</f>
        <v/>
      </c>
    </row>
    <row r="2190">
      <c r="G2190">
        <f>IF(2189&lt;=1000,INDEX($A$2:$A$1001,2189),IF(2189&lt;=2000,INDEX($B$2:$B$1001,1189),IF(2189&lt;=3000,INDEX($C$2:$C$1001,189),IF(2189&lt;=4000,INDEX($D$2:$D$1001,-811),IF(2189&lt;=5000,INDEX($E$2:$E$1001,-1811),"")))))</f>
        <v/>
      </c>
    </row>
    <row r="2191">
      <c r="G2191">
        <f>IF(2190&lt;=1000,INDEX($A$2:$A$1001,2190),IF(2190&lt;=2000,INDEX($B$2:$B$1001,1190),IF(2190&lt;=3000,INDEX($C$2:$C$1001,190),IF(2190&lt;=4000,INDEX($D$2:$D$1001,-810),IF(2190&lt;=5000,INDEX($E$2:$E$1001,-1810),"")))))</f>
        <v/>
      </c>
    </row>
    <row r="2192">
      <c r="G2192">
        <f>IF(2191&lt;=1000,INDEX($A$2:$A$1001,2191),IF(2191&lt;=2000,INDEX($B$2:$B$1001,1191),IF(2191&lt;=3000,INDEX($C$2:$C$1001,191),IF(2191&lt;=4000,INDEX($D$2:$D$1001,-809),IF(2191&lt;=5000,INDEX($E$2:$E$1001,-1809),"")))))</f>
        <v/>
      </c>
    </row>
    <row r="2193">
      <c r="G2193">
        <f>IF(2192&lt;=1000,INDEX($A$2:$A$1001,2192),IF(2192&lt;=2000,INDEX($B$2:$B$1001,1192),IF(2192&lt;=3000,INDEX($C$2:$C$1001,192),IF(2192&lt;=4000,INDEX($D$2:$D$1001,-808),IF(2192&lt;=5000,INDEX($E$2:$E$1001,-1808),"")))))</f>
        <v/>
      </c>
    </row>
    <row r="2194">
      <c r="G2194">
        <f>IF(2193&lt;=1000,INDEX($A$2:$A$1001,2193),IF(2193&lt;=2000,INDEX($B$2:$B$1001,1193),IF(2193&lt;=3000,INDEX($C$2:$C$1001,193),IF(2193&lt;=4000,INDEX($D$2:$D$1001,-807),IF(2193&lt;=5000,INDEX($E$2:$E$1001,-1807),"")))))</f>
        <v/>
      </c>
    </row>
    <row r="2195">
      <c r="G2195">
        <f>IF(2194&lt;=1000,INDEX($A$2:$A$1001,2194),IF(2194&lt;=2000,INDEX($B$2:$B$1001,1194),IF(2194&lt;=3000,INDEX($C$2:$C$1001,194),IF(2194&lt;=4000,INDEX($D$2:$D$1001,-806),IF(2194&lt;=5000,INDEX($E$2:$E$1001,-1806),"")))))</f>
        <v/>
      </c>
    </row>
    <row r="2196">
      <c r="G2196">
        <f>IF(2195&lt;=1000,INDEX($A$2:$A$1001,2195),IF(2195&lt;=2000,INDEX($B$2:$B$1001,1195),IF(2195&lt;=3000,INDEX($C$2:$C$1001,195),IF(2195&lt;=4000,INDEX($D$2:$D$1001,-805),IF(2195&lt;=5000,INDEX($E$2:$E$1001,-1805),"")))))</f>
        <v/>
      </c>
    </row>
    <row r="2197">
      <c r="G2197">
        <f>IF(2196&lt;=1000,INDEX($A$2:$A$1001,2196),IF(2196&lt;=2000,INDEX($B$2:$B$1001,1196),IF(2196&lt;=3000,INDEX($C$2:$C$1001,196),IF(2196&lt;=4000,INDEX($D$2:$D$1001,-804),IF(2196&lt;=5000,INDEX($E$2:$E$1001,-1804),"")))))</f>
        <v/>
      </c>
    </row>
    <row r="2198">
      <c r="G2198">
        <f>IF(2197&lt;=1000,INDEX($A$2:$A$1001,2197),IF(2197&lt;=2000,INDEX($B$2:$B$1001,1197),IF(2197&lt;=3000,INDEX($C$2:$C$1001,197),IF(2197&lt;=4000,INDEX($D$2:$D$1001,-803),IF(2197&lt;=5000,INDEX($E$2:$E$1001,-1803),"")))))</f>
        <v/>
      </c>
    </row>
    <row r="2199">
      <c r="G2199">
        <f>IF(2198&lt;=1000,INDEX($A$2:$A$1001,2198),IF(2198&lt;=2000,INDEX($B$2:$B$1001,1198),IF(2198&lt;=3000,INDEX($C$2:$C$1001,198),IF(2198&lt;=4000,INDEX($D$2:$D$1001,-802),IF(2198&lt;=5000,INDEX($E$2:$E$1001,-1802),"")))))</f>
        <v/>
      </c>
    </row>
    <row r="2200">
      <c r="G2200">
        <f>IF(2199&lt;=1000,INDEX($A$2:$A$1001,2199),IF(2199&lt;=2000,INDEX($B$2:$B$1001,1199),IF(2199&lt;=3000,INDEX($C$2:$C$1001,199),IF(2199&lt;=4000,INDEX($D$2:$D$1001,-801),IF(2199&lt;=5000,INDEX($E$2:$E$1001,-1801),"")))))</f>
        <v/>
      </c>
    </row>
    <row r="2201">
      <c r="G2201">
        <f>IF(2200&lt;=1000,INDEX($A$2:$A$1001,2200),IF(2200&lt;=2000,INDEX($B$2:$B$1001,1200),IF(2200&lt;=3000,INDEX($C$2:$C$1001,200),IF(2200&lt;=4000,INDEX($D$2:$D$1001,-800),IF(2200&lt;=5000,INDEX($E$2:$E$1001,-1800),"")))))</f>
        <v/>
      </c>
    </row>
    <row r="2202">
      <c r="G2202">
        <f>IF(2201&lt;=1000,INDEX($A$2:$A$1001,2201),IF(2201&lt;=2000,INDEX($B$2:$B$1001,1201),IF(2201&lt;=3000,INDEX($C$2:$C$1001,201),IF(2201&lt;=4000,INDEX($D$2:$D$1001,-799),IF(2201&lt;=5000,INDEX($E$2:$E$1001,-1799),"")))))</f>
        <v/>
      </c>
    </row>
    <row r="2203">
      <c r="G2203">
        <f>IF(2202&lt;=1000,INDEX($A$2:$A$1001,2202),IF(2202&lt;=2000,INDEX($B$2:$B$1001,1202),IF(2202&lt;=3000,INDEX($C$2:$C$1001,202),IF(2202&lt;=4000,INDEX($D$2:$D$1001,-798),IF(2202&lt;=5000,INDEX($E$2:$E$1001,-1798),"")))))</f>
        <v/>
      </c>
    </row>
    <row r="2204">
      <c r="G2204">
        <f>IF(2203&lt;=1000,INDEX($A$2:$A$1001,2203),IF(2203&lt;=2000,INDEX($B$2:$B$1001,1203),IF(2203&lt;=3000,INDEX($C$2:$C$1001,203),IF(2203&lt;=4000,INDEX($D$2:$D$1001,-797),IF(2203&lt;=5000,INDEX($E$2:$E$1001,-1797),"")))))</f>
        <v/>
      </c>
    </row>
    <row r="2205">
      <c r="G2205">
        <f>IF(2204&lt;=1000,INDEX($A$2:$A$1001,2204),IF(2204&lt;=2000,INDEX($B$2:$B$1001,1204),IF(2204&lt;=3000,INDEX($C$2:$C$1001,204),IF(2204&lt;=4000,INDEX($D$2:$D$1001,-796),IF(2204&lt;=5000,INDEX($E$2:$E$1001,-1796),"")))))</f>
        <v/>
      </c>
    </row>
    <row r="2206">
      <c r="G2206">
        <f>IF(2205&lt;=1000,INDEX($A$2:$A$1001,2205),IF(2205&lt;=2000,INDEX($B$2:$B$1001,1205),IF(2205&lt;=3000,INDEX($C$2:$C$1001,205),IF(2205&lt;=4000,INDEX($D$2:$D$1001,-795),IF(2205&lt;=5000,INDEX($E$2:$E$1001,-1795),"")))))</f>
        <v/>
      </c>
    </row>
    <row r="2207">
      <c r="G2207">
        <f>IF(2206&lt;=1000,INDEX($A$2:$A$1001,2206),IF(2206&lt;=2000,INDEX($B$2:$B$1001,1206),IF(2206&lt;=3000,INDEX($C$2:$C$1001,206),IF(2206&lt;=4000,INDEX($D$2:$D$1001,-794),IF(2206&lt;=5000,INDEX($E$2:$E$1001,-1794),"")))))</f>
        <v/>
      </c>
    </row>
    <row r="2208">
      <c r="G2208">
        <f>IF(2207&lt;=1000,INDEX($A$2:$A$1001,2207),IF(2207&lt;=2000,INDEX($B$2:$B$1001,1207),IF(2207&lt;=3000,INDEX($C$2:$C$1001,207),IF(2207&lt;=4000,INDEX($D$2:$D$1001,-793),IF(2207&lt;=5000,INDEX($E$2:$E$1001,-1793),"")))))</f>
        <v/>
      </c>
    </row>
    <row r="2209">
      <c r="G2209">
        <f>IF(2208&lt;=1000,INDEX($A$2:$A$1001,2208),IF(2208&lt;=2000,INDEX($B$2:$B$1001,1208),IF(2208&lt;=3000,INDEX($C$2:$C$1001,208),IF(2208&lt;=4000,INDEX($D$2:$D$1001,-792),IF(2208&lt;=5000,INDEX($E$2:$E$1001,-1792),"")))))</f>
        <v/>
      </c>
    </row>
    <row r="2210">
      <c r="G2210">
        <f>IF(2209&lt;=1000,INDEX($A$2:$A$1001,2209),IF(2209&lt;=2000,INDEX($B$2:$B$1001,1209),IF(2209&lt;=3000,INDEX($C$2:$C$1001,209),IF(2209&lt;=4000,INDEX($D$2:$D$1001,-791),IF(2209&lt;=5000,INDEX($E$2:$E$1001,-1791),"")))))</f>
        <v/>
      </c>
    </row>
    <row r="2211">
      <c r="G2211">
        <f>IF(2210&lt;=1000,INDEX($A$2:$A$1001,2210),IF(2210&lt;=2000,INDEX($B$2:$B$1001,1210),IF(2210&lt;=3000,INDEX($C$2:$C$1001,210),IF(2210&lt;=4000,INDEX($D$2:$D$1001,-790),IF(2210&lt;=5000,INDEX($E$2:$E$1001,-1790),"")))))</f>
        <v/>
      </c>
    </row>
    <row r="2212">
      <c r="G2212">
        <f>IF(2211&lt;=1000,INDEX($A$2:$A$1001,2211),IF(2211&lt;=2000,INDEX($B$2:$B$1001,1211),IF(2211&lt;=3000,INDEX($C$2:$C$1001,211),IF(2211&lt;=4000,INDEX($D$2:$D$1001,-789),IF(2211&lt;=5000,INDEX($E$2:$E$1001,-1789),"")))))</f>
        <v/>
      </c>
    </row>
    <row r="2213">
      <c r="G2213">
        <f>IF(2212&lt;=1000,INDEX($A$2:$A$1001,2212),IF(2212&lt;=2000,INDEX($B$2:$B$1001,1212),IF(2212&lt;=3000,INDEX($C$2:$C$1001,212),IF(2212&lt;=4000,INDEX($D$2:$D$1001,-788),IF(2212&lt;=5000,INDEX($E$2:$E$1001,-1788),"")))))</f>
        <v/>
      </c>
    </row>
    <row r="2214">
      <c r="G2214">
        <f>IF(2213&lt;=1000,INDEX($A$2:$A$1001,2213),IF(2213&lt;=2000,INDEX($B$2:$B$1001,1213),IF(2213&lt;=3000,INDEX($C$2:$C$1001,213),IF(2213&lt;=4000,INDEX($D$2:$D$1001,-787),IF(2213&lt;=5000,INDEX($E$2:$E$1001,-1787),"")))))</f>
        <v/>
      </c>
    </row>
    <row r="2215">
      <c r="G2215">
        <f>IF(2214&lt;=1000,INDEX($A$2:$A$1001,2214),IF(2214&lt;=2000,INDEX($B$2:$B$1001,1214),IF(2214&lt;=3000,INDEX($C$2:$C$1001,214),IF(2214&lt;=4000,INDEX($D$2:$D$1001,-786),IF(2214&lt;=5000,INDEX($E$2:$E$1001,-1786),"")))))</f>
        <v/>
      </c>
    </row>
    <row r="2216">
      <c r="G2216">
        <f>IF(2215&lt;=1000,INDEX($A$2:$A$1001,2215),IF(2215&lt;=2000,INDEX($B$2:$B$1001,1215),IF(2215&lt;=3000,INDEX($C$2:$C$1001,215),IF(2215&lt;=4000,INDEX($D$2:$D$1001,-785),IF(2215&lt;=5000,INDEX($E$2:$E$1001,-1785),"")))))</f>
        <v/>
      </c>
    </row>
    <row r="2217">
      <c r="G2217">
        <f>IF(2216&lt;=1000,INDEX($A$2:$A$1001,2216),IF(2216&lt;=2000,INDEX($B$2:$B$1001,1216),IF(2216&lt;=3000,INDEX($C$2:$C$1001,216),IF(2216&lt;=4000,INDEX($D$2:$D$1001,-784),IF(2216&lt;=5000,INDEX($E$2:$E$1001,-1784),"")))))</f>
        <v/>
      </c>
    </row>
    <row r="2218">
      <c r="G2218">
        <f>IF(2217&lt;=1000,INDEX($A$2:$A$1001,2217),IF(2217&lt;=2000,INDEX($B$2:$B$1001,1217),IF(2217&lt;=3000,INDEX($C$2:$C$1001,217),IF(2217&lt;=4000,INDEX($D$2:$D$1001,-783),IF(2217&lt;=5000,INDEX($E$2:$E$1001,-1783),"")))))</f>
        <v/>
      </c>
    </row>
    <row r="2219">
      <c r="G2219">
        <f>IF(2218&lt;=1000,INDEX($A$2:$A$1001,2218),IF(2218&lt;=2000,INDEX($B$2:$B$1001,1218),IF(2218&lt;=3000,INDEX($C$2:$C$1001,218),IF(2218&lt;=4000,INDEX($D$2:$D$1001,-782),IF(2218&lt;=5000,INDEX($E$2:$E$1001,-1782),"")))))</f>
        <v/>
      </c>
    </row>
    <row r="2220">
      <c r="G2220">
        <f>IF(2219&lt;=1000,INDEX($A$2:$A$1001,2219),IF(2219&lt;=2000,INDEX($B$2:$B$1001,1219),IF(2219&lt;=3000,INDEX($C$2:$C$1001,219),IF(2219&lt;=4000,INDEX($D$2:$D$1001,-781),IF(2219&lt;=5000,INDEX($E$2:$E$1001,-1781),"")))))</f>
        <v/>
      </c>
    </row>
    <row r="2221">
      <c r="G2221">
        <f>IF(2220&lt;=1000,INDEX($A$2:$A$1001,2220),IF(2220&lt;=2000,INDEX($B$2:$B$1001,1220),IF(2220&lt;=3000,INDEX($C$2:$C$1001,220),IF(2220&lt;=4000,INDEX($D$2:$D$1001,-780),IF(2220&lt;=5000,INDEX($E$2:$E$1001,-1780),"")))))</f>
        <v/>
      </c>
    </row>
    <row r="2222">
      <c r="G2222">
        <f>IF(2221&lt;=1000,INDEX($A$2:$A$1001,2221),IF(2221&lt;=2000,INDEX($B$2:$B$1001,1221),IF(2221&lt;=3000,INDEX($C$2:$C$1001,221),IF(2221&lt;=4000,INDEX($D$2:$D$1001,-779),IF(2221&lt;=5000,INDEX($E$2:$E$1001,-1779),"")))))</f>
        <v/>
      </c>
    </row>
    <row r="2223">
      <c r="G2223">
        <f>IF(2222&lt;=1000,INDEX($A$2:$A$1001,2222),IF(2222&lt;=2000,INDEX($B$2:$B$1001,1222),IF(2222&lt;=3000,INDEX($C$2:$C$1001,222),IF(2222&lt;=4000,INDEX($D$2:$D$1001,-778),IF(2222&lt;=5000,INDEX($E$2:$E$1001,-1778),"")))))</f>
        <v/>
      </c>
    </row>
    <row r="2224">
      <c r="G2224">
        <f>IF(2223&lt;=1000,INDEX($A$2:$A$1001,2223),IF(2223&lt;=2000,INDEX($B$2:$B$1001,1223),IF(2223&lt;=3000,INDEX($C$2:$C$1001,223),IF(2223&lt;=4000,INDEX($D$2:$D$1001,-777),IF(2223&lt;=5000,INDEX($E$2:$E$1001,-1777),"")))))</f>
        <v/>
      </c>
    </row>
    <row r="2225">
      <c r="G2225">
        <f>IF(2224&lt;=1000,INDEX($A$2:$A$1001,2224),IF(2224&lt;=2000,INDEX($B$2:$B$1001,1224),IF(2224&lt;=3000,INDEX($C$2:$C$1001,224),IF(2224&lt;=4000,INDEX($D$2:$D$1001,-776),IF(2224&lt;=5000,INDEX($E$2:$E$1001,-1776),"")))))</f>
        <v/>
      </c>
    </row>
    <row r="2226">
      <c r="G2226">
        <f>IF(2225&lt;=1000,INDEX($A$2:$A$1001,2225),IF(2225&lt;=2000,INDEX($B$2:$B$1001,1225),IF(2225&lt;=3000,INDEX($C$2:$C$1001,225),IF(2225&lt;=4000,INDEX($D$2:$D$1001,-775),IF(2225&lt;=5000,INDEX($E$2:$E$1001,-1775),"")))))</f>
        <v/>
      </c>
    </row>
    <row r="2227">
      <c r="G2227">
        <f>IF(2226&lt;=1000,INDEX($A$2:$A$1001,2226),IF(2226&lt;=2000,INDEX($B$2:$B$1001,1226),IF(2226&lt;=3000,INDEX($C$2:$C$1001,226),IF(2226&lt;=4000,INDEX($D$2:$D$1001,-774),IF(2226&lt;=5000,INDEX($E$2:$E$1001,-1774),"")))))</f>
        <v/>
      </c>
    </row>
    <row r="2228">
      <c r="G2228">
        <f>IF(2227&lt;=1000,INDEX($A$2:$A$1001,2227),IF(2227&lt;=2000,INDEX($B$2:$B$1001,1227),IF(2227&lt;=3000,INDEX($C$2:$C$1001,227),IF(2227&lt;=4000,INDEX($D$2:$D$1001,-773),IF(2227&lt;=5000,INDEX($E$2:$E$1001,-1773),"")))))</f>
        <v/>
      </c>
    </row>
    <row r="2229">
      <c r="G2229">
        <f>IF(2228&lt;=1000,INDEX($A$2:$A$1001,2228),IF(2228&lt;=2000,INDEX($B$2:$B$1001,1228),IF(2228&lt;=3000,INDEX($C$2:$C$1001,228),IF(2228&lt;=4000,INDEX($D$2:$D$1001,-772),IF(2228&lt;=5000,INDEX($E$2:$E$1001,-1772),"")))))</f>
        <v/>
      </c>
    </row>
    <row r="2230">
      <c r="G2230">
        <f>IF(2229&lt;=1000,INDEX($A$2:$A$1001,2229),IF(2229&lt;=2000,INDEX($B$2:$B$1001,1229),IF(2229&lt;=3000,INDEX($C$2:$C$1001,229),IF(2229&lt;=4000,INDEX($D$2:$D$1001,-771),IF(2229&lt;=5000,INDEX($E$2:$E$1001,-1771),"")))))</f>
        <v/>
      </c>
    </row>
    <row r="2231">
      <c r="G2231">
        <f>IF(2230&lt;=1000,INDEX($A$2:$A$1001,2230),IF(2230&lt;=2000,INDEX($B$2:$B$1001,1230),IF(2230&lt;=3000,INDEX($C$2:$C$1001,230),IF(2230&lt;=4000,INDEX($D$2:$D$1001,-770),IF(2230&lt;=5000,INDEX($E$2:$E$1001,-1770),"")))))</f>
        <v/>
      </c>
    </row>
    <row r="2232">
      <c r="G2232">
        <f>IF(2231&lt;=1000,INDEX($A$2:$A$1001,2231),IF(2231&lt;=2000,INDEX($B$2:$B$1001,1231),IF(2231&lt;=3000,INDEX($C$2:$C$1001,231),IF(2231&lt;=4000,INDEX($D$2:$D$1001,-769),IF(2231&lt;=5000,INDEX($E$2:$E$1001,-1769),"")))))</f>
        <v/>
      </c>
    </row>
    <row r="2233">
      <c r="G2233">
        <f>IF(2232&lt;=1000,INDEX($A$2:$A$1001,2232),IF(2232&lt;=2000,INDEX($B$2:$B$1001,1232),IF(2232&lt;=3000,INDEX($C$2:$C$1001,232),IF(2232&lt;=4000,INDEX($D$2:$D$1001,-768),IF(2232&lt;=5000,INDEX($E$2:$E$1001,-1768),"")))))</f>
        <v/>
      </c>
    </row>
    <row r="2234">
      <c r="G2234">
        <f>IF(2233&lt;=1000,INDEX($A$2:$A$1001,2233),IF(2233&lt;=2000,INDEX($B$2:$B$1001,1233),IF(2233&lt;=3000,INDEX($C$2:$C$1001,233),IF(2233&lt;=4000,INDEX($D$2:$D$1001,-767),IF(2233&lt;=5000,INDEX($E$2:$E$1001,-1767),"")))))</f>
        <v/>
      </c>
    </row>
    <row r="2235">
      <c r="G2235">
        <f>IF(2234&lt;=1000,INDEX($A$2:$A$1001,2234),IF(2234&lt;=2000,INDEX($B$2:$B$1001,1234),IF(2234&lt;=3000,INDEX($C$2:$C$1001,234),IF(2234&lt;=4000,INDEX($D$2:$D$1001,-766),IF(2234&lt;=5000,INDEX($E$2:$E$1001,-1766),"")))))</f>
        <v/>
      </c>
    </row>
    <row r="2236">
      <c r="G2236">
        <f>IF(2235&lt;=1000,INDEX($A$2:$A$1001,2235),IF(2235&lt;=2000,INDEX($B$2:$B$1001,1235),IF(2235&lt;=3000,INDEX($C$2:$C$1001,235),IF(2235&lt;=4000,INDEX($D$2:$D$1001,-765),IF(2235&lt;=5000,INDEX($E$2:$E$1001,-1765),"")))))</f>
        <v/>
      </c>
    </row>
    <row r="2237">
      <c r="G2237">
        <f>IF(2236&lt;=1000,INDEX($A$2:$A$1001,2236),IF(2236&lt;=2000,INDEX($B$2:$B$1001,1236),IF(2236&lt;=3000,INDEX($C$2:$C$1001,236),IF(2236&lt;=4000,INDEX($D$2:$D$1001,-764),IF(2236&lt;=5000,INDEX($E$2:$E$1001,-1764),"")))))</f>
        <v/>
      </c>
    </row>
    <row r="2238">
      <c r="G2238">
        <f>IF(2237&lt;=1000,INDEX($A$2:$A$1001,2237),IF(2237&lt;=2000,INDEX($B$2:$B$1001,1237),IF(2237&lt;=3000,INDEX($C$2:$C$1001,237),IF(2237&lt;=4000,INDEX($D$2:$D$1001,-763),IF(2237&lt;=5000,INDEX($E$2:$E$1001,-1763),"")))))</f>
        <v/>
      </c>
    </row>
    <row r="2239">
      <c r="G2239">
        <f>IF(2238&lt;=1000,INDEX($A$2:$A$1001,2238),IF(2238&lt;=2000,INDEX($B$2:$B$1001,1238),IF(2238&lt;=3000,INDEX($C$2:$C$1001,238),IF(2238&lt;=4000,INDEX($D$2:$D$1001,-762),IF(2238&lt;=5000,INDEX($E$2:$E$1001,-1762),"")))))</f>
        <v/>
      </c>
    </row>
    <row r="2240">
      <c r="G2240">
        <f>IF(2239&lt;=1000,INDEX($A$2:$A$1001,2239),IF(2239&lt;=2000,INDEX($B$2:$B$1001,1239),IF(2239&lt;=3000,INDEX($C$2:$C$1001,239),IF(2239&lt;=4000,INDEX($D$2:$D$1001,-761),IF(2239&lt;=5000,INDEX($E$2:$E$1001,-1761),"")))))</f>
        <v/>
      </c>
    </row>
    <row r="2241">
      <c r="G2241">
        <f>IF(2240&lt;=1000,INDEX($A$2:$A$1001,2240),IF(2240&lt;=2000,INDEX($B$2:$B$1001,1240),IF(2240&lt;=3000,INDEX($C$2:$C$1001,240),IF(2240&lt;=4000,INDEX($D$2:$D$1001,-760),IF(2240&lt;=5000,INDEX($E$2:$E$1001,-1760),"")))))</f>
        <v/>
      </c>
    </row>
    <row r="2242">
      <c r="G2242">
        <f>IF(2241&lt;=1000,INDEX($A$2:$A$1001,2241),IF(2241&lt;=2000,INDEX($B$2:$B$1001,1241),IF(2241&lt;=3000,INDEX($C$2:$C$1001,241),IF(2241&lt;=4000,INDEX($D$2:$D$1001,-759),IF(2241&lt;=5000,INDEX($E$2:$E$1001,-1759),"")))))</f>
        <v/>
      </c>
    </row>
    <row r="2243">
      <c r="G2243">
        <f>IF(2242&lt;=1000,INDEX($A$2:$A$1001,2242),IF(2242&lt;=2000,INDEX($B$2:$B$1001,1242),IF(2242&lt;=3000,INDEX($C$2:$C$1001,242),IF(2242&lt;=4000,INDEX($D$2:$D$1001,-758),IF(2242&lt;=5000,INDEX($E$2:$E$1001,-1758),"")))))</f>
        <v/>
      </c>
    </row>
    <row r="2244">
      <c r="G2244">
        <f>IF(2243&lt;=1000,INDEX($A$2:$A$1001,2243),IF(2243&lt;=2000,INDEX($B$2:$B$1001,1243),IF(2243&lt;=3000,INDEX($C$2:$C$1001,243),IF(2243&lt;=4000,INDEX($D$2:$D$1001,-757),IF(2243&lt;=5000,INDEX($E$2:$E$1001,-1757),"")))))</f>
        <v/>
      </c>
    </row>
    <row r="2245">
      <c r="G2245">
        <f>IF(2244&lt;=1000,INDEX($A$2:$A$1001,2244),IF(2244&lt;=2000,INDEX($B$2:$B$1001,1244),IF(2244&lt;=3000,INDEX($C$2:$C$1001,244),IF(2244&lt;=4000,INDEX($D$2:$D$1001,-756),IF(2244&lt;=5000,INDEX($E$2:$E$1001,-1756),"")))))</f>
        <v/>
      </c>
    </row>
    <row r="2246">
      <c r="G2246">
        <f>IF(2245&lt;=1000,INDEX($A$2:$A$1001,2245),IF(2245&lt;=2000,INDEX($B$2:$B$1001,1245),IF(2245&lt;=3000,INDEX($C$2:$C$1001,245),IF(2245&lt;=4000,INDEX($D$2:$D$1001,-755),IF(2245&lt;=5000,INDEX($E$2:$E$1001,-1755),"")))))</f>
        <v/>
      </c>
    </row>
    <row r="2247">
      <c r="G2247">
        <f>IF(2246&lt;=1000,INDEX($A$2:$A$1001,2246),IF(2246&lt;=2000,INDEX($B$2:$B$1001,1246),IF(2246&lt;=3000,INDEX($C$2:$C$1001,246),IF(2246&lt;=4000,INDEX($D$2:$D$1001,-754),IF(2246&lt;=5000,INDEX($E$2:$E$1001,-1754),"")))))</f>
        <v/>
      </c>
    </row>
    <row r="2248">
      <c r="G2248">
        <f>IF(2247&lt;=1000,INDEX($A$2:$A$1001,2247),IF(2247&lt;=2000,INDEX($B$2:$B$1001,1247),IF(2247&lt;=3000,INDEX($C$2:$C$1001,247),IF(2247&lt;=4000,INDEX($D$2:$D$1001,-753),IF(2247&lt;=5000,INDEX($E$2:$E$1001,-1753),"")))))</f>
        <v/>
      </c>
    </row>
    <row r="2249">
      <c r="G2249">
        <f>IF(2248&lt;=1000,INDEX($A$2:$A$1001,2248),IF(2248&lt;=2000,INDEX($B$2:$B$1001,1248),IF(2248&lt;=3000,INDEX($C$2:$C$1001,248),IF(2248&lt;=4000,INDEX($D$2:$D$1001,-752),IF(2248&lt;=5000,INDEX($E$2:$E$1001,-1752),"")))))</f>
        <v/>
      </c>
    </row>
    <row r="2250">
      <c r="G2250">
        <f>IF(2249&lt;=1000,INDEX($A$2:$A$1001,2249),IF(2249&lt;=2000,INDEX($B$2:$B$1001,1249),IF(2249&lt;=3000,INDEX($C$2:$C$1001,249),IF(2249&lt;=4000,INDEX($D$2:$D$1001,-751),IF(2249&lt;=5000,INDEX($E$2:$E$1001,-1751),"")))))</f>
        <v/>
      </c>
    </row>
    <row r="2251">
      <c r="G2251">
        <f>IF(2250&lt;=1000,INDEX($A$2:$A$1001,2250),IF(2250&lt;=2000,INDEX($B$2:$B$1001,1250),IF(2250&lt;=3000,INDEX($C$2:$C$1001,250),IF(2250&lt;=4000,INDEX($D$2:$D$1001,-750),IF(2250&lt;=5000,INDEX($E$2:$E$1001,-1750),"")))))</f>
        <v/>
      </c>
    </row>
    <row r="2252">
      <c r="G2252">
        <f>IF(2251&lt;=1000,INDEX($A$2:$A$1001,2251),IF(2251&lt;=2000,INDEX($B$2:$B$1001,1251),IF(2251&lt;=3000,INDEX($C$2:$C$1001,251),IF(2251&lt;=4000,INDEX($D$2:$D$1001,-749),IF(2251&lt;=5000,INDEX($E$2:$E$1001,-1749),"")))))</f>
        <v/>
      </c>
    </row>
    <row r="2253">
      <c r="G2253">
        <f>IF(2252&lt;=1000,INDEX($A$2:$A$1001,2252),IF(2252&lt;=2000,INDEX($B$2:$B$1001,1252),IF(2252&lt;=3000,INDEX($C$2:$C$1001,252),IF(2252&lt;=4000,INDEX($D$2:$D$1001,-748),IF(2252&lt;=5000,INDEX($E$2:$E$1001,-1748),"")))))</f>
        <v/>
      </c>
    </row>
    <row r="2254">
      <c r="G2254">
        <f>IF(2253&lt;=1000,INDEX($A$2:$A$1001,2253),IF(2253&lt;=2000,INDEX($B$2:$B$1001,1253),IF(2253&lt;=3000,INDEX($C$2:$C$1001,253),IF(2253&lt;=4000,INDEX($D$2:$D$1001,-747),IF(2253&lt;=5000,INDEX($E$2:$E$1001,-1747),"")))))</f>
        <v/>
      </c>
    </row>
    <row r="2255">
      <c r="G2255">
        <f>IF(2254&lt;=1000,INDEX($A$2:$A$1001,2254),IF(2254&lt;=2000,INDEX($B$2:$B$1001,1254),IF(2254&lt;=3000,INDEX($C$2:$C$1001,254),IF(2254&lt;=4000,INDEX($D$2:$D$1001,-746),IF(2254&lt;=5000,INDEX($E$2:$E$1001,-1746),"")))))</f>
        <v/>
      </c>
    </row>
    <row r="2256">
      <c r="G2256">
        <f>IF(2255&lt;=1000,INDEX($A$2:$A$1001,2255),IF(2255&lt;=2000,INDEX($B$2:$B$1001,1255),IF(2255&lt;=3000,INDEX($C$2:$C$1001,255),IF(2255&lt;=4000,INDEX($D$2:$D$1001,-745),IF(2255&lt;=5000,INDEX($E$2:$E$1001,-1745),"")))))</f>
        <v/>
      </c>
    </row>
    <row r="2257">
      <c r="G2257">
        <f>IF(2256&lt;=1000,INDEX($A$2:$A$1001,2256),IF(2256&lt;=2000,INDEX($B$2:$B$1001,1256),IF(2256&lt;=3000,INDEX($C$2:$C$1001,256),IF(2256&lt;=4000,INDEX($D$2:$D$1001,-744),IF(2256&lt;=5000,INDEX($E$2:$E$1001,-1744),"")))))</f>
        <v/>
      </c>
    </row>
    <row r="2258">
      <c r="G2258">
        <f>IF(2257&lt;=1000,INDEX($A$2:$A$1001,2257),IF(2257&lt;=2000,INDEX($B$2:$B$1001,1257),IF(2257&lt;=3000,INDEX($C$2:$C$1001,257),IF(2257&lt;=4000,INDEX($D$2:$D$1001,-743),IF(2257&lt;=5000,INDEX($E$2:$E$1001,-1743),"")))))</f>
        <v/>
      </c>
    </row>
    <row r="2259">
      <c r="G2259">
        <f>IF(2258&lt;=1000,INDEX($A$2:$A$1001,2258),IF(2258&lt;=2000,INDEX($B$2:$B$1001,1258),IF(2258&lt;=3000,INDEX($C$2:$C$1001,258),IF(2258&lt;=4000,INDEX($D$2:$D$1001,-742),IF(2258&lt;=5000,INDEX($E$2:$E$1001,-1742),"")))))</f>
        <v/>
      </c>
    </row>
    <row r="2260">
      <c r="G2260">
        <f>IF(2259&lt;=1000,INDEX($A$2:$A$1001,2259),IF(2259&lt;=2000,INDEX($B$2:$B$1001,1259),IF(2259&lt;=3000,INDEX($C$2:$C$1001,259),IF(2259&lt;=4000,INDEX($D$2:$D$1001,-741),IF(2259&lt;=5000,INDEX($E$2:$E$1001,-1741),"")))))</f>
        <v/>
      </c>
    </row>
    <row r="2261">
      <c r="G2261">
        <f>IF(2260&lt;=1000,INDEX($A$2:$A$1001,2260),IF(2260&lt;=2000,INDEX($B$2:$B$1001,1260),IF(2260&lt;=3000,INDEX($C$2:$C$1001,260),IF(2260&lt;=4000,INDEX($D$2:$D$1001,-740),IF(2260&lt;=5000,INDEX($E$2:$E$1001,-1740),"")))))</f>
        <v/>
      </c>
    </row>
    <row r="2262">
      <c r="G2262">
        <f>IF(2261&lt;=1000,INDEX($A$2:$A$1001,2261),IF(2261&lt;=2000,INDEX($B$2:$B$1001,1261),IF(2261&lt;=3000,INDEX($C$2:$C$1001,261),IF(2261&lt;=4000,INDEX($D$2:$D$1001,-739),IF(2261&lt;=5000,INDEX($E$2:$E$1001,-1739),"")))))</f>
        <v/>
      </c>
    </row>
    <row r="2263">
      <c r="G2263">
        <f>IF(2262&lt;=1000,INDEX($A$2:$A$1001,2262),IF(2262&lt;=2000,INDEX($B$2:$B$1001,1262),IF(2262&lt;=3000,INDEX($C$2:$C$1001,262),IF(2262&lt;=4000,INDEX($D$2:$D$1001,-738),IF(2262&lt;=5000,INDEX($E$2:$E$1001,-1738),"")))))</f>
        <v/>
      </c>
    </row>
    <row r="2264">
      <c r="G2264">
        <f>IF(2263&lt;=1000,INDEX($A$2:$A$1001,2263),IF(2263&lt;=2000,INDEX($B$2:$B$1001,1263),IF(2263&lt;=3000,INDEX($C$2:$C$1001,263),IF(2263&lt;=4000,INDEX($D$2:$D$1001,-737),IF(2263&lt;=5000,INDEX($E$2:$E$1001,-1737),"")))))</f>
        <v/>
      </c>
    </row>
    <row r="2265">
      <c r="G2265">
        <f>IF(2264&lt;=1000,INDEX($A$2:$A$1001,2264),IF(2264&lt;=2000,INDEX($B$2:$B$1001,1264),IF(2264&lt;=3000,INDEX($C$2:$C$1001,264),IF(2264&lt;=4000,INDEX($D$2:$D$1001,-736),IF(2264&lt;=5000,INDEX($E$2:$E$1001,-1736),"")))))</f>
        <v/>
      </c>
    </row>
    <row r="2266">
      <c r="G2266">
        <f>IF(2265&lt;=1000,INDEX($A$2:$A$1001,2265),IF(2265&lt;=2000,INDEX($B$2:$B$1001,1265),IF(2265&lt;=3000,INDEX($C$2:$C$1001,265),IF(2265&lt;=4000,INDEX($D$2:$D$1001,-735),IF(2265&lt;=5000,INDEX($E$2:$E$1001,-1735),"")))))</f>
        <v/>
      </c>
    </row>
    <row r="2267">
      <c r="G2267">
        <f>IF(2266&lt;=1000,INDEX($A$2:$A$1001,2266),IF(2266&lt;=2000,INDEX($B$2:$B$1001,1266),IF(2266&lt;=3000,INDEX($C$2:$C$1001,266),IF(2266&lt;=4000,INDEX($D$2:$D$1001,-734),IF(2266&lt;=5000,INDEX($E$2:$E$1001,-1734),"")))))</f>
        <v/>
      </c>
    </row>
    <row r="2268">
      <c r="G2268">
        <f>IF(2267&lt;=1000,INDEX($A$2:$A$1001,2267),IF(2267&lt;=2000,INDEX($B$2:$B$1001,1267),IF(2267&lt;=3000,INDEX($C$2:$C$1001,267),IF(2267&lt;=4000,INDEX($D$2:$D$1001,-733),IF(2267&lt;=5000,INDEX($E$2:$E$1001,-1733),"")))))</f>
        <v/>
      </c>
    </row>
    <row r="2269">
      <c r="G2269">
        <f>IF(2268&lt;=1000,INDEX($A$2:$A$1001,2268),IF(2268&lt;=2000,INDEX($B$2:$B$1001,1268),IF(2268&lt;=3000,INDEX($C$2:$C$1001,268),IF(2268&lt;=4000,INDEX($D$2:$D$1001,-732),IF(2268&lt;=5000,INDEX($E$2:$E$1001,-1732),"")))))</f>
        <v/>
      </c>
    </row>
    <row r="2270">
      <c r="G2270">
        <f>IF(2269&lt;=1000,INDEX($A$2:$A$1001,2269),IF(2269&lt;=2000,INDEX($B$2:$B$1001,1269),IF(2269&lt;=3000,INDEX($C$2:$C$1001,269),IF(2269&lt;=4000,INDEX($D$2:$D$1001,-731),IF(2269&lt;=5000,INDEX($E$2:$E$1001,-1731),"")))))</f>
        <v/>
      </c>
    </row>
    <row r="2271">
      <c r="G2271">
        <f>IF(2270&lt;=1000,INDEX($A$2:$A$1001,2270),IF(2270&lt;=2000,INDEX($B$2:$B$1001,1270),IF(2270&lt;=3000,INDEX($C$2:$C$1001,270),IF(2270&lt;=4000,INDEX($D$2:$D$1001,-730),IF(2270&lt;=5000,INDEX($E$2:$E$1001,-1730),"")))))</f>
        <v/>
      </c>
    </row>
    <row r="2272">
      <c r="G2272">
        <f>IF(2271&lt;=1000,INDEX($A$2:$A$1001,2271),IF(2271&lt;=2000,INDEX($B$2:$B$1001,1271),IF(2271&lt;=3000,INDEX($C$2:$C$1001,271),IF(2271&lt;=4000,INDEX($D$2:$D$1001,-729),IF(2271&lt;=5000,INDEX($E$2:$E$1001,-1729),"")))))</f>
        <v/>
      </c>
    </row>
    <row r="2273">
      <c r="G2273">
        <f>IF(2272&lt;=1000,INDEX($A$2:$A$1001,2272),IF(2272&lt;=2000,INDEX($B$2:$B$1001,1272),IF(2272&lt;=3000,INDEX($C$2:$C$1001,272),IF(2272&lt;=4000,INDEX($D$2:$D$1001,-728),IF(2272&lt;=5000,INDEX($E$2:$E$1001,-1728),"")))))</f>
        <v/>
      </c>
    </row>
    <row r="2274">
      <c r="G2274">
        <f>IF(2273&lt;=1000,INDEX($A$2:$A$1001,2273),IF(2273&lt;=2000,INDEX($B$2:$B$1001,1273),IF(2273&lt;=3000,INDEX($C$2:$C$1001,273),IF(2273&lt;=4000,INDEX($D$2:$D$1001,-727),IF(2273&lt;=5000,INDEX($E$2:$E$1001,-1727),"")))))</f>
        <v/>
      </c>
    </row>
    <row r="2275">
      <c r="G2275">
        <f>IF(2274&lt;=1000,INDEX($A$2:$A$1001,2274),IF(2274&lt;=2000,INDEX($B$2:$B$1001,1274),IF(2274&lt;=3000,INDEX($C$2:$C$1001,274),IF(2274&lt;=4000,INDEX($D$2:$D$1001,-726),IF(2274&lt;=5000,INDEX($E$2:$E$1001,-1726),"")))))</f>
        <v/>
      </c>
    </row>
    <row r="2276">
      <c r="G2276">
        <f>IF(2275&lt;=1000,INDEX($A$2:$A$1001,2275),IF(2275&lt;=2000,INDEX($B$2:$B$1001,1275),IF(2275&lt;=3000,INDEX($C$2:$C$1001,275),IF(2275&lt;=4000,INDEX($D$2:$D$1001,-725),IF(2275&lt;=5000,INDEX($E$2:$E$1001,-1725),"")))))</f>
        <v/>
      </c>
    </row>
    <row r="2277">
      <c r="G2277">
        <f>IF(2276&lt;=1000,INDEX($A$2:$A$1001,2276),IF(2276&lt;=2000,INDEX($B$2:$B$1001,1276),IF(2276&lt;=3000,INDEX($C$2:$C$1001,276),IF(2276&lt;=4000,INDEX($D$2:$D$1001,-724),IF(2276&lt;=5000,INDEX($E$2:$E$1001,-1724),"")))))</f>
        <v/>
      </c>
    </row>
    <row r="2278">
      <c r="G2278">
        <f>IF(2277&lt;=1000,INDEX($A$2:$A$1001,2277),IF(2277&lt;=2000,INDEX($B$2:$B$1001,1277),IF(2277&lt;=3000,INDEX($C$2:$C$1001,277),IF(2277&lt;=4000,INDEX($D$2:$D$1001,-723),IF(2277&lt;=5000,INDEX($E$2:$E$1001,-1723),"")))))</f>
        <v/>
      </c>
    </row>
    <row r="2279">
      <c r="G2279">
        <f>IF(2278&lt;=1000,INDEX($A$2:$A$1001,2278),IF(2278&lt;=2000,INDEX($B$2:$B$1001,1278),IF(2278&lt;=3000,INDEX($C$2:$C$1001,278),IF(2278&lt;=4000,INDEX($D$2:$D$1001,-722),IF(2278&lt;=5000,INDEX($E$2:$E$1001,-1722),"")))))</f>
        <v/>
      </c>
    </row>
    <row r="2280">
      <c r="G2280">
        <f>IF(2279&lt;=1000,INDEX($A$2:$A$1001,2279),IF(2279&lt;=2000,INDEX($B$2:$B$1001,1279),IF(2279&lt;=3000,INDEX($C$2:$C$1001,279),IF(2279&lt;=4000,INDEX($D$2:$D$1001,-721),IF(2279&lt;=5000,INDEX($E$2:$E$1001,-1721),"")))))</f>
        <v/>
      </c>
    </row>
    <row r="2281">
      <c r="G2281">
        <f>IF(2280&lt;=1000,INDEX($A$2:$A$1001,2280),IF(2280&lt;=2000,INDEX($B$2:$B$1001,1280),IF(2280&lt;=3000,INDEX($C$2:$C$1001,280),IF(2280&lt;=4000,INDEX($D$2:$D$1001,-720),IF(2280&lt;=5000,INDEX($E$2:$E$1001,-1720),"")))))</f>
        <v/>
      </c>
    </row>
    <row r="2282">
      <c r="G2282">
        <f>IF(2281&lt;=1000,INDEX($A$2:$A$1001,2281),IF(2281&lt;=2000,INDEX($B$2:$B$1001,1281),IF(2281&lt;=3000,INDEX($C$2:$C$1001,281),IF(2281&lt;=4000,INDEX($D$2:$D$1001,-719),IF(2281&lt;=5000,INDEX($E$2:$E$1001,-1719),"")))))</f>
        <v/>
      </c>
    </row>
    <row r="2283">
      <c r="G2283">
        <f>IF(2282&lt;=1000,INDEX($A$2:$A$1001,2282),IF(2282&lt;=2000,INDEX($B$2:$B$1001,1282),IF(2282&lt;=3000,INDEX($C$2:$C$1001,282),IF(2282&lt;=4000,INDEX($D$2:$D$1001,-718),IF(2282&lt;=5000,INDEX($E$2:$E$1001,-1718),"")))))</f>
        <v/>
      </c>
    </row>
    <row r="2284">
      <c r="G2284">
        <f>IF(2283&lt;=1000,INDEX($A$2:$A$1001,2283),IF(2283&lt;=2000,INDEX($B$2:$B$1001,1283),IF(2283&lt;=3000,INDEX($C$2:$C$1001,283),IF(2283&lt;=4000,INDEX($D$2:$D$1001,-717),IF(2283&lt;=5000,INDEX($E$2:$E$1001,-1717),"")))))</f>
        <v/>
      </c>
    </row>
    <row r="2285">
      <c r="G2285">
        <f>IF(2284&lt;=1000,INDEX($A$2:$A$1001,2284),IF(2284&lt;=2000,INDEX($B$2:$B$1001,1284),IF(2284&lt;=3000,INDEX($C$2:$C$1001,284),IF(2284&lt;=4000,INDEX($D$2:$D$1001,-716),IF(2284&lt;=5000,INDEX($E$2:$E$1001,-1716),"")))))</f>
        <v/>
      </c>
    </row>
    <row r="2286">
      <c r="G2286">
        <f>IF(2285&lt;=1000,INDEX($A$2:$A$1001,2285),IF(2285&lt;=2000,INDEX($B$2:$B$1001,1285),IF(2285&lt;=3000,INDEX($C$2:$C$1001,285),IF(2285&lt;=4000,INDEX($D$2:$D$1001,-715),IF(2285&lt;=5000,INDEX($E$2:$E$1001,-1715),"")))))</f>
        <v/>
      </c>
    </row>
    <row r="2287">
      <c r="G2287">
        <f>IF(2286&lt;=1000,INDEX($A$2:$A$1001,2286),IF(2286&lt;=2000,INDEX($B$2:$B$1001,1286),IF(2286&lt;=3000,INDEX($C$2:$C$1001,286),IF(2286&lt;=4000,INDEX($D$2:$D$1001,-714),IF(2286&lt;=5000,INDEX($E$2:$E$1001,-1714),"")))))</f>
        <v/>
      </c>
    </row>
    <row r="2288">
      <c r="G2288">
        <f>IF(2287&lt;=1000,INDEX($A$2:$A$1001,2287),IF(2287&lt;=2000,INDEX($B$2:$B$1001,1287),IF(2287&lt;=3000,INDEX($C$2:$C$1001,287),IF(2287&lt;=4000,INDEX($D$2:$D$1001,-713),IF(2287&lt;=5000,INDEX($E$2:$E$1001,-1713),"")))))</f>
        <v/>
      </c>
    </row>
    <row r="2289">
      <c r="G2289">
        <f>IF(2288&lt;=1000,INDEX($A$2:$A$1001,2288),IF(2288&lt;=2000,INDEX($B$2:$B$1001,1288),IF(2288&lt;=3000,INDEX($C$2:$C$1001,288),IF(2288&lt;=4000,INDEX($D$2:$D$1001,-712),IF(2288&lt;=5000,INDEX($E$2:$E$1001,-1712),"")))))</f>
        <v/>
      </c>
    </row>
    <row r="2290">
      <c r="G2290">
        <f>IF(2289&lt;=1000,INDEX($A$2:$A$1001,2289),IF(2289&lt;=2000,INDEX($B$2:$B$1001,1289),IF(2289&lt;=3000,INDEX($C$2:$C$1001,289),IF(2289&lt;=4000,INDEX($D$2:$D$1001,-711),IF(2289&lt;=5000,INDEX($E$2:$E$1001,-1711),"")))))</f>
        <v/>
      </c>
    </row>
    <row r="2291">
      <c r="G2291">
        <f>IF(2290&lt;=1000,INDEX($A$2:$A$1001,2290),IF(2290&lt;=2000,INDEX($B$2:$B$1001,1290),IF(2290&lt;=3000,INDEX($C$2:$C$1001,290),IF(2290&lt;=4000,INDEX($D$2:$D$1001,-710),IF(2290&lt;=5000,INDEX($E$2:$E$1001,-1710),"")))))</f>
        <v/>
      </c>
    </row>
    <row r="2292">
      <c r="G2292">
        <f>IF(2291&lt;=1000,INDEX($A$2:$A$1001,2291),IF(2291&lt;=2000,INDEX($B$2:$B$1001,1291),IF(2291&lt;=3000,INDEX($C$2:$C$1001,291),IF(2291&lt;=4000,INDEX($D$2:$D$1001,-709),IF(2291&lt;=5000,INDEX($E$2:$E$1001,-1709),"")))))</f>
        <v/>
      </c>
    </row>
    <row r="2293">
      <c r="G2293">
        <f>IF(2292&lt;=1000,INDEX($A$2:$A$1001,2292),IF(2292&lt;=2000,INDEX($B$2:$B$1001,1292),IF(2292&lt;=3000,INDEX($C$2:$C$1001,292),IF(2292&lt;=4000,INDEX($D$2:$D$1001,-708),IF(2292&lt;=5000,INDEX($E$2:$E$1001,-1708),"")))))</f>
        <v/>
      </c>
    </row>
    <row r="2294">
      <c r="G2294">
        <f>IF(2293&lt;=1000,INDEX($A$2:$A$1001,2293),IF(2293&lt;=2000,INDEX($B$2:$B$1001,1293),IF(2293&lt;=3000,INDEX($C$2:$C$1001,293),IF(2293&lt;=4000,INDEX($D$2:$D$1001,-707),IF(2293&lt;=5000,INDEX($E$2:$E$1001,-1707),"")))))</f>
        <v/>
      </c>
    </row>
    <row r="2295">
      <c r="G2295">
        <f>IF(2294&lt;=1000,INDEX($A$2:$A$1001,2294),IF(2294&lt;=2000,INDEX($B$2:$B$1001,1294),IF(2294&lt;=3000,INDEX($C$2:$C$1001,294),IF(2294&lt;=4000,INDEX($D$2:$D$1001,-706),IF(2294&lt;=5000,INDEX($E$2:$E$1001,-1706),"")))))</f>
        <v/>
      </c>
    </row>
    <row r="2296">
      <c r="G2296">
        <f>IF(2295&lt;=1000,INDEX($A$2:$A$1001,2295),IF(2295&lt;=2000,INDEX($B$2:$B$1001,1295),IF(2295&lt;=3000,INDEX($C$2:$C$1001,295),IF(2295&lt;=4000,INDEX($D$2:$D$1001,-705),IF(2295&lt;=5000,INDEX($E$2:$E$1001,-1705),"")))))</f>
        <v/>
      </c>
    </row>
    <row r="2297">
      <c r="G2297">
        <f>IF(2296&lt;=1000,INDEX($A$2:$A$1001,2296),IF(2296&lt;=2000,INDEX($B$2:$B$1001,1296),IF(2296&lt;=3000,INDEX($C$2:$C$1001,296),IF(2296&lt;=4000,INDEX($D$2:$D$1001,-704),IF(2296&lt;=5000,INDEX($E$2:$E$1001,-1704),"")))))</f>
        <v/>
      </c>
    </row>
    <row r="2298">
      <c r="G2298">
        <f>IF(2297&lt;=1000,INDEX($A$2:$A$1001,2297),IF(2297&lt;=2000,INDEX($B$2:$B$1001,1297),IF(2297&lt;=3000,INDEX($C$2:$C$1001,297),IF(2297&lt;=4000,INDEX($D$2:$D$1001,-703),IF(2297&lt;=5000,INDEX($E$2:$E$1001,-1703),"")))))</f>
        <v/>
      </c>
    </row>
    <row r="2299">
      <c r="G2299">
        <f>IF(2298&lt;=1000,INDEX($A$2:$A$1001,2298),IF(2298&lt;=2000,INDEX($B$2:$B$1001,1298),IF(2298&lt;=3000,INDEX($C$2:$C$1001,298),IF(2298&lt;=4000,INDEX($D$2:$D$1001,-702),IF(2298&lt;=5000,INDEX($E$2:$E$1001,-1702),"")))))</f>
        <v/>
      </c>
    </row>
    <row r="2300">
      <c r="G2300">
        <f>IF(2299&lt;=1000,INDEX($A$2:$A$1001,2299),IF(2299&lt;=2000,INDEX($B$2:$B$1001,1299),IF(2299&lt;=3000,INDEX($C$2:$C$1001,299),IF(2299&lt;=4000,INDEX($D$2:$D$1001,-701),IF(2299&lt;=5000,INDEX($E$2:$E$1001,-1701),"")))))</f>
        <v/>
      </c>
    </row>
    <row r="2301">
      <c r="G2301">
        <f>IF(2300&lt;=1000,INDEX($A$2:$A$1001,2300),IF(2300&lt;=2000,INDEX($B$2:$B$1001,1300),IF(2300&lt;=3000,INDEX($C$2:$C$1001,300),IF(2300&lt;=4000,INDEX($D$2:$D$1001,-700),IF(2300&lt;=5000,INDEX($E$2:$E$1001,-1700),"")))))</f>
        <v/>
      </c>
    </row>
    <row r="2302">
      <c r="G2302">
        <f>IF(2301&lt;=1000,INDEX($A$2:$A$1001,2301),IF(2301&lt;=2000,INDEX($B$2:$B$1001,1301),IF(2301&lt;=3000,INDEX($C$2:$C$1001,301),IF(2301&lt;=4000,INDEX($D$2:$D$1001,-699),IF(2301&lt;=5000,INDEX($E$2:$E$1001,-1699),"")))))</f>
        <v/>
      </c>
    </row>
    <row r="2303">
      <c r="G2303">
        <f>IF(2302&lt;=1000,INDEX($A$2:$A$1001,2302),IF(2302&lt;=2000,INDEX($B$2:$B$1001,1302),IF(2302&lt;=3000,INDEX($C$2:$C$1001,302),IF(2302&lt;=4000,INDEX($D$2:$D$1001,-698),IF(2302&lt;=5000,INDEX($E$2:$E$1001,-1698),"")))))</f>
        <v/>
      </c>
    </row>
    <row r="2304">
      <c r="G2304">
        <f>IF(2303&lt;=1000,INDEX($A$2:$A$1001,2303),IF(2303&lt;=2000,INDEX($B$2:$B$1001,1303),IF(2303&lt;=3000,INDEX($C$2:$C$1001,303),IF(2303&lt;=4000,INDEX($D$2:$D$1001,-697),IF(2303&lt;=5000,INDEX($E$2:$E$1001,-1697),"")))))</f>
        <v/>
      </c>
    </row>
    <row r="2305">
      <c r="G2305">
        <f>IF(2304&lt;=1000,INDEX($A$2:$A$1001,2304),IF(2304&lt;=2000,INDEX($B$2:$B$1001,1304),IF(2304&lt;=3000,INDEX($C$2:$C$1001,304),IF(2304&lt;=4000,INDEX($D$2:$D$1001,-696),IF(2304&lt;=5000,INDEX($E$2:$E$1001,-1696),"")))))</f>
        <v/>
      </c>
    </row>
    <row r="2306">
      <c r="G2306">
        <f>IF(2305&lt;=1000,INDEX($A$2:$A$1001,2305),IF(2305&lt;=2000,INDEX($B$2:$B$1001,1305),IF(2305&lt;=3000,INDEX($C$2:$C$1001,305),IF(2305&lt;=4000,INDEX($D$2:$D$1001,-695),IF(2305&lt;=5000,INDEX($E$2:$E$1001,-1695),"")))))</f>
        <v/>
      </c>
    </row>
    <row r="2307">
      <c r="G2307">
        <f>IF(2306&lt;=1000,INDEX($A$2:$A$1001,2306),IF(2306&lt;=2000,INDEX($B$2:$B$1001,1306),IF(2306&lt;=3000,INDEX($C$2:$C$1001,306),IF(2306&lt;=4000,INDEX($D$2:$D$1001,-694),IF(2306&lt;=5000,INDEX($E$2:$E$1001,-1694),"")))))</f>
        <v/>
      </c>
    </row>
    <row r="2308">
      <c r="G2308">
        <f>IF(2307&lt;=1000,INDEX($A$2:$A$1001,2307),IF(2307&lt;=2000,INDEX($B$2:$B$1001,1307),IF(2307&lt;=3000,INDEX($C$2:$C$1001,307),IF(2307&lt;=4000,INDEX($D$2:$D$1001,-693),IF(2307&lt;=5000,INDEX($E$2:$E$1001,-1693),"")))))</f>
        <v/>
      </c>
    </row>
    <row r="2309">
      <c r="G2309">
        <f>IF(2308&lt;=1000,INDEX($A$2:$A$1001,2308),IF(2308&lt;=2000,INDEX($B$2:$B$1001,1308),IF(2308&lt;=3000,INDEX($C$2:$C$1001,308),IF(2308&lt;=4000,INDEX($D$2:$D$1001,-692),IF(2308&lt;=5000,INDEX($E$2:$E$1001,-1692),"")))))</f>
        <v/>
      </c>
    </row>
    <row r="2310">
      <c r="G2310">
        <f>IF(2309&lt;=1000,INDEX($A$2:$A$1001,2309),IF(2309&lt;=2000,INDEX($B$2:$B$1001,1309),IF(2309&lt;=3000,INDEX($C$2:$C$1001,309),IF(2309&lt;=4000,INDEX($D$2:$D$1001,-691),IF(2309&lt;=5000,INDEX($E$2:$E$1001,-1691),"")))))</f>
        <v/>
      </c>
    </row>
    <row r="2311">
      <c r="G2311">
        <f>IF(2310&lt;=1000,INDEX($A$2:$A$1001,2310),IF(2310&lt;=2000,INDEX($B$2:$B$1001,1310),IF(2310&lt;=3000,INDEX($C$2:$C$1001,310),IF(2310&lt;=4000,INDEX($D$2:$D$1001,-690),IF(2310&lt;=5000,INDEX($E$2:$E$1001,-1690),"")))))</f>
        <v/>
      </c>
    </row>
    <row r="2312">
      <c r="G2312">
        <f>IF(2311&lt;=1000,INDEX($A$2:$A$1001,2311),IF(2311&lt;=2000,INDEX($B$2:$B$1001,1311),IF(2311&lt;=3000,INDEX($C$2:$C$1001,311),IF(2311&lt;=4000,INDEX($D$2:$D$1001,-689),IF(2311&lt;=5000,INDEX($E$2:$E$1001,-1689),"")))))</f>
        <v/>
      </c>
    </row>
    <row r="2313">
      <c r="G2313">
        <f>IF(2312&lt;=1000,INDEX($A$2:$A$1001,2312),IF(2312&lt;=2000,INDEX($B$2:$B$1001,1312),IF(2312&lt;=3000,INDEX($C$2:$C$1001,312),IF(2312&lt;=4000,INDEX($D$2:$D$1001,-688),IF(2312&lt;=5000,INDEX($E$2:$E$1001,-1688),"")))))</f>
        <v/>
      </c>
    </row>
    <row r="2314">
      <c r="G2314">
        <f>IF(2313&lt;=1000,INDEX($A$2:$A$1001,2313),IF(2313&lt;=2000,INDEX($B$2:$B$1001,1313),IF(2313&lt;=3000,INDEX($C$2:$C$1001,313),IF(2313&lt;=4000,INDEX($D$2:$D$1001,-687),IF(2313&lt;=5000,INDEX($E$2:$E$1001,-1687),"")))))</f>
        <v/>
      </c>
    </row>
    <row r="2315">
      <c r="G2315">
        <f>IF(2314&lt;=1000,INDEX($A$2:$A$1001,2314),IF(2314&lt;=2000,INDEX($B$2:$B$1001,1314),IF(2314&lt;=3000,INDEX($C$2:$C$1001,314),IF(2314&lt;=4000,INDEX($D$2:$D$1001,-686),IF(2314&lt;=5000,INDEX($E$2:$E$1001,-1686),"")))))</f>
        <v/>
      </c>
    </row>
    <row r="2316">
      <c r="G2316">
        <f>IF(2315&lt;=1000,INDEX($A$2:$A$1001,2315),IF(2315&lt;=2000,INDEX($B$2:$B$1001,1315),IF(2315&lt;=3000,INDEX($C$2:$C$1001,315),IF(2315&lt;=4000,INDEX($D$2:$D$1001,-685),IF(2315&lt;=5000,INDEX($E$2:$E$1001,-1685),"")))))</f>
        <v/>
      </c>
    </row>
    <row r="2317">
      <c r="G2317">
        <f>IF(2316&lt;=1000,INDEX($A$2:$A$1001,2316),IF(2316&lt;=2000,INDEX($B$2:$B$1001,1316),IF(2316&lt;=3000,INDEX($C$2:$C$1001,316),IF(2316&lt;=4000,INDEX($D$2:$D$1001,-684),IF(2316&lt;=5000,INDEX($E$2:$E$1001,-1684),"")))))</f>
        <v/>
      </c>
    </row>
    <row r="2318">
      <c r="G2318">
        <f>IF(2317&lt;=1000,INDEX($A$2:$A$1001,2317),IF(2317&lt;=2000,INDEX($B$2:$B$1001,1317),IF(2317&lt;=3000,INDEX($C$2:$C$1001,317),IF(2317&lt;=4000,INDEX($D$2:$D$1001,-683),IF(2317&lt;=5000,INDEX($E$2:$E$1001,-1683),"")))))</f>
        <v/>
      </c>
    </row>
    <row r="2319">
      <c r="G2319">
        <f>IF(2318&lt;=1000,INDEX($A$2:$A$1001,2318),IF(2318&lt;=2000,INDEX($B$2:$B$1001,1318),IF(2318&lt;=3000,INDEX($C$2:$C$1001,318),IF(2318&lt;=4000,INDEX($D$2:$D$1001,-682),IF(2318&lt;=5000,INDEX($E$2:$E$1001,-1682),"")))))</f>
        <v/>
      </c>
    </row>
    <row r="2320">
      <c r="G2320">
        <f>IF(2319&lt;=1000,INDEX($A$2:$A$1001,2319),IF(2319&lt;=2000,INDEX($B$2:$B$1001,1319),IF(2319&lt;=3000,INDEX($C$2:$C$1001,319),IF(2319&lt;=4000,INDEX($D$2:$D$1001,-681),IF(2319&lt;=5000,INDEX($E$2:$E$1001,-1681),"")))))</f>
        <v/>
      </c>
    </row>
    <row r="2321">
      <c r="G2321">
        <f>IF(2320&lt;=1000,INDEX($A$2:$A$1001,2320),IF(2320&lt;=2000,INDEX($B$2:$B$1001,1320),IF(2320&lt;=3000,INDEX($C$2:$C$1001,320),IF(2320&lt;=4000,INDEX($D$2:$D$1001,-680),IF(2320&lt;=5000,INDEX($E$2:$E$1001,-1680),"")))))</f>
        <v/>
      </c>
    </row>
    <row r="2322">
      <c r="G2322">
        <f>IF(2321&lt;=1000,INDEX($A$2:$A$1001,2321),IF(2321&lt;=2000,INDEX($B$2:$B$1001,1321),IF(2321&lt;=3000,INDEX($C$2:$C$1001,321),IF(2321&lt;=4000,INDEX($D$2:$D$1001,-679),IF(2321&lt;=5000,INDEX($E$2:$E$1001,-1679),"")))))</f>
        <v/>
      </c>
    </row>
    <row r="2323">
      <c r="G2323">
        <f>IF(2322&lt;=1000,INDEX($A$2:$A$1001,2322),IF(2322&lt;=2000,INDEX($B$2:$B$1001,1322),IF(2322&lt;=3000,INDEX($C$2:$C$1001,322),IF(2322&lt;=4000,INDEX($D$2:$D$1001,-678),IF(2322&lt;=5000,INDEX($E$2:$E$1001,-1678),"")))))</f>
        <v/>
      </c>
    </row>
    <row r="2324">
      <c r="G2324">
        <f>IF(2323&lt;=1000,INDEX($A$2:$A$1001,2323),IF(2323&lt;=2000,INDEX($B$2:$B$1001,1323),IF(2323&lt;=3000,INDEX($C$2:$C$1001,323),IF(2323&lt;=4000,INDEX($D$2:$D$1001,-677),IF(2323&lt;=5000,INDEX($E$2:$E$1001,-1677),"")))))</f>
        <v/>
      </c>
    </row>
    <row r="2325">
      <c r="G2325">
        <f>IF(2324&lt;=1000,INDEX($A$2:$A$1001,2324),IF(2324&lt;=2000,INDEX($B$2:$B$1001,1324),IF(2324&lt;=3000,INDEX($C$2:$C$1001,324),IF(2324&lt;=4000,INDEX($D$2:$D$1001,-676),IF(2324&lt;=5000,INDEX($E$2:$E$1001,-1676),"")))))</f>
        <v/>
      </c>
    </row>
    <row r="2326">
      <c r="G2326">
        <f>IF(2325&lt;=1000,INDEX($A$2:$A$1001,2325),IF(2325&lt;=2000,INDEX($B$2:$B$1001,1325),IF(2325&lt;=3000,INDEX($C$2:$C$1001,325),IF(2325&lt;=4000,INDEX($D$2:$D$1001,-675),IF(2325&lt;=5000,INDEX($E$2:$E$1001,-1675),"")))))</f>
        <v/>
      </c>
    </row>
    <row r="2327">
      <c r="G2327">
        <f>IF(2326&lt;=1000,INDEX($A$2:$A$1001,2326),IF(2326&lt;=2000,INDEX($B$2:$B$1001,1326),IF(2326&lt;=3000,INDEX($C$2:$C$1001,326),IF(2326&lt;=4000,INDEX($D$2:$D$1001,-674),IF(2326&lt;=5000,INDEX($E$2:$E$1001,-1674),"")))))</f>
        <v/>
      </c>
    </row>
    <row r="2328">
      <c r="G2328">
        <f>IF(2327&lt;=1000,INDEX($A$2:$A$1001,2327),IF(2327&lt;=2000,INDEX($B$2:$B$1001,1327),IF(2327&lt;=3000,INDEX($C$2:$C$1001,327),IF(2327&lt;=4000,INDEX($D$2:$D$1001,-673),IF(2327&lt;=5000,INDEX($E$2:$E$1001,-1673),"")))))</f>
        <v/>
      </c>
    </row>
    <row r="2329">
      <c r="G2329">
        <f>IF(2328&lt;=1000,INDEX($A$2:$A$1001,2328),IF(2328&lt;=2000,INDEX($B$2:$B$1001,1328),IF(2328&lt;=3000,INDEX($C$2:$C$1001,328),IF(2328&lt;=4000,INDEX($D$2:$D$1001,-672),IF(2328&lt;=5000,INDEX($E$2:$E$1001,-1672),"")))))</f>
        <v/>
      </c>
    </row>
    <row r="2330">
      <c r="G2330">
        <f>IF(2329&lt;=1000,INDEX($A$2:$A$1001,2329),IF(2329&lt;=2000,INDEX($B$2:$B$1001,1329),IF(2329&lt;=3000,INDEX($C$2:$C$1001,329),IF(2329&lt;=4000,INDEX($D$2:$D$1001,-671),IF(2329&lt;=5000,INDEX($E$2:$E$1001,-1671),"")))))</f>
        <v/>
      </c>
    </row>
    <row r="2331">
      <c r="G2331">
        <f>IF(2330&lt;=1000,INDEX($A$2:$A$1001,2330),IF(2330&lt;=2000,INDEX($B$2:$B$1001,1330),IF(2330&lt;=3000,INDEX($C$2:$C$1001,330),IF(2330&lt;=4000,INDEX($D$2:$D$1001,-670),IF(2330&lt;=5000,INDEX($E$2:$E$1001,-1670),"")))))</f>
        <v/>
      </c>
    </row>
    <row r="2332">
      <c r="G2332">
        <f>IF(2331&lt;=1000,INDEX($A$2:$A$1001,2331),IF(2331&lt;=2000,INDEX($B$2:$B$1001,1331),IF(2331&lt;=3000,INDEX($C$2:$C$1001,331),IF(2331&lt;=4000,INDEX($D$2:$D$1001,-669),IF(2331&lt;=5000,INDEX($E$2:$E$1001,-1669),"")))))</f>
        <v/>
      </c>
    </row>
    <row r="2333">
      <c r="G2333">
        <f>IF(2332&lt;=1000,INDEX($A$2:$A$1001,2332),IF(2332&lt;=2000,INDEX($B$2:$B$1001,1332),IF(2332&lt;=3000,INDEX($C$2:$C$1001,332),IF(2332&lt;=4000,INDEX($D$2:$D$1001,-668),IF(2332&lt;=5000,INDEX($E$2:$E$1001,-1668),"")))))</f>
        <v/>
      </c>
    </row>
    <row r="2334">
      <c r="G2334">
        <f>IF(2333&lt;=1000,INDEX($A$2:$A$1001,2333),IF(2333&lt;=2000,INDEX($B$2:$B$1001,1333),IF(2333&lt;=3000,INDEX($C$2:$C$1001,333),IF(2333&lt;=4000,INDEX($D$2:$D$1001,-667),IF(2333&lt;=5000,INDEX($E$2:$E$1001,-1667),"")))))</f>
        <v/>
      </c>
    </row>
    <row r="2335">
      <c r="G2335">
        <f>IF(2334&lt;=1000,INDEX($A$2:$A$1001,2334),IF(2334&lt;=2000,INDEX($B$2:$B$1001,1334),IF(2334&lt;=3000,INDEX($C$2:$C$1001,334),IF(2334&lt;=4000,INDEX($D$2:$D$1001,-666),IF(2334&lt;=5000,INDEX($E$2:$E$1001,-1666),"")))))</f>
        <v/>
      </c>
    </row>
    <row r="2336">
      <c r="G2336">
        <f>IF(2335&lt;=1000,INDEX($A$2:$A$1001,2335),IF(2335&lt;=2000,INDEX($B$2:$B$1001,1335),IF(2335&lt;=3000,INDEX($C$2:$C$1001,335),IF(2335&lt;=4000,INDEX($D$2:$D$1001,-665),IF(2335&lt;=5000,INDEX($E$2:$E$1001,-1665),"")))))</f>
        <v/>
      </c>
    </row>
    <row r="2337">
      <c r="G2337">
        <f>IF(2336&lt;=1000,INDEX($A$2:$A$1001,2336),IF(2336&lt;=2000,INDEX($B$2:$B$1001,1336),IF(2336&lt;=3000,INDEX($C$2:$C$1001,336),IF(2336&lt;=4000,INDEX($D$2:$D$1001,-664),IF(2336&lt;=5000,INDEX($E$2:$E$1001,-1664),"")))))</f>
        <v/>
      </c>
    </row>
    <row r="2338">
      <c r="G2338">
        <f>IF(2337&lt;=1000,INDEX($A$2:$A$1001,2337),IF(2337&lt;=2000,INDEX($B$2:$B$1001,1337),IF(2337&lt;=3000,INDEX($C$2:$C$1001,337),IF(2337&lt;=4000,INDEX($D$2:$D$1001,-663),IF(2337&lt;=5000,INDEX($E$2:$E$1001,-1663),"")))))</f>
        <v/>
      </c>
    </row>
    <row r="2339">
      <c r="G2339">
        <f>IF(2338&lt;=1000,INDEX($A$2:$A$1001,2338),IF(2338&lt;=2000,INDEX($B$2:$B$1001,1338),IF(2338&lt;=3000,INDEX($C$2:$C$1001,338),IF(2338&lt;=4000,INDEX($D$2:$D$1001,-662),IF(2338&lt;=5000,INDEX($E$2:$E$1001,-1662),"")))))</f>
        <v/>
      </c>
    </row>
    <row r="2340">
      <c r="G2340">
        <f>IF(2339&lt;=1000,INDEX($A$2:$A$1001,2339),IF(2339&lt;=2000,INDEX($B$2:$B$1001,1339),IF(2339&lt;=3000,INDEX($C$2:$C$1001,339),IF(2339&lt;=4000,INDEX($D$2:$D$1001,-661),IF(2339&lt;=5000,INDEX($E$2:$E$1001,-1661),"")))))</f>
        <v/>
      </c>
    </row>
    <row r="2341">
      <c r="G2341">
        <f>IF(2340&lt;=1000,INDEX($A$2:$A$1001,2340),IF(2340&lt;=2000,INDEX($B$2:$B$1001,1340),IF(2340&lt;=3000,INDEX($C$2:$C$1001,340),IF(2340&lt;=4000,INDEX($D$2:$D$1001,-660),IF(2340&lt;=5000,INDEX($E$2:$E$1001,-1660),"")))))</f>
        <v/>
      </c>
    </row>
    <row r="2342">
      <c r="G2342">
        <f>IF(2341&lt;=1000,INDEX($A$2:$A$1001,2341),IF(2341&lt;=2000,INDEX($B$2:$B$1001,1341),IF(2341&lt;=3000,INDEX($C$2:$C$1001,341),IF(2341&lt;=4000,INDEX($D$2:$D$1001,-659),IF(2341&lt;=5000,INDEX($E$2:$E$1001,-1659),"")))))</f>
        <v/>
      </c>
    </row>
    <row r="2343">
      <c r="G2343">
        <f>IF(2342&lt;=1000,INDEX($A$2:$A$1001,2342),IF(2342&lt;=2000,INDEX($B$2:$B$1001,1342),IF(2342&lt;=3000,INDEX($C$2:$C$1001,342),IF(2342&lt;=4000,INDEX($D$2:$D$1001,-658),IF(2342&lt;=5000,INDEX($E$2:$E$1001,-1658),"")))))</f>
        <v/>
      </c>
    </row>
    <row r="2344">
      <c r="G2344">
        <f>IF(2343&lt;=1000,INDEX($A$2:$A$1001,2343),IF(2343&lt;=2000,INDEX($B$2:$B$1001,1343),IF(2343&lt;=3000,INDEX($C$2:$C$1001,343),IF(2343&lt;=4000,INDEX($D$2:$D$1001,-657),IF(2343&lt;=5000,INDEX($E$2:$E$1001,-1657),"")))))</f>
        <v/>
      </c>
    </row>
    <row r="2345">
      <c r="G2345">
        <f>IF(2344&lt;=1000,INDEX($A$2:$A$1001,2344),IF(2344&lt;=2000,INDEX($B$2:$B$1001,1344),IF(2344&lt;=3000,INDEX($C$2:$C$1001,344),IF(2344&lt;=4000,INDEX($D$2:$D$1001,-656),IF(2344&lt;=5000,INDEX($E$2:$E$1001,-1656),"")))))</f>
        <v/>
      </c>
    </row>
    <row r="2346">
      <c r="G2346">
        <f>IF(2345&lt;=1000,INDEX($A$2:$A$1001,2345),IF(2345&lt;=2000,INDEX($B$2:$B$1001,1345),IF(2345&lt;=3000,INDEX($C$2:$C$1001,345),IF(2345&lt;=4000,INDEX($D$2:$D$1001,-655),IF(2345&lt;=5000,INDEX($E$2:$E$1001,-1655),"")))))</f>
        <v/>
      </c>
    </row>
    <row r="2347">
      <c r="G2347">
        <f>IF(2346&lt;=1000,INDEX($A$2:$A$1001,2346),IF(2346&lt;=2000,INDEX($B$2:$B$1001,1346),IF(2346&lt;=3000,INDEX($C$2:$C$1001,346),IF(2346&lt;=4000,INDEX($D$2:$D$1001,-654),IF(2346&lt;=5000,INDEX($E$2:$E$1001,-1654),"")))))</f>
        <v/>
      </c>
    </row>
    <row r="2348">
      <c r="G2348">
        <f>IF(2347&lt;=1000,INDEX($A$2:$A$1001,2347),IF(2347&lt;=2000,INDEX($B$2:$B$1001,1347),IF(2347&lt;=3000,INDEX($C$2:$C$1001,347),IF(2347&lt;=4000,INDEX($D$2:$D$1001,-653),IF(2347&lt;=5000,INDEX($E$2:$E$1001,-1653),"")))))</f>
        <v/>
      </c>
    </row>
    <row r="2349">
      <c r="G2349">
        <f>IF(2348&lt;=1000,INDEX($A$2:$A$1001,2348),IF(2348&lt;=2000,INDEX($B$2:$B$1001,1348),IF(2348&lt;=3000,INDEX($C$2:$C$1001,348),IF(2348&lt;=4000,INDEX($D$2:$D$1001,-652),IF(2348&lt;=5000,INDEX($E$2:$E$1001,-1652),"")))))</f>
        <v/>
      </c>
    </row>
    <row r="2350">
      <c r="G2350">
        <f>IF(2349&lt;=1000,INDEX($A$2:$A$1001,2349),IF(2349&lt;=2000,INDEX($B$2:$B$1001,1349),IF(2349&lt;=3000,INDEX($C$2:$C$1001,349),IF(2349&lt;=4000,INDEX($D$2:$D$1001,-651),IF(2349&lt;=5000,INDEX($E$2:$E$1001,-1651),"")))))</f>
        <v/>
      </c>
    </row>
    <row r="2351">
      <c r="G2351">
        <f>IF(2350&lt;=1000,INDEX($A$2:$A$1001,2350),IF(2350&lt;=2000,INDEX($B$2:$B$1001,1350),IF(2350&lt;=3000,INDEX($C$2:$C$1001,350),IF(2350&lt;=4000,INDEX($D$2:$D$1001,-650),IF(2350&lt;=5000,INDEX($E$2:$E$1001,-1650),"")))))</f>
        <v/>
      </c>
    </row>
    <row r="2352">
      <c r="G2352">
        <f>IF(2351&lt;=1000,INDEX($A$2:$A$1001,2351),IF(2351&lt;=2000,INDEX($B$2:$B$1001,1351),IF(2351&lt;=3000,INDEX($C$2:$C$1001,351),IF(2351&lt;=4000,INDEX($D$2:$D$1001,-649),IF(2351&lt;=5000,INDEX($E$2:$E$1001,-1649),"")))))</f>
        <v/>
      </c>
    </row>
    <row r="2353">
      <c r="G2353">
        <f>IF(2352&lt;=1000,INDEX($A$2:$A$1001,2352),IF(2352&lt;=2000,INDEX($B$2:$B$1001,1352),IF(2352&lt;=3000,INDEX($C$2:$C$1001,352),IF(2352&lt;=4000,INDEX($D$2:$D$1001,-648),IF(2352&lt;=5000,INDEX($E$2:$E$1001,-1648),"")))))</f>
        <v/>
      </c>
    </row>
    <row r="2354">
      <c r="G2354">
        <f>IF(2353&lt;=1000,INDEX($A$2:$A$1001,2353),IF(2353&lt;=2000,INDEX($B$2:$B$1001,1353),IF(2353&lt;=3000,INDEX($C$2:$C$1001,353),IF(2353&lt;=4000,INDEX($D$2:$D$1001,-647),IF(2353&lt;=5000,INDEX($E$2:$E$1001,-1647),"")))))</f>
        <v/>
      </c>
    </row>
    <row r="2355">
      <c r="G2355">
        <f>IF(2354&lt;=1000,INDEX($A$2:$A$1001,2354),IF(2354&lt;=2000,INDEX($B$2:$B$1001,1354),IF(2354&lt;=3000,INDEX($C$2:$C$1001,354),IF(2354&lt;=4000,INDEX($D$2:$D$1001,-646),IF(2354&lt;=5000,INDEX($E$2:$E$1001,-1646),"")))))</f>
        <v/>
      </c>
    </row>
    <row r="2356">
      <c r="G2356">
        <f>IF(2355&lt;=1000,INDEX($A$2:$A$1001,2355),IF(2355&lt;=2000,INDEX($B$2:$B$1001,1355),IF(2355&lt;=3000,INDEX($C$2:$C$1001,355),IF(2355&lt;=4000,INDEX($D$2:$D$1001,-645),IF(2355&lt;=5000,INDEX($E$2:$E$1001,-1645),"")))))</f>
        <v/>
      </c>
    </row>
    <row r="2357">
      <c r="G2357">
        <f>IF(2356&lt;=1000,INDEX($A$2:$A$1001,2356),IF(2356&lt;=2000,INDEX($B$2:$B$1001,1356),IF(2356&lt;=3000,INDEX($C$2:$C$1001,356),IF(2356&lt;=4000,INDEX($D$2:$D$1001,-644),IF(2356&lt;=5000,INDEX($E$2:$E$1001,-1644),"")))))</f>
        <v/>
      </c>
    </row>
    <row r="2358">
      <c r="G2358">
        <f>IF(2357&lt;=1000,INDEX($A$2:$A$1001,2357),IF(2357&lt;=2000,INDEX($B$2:$B$1001,1357),IF(2357&lt;=3000,INDEX($C$2:$C$1001,357),IF(2357&lt;=4000,INDEX($D$2:$D$1001,-643),IF(2357&lt;=5000,INDEX($E$2:$E$1001,-1643),"")))))</f>
        <v/>
      </c>
    </row>
    <row r="2359">
      <c r="G2359">
        <f>IF(2358&lt;=1000,INDEX($A$2:$A$1001,2358),IF(2358&lt;=2000,INDEX($B$2:$B$1001,1358),IF(2358&lt;=3000,INDEX($C$2:$C$1001,358),IF(2358&lt;=4000,INDEX($D$2:$D$1001,-642),IF(2358&lt;=5000,INDEX($E$2:$E$1001,-1642),"")))))</f>
        <v/>
      </c>
    </row>
    <row r="2360">
      <c r="G2360">
        <f>IF(2359&lt;=1000,INDEX($A$2:$A$1001,2359),IF(2359&lt;=2000,INDEX($B$2:$B$1001,1359),IF(2359&lt;=3000,INDEX($C$2:$C$1001,359),IF(2359&lt;=4000,INDEX($D$2:$D$1001,-641),IF(2359&lt;=5000,INDEX($E$2:$E$1001,-1641),"")))))</f>
        <v/>
      </c>
    </row>
    <row r="2361">
      <c r="G2361">
        <f>IF(2360&lt;=1000,INDEX($A$2:$A$1001,2360),IF(2360&lt;=2000,INDEX($B$2:$B$1001,1360),IF(2360&lt;=3000,INDEX($C$2:$C$1001,360),IF(2360&lt;=4000,INDEX($D$2:$D$1001,-640),IF(2360&lt;=5000,INDEX($E$2:$E$1001,-1640),"")))))</f>
        <v/>
      </c>
    </row>
    <row r="2362">
      <c r="G2362">
        <f>IF(2361&lt;=1000,INDEX($A$2:$A$1001,2361),IF(2361&lt;=2000,INDEX($B$2:$B$1001,1361),IF(2361&lt;=3000,INDEX($C$2:$C$1001,361),IF(2361&lt;=4000,INDEX($D$2:$D$1001,-639),IF(2361&lt;=5000,INDEX($E$2:$E$1001,-1639),"")))))</f>
        <v/>
      </c>
    </row>
    <row r="2363">
      <c r="G2363">
        <f>IF(2362&lt;=1000,INDEX($A$2:$A$1001,2362),IF(2362&lt;=2000,INDEX($B$2:$B$1001,1362),IF(2362&lt;=3000,INDEX($C$2:$C$1001,362),IF(2362&lt;=4000,INDEX($D$2:$D$1001,-638),IF(2362&lt;=5000,INDEX($E$2:$E$1001,-1638),"")))))</f>
        <v/>
      </c>
    </row>
    <row r="2364">
      <c r="G2364">
        <f>IF(2363&lt;=1000,INDEX($A$2:$A$1001,2363),IF(2363&lt;=2000,INDEX($B$2:$B$1001,1363),IF(2363&lt;=3000,INDEX($C$2:$C$1001,363),IF(2363&lt;=4000,INDEX($D$2:$D$1001,-637),IF(2363&lt;=5000,INDEX($E$2:$E$1001,-1637),"")))))</f>
        <v/>
      </c>
    </row>
    <row r="2365">
      <c r="G2365">
        <f>IF(2364&lt;=1000,INDEX($A$2:$A$1001,2364),IF(2364&lt;=2000,INDEX($B$2:$B$1001,1364),IF(2364&lt;=3000,INDEX($C$2:$C$1001,364),IF(2364&lt;=4000,INDEX($D$2:$D$1001,-636),IF(2364&lt;=5000,INDEX($E$2:$E$1001,-1636),"")))))</f>
        <v/>
      </c>
    </row>
    <row r="2366">
      <c r="G2366">
        <f>IF(2365&lt;=1000,INDEX($A$2:$A$1001,2365),IF(2365&lt;=2000,INDEX($B$2:$B$1001,1365),IF(2365&lt;=3000,INDEX($C$2:$C$1001,365),IF(2365&lt;=4000,INDEX($D$2:$D$1001,-635),IF(2365&lt;=5000,INDEX($E$2:$E$1001,-1635),"")))))</f>
        <v/>
      </c>
    </row>
    <row r="2367">
      <c r="G2367">
        <f>IF(2366&lt;=1000,INDEX($A$2:$A$1001,2366),IF(2366&lt;=2000,INDEX($B$2:$B$1001,1366),IF(2366&lt;=3000,INDEX($C$2:$C$1001,366),IF(2366&lt;=4000,INDEX($D$2:$D$1001,-634),IF(2366&lt;=5000,INDEX($E$2:$E$1001,-1634),"")))))</f>
        <v/>
      </c>
    </row>
    <row r="2368">
      <c r="G2368">
        <f>IF(2367&lt;=1000,INDEX($A$2:$A$1001,2367),IF(2367&lt;=2000,INDEX($B$2:$B$1001,1367),IF(2367&lt;=3000,INDEX($C$2:$C$1001,367),IF(2367&lt;=4000,INDEX($D$2:$D$1001,-633),IF(2367&lt;=5000,INDEX($E$2:$E$1001,-1633),"")))))</f>
        <v/>
      </c>
    </row>
    <row r="2369">
      <c r="G2369">
        <f>IF(2368&lt;=1000,INDEX($A$2:$A$1001,2368),IF(2368&lt;=2000,INDEX($B$2:$B$1001,1368),IF(2368&lt;=3000,INDEX($C$2:$C$1001,368),IF(2368&lt;=4000,INDEX($D$2:$D$1001,-632),IF(2368&lt;=5000,INDEX($E$2:$E$1001,-1632),"")))))</f>
        <v/>
      </c>
    </row>
    <row r="2370">
      <c r="G2370">
        <f>IF(2369&lt;=1000,INDEX($A$2:$A$1001,2369),IF(2369&lt;=2000,INDEX($B$2:$B$1001,1369),IF(2369&lt;=3000,INDEX($C$2:$C$1001,369),IF(2369&lt;=4000,INDEX($D$2:$D$1001,-631),IF(2369&lt;=5000,INDEX($E$2:$E$1001,-1631),"")))))</f>
        <v/>
      </c>
    </row>
    <row r="2371">
      <c r="G2371">
        <f>IF(2370&lt;=1000,INDEX($A$2:$A$1001,2370),IF(2370&lt;=2000,INDEX($B$2:$B$1001,1370),IF(2370&lt;=3000,INDEX($C$2:$C$1001,370),IF(2370&lt;=4000,INDEX($D$2:$D$1001,-630),IF(2370&lt;=5000,INDEX($E$2:$E$1001,-1630),"")))))</f>
        <v/>
      </c>
    </row>
    <row r="2372">
      <c r="G2372">
        <f>IF(2371&lt;=1000,INDEX($A$2:$A$1001,2371),IF(2371&lt;=2000,INDEX($B$2:$B$1001,1371),IF(2371&lt;=3000,INDEX($C$2:$C$1001,371),IF(2371&lt;=4000,INDEX($D$2:$D$1001,-629),IF(2371&lt;=5000,INDEX($E$2:$E$1001,-1629),"")))))</f>
        <v/>
      </c>
    </row>
    <row r="2373">
      <c r="G2373">
        <f>IF(2372&lt;=1000,INDEX($A$2:$A$1001,2372),IF(2372&lt;=2000,INDEX($B$2:$B$1001,1372),IF(2372&lt;=3000,INDEX($C$2:$C$1001,372),IF(2372&lt;=4000,INDEX($D$2:$D$1001,-628),IF(2372&lt;=5000,INDEX($E$2:$E$1001,-1628),"")))))</f>
        <v/>
      </c>
    </row>
    <row r="2374">
      <c r="G2374">
        <f>IF(2373&lt;=1000,INDEX($A$2:$A$1001,2373),IF(2373&lt;=2000,INDEX($B$2:$B$1001,1373),IF(2373&lt;=3000,INDEX($C$2:$C$1001,373),IF(2373&lt;=4000,INDEX($D$2:$D$1001,-627),IF(2373&lt;=5000,INDEX($E$2:$E$1001,-1627),"")))))</f>
        <v/>
      </c>
    </row>
    <row r="2375">
      <c r="G2375">
        <f>IF(2374&lt;=1000,INDEX($A$2:$A$1001,2374),IF(2374&lt;=2000,INDEX($B$2:$B$1001,1374),IF(2374&lt;=3000,INDEX($C$2:$C$1001,374),IF(2374&lt;=4000,INDEX($D$2:$D$1001,-626),IF(2374&lt;=5000,INDEX($E$2:$E$1001,-1626),"")))))</f>
        <v/>
      </c>
    </row>
    <row r="2376">
      <c r="G2376">
        <f>IF(2375&lt;=1000,INDEX($A$2:$A$1001,2375),IF(2375&lt;=2000,INDEX($B$2:$B$1001,1375),IF(2375&lt;=3000,INDEX($C$2:$C$1001,375),IF(2375&lt;=4000,INDEX($D$2:$D$1001,-625),IF(2375&lt;=5000,INDEX($E$2:$E$1001,-1625),"")))))</f>
        <v/>
      </c>
    </row>
    <row r="2377">
      <c r="G2377">
        <f>IF(2376&lt;=1000,INDEX($A$2:$A$1001,2376),IF(2376&lt;=2000,INDEX($B$2:$B$1001,1376),IF(2376&lt;=3000,INDEX($C$2:$C$1001,376),IF(2376&lt;=4000,INDEX($D$2:$D$1001,-624),IF(2376&lt;=5000,INDEX($E$2:$E$1001,-1624),"")))))</f>
        <v/>
      </c>
    </row>
    <row r="2378">
      <c r="G2378">
        <f>IF(2377&lt;=1000,INDEX($A$2:$A$1001,2377),IF(2377&lt;=2000,INDEX($B$2:$B$1001,1377),IF(2377&lt;=3000,INDEX($C$2:$C$1001,377),IF(2377&lt;=4000,INDEX($D$2:$D$1001,-623),IF(2377&lt;=5000,INDEX($E$2:$E$1001,-1623),"")))))</f>
        <v/>
      </c>
    </row>
    <row r="2379">
      <c r="G2379">
        <f>IF(2378&lt;=1000,INDEX($A$2:$A$1001,2378),IF(2378&lt;=2000,INDEX($B$2:$B$1001,1378),IF(2378&lt;=3000,INDEX($C$2:$C$1001,378),IF(2378&lt;=4000,INDEX($D$2:$D$1001,-622),IF(2378&lt;=5000,INDEX($E$2:$E$1001,-1622),"")))))</f>
        <v/>
      </c>
    </row>
    <row r="2380">
      <c r="G2380">
        <f>IF(2379&lt;=1000,INDEX($A$2:$A$1001,2379),IF(2379&lt;=2000,INDEX($B$2:$B$1001,1379),IF(2379&lt;=3000,INDEX($C$2:$C$1001,379),IF(2379&lt;=4000,INDEX($D$2:$D$1001,-621),IF(2379&lt;=5000,INDEX($E$2:$E$1001,-1621),"")))))</f>
        <v/>
      </c>
    </row>
    <row r="2381">
      <c r="G2381">
        <f>IF(2380&lt;=1000,INDEX($A$2:$A$1001,2380),IF(2380&lt;=2000,INDEX($B$2:$B$1001,1380),IF(2380&lt;=3000,INDEX($C$2:$C$1001,380),IF(2380&lt;=4000,INDEX($D$2:$D$1001,-620),IF(2380&lt;=5000,INDEX($E$2:$E$1001,-1620),"")))))</f>
        <v/>
      </c>
    </row>
    <row r="2382">
      <c r="G2382">
        <f>IF(2381&lt;=1000,INDEX($A$2:$A$1001,2381),IF(2381&lt;=2000,INDEX($B$2:$B$1001,1381),IF(2381&lt;=3000,INDEX($C$2:$C$1001,381),IF(2381&lt;=4000,INDEX($D$2:$D$1001,-619),IF(2381&lt;=5000,INDEX($E$2:$E$1001,-1619),"")))))</f>
        <v/>
      </c>
    </row>
    <row r="2383">
      <c r="G2383">
        <f>IF(2382&lt;=1000,INDEX($A$2:$A$1001,2382),IF(2382&lt;=2000,INDEX($B$2:$B$1001,1382),IF(2382&lt;=3000,INDEX($C$2:$C$1001,382),IF(2382&lt;=4000,INDEX($D$2:$D$1001,-618),IF(2382&lt;=5000,INDEX($E$2:$E$1001,-1618),"")))))</f>
        <v/>
      </c>
    </row>
    <row r="2384">
      <c r="G2384">
        <f>IF(2383&lt;=1000,INDEX($A$2:$A$1001,2383),IF(2383&lt;=2000,INDEX($B$2:$B$1001,1383),IF(2383&lt;=3000,INDEX($C$2:$C$1001,383),IF(2383&lt;=4000,INDEX($D$2:$D$1001,-617),IF(2383&lt;=5000,INDEX($E$2:$E$1001,-1617),"")))))</f>
        <v/>
      </c>
    </row>
    <row r="2385">
      <c r="G2385">
        <f>IF(2384&lt;=1000,INDEX($A$2:$A$1001,2384),IF(2384&lt;=2000,INDEX($B$2:$B$1001,1384),IF(2384&lt;=3000,INDEX($C$2:$C$1001,384),IF(2384&lt;=4000,INDEX($D$2:$D$1001,-616),IF(2384&lt;=5000,INDEX($E$2:$E$1001,-1616),"")))))</f>
        <v/>
      </c>
    </row>
    <row r="2386">
      <c r="G2386">
        <f>IF(2385&lt;=1000,INDEX($A$2:$A$1001,2385),IF(2385&lt;=2000,INDEX($B$2:$B$1001,1385),IF(2385&lt;=3000,INDEX($C$2:$C$1001,385),IF(2385&lt;=4000,INDEX($D$2:$D$1001,-615),IF(2385&lt;=5000,INDEX($E$2:$E$1001,-1615),"")))))</f>
        <v/>
      </c>
    </row>
    <row r="2387">
      <c r="G2387">
        <f>IF(2386&lt;=1000,INDEX($A$2:$A$1001,2386),IF(2386&lt;=2000,INDEX($B$2:$B$1001,1386),IF(2386&lt;=3000,INDEX($C$2:$C$1001,386),IF(2386&lt;=4000,INDEX($D$2:$D$1001,-614),IF(2386&lt;=5000,INDEX($E$2:$E$1001,-1614),"")))))</f>
        <v/>
      </c>
    </row>
    <row r="2388">
      <c r="G2388">
        <f>IF(2387&lt;=1000,INDEX($A$2:$A$1001,2387),IF(2387&lt;=2000,INDEX($B$2:$B$1001,1387),IF(2387&lt;=3000,INDEX($C$2:$C$1001,387),IF(2387&lt;=4000,INDEX($D$2:$D$1001,-613),IF(2387&lt;=5000,INDEX($E$2:$E$1001,-1613),"")))))</f>
        <v/>
      </c>
    </row>
    <row r="2389">
      <c r="G2389">
        <f>IF(2388&lt;=1000,INDEX($A$2:$A$1001,2388),IF(2388&lt;=2000,INDEX($B$2:$B$1001,1388),IF(2388&lt;=3000,INDEX($C$2:$C$1001,388),IF(2388&lt;=4000,INDEX($D$2:$D$1001,-612),IF(2388&lt;=5000,INDEX($E$2:$E$1001,-1612),"")))))</f>
        <v/>
      </c>
    </row>
    <row r="2390">
      <c r="G2390">
        <f>IF(2389&lt;=1000,INDEX($A$2:$A$1001,2389),IF(2389&lt;=2000,INDEX($B$2:$B$1001,1389),IF(2389&lt;=3000,INDEX($C$2:$C$1001,389),IF(2389&lt;=4000,INDEX($D$2:$D$1001,-611),IF(2389&lt;=5000,INDEX($E$2:$E$1001,-1611),"")))))</f>
        <v/>
      </c>
    </row>
    <row r="2391">
      <c r="G2391">
        <f>IF(2390&lt;=1000,INDEX($A$2:$A$1001,2390),IF(2390&lt;=2000,INDEX($B$2:$B$1001,1390),IF(2390&lt;=3000,INDEX($C$2:$C$1001,390),IF(2390&lt;=4000,INDEX($D$2:$D$1001,-610),IF(2390&lt;=5000,INDEX($E$2:$E$1001,-1610),"")))))</f>
        <v/>
      </c>
    </row>
    <row r="2392">
      <c r="G2392">
        <f>IF(2391&lt;=1000,INDEX($A$2:$A$1001,2391),IF(2391&lt;=2000,INDEX($B$2:$B$1001,1391),IF(2391&lt;=3000,INDEX($C$2:$C$1001,391),IF(2391&lt;=4000,INDEX($D$2:$D$1001,-609),IF(2391&lt;=5000,INDEX($E$2:$E$1001,-1609),"")))))</f>
        <v/>
      </c>
    </row>
    <row r="2393">
      <c r="G2393">
        <f>IF(2392&lt;=1000,INDEX($A$2:$A$1001,2392),IF(2392&lt;=2000,INDEX($B$2:$B$1001,1392),IF(2392&lt;=3000,INDEX($C$2:$C$1001,392),IF(2392&lt;=4000,INDEX($D$2:$D$1001,-608),IF(2392&lt;=5000,INDEX($E$2:$E$1001,-1608),"")))))</f>
        <v/>
      </c>
    </row>
    <row r="2394">
      <c r="G2394">
        <f>IF(2393&lt;=1000,INDEX($A$2:$A$1001,2393),IF(2393&lt;=2000,INDEX($B$2:$B$1001,1393),IF(2393&lt;=3000,INDEX($C$2:$C$1001,393),IF(2393&lt;=4000,INDEX($D$2:$D$1001,-607),IF(2393&lt;=5000,INDEX($E$2:$E$1001,-1607),"")))))</f>
        <v/>
      </c>
    </row>
    <row r="2395">
      <c r="G2395">
        <f>IF(2394&lt;=1000,INDEX($A$2:$A$1001,2394),IF(2394&lt;=2000,INDEX($B$2:$B$1001,1394),IF(2394&lt;=3000,INDEX($C$2:$C$1001,394),IF(2394&lt;=4000,INDEX($D$2:$D$1001,-606),IF(2394&lt;=5000,INDEX($E$2:$E$1001,-1606),"")))))</f>
        <v/>
      </c>
    </row>
    <row r="2396">
      <c r="G2396">
        <f>IF(2395&lt;=1000,INDEX($A$2:$A$1001,2395),IF(2395&lt;=2000,INDEX($B$2:$B$1001,1395),IF(2395&lt;=3000,INDEX($C$2:$C$1001,395),IF(2395&lt;=4000,INDEX($D$2:$D$1001,-605),IF(2395&lt;=5000,INDEX($E$2:$E$1001,-1605),"")))))</f>
        <v/>
      </c>
    </row>
    <row r="2397">
      <c r="G2397">
        <f>IF(2396&lt;=1000,INDEX($A$2:$A$1001,2396),IF(2396&lt;=2000,INDEX($B$2:$B$1001,1396),IF(2396&lt;=3000,INDEX($C$2:$C$1001,396),IF(2396&lt;=4000,INDEX($D$2:$D$1001,-604),IF(2396&lt;=5000,INDEX($E$2:$E$1001,-1604),"")))))</f>
        <v/>
      </c>
    </row>
    <row r="2398">
      <c r="G2398">
        <f>IF(2397&lt;=1000,INDEX($A$2:$A$1001,2397),IF(2397&lt;=2000,INDEX($B$2:$B$1001,1397),IF(2397&lt;=3000,INDEX($C$2:$C$1001,397),IF(2397&lt;=4000,INDEX($D$2:$D$1001,-603),IF(2397&lt;=5000,INDEX($E$2:$E$1001,-1603),"")))))</f>
        <v/>
      </c>
    </row>
    <row r="2399">
      <c r="G2399">
        <f>IF(2398&lt;=1000,INDEX($A$2:$A$1001,2398),IF(2398&lt;=2000,INDEX($B$2:$B$1001,1398),IF(2398&lt;=3000,INDEX($C$2:$C$1001,398),IF(2398&lt;=4000,INDEX($D$2:$D$1001,-602),IF(2398&lt;=5000,INDEX($E$2:$E$1001,-1602),"")))))</f>
        <v/>
      </c>
    </row>
    <row r="2400">
      <c r="G2400">
        <f>IF(2399&lt;=1000,INDEX($A$2:$A$1001,2399),IF(2399&lt;=2000,INDEX($B$2:$B$1001,1399),IF(2399&lt;=3000,INDEX($C$2:$C$1001,399),IF(2399&lt;=4000,INDEX($D$2:$D$1001,-601),IF(2399&lt;=5000,INDEX($E$2:$E$1001,-1601),"")))))</f>
        <v/>
      </c>
    </row>
    <row r="2401">
      <c r="G2401">
        <f>IF(2400&lt;=1000,INDEX($A$2:$A$1001,2400),IF(2400&lt;=2000,INDEX($B$2:$B$1001,1400),IF(2400&lt;=3000,INDEX($C$2:$C$1001,400),IF(2400&lt;=4000,INDEX($D$2:$D$1001,-600),IF(2400&lt;=5000,INDEX($E$2:$E$1001,-1600),"")))))</f>
        <v/>
      </c>
    </row>
    <row r="2402">
      <c r="G2402">
        <f>IF(2401&lt;=1000,INDEX($A$2:$A$1001,2401),IF(2401&lt;=2000,INDEX($B$2:$B$1001,1401),IF(2401&lt;=3000,INDEX($C$2:$C$1001,401),IF(2401&lt;=4000,INDEX($D$2:$D$1001,-599),IF(2401&lt;=5000,INDEX($E$2:$E$1001,-1599),"")))))</f>
        <v/>
      </c>
    </row>
    <row r="2403">
      <c r="G2403">
        <f>IF(2402&lt;=1000,INDEX($A$2:$A$1001,2402),IF(2402&lt;=2000,INDEX($B$2:$B$1001,1402),IF(2402&lt;=3000,INDEX($C$2:$C$1001,402),IF(2402&lt;=4000,INDEX($D$2:$D$1001,-598),IF(2402&lt;=5000,INDEX($E$2:$E$1001,-1598),"")))))</f>
        <v/>
      </c>
    </row>
    <row r="2404">
      <c r="G2404">
        <f>IF(2403&lt;=1000,INDEX($A$2:$A$1001,2403),IF(2403&lt;=2000,INDEX($B$2:$B$1001,1403),IF(2403&lt;=3000,INDEX($C$2:$C$1001,403),IF(2403&lt;=4000,INDEX($D$2:$D$1001,-597),IF(2403&lt;=5000,INDEX($E$2:$E$1001,-1597),"")))))</f>
        <v/>
      </c>
    </row>
    <row r="2405">
      <c r="G2405">
        <f>IF(2404&lt;=1000,INDEX($A$2:$A$1001,2404),IF(2404&lt;=2000,INDEX($B$2:$B$1001,1404),IF(2404&lt;=3000,INDEX($C$2:$C$1001,404),IF(2404&lt;=4000,INDEX($D$2:$D$1001,-596),IF(2404&lt;=5000,INDEX($E$2:$E$1001,-1596),"")))))</f>
        <v/>
      </c>
    </row>
    <row r="2406">
      <c r="G2406">
        <f>IF(2405&lt;=1000,INDEX($A$2:$A$1001,2405),IF(2405&lt;=2000,INDEX($B$2:$B$1001,1405),IF(2405&lt;=3000,INDEX($C$2:$C$1001,405),IF(2405&lt;=4000,INDEX($D$2:$D$1001,-595),IF(2405&lt;=5000,INDEX($E$2:$E$1001,-1595),"")))))</f>
        <v/>
      </c>
    </row>
    <row r="2407">
      <c r="G2407">
        <f>IF(2406&lt;=1000,INDEX($A$2:$A$1001,2406),IF(2406&lt;=2000,INDEX($B$2:$B$1001,1406),IF(2406&lt;=3000,INDEX($C$2:$C$1001,406),IF(2406&lt;=4000,INDEX($D$2:$D$1001,-594),IF(2406&lt;=5000,INDEX($E$2:$E$1001,-1594),"")))))</f>
        <v/>
      </c>
    </row>
    <row r="2408">
      <c r="G2408">
        <f>IF(2407&lt;=1000,INDEX($A$2:$A$1001,2407),IF(2407&lt;=2000,INDEX($B$2:$B$1001,1407),IF(2407&lt;=3000,INDEX($C$2:$C$1001,407),IF(2407&lt;=4000,INDEX($D$2:$D$1001,-593),IF(2407&lt;=5000,INDEX($E$2:$E$1001,-1593),"")))))</f>
        <v/>
      </c>
    </row>
    <row r="2409">
      <c r="G2409">
        <f>IF(2408&lt;=1000,INDEX($A$2:$A$1001,2408),IF(2408&lt;=2000,INDEX($B$2:$B$1001,1408),IF(2408&lt;=3000,INDEX($C$2:$C$1001,408),IF(2408&lt;=4000,INDEX($D$2:$D$1001,-592),IF(2408&lt;=5000,INDEX($E$2:$E$1001,-1592),"")))))</f>
        <v/>
      </c>
    </row>
    <row r="2410">
      <c r="G2410">
        <f>IF(2409&lt;=1000,INDEX($A$2:$A$1001,2409),IF(2409&lt;=2000,INDEX($B$2:$B$1001,1409),IF(2409&lt;=3000,INDEX($C$2:$C$1001,409),IF(2409&lt;=4000,INDEX($D$2:$D$1001,-591),IF(2409&lt;=5000,INDEX($E$2:$E$1001,-1591),"")))))</f>
        <v/>
      </c>
    </row>
    <row r="2411">
      <c r="G2411">
        <f>IF(2410&lt;=1000,INDEX($A$2:$A$1001,2410),IF(2410&lt;=2000,INDEX($B$2:$B$1001,1410),IF(2410&lt;=3000,INDEX($C$2:$C$1001,410),IF(2410&lt;=4000,INDEX($D$2:$D$1001,-590),IF(2410&lt;=5000,INDEX($E$2:$E$1001,-1590),"")))))</f>
        <v/>
      </c>
    </row>
    <row r="2412">
      <c r="G2412">
        <f>IF(2411&lt;=1000,INDEX($A$2:$A$1001,2411),IF(2411&lt;=2000,INDEX($B$2:$B$1001,1411),IF(2411&lt;=3000,INDEX($C$2:$C$1001,411),IF(2411&lt;=4000,INDEX($D$2:$D$1001,-589),IF(2411&lt;=5000,INDEX($E$2:$E$1001,-1589),"")))))</f>
        <v/>
      </c>
    </row>
    <row r="2413">
      <c r="G2413">
        <f>IF(2412&lt;=1000,INDEX($A$2:$A$1001,2412),IF(2412&lt;=2000,INDEX($B$2:$B$1001,1412),IF(2412&lt;=3000,INDEX($C$2:$C$1001,412),IF(2412&lt;=4000,INDEX($D$2:$D$1001,-588),IF(2412&lt;=5000,INDEX($E$2:$E$1001,-1588),"")))))</f>
        <v/>
      </c>
    </row>
    <row r="2414">
      <c r="G2414">
        <f>IF(2413&lt;=1000,INDEX($A$2:$A$1001,2413),IF(2413&lt;=2000,INDEX($B$2:$B$1001,1413),IF(2413&lt;=3000,INDEX($C$2:$C$1001,413),IF(2413&lt;=4000,INDEX($D$2:$D$1001,-587),IF(2413&lt;=5000,INDEX($E$2:$E$1001,-1587),"")))))</f>
        <v/>
      </c>
    </row>
    <row r="2415">
      <c r="G2415">
        <f>IF(2414&lt;=1000,INDEX($A$2:$A$1001,2414),IF(2414&lt;=2000,INDEX($B$2:$B$1001,1414),IF(2414&lt;=3000,INDEX($C$2:$C$1001,414),IF(2414&lt;=4000,INDEX($D$2:$D$1001,-586),IF(2414&lt;=5000,INDEX($E$2:$E$1001,-1586),"")))))</f>
        <v/>
      </c>
    </row>
    <row r="2416">
      <c r="G2416">
        <f>IF(2415&lt;=1000,INDEX($A$2:$A$1001,2415),IF(2415&lt;=2000,INDEX($B$2:$B$1001,1415),IF(2415&lt;=3000,INDEX($C$2:$C$1001,415),IF(2415&lt;=4000,INDEX($D$2:$D$1001,-585),IF(2415&lt;=5000,INDEX($E$2:$E$1001,-1585),"")))))</f>
        <v/>
      </c>
    </row>
    <row r="2417">
      <c r="G2417">
        <f>IF(2416&lt;=1000,INDEX($A$2:$A$1001,2416),IF(2416&lt;=2000,INDEX($B$2:$B$1001,1416),IF(2416&lt;=3000,INDEX($C$2:$C$1001,416),IF(2416&lt;=4000,INDEX($D$2:$D$1001,-584),IF(2416&lt;=5000,INDEX($E$2:$E$1001,-1584),"")))))</f>
        <v/>
      </c>
    </row>
    <row r="2418">
      <c r="G2418">
        <f>IF(2417&lt;=1000,INDEX($A$2:$A$1001,2417),IF(2417&lt;=2000,INDEX($B$2:$B$1001,1417),IF(2417&lt;=3000,INDEX($C$2:$C$1001,417),IF(2417&lt;=4000,INDEX($D$2:$D$1001,-583),IF(2417&lt;=5000,INDEX($E$2:$E$1001,-1583),"")))))</f>
        <v/>
      </c>
    </row>
    <row r="2419">
      <c r="G2419">
        <f>IF(2418&lt;=1000,INDEX($A$2:$A$1001,2418),IF(2418&lt;=2000,INDEX($B$2:$B$1001,1418),IF(2418&lt;=3000,INDEX($C$2:$C$1001,418),IF(2418&lt;=4000,INDEX($D$2:$D$1001,-582),IF(2418&lt;=5000,INDEX($E$2:$E$1001,-1582),"")))))</f>
        <v/>
      </c>
    </row>
    <row r="2420">
      <c r="G2420">
        <f>IF(2419&lt;=1000,INDEX($A$2:$A$1001,2419),IF(2419&lt;=2000,INDEX($B$2:$B$1001,1419),IF(2419&lt;=3000,INDEX($C$2:$C$1001,419),IF(2419&lt;=4000,INDEX($D$2:$D$1001,-581),IF(2419&lt;=5000,INDEX($E$2:$E$1001,-1581),"")))))</f>
        <v/>
      </c>
    </row>
    <row r="2421">
      <c r="G2421">
        <f>IF(2420&lt;=1000,INDEX($A$2:$A$1001,2420),IF(2420&lt;=2000,INDEX($B$2:$B$1001,1420),IF(2420&lt;=3000,INDEX($C$2:$C$1001,420),IF(2420&lt;=4000,INDEX($D$2:$D$1001,-580),IF(2420&lt;=5000,INDEX($E$2:$E$1001,-1580),"")))))</f>
        <v/>
      </c>
    </row>
    <row r="2422">
      <c r="G2422">
        <f>IF(2421&lt;=1000,INDEX($A$2:$A$1001,2421),IF(2421&lt;=2000,INDEX($B$2:$B$1001,1421),IF(2421&lt;=3000,INDEX($C$2:$C$1001,421),IF(2421&lt;=4000,INDEX($D$2:$D$1001,-579),IF(2421&lt;=5000,INDEX($E$2:$E$1001,-1579),"")))))</f>
        <v/>
      </c>
    </row>
    <row r="2423">
      <c r="G2423">
        <f>IF(2422&lt;=1000,INDEX($A$2:$A$1001,2422),IF(2422&lt;=2000,INDEX($B$2:$B$1001,1422),IF(2422&lt;=3000,INDEX($C$2:$C$1001,422),IF(2422&lt;=4000,INDEX($D$2:$D$1001,-578),IF(2422&lt;=5000,INDEX($E$2:$E$1001,-1578),"")))))</f>
        <v/>
      </c>
    </row>
    <row r="2424">
      <c r="G2424">
        <f>IF(2423&lt;=1000,INDEX($A$2:$A$1001,2423),IF(2423&lt;=2000,INDEX($B$2:$B$1001,1423),IF(2423&lt;=3000,INDEX($C$2:$C$1001,423),IF(2423&lt;=4000,INDEX($D$2:$D$1001,-577),IF(2423&lt;=5000,INDEX($E$2:$E$1001,-1577),"")))))</f>
        <v/>
      </c>
    </row>
    <row r="2425">
      <c r="G2425">
        <f>IF(2424&lt;=1000,INDEX($A$2:$A$1001,2424),IF(2424&lt;=2000,INDEX($B$2:$B$1001,1424),IF(2424&lt;=3000,INDEX($C$2:$C$1001,424),IF(2424&lt;=4000,INDEX($D$2:$D$1001,-576),IF(2424&lt;=5000,INDEX($E$2:$E$1001,-1576),"")))))</f>
        <v/>
      </c>
    </row>
    <row r="2426">
      <c r="G2426">
        <f>IF(2425&lt;=1000,INDEX($A$2:$A$1001,2425),IF(2425&lt;=2000,INDEX($B$2:$B$1001,1425),IF(2425&lt;=3000,INDEX($C$2:$C$1001,425),IF(2425&lt;=4000,INDEX($D$2:$D$1001,-575),IF(2425&lt;=5000,INDEX($E$2:$E$1001,-1575),"")))))</f>
        <v/>
      </c>
    </row>
    <row r="2427">
      <c r="G2427">
        <f>IF(2426&lt;=1000,INDEX($A$2:$A$1001,2426),IF(2426&lt;=2000,INDEX($B$2:$B$1001,1426),IF(2426&lt;=3000,INDEX($C$2:$C$1001,426),IF(2426&lt;=4000,INDEX($D$2:$D$1001,-574),IF(2426&lt;=5000,INDEX($E$2:$E$1001,-1574),"")))))</f>
        <v/>
      </c>
    </row>
    <row r="2428">
      <c r="G2428">
        <f>IF(2427&lt;=1000,INDEX($A$2:$A$1001,2427),IF(2427&lt;=2000,INDEX($B$2:$B$1001,1427),IF(2427&lt;=3000,INDEX($C$2:$C$1001,427),IF(2427&lt;=4000,INDEX($D$2:$D$1001,-573),IF(2427&lt;=5000,INDEX($E$2:$E$1001,-1573),"")))))</f>
        <v/>
      </c>
    </row>
    <row r="2429">
      <c r="G2429">
        <f>IF(2428&lt;=1000,INDEX($A$2:$A$1001,2428),IF(2428&lt;=2000,INDEX($B$2:$B$1001,1428),IF(2428&lt;=3000,INDEX($C$2:$C$1001,428),IF(2428&lt;=4000,INDEX($D$2:$D$1001,-572),IF(2428&lt;=5000,INDEX($E$2:$E$1001,-1572),"")))))</f>
        <v/>
      </c>
    </row>
    <row r="2430">
      <c r="G2430">
        <f>IF(2429&lt;=1000,INDEX($A$2:$A$1001,2429),IF(2429&lt;=2000,INDEX($B$2:$B$1001,1429),IF(2429&lt;=3000,INDEX($C$2:$C$1001,429),IF(2429&lt;=4000,INDEX($D$2:$D$1001,-571),IF(2429&lt;=5000,INDEX($E$2:$E$1001,-1571),"")))))</f>
        <v/>
      </c>
    </row>
    <row r="2431">
      <c r="G2431">
        <f>IF(2430&lt;=1000,INDEX($A$2:$A$1001,2430),IF(2430&lt;=2000,INDEX($B$2:$B$1001,1430),IF(2430&lt;=3000,INDEX($C$2:$C$1001,430),IF(2430&lt;=4000,INDEX($D$2:$D$1001,-570),IF(2430&lt;=5000,INDEX($E$2:$E$1001,-1570),"")))))</f>
        <v/>
      </c>
    </row>
    <row r="2432">
      <c r="G2432">
        <f>IF(2431&lt;=1000,INDEX($A$2:$A$1001,2431),IF(2431&lt;=2000,INDEX($B$2:$B$1001,1431),IF(2431&lt;=3000,INDEX($C$2:$C$1001,431),IF(2431&lt;=4000,INDEX($D$2:$D$1001,-569),IF(2431&lt;=5000,INDEX($E$2:$E$1001,-1569),"")))))</f>
        <v/>
      </c>
    </row>
    <row r="2433">
      <c r="G2433">
        <f>IF(2432&lt;=1000,INDEX($A$2:$A$1001,2432),IF(2432&lt;=2000,INDEX($B$2:$B$1001,1432),IF(2432&lt;=3000,INDEX($C$2:$C$1001,432),IF(2432&lt;=4000,INDEX($D$2:$D$1001,-568),IF(2432&lt;=5000,INDEX($E$2:$E$1001,-1568),"")))))</f>
        <v/>
      </c>
    </row>
    <row r="2434">
      <c r="G2434">
        <f>IF(2433&lt;=1000,INDEX($A$2:$A$1001,2433),IF(2433&lt;=2000,INDEX($B$2:$B$1001,1433),IF(2433&lt;=3000,INDEX($C$2:$C$1001,433),IF(2433&lt;=4000,INDEX($D$2:$D$1001,-567),IF(2433&lt;=5000,INDEX($E$2:$E$1001,-1567),"")))))</f>
        <v/>
      </c>
    </row>
    <row r="2435">
      <c r="G2435">
        <f>IF(2434&lt;=1000,INDEX($A$2:$A$1001,2434),IF(2434&lt;=2000,INDEX($B$2:$B$1001,1434),IF(2434&lt;=3000,INDEX($C$2:$C$1001,434),IF(2434&lt;=4000,INDEX($D$2:$D$1001,-566),IF(2434&lt;=5000,INDEX($E$2:$E$1001,-1566),"")))))</f>
        <v/>
      </c>
    </row>
    <row r="2436">
      <c r="G2436">
        <f>IF(2435&lt;=1000,INDEX($A$2:$A$1001,2435),IF(2435&lt;=2000,INDEX($B$2:$B$1001,1435),IF(2435&lt;=3000,INDEX($C$2:$C$1001,435),IF(2435&lt;=4000,INDEX($D$2:$D$1001,-565),IF(2435&lt;=5000,INDEX($E$2:$E$1001,-1565),"")))))</f>
        <v/>
      </c>
    </row>
    <row r="2437">
      <c r="G2437">
        <f>IF(2436&lt;=1000,INDEX($A$2:$A$1001,2436),IF(2436&lt;=2000,INDEX($B$2:$B$1001,1436),IF(2436&lt;=3000,INDEX($C$2:$C$1001,436),IF(2436&lt;=4000,INDEX($D$2:$D$1001,-564),IF(2436&lt;=5000,INDEX($E$2:$E$1001,-1564),"")))))</f>
        <v/>
      </c>
    </row>
    <row r="2438">
      <c r="G2438">
        <f>IF(2437&lt;=1000,INDEX($A$2:$A$1001,2437),IF(2437&lt;=2000,INDEX($B$2:$B$1001,1437),IF(2437&lt;=3000,INDEX($C$2:$C$1001,437),IF(2437&lt;=4000,INDEX($D$2:$D$1001,-563),IF(2437&lt;=5000,INDEX($E$2:$E$1001,-1563),"")))))</f>
        <v/>
      </c>
    </row>
    <row r="2439">
      <c r="G2439">
        <f>IF(2438&lt;=1000,INDEX($A$2:$A$1001,2438),IF(2438&lt;=2000,INDEX($B$2:$B$1001,1438),IF(2438&lt;=3000,INDEX($C$2:$C$1001,438),IF(2438&lt;=4000,INDEX($D$2:$D$1001,-562),IF(2438&lt;=5000,INDEX($E$2:$E$1001,-1562),"")))))</f>
        <v/>
      </c>
    </row>
    <row r="2440">
      <c r="G2440">
        <f>IF(2439&lt;=1000,INDEX($A$2:$A$1001,2439),IF(2439&lt;=2000,INDEX($B$2:$B$1001,1439),IF(2439&lt;=3000,INDEX($C$2:$C$1001,439),IF(2439&lt;=4000,INDEX($D$2:$D$1001,-561),IF(2439&lt;=5000,INDEX($E$2:$E$1001,-1561),"")))))</f>
        <v/>
      </c>
    </row>
    <row r="2441">
      <c r="G2441">
        <f>IF(2440&lt;=1000,INDEX($A$2:$A$1001,2440),IF(2440&lt;=2000,INDEX($B$2:$B$1001,1440),IF(2440&lt;=3000,INDEX($C$2:$C$1001,440),IF(2440&lt;=4000,INDEX($D$2:$D$1001,-560),IF(2440&lt;=5000,INDEX($E$2:$E$1001,-1560),"")))))</f>
        <v/>
      </c>
    </row>
    <row r="2442">
      <c r="G2442">
        <f>IF(2441&lt;=1000,INDEX($A$2:$A$1001,2441),IF(2441&lt;=2000,INDEX($B$2:$B$1001,1441),IF(2441&lt;=3000,INDEX($C$2:$C$1001,441),IF(2441&lt;=4000,INDEX($D$2:$D$1001,-559),IF(2441&lt;=5000,INDEX($E$2:$E$1001,-1559),"")))))</f>
        <v/>
      </c>
    </row>
    <row r="2443">
      <c r="G2443">
        <f>IF(2442&lt;=1000,INDEX($A$2:$A$1001,2442),IF(2442&lt;=2000,INDEX($B$2:$B$1001,1442),IF(2442&lt;=3000,INDEX($C$2:$C$1001,442),IF(2442&lt;=4000,INDEX($D$2:$D$1001,-558),IF(2442&lt;=5000,INDEX($E$2:$E$1001,-1558),"")))))</f>
        <v/>
      </c>
    </row>
    <row r="2444">
      <c r="G2444">
        <f>IF(2443&lt;=1000,INDEX($A$2:$A$1001,2443),IF(2443&lt;=2000,INDEX($B$2:$B$1001,1443),IF(2443&lt;=3000,INDEX($C$2:$C$1001,443),IF(2443&lt;=4000,INDEX($D$2:$D$1001,-557),IF(2443&lt;=5000,INDEX($E$2:$E$1001,-1557),"")))))</f>
        <v/>
      </c>
    </row>
    <row r="2445">
      <c r="G2445">
        <f>IF(2444&lt;=1000,INDEX($A$2:$A$1001,2444),IF(2444&lt;=2000,INDEX($B$2:$B$1001,1444),IF(2444&lt;=3000,INDEX($C$2:$C$1001,444),IF(2444&lt;=4000,INDEX($D$2:$D$1001,-556),IF(2444&lt;=5000,INDEX($E$2:$E$1001,-1556),"")))))</f>
        <v/>
      </c>
    </row>
    <row r="2446">
      <c r="G2446">
        <f>IF(2445&lt;=1000,INDEX($A$2:$A$1001,2445),IF(2445&lt;=2000,INDEX($B$2:$B$1001,1445),IF(2445&lt;=3000,INDEX($C$2:$C$1001,445),IF(2445&lt;=4000,INDEX($D$2:$D$1001,-555),IF(2445&lt;=5000,INDEX($E$2:$E$1001,-1555),"")))))</f>
        <v/>
      </c>
    </row>
    <row r="2447">
      <c r="G2447">
        <f>IF(2446&lt;=1000,INDEX($A$2:$A$1001,2446),IF(2446&lt;=2000,INDEX($B$2:$B$1001,1446),IF(2446&lt;=3000,INDEX($C$2:$C$1001,446),IF(2446&lt;=4000,INDEX($D$2:$D$1001,-554),IF(2446&lt;=5000,INDEX($E$2:$E$1001,-1554),"")))))</f>
        <v/>
      </c>
    </row>
    <row r="2448">
      <c r="G2448">
        <f>IF(2447&lt;=1000,INDEX($A$2:$A$1001,2447),IF(2447&lt;=2000,INDEX($B$2:$B$1001,1447),IF(2447&lt;=3000,INDEX($C$2:$C$1001,447),IF(2447&lt;=4000,INDEX($D$2:$D$1001,-553),IF(2447&lt;=5000,INDEX($E$2:$E$1001,-1553),"")))))</f>
        <v/>
      </c>
    </row>
    <row r="2449">
      <c r="G2449">
        <f>IF(2448&lt;=1000,INDEX($A$2:$A$1001,2448),IF(2448&lt;=2000,INDEX($B$2:$B$1001,1448),IF(2448&lt;=3000,INDEX($C$2:$C$1001,448),IF(2448&lt;=4000,INDEX($D$2:$D$1001,-552),IF(2448&lt;=5000,INDEX($E$2:$E$1001,-1552),"")))))</f>
        <v/>
      </c>
    </row>
    <row r="2450">
      <c r="G2450">
        <f>IF(2449&lt;=1000,INDEX($A$2:$A$1001,2449),IF(2449&lt;=2000,INDEX($B$2:$B$1001,1449),IF(2449&lt;=3000,INDEX($C$2:$C$1001,449),IF(2449&lt;=4000,INDEX($D$2:$D$1001,-551),IF(2449&lt;=5000,INDEX($E$2:$E$1001,-1551),"")))))</f>
        <v/>
      </c>
    </row>
    <row r="2451">
      <c r="G2451">
        <f>IF(2450&lt;=1000,INDEX($A$2:$A$1001,2450),IF(2450&lt;=2000,INDEX($B$2:$B$1001,1450),IF(2450&lt;=3000,INDEX($C$2:$C$1001,450),IF(2450&lt;=4000,INDEX($D$2:$D$1001,-550),IF(2450&lt;=5000,INDEX($E$2:$E$1001,-1550),"")))))</f>
        <v/>
      </c>
    </row>
    <row r="2452">
      <c r="G2452">
        <f>IF(2451&lt;=1000,INDEX($A$2:$A$1001,2451),IF(2451&lt;=2000,INDEX($B$2:$B$1001,1451),IF(2451&lt;=3000,INDEX($C$2:$C$1001,451),IF(2451&lt;=4000,INDEX($D$2:$D$1001,-549),IF(2451&lt;=5000,INDEX($E$2:$E$1001,-1549),"")))))</f>
        <v/>
      </c>
    </row>
    <row r="2453">
      <c r="G2453">
        <f>IF(2452&lt;=1000,INDEX($A$2:$A$1001,2452),IF(2452&lt;=2000,INDEX($B$2:$B$1001,1452),IF(2452&lt;=3000,INDEX($C$2:$C$1001,452),IF(2452&lt;=4000,INDEX($D$2:$D$1001,-548),IF(2452&lt;=5000,INDEX($E$2:$E$1001,-1548),"")))))</f>
        <v/>
      </c>
    </row>
    <row r="2454">
      <c r="G2454">
        <f>IF(2453&lt;=1000,INDEX($A$2:$A$1001,2453),IF(2453&lt;=2000,INDEX($B$2:$B$1001,1453),IF(2453&lt;=3000,INDEX($C$2:$C$1001,453),IF(2453&lt;=4000,INDEX($D$2:$D$1001,-547),IF(2453&lt;=5000,INDEX($E$2:$E$1001,-1547),"")))))</f>
        <v/>
      </c>
    </row>
    <row r="2455">
      <c r="G2455">
        <f>IF(2454&lt;=1000,INDEX($A$2:$A$1001,2454),IF(2454&lt;=2000,INDEX($B$2:$B$1001,1454),IF(2454&lt;=3000,INDEX($C$2:$C$1001,454),IF(2454&lt;=4000,INDEX($D$2:$D$1001,-546),IF(2454&lt;=5000,INDEX($E$2:$E$1001,-1546),"")))))</f>
        <v/>
      </c>
    </row>
    <row r="2456">
      <c r="G2456">
        <f>IF(2455&lt;=1000,INDEX($A$2:$A$1001,2455),IF(2455&lt;=2000,INDEX($B$2:$B$1001,1455),IF(2455&lt;=3000,INDEX($C$2:$C$1001,455),IF(2455&lt;=4000,INDEX($D$2:$D$1001,-545),IF(2455&lt;=5000,INDEX($E$2:$E$1001,-1545),"")))))</f>
        <v/>
      </c>
    </row>
    <row r="2457">
      <c r="G2457">
        <f>IF(2456&lt;=1000,INDEX($A$2:$A$1001,2456),IF(2456&lt;=2000,INDEX($B$2:$B$1001,1456),IF(2456&lt;=3000,INDEX($C$2:$C$1001,456),IF(2456&lt;=4000,INDEX($D$2:$D$1001,-544),IF(2456&lt;=5000,INDEX($E$2:$E$1001,-1544),"")))))</f>
        <v/>
      </c>
    </row>
    <row r="2458">
      <c r="G2458">
        <f>IF(2457&lt;=1000,INDEX($A$2:$A$1001,2457),IF(2457&lt;=2000,INDEX($B$2:$B$1001,1457),IF(2457&lt;=3000,INDEX($C$2:$C$1001,457),IF(2457&lt;=4000,INDEX($D$2:$D$1001,-543),IF(2457&lt;=5000,INDEX($E$2:$E$1001,-1543),"")))))</f>
        <v/>
      </c>
    </row>
    <row r="2459">
      <c r="G2459">
        <f>IF(2458&lt;=1000,INDEX($A$2:$A$1001,2458),IF(2458&lt;=2000,INDEX($B$2:$B$1001,1458),IF(2458&lt;=3000,INDEX($C$2:$C$1001,458),IF(2458&lt;=4000,INDEX($D$2:$D$1001,-542),IF(2458&lt;=5000,INDEX($E$2:$E$1001,-1542),"")))))</f>
        <v/>
      </c>
    </row>
    <row r="2460">
      <c r="G2460">
        <f>IF(2459&lt;=1000,INDEX($A$2:$A$1001,2459),IF(2459&lt;=2000,INDEX($B$2:$B$1001,1459),IF(2459&lt;=3000,INDEX($C$2:$C$1001,459),IF(2459&lt;=4000,INDEX($D$2:$D$1001,-541),IF(2459&lt;=5000,INDEX($E$2:$E$1001,-1541),"")))))</f>
        <v/>
      </c>
    </row>
    <row r="2461">
      <c r="G2461">
        <f>IF(2460&lt;=1000,INDEX($A$2:$A$1001,2460),IF(2460&lt;=2000,INDEX($B$2:$B$1001,1460),IF(2460&lt;=3000,INDEX($C$2:$C$1001,460),IF(2460&lt;=4000,INDEX($D$2:$D$1001,-540),IF(2460&lt;=5000,INDEX($E$2:$E$1001,-1540),"")))))</f>
        <v/>
      </c>
    </row>
    <row r="2462">
      <c r="G2462">
        <f>IF(2461&lt;=1000,INDEX($A$2:$A$1001,2461),IF(2461&lt;=2000,INDEX($B$2:$B$1001,1461),IF(2461&lt;=3000,INDEX($C$2:$C$1001,461),IF(2461&lt;=4000,INDEX($D$2:$D$1001,-539),IF(2461&lt;=5000,INDEX($E$2:$E$1001,-1539),"")))))</f>
        <v/>
      </c>
    </row>
    <row r="2463">
      <c r="G2463">
        <f>IF(2462&lt;=1000,INDEX($A$2:$A$1001,2462),IF(2462&lt;=2000,INDEX($B$2:$B$1001,1462),IF(2462&lt;=3000,INDEX($C$2:$C$1001,462),IF(2462&lt;=4000,INDEX($D$2:$D$1001,-538),IF(2462&lt;=5000,INDEX($E$2:$E$1001,-1538),"")))))</f>
        <v/>
      </c>
    </row>
    <row r="2464">
      <c r="G2464">
        <f>IF(2463&lt;=1000,INDEX($A$2:$A$1001,2463),IF(2463&lt;=2000,INDEX($B$2:$B$1001,1463),IF(2463&lt;=3000,INDEX($C$2:$C$1001,463),IF(2463&lt;=4000,INDEX($D$2:$D$1001,-537),IF(2463&lt;=5000,INDEX($E$2:$E$1001,-1537),"")))))</f>
        <v/>
      </c>
    </row>
    <row r="2465">
      <c r="G2465">
        <f>IF(2464&lt;=1000,INDEX($A$2:$A$1001,2464),IF(2464&lt;=2000,INDEX($B$2:$B$1001,1464),IF(2464&lt;=3000,INDEX($C$2:$C$1001,464),IF(2464&lt;=4000,INDEX($D$2:$D$1001,-536),IF(2464&lt;=5000,INDEX($E$2:$E$1001,-1536),"")))))</f>
        <v/>
      </c>
    </row>
    <row r="2466">
      <c r="G2466">
        <f>IF(2465&lt;=1000,INDEX($A$2:$A$1001,2465),IF(2465&lt;=2000,INDEX($B$2:$B$1001,1465),IF(2465&lt;=3000,INDEX($C$2:$C$1001,465),IF(2465&lt;=4000,INDEX($D$2:$D$1001,-535),IF(2465&lt;=5000,INDEX($E$2:$E$1001,-1535),"")))))</f>
        <v/>
      </c>
    </row>
    <row r="2467">
      <c r="G2467">
        <f>IF(2466&lt;=1000,INDEX($A$2:$A$1001,2466),IF(2466&lt;=2000,INDEX($B$2:$B$1001,1466),IF(2466&lt;=3000,INDEX($C$2:$C$1001,466),IF(2466&lt;=4000,INDEX($D$2:$D$1001,-534),IF(2466&lt;=5000,INDEX($E$2:$E$1001,-1534),"")))))</f>
        <v/>
      </c>
    </row>
    <row r="2468">
      <c r="G2468">
        <f>IF(2467&lt;=1000,INDEX($A$2:$A$1001,2467),IF(2467&lt;=2000,INDEX($B$2:$B$1001,1467),IF(2467&lt;=3000,INDEX($C$2:$C$1001,467),IF(2467&lt;=4000,INDEX($D$2:$D$1001,-533),IF(2467&lt;=5000,INDEX($E$2:$E$1001,-1533),"")))))</f>
        <v/>
      </c>
    </row>
    <row r="2469">
      <c r="G2469">
        <f>IF(2468&lt;=1000,INDEX($A$2:$A$1001,2468),IF(2468&lt;=2000,INDEX($B$2:$B$1001,1468),IF(2468&lt;=3000,INDEX($C$2:$C$1001,468),IF(2468&lt;=4000,INDEX($D$2:$D$1001,-532),IF(2468&lt;=5000,INDEX($E$2:$E$1001,-1532),"")))))</f>
        <v/>
      </c>
    </row>
    <row r="2470">
      <c r="G2470">
        <f>IF(2469&lt;=1000,INDEX($A$2:$A$1001,2469),IF(2469&lt;=2000,INDEX($B$2:$B$1001,1469),IF(2469&lt;=3000,INDEX($C$2:$C$1001,469),IF(2469&lt;=4000,INDEX($D$2:$D$1001,-531),IF(2469&lt;=5000,INDEX($E$2:$E$1001,-1531),"")))))</f>
        <v/>
      </c>
    </row>
    <row r="2471">
      <c r="G2471">
        <f>IF(2470&lt;=1000,INDEX($A$2:$A$1001,2470),IF(2470&lt;=2000,INDEX($B$2:$B$1001,1470),IF(2470&lt;=3000,INDEX($C$2:$C$1001,470),IF(2470&lt;=4000,INDEX($D$2:$D$1001,-530),IF(2470&lt;=5000,INDEX($E$2:$E$1001,-1530),"")))))</f>
        <v/>
      </c>
    </row>
    <row r="2472">
      <c r="G2472">
        <f>IF(2471&lt;=1000,INDEX($A$2:$A$1001,2471),IF(2471&lt;=2000,INDEX($B$2:$B$1001,1471),IF(2471&lt;=3000,INDEX($C$2:$C$1001,471),IF(2471&lt;=4000,INDEX($D$2:$D$1001,-529),IF(2471&lt;=5000,INDEX($E$2:$E$1001,-1529),"")))))</f>
        <v/>
      </c>
    </row>
    <row r="2473">
      <c r="G2473">
        <f>IF(2472&lt;=1000,INDEX($A$2:$A$1001,2472),IF(2472&lt;=2000,INDEX($B$2:$B$1001,1472),IF(2472&lt;=3000,INDEX($C$2:$C$1001,472),IF(2472&lt;=4000,INDEX($D$2:$D$1001,-528),IF(2472&lt;=5000,INDEX($E$2:$E$1001,-1528),"")))))</f>
        <v/>
      </c>
    </row>
    <row r="2474">
      <c r="G2474">
        <f>IF(2473&lt;=1000,INDEX($A$2:$A$1001,2473),IF(2473&lt;=2000,INDEX($B$2:$B$1001,1473),IF(2473&lt;=3000,INDEX($C$2:$C$1001,473),IF(2473&lt;=4000,INDEX($D$2:$D$1001,-527),IF(2473&lt;=5000,INDEX($E$2:$E$1001,-1527),"")))))</f>
        <v/>
      </c>
    </row>
    <row r="2475">
      <c r="G2475">
        <f>IF(2474&lt;=1000,INDEX($A$2:$A$1001,2474),IF(2474&lt;=2000,INDEX($B$2:$B$1001,1474),IF(2474&lt;=3000,INDEX($C$2:$C$1001,474),IF(2474&lt;=4000,INDEX($D$2:$D$1001,-526),IF(2474&lt;=5000,INDEX($E$2:$E$1001,-1526),"")))))</f>
        <v/>
      </c>
    </row>
    <row r="2476">
      <c r="G2476">
        <f>IF(2475&lt;=1000,INDEX($A$2:$A$1001,2475),IF(2475&lt;=2000,INDEX($B$2:$B$1001,1475),IF(2475&lt;=3000,INDEX($C$2:$C$1001,475),IF(2475&lt;=4000,INDEX($D$2:$D$1001,-525),IF(2475&lt;=5000,INDEX($E$2:$E$1001,-1525),"")))))</f>
        <v/>
      </c>
    </row>
    <row r="2477">
      <c r="G2477">
        <f>IF(2476&lt;=1000,INDEX($A$2:$A$1001,2476),IF(2476&lt;=2000,INDEX($B$2:$B$1001,1476),IF(2476&lt;=3000,INDEX($C$2:$C$1001,476),IF(2476&lt;=4000,INDEX($D$2:$D$1001,-524),IF(2476&lt;=5000,INDEX($E$2:$E$1001,-1524),"")))))</f>
        <v/>
      </c>
    </row>
    <row r="2478">
      <c r="G2478">
        <f>IF(2477&lt;=1000,INDEX($A$2:$A$1001,2477),IF(2477&lt;=2000,INDEX($B$2:$B$1001,1477),IF(2477&lt;=3000,INDEX($C$2:$C$1001,477),IF(2477&lt;=4000,INDEX($D$2:$D$1001,-523),IF(2477&lt;=5000,INDEX($E$2:$E$1001,-1523),"")))))</f>
        <v/>
      </c>
    </row>
    <row r="2479">
      <c r="G2479">
        <f>IF(2478&lt;=1000,INDEX($A$2:$A$1001,2478),IF(2478&lt;=2000,INDEX($B$2:$B$1001,1478),IF(2478&lt;=3000,INDEX($C$2:$C$1001,478),IF(2478&lt;=4000,INDEX($D$2:$D$1001,-522),IF(2478&lt;=5000,INDEX($E$2:$E$1001,-1522),"")))))</f>
        <v/>
      </c>
    </row>
    <row r="2480">
      <c r="G2480">
        <f>IF(2479&lt;=1000,INDEX($A$2:$A$1001,2479),IF(2479&lt;=2000,INDEX($B$2:$B$1001,1479),IF(2479&lt;=3000,INDEX($C$2:$C$1001,479),IF(2479&lt;=4000,INDEX($D$2:$D$1001,-521),IF(2479&lt;=5000,INDEX($E$2:$E$1001,-1521),"")))))</f>
        <v/>
      </c>
    </row>
    <row r="2481">
      <c r="G2481">
        <f>IF(2480&lt;=1000,INDEX($A$2:$A$1001,2480),IF(2480&lt;=2000,INDEX($B$2:$B$1001,1480),IF(2480&lt;=3000,INDEX($C$2:$C$1001,480),IF(2480&lt;=4000,INDEX($D$2:$D$1001,-520),IF(2480&lt;=5000,INDEX($E$2:$E$1001,-1520),"")))))</f>
        <v/>
      </c>
    </row>
    <row r="2482">
      <c r="G2482">
        <f>IF(2481&lt;=1000,INDEX($A$2:$A$1001,2481),IF(2481&lt;=2000,INDEX($B$2:$B$1001,1481),IF(2481&lt;=3000,INDEX($C$2:$C$1001,481),IF(2481&lt;=4000,INDEX($D$2:$D$1001,-519),IF(2481&lt;=5000,INDEX($E$2:$E$1001,-1519),"")))))</f>
        <v/>
      </c>
    </row>
    <row r="2483">
      <c r="G2483">
        <f>IF(2482&lt;=1000,INDEX($A$2:$A$1001,2482),IF(2482&lt;=2000,INDEX($B$2:$B$1001,1482),IF(2482&lt;=3000,INDEX($C$2:$C$1001,482),IF(2482&lt;=4000,INDEX($D$2:$D$1001,-518),IF(2482&lt;=5000,INDEX($E$2:$E$1001,-1518),"")))))</f>
        <v/>
      </c>
    </row>
    <row r="2484">
      <c r="G2484">
        <f>IF(2483&lt;=1000,INDEX($A$2:$A$1001,2483),IF(2483&lt;=2000,INDEX($B$2:$B$1001,1483),IF(2483&lt;=3000,INDEX($C$2:$C$1001,483),IF(2483&lt;=4000,INDEX($D$2:$D$1001,-517),IF(2483&lt;=5000,INDEX($E$2:$E$1001,-1517),"")))))</f>
        <v/>
      </c>
    </row>
    <row r="2485">
      <c r="G2485">
        <f>IF(2484&lt;=1000,INDEX($A$2:$A$1001,2484),IF(2484&lt;=2000,INDEX($B$2:$B$1001,1484),IF(2484&lt;=3000,INDEX($C$2:$C$1001,484),IF(2484&lt;=4000,INDEX($D$2:$D$1001,-516),IF(2484&lt;=5000,INDEX($E$2:$E$1001,-1516),"")))))</f>
        <v/>
      </c>
    </row>
    <row r="2486">
      <c r="G2486">
        <f>IF(2485&lt;=1000,INDEX($A$2:$A$1001,2485),IF(2485&lt;=2000,INDEX($B$2:$B$1001,1485),IF(2485&lt;=3000,INDEX($C$2:$C$1001,485),IF(2485&lt;=4000,INDEX($D$2:$D$1001,-515),IF(2485&lt;=5000,INDEX($E$2:$E$1001,-1515),"")))))</f>
        <v/>
      </c>
    </row>
    <row r="2487">
      <c r="G2487">
        <f>IF(2486&lt;=1000,INDEX($A$2:$A$1001,2486),IF(2486&lt;=2000,INDEX($B$2:$B$1001,1486),IF(2486&lt;=3000,INDEX($C$2:$C$1001,486),IF(2486&lt;=4000,INDEX($D$2:$D$1001,-514),IF(2486&lt;=5000,INDEX($E$2:$E$1001,-1514),"")))))</f>
        <v/>
      </c>
    </row>
    <row r="2488">
      <c r="G2488">
        <f>IF(2487&lt;=1000,INDEX($A$2:$A$1001,2487),IF(2487&lt;=2000,INDEX($B$2:$B$1001,1487),IF(2487&lt;=3000,INDEX($C$2:$C$1001,487),IF(2487&lt;=4000,INDEX($D$2:$D$1001,-513),IF(2487&lt;=5000,INDEX($E$2:$E$1001,-1513),"")))))</f>
        <v/>
      </c>
    </row>
    <row r="2489">
      <c r="G2489">
        <f>IF(2488&lt;=1000,INDEX($A$2:$A$1001,2488),IF(2488&lt;=2000,INDEX($B$2:$B$1001,1488),IF(2488&lt;=3000,INDEX($C$2:$C$1001,488),IF(2488&lt;=4000,INDEX($D$2:$D$1001,-512),IF(2488&lt;=5000,INDEX($E$2:$E$1001,-1512),"")))))</f>
        <v/>
      </c>
    </row>
    <row r="2490">
      <c r="G2490">
        <f>IF(2489&lt;=1000,INDEX($A$2:$A$1001,2489),IF(2489&lt;=2000,INDEX($B$2:$B$1001,1489),IF(2489&lt;=3000,INDEX($C$2:$C$1001,489),IF(2489&lt;=4000,INDEX($D$2:$D$1001,-511),IF(2489&lt;=5000,INDEX($E$2:$E$1001,-1511),"")))))</f>
        <v/>
      </c>
    </row>
    <row r="2491">
      <c r="G2491">
        <f>IF(2490&lt;=1000,INDEX($A$2:$A$1001,2490),IF(2490&lt;=2000,INDEX($B$2:$B$1001,1490),IF(2490&lt;=3000,INDEX($C$2:$C$1001,490),IF(2490&lt;=4000,INDEX($D$2:$D$1001,-510),IF(2490&lt;=5000,INDEX($E$2:$E$1001,-1510),"")))))</f>
        <v/>
      </c>
    </row>
    <row r="2492">
      <c r="G2492">
        <f>IF(2491&lt;=1000,INDEX($A$2:$A$1001,2491),IF(2491&lt;=2000,INDEX($B$2:$B$1001,1491),IF(2491&lt;=3000,INDEX($C$2:$C$1001,491),IF(2491&lt;=4000,INDEX($D$2:$D$1001,-509),IF(2491&lt;=5000,INDEX($E$2:$E$1001,-1509),"")))))</f>
        <v/>
      </c>
    </row>
    <row r="2493">
      <c r="G2493">
        <f>IF(2492&lt;=1000,INDEX($A$2:$A$1001,2492),IF(2492&lt;=2000,INDEX($B$2:$B$1001,1492),IF(2492&lt;=3000,INDEX($C$2:$C$1001,492),IF(2492&lt;=4000,INDEX($D$2:$D$1001,-508),IF(2492&lt;=5000,INDEX($E$2:$E$1001,-1508),"")))))</f>
        <v/>
      </c>
    </row>
    <row r="2494">
      <c r="G2494">
        <f>IF(2493&lt;=1000,INDEX($A$2:$A$1001,2493),IF(2493&lt;=2000,INDEX($B$2:$B$1001,1493),IF(2493&lt;=3000,INDEX($C$2:$C$1001,493),IF(2493&lt;=4000,INDEX($D$2:$D$1001,-507),IF(2493&lt;=5000,INDEX($E$2:$E$1001,-1507),"")))))</f>
        <v/>
      </c>
    </row>
    <row r="2495">
      <c r="G2495">
        <f>IF(2494&lt;=1000,INDEX($A$2:$A$1001,2494),IF(2494&lt;=2000,INDEX($B$2:$B$1001,1494),IF(2494&lt;=3000,INDEX($C$2:$C$1001,494),IF(2494&lt;=4000,INDEX($D$2:$D$1001,-506),IF(2494&lt;=5000,INDEX($E$2:$E$1001,-1506),"")))))</f>
        <v/>
      </c>
    </row>
    <row r="2496">
      <c r="G2496">
        <f>IF(2495&lt;=1000,INDEX($A$2:$A$1001,2495),IF(2495&lt;=2000,INDEX($B$2:$B$1001,1495),IF(2495&lt;=3000,INDEX($C$2:$C$1001,495),IF(2495&lt;=4000,INDEX($D$2:$D$1001,-505),IF(2495&lt;=5000,INDEX($E$2:$E$1001,-1505),"")))))</f>
        <v/>
      </c>
    </row>
    <row r="2497">
      <c r="G2497">
        <f>IF(2496&lt;=1000,INDEX($A$2:$A$1001,2496),IF(2496&lt;=2000,INDEX($B$2:$B$1001,1496),IF(2496&lt;=3000,INDEX($C$2:$C$1001,496),IF(2496&lt;=4000,INDEX($D$2:$D$1001,-504),IF(2496&lt;=5000,INDEX($E$2:$E$1001,-1504),"")))))</f>
        <v/>
      </c>
    </row>
    <row r="2498">
      <c r="G2498">
        <f>IF(2497&lt;=1000,INDEX($A$2:$A$1001,2497),IF(2497&lt;=2000,INDEX($B$2:$B$1001,1497),IF(2497&lt;=3000,INDEX($C$2:$C$1001,497),IF(2497&lt;=4000,INDEX($D$2:$D$1001,-503),IF(2497&lt;=5000,INDEX($E$2:$E$1001,-1503),"")))))</f>
        <v/>
      </c>
    </row>
    <row r="2499">
      <c r="G2499">
        <f>IF(2498&lt;=1000,INDEX($A$2:$A$1001,2498),IF(2498&lt;=2000,INDEX($B$2:$B$1001,1498),IF(2498&lt;=3000,INDEX($C$2:$C$1001,498),IF(2498&lt;=4000,INDEX($D$2:$D$1001,-502),IF(2498&lt;=5000,INDEX($E$2:$E$1001,-1502),"")))))</f>
        <v/>
      </c>
    </row>
    <row r="2500">
      <c r="G2500">
        <f>IF(2499&lt;=1000,INDEX($A$2:$A$1001,2499),IF(2499&lt;=2000,INDEX($B$2:$B$1001,1499),IF(2499&lt;=3000,INDEX($C$2:$C$1001,499),IF(2499&lt;=4000,INDEX($D$2:$D$1001,-501),IF(2499&lt;=5000,INDEX($E$2:$E$1001,-1501),"")))))</f>
        <v/>
      </c>
    </row>
    <row r="2501">
      <c r="G2501">
        <f>IF(2500&lt;=1000,INDEX($A$2:$A$1001,2500),IF(2500&lt;=2000,INDEX($B$2:$B$1001,1500),IF(2500&lt;=3000,INDEX($C$2:$C$1001,500),IF(2500&lt;=4000,INDEX($D$2:$D$1001,-500),IF(2500&lt;=5000,INDEX($E$2:$E$1001,-1500),"")))))</f>
        <v/>
      </c>
    </row>
    <row r="2502">
      <c r="G2502">
        <f>IF(2501&lt;=1000,INDEX($A$2:$A$1001,2501),IF(2501&lt;=2000,INDEX($B$2:$B$1001,1501),IF(2501&lt;=3000,INDEX($C$2:$C$1001,501),IF(2501&lt;=4000,INDEX($D$2:$D$1001,-499),IF(2501&lt;=5000,INDEX($E$2:$E$1001,-1499),"")))))</f>
        <v/>
      </c>
    </row>
    <row r="2503">
      <c r="G2503">
        <f>IF(2502&lt;=1000,INDEX($A$2:$A$1001,2502),IF(2502&lt;=2000,INDEX($B$2:$B$1001,1502),IF(2502&lt;=3000,INDEX($C$2:$C$1001,502),IF(2502&lt;=4000,INDEX($D$2:$D$1001,-498),IF(2502&lt;=5000,INDEX($E$2:$E$1001,-1498),"")))))</f>
        <v/>
      </c>
    </row>
    <row r="2504">
      <c r="G2504">
        <f>IF(2503&lt;=1000,INDEX($A$2:$A$1001,2503),IF(2503&lt;=2000,INDEX($B$2:$B$1001,1503),IF(2503&lt;=3000,INDEX($C$2:$C$1001,503),IF(2503&lt;=4000,INDEX($D$2:$D$1001,-497),IF(2503&lt;=5000,INDEX($E$2:$E$1001,-1497),"")))))</f>
        <v/>
      </c>
    </row>
    <row r="2505">
      <c r="G2505">
        <f>IF(2504&lt;=1000,INDEX($A$2:$A$1001,2504),IF(2504&lt;=2000,INDEX($B$2:$B$1001,1504),IF(2504&lt;=3000,INDEX($C$2:$C$1001,504),IF(2504&lt;=4000,INDEX($D$2:$D$1001,-496),IF(2504&lt;=5000,INDEX($E$2:$E$1001,-1496),"")))))</f>
        <v/>
      </c>
    </row>
    <row r="2506">
      <c r="G2506">
        <f>IF(2505&lt;=1000,INDEX($A$2:$A$1001,2505),IF(2505&lt;=2000,INDEX($B$2:$B$1001,1505),IF(2505&lt;=3000,INDEX($C$2:$C$1001,505),IF(2505&lt;=4000,INDEX($D$2:$D$1001,-495),IF(2505&lt;=5000,INDEX($E$2:$E$1001,-1495),"")))))</f>
        <v/>
      </c>
    </row>
    <row r="2507">
      <c r="G2507">
        <f>IF(2506&lt;=1000,INDEX($A$2:$A$1001,2506),IF(2506&lt;=2000,INDEX($B$2:$B$1001,1506),IF(2506&lt;=3000,INDEX($C$2:$C$1001,506),IF(2506&lt;=4000,INDEX($D$2:$D$1001,-494),IF(2506&lt;=5000,INDEX($E$2:$E$1001,-1494),"")))))</f>
        <v/>
      </c>
    </row>
    <row r="2508">
      <c r="G2508">
        <f>IF(2507&lt;=1000,INDEX($A$2:$A$1001,2507),IF(2507&lt;=2000,INDEX($B$2:$B$1001,1507),IF(2507&lt;=3000,INDEX($C$2:$C$1001,507),IF(2507&lt;=4000,INDEX($D$2:$D$1001,-493),IF(2507&lt;=5000,INDEX($E$2:$E$1001,-1493),"")))))</f>
        <v/>
      </c>
    </row>
    <row r="2509">
      <c r="G2509">
        <f>IF(2508&lt;=1000,INDEX($A$2:$A$1001,2508),IF(2508&lt;=2000,INDEX($B$2:$B$1001,1508),IF(2508&lt;=3000,INDEX($C$2:$C$1001,508),IF(2508&lt;=4000,INDEX($D$2:$D$1001,-492),IF(2508&lt;=5000,INDEX($E$2:$E$1001,-1492),"")))))</f>
        <v/>
      </c>
    </row>
    <row r="2510">
      <c r="G2510">
        <f>IF(2509&lt;=1000,INDEX($A$2:$A$1001,2509),IF(2509&lt;=2000,INDEX($B$2:$B$1001,1509),IF(2509&lt;=3000,INDEX($C$2:$C$1001,509),IF(2509&lt;=4000,INDEX($D$2:$D$1001,-491),IF(2509&lt;=5000,INDEX($E$2:$E$1001,-1491),"")))))</f>
        <v/>
      </c>
    </row>
    <row r="2511">
      <c r="G2511">
        <f>IF(2510&lt;=1000,INDEX($A$2:$A$1001,2510),IF(2510&lt;=2000,INDEX($B$2:$B$1001,1510),IF(2510&lt;=3000,INDEX($C$2:$C$1001,510),IF(2510&lt;=4000,INDEX($D$2:$D$1001,-490),IF(2510&lt;=5000,INDEX($E$2:$E$1001,-1490),"")))))</f>
        <v/>
      </c>
    </row>
    <row r="2512">
      <c r="G2512">
        <f>IF(2511&lt;=1000,INDEX($A$2:$A$1001,2511),IF(2511&lt;=2000,INDEX($B$2:$B$1001,1511),IF(2511&lt;=3000,INDEX($C$2:$C$1001,511),IF(2511&lt;=4000,INDEX($D$2:$D$1001,-489),IF(2511&lt;=5000,INDEX($E$2:$E$1001,-1489),"")))))</f>
        <v/>
      </c>
    </row>
    <row r="2513">
      <c r="G2513">
        <f>IF(2512&lt;=1000,INDEX($A$2:$A$1001,2512),IF(2512&lt;=2000,INDEX($B$2:$B$1001,1512),IF(2512&lt;=3000,INDEX($C$2:$C$1001,512),IF(2512&lt;=4000,INDEX($D$2:$D$1001,-488),IF(2512&lt;=5000,INDEX($E$2:$E$1001,-1488),"")))))</f>
        <v/>
      </c>
    </row>
    <row r="2514">
      <c r="G2514">
        <f>IF(2513&lt;=1000,INDEX($A$2:$A$1001,2513),IF(2513&lt;=2000,INDEX($B$2:$B$1001,1513),IF(2513&lt;=3000,INDEX($C$2:$C$1001,513),IF(2513&lt;=4000,INDEX($D$2:$D$1001,-487),IF(2513&lt;=5000,INDEX($E$2:$E$1001,-1487),"")))))</f>
        <v/>
      </c>
    </row>
    <row r="2515">
      <c r="G2515">
        <f>IF(2514&lt;=1000,INDEX($A$2:$A$1001,2514),IF(2514&lt;=2000,INDEX($B$2:$B$1001,1514),IF(2514&lt;=3000,INDEX($C$2:$C$1001,514),IF(2514&lt;=4000,INDEX($D$2:$D$1001,-486),IF(2514&lt;=5000,INDEX($E$2:$E$1001,-1486),"")))))</f>
        <v/>
      </c>
    </row>
    <row r="2516">
      <c r="G2516">
        <f>IF(2515&lt;=1000,INDEX($A$2:$A$1001,2515),IF(2515&lt;=2000,INDEX($B$2:$B$1001,1515),IF(2515&lt;=3000,INDEX($C$2:$C$1001,515),IF(2515&lt;=4000,INDEX($D$2:$D$1001,-485),IF(2515&lt;=5000,INDEX($E$2:$E$1001,-1485),"")))))</f>
        <v/>
      </c>
    </row>
    <row r="2517">
      <c r="G2517">
        <f>IF(2516&lt;=1000,INDEX($A$2:$A$1001,2516),IF(2516&lt;=2000,INDEX($B$2:$B$1001,1516),IF(2516&lt;=3000,INDEX($C$2:$C$1001,516),IF(2516&lt;=4000,INDEX($D$2:$D$1001,-484),IF(2516&lt;=5000,INDEX($E$2:$E$1001,-1484),"")))))</f>
        <v/>
      </c>
    </row>
    <row r="2518">
      <c r="G2518">
        <f>IF(2517&lt;=1000,INDEX($A$2:$A$1001,2517),IF(2517&lt;=2000,INDEX($B$2:$B$1001,1517),IF(2517&lt;=3000,INDEX($C$2:$C$1001,517),IF(2517&lt;=4000,INDEX($D$2:$D$1001,-483),IF(2517&lt;=5000,INDEX($E$2:$E$1001,-1483),"")))))</f>
        <v/>
      </c>
    </row>
    <row r="2519">
      <c r="G2519">
        <f>IF(2518&lt;=1000,INDEX($A$2:$A$1001,2518),IF(2518&lt;=2000,INDEX($B$2:$B$1001,1518),IF(2518&lt;=3000,INDEX($C$2:$C$1001,518),IF(2518&lt;=4000,INDEX($D$2:$D$1001,-482),IF(2518&lt;=5000,INDEX($E$2:$E$1001,-1482),"")))))</f>
        <v/>
      </c>
    </row>
    <row r="2520">
      <c r="G2520">
        <f>IF(2519&lt;=1000,INDEX($A$2:$A$1001,2519),IF(2519&lt;=2000,INDEX($B$2:$B$1001,1519),IF(2519&lt;=3000,INDEX($C$2:$C$1001,519),IF(2519&lt;=4000,INDEX($D$2:$D$1001,-481),IF(2519&lt;=5000,INDEX($E$2:$E$1001,-1481),"")))))</f>
        <v/>
      </c>
    </row>
    <row r="2521">
      <c r="G2521">
        <f>IF(2520&lt;=1000,INDEX($A$2:$A$1001,2520),IF(2520&lt;=2000,INDEX($B$2:$B$1001,1520),IF(2520&lt;=3000,INDEX($C$2:$C$1001,520),IF(2520&lt;=4000,INDEX($D$2:$D$1001,-480),IF(2520&lt;=5000,INDEX($E$2:$E$1001,-1480),"")))))</f>
        <v/>
      </c>
    </row>
    <row r="2522">
      <c r="G2522">
        <f>IF(2521&lt;=1000,INDEX($A$2:$A$1001,2521),IF(2521&lt;=2000,INDEX($B$2:$B$1001,1521),IF(2521&lt;=3000,INDEX($C$2:$C$1001,521),IF(2521&lt;=4000,INDEX($D$2:$D$1001,-479),IF(2521&lt;=5000,INDEX($E$2:$E$1001,-1479),"")))))</f>
        <v/>
      </c>
    </row>
    <row r="2523">
      <c r="G2523">
        <f>IF(2522&lt;=1000,INDEX($A$2:$A$1001,2522),IF(2522&lt;=2000,INDEX($B$2:$B$1001,1522),IF(2522&lt;=3000,INDEX($C$2:$C$1001,522),IF(2522&lt;=4000,INDEX($D$2:$D$1001,-478),IF(2522&lt;=5000,INDEX($E$2:$E$1001,-1478),"")))))</f>
        <v/>
      </c>
    </row>
    <row r="2524">
      <c r="G2524">
        <f>IF(2523&lt;=1000,INDEX($A$2:$A$1001,2523),IF(2523&lt;=2000,INDEX($B$2:$B$1001,1523),IF(2523&lt;=3000,INDEX($C$2:$C$1001,523),IF(2523&lt;=4000,INDEX($D$2:$D$1001,-477),IF(2523&lt;=5000,INDEX($E$2:$E$1001,-1477),"")))))</f>
        <v/>
      </c>
    </row>
    <row r="2525">
      <c r="G2525">
        <f>IF(2524&lt;=1000,INDEX($A$2:$A$1001,2524),IF(2524&lt;=2000,INDEX($B$2:$B$1001,1524),IF(2524&lt;=3000,INDEX($C$2:$C$1001,524),IF(2524&lt;=4000,INDEX($D$2:$D$1001,-476),IF(2524&lt;=5000,INDEX($E$2:$E$1001,-1476),"")))))</f>
        <v/>
      </c>
    </row>
    <row r="2526">
      <c r="G2526">
        <f>IF(2525&lt;=1000,INDEX($A$2:$A$1001,2525),IF(2525&lt;=2000,INDEX($B$2:$B$1001,1525),IF(2525&lt;=3000,INDEX($C$2:$C$1001,525),IF(2525&lt;=4000,INDEX($D$2:$D$1001,-475),IF(2525&lt;=5000,INDEX($E$2:$E$1001,-1475),"")))))</f>
        <v/>
      </c>
    </row>
    <row r="2527">
      <c r="G2527">
        <f>IF(2526&lt;=1000,INDEX($A$2:$A$1001,2526),IF(2526&lt;=2000,INDEX($B$2:$B$1001,1526),IF(2526&lt;=3000,INDEX($C$2:$C$1001,526),IF(2526&lt;=4000,INDEX($D$2:$D$1001,-474),IF(2526&lt;=5000,INDEX($E$2:$E$1001,-1474),"")))))</f>
        <v/>
      </c>
    </row>
    <row r="2528">
      <c r="G2528">
        <f>IF(2527&lt;=1000,INDEX($A$2:$A$1001,2527),IF(2527&lt;=2000,INDEX($B$2:$B$1001,1527),IF(2527&lt;=3000,INDEX($C$2:$C$1001,527),IF(2527&lt;=4000,INDEX($D$2:$D$1001,-473),IF(2527&lt;=5000,INDEX($E$2:$E$1001,-1473),"")))))</f>
        <v/>
      </c>
    </row>
    <row r="2529">
      <c r="G2529">
        <f>IF(2528&lt;=1000,INDEX($A$2:$A$1001,2528),IF(2528&lt;=2000,INDEX($B$2:$B$1001,1528),IF(2528&lt;=3000,INDEX($C$2:$C$1001,528),IF(2528&lt;=4000,INDEX($D$2:$D$1001,-472),IF(2528&lt;=5000,INDEX($E$2:$E$1001,-1472),"")))))</f>
        <v/>
      </c>
    </row>
    <row r="2530">
      <c r="G2530">
        <f>IF(2529&lt;=1000,INDEX($A$2:$A$1001,2529),IF(2529&lt;=2000,INDEX($B$2:$B$1001,1529),IF(2529&lt;=3000,INDEX($C$2:$C$1001,529),IF(2529&lt;=4000,INDEX($D$2:$D$1001,-471),IF(2529&lt;=5000,INDEX($E$2:$E$1001,-1471),"")))))</f>
        <v/>
      </c>
    </row>
    <row r="2531">
      <c r="G2531">
        <f>IF(2530&lt;=1000,INDEX($A$2:$A$1001,2530),IF(2530&lt;=2000,INDEX($B$2:$B$1001,1530),IF(2530&lt;=3000,INDEX($C$2:$C$1001,530),IF(2530&lt;=4000,INDEX($D$2:$D$1001,-470),IF(2530&lt;=5000,INDEX($E$2:$E$1001,-1470),"")))))</f>
        <v/>
      </c>
    </row>
    <row r="2532">
      <c r="G2532">
        <f>IF(2531&lt;=1000,INDEX($A$2:$A$1001,2531),IF(2531&lt;=2000,INDEX($B$2:$B$1001,1531),IF(2531&lt;=3000,INDEX($C$2:$C$1001,531),IF(2531&lt;=4000,INDEX($D$2:$D$1001,-469),IF(2531&lt;=5000,INDEX($E$2:$E$1001,-1469),"")))))</f>
        <v/>
      </c>
    </row>
    <row r="2533">
      <c r="G2533">
        <f>IF(2532&lt;=1000,INDEX($A$2:$A$1001,2532),IF(2532&lt;=2000,INDEX($B$2:$B$1001,1532),IF(2532&lt;=3000,INDEX($C$2:$C$1001,532),IF(2532&lt;=4000,INDEX($D$2:$D$1001,-468),IF(2532&lt;=5000,INDEX($E$2:$E$1001,-1468),"")))))</f>
        <v/>
      </c>
    </row>
    <row r="2534">
      <c r="G2534">
        <f>IF(2533&lt;=1000,INDEX($A$2:$A$1001,2533),IF(2533&lt;=2000,INDEX($B$2:$B$1001,1533),IF(2533&lt;=3000,INDEX($C$2:$C$1001,533),IF(2533&lt;=4000,INDEX($D$2:$D$1001,-467),IF(2533&lt;=5000,INDEX($E$2:$E$1001,-1467),"")))))</f>
        <v/>
      </c>
    </row>
    <row r="2535">
      <c r="G2535">
        <f>IF(2534&lt;=1000,INDEX($A$2:$A$1001,2534),IF(2534&lt;=2000,INDEX($B$2:$B$1001,1534),IF(2534&lt;=3000,INDEX($C$2:$C$1001,534),IF(2534&lt;=4000,INDEX($D$2:$D$1001,-466),IF(2534&lt;=5000,INDEX($E$2:$E$1001,-1466),"")))))</f>
        <v/>
      </c>
    </row>
    <row r="2536">
      <c r="G2536">
        <f>IF(2535&lt;=1000,INDEX($A$2:$A$1001,2535),IF(2535&lt;=2000,INDEX($B$2:$B$1001,1535),IF(2535&lt;=3000,INDEX($C$2:$C$1001,535),IF(2535&lt;=4000,INDEX($D$2:$D$1001,-465),IF(2535&lt;=5000,INDEX($E$2:$E$1001,-1465),"")))))</f>
        <v/>
      </c>
    </row>
    <row r="2537">
      <c r="G2537">
        <f>IF(2536&lt;=1000,INDEX($A$2:$A$1001,2536),IF(2536&lt;=2000,INDEX($B$2:$B$1001,1536),IF(2536&lt;=3000,INDEX($C$2:$C$1001,536),IF(2536&lt;=4000,INDEX($D$2:$D$1001,-464),IF(2536&lt;=5000,INDEX($E$2:$E$1001,-1464),"")))))</f>
        <v/>
      </c>
    </row>
    <row r="2538">
      <c r="G2538">
        <f>IF(2537&lt;=1000,INDEX($A$2:$A$1001,2537),IF(2537&lt;=2000,INDEX($B$2:$B$1001,1537),IF(2537&lt;=3000,INDEX($C$2:$C$1001,537),IF(2537&lt;=4000,INDEX($D$2:$D$1001,-463),IF(2537&lt;=5000,INDEX($E$2:$E$1001,-1463),"")))))</f>
        <v/>
      </c>
    </row>
    <row r="2539">
      <c r="G2539">
        <f>IF(2538&lt;=1000,INDEX($A$2:$A$1001,2538),IF(2538&lt;=2000,INDEX($B$2:$B$1001,1538),IF(2538&lt;=3000,INDEX($C$2:$C$1001,538),IF(2538&lt;=4000,INDEX($D$2:$D$1001,-462),IF(2538&lt;=5000,INDEX($E$2:$E$1001,-1462),"")))))</f>
        <v/>
      </c>
    </row>
    <row r="2540">
      <c r="G2540">
        <f>IF(2539&lt;=1000,INDEX($A$2:$A$1001,2539),IF(2539&lt;=2000,INDEX($B$2:$B$1001,1539),IF(2539&lt;=3000,INDEX($C$2:$C$1001,539),IF(2539&lt;=4000,INDEX($D$2:$D$1001,-461),IF(2539&lt;=5000,INDEX($E$2:$E$1001,-1461),"")))))</f>
        <v/>
      </c>
    </row>
    <row r="2541">
      <c r="G2541">
        <f>IF(2540&lt;=1000,INDEX($A$2:$A$1001,2540),IF(2540&lt;=2000,INDEX($B$2:$B$1001,1540),IF(2540&lt;=3000,INDEX($C$2:$C$1001,540),IF(2540&lt;=4000,INDEX($D$2:$D$1001,-460),IF(2540&lt;=5000,INDEX($E$2:$E$1001,-1460),"")))))</f>
        <v/>
      </c>
    </row>
    <row r="2542">
      <c r="G2542">
        <f>IF(2541&lt;=1000,INDEX($A$2:$A$1001,2541),IF(2541&lt;=2000,INDEX($B$2:$B$1001,1541),IF(2541&lt;=3000,INDEX($C$2:$C$1001,541),IF(2541&lt;=4000,INDEX($D$2:$D$1001,-459),IF(2541&lt;=5000,INDEX($E$2:$E$1001,-1459),"")))))</f>
        <v/>
      </c>
    </row>
    <row r="2543">
      <c r="G2543">
        <f>IF(2542&lt;=1000,INDEX($A$2:$A$1001,2542),IF(2542&lt;=2000,INDEX($B$2:$B$1001,1542),IF(2542&lt;=3000,INDEX($C$2:$C$1001,542),IF(2542&lt;=4000,INDEX($D$2:$D$1001,-458),IF(2542&lt;=5000,INDEX($E$2:$E$1001,-1458),"")))))</f>
        <v/>
      </c>
    </row>
    <row r="2544">
      <c r="G2544">
        <f>IF(2543&lt;=1000,INDEX($A$2:$A$1001,2543),IF(2543&lt;=2000,INDEX($B$2:$B$1001,1543),IF(2543&lt;=3000,INDEX($C$2:$C$1001,543),IF(2543&lt;=4000,INDEX($D$2:$D$1001,-457),IF(2543&lt;=5000,INDEX($E$2:$E$1001,-1457),"")))))</f>
        <v/>
      </c>
    </row>
    <row r="2545">
      <c r="G2545">
        <f>IF(2544&lt;=1000,INDEX($A$2:$A$1001,2544),IF(2544&lt;=2000,INDEX($B$2:$B$1001,1544),IF(2544&lt;=3000,INDEX($C$2:$C$1001,544),IF(2544&lt;=4000,INDEX($D$2:$D$1001,-456),IF(2544&lt;=5000,INDEX($E$2:$E$1001,-1456),"")))))</f>
        <v/>
      </c>
    </row>
    <row r="2546">
      <c r="G2546">
        <f>IF(2545&lt;=1000,INDEX($A$2:$A$1001,2545),IF(2545&lt;=2000,INDEX($B$2:$B$1001,1545),IF(2545&lt;=3000,INDEX($C$2:$C$1001,545),IF(2545&lt;=4000,INDEX($D$2:$D$1001,-455),IF(2545&lt;=5000,INDEX($E$2:$E$1001,-1455),"")))))</f>
        <v/>
      </c>
    </row>
    <row r="2547">
      <c r="G2547">
        <f>IF(2546&lt;=1000,INDEX($A$2:$A$1001,2546),IF(2546&lt;=2000,INDEX($B$2:$B$1001,1546),IF(2546&lt;=3000,INDEX($C$2:$C$1001,546),IF(2546&lt;=4000,INDEX($D$2:$D$1001,-454),IF(2546&lt;=5000,INDEX($E$2:$E$1001,-1454),"")))))</f>
        <v/>
      </c>
    </row>
    <row r="2548">
      <c r="G2548">
        <f>IF(2547&lt;=1000,INDEX($A$2:$A$1001,2547),IF(2547&lt;=2000,INDEX($B$2:$B$1001,1547),IF(2547&lt;=3000,INDEX($C$2:$C$1001,547),IF(2547&lt;=4000,INDEX($D$2:$D$1001,-453),IF(2547&lt;=5000,INDEX($E$2:$E$1001,-1453),"")))))</f>
        <v/>
      </c>
    </row>
    <row r="2549">
      <c r="G2549">
        <f>IF(2548&lt;=1000,INDEX($A$2:$A$1001,2548),IF(2548&lt;=2000,INDEX($B$2:$B$1001,1548),IF(2548&lt;=3000,INDEX($C$2:$C$1001,548),IF(2548&lt;=4000,INDEX($D$2:$D$1001,-452),IF(2548&lt;=5000,INDEX($E$2:$E$1001,-1452),"")))))</f>
        <v/>
      </c>
    </row>
    <row r="2550">
      <c r="G2550">
        <f>IF(2549&lt;=1000,INDEX($A$2:$A$1001,2549),IF(2549&lt;=2000,INDEX($B$2:$B$1001,1549),IF(2549&lt;=3000,INDEX($C$2:$C$1001,549),IF(2549&lt;=4000,INDEX($D$2:$D$1001,-451),IF(2549&lt;=5000,INDEX($E$2:$E$1001,-1451),"")))))</f>
        <v/>
      </c>
    </row>
    <row r="2551">
      <c r="G2551">
        <f>IF(2550&lt;=1000,INDEX($A$2:$A$1001,2550),IF(2550&lt;=2000,INDEX($B$2:$B$1001,1550),IF(2550&lt;=3000,INDEX($C$2:$C$1001,550),IF(2550&lt;=4000,INDEX($D$2:$D$1001,-450),IF(2550&lt;=5000,INDEX($E$2:$E$1001,-1450),"")))))</f>
        <v/>
      </c>
    </row>
    <row r="2552">
      <c r="G2552">
        <f>IF(2551&lt;=1000,INDEX($A$2:$A$1001,2551),IF(2551&lt;=2000,INDEX($B$2:$B$1001,1551),IF(2551&lt;=3000,INDEX($C$2:$C$1001,551),IF(2551&lt;=4000,INDEX($D$2:$D$1001,-449),IF(2551&lt;=5000,INDEX($E$2:$E$1001,-1449),"")))))</f>
        <v/>
      </c>
    </row>
    <row r="2553">
      <c r="G2553">
        <f>IF(2552&lt;=1000,INDEX($A$2:$A$1001,2552),IF(2552&lt;=2000,INDEX($B$2:$B$1001,1552),IF(2552&lt;=3000,INDEX($C$2:$C$1001,552),IF(2552&lt;=4000,INDEX($D$2:$D$1001,-448),IF(2552&lt;=5000,INDEX($E$2:$E$1001,-1448),"")))))</f>
        <v/>
      </c>
    </row>
    <row r="2554">
      <c r="G2554">
        <f>IF(2553&lt;=1000,INDEX($A$2:$A$1001,2553),IF(2553&lt;=2000,INDEX($B$2:$B$1001,1553),IF(2553&lt;=3000,INDEX($C$2:$C$1001,553),IF(2553&lt;=4000,INDEX($D$2:$D$1001,-447),IF(2553&lt;=5000,INDEX($E$2:$E$1001,-1447),"")))))</f>
        <v/>
      </c>
    </row>
    <row r="2555">
      <c r="G2555">
        <f>IF(2554&lt;=1000,INDEX($A$2:$A$1001,2554),IF(2554&lt;=2000,INDEX($B$2:$B$1001,1554),IF(2554&lt;=3000,INDEX($C$2:$C$1001,554),IF(2554&lt;=4000,INDEX($D$2:$D$1001,-446),IF(2554&lt;=5000,INDEX($E$2:$E$1001,-1446),"")))))</f>
        <v/>
      </c>
    </row>
    <row r="2556">
      <c r="G2556">
        <f>IF(2555&lt;=1000,INDEX($A$2:$A$1001,2555),IF(2555&lt;=2000,INDEX($B$2:$B$1001,1555),IF(2555&lt;=3000,INDEX($C$2:$C$1001,555),IF(2555&lt;=4000,INDEX($D$2:$D$1001,-445),IF(2555&lt;=5000,INDEX($E$2:$E$1001,-1445),"")))))</f>
        <v/>
      </c>
    </row>
    <row r="2557">
      <c r="G2557">
        <f>IF(2556&lt;=1000,INDEX($A$2:$A$1001,2556),IF(2556&lt;=2000,INDEX($B$2:$B$1001,1556),IF(2556&lt;=3000,INDEX($C$2:$C$1001,556),IF(2556&lt;=4000,INDEX($D$2:$D$1001,-444),IF(2556&lt;=5000,INDEX($E$2:$E$1001,-1444),"")))))</f>
        <v/>
      </c>
    </row>
    <row r="2558">
      <c r="G2558">
        <f>IF(2557&lt;=1000,INDEX($A$2:$A$1001,2557),IF(2557&lt;=2000,INDEX($B$2:$B$1001,1557),IF(2557&lt;=3000,INDEX($C$2:$C$1001,557),IF(2557&lt;=4000,INDEX($D$2:$D$1001,-443),IF(2557&lt;=5000,INDEX($E$2:$E$1001,-1443),"")))))</f>
        <v/>
      </c>
    </row>
    <row r="2559">
      <c r="G2559">
        <f>IF(2558&lt;=1000,INDEX($A$2:$A$1001,2558),IF(2558&lt;=2000,INDEX($B$2:$B$1001,1558),IF(2558&lt;=3000,INDEX($C$2:$C$1001,558),IF(2558&lt;=4000,INDEX($D$2:$D$1001,-442),IF(2558&lt;=5000,INDEX($E$2:$E$1001,-1442),"")))))</f>
        <v/>
      </c>
    </row>
    <row r="2560">
      <c r="G2560">
        <f>IF(2559&lt;=1000,INDEX($A$2:$A$1001,2559),IF(2559&lt;=2000,INDEX($B$2:$B$1001,1559),IF(2559&lt;=3000,INDEX($C$2:$C$1001,559),IF(2559&lt;=4000,INDEX($D$2:$D$1001,-441),IF(2559&lt;=5000,INDEX($E$2:$E$1001,-1441),"")))))</f>
        <v/>
      </c>
    </row>
    <row r="2561">
      <c r="G2561">
        <f>IF(2560&lt;=1000,INDEX($A$2:$A$1001,2560),IF(2560&lt;=2000,INDEX($B$2:$B$1001,1560),IF(2560&lt;=3000,INDEX($C$2:$C$1001,560),IF(2560&lt;=4000,INDEX($D$2:$D$1001,-440),IF(2560&lt;=5000,INDEX($E$2:$E$1001,-1440),"")))))</f>
        <v/>
      </c>
    </row>
    <row r="2562">
      <c r="G2562">
        <f>IF(2561&lt;=1000,INDEX($A$2:$A$1001,2561),IF(2561&lt;=2000,INDEX($B$2:$B$1001,1561),IF(2561&lt;=3000,INDEX($C$2:$C$1001,561),IF(2561&lt;=4000,INDEX($D$2:$D$1001,-439),IF(2561&lt;=5000,INDEX($E$2:$E$1001,-1439),"")))))</f>
        <v/>
      </c>
    </row>
    <row r="2563">
      <c r="G2563">
        <f>IF(2562&lt;=1000,INDEX($A$2:$A$1001,2562),IF(2562&lt;=2000,INDEX($B$2:$B$1001,1562),IF(2562&lt;=3000,INDEX($C$2:$C$1001,562),IF(2562&lt;=4000,INDEX($D$2:$D$1001,-438),IF(2562&lt;=5000,INDEX($E$2:$E$1001,-1438),"")))))</f>
        <v/>
      </c>
    </row>
    <row r="2564">
      <c r="G2564">
        <f>IF(2563&lt;=1000,INDEX($A$2:$A$1001,2563),IF(2563&lt;=2000,INDEX($B$2:$B$1001,1563),IF(2563&lt;=3000,INDEX($C$2:$C$1001,563),IF(2563&lt;=4000,INDEX($D$2:$D$1001,-437),IF(2563&lt;=5000,INDEX($E$2:$E$1001,-1437),"")))))</f>
        <v/>
      </c>
    </row>
    <row r="2565">
      <c r="G2565">
        <f>IF(2564&lt;=1000,INDEX($A$2:$A$1001,2564),IF(2564&lt;=2000,INDEX($B$2:$B$1001,1564),IF(2564&lt;=3000,INDEX($C$2:$C$1001,564),IF(2564&lt;=4000,INDEX($D$2:$D$1001,-436),IF(2564&lt;=5000,INDEX($E$2:$E$1001,-1436),"")))))</f>
        <v/>
      </c>
    </row>
    <row r="2566">
      <c r="G2566">
        <f>IF(2565&lt;=1000,INDEX($A$2:$A$1001,2565),IF(2565&lt;=2000,INDEX($B$2:$B$1001,1565),IF(2565&lt;=3000,INDEX($C$2:$C$1001,565),IF(2565&lt;=4000,INDEX($D$2:$D$1001,-435),IF(2565&lt;=5000,INDEX($E$2:$E$1001,-1435),"")))))</f>
        <v/>
      </c>
    </row>
    <row r="2567">
      <c r="G2567">
        <f>IF(2566&lt;=1000,INDEX($A$2:$A$1001,2566),IF(2566&lt;=2000,INDEX($B$2:$B$1001,1566),IF(2566&lt;=3000,INDEX($C$2:$C$1001,566),IF(2566&lt;=4000,INDEX($D$2:$D$1001,-434),IF(2566&lt;=5000,INDEX($E$2:$E$1001,-1434),"")))))</f>
        <v/>
      </c>
    </row>
    <row r="2568">
      <c r="G2568">
        <f>IF(2567&lt;=1000,INDEX($A$2:$A$1001,2567),IF(2567&lt;=2000,INDEX($B$2:$B$1001,1567),IF(2567&lt;=3000,INDEX($C$2:$C$1001,567),IF(2567&lt;=4000,INDEX($D$2:$D$1001,-433),IF(2567&lt;=5000,INDEX($E$2:$E$1001,-1433),"")))))</f>
        <v/>
      </c>
    </row>
    <row r="2569">
      <c r="G2569">
        <f>IF(2568&lt;=1000,INDEX($A$2:$A$1001,2568),IF(2568&lt;=2000,INDEX($B$2:$B$1001,1568),IF(2568&lt;=3000,INDEX($C$2:$C$1001,568),IF(2568&lt;=4000,INDEX($D$2:$D$1001,-432),IF(2568&lt;=5000,INDEX($E$2:$E$1001,-1432),"")))))</f>
        <v/>
      </c>
    </row>
    <row r="2570">
      <c r="G2570">
        <f>IF(2569&lt;=1000,INDEX($A$2:$A$1001,2569),IF(2569&lt;=2000,INDEX($B$2:$B$1001,1569),IF(2569&lt;=3000,INDEX($C$2:$C$1001,569),IF(2569&lt;=4000,INDEX($D$2:$D$1001,-431),IF(2569&lt;=5000,INDEX($E$2:$E$1001,-1431),"")))))</f>
        <v/>
      </c>
    </row>
    <row r="2571">
      <c r="G2571">
        <f>IF(2570&lt;=1000,INDEX($A$2:$A$1001,2570),IF(2570&lt;=2000,INDEX($B$2:$B$1001,1570),IF(2570&lt;=3000,INDEX($C$2:$C$1001,570),IF(2570&lt;=4000,INDEX($D$2:$D$1001,-430),IF(2570&lt;=5000,INDEX($E$2:$E$1001,-1430),"")))))</f>
        <v/>
      </c>
    </row>
    <row r="2572">
      <c r="G2572">
        <f>IF(2571&lt;=1000,INDEX($A$2:$A$1001,2571),IF(2571&lt;=2000,INDEX($B$2:$B$1001,1571),IF(2571&lt;=3000,INDEX($C$2:$C$1001,571),IF(2571&lt;=4000,INDEX($D$2:$D$1001,-429),IF(2571&lt;=5000,INDEX($E$2:$E$1001,-1429),"")))))</f>
        <v/>
      </c>
    </row>
    <row r="2573">
      <c r="G2573">
        <f>IF(2572&lt;=1000,INDEX($A$2:$A$1001,2572),IF(2572&lt;=2000,INDEX($B$2:$B$1001,1572),IF(2572&lt;=3000,INDEX($C$2:$C$1001,572),IF(2572&lt;=4000,INDEX($D$2:$D$1001,-428),IF(2572&lt;=5000,INDEX($E$2:$E$1001,-1428),"")))))</f>
        <v/>
      </c>
    </row>
    <row r="2574">
      <c r="G2574">
        <f>IF(2573&lt;=1000,INDEX($A$2:$A$1001,2573),IF(2573&lt;=2000,INDEX($B$2:$B$1001,1573),IF(2573&lt;=3000,INDEX($C$2:$C$1001,573),IF(2573&lt;=4000,INDEX($D$2:$D$1001,-427),IF(2573&lt;=5000,INDEX($E$2:$E$1001,-1427),"")))))</f>
        <v/>
      </c>
    </row>
    <row r="2575">
      <c r="G2575">
        <f>IF(2574&lt;=1000,INDEX($A$2:$A$1001,2574),IF(2574&lt;=2000,INDEX($B$2:$B$1001,1574),IF(2574&lt;=3000,INDEX($C$2:$C$1001,574),IF(2574&lt;=4000,INDEX($D$2:$D$1001,-426),IF(2574&lt;=5000,INDEX($E$2:$E$1001,-1426),"")))))</f>
        <v/>
      </c>
    </row>
    <row r="2576">
      <c r="G2576">
        <f>IF(2575&lt;=1000,INDEX($A$2:$A$1001,2575),IF(2575&lt;=2000,INDEX($B$2:$B$1001,1575),IF(2575&lt;=3000,INDEX($C$2:$C$1001,575),IF(2575&lt;=4000,INDEX($D$2:$D$1001,-425),IF(2575&lt;=5000,INDEX($E$2:$E$1001,-1425),"")))))</f>
        <v/>
      </c>
    </row>
    <row r="2577">
      <c r="G2577">
        <f>IF(2576&lt;=1000,INDEX($A$2:$A$1001,2576),IF(2576&lt;=2000,INDEX($B$2:$B$1001,1576),IF(2576&lt;=3000,INDEX($C$2:$C$1001,576),IF(2576&lt;=4000,INDEX($D$2:$D$1001,-424),IF(2576&lt;=5000,INDEX($E$2:$E$1001,-1424),"")))))</f>
        <v/>
      </c>
    </row>
    <row r="2578">
      <c r="G2578">
        <f>IF(2577&lt;=1000,INDEX($A$2:$A$1001,2577),IF(2577&lt;=2000,INDEX($B$2:$B$1001,1577),IF(2577&lt;=3000,INDEX($C$2:$C$1001,577),IF(2577&lt;=4000,INDEX($D$2:$D$1001,-423),IF(2577&lt;=5000,INDEX($E$2:$E$1001,-1423),"")))))</f>
        <v/>
      </c>
    </row>
    <row r="2579">
      <c r="G2579">
        <f>IF(2578&lt;=1000,INDEX($A$2:$A$1001,2578),IF(2578&lt;=2000,INDEX($B$2:$B$1001,1578),IF(2578&lt;=3000,INDEX($C$2:$C$1001,578),IF(2578&lt;=4000,INDEX($D$2:$D$1001,-422),IF(2578&lt;=5000,INDEX($E$2:$E$1001,-1422),"")))))</f>
        <v/>
      </c>
    </row>
    <row r="2580">
      <c r="G2580">
        <f>IF(2579&lt;=1000,INDEX($A$2:$A$1001,2579),IF(2579&lt;=2000,INDEX($B$2:$B$1001,1579),IF(2579&lt;=3000,INDEX($C$2:$C$1001,579),IF(2579&lt;=4000,INDEX($D$2:$D$1001,-421),IF(2579&lt;=5000,INDEX($E$2:$E$1001,-1421),"")))))</f>
        <v/>
      </c>
    </row>
    <row r="2581">
      <c r="G2581">
        <f>IF(2580&lt;=1000,INDEX($A$2:$A$1001,2580),IF(2580&lt;=2000,INDEX($B$2:$B$1001,1580),IF(2580&lt;=3000,INDEX($C$2:$C$1001,580),IF(2580&lt;=4000,INDEX($D$2:$D$1001,-420),IF(2580&lt;=5000,INDEX($E$2:$E$1001,-1420),"")))))</f>
        <v/>
      </c>
    </row>
    <row r="2582">
      <c r="G2582">
        <f>IF(2581&lt;=1000,INDEX($A$2:$A$1001,2581),IF(2581&lt;=2000,INDEX($B$2:$B$1001,1581),IF(2581&lt;=3000,INDEX($C$2:$C$1001,581),IF(2581&lt;=4000,INDEX($D$2:$D$1001,-419),IF(2581&lt;=5000,INDEX($E$2:$E$1001,-1419),"")))))</f>
        <v/>
      </c>
    </row>
    <row r="2583">
      <c r="G2583">
        <f>IF(2582&lt;=1000,INDEX($A$2:$A$1001,2582),IF(2582&lt;=2000,INDEX($B$2:$B$1001,1582),IF(2582&lt;=3000,INDEX($C$2:$C$1001,582),IF(2582&lt;=4000,INDEX($D$2:$D$1001,-418),IF(2582&lt;=5000,INDEX($E$2:$E$1001,-1418),"")))))</f>
        <v/>
      </c>
    </row>
    <row r="2584">
      <c r="G2584">
        <f>IF(2583&lt;=1000,INDEX($A$2:$A$1001,2583),IF(2583&lt;=2000,INDEX($B$2:$B$1001,1583),IF(2583&lt;=3000,INDEX($C$2:$C$1001,583),IF(2583&lt;=4000,INDEX($D$2:$D$1001,-417),IF(2583&lt;=5000,INDEX($E$2:$E$1001,-1417),"")))))</f>
        <v/>
      </c>
    </row>
    <row r="2585">
      <c r="G2585">
        <f>IF(2584&lt;=1000,INDEX($A$2:$A$1001,2584),IF(2584&lt;=2000,INDEX($B$2:$B$1001,1584),IF(2584&lt;=3000,INDEX($C$2:$C$1001,584),IF(2584&lt;=4000,INDEX($D$2:$D$1001,-416),IF(2584&lt;=5000,INDEX($E$2:$E$1001,-1416),"")))))</f>
        <v/>
      </c>
    </row>
    <row r="2586">
      <c r="G2586">
        <f>IF(2585&lt;=1000,INDEX($A$2:$A$1001,2585),IF(2585&lt;=2000,INDEX($B$2:$B$1001,1585),IF(2585&lt;=3000,INDEX($C$2:$C$1001,585),IF(2585&lt;=4000,INDEX($D$2:$D$1001,-415),IF(2585&lt;=5000,INDEX($E$2:$E$1001,-1415),"")))))</f>
        <v/>
      </c>
    </row>
    <row r="2587">
      <c r="G2587">
        <f>IF(2586&lt;=1000,INDEX($A$2:$A$1001,2586),IF(2586&lt;=2000,INDEX($B$2:$B$1001,1586),IF(2586&lt;=3000,INDEX($C$2:$C$1001,586),IF(2586&lt;=4000,INDEX($D$2:$D$1001,-414),IF(2586&lt;=5000,INDEX($E$2:$E$1001,-1414),"")))))</f>
        <v/>
      </c>
    </row>
    <row r="2588">
      <c r="G2588">
        <f>IF(2587&lt;=1000,INDEX($A$2:$A$1001,2587),IF(2587&lt;=2000,INDEX($B$2:$B$1001,1587),IF(2587&lt;=3000,INDEX($C$2:$C$1001,587),IF(2587&lt;=4000,INDEX($D$2:$D$1001,-413),IF(2587&lt;=5000,INDEX($E$2:$E$1001,-1413),"")))))</f>
        <v/>
      </c>
    </row>
    <row r="2589">
      <c r="G2589">
        <f>IF(2588&lt;=1000,INDEX($A$2:$A$1001,2588),IF(2588&lt;=2000,INDEX($B$2:$B$1001,1588),IF(2588&lt;=3000,INDEX($C$2:$C$1001,588),IF(2588&lt;=4000,INDEX($D$2:$D$1001,-412),IF(2588&lt;=5000,INDEX($E$2:$E$1001,-1412),"")))))</f>
        <v/>
      </c>
    </row>
    <row r="2590">
      <c r="G2590">
        <f>IF(2589&lt;=1000,INDEX($A$2:$A$1001,2589),IF(2589&lt;=2000,INDEX($B$2:$B$1001,1589),IF(2589&lt;=3000,INDEX($C$2:$C$1001,589),IF(2589&lt;=4000,INDEX($D$2:$D$1001,-411),IF(2589&lt;=5000,INDEX($E$2:$E$1001,-1411),"")))))</f>
        <v/>
      </c>
    </row>
    <row r="2591">
      <c r="G2591">
        <f>IF(2590&lt;=1000,INDEX($A$2:$A$1001,2590),IF(2590&lt;=2000,INDEX($B$2:$B$1001,1590),IF(2590&lt;=3000,INDEX($C$2:$C$1001,590),IF(2590&lt;=4000,INDEX($D$2:$D$1001,-410),IF(2590&lt;=5000,INDEX($E$2:$E$1001,-1410),"")))))</f>
        <v/>
      </c>
    </row>
    <row r="2592">
      <c r="G2592">
        <f>IF(2591&lt;=1000,INDEX($A$2:$A$1001,2591),IF(2591&lt;=2000,INDEX($B$2:$B$1001,1591),IF(2591&lt;=3000,INDEX($C$2:$C$1001,591),IF(2591&lt;=4000,INDEX($D$2:$D$1001,-409),IF(2591&lt;=5000,INDEX($E$2:$E$1001,-1409),"")))))</f>
        <v/>
      </c>
    </row>
    <row r="2593">
      <c r="G2593">
        <f>IF(2592&lt;=1000,INDEX($A$2:$A$1001,2592),IF(2592&lt;=2000,INDEX($B$2:$B$1001,1592),IF(2592&lt;=3000,INDEX($C$2:$C$1001,592),IF(2592&lt;=4000,INDEX($D$2:$D$1001,-408),IF(2592&lt;=5000,INDEX($E$2:$E$1001,-1408),"")))))</f>
        <v/>
      </c>
    </row>
    <row r="2594">
      <c r="G2594">
        <f>IF(2593&lt;=1000,INDEX($A$2:$A$1001,2593),IF(2593&lt;=2000,INDEX($B$2:$B$1001,1593),IF(2593&lt;=3000,INDEX($C$2:$C$1001,593),IF(2593&lt;=4000,INDEX($D$2:$D$1001,-407),IF(2593&lt;=5000,INDEX($E$2:$E$1001,-1407),"")))))</f>
        <v/>
      </c>
    </row>
    <row r="2595">
      <c r="G2595">
        <f>IF(2594&lt;=1000,INDEX($A$2:$A$1001,2594),IF(2594&lt;=2000,INDEX($B$2:$B$1001,1594),IF(2594&lt;=3000,INDEX($C$2:$C$1001,594),IF(2594&lt;=4000,INDEX($D$2:$D$1001,-406),IF(2594&lt;=5000,INDEX($E$2:$E$1001,-1406),"")))))</f>
        <v/>
      </c>
    </row>
    <row r="2596">
      <c r="G2596">
        <f>IF(2595&lt;=1000,INDEX($A$2:$A$1001,2595),IF(2595&lt;=2000,INDEX($B$2:$B$1001,1595),IF(2595&lt;=3000,INDEX($C$2:$C$1001,595),IF(2595&lt;=4000,INDEX($D$2:$D$1001,-405),IF(2595&lt;=5000,INDEX($E$2:$E$1001,-1405),"")))))</f>
        <v/>
      </c>
    </row>
    <row r="2597">
      <c r="G2597">
        <f>IF(2596&lt;=1000,INDEX($A$2:$A$1001,2596),IF(2596&lt;=2000,INDEX($B$2:$B$1001,1596),IF(2596&lt;=3000,INDEX($C$2:$C$1001,596),IF(2596&lt;=4000,INDEX($D$2:$D$1001,-404),IF(2596&lt;=5000,INDEX($E$2:$E$1001,-1404),"")))))</f>
        <v/>
      </c>
    </row>
    <row r="2598">
      <c r="G2598">
        <f>IF(2597&lt;=1000,INDEX($A$2:$A$1001,2597),IF(2597&lt;=2000,INDEX($B$2:$B$1001,1597),IF(2597&lt;=3000,INDEX($C$2:$C$1001,597),IF(2597&lt;=4000,INDEX($D$2:$D$1001,-403),IF(2597&lt;=5000,INDEX($E$2:$E$1001,-1403),"")))))</f>
        <v/>
      </c>
    </row>
    <row r="2599">
      <c r="G2599">
        <f>IF(2598&lt;=1000,INDEX($A$2:$A$1001,2598),IF(2598&lt;=2000,INDEX($B$2:$B$1001,1598),IF(2598&lt;=3000,INDEX($C$2:$C$1001,598),IF(2598&lt;=4000,INDEX($D$2:$D$1001,-402),IF(2598&lt;=5000,INDEX($E$2:$E$1001,-1402),"")))))</f>
        <v/>
      </c>
    </row>
    <row r="2600">
      <c r="G2600">
        <f>IF(2599&lt;=1000,INDEX($A$2:$A$1001,2599),IF(2599&lt;=2000,INDEX($B$2:$B$1001,1599),IF(2599&lt;=3000,INDEX($C$2:$C$1001,599),IF(2599&lt;=4000,INDEX($D$2:$D$1001,-401),IF(2599&lt;=5000,INDEX($E$2:$E$1001,-1401),"")))))</f>
        <v/>
      </c>
    </row>
    <row r="2601">
      <c r="G2601">
        <f>IF(2600&lt;=1000,INDEX($A$2:$A$1001,2600),IF(2600&lt;=2000,INDEX($B$2:$B$1001,1600),IF(2600&lt;=3000,INDEX($C$2:$C$1001,600),IF(2600&lt;=4000,INDEX($D$2:$D$1001,-400),IF(2600&lt;=5000,INDEX($E$2:$E$1001,-1400),"")))))</f>
        <v/>
      </c>
    </row>
    <row r="2602">
      <c r="G2602">
        <f>IF(2601&lt;=1000,INDEX($A$2:$A$1001,2601),IF(2601&lt;=2000,INDEX($B$2:$B$1001,1601),IF(2601&lt;=3000,INDEX($C$2:$C$1001,601),IF(2601&lt;=4000,INDEX($D$2:$D$1001,-399),IF(2601&lt;=5000,INDEX($E$2:$E$1001,-1399),"")))))</f>
        <v/>
      </c>
    </row>
    <row r="2603">
      <c r="G2603">
        <f>IF(2602&lt;=1000,INDEX($A$2:$A$1001,2602),IF(2602&lt;=2000,INDEX($B$2:$B$1001,1602),IF(2602&lt;=3000,INDEX($C$2:$C$1001,602),IF(2602&lt;=4000,INDEX($D$2:$D$1001,-398),IF(2602&lt;=5000,INDEX($E$2:$E$1001,-1398),"")))))</f>
        <v/>
      </c>
    </row>
    <row r="2604">
      <c r="G2604">
        <f>IF(2603&lt;=1000,INDEX($A$2:$A$1001,2603),IF(2603&lt;=2000,INDEX($B$2:$B$1001,1603),IF(2603&lt;=3000,INDEX($C$2:$C$1001,603),IF(2603&lt;=4000,INDEX($D$2:$D$1001,-397),IF(2603&lt;=5000,INDEX($E$2:$E$1001,-1397),"")))))</f>
        <v/>
      </c>
    </row>
    <row r="2605">
      <c r="G2605">
        <f>IF(2604&lt;=1000,INDEX($A$2:$A$1001,2604),IF(2604&lt;=2000,INDEX($B$2:$B$1001,1604),IF(2604&lt;=3000,INDEX($C$2:$C$1001,604),IF(2604&lt;=4000,INDEX($D$2:$D$1001,-396),IF(2604&lt;=5000,INDEX($E$2:$E$1001,-1396),"")))))</f>
        <v/>
      </c>
    </row>
    <row r="2606">
      <c r="G2606">
        <f>IF(2605&lt;=1000,INDEX($A$2:$A$1001,2605),IF(2605&lt;=2000,INDEX($B$2:$B$1001,1605),IF(2605&lt;=3000,INDEX($C$2:$C$1001,605),IF(2605&lt;=4000,INDEX($D$2:$D$1001,-395),IF(2605&lt;=5000,INDEX($E$2:$E$1001,-1395),"")))))</f>
        <v/>
      </c>
    </row>
    <row r="2607">
      <c r="G2607">
        <f>IF(2606&lt;=1000,INDEX($A$2:$A$1001,2606),IF(2606&lt;=2000,INDEX($B$2:$B$1001,1606),IF(2606&lt;=3000,INDEX($C$2:$C$1001,606),IF(2606&lt;=4000,INDEX($D$2:$D$1001,-394),IF(2606&lt;=5000,INDEX($E$2:$E$1001,-1394),"")))))</f>
        <v/>
      </c>
    </row>
    <row r="2608">
      <c r="G2608">
        <f>IF(2607&lt;=1000,INDEX($A$2:$A$1001,2607),IF(2607&lt;=2000,INDEX($B$2:$B$1001,1607),IF(2607&lt;=3000,INDEX($C$2:$C$1001,607),IF(2607&lt;=4000,INDEX($D$2:$D$1001,-393),IF(2607&lt;=5000,INDEX($E$2:$E$1001,-1393),"")))))</f>
        <v/>
      </c>
    </row>
    <row r="2609">
      <c r="G2609">
        <f>IF(2608&lt;=1000,INDEX($A$2:$A$1001,2608),IF(2608&lt;=2000,INDEX($B$2:$B$1001,1608),IF(2608&lt;=3000,INDEX($C$2:$C$1001,608),IF(2608&lt;=4000,INDEX($D$2:$D$1001,-392),IF(2608&lt;=5000,INDEX($E$2:$E$1001,-1392),"")))))</f>
        <v/>
      </c>
    </row>
    <row r="2610">
      <c r="G2610">
        <f>IF(2609&lt;=1000,INDEX($A$2:$A$1001,2609),IF(2609&lt;=2000,INDEX($B$2:$B$1001,1609),IF(2609&lt;=3000,INDEX($C$2:$C$1001,609),IF(2609&lt;=4000,INDEX($D$2:$D$1001,-391),IF(2609&lt;=5000,INDEX($E$2:$E$1001,-1391),"")))))</f>
        <v/>
      </c>
    </row>
    <row r="2611">
      <c r="G2611">
        <f>IF(2610&lt;=1000,INDEX($A$2:$A$1001,2610),IF(2610&lt;=2000,INDEX($B$2:$B$1001,1610),IF(2610&lt;=3000,INDEX($C$2:$C$1001,610),IF(2610&lt;=4000,INDEX($D$2:$D$1001,-390),IF(2610&lt;=5000,INDEX($E$2:$E$1001,-1390),"")))))</f>
        <v/>
      </c>
    </row>
    <row r="2612">
      <c r="G2612">
        <f>IF(2611&lt;=1000,INDEX($A$2:$A$1001,2611),IF(2611&lt;=2000,INDEX($B$2:$B$1001,1611),IF(2611&lt;=3000,INDEX($C$2:$C$1001,611),IF(2611&lt;=4000,INDEX($D$2:$D$1001,-389),IF(2611&lt;=5000,INDEX($E$2:$E$1001,-1389),"")))))</f>
        <v/>
      </c>
    </row>
    <row r="2613">
      <c r="G2613">
        <f>IF(2612&lt;=1000,INDEX($A$2:$A$1001,2612),IF(2612&lt;=2000,INDEX($B$2:$B$1001,1612),IF(2612&lt;=3000,INDEX($C$2:$C$1001,612),IF(2612&lt;=4000,INDEX($D$2:$D$1001,-388),IF(2612&lt;=5000,INDEX($E$2:$E$1001,-1388),"")))))</f>
        <v/>
      </c>
    </row>
    <row r="2614">
      <c r="G2614">
        <f>IF(2613&lt;=1000,INDEX($A$2:$A$1001,2613),IF(2613&lt;=2000,INDEX($B$2:$B$1001,1613),IF(2613&lt;=3000,INDEX($C$2:$C$1001,613),IF(2613&lt;=4000,INDEX($D$2:$D$1001,-387),IF(2613&lt;=5000,INDEX($E$2:$E$1001,-1387),"")))))</f>
        <v/>
      </c>
    </row>
    <row r="2615">
      <c r="G2615">
        <f>IF(2614&lt;=1000,INDEX($A$2:$A$1001,2614),IF(2614&lt;=2000,INDEX($B$2:$B$1001,1614),IF(2614&lt;=3000,INDEX($C$2:$C$1001,614),IF(2614&lt;=4000,INDEX($D$2:$D$1001,-386),IF(2614&lt;=5000,INDEX($E$2:$E$1001,-1386),"")))))</f>
        <v/>
      </c>
    </row>
    <row r="2616">
      <c r="G2616">
        <f>IF(2615&lt;=1000,INDEX($A$2:$A$1001,2615),IF(2615&lt;=2000,INDEX($B$2:$B$1001,1615),IF(2615&lt;=3000,INDEX($C$2:$C$1001,615),IF(2615&lt;=4000,INDEX($D$2:$D$1001,-385),IF(2615&lt;=5000,INDEX($E$2:$E$1001,-1385),"")))))</f>
        <v/>
      </c>
    </row>
    <row r="2617">
      <c r="G2617">
        <f>IF(2616&lt;=1000,INDEX($A$2:$A$1001,2616),IF(2616&lt;=2000,INDEX($B$2:$B$1001,1616),IF(2616&lt;=3000,INDEX($C$2:$C$1001,616),IF(2616&lt;=4000,INDEX($D$2:$D$1001,-384),IF(2616&lt;=5000,INDEX($E$2:$E$1001,-1384),"")))))</f>
        <v/>
      </c>
    </row>
    <row r="2618">
      <c r="G2618">
        <f>IF(2617&lt;=1000,INDEX($A$2:$A$1001,2617),IF(2617&lt;=2000,INDEX($B$2:$B$1001,1617),IF(2617&lt;=3000,INDEX($C$2:$C$1001,617),IF(2617&lt;=4000,INDEX($D$2:$D$1001,-383),IF(2617&lt;=5000,INDEX($E$2:$E$1001,-1383),"")))))</f>
        <v/>
      </c>
    </row>
    <row r="2619">
      <c r="G2619">
        <f>IF(2618&lt;=1000,INDEX($A$2:$A$1001,2618),IF(2618&lt;=2000,INDEX($B$2:$B$1001,1618),IF(2618&lt;=3000,INDEX($C$2:$C$1001,618),IF(2618&lt;=4000,INDEX($D$2:$D$1001,-382),IF(2618&lt;=5000,INDEX($E$2:$E$1001,-1382),"")))))</f>
        <v/>
      </c>
    </row>
    <row r="2620">
      <c r="G2620">
        <f>IF(2619&lt;=1000,INDEX($A$2:$A$1001,2619),IF(2619&lt;=2000,INDEX($B$2:$B$1001,1619),IF(2619&lt;=3000,INDEX($C$2:$C$1001,619),IF(2619&lt;=4000,INDEX($D$2:$D$1001,-381),IF(2619&lt;=5000,INDEX($E$2:$E$1001,-1381),"")))))</f>
        <v/>
      </c>
    </row>
    <row r="2621">
      <c r="G2621">
        <f>IF(2620&lt;=1000,INDEX($A$2:$A$1001,2620),IF(2620&lt;=2000,INDEX($B$2:$B$1001,1620),IF(2620&lt;=3000,INDEX($C$2:$C$1001,620),IF(2620&lt;=4000,INDEX($D$2:$D$1001,-380),IF(2620&lt;=5000,INDEX($E$2:$E$1001,-1380),"")))))</f>
        <v/>
      </c>
    </row>
    <row r="2622">
      <c r="G2622">
        <f>IF(2621&lt;=1000,INDEX($A$2:$A$1001,2621),IF(2621&lt;=2000,INDEX($B$2:$B$1001,1621),IF(2621&lt;=3000,INDEX($C$2:$C$1001,621),IF(2621&lt;=4000,INDEX($D$2:$D$1001,-379),IF(2621&lt;=5000,INDEX($E$2:$E$1001,-1379),"")))))</f>
        <v/>
      </c>
    </row>
    <row r="2623">
      <c r="G2623">
        <f>IF(2622&lt;=1000,INDEX($A$2:$A$1001,2622),IF(2622&lt;=2000,INDEX($B$2:$B$1001,1622),IF(2622&lt;=3000,INDEX($C$2:$C$1001,622),IF(2622&lt;=4000,INDEX($D$2:$D$1001,-378),IF(2622&lt;=5000,INDEX($E$2:$E$1001,-1378),"")))))</f>
        <v/>
      </c>
    </row>
    <row r="2624">
      <c r="G2624">
        <f>IF(2623&lt;=1000,INDEX($A$2:$A$1001,2623),IF(2623&lt;=2000,INDEX($B$2:$B$1001,1623),IF(2623&lt;=3000,INDEX($C$2:$C$1001,623),IF(2623&lt;=4000,INDEX($D$2:$D$1001,-377),IF(2623&lt;=5000,INDEX($E$2:$E$1001,-1377),"")))))</f>
        <v/>
      </c>
    </row>
    <row r="2625">
      <c r="G2625">
        <f>IF(2624&lt;=1000,INDEX($A$2:$A$1001,2624),IF(2624&lt;=2000,INDEX($B$2:$B$1001,1624),IF(2624&lt;=3000,INDEX($C$2:$C$1001,624),IF(2624&lt;=4000,INDEX($D$2:$D$1001,-376),IF(2624&lt;=5000,INDEX($E$2:$E$1001,-1376),"")))))</f>
        <v/>
      </c>
    </row>
    <row r="2626">
      <c r="G2626">
        <f>IF(2625&lt;=1000,INDEX($A$2:$A$1001,2625),IF(2625&lt;=2000,INDEX($B$2:$B$1001,1625),IF(2625&lt;=3000,INDEX($C$2:$C$1001,625),IF(2625&lt;=4000,INDEX($D$2:$D$1001,-375),IF(2625&lt;=5000,INDEX($E$2:$E$1001,-1375),"")))))</f>
        <v/>
      </c>
    </row>
    <row r="2627">
      <c r="G2627">
        <f>IF(2626&lt;=1000,INDEX($A$2:$A$1001,2626),IF(2626&lt;=2000,INDEX($B$2:$B$1001,1626),IF(2626&lt;=3000,INDEX($C$2:$C$1001,626),IF(2626&lt;=4000,INDEX($D$2:$D$1001,-374),IF(2626&lt;=5000,INDEX($E$2:$E$1001,-1374),"")))))</f>
        <v/>
      </c>
    </row>
    <row r="2628">
      <c r="G2628">
        <f>IF(2627&lt;=1000,INDEX($A$2:$A$1001,2627),IF(2627&lt;=2000,INDEX($B$2:$B$1001,1627),IF(2627&lt;=3000,INDEX($C$2:$C$1001,627),IF(2627&lt;=4000,INDEX($D$2:$D$1001,-373),IF(2627&lt;=5000,INDEX($E$2:$E$1001,-1373),"")))))</f>
        <v/>
      </c>
    </row>
    <row r="2629">
      <c r="G2629">
        <f>IF(2628&lt;=1000,INDEX($A$2:$A$1001,2628),IF(2628&lt;=2000,INDEX($B$2:$B$1001,1628),IF(2628&lt;=3000,INDEX($C$2:$C$1001,628),IF(2628&lt;=4000,INDEX($D$2:$D$1001,-372),IF(2628&lt;=5000,INDEX($E$2:$E$1001,-1372),"")))))</f>
        <v/>
      </c>
    </row>
    <row r="2630">
      <c r="G2630">
        <f>IF(2629&lt;=1000,INDEX($A$2:$A$1001,2629),IF(2629&lt;=2000,INDEX($B$2:$B$1001,1629),IF(2629&lt;=3000,INDEX($C$2:$C$1001,629),IF(2629&lt;=4000,INDEX($D$2:$D$1001,-371),IF(2629&lt;=5000,INDEX($E$2:$E$1001,-1371),"")))))</f>
        <v/>
      </c>
    </row>
    <row r="2631">
      <c r="G2631">
        <f>IF(2630&lt;=1000,INDEX($A$2:$A$1001,2630),IF(2630&lt;=2000,INDEX($B$2:$B$1001,1630),IF(2630&lt;=3000,INDEX($C$2:$C$1001,630),IF(2630&lt;=4000,INDEX($D$2:$D$1001,-370),IF(2630&lt;=5000,INDEX($E$2:$E$1001,-1370),"")))))</f>
        <v/>
      </c>
    </row>
    <row r="2632">
      <c r="G2632">
        <f>IF(2631&lt;=1000,INDEX($A$2:$A$1001,2631),IF(2631&lt;=2000,INDEX($B$2:$B$1001,1631),IF(2631&lt;=3000,INDEX($C$2:$C$1001,631),IF(2631&lt;=4000,INDEX($D$2:$D$1001,-369),IF(2631&lt;=5000,INDEX($E$2:$E$1001,-1369),"")))))</f>
        <v/>
      </c>
    </row>
    <row r="2633">
      <c r="G2633">
        <f>IF(2632&lt;=1000,INDEX($A$2:$A$1001,2632),IF(2632&lt;=2000,INDEX($B$2:$B$1001,1632),IF(2632&lt;=3000,INDEX($C$2:$C$1001,632),IF(2632&lt;=4000,INDEX($D$2:$D$1001,-368),IF(2632&lt;=5000,INDEX($E$2:$E$1001,-1368),"")))))</f>
        <v/>
      </c>
    </row>
    <row r="2634">
      <c r="G2634">
        <f>IF(2633&lt;=1000,INDEX($A$2:$A$1001,2633),IF(2633&lt;=2000,INDEX($B$2:$B$1001,1633),IF(2633&lt;=3000,INDEX($C$2:$C$1001,633),IF(2633&lt;=4000,INDEX($D$2:$D$1001,-367),IF(2633&lt;=5000,INDEX($E$2:$E$1001,-1367),"")))))</f>
        <v/>
      </c>
    </row>
    <row r="2635">
      <c r="G2635">
        <f>IF(2634&lt;=1000,INDEX($A$2:$A$1001,2634),IF(2634&lt;=2000,INDEX($B$2:$B$1001,1634),IF(2634&lt;=3000,INDEX($C$2:$C$1001,634),IF(2634&lt;=4000,INDEX($D$2:$D$1001,-366),IF(2634&lt;=5000,INDEX($E$2:$E$1001,-1366),"")))))</f>
        <v/>
      </c>
    </row>
    <row r="2636">
      <c r="G2636">
        <f>IF(2635&lt;=1000,INDEX($A$2:$A$1001,2635),IF(2635&lt;=2000,INDEX($B$2:$B$1001,1635),IF(2635&lt;=3000,INDEX($C$2:$C$1001,635),IF(2635&lt;=4000,INDEX($D$2:$D$1001,-365),IF(2635&lt;=5000,INDEX($E$2:$E$1001,-1365),"")))))</f>
        <v/>
      </c>
    </row>
    <row r="2637">
      <c r="G2637">
        <f>IF(2636&lt;=1000,INDEX($A$2:$A$1001,2636),IF(2636&lt;=2000,INDEX($B$2:$B$1001,1636),IF(2636&lt;=3000,INDEX($C$2:$C$1001,636),IF(2636&lt;=4000,INDEX($D$2:$D$1001,-364),IF(2636&lt;=5000,INDEX($E$2:$E$1001,-1364),"")))))</f>
        <v/>
      </c>
    </row>
    <row r="2638">
      <c r="G2638">
        <f>IF(2637&lt;=1000,INDEX($A$2:$A$1001,2637),IF(2637&lt;=2000,INDEX($B$2:$B$1001,1637),IF(2637&lt;=3000,INDEX($C$2:$C$1001,637),IF(2637&lt;=4000,INDEX($D$2:$D$1001,-363),IF(2637&lt;=5000,INDEX($E$2:$E$1001,-1363),"")))))</f>
        <v/>
      </c>
    </row>
    <row r="2639">
      <c r="G2639">
        <f>IF(2638&lt;=1000,INDEX($A$2:$A$1001,2638),IF(2638&lt;=2000,INDEX($B$2:$B$1001,1638),IF(2638&lt;=3000,INDEX($C$2:$C$1001,638),IF(2638&lt;=4000,INDEX($D$2:$D$1001,-362),IF(2638&lt;=5000,INDEX($E$2:$E$1001,-1362),"")))))</f>
        <v/>
      </c>
    </row>
    <row r="2640">
      <c r="G2640">
        <f>IF(2639&lt;=1000,INDEX($A$2:$A$1001,2639),IF(2639&lt;=2000,INDEX($B$2:$B$1001,1639),IF(2639&lt;=3000,INDEX($C$2:$C$1001,639),IF(2639&lt;=4000,INDEX($D$2:$D$1001,-361),IF(2639&lt;=5000,INDEX($E$2:$E$1001,-1361),"")))))</f>
        <v/>
      </c>
    </row>
    <row r="2641">
      <c r="G2641">
        <f>IF(2640&lt;=1000,INDEX($A$2:$A$1001,2640),IF(2640&lt;=2000,INDEX($B$2:$B$1001,1640),IF(2640&lt;=3000,INDEX($C$2:$C$1001,640),IF(2640&lt;=4000,INDEX($D$2:$D$1001,-360),IF(2640&lt;=5000,INDEX($E$2:$E$1001,-1360),"")))))</f>
        <v/>
      </c>
    </row>
    <row r="2642">
      <c r="G2642">
        <f>IF(2641&lt;=1000,INDEX($A$2:$A$1001,2641),IF(2641&lt;=2000,INDEX($B$2:$B$1001,1641),IF(2641&lt;=3000,INDEX($C$2:$C$1001,641),IF(2641&lt;=4000,INDEX($D$2:$D$1001,-359),IF(2641&lt;=5000,INDEX($E$2:$E$1001,-1359),"")))))</f>
        <v/>
      </c>
    </row>
    <row r="2643">
      <c r="G2643">
        <f>IF(2642&lt;=1000,INDEX($A$2:$A$1001,2642),IF(2642&lt;=2000,INDEX($B$2:$B$1001,1642),IF(2642&lt;=3000,INDEX($C$2:$C$1001,642),IF(2642&lt;=4000,INDEX($D$2:$D$1001,-358),IF(2642&lt;=5000,INDEX($E$2:$E$1001,-1358),"")))))</f>
        <v/>
      </c>
    </row>
    <row r="2644">
      <c r="G2644">
        <f>IF(2643&lt;=1000,INDEX($A$2:$A$1001,2643),IF(2643&lt;=2000,INDEX($B$2:$B$1001,1643),IF(2643&lt;=3000,INDEX($C$2:$C$1001,643),IF(2643&lt;=4000,INDEX($D$2:$D$1001,-357),IF(2643&lt;=5000,INDEX($E$2:$E$1001,-1357),"")))))</f>
        <v/>
      </c>
    </row>
    <row r="2645">
      <c r="G2645">
        <f>IF(2644&lt;=1000,INDEX($A$2:$A$1001,2644),IF(2644&lt;=2000,INDEX($B$2:$B$1001,1644),IF(2644&lt;=3000,INDEX($C$2:$C$1001,644),IF(2644&lt;=4000,INDEX($D$2:$D$1001,-356),IF(2644&lt;=5000,INDEX($E$2:$E$1001,-1356),"")))))</f>
        <v/>
      </c>
    </row>
    <row r="2646">
      <c r="G2646">
        <f>IF(2645&lt;=1000,INDEX($A$2:$A$1001,2645),IF(2645&lt;=2000,INDEX($B$2:$B$1001,1645),IF(2645&lt;=3000,INDEX($C$2:$C$1001,645),IF(2645&lt;=4000,INDEX($D$2:$D$1001,-355),IF(2645&lt;=5000,INDEX($E$2:$E$1001,-1355),"")))))</f>
        <v/>
      </c>
    </row>
    <row r="2647">
      <c r="G2647">
        <f>IF(2646&lt;=1000,INDEX($A$2:$A$1001,2646),IF(2646&lt;=2000,INDEX($B$2:$B$1001,1646),IF(2646&lt;=3000,INDEX($C$2:$C$1001,646),IF(2646&lt;=4000,INDEX($D$2:$D$1001,-354),IF(2646&lt;=5000,INDEX($E$2:$E$1001,-1354),"")))))</f>
        <v/>
      </c>
    </row>
    <row r="2648">
      <c r="G2648">
        <f>IF(2647&lt;=1000,INDEX($A$2:$A$1001,2647),IF(2647&lt;=2000,INDEX($B$2:$B$1001,1647),IF(2647&lt;=3000,INDEX($C$2:$C$1001,647),IF(2647&lt;=4000,INDEX($D$2:$D$1001,-353),IF(2647&lt;=5000,INDEX($E$2:$E$1001,-1353),"")))))</f>
        <v/>
      </c>
    </row>
    <row r="2649">
      <c r="G2649">
        <f>IF(2648&lt;=1000,INDEX($A$2:$A$1001,2648),IF(2648&lt;=2000,INDEX($B$2:$B$1001,1648),IF(2648&lt;=3000,INDEX($C$2:$C$1001,648),IF(2648&lt;=4000,INDEX($D$2:$D$1001,-352),IF(2648&lt;=5000,INDEX($E$2:$E$1001,-1352),"")))))</f>
        <v/>
      </c>
    </row>
    <row r="2650">
      <c r="G2650">
        <f>IF(2649&lt;=1000,INDEX($A$2:$A$1001,2649),IF(2649&lt;=2000,INDEX($B$2:$B$1001,1649),IF(2649&lt;=3000,INDEX($C$2:$C$1001,649),IF(2649&lt;=4000,INDEX($D$2:$D$1001,-351),IF(2649&lt;=5000,INDEX($E$2:$E$1001,-1351),"")))))</f>
        <v/>
      </c>
    </row>
    <row r="2651">
      <c r="G2651">
        <f>IF(2650&lt;=1000,INDEX($A$2:$A$1001,2650),IF(2650&lt;=2000,INDEX($B$2:$B$1001,1650),IF(2650&lt;=3000,INDEX($C$2:$C$1001,650),IF(2650&lt;=4000,INDEX($D$2:$D$1001,-350),IF(2650&lt;=5000,INDEX($E$2:$E$1001,-1350),"")))))</f>
        <v/>
      </c>
    </row>
    <row r="2652">
      <c r="G2652">
        <f>IF(2651&lt;=1000,INDEX($A$2:$A$1001,2651),IF(2651&lt;=2000,INDEX($B$2:$B$1001,1651),IF(2651&lt;=3000,INDEX($C$2:$C$1001,651),IF(2651&lt;=4000,INDEX($D$2:$D$1001,-349),IF(2651&lt;=5000,INDEX($E$2:$E$1001,-1349),"")))))</f>
        <v/>
      </c>
    </row>
    <row r="2653">
      <c r="G2653">
        <f>IF(2652&lt;=1000,INDEX($A$2:$A$1001,2652),IF(2652&lt;=2000,INDEX($B$2:$B$1001,1652),IF(2652&lt;=3000,INDEX($C$2:$C$1001,652),IF(2652&lt;=4000,INDEX($D$2:$D$1001,-348),IF(2652&lt;=5000,INDEX($E$2:$E$1001,-1348),"")))))</f>
        <v/>
      </c>
    </row>
    <row r="2654">
      <c r="G2654">
        <f>IF(2653&lt;=1000,INDEX($A$2:$A$1001,2653),IF(2653&lt;=2000,INDEX($B$2:$B$1001,1653),IF(2653&lt;=3000,INDEX($C$2:$C$1001,653),IF(2653&lt;=4000,INDEX($D$2:$D$1001,-347),IF(2653&lt;=5000,INDEX($E$2:$E$1001,-1347),"")))))</f>
        <v/>
      </c>
    </row>
    <row r="2655">
      <c r="G2655">
        <f>IF(2654&lt;=1000,INDEX($A$2:$A$1001,2654),IF(2654&lt;=2000,INDEX($B$2:$B$1001,1654),IF(2654&lt;=3000,INDEX($C$2:$C$1001,654),IF(2654&lt;=4000,INDEX($D$2:$D$1001,-346),IF(2654&lt;=5000,INDEX($E$2:$E$1001,-1346),"")))))</f>
        <v/>
      </c>
    </row>
    <row r="2656">
      <c r="G2656">
        <f>IF(2655&lt;=1000,INDEX($A$2:$A$1001,2655),IF(2655&lt;=2000,INDEX($B$2:$B$1001,1655),IF(2655&lt;=3000,INDEX($C$2:$C$1001,655),IF(2655&lt;=4000,INDEX($D$2:$D$1001,-345),IF(2655&lt;=5000,INDEX($E$2:$E$1001,-1345),"")))))</f>
        <v/>
      </c>
    </row>
    <row r="2657">
      <c r="G2657">
        <f>IF(2656&lt;=1000,INDEX($A$2:$A$1001,2656),IF(2656&lt;=2000,INDEX($B$2:$B$1001,1656),IF(2656&lt;=3000,INDEX($C$2:$C$1001,656),IF(2656&lt;=4000,INDEX($D$2:$D$1001,-344),IF(2656&lt;=5000,INDEX($E$2:$E$1001,-1344),"")))))</f>
        <v/>
      </c>
    </row>
    <row r="2658">
      <c r="G2658">
        <f>IF(2657&lt;=1000,INDEX($A$2:$A$1001,2657),IF(2657&lt;=2000,INDEX($B$2:$B$1001,1657),IF(2657&lt;=3000,INDEX($C$2:$C$1001,657),IF(2657&lt;=4000,INDEX($D$2:$D$1001,-343),IF(2657&lt;=5000,INDEX($E$2:$E$1001,-1343),"")))))</f>
        <v/>
      </c>
    </row>
    <row r="2659">
      <c r="G2659">
        <f>IF(2658&lt;=1000,INDEX($A$2:$A$1001,2658),IF(2658&lt;=2000,INDEX($B$2:$B$1001,1658),IF(2658&lt;=3000,INDEX($C$2:$C$1001,658),IF(2658&lt;=4000,INDEX($D$2:$D$1001,-342),IF(2658&lt;=5000,INDEX($E$2:$E$1001,-1342),"")))))</f>
        <v/>
      </c>
    </row>
    <row r="2660">
      <c r="G2660">
        <f>IF(2659&lt;=1000,INDEX($A$2:$A$1001,2659),IF(2659&lt;=2000,INDEX($B$2:$B$1001,1659),IF(2659&lt;=3000,INDEX($C$2:$C$1001,659),IF(2659&lt;=4000,INDEX($D$2:$D$1001,-341),IF(2659&lt;=5000,INDEX($E$2:$E$1001,-1341),"")))))</f>
        <v/>
      </c>
    </row>
    <row r="2661">
      <c r="G2661">
        <f>IF(2660&lt;=1000,INDEX($A$2:$A$1001,2660),IF(2660&lt;=2000,INDEX($B$2:$B$1001,1660),IF(2660&lt;=3000,INDEX($C$2:$C$1001,660),IF(2660&lt;=4000,INDEX($D$2:$D$1001,-340),IF(2660&lt;=5000,INDEX($E$2:$E$1001,-1340),"")))))</f>
        <v/>
      </c>
    </row>
    <row r="2662">
      <c r="G2662">
        <f>IF(2661&lt;=1000,INDEX($A$2:$A$1001,2661),IF(2661&lt;=2000,INDEX($B$2:$B$1001,1661),IF(2661&lt;=3000,INDEX($C$2:$C$1001,661),IF(2661&lt;=4000,INDEX($D$2:$D$1001,-339),IF(2661&lt;=5000,INDEX($E$2:$E$1001,-1339),"")))))</f>
        <v/>
      </c>
    </row>
    <row r="2663">
      <c r="G2663">
        <f>IF(2662&lt;=1000,INDEX($A$2:$A$1001,2662),IF(2662&lt;=2000,INDEX($B$2:$B$1001,1662),IF(2662&lt;=3000,INDEX($C$2:$C$1001,662),IF(2662&lt;=4000,INDEX($D$2:$D$1001,-338),IF(2662&lt;=5000,INDEX($E$2:$E$1001,-1338),"")))))</f>
        <v/>
      </c>
    </row>
    <row r="2664">
      <c r="G2664">
        <f>IF(2663&lt;=1000,INDEX($A$2:$A$1001,2663),IF(2663&lt;=2000,INDEX($B$2:$B$1001,1663),IF(2663&lt;=3000,INDEX($C$2:$C$1001,663),IF(2663&lt;=4000,INDEX($D$2:$D$1001,-337),IF(2663&lt;=5000,INDEX($E$2:$E$1001,-1337),"")))))</f>
        <v/>
      </c>
    </row>
    <row r="2665">
      <c r="G2665">
        <f>IF(2664&lt;=1000,INDEX($A$2:$A$1001,2664),IF(2664&lt;=2000,INDEX($B$2:$B$1001,1664),IF(2664&lt;=3000,INDEX($C$2:$C$1001,664),IF(2664&lt;=4000,INDEX($D$2:$D$1001,-336),IF(2664&lt;=5000,INDEX($E$2:$E$1001,-1336),"")))))</f>
        <v/>
      </c>
    </row>
    <row r="2666">
      <c r="G2666">
        <f>IF(2665&lt;=1000,INDEX($A$2:$A$1001,2665),IF(2665&lt;=2000,INDEX($B$2:$B$1001,1665),IF(2665&lt;=3000,INDEX($C$2:$C$1001,665),IF(2665&lt;=4000,INDEX($D$2:$D$1001,-335),IF(2665&lt;=5000,INDEX($E$2:$E$1001,-1335),"")))))</f>
        <v/>
      </c>
    </row>
    <row r="2667">
      <c r="G2667">
        <f>IF(2666&lt;=1000,INDEX($A$2:$A$1001,2666),IF(2666&lt;=2000,INDEX($B$2:$B$1001,1666),IF(2666&lt;=3000,INDEX($C$2:$C$1001,666),IF(2666&lt;=4000,INDEX($D$2:$D$1001,-334),IF(2666&lt;=5000,INDEX($E$2:$E$1001,-1334),"")))))</f>
        <v/>
      </c>
    </row>
    <row r="2668">
      <c r="G2668">
        <f>IF(2667&lt;=1000,INDEX($A$2:$A$1001,2667),IF(2667&lt;=2000,INDEX($B$2:$B$1001,1667),IF(2667&lt;=3000,INDEX($C$2:$C$1001,667),IF(2667&lt;=4000,INDEX($D$2:$D$1001,-333),IF(2667&lt;=5000,INDEX($E$2:$E$1001,-1333),"")))))</f>
        <v/>
      </c>
    </row>
    <row r="2669">
      <c r="G2669">
        <f>IF(2668&lt;=1000,INDEX($A$2:$A$1001,2668),IF(2668&lt;=2000,INDEX($B$2:$B$1001,1668),IF(2668&lt;=3000,INDEX($C$2:$C$1001,668),IF(2668&lt;=4000,INDEX($D$2:$D$1001,-332),IF(2668&lt;=5000,INDEX($E$2:$E$1001,-1332),"")))))</f>
        <v/>
      </c>
    </row>
    <row r="2670">
      <c r="G2670">
        <f>IF(2669&lt;=1000,INDEX($A$2:$A$1001,2669),IF(2669&lt;=2000,INDEX($B$2:$B$1001,1669),IF(2669&lt;=3000,INDEX($C$2:$C$1001,669),IF(2669&lt;=4000,INDEX($D$2:$D$1001,-331),IF(2669&lt;=5000,INDEX($E$2:$E$1001,-1331),"")))))</f>
        <v/>
      </c>
    </row>
    <row r="2671">
      <c r="G2671">
        <f>IF(2670&lt;=1000,INDEX($A$2:$A$1001,2670),IF(2670&lt;=2000,INDEX($B$2:$B$1001,1670),IF(2670&lt;=3000,INDEX($C$2:$C$1001,670),IF(2670&lt;=4000,INDEX($D$2:$D$1001,-330),IF(2670&lt;=5000,INDEX($E$2:$E$1001,-1330),"")))))</f>
        <v/>
      </c>
    </row>
    <row r="2672">
      <c r="G2672">
        <f>IF(2671&lt;=1000,INDEX($A$2:$A$1001,2671),IF(2671&lt;=2000,INDEX($B$2:$B$1001,1671),IF(2671&lt;=3000,INDEX($C$2:$C$1001,671),IF(2671&lt;=4000,INDEX($D$2:$D$1001,-329),IF(2671&lt;=5000,INDEX($E$2:$E$1001,-1329),"")))))</f>
        <v/>
      </c>
    </row>
    <row r="2673">
      <c r="G2673">
        <f>IF(2672&lt;=1000,INDEX($A$2:$A$1001,2672),IF(2672&lt;=2000,INDEX($B$2:$B$1001,1672),IF(2672&lt;=3000,INDEX($C$2:$C$1001,672),IF(2672&lt;=4000,INDEX($D$2:$D$1001,-328),IF(2672&lt;=5000,INDEX($E$2:$E$1001,-1328),"")))))</f>
        <v/>
      </c>
    </row>
    <row r="2674">
      <c r="G2674">
        <f>IF(2673&lt;=1000,INDEX($A$2:$A$1001,2673),IF(2673&lt;=2000,INDEX($B$2:$B$1001,1673),IF(2673&lt;=3000,INDEX($C$2:$C$1001,673),IF(2673&lt;=4000,INDEX($D$2:$D$1001,-327),IF(2673&lt;=5000,INDEX($E$2:$E$1001,-1327),"")))))</f>
        <v/>
      </c>
    </row>
    <row r="2675">
      <c r="G2675">
        <f>IF(2674&lt;=1000,INDEX($A$2:$A$1001,2674),IF(2674&lt;=2000,INDEX($B$2:$B$1001,1674),IF(2674&lt;=3000,INDEX($C$2:$C$1001,674),IF(2674&lt;=4000,INDEX($D$2:$D$1001,-326),IF(2674&lt;=5000,INDEX($E$2:$E$1001,-1326),"")))))</f>
        <v/>
      </c>
    </row>
    <row r="2676">
      <c r="G2676">
        <f>IF(2675&lt;=1000,INDEX($A$2:$A$1001,2675),IF(2675&lt;=2000,INDEX($B$2:$B$1001,1675),IF(2675&lt;=3000,INDEX($C$2:$C$1001,675),IF(2675&lt;=4000,INDEX($D$2:$D$1001,-325),IF(2675&lt;=5000,INDEX($E$2:$E$1001,-1325),"")))))</f>
        <v/>
      </c>
    </row>
    <row r="2677">
      <c r="G2677">
        <f>IF(2676&lt;=1000,INDEX($A$2:$A$1001,2676),IF(2676&lt;=2000,INDEX($B$2:$B$1001,1676),IF(2676&lt;=3000,INDEX($C$2:$C$1001,676),IF(2676&lt;=4000,INDEX($D$2:$D$1001,-324),IF(2676&lt;=5000,INDEX($E$2:$E$1001,-1324),"")))))</f>
        <v/>
      </c>
    </row>
    <row r="2678">
      <c r="G2678">
        <f>IF(2677&lt;=1000,INDEX($A$2:$A$1001,2677),IF(2677&lt;=2000,INDEX($B$2:$B$1001,1677),IF(2677&lt;=3000,INDEX($C$2:$C$1001,677),IF(2677&lt;=4000,INDEX($D$2:$D$1001,-323),IF(2677&lt;=5000,INDEX($E$2:$E$1001,-1323),"")))))</f>
        <v/>
      </c>
    </row>
    <row r="2679">
      <c r="G2679">
        <f>IF(2678&lt;=1000,INDEX($A$2:$A$1001,2678),IF(2678&lt;=2000,INDEX($B$2:$B$1001,1678),IF(2678&lt;=3000,INDEX($C$2:$C$1001,678),IF(2678&lt;=4000,INDEX($D$2:$D$1001,-322),IF(2678&lt;=5000,INDEX($E$2:$E$1001,-1322),"")))))</f>
        <v/>
      </c>
    </row>
    <row r="2680">
      <c r="G2680">
        <f>IF(2679&lt;=1000,INDEX($A$2:$A$1001,2679),IF(2679&lt;=2000,INDEX($B$2:$B$1001,1679),IF(2679&lt;=3000,INDEX($C$2:$C$1001,679),IF(2679&lt;=4000,INDEX($D$2:$D$1001,-321),IF(2679&lt;=5000,INDEX($E$2:$E$1001,-1321),"")))))</f>
        <v/>
      </c>
    </row>
    <row r="2681">
      <c r="G2681">
        <f>IF(2680&lt;=1000,INDEX($A$2:$A$1001,2680),IF(2680&lt;=2000,INDEX($B$2:$B$1001,1680),IF(2680&lt;=3000,INDEX($C$2:$C$1001,680),IF(2680&lt;=4000,INDEX($D$2:$D$1001,-320),IF(2680&lt;=5000,INDEX($E$2:$E$1001,-1320),"")))))</f>
        <v/>
      </c>
    </row>
    <row r="2682">
      <c r="G2682">
        <f>IF(2681&lt;=1000,INDEX($A$2:$A$1001,2681),IF(2681&lt;=2000,INDEX($B$2:$B$1001,1681),IF(2681&lt;=3000,INDEX($C$2:$C$1001,681),IF(2681&lt;=4000,INDEX($D$2:$D$1001,-319),IF(2681&lt;=5000,INDEX($E$2:$E$1001,-1319),"")))))</f>
        <v/>
      </c>
    </row>
    <row r="2683">
      <c r="G2683">
        <f>IF(2682&lt;=1000,INDEX($A$2:$A$1001,2682),IF(2682&lt;=2000,INDEX($B$2:$B$1001,1682),IF(2682&lt;=3000,INDEX($C$2:$C$1001,682),IF(2682&lt;=4000,INDEX($D$2:$D$1001,-318),IF(2682&lt;=5000,INDEX($E$2:$E$1001,-1318),"")))))</f>
        <v/>
      </c>
    </row>
    <row r="2684">
      <c r="G2684">
        <f>IF(2683&lt;=1000,INDEX($A$2:$A$1001,2683),IF(2683&lt;=2000,INDEX($B$2:$B$1001,1683),IF(2683&lt;=3000,INDEX($C$2:$C$1001,683),IF(2683&lt;=4000,INDEX($D$2:$D$1001,-317),IF(2683&lt;=5000,INDEX($E$2:$E$1001,-1317),"")))))</f>
        <v/>
      </c>
    </row>
    <row r="2685">
      <c r="G2685">
        <f>IF(2684&lt;=1000,INDEX($A$2:$A$1001,2684),IF(2684&lt;=2000,INDEX($B$2:$B$1001,1684),IF(2684&lt;=3000,INDEX($C$2:$C$1001,684),IF(2684&lt;=4000,INDEX($D$2:$D$1001,-316),IF(2684&lt;=5000,INDEX($E$2:$E$1001,-1316),"")))))</f>
        <v/>
      </c>
    </row>
    <row r="2686">
      <c r="G2686">
        <f>IF(2685&lt;=1000,INDEX($A$2:$A$1001,2685),IF(2685&lt;=2000,INDEX($B$2:$B$1001,1685),IF(2685&lt;=3000,INDEX($C$2:$C$1001,685),IF(2685&lt;=4000,INDEX($D$2:$D$1001,-315),IF(2685&lt;=5000,INDEX($E$2:$E$1001,-1315),"")))))</f>
        <v/>
      </c>
    </row>
    <row r="2687">
      <c r="G2687">
        <f>IF(2686&lt;=1000,INDEX($A$2:$A$1001,2686),IF(2686&lt;=2000,INDEX($B$2:$B$1001,1686),IF(2686&lt;=3000,INDEX($C$2:$C$1001,686),IF(2686&lt;=4000,INDEX($D$2:$D$1001,-314),IF(2686&lt;=5000,INDEX($E$2:$E$1001,-1314),"")))))</f>
        <v/>
      </c>
    </row>
    <row r="2688">
      <c r="G2688">
        <f>IF(2687&lt;=1000,INDEX($A$2:$A$1001,2687),IF(2687&lt;=2000,INDEX($B$2:$B$1001,1687),IF(2687&lt;=3000,INDEX($C$2:$C$1001,687),IF(2687&lt;=4000,INDEX($D$2:$D$1001,-313),IF(2687&lt;=5000,INDEX($E$2:$E$1001,-1313),"")))))</f>
        <v/>
      </c>
    </row>
    <row r="2689">
      <c r="G2689">
        <f>IF(2688&lt;=1000,INDEX($A$2:$A$1001,2688),IF(2688&lt;=2000,INDEX($B$2:$B$1001,1688),IF(2688&lt;=3000,INDEX($C$2:$C$1001,688),IF(2688&lt;=4000,INDEX($D$2:$D$1001,-312),IF(2688&lt;=5000,INDEX($E$2:$E$1001,-1312),"")))))</f>
        <v/>
      </c>
    </row>
    <row r="2690">
      <c r="G2690">
        <f>IF(2689&lt;=1000,INDEX($A$2:$A$1001,2689),IF(2689&lt;=2000,INDEX($B$2:$B$1001,1689),IF(2689&lt;=3000,INDEX($C$2:$C$1001,689),IF(2689&lt;=4000,INDEX($D$2:$D$1001,-311),IF(2689&lt;=5000,INDEX($E$2:$E$1001,-1311),"")))))</f>
        <v/>
      </c>
    </row>
    <row r="2691">
      <c r="G2691">
        <f>IF(2690&lt;=1000,INDEX($A$2:$A$1001,2690),IF(2690&lt;=2000,INDEX($B$2:$B$1001,1690),IF(2690&lt;=3000,INDEX($C$2:$C$1001,690),IF(2690&lt;=4000,INDEX($D$2:$D$1001,-310),IF(2690&lt;=5000,INDEX($E$2:$E$1001,-1310),"")))))</f>
        <v/>
      </c>
    </row>
    <row r="2692">
      <c r="G2692">
        <f>IF(2691&lt;=1000,INDEX($A$2:$A$1001,2691),IF(2691&lt;=2000,INDEX($B$2:$B$1001,1691),IF(2691&lt;=3000,INDEX($C$2:$C$1001,691),IF(2691&lt;=4000,INDEX($D$2:$D$1001,-309),IF(2691&lt;=5000,INDEX($E$2:$E$1001,-1309),"")))))</f>
        <v/>
      </c>
    </row>
    <row r="2693">
      <c r="G2693">
        <f>IF(2692&lt;=1000,INDEX($A$2:$A$1001,2692),IF(2692&lt;=2000,INDEX($B$2:$B$1001,1692),IF(2692&lt;=3000,INDEX($C$2:$C$1001,692),IF(2692&lt;=4000,INDEX($D$2:$D$1001,-308),IF(2692&lt;=5000,INDEX($E$2:$E$1001,-1308),"")))))</f>
        <v/>
      </c>
    </row>
    <row r="2694">
      <c r="G2694">
        <f>IF(2693&lt;=1000,INDEX($A$2:$A$1001,2693),IF(2693&lt;=2000,INDEX($B$2:$B$1001,1693),IF(2693&lt;=3000,INDEX($C$2:$C$1001,693),IF(2693&lt;=4000,INDEX($D$2:$D$1001,-307),IF(2693&lt;=5000,INDEX($E$2:$E$1001,-1307),"")))))</f>
        <v/>
      </c>
    </row>
    <row r="2695">
      <c r="G2695">
        <f>IF(2694&lt;=1000,INDEX($A$2:$A$1001,2694),IF(2694&lt;=2000,INDEX($B$2:$B$1001,1694),IF(2694&lt;=3000,INDEX($C$2:$C$1001,694),IF(2694&lt;=4000,INDEX($D$2:$D$1001,-306),IF(2694&lt;=5000,INDEX($E$2:$E$1001,-1306),"")))))</f>
        <v/>
      </c>
    </row>
    <row r="2696">
      <c r="G2696">
        <f>IF(2695&lt;=1000,INDEX($A$2:$A$1001,2695),IF(2695&lt;=2000,INDEX($B$2:$B$1001,1695),IF(2695&lt;=3000,INDEX($C$2:$C$1001,695),IF(2695&lt;=4000,INDEX($D$2:$D$1001,-305),IF(2695&lt;=5000,INDEX($E$2:$E$1001,-1305),"")))))</f>
        <v/>
      </c>
    </row>
    <row r="2697">
      <c r="G2697">
        <f>IF(2696&lt;=1000,INDEX($A$2:$A$1001,2696),IF(2696&lt;=2000,INDEX($B$2:$B$1001,1696),IF(2696&lt;=3000,INDEX($C$2:$C$1001,696),IF(2696&lt;=4000,INDEX($D$2:$D$1001,-304),IF(2696&lt;=5000,INDEX($E$2:$E$1001,-1304),"")))))</f>
        <v/>
      </c>
    </row>
    <row r="2698">
      <c r="G2698">
        <f>IF(2697&lt;=1000,INDEX($A$2:$A$1001,2697),IF(2697&lt;=2000,INDEX($B$2:$B$1001,1697),IF(2697&lt;=3000,INDEX($C$2:$C$1001,697),IF(2697&lt;=4000,INDEX($D$2:$D$1001,-303),IF(2697&lt;=5000,INDEX($E$2:$E$1001,-1303),"")))))</f>
        <v/>
      </c>
    </row>
    <row r="2699">
      <c r="G2699">
        <f>IF(2698&lt;=1000,INDEX($A$2:$A$1001,2698),IF(2698&lt;=2000,INDEX($B$2:$B$1001,1698),IF(2698&lt;=3000,INDEX($C$2:$C$1001,698),IF(2698&lt;=4000,INDEX($D$2:$D$1001,-302),IF(2698&lt;=5000,INDEX($E$2:$E$1001,-1302),"")))))</f>
        <v/>
      </c>
    </row>
    <row r="2700">
      <c r="G2700">
        <f>IF(2699&lt;=1000,INDEX($A$2:$A$1001,2699),IF(2699&lt;=2000,INDEX($B$2:$B$1001,1699),IF(2699&lt;=3000,INDEX($C$2:$C$1001,699),IF(2699&lt;=4000,INDEX($D$2:$D$1001,-301),IF(2699&lt;=5000,INDEX($E$2:$E$1001,-1301),"")))))</f>
        <v/>
      </c>
    </row>
    <row r="2701">
      <c r="G2701">
        <f>IF(2700&lt;=1000,INDEX($A$2:$A$1001,2700),IF(2700&lt;=2000,INDEX($B$2:$B$1001,1700),IF(2700&lt;=3000,INDEX($C$2:$C$1001,700),IF(2700&lt;=4000,INDEX($D$2:$D$1001,-300),IF(2700&lt;=5000,INDEX($E$2:$E$1001,-1300),"")))))</f>
        <v/>
      </c>
    </row>
    <row r="2702">
      <c r="G2702">
        <f>IF(2701&lt;=1000,INDEX($A$2:$A$1001,2701),IF(2701&lt;=2000,INDEX($B$2:$B$1001,1701),IF(2701&lt;=3000,INDEX($C$2:$C$1001,701),IF(2701&lt;=4000,INDEX($D$2:$D$1001,-299),IF(2701&lt;=5000,INDEX($E$2:$E$1001,-1299),"")))))</f>
        <v/>
      </c>
    </row>
    <row r="2703">
      <c r="G2703">
        <f>IF(2702&lt;=1000,INDEX($A$2:$A$1001,2702),IF(2702&lt;=2000,INDEX($B$2:$B$1001,1702),IF(2702&lt;=3000,INDEX($C$2:$C$1001,702),IF(2702&lt;=4000,INDEX($D$2:$D$1001,-298),IF(2702&lt;=5000,INDEX($E$2:$E$1001,-1298),"")))))</f>
        <v/>
      </c>
    </row>
    <row r="2704">
      <c r="G2704">
        <f>IF(2703&lt;=1000,INDEX($A$2:$A$1001,2703),IF(2703&lt;=2000,INDEX($B$2:$B$1001,1703),IF(2703&lt;=3000,INDEX($C$2:$C$1001,703),IF(2703&lt;=4000,INDEX($D$2:$D$1001,-297),IF(2703&lt;=5000,INDEX($E$2:$E$1001,-1297),"")))))</f>
        <v/>
      </c>
    </row>
    <row r="2705">
      <c r="G2705">
        <f>IF(2704&lt;=1000,INDEX($A$2:$A$1001,2704),IF(2704&lt;=2000,INDEX($B$2:$B$1001,1704),IF(2704&lt;=3000,INDEX($C$2:$C$1001,704),IF(2704&lt;=4000,INDEX($D$2:$D$1001,-296),IF(2704&lt;=5000,INDEX($E$2:$E$1001,-1296),"")))))</f>
        <v/>
      </c>
    </row>
    <row r="2706">
      <c r="G2706">
        <f>IF(2705&lt;=1000,INDEX($A$2:$A$1001,2705),IF(2705&lt;=2000,INDEX($B$2:$B$1001,1705),IF(2705&lt;=3000,INDEX($C$2:$C$1001,705),IF(2705&lt;=4000,INDEX($D$2:$D$1001,-295),IF(2705&lt;=5000,INDEX($E$2:$E$1001,-1295),"")))))</f>
        <v/>
      </c>
    </row>
    <row r="2707">
      <c r="G2707">
        <f>IF(2706&lt;=1000,INDEX($A$2:$A$1001,2706),IF(2706&lt;=2000,INDEX($B$2:$B$1001,1706),IF(2706&lt;=3000,INDEX($C$2:$C$1001,706),IF(2706&lt;=4000,INDEX($D$2:$D$1001,-294),IF(2706&lt;=5000,INDEX($E$2:$E$1001,-1294),"")))))</f>
        <v/>
      </c>
    </row>
    <row r="2708">
      <c r="G2708">
        <f>IF(2707&lt;=1000,INDEX($A$2:$A$1001,2707),IF(2707&lt;=2000,INDEX($B$2:$B$1001,1707),IF(2707&lt;=3000,INDEX($C$2:$C$1001,707),IF(2707&lt;=4000,INDEX($D$2:$D$1001,-293),IF(2707&lt;=5000,INDEX($E$2:$E$1001,-1293),"")))))</f>
        <v/>
      </c>
    </row>
    <row r="2709">
      <c r="G2709">
        <f>IF(2708&lt;=1000,INDEX($A$2:$A$1001,2708),IF(2708&lt;=2000,INDEX($B$2:$B$1001,1708),IF(2708&lt;=3000,INDEX($C$2:$C$1001,708),IF(2708&lt;=4000,INDEX($D$2:$D$1001,-292),IF(2708&lt;=5000,INDEX($E$2:$E$1001,-1292),"")))))</f>
        <v/>
      </c>
    </row>
    <row r="2710">
      <c r="G2710">
        <f>IF(2709&lt;=1000,INDEX($A$2:$A$1001,2709),IF(2709&lt;=2000,INDEX($B$2:$B$1001,1709),IF(2709&lt;=3000,INDEX($C$2:$C$1001,709),IF(2709&lt;=4000,INDEX($D$2:$D$1001,-291),IF(2709&lt;=5000,INDEX($E$2:$E$1001,-1291),"")))))</f>
        <v/>
      </c>
    </row>
    <row r="2711">
      <c r="G2711">
        <f>IF(2710&lt;=1000,INDEX($A$2:$A$1001,2710),IF(2710&lt;=2000,INDEX($B$2:$B$1001,1710),IF(2710&lt;=3000,INDEX($C$2:$C$1001,710),IF(2710&lt;=4000,INDEX($D$2:$D$1001,-290),IF(2710&lt;=5000,INDEX($E$2:$E$1001,-1290),"")))))</f>
        <v/>
      </c>
    </row>
    <row r="2712">
      <c r="G2712">
        <f>IF(2711&lt;=1000,INDEX($A$2:$A$1001,2711),IF(2711&lt;=2000,INDEX($B$2:$B$1001,1711),IF(2711&lt;=3000,INDEX($C$2:$C$1001,711),IF(2711&lt;=4000,INDEX($D$2:$D$1001,-289),IF(2711&lt;=5000,INDEX($E$2:$E$1001,-1289),"")))))</f>
        <v/>
      </c>
    </row>
    <row r="2713">
      <c r="G2713">
        <f>IF(2712&lt;=1000,INDEX($A$2:$A$1001,2712),IF(2712&lt;=2000,INDEX($B$2:$B$1001,1712),IF(2712&lt;=3000,INDEX($C$2:$C$1001,712),IF(2712&lt;=4000,INDEX($D$2:$D$1001,-288),IF(2712&lt;=5000,INDEX($E$2:$E$1001,-1288),"")))))</f>
        <v/>
      </c>
    </row>
    <row r="2714">
      <c r="G2714">
        <f>IF(2713&lt;=1000,INDEX($A$2:$A$1001,2713),IF(2713&lt;=2000,INDEX($B$2:$B$1001,1713),IF(2713&lt;=3000,INDEX($C$2:$C$1001,713),IF(2713&lt;=4000,INDEX($D$2:$D$1001,-287),IF(2713&lt;=5000,INDEX($E$2:$E$1001,-1287),"")))))</f>
        <v/>
      </c>
    </row>
    <row r="2715">
      <c r="G2715">
        <f>IF(2714&lt;=1000,INDEX($A$2:$A$1001,2714),IF(2714&lt;=2000,INDEX($B$2:$B$1001,1714),IF(2714&lt;=3000,INDEX($C$2:$C$1001,714),IF(2714&lt;=4000,INDEX($D$2:$D$1001,-286),IF(2714&lt;=5000,INDEX($E$2:$E$1001,-1286),"")))))</f>
        <v/>
      </c>
    </row>
    <row r="2716">
      <c r="G2716">
        <f>IF(2715&lt;=1000,INDEX($A$2:$A$1001,2715),IF(2715&lt;=2000,INDEX($B$2:$B$1001,1715),IF(2715&lt;=3000,INDEX($C$2:$C$1001,715),IF(2715&lt;=4000,INDEX($D$2:$D$1001,-285),IF(2715&lt;=5000,INDEX($E$2:$E$1001,-1285),"")))))</f>
        <v/>
      </c>
    </row>
    <row r="2717">
      <c r="G2717">
        <f>IF(2716&lt;=1000,INDEX($A$2:$A$1001,2716),IF(2716&lt;=2000,INDEX($B$2:$B$1001,1716),IF(2716&lt;=3000,INDEX($C$2:$C$1001,716),IF(2716&lt;=4000,INDEX($D$2:$D$1001,-284),IF(2716&lt;=5000,INDEX($E$2:$E$1001,-1284),"")))))</f>
        <v/>
      </c>
    </row>
    <row r="2718">
      <c r="G2718">
        <f>IF(2717&lt;=1000,INDEX($A$2:$A$1001,2717),IF(2717&lt;=2000,INDEX($B$2:$B$1001,1717),IF(2717&lt;=3000,INDEX($C$2:$C$1001,717),IF(2717&lt;=4000,INDEX($D$2:$D$1001,-283),IF(2717&lt;=5000,INDEX($E$2:$E$1001,-1283),"")))))</f>
        <v/>
      </c>
    </row>
    <row r="2719">
      <c r="G2719">
        <f>IF(2718&lt;=1000,INDEX($A$2:$A$1001,2718),IF(2718&lt;=2000,INDEX($B$2:$B$1001,1718),IF(2718&lt;=3000,INDEX($C$2:$C$1001,718),IF(2718&lt;=4000,INDEX($D$2:$D$1001,-282),IF(2718&lt;=5000,INDEX($E$2:$E$1001,-1282),"")))))</f>
        <v/>
      </c>
    </row>
    <row r="2720">
      <c r="G2720">
        <f>IF(2719&lt;=1000,INDEX($A$2:$A$1001,2719),IF(2719&lt;=2000,INDEX($B$2:$B$1001,1719),IF(2719&lt;=3000,INDEX($C$2:$C$1001,719),IF(2719&lt;=4000,INDEX($D$2:$D$1001,-281),IF(2719&lt;=5000,INDEX($E$2:$E$1001,-1281),"")))))</f>
        <v/>
      </c>
    </row>
    <row r="2721">
      <c r="G2721">
        <f>IF(2720&lt;=1000,INDEX($A$2:$A$1001,2720),IF(2720&lt;=2000,INDEX($B$2:$B$1001,1720),IF(2720&lt;=3000,INDEX($C$2:$C$1001,720),IF(2720&lt;=4000,INDEX($D$2:$D$1001,-280),IF(2720&lt;=5000,INDEX($E$2:$E$1001,-1280),"")))))</f>
        <v/>
      </c>
    </row>
    <row r="2722">
      <c r="G2722">
        <f>IF(2721&lt;=1000,INDEX($A$2:$A$1001,2721),IF(2721&lt;=2000,INDEX($B$2:$B$1001,1721),IF(2721&lt;=3000,INDEX($C$2:$C$1001,721),IF(2721&lt;=4000,INDEX($D$2:$D$1001,-279),IF(2721&lt;=5000,INDEX($E$2:$E$1001,-1279),"")))))</f>
        <v/>
      </c>
    </row>
    <row r="2723">
      <c r="G2723">
        <f>IF(2722&lt;=1000,INDEX($A$2:$A$1001,2722),IF(2722&lt;=2000,INDEX($B$2:$B$1001,1722),IF(2722&lt;=3000,INDEX($C$2:$C$1001,722),IF(2722&lt;=4000,INDEX($D$2:$D$1001,-278),IF(2722&lt;=5000,INDEX($E$2:$E$1001,-1278),"")))))</f>
        <v/>
      </c>
    </row>
    <row r="2724">
      <c r="G2724">
        <f>IF(2723&lt;=1000,INDEX($A$2:$A$1001,2723),IF(2723&lt;=2000,INDEX($B$2:$B$1001,1723),IF(2723&lt;=3000,INDEX($C$2:$C$1001,723),IF(2723&lt;=4000,INDEX($D$2:$D$1001,-277),IF(2723&lt;=5000,INDEX($E$2:$E$1001,-1277),"")))))</f>
        <v/>
      </c>
    </row>
    <row r="2725">
      <c r="G2725">
        <f>IF(2724&lt;=1000,INDEX($A$2:$A$1001,2724),IF(2724&lt;=2000,INDEX($B$2:$B$1001,1724),IF(2724&lt;=3000,INDEX($C$2:$C$1001,724),IF(2724&lt;=4000,INDEX($D$2:$D$1001,-276),IF(2724&lt;=5000,INDEX($E$2:$E$1001,-1276),"")))))</f>
        <v/>
      </c>
    </row>
    <row r="2726">
      <c r="G2726">
        <f>IF(2725&lt;=1000,INDEX($A$2:$A$1001,2725),IF(2725&lt;=2000,INDEX($B$2:$B$1001,1725),IF(2725&lt;=3000,INDEX($C$2:$C$1001,725),IF(2725&lt;=4000,INDEX($D$2:$D$1001,-275),IF(2725&lt;=5000,INDEX($E$2:$E$1001,-1275),"")))))</f>
        <v/>
      </c>
    </row>
    <row r="2727">
      <c r="G2727">
        <f>IF(2726&lt;=1000,INDEX($A$2:$A$1001,2726),IF(2726&lt;=2000,INDEX($B$2:$B$1001,1726),IF(2726&lt;=3000,INDEX($C$2:$C$1001,726),IF(2726&lt;=4000,INDEX($D$2:$D$1001,-274),IF(2726&lt;=5000,INDEX($E$2:$E$1001,-1274),"")))))</f>
        <v/>
      </c>
    </row>
    <row r="2728">
      <c r="G2728">
        <f>IF(2727&lt;=1000,INDEX($A$2:$A$1001,2727),IF(2727&lt;=2000,INDEX($B$2:$B$1001,1727),IF(2727&lt;=3000,INDEX($C$2:$C$1001,727),IF(2727&lt;=4000,INDEX($D$2:$D$1001,-273),IF(2727&lt;=5000,INDEX($E$2:$E$1001,-1273),"")))))</f>
        <v/>
      </c>
    </row>
    <row r="2729">
      <c r="G2729">
        <f>IF(2728&lt;=1000,INDEX($A$2:$A$1001,2728),IF(2728&lt;=2000,INDEX($B$2:$B$1001,1728),IF(2728&lt;=3000,INDEX($C$2:$C$1001,728),IF(2728&lt;=4000,INDEX($D$2:$D$1001,-272),IF(2728&lt;=5000,INDEX($E$2:$E$1001,-1272),"")))))</f>
        <v/>
      </c>
    </row>
    <row r="2730">
      <c r="G2730">
        <f>IF(2729&lt;=1000,INDEX($A$2:$A$1001,2729),IF(2729&lt;=2000,INDEX($B$2:$B$1001,1729),IF(2729&lt;=3000,INDEX($C$2:$C$1001,729),IF(2729&lt;=4000,INDEX($D$2:$D$1001,-271),IF(2729&lt;=5000,INDEX($E$2:$E$1001,-1271),"")))))</f>
        <v/>
      </c>
    </row>
    <row r="2731">
      <c r="G2731">
        <f>IF(2730&lt;=1000,INDEX($A$2:$A$1001,2730),IF(2730&lt;=2000,INDEX($B$2:$B$1001,1730),IF(2730&lt;=3000,INDEX($C$2:$C$1001,730),IF(2730&lt;=4000,INDEX($D$2:$D$1001,-270),IF(2730&lt;=5000,INDEX($E$2:$E$1001,-1270),"")))))</f>
        <v/>
      </c>
    </row>
    <row r="2732">
      <c r="G2732">
        <f>IF(2731&lt;=1000,INDEX($A$2:$A$1001,2731),IF(2731&lt;=2000,INDEX($B$2:$B$1001,1731),IF(2731&lt;=3000,INDEX($C$2:$C$1001,731),IF(2731&lt;=4000,INDEX($D$2:$D$1001,-269),IF(2731&lt;=5000,INDEX($E$2:$E$1001,-1269),"")))))</f>
        <v/>
      </c>
    </row>
    <row r="2733">
      <c r="G2733">
        <f>IF(2732&lt;=1000,INDEX($A$2:$A$1001,2732),IF(2732&lt;=2000,INDEX($B$2:$B$1001,1732),IF(2732&lt;=3000,INDEX($C$2:$C$1001,732),IF(2732&lt;=4000,INDEX($D$2:$D$1001,-268),IF(2732&lt;=5000,INDEX($E$2:$E$1001,-1268),"")))))</f>
        <v/>
      </c>
    </row>
    <row r="2734">
      <c r="G2734">
        <f>IF(2733&lt;=1000,INDEX($A$2:$A$1001,2733),IF(2733&lt;=2000,INDEX($B$2:$B$1001,1733),IF(2733&lt;=3000,INDEX($C$2:$C$1001,733),IF(2733&lt;=4000,INDEX($D$2:$D$1001,-267),IF(2733&lt;=5000,INDEX($E$2:$E$1001,-1267),"")))))</f>
        <v/>
      </c>
    </row>
    <row r="2735">
      <c r="G2735">
        <f>IF(2734&lt;=1000,INDEX($A$2:$A$1001,2734),IF(2734&lt;=2000,INDEX($B$2:$B$1001,1734),IF(2734&lt;=3000,INDEX($C$2:$C$1001,734),IF(2734&lt;=4000,INDEX($D$2:$D$1001,-266),IF(2734&lt;=5000,INDEX($E$2:$E$1001,-1266),"")))))</f>
        <v/>
      </c>
    </row>
    <row r="2736">
      <c r="G2736">
        <f>IF(2735&lt;=1000,INDEX($A$2:$A$1001,2735),IF(2735&lt;=2000,INDEX($B$2:$B$1001,1735),IF(2735&lt;=3000,INDEX($C$2:$C$1001,735),IF(2735&lt;=4000,INDEX($D$2:$D$1001,-265),IF(2735&lt;=5000,INDEX($E$2:$E$1001,-1265),"")))))</f>
        <v/>
      </c>
    </row>
    <row r="2737">
      <c r="G2737">
        <f>IF(2736&lt;=1000,INDEX($A$2:$A$1001,2736),IF(2736&lt;=2000,INDEX($B$2:$B$1001,1736),IF(2736&lt;=3000,INDEX($C$2:$C$1001,736),IF(2736&lt;=4000,INDEX($D$2:$D$1001,-264),IF(2736&lt;=5000,INDEX($E$2:$E$1001,-1264),"")))))</f>
        <v/>
      </c>
    </row>
    <row r="2738">
      <c r="G2738">
        <f>IF(2737&lt;=1000,INDEX($A$2:$A$1001,2737),IF(2737&lt;=2000,INDEX($B$2:$B$1001,1737),IF(2737&lt;=3000,INDEX($C$2:$C$1001,737),IF(2737&lt;=4000,INDEX($D$2:$D$1001,-263),IF(2737&lt;=5000,INDEX($E$2:$E$1001,-1263),"")))))</f>
        <v/>
      </c>
    </row>
    <row r="2739">
      <c r="G2739">
        <f>IF(2738&lt;=1000,INDEX($A$2:$A$1001,2738),IF(2738&lt;=2000,INDEX($B$2:$B$1001,1738),IF(2738&lt;=3000,INDEX($C$2:$C$1001,738),IF(2738&lt;=4000,INDEX($D$2:$D$1001,-262),IF(2738&lt;=5000,INDEX($E$2:$E$1001,-1262),"")))))</f>
        <v/>
      </c>
    </row>
    <row r="2740">
      <c r="G2740">
        <f>IF(2739&lt;=1000,INDEX($A$2:$A$1001,2739),IF(2739&lt;=2000,INDEX($B$2:$B$1001,1739),IF(2739&lt;=3000,INDEX($C$2:$C$1001,739),IF(2739&lt;=4000,INDEX($D$2:$D$1001,-261),IF(2739&lt;=5000,INDEX($E$2:$E$1001,-1261),"")))))</f>
        <v/>
      </c>
    </row>
    <row r="2741">
      <c r="G2741">
        <f>IF(2740&lt;=1000,INDEX($A$2:$A$1001,2740),IF(2740&lt;=2000,INDEX($B$2:$B$1001,1740),IF(2740&lt;=3000,INDEX($C$2:$C$1001,740),IF(2740&lt;=4000,INDEX($D$2:$D$1001,-260),IF(2740&lt;=5000,INDEX($E$2:$E$1001,-1260),"")))))</f>
        <v/>
      </c>
    </row>
    <row r="2742">
      <c r="G2742">
        <f>IF(2741&lt;=1000,INDEX($A$2:$A$1001,2741),IF(2741&lt;=2000,INDEX($B$2:$B$1001,1741),IF(2741&lt;=3000,INDEX($C$2:$C$1001,741),IF(2741&lt;=4000,INDEX($D$2:$D$1001,-259),IF(2741&lt;=5000,INDEX($E$2:$E$1001,-1259),"")))))</f>
        <v/>
      </c>
    </row>
    <row r="2743">
      <c r="G2743">
        <f>IF(2742&lt;=1000,INDEX($A$2:$A$1001,2742),IF(2742&lt;=2000,INDEX($B$2:$B$1001,1742),IF(2742&lt;=3000,INDEX($C$2:$C$1001,742),IF(2742&lt;=4000,INDEX($D$2:$D$1001,-258),IF(2742&lt;=5000,INDEX($E$2:$E$1001,-1258),"")))))</f>
        <v/>
      </c>
    </row>
    <row r="2744">
      <c r="G2744">
        <f>IF(2743&lt;=1000,INDEX($A$2:$A$1001,2743),IF(2743&lt;=2000,INDEX($B$2:$B$1001,1743),IF(2743&lt;=3000,INDEX($C$2:$C$1001,743),IF(2743&lt;=4000,INDEX($D$2:$D$1001,-257),IF(2743&lt;=5000,INDEX($E$2:$E$1001,-1257),"")))))</f>
        <v/>
      </c>
    </row>
    <row r="2745">
      <c r="G2745">
        <f>IF(2744&lt;=1000,INDEX($A$2:$A$1001,2744),IF(2744&lt;=2000,INDEX($B$2:$B$1001,1744),IF(2744&lt;=3000,INDEX($C$2:$C$1001,744),IF(2744&lt;=4000,INDEX($D$2:$D$1001,-256),IF(2744&lt;=5000,INDEX($E$2:$E$1001,-1256),"")))))</f>
        <v/>
      </c>
    </row>
    <row r="2746">
      <c r="G2746">
        <f>IF(2745&lt;=1000,INDEX($A$2:$A$1001,2745),IF(2745&lt;=2000,INDEX($B$2:$B$1001,1745),IF(2745&lt;=3000,INDEX($C$2:$C$1001,745),IF(2745&lt;=4000,INDEX($D$2:$D$1001,-255),IF(2745&lt;=5000,INDEX($E$2:$E$1001,-1255),"")))))</f>
        <v/>
      </c>
    </row>
    <row r="2747">
      <c r="G2747">
        <f>IF(2746&lt;=1000,INDEX($A$2:$A$1001,2746),IF(2746&lt;=2000,INDEX($B$2:$B$1001,1746),IF(2746&lt;=3000,INDEX($C$2:$C$1001,746),IF(2746&lt;=4000,INDEX($D$2:$D$1001,-254),IF(2746&lt;=5000,INDEX($E$2:$E$1001,-1254),"")))))</f>
        <v/>
      </c>
    </row>
    <row r="2748">
      <c r="G2748">
        <f>IF(2747&lt;=1000,INDEX($A$2:$A$1001,2747),IF(2747&lt;=2000,INDEX($B$2:$B$1001,1747),IF(2747&lt;=3000,INDEX($C$2:$C$1001,747),IF(2747&lt;=4000,INDEX($D$2:$D$1001,-253),IF(2747&lt;=5000,INDEX($E$2:$E$1001,-1253),"")))))</f>
        <v/>
      </c>
    </row>
    <row r="2749">
      <c r="G2749">
        <f>IF(2748&lt;=1000,INDEX($A$2:$A$1001,2748),IF(2748&lt;=2000,INDEX($B$2:$B$1001,1748),IF(2748&lt;=3000,INDEX($C$2:$C$1001,748),IF(2748&lt;=4000,INDEX($D$2:$D$1001,-252),IF(2748&lt;=5000,INDEX($E$2:$E$1001,-1252),"")))))</f>
        <v/>
      </c>
    </row>
    <row r="2750">
      <c r="G2750">
        <f>IF(2749&lt;=1000,INDEX($A$2:$A$1001,2749),IF(2749&lt;=2000,INDEX($B$2:$B$1001,1749),IF(2749&lt;=3000,INDEX($C$2:$C$1001,749),IF(2749&lt;=4000,INDEX($D$2:$D$1001,-251),IF(2749&lt;=5000,INDEX($E$2:$E$1001,-1251),"")))))</f>
        <v/>
      </c>
    </row>
    <row r="2751">
      <c r="G2751">
        <f>IF(2750&lt;=1000,INDEX($A$2:$A$1001,2750),IF(2750&lt;=2000,INDEX($B$2:$B$1001,1750),IF(2750&lt;=3000,INDEX($C$2:$C$1001,750),IF(2750&lt;=4000,INDEX($D$2:$D$1001,-250),IF(2750&lt;=5000,INDEX($E$2:$E$1001,-1250),"")))))</f>
        <v/>
      </c>
    </row>
    <row r="2752">
      <c r="G2752">
        <f>IF(2751&lt;=1000,INDEX($A$2:$A$1001,2751),IF(2751&lt;=2000,INDEX($B$2:$B$1001,1751),IF(2751&lt;=3000,INDEX($C$2:$C$1001,751),IF(2751&lt;=4000,INDEX($D$2:$D$1001,-249),IF(2751&lt;=5000,INDEX($E$2:$E$1001,-1249),"")))))</f>
        <v/>
      </c>
    </row>
    <row r="2753">
      <c r="G2753">
        <f>IF(2752&lt;=1000,INDEX($A$2:$A$1001,2752),IF(2752&lt;=2000,INDEX($B$2:$B$1001,1752),IF(2752&lt;=3000,INDEX($C$2:$C$1001,752),IF(2752&lt;=4000,INDEX($D$2:$D$1001,-248),IF(2752&lt;=5000,INDEX($E$2:$E$1001,-1248),"")))))</f>
        <v/>
      </c>
    </row>
    <row r="2754">
      <c r="G2754">
        <f>IF(2753&lt;=1000,INDEX($A$2:$A$1001,2753),IF(2753&lt;=2000,INDEX($B$2:$B$1001,1753),IF(2753&lt;=3000,INDEX($C$2:$C$1001,753),IF(2753&lt;=4000,INDEX($D$2:$D$1001,-247),IF(2753&lt;=5000,INDEX($E$2:$E$1001,-1247),"")))))</f>
        <v/>
      </c>
    </row>
    <row r="2755">
      <c r="G2755">
        <f>IF(2754&lt;=1000,INDEX($A$2:$A$1001,2754),IF(2754&lt;=2000,INDEX($B$2:$B$1001,1754),IF(2754&lt;=3000,INDEX($C$2:$C$1001,754),IF(2754&lt;=4000,INDEX($D$2:$D$1001,-246),IF(2754&lt;=5000,INDEX($E$2:$E$1001,-1246),"")))))</f>
        <v/>
      </c>
    </row>
    <row r="2756">
      <c r="G2756">
        <f>IF(2755&lt;=1000,INDEX($A$2:$A$1001,2755),IF(2755&lt;=2000,INDEX($B$2:$B$1001,1755),IF(2755&lt;=3000,INDEX($C$2:$C$1001,755),IF(2755&lt;=4000,INDEX($D$2:$D$1001,-245),IF(2755&lt;=5000,INDEX($E$2:$E$1001,-1245),"")))))</f>
        <v/>
      </c>
    </row>
    <row r="2757">
      <c r="G2757">
        <f>IF(2756&lt;=1000,INDEX($A$2:$A$1001,2756),IF(2756&lt;=2000,INDEX($B$2:$B$1001,1756),IF(2756&lt;=3000,INDEX($C$2:$C$1001,756),IF(2756&lt;=4000,INDEX($D$2:$D$1001,-244),IF(2756&lt;=5000,INDEX($E$2:$E$1001,-1244),"")))))</f>
        <v/>
      </c>
    </row>
    <row r="2758">
      <c r="G2758">
        <f>IF(2757&lt;=1000,INDEX($A$2:$A$1001,2757),IF(2757&lt;=2000,INDEX($B$2:$B$1001,1757),IF(2757&lt;=3000,INDEX($C$2:$C$1001,757),IF(2757&lt;=4000,INDEX($D$2:$D$1001,-243),IF(2757&lt;=5000,INDEX($E$2:$E$1001,-1243),"")))))</f>
        <v/>
      </c>
    </row>
    <row r="2759">
      <c r="G2759">
        <f>IF(2758&lt;=1000,INDEX($A$2:$A$1001,2758),IF(2758&lt;=2000,INDEX($B$2:$B$1001,1758),IF(2758&lt;=3000,INDEX($C$2:$C$1001,758),IF(2758&lt;=4000,INDEX($D$2:$D$1001,-242),IF(2758&lt;=5000,INDEX($E$2:$E$1001,-1242),"")))))</f>
        <v/>
      </c>
    </row>
    <row r="2760">
      <c r="G2760">
        <f>IF(2759&lt;=1000,INDEX($A$2:$A$1001,2759),IF(2759&lt;=2000,INDEX($B$2:$B$1001,1759),IF(2759&lt;=3000,INDEX($C$2:$C$1001,759),IF(2759&lt;=4000,INDEX($D$2:$D$1001,-241),IF(2759&lt;=5000,INDEX($E$2:$E$1001,-1241),"")))))</f>
        <v/>
      </c>
    </row>
    <row r="2761">
      <c r="G2761">
        <f>IF(2760&lt;=1000,INDEX($A$2:$A$1001,2760),IF(2760&lt;=2000,INDEX($B$2:$B$1001,1760),IF(2760&lt;=3000,INDEX($C$2:$C$1001,760),IF(2760&lt;=4000,INDEX($D$2:$D$1001,-240),IF(2760&lt;=5000,INDEX($E$2:$E$1001,-1240),"")))))</f>
        <v/>
      </c>
    </row>
    <row r="2762">
      <c r="G2762">
        <f>IF(2761&lt;=1000,INDEX($A$2:$A$1001,2761),IF(2761&lt;=2000,INDEX($B$2:$B$1001,1761),IF(2761&lt;=3000,INDEX($C$2:$C$1001,761),IF(2761&lt;=4000,INDEX($D$2:$D$1001,-239),IF(2761&lt;=5000,INDEX($E$2:$E$1001,-1239),"")))))</f>
        <v/>
      </c>
    </row>
    <row r="2763">
      <c r="G2763">
        <f>IF(2762&lt;=1000,INDEX($A$2:$A$1001,2762),IF(2762&lt;=2000,INDEX($B$2:$B$1001,1762),IF(2762&lt;=3000,INDEX($C$2:$C$1001,762),IF(2762&lt;=4000,INDEX($D$2:$D$1001,-238),IF(2762&lt;=5000,INDEX($E$2:$E$1001,-1238),"")))))</f>
        <v/>
      </c>
    </row>
    <row r="2764">
      <c r="G2764">
        <f>IF(2763&lt;=1000,INDEX($A$2:$A$1001,2763),IF(2763&lt;=2000,INDEX($B$2:$B$1001,1763),IF(2763&lt;=3000,INDEX($C$2:$C$1001,763),IF(2763&lt;=4000,INDEX($D$2:$D$1001,-237),IF(2763&lt;=5000,INDEX($E$2:$E$1001,-1237),"")))))</f>
        <v/>
      </c>
    </row>
    <row r="2765">
      <c r="G2765">
        <f>IF(2764&lt;=1000,INDEX($A$2:$A$1001,2764),IF(2764&lt;=2000,INDEX($B$2:$B$1001,1764),IF(2764&lt;=3000,INDEX($C$2:$C$1001,764),IF(2764&lt;=4000,INDEX($D$2:$D$1001,-236),IF(2764&lt;=5000,INDEX($E$2:$E$1001,-1236),"")))))</f>
        <v/>
      </c>
    </row>
    <row r="2766">
      <c r="G2766">
        <f>IF(2765&lt;=1000,INDEX($A$2:$A$1001,2765),IF(2765&lt;=2000,INDEX($B$2:$B$1001,1765),IF(2765&lt;=3000,INDEX($C$2:$C$1001,765),IF(2765&lt;=4000,INDEX($D$2:$D$1001,-235),IF(2765&lt;=5000,INDEX($E$2:$E$1001,-1235),"")))))</f>
        <v/>
      </c>
    </row>
    <row r="2767">
      <c r="G2767">
        <f>IF(2766&lt;=1000,INDEX($A$2:$A$1001,2766),IF(2766&lt;=2000,INDEX($B$2:$B$1001,1766),IF(2766&lt;=3000,INDEX($C$2:$C$1001,766),IF(2766&lt;=4000,INDEX($D$2:$D$1001,-234),IF(2766&lt;=5000,INDEX($E$2:$E$1001,-1234),"")))))</f>
        <v/>
      </c>
    </row>
    <row r="2768">
      <c r="G2768">
        <f>IF(2767&lt;=1000,INDEX($A$2:$A$1001,2767),IF(2767&lt;=2000,INDEX($B$2:$B$1001,1767),IF(2767&lt;=3000,INDEX($C$2:$C$1001,767),IF(2767&lt;=4000,INDEX($D$2:$D$1001,-233),IF(2767&lt;=5000,INDEX($E$2:$E$1001,-1233),"")))))</f>
        <v/>
      </c>
    </row>
    <row r="2769">
      <c r="G2769">
        <f>IF(2768&lt;=1000,INDEX($A$2:$A$1001,2768),IF(2768&lt;=2000,INDEX($B$2:$B$1001,1768),IF(2768&lt;=3000,INDEX($C$2:$C$1001,768),IF(2768&lt;=4000,INDEX($D$2:$D$1001,-232),IF(2768&lt;=5000,INDEX($E$2:$E$1001,-1232),"")))))</f>
        <v/>
      </c>
    </row>
    <row r="2770">
      <c r="G2770">
        <f>IF(2769&lt;=1000,INDEX($A$2:$A$1001,2769),IF(2769&lt;=2000,INDEX($B$2:$B$1001,1769),IF(2769&lt;=3000,INDEX($C$2:$C$1001,769),IF(2769&lt;=4000,INDEX($D$2:$D$1001,-231),IF(2769&lt;=5000,INDEX($E$2:$E$1001,-1231),"")))))</f>
        <v/>
      </c>
    </row>
    <row r="2771">
      <c r="G2771">
        <f>IF(2770&lt;=1000,INDEX($A$2:$A$1001,2770),IF(2770&lt;=2000,INDEX($B$2:$B$1001,1770),IF(2770&lt;=3000,INDEX($C$2:$C$1001,770),IF(2770&lt;=4000,INDEX($D$2:$D$1001,-230),IF(2770&lt;=5000,INDEX($E$2:$E$1001,-1230),"")))))</f>
        <v/>
      </c>
    </row>
    <row r="2772">
      <c r="G2772">
        <f>IF(2771&lt;=1000,INDEX($A$2:$A$1001,2771),IF(2771&lt;=2000,INDEX($B$2:$B$1001,1771),IF(2771&lt;=3000,INDEX($C$2:$C$1001,771),IF(2771&lt;=4000,INDEX($D$2:$D$1001,-229),IF(2771&lt;=5000,INDEX($E$2:$E$1001,-1229),"")))))</f>
        <v/>
      </c>
    </row>
    <row r="2773">
      <c r="G2773">
        <f>IF(2772&lt;=1000,INDEX($A$2:$A$1001,2772),IF(2772&lt;=2000,INDEX($B$2:$B$1001,1772),IF(2772&lt;=3000,INDEX($C$2:$C$1001,772),IF(2772&lt;=4000,INDEX($D$2:$D$1001,-228),IF(2772&lt;=5000,INDEX($E$2:$E$1001,-1228),"")))))</f>
        <v/>
      </c>
    </row>
    <row r="2774">
      <c r="G2774">
        <f>IF(2773&lt;=1000,INDEX($A$2:$A$1001,2773),IF(2773&lt;=2000,INDEX($B$2:$B$1001,1773),IF(2773&lt;=3000,INDEX($C$2:$C$1001,773),IF(2773&lt;=4000,INDEX($D$2:$D$1001,-227),IF(2773&lt;=5000,INDEX($E$2:$E$1001,-1227),"")))))</f>
        <v/>
      </c>
    </row>
    <row r="2775">
      <c r="G2775">
        <f>IF(2774&lt;=1000,INDEX($A$2:$A$1001,2774),IF(2774&lt;=2000,INDEX($B$2:$B$1001,1774),IF(2774&lt;=3000,INDEX($C$2:$C$1001,774),IF(2774&lt;=4000,INDEX($D$2:$D$1001,-226),IF(2774&lt;=5000,INDEX($E$2:$E$1001,-1226),"")))))</f>
        <v/>
      </c>
    </row>
    <row r="2776">
      <c r="G2776">
        <f>IF(2775&lt;=1000,INDEX($A$2:$A$1001,2775),IF(2775&lt;=2000,INDEX($B$2:$B$1001,1775),IF(2775&lt;=3000,INDEX($C$2:$C$1001,775),IF(2775&lt;=4000,INDEX($D$2:$D$1001,-225),IF(2775&lt;=5000,INDEX($E$2:$E$1001,-1225),"")))))</f>
        <v/>
      </c>
    </row>
    <row r="2777">
      <c r="G2777">
        <f>IF(2776&lt;=1000,INDEX($A$2:$A$1001,2776),IF(2776&lt;=2000,INDEX($B$2:$B$1001,1776),IF(2776&lt;=3000,INDEX($C$2:$C$1001,776),IF(2776&lt;=4000,INDEX($D$2:$D$1001,-224),IF(2776&lt;=5000,INDEX($E$2:$E$1001,-1224),"")))))</f>
        <v/>
      </c>
    </row>
    <row r="2778">
      <c r="G2778">
        <f>IF(2777&lt;=1000,INDEX($A$2:$A$1001,2777),IF(2777&lt;=2000,INDEX($B$2:$B$1001,1777),IF(2777&lt;=3000,INDEX($C$2:$C$1001,777),IF(2777&lt;=4000,INDEX($D$2:$D$1001,-223),IF(2777&lt;=5000,INDEX($E$2:$E$1001,-1223),"")))))</f>
        <v/>
      </c>
    </row>
    <row r="2779">
      <c r="G2779">
        <f>IF(2778&lt;=1000,INDEX($A$2:$A$1001,2778),IF(2778&lt;=2000,INDEX($B$2:$B$1001,1778),IF(2778&lt;=3000,INDEX($C$2:$C$1001,778),IF(2778&lt;=4000,INDEX($D$2:$D$1001,-222),IF(2778&lt;=5000,INDEX($E$2:$E$1001,-1222),"")))))</f>
        <v/>
      </c>
    </row>
    <row r="2780">
      <c r="G2780">
        <f>IF(2779&lt;=1000,INDEX($A$2:$A$1001,2779),IF(2779&lt;=2000,INDEX($B$2:$B$1001,1779),IF(2779&lt;=3000,INDEX($C$2:$C$1001,779),IF(2779&lt;=4000,INDEX($D$2:$D$1001,-221),IF(2779&lt;=5000,INDEX($E$2:$E$1001,-1221),"")))))</f>
        <v/>
      </c>
    </row>
    <row r="2781">
      <c r="G2781">
        <f>IF(2780&lt;=1000,INDEX($A$2:$A$1001,2780),IF(2780&lt;=2000,INDEX($B$2:$B$1001,1780),IF(2780&lt;=3000,INDEX($C$2:$C$1001,780),IF(2780&lt;=4000,INDEX($D$2:$D$1001,-220),IF(2780&lt;=5000,INDEX($E$2:$E$1001,-1220),"")))))</f>
        <v/>
      </c>
    </row>
    <row r="2782">
      <c r="G2782">
        <f>IF(2781&lt;=1000,INDEX($A$2:$A$1001,2781),IF(2781&lt;=2000,INDEX($B$2:$B$1001,1781),IF(2781&lt;=3000,INDEX($C$2:$C$1001,781),IF(2781&lt;=4000,INDEX($D$2:$D$1001,-219),IF(2781&lt;=5000,INDEX($E$2:$E$1001,-1219),"")))))</f>
        <v/>
      </c>
    </row>
    <row r="2783">
      <c r="G2783">
        <f>IF(2782&lt;=1000,INDEX($A$2:$A$1001,2782),IF(2782&lt;=2000,INDEX($B$2:$B$1001,1782),IF(2782&lt;=3000,INDEX($C$2:$C$1001,782),IF(2782&lt;=4000,INDEX($D$2:$D$1001,-218),IF(2782&lt;=5000,INDEX($E$2:$E$1001,-1218),"")))))</f>
        <v/>
      </c>
    </row>
    <row r="2784">
      <c r="G2784">
        <f>IF(2783&lt;=1000,INDEX($A$2:$A$1001,2783),IF(2783&lt;=2000,INDEX($B$2:$B$1001,1783),IF(2783&lt;=3000,INDEX($C$2:$C$1001,783),IF(2783&lt;=4000,INDEX($D$2:$D$1001,-217),IF(2783&lt;=5000,INDEX($E$2:$E$1001,-1217),"")))))</f>
        <v/>
      </c>
    </row>
    <row r="2785">
      <c r="G2785">
        <f>IF(2784&lt;=1000,INDEX($A$2:$A$1001,2784),IF(2784&lt;=2000,INDEX($B$2:$B$1001,1784),IF(2784&lt;=3000,INDEX($C$2:$C$1001,784),IF(2784&lt;=4000,INDEX($D$2:$D$1001,-216),IF(2784&lt;=5000,INDEX($E$2:$E$1001,-1216),"")))))</f>
        <v/>
      </c>
    </row>
    <row r="2786">
      <c r="G2786">
        <f>IF(2785&lt;=1000,INDEX($A$2:$A$1001,2785),IF(2785&lt;=2000,INDEX($B$2:$B$1001,1785),IF(2785&lt;=3000,INDEX($C$2:$C$1001,785),IF(2785&lt;=4000,INDEX($D$2:$D$1001,-215),IF(2785&lt;=5000,INDEX($E$2:$E$1001,-1215),"")))))</f>
        <v/>
      </c>
    </row>
    <row r="2787">
      <c r="G2787">
        <f>IF(2786&lt;=1000,INDEX($A$2:$A$1001,2786),IF(2786&lt;=2000,INDEX($B$2:$B$1001,1786),IF(2786&lt;=3000,INDEX($C$2:$C$1001,786),IF(2786&lt;=4000,INDEX($D$2:$D$1001,-214),IF(2786&lt;=5000,INDEX($E$2:$E$1001,-1214),"")))))</f>
        <v/>
      </c>
    </row>
    <row r="2788">
      <c r="G2788">
        <f>IF(2787&lt;=1000,INDEX($A$2:$A$1001,2787),IF(2787&lt;=2000,INDEX($B$2:$B$1001,1787),IF(2787&lt;=3000,INDEX($C$2:$C$1001,787),IF(2787&lt;=4000,INDEX($D$2:$D$1001,-213),IF(2787&lt;=5000,INDEX($E$2:$E$1001,-1213),"")))))</f>
        <v/>
      </c>
    </row>
    <row r="2789">
      <c r="G2789">
        <f>IF(2788&lt;=1000,INDEX($A$2:$A$1001,2788),IF(2788&lt;=2000,INDEX($B$2:$B$1001,1788),IF(2788&lt;=3000,INDEX($C$2:$C$1001,788),IF(2788&lt;=4000,INDEX($D$2:$D$1001,-212),IF(2788&lt;=5000,INDEX($E$2:$E$1001,-1212),"")))))</f>
        <v/>
      </c>
    </row>
    <row r="2790">
      <c r="G2790">
        <f>IF(2789&lt;=1000,INDEX($A$2:$A$1001,2789),IF(2789&lt;=2000,INDEX($B$2:$B$1001,1789),IF(2789&lt;=3000,INDEX($C$2:$C$1001,789),IF(2789&lt;=4000,INDEX($D$2:$D$1001,-211),IF(2789&lt;=5000,INDEX($E$2:$E$1001,-1211),"")))))</f>
        <v/>
      </c>
    </row>
    <row r="2791">
      <c r="G2791">
        <f>IF(2790&lt;=1000,INDEX($A$2:$A$1001,2790),IF(2790&lt;=2000,INDEX($B$2:$B$1001,1790),IF(2790&lt;=3000,INDEX($C$2:$C$1001,790),IF(2790&lt;=4000,INDEX($D$2:$D$1001,-210),IF(2790&lt;=5000,INDEX($E$2:$E$1001,-1210),"")))))</f>
        <v/>
      </c>
    </row>
    <row r="2792">
      <c r="G2792">
        <f>IF(2791&lt;=1000,INDEX($A$2:$A$1001,2791),IF(2791&lt;=2000,INDEX($B$2:$B$1001,1791),IF(2791&lt;=3000,INDEX($C$2:$C$1001,791),IF(2791&lt;=4000,INDEX($D$2:$D$1001,-209),IF(2791&lt;=5000,INDEX($E$2:$E$1001,-1209),"")))))</f>
        <v/>
      </c>
    </row>
    <row r="2793">
      <c r="G2793">
        <f>IF(2792&lt;=1000,INDEX($A$2:$A$1001,2792),IF(2792&lt;=2000,INDEX($B$2:$B$1001,1792),IF(2792&lt;=3000,INDEX($C$2:$C$1001,792),IF(2792&lt;=4000,INDEX($D$2:$D$1001,-208),IF(2792&lt;=5000,INDEX($E$2:$E$1001,-1208),"")))))</f>
        <v/>
      </c>
    </row>
    <row r="2794">
      <c r="G2794">
        <f>IF(2793&lt;=1000,INDEX($A$2:$A$1001,2793),IF(2793&lt;=2000,INDEX($B$2:$B$1001,1793),IF(2793&lt;=3000,INDEX($C$2:$C$1001,793),IF(2793&lt;=4000,INDEX($D$2:$D$1001,-207),IF(2793&lt;=5000,INDEX($E$2:$E$1001,-1207),"")))))</f>
        <v/>
      </c>
    </row>
    <row r="2795">
      <c r="G2795">
        <f>IF(2794&lt;=1000,INDEX($A$2:$A$1001,2794),IF(2794&lt;=2000,INDEX($B$2:$B$1001,1794),IF(2794&lt;=3000,INDEX($C$2:$C$1001,794),IF(2794&lt;=4000,INDEX($D$2:$D$1001,-206),IF(2794&lt;=5000,INDEX($E$2:$E$1001,-1206),"")))))</f>
        <v/>
      </c>
    </row>
    <row r="2796">
      <c r="G2796">
        <f>IF(2795&lt;=1000,INDEX($A$2:$A$1001,2795),IF(2795&lt;=2000,INDEX($B$2:$B$1001,1795),IF(2795&lt;=3000,INDEX($C$2:$C$1001,795),IF(2795&lt;=4000,INDEX($D$2:$D$1001,-205),IF(2795&lt;=5000,INDEX($E$2:$E$1001,-1205),"")))))</f>
        <v/>
      </c>
    </row>
    <row r="2797">
      <c r="G2797">
        <f>IF(2796&lt;=1000,INDEX($A$2:$A$1001,2796),IF(2796&lt;=2000,INDEX($B$2:$B$1001,1796),IF(2796&lt;=3000,INDEX($C$2:$C$1001,796),IF(2796&lt;=4000,INDEX($D$2:$D$1001,-204),IF(2796&lt;=5000,INDEX($E$2:$E$1001,-1204),"")))))</f>
        <v/>
      </c>
    </row>
    <row r="2798">
      <c r="G2798">
        <f>IF(2797&lt;=1000,INDEX($A$2:$A$1001,2797),IF(2797&lt;=2000,INDEX($B$2:$B$1001,1797),IF(2797&lt;=3000,INDEX($C$2:$C$1001,797),IF(2797&lt;=4000,INDEX($D$2:$D$1001,-203),IF(2797&lt;=5000,INDEX($E$2:$E$1001,-1203),"")))))</f>
        <v/>
      </c>
    </row>
    <row r="2799">
      <c r="G2799">
        <f>IF(2798&lt;=1000,INDEX($A$2:$A$1001,2798),IF(2798&lt;=2000,INDEX($B$2:$B$1001,1798),IF(2798&lt;=3000,INDEX($C$2:$C$1001,798),IF(2798&lt;=4000,INDEX($D$2:$D$1001,-202),IF(2798&lt;=5000,INDEX($E$2:$E$1001,-1202),"")))))</f>
        <v/>
      </c>
    </row>
    <row r="2800">
      <c r="G2800">
        <f>IF(2799&lt;=1000,INDEX($A$2:$A$1001,2799),IF(2799&lt;=2000,INDEX($B$2:$B$1001,1799),IF(2799&lt;=3000,INDEX($C$2:$C$1001,799),IF(2799&lt;=4000,INDEX($D$2:$D$1001,-201),IF(2799&lt;=5000,INDEX($E$2:$E$1001,-1201),"")))))</f>
        <v/>
      </c>
    </row>
    <row r="2801">
      <c r="G2801">
        <f>IF(2800&lt;=1000,INDEX($A$2:$A$1001,2800),IF(2800&lt;=2000,INDEX($B$2:$B$1001,1800),IF(2800&lt;=3000,INDEX($C$2:$C$1001,800),IF(2800&lt;=4000,INDEX($D$2:$D$1001,-200),IF(2800&lt;=5000,INDEX($E$2:$E$1001,-1200),"")))))</f>
        <v/>
      </c>
    </row>
    <row r="2802">
      <c r="G2802">
        <f>IF(2801&lt;=1000,INDEX($A$2:$A$1001,2801),IF(2801&lt;=2000,INDEX($B$2:$B$1001,1801),IF(2801&lt;=3000,INDEX($C$2:$C$1001,801),IF(2801&lt;=4000,INDEX($D$2:$D$1001,-199),IF(2801&lt;=5000,INDEX($E$2:$E$1001,-1199),"")))))</f>
        <v/>
      </c>
    </row>
    <row r="2803">
      <c r="G2803">
        <f>IF(2802&lt;=1000,INDEX($A$2:$A$1001,2802),IF(2802&lt;=2000,INDEX($B$2:$B$1001,1802),IF(2802&lt;=3000,INDEX($C$2:$C$1001,802),IF(2802&lt;=4000,INDEX($D$2:$D$1001,-198),IF(2802&lt;=5000,INDEX($E$2:$E$1001,-1198),"")))))</f>
        <v/>
      </c>
    </row>
    <row r="2804">
      <c r="G2804">
        <f>IF(2803&lt;=1000,INDEX($A$2:$A$1001,2803),IF(2803&lt;=2000,INDEX($B$2:$B$1001,1803),IF(2803&lt;=3000,INDEX($C$2:$C$1001,803),IF(2803&lt;=4000,INDEX($D$2:$D$1001,-197),IF(2803&lt;=5000,INDEX($E$2:$E$1001,-1197),"")))))</f>
        <v/>
      </c>
    </row>
    <row r="2805">
      <c r="G2805">
        <f>IF(2804&lt;=1000,INDEX($A$2:$A$1001,2804),IF(2804&lt;=2000,INDEX($B$2:$B$1001,1804),IF(2804&lt;=3000,INDEX($C$2:$C$1001,804),IF(2804&lt;=4000,INDEX($D$2:$D$1001,-196),IF(2804&lt;=5000,INDEX($E$2:$E$1001,-1196),"")))))</f>
        <v/>
      </c>
    </row>
    <row r="2806">
      <c r="G2806">
        <f>IF(2805&lt;=1000,INDEX($A$2:$A$1001,2805),IF(2805&lt;=2000,INDEX($B$2:$B$1001,1805),IF(2805&lt;=3000,INDEX($C$2:$C$1001,805),IF(2805&lt;=4000,INDEX($D$2:$D$1001,-195),IF(2805&lt;=5000,INDEX($E$2:$E$1001,-1195),"")))))</f>
        <v/>
      </c>
    </row>
    <row r="2807">
      <c r="G2807">
        <f>IF(2806&lt;=1000,INDEX($A$2:$A$1001,2806),IF(2806&lt;=2000,INDEX($B$2:$B$1001,1806),IF(2806&lt;=3000,INDEX($C$2:$C$1001,806),IF(2806&lt;=4000,INDEX($D$2:$D$1001,-194),IF(2806&lt;=5000,INDEX($E$2:$E$1001,-1194),"")))))</f>
        <v/>
      </c>
    </row>
    <row r="2808">
      <c r="G2808">
        <f>IF(2807&lt;=1000,INDEX($A$2:$A$1001,2807),IF(2807&lt;=2000,INDEX($B$2:$B$1001,1807),IF(2807&lt;=3000,INDEX($C$2:$C$1001,807),IF(2807&lt;=4000,INDEX($D$2:$D$1001,-193),IF(2807&lt;=5000,INDEX($E$2:$E$1001,-1193),"")))))</f>
        <v/>
      </c>
    </row>
    <row r="2809">
      <c r="G2809">
        <f>IF(2808&lt;=1000,INDEX($A$2:$A$1001,2808),IF(2808&lt;=2000,INDEX($B$2:$B$1001,1808),IF(2808&lt;=3000,INDEX($C$2:$C$1001,808),IF(2808&lt;=4000,INDEX($D$2:$D$1001,-192),IF(2808&lt;=5000,INDEX($E$2:$E$1001,-1192),"")))))</f>
        <v/>
      </c>
    </row>
    <row r="2810">
      <c r="G2810">
        <f>IF(2809&lt;=1000,INDEX($A$2:$A$1001,2809),IF(2809&lt;=2000,INDEX($B$2:$B$1001,1809),IF(2809&lt;=3000,INDEX($C$2:$C$1001,809),IF(2809&lt;=4000,INDEX($D$2:$D$1001,-191),IF(2809&lt;=5000,INDEX($E$2:$E$1001,-1191),"")))))</f>
        <v/>
      </c>
    </row>
    <row r="2811">
      <c r="G2811">
        <f>IF(2810&lt;=1000,INDEX($A$2:$A$1001,2810),IF(2810&lt;=2000,INDEX($B$2:$B$1001,1810),IF(2810&lt;=3000,INDEX($C$2:$C$1001,810),IF(2810&lt;=4000,INDEX($D$2:$D$1001,-190),IF(2810&lt;=5000,INDEX($E$2:$E$1001,-1190),"")))))</f>
        <v/>
      </c>
    </row>
    <row r="2812">
      <c r="G2812">
        <f>IF(2811&lt;=1000,INDEX($A$2:$A$1001,2811),IF(2811&lt;=2000,INDEX($B$2:$B$1001,1811),IF(2811&lt;=3000,INDEX($C$2:$C$1001,811),IF(2811&lt;=4000,INDEX($D$2:$D$1001,-189),IF(2811&lt;=5000,INDEX($E$2:$E$1001,-1189),"")))))</f>
        <v/>
      </c>
    </row>
    <row r="2813">
      <c r="G2813">
        <f>IF(2812&lt;=1000,INDEX($A$2:$A$1001,2812),IF(2812&lt;=2000,INDEX($B$2:$B$1001,1812),IF(2812&lt;=3000,INDEX($C$2:$C$1001,812),IF(2812&lt;=4000,INDEX($D$2:$D$1001,-188),IF(2812&lt;=5000,INDEX($E$2:$E$1001,-1188),"")))))</f>
        <v/>
      </c>
    </row>
    <row r="2814">
      <c r="G2814">
        <f>IF(2813&lt;=1000,INDEX($A$2:$A$1001,2813),IF(2813&lt;=2000,INDEX($B$2:$B$1001,1813),IF(2813&lt;=3000,INDEX($C$2:$C$1001,813),IF(2813&lt;=4000,INDEX($D$2:$D$1001,-187),IF(2813&lt;=5000,INDEX($E$2:$E$1001,-1187),"")))))</f>
        <v/>
      </c>
    </row>
    <row r="2815">
      <c r="G2815">
        <f>IF(2814&lt;=1000,INDEX($A$2:$A$1001,2814),IF(2814&lt;=2000,INDEX($B$2:$B$1001,1814),IF(2814&lt;=3000,INDEX($C$2:$C$1001,814),IF(2814&lt;=4000,INDEX($D$2:$D$1001,-186),IF(2814&lt;=5000,INDEX($E$2:$E$1001,-1186),"")))))</f>
        <v/>
      </c>
    </row>
    <row r="2816">
      <c r="G2816">
        <f>IF(2815&lt;=1000,INDEX($A$2:$A$1001,2815),IF(2815&lt;=2000,INDEX($B$2:$B$1001,1815),IF(2815&lt;=3000,INDEX($C$2:$C$1001,815),IF(2815&lt;=4000,INDEX($D$2:$D$1001,-185),IF(2815&lt;=5000,INDEX($E$2:$E$1001,-1185),"")))))</f>
        <v/>
      </c>
    </row>
    <row r="2817">
      <c r="G2817">
        <f>IF(2816&lt;=1000,INDEX($A$2:$A$1001,2816),IF(2816&lt;=2000,INDEX($B$2:$B$1001,1816),IF(2816&lt;=3000,INDEX($C$2:$C$1001,816),IF(2816&lt;=4000,INDEX($D$2:$D$1001,-184),IF(2816&lt;=5000,INDEX($E$2:$E$1001,-1184),"")))))</f>
        <v/>
      </c>
    </row>
    <row r="2818">
      <c r="G2818">
        <f>IF(2817&lt;=1000,INDEX($A$2:$A$1001,2817),IF(2817&lt;=2000,INDEX($B$2:$B$1001,1817),IF(2817&lt;=3000,INDEX($C$2:$C$1001,817),IF(2817&lt;=4000,INDEX($D$2:$D$1001,-183),IF(2817&lt;=5000,INDEX($E$2:$E$1001,-1183),"")))))</f>
        <v/>
      </c>
    </row>
    <row r="2819">
      <c r="G2819">
        <f>IF(2818&lt;=1000,INDEX($A$2:$A$1001,2818),IF(2818&lt;=2000,INDEX($B$2:$B$1001,1818),IF(2818&lt;=3000,INDEX($C$2:$C$1001,818),IF(2818&lt;=4000,INDEX($D$2:$D$1001,-182),IF(2818&lt;=5000,INDEX($E$2:$E$1001,-1182),"")))))</f>
        <v/>
      </c>
    </row>
    <row r="2820">
      <c r="G2820">
        <f>IF(2819&lt;=1000,INDEX($A$2:$A$1001,2819),IF(2819&lt;=2000,INDEX($B$2:$B$1001,1819),IF(2819&lt;=3000,INDEX($C$2:$C$1001,819),IF(2819&lt;=4000,INDEX($D$2:$D$1001,-181),IF(2819&lt;=5000,INDEX($E$2:$E$1001,-1181),"")))))</f>
        <v/>
      </c>
    </row>
    <row r="2821">
      <c r="G2821">
        <f>IF(2820&lt;=1000,INDEX($A$2:$A$1001,2820),IF(2820&lt;=2000,INDEX($B$2:$B$1001,1820),IF(2820&lt;=3000,INDEX($C$2:$C$1001,820),IF(2820&lt;=4000,INDEX($D$2:$D$1001,-180),IF(2820&lt;=5000,INDEX($E$2:$E$1001,-1180),"")))))</f>
        <v/>
      </c>
    </row>
    <row r="2822">
      <c r="G2822">
        <f>IF(2821&lt;=1000,INDEX($A$2:$A$1001,2821),IF(2821&lt;=2000,INDEX($B$2:$B$1001,1821),IF(2821&lt;=3000,INDEX($C$2:$C$1001,821),IF(2821&lt;=4000,INDEX($D$2:$D$1001,-179),IF(2821&lt;=5000,INDEX($E$2:$E$1001,-1179),"")))))</f>
        <v/>
      </c>
    </row>
    <row r="2823">
      <c r="G2823">
        <f>IF(2822&lt;=1000,INDEX($A$2:$A$1001,2822),IF(2822&lt;=2000,INDEX($B$2:$B$1001,1822),IF(2822&lt;=3000,INDEX($C$2:$C$1001,822),IF(2822&lt;=4000,INDEX($D$2:$D$1001,-178),IF(2822&lt;=5000,INDEX($E$2:$E$1001,-1178),"")))))</f>
        <v/>
      </c>
    </row>
    <row r="2824">
      <c r="G2824">
        <f>IF(2823&lt;=1000,INDEX($A$2:$A$1001,2823),IF(2823&lt;=2000,INDEX($B$2:$B$1001,1823),IF(2823&lt;=3000,INDEX($C$2:$C$1001,823),IF(2823&lt;=4000,INDEX($D$2:$D$1001,-177),IF(2823&lt;=5000,INDEX($E$2:$E$1001,-1177),"")))))</f>
        <v/>
      </c>
    </row>
    <row r="2825">
      <c r="G2825">
        <f>IF(2824&lt;=1000,INDEX($A$2:$A$1001,2824),IF(2824&lt;=2000,INDEX($B$2:$B$1001,1824),IF(2824&lt;=3000,INDEX($C$2:$C$1001,824),IF(2824&lt;=4000,INDEX($D$2:$D$1001,-176),IF(2824&lt;=5000,INDEX($E$2:$E$1001,-1176),"")))))</f>
        <v/>
      </c>
    </row>
    <row r="2826">
      <c r="G2826">
        <f>IF(2825&lt;=1000,INDEX($A$2:$A$1001,2825),IF(2825&lt;=2000,INDEX($B$2:$B$1001,1825),IF(2825&lt;=3000,INDEX($C$2:$C$1001,825),IF(2825&lt;=4000,INDEX($D$2:$D$1001,-175),IF(2825&lt;=5000,INDEX($E$2:$E$1001,-1175),"")))))</f>
        <v/>
      </c>
    </row>
    <row r="2827">
      <c r="G2827">
        <f>IF(2826&lt;=1000,INDEX($A$2:$A$1001,2826),IF(2826&lt;=2000,INDEX($B$2:$B$1001,1826),IF(2826&lt;=3000,INDEX($C$2:$C$1001,826),IF(2826&lt;=4000,INDEX($D$2:$D$1001,-174),IF(2826&lt;=5000,INDEX($E$2:$E$1001,-1174),"")))))</f>
        <v/>
      </c>
    </row>
    <row r="2828">
      <c r="G2828">
        <f>IF(2827&lt;=1000,INDEX($A$2:$A$1001,2827),IF(2827&lt;=2000,INDEX($B$2:$B$1001,1827),IF(2827&lt;=3000,INDEX($C$2:$C$1001,827),IF(2827&lt;=4000,INDEX($D$2:$D$1001,-173),IF(2827&lt;=5000,INDEX($E$2:$E$1001,-1173),"")))))</f>
        <v/>
      </c>
    </row>
    <row r="2829">
      <c r="G2829">
        <f>IF(2828&lt;=1000,INDEX($A$2:$A$1001,2828),IF(2828&lt;=2000,INDEX($B$2:$B$1001,1828),IF(2828&lt;=3000,INDEX($C$2:$C$1001,828),IF(2828&lt;=4000,INDEX($D$2:$D$1001,-172),IF(2828&lt;=5000,INDEX($E$2:$E$1001,-1172),"")))))</f>
        <v/>
      </c>
    </row>
    <row r="2830">
      <c r="G2830">
        <f>IF(2829&lt;=1000,INDEX($A$2:$A$1001,2829),IF(2829&lt;=2000,INDEX($B$2:$B$1001,1829),IF(2829&lt;=3000,INDEX($C$2:$C$1001,829),IF(2829&lt;=4000,INDEX($D$2:$D$1001,-171),IF(2829&lt;=5000,INDEX($E$2:$E$1001,-1171),"")))))</f>
        <v/>
      </c>
    </row>
    <row r="2831">
      <c r="G2831">
        <f>IF(2830&lt;=1000,INDEX($A$2:$A$1001,2830),IF(2830&lt;=2000,INDEX($B$2:$B$1001,1830),IF(2830&lt;=3000,INDEX($C$2:$C$1001,830),IF(2830&lt;=4000,INDEX($D$2:$D$1001,-170),IF(2830&lt;=5000,INDEX($E$2:$E$1001,-1170),"")))))</f>
        <v/>
      </c>
    </row>
    <row r="2832">
      <c r="G2832">
        <f>IF(2831&lt;=1000,INDEX($A$2:$A$1001,2831),IF(2831&lt;=2000,INDEX($B$2:$B$1001,1831),IF(2831&lt;=3000,INDEX($C$2:$C$1001,831),IF(2831&lt;=4000,INDEX($D$2:$D$1001,-169),IF(2831&lt;=5000,INDEX($E$2:$E$1001,-1169),"")))))</f>
        <v/>
      </c>
    </row>
    <row r="2833">
      <c r="G2833">
        <f>IF(2832&lt;=1000,INDEX($A$2:$A$1001,2832),IF(2832&lt;=2000,INDEX($B$2:$B$1001,1832),IF(2832&lt;=3000,INDEX($C$2:$C$1001,832),IF(2832&lt;=4000,INDEX($D$2:$D$1001,-168),IF(2832&lt;=5000,INDEX($E$2:$E$1001,-1168),"")))))</f>
        <v/>
      </c>
    </row>
    <row r="2834">
      <c r="G2834">
        <f>IF(2833&lt;=1000,INDEX($A$2:$A$1001,2833),IF(2833&lt;=2000,INDEX($B$2:$B$1001,1833),IF(2833&lt;=3000,INDEX($C$2:$C$1001,833),IF(2833&lt;=4000,INDEX($D$2:$D$1001,-167),IF(2833&lt;=5000,INDEX($E$2:$E$1001,-1167),"")))))</f>
        <v/>
      </c>
    </row>
    <row r="2835">
      <c r="G2835">
        <f>IF(2834&lt;=1000,INDEX($A$2:$A$1001,2834),IF(2834&lt;=2000,INDEX($B$2:$B$1001,1834),IF(2834&lt;=3000,INDEX($C$2:$C$1001,834),IF(2834&lt;=4000,INDEX($D$2:$D$1001,-166),IF(2834&lt;=5000,INDEX($E$2:$E$1001,-1166),"")))))</f>
        <v/>
      </c>
    </row>
    <row r="2836">
      <c r="G2836">
        <f>IF(2835&lt;=1000,INDEX($A$2:$A$1001,2835),IF(2835&lt;=2000,INDEX($B$2:$B$1001,1835),IF(2835&lt;=3000,INDEX($C$2:$C$1001,835),IF(2835&lt;=4000,INDEX($D$2:$D$1001,-165),IF(2835&lt;=5000,INDEX($E$2:$E$1001,-1165),"")))))</f>
        <v/>
      </c>
    </row>
    <row r="2837">
      <c r="G2837">
        <f>IF(2836&lt;=1000,INDEX($A$2:$A$1001,2836),IF(2836&lt;=2000,INDEX($B$2:$B$1001,1836),IF(2836&lt;=3000,INDEX($C$2:$C$1001,836),IF(2836&lt;=4000,INDEX($D$2:$D$1001,-164),IF(2836&lt;=5000,INDEX($E$2:$E$1001,-1164),"")))))</f>
        <v/>
      </c>
    </row>
    <row r="2838">
      <c r="G2838">
        <f>IF(2837&lt;=1000,INDEX($A$2:$A$1001,2837),IF(2837&lt;=2000,INDEX($B$2:$B$1001,1837),IF(2837&lt;=3000,INDEX($C$2:$C$1001,837),IF(2837&lt;=4000,INDEX($D$2:$D$1001,-163),IF(2837&lt;=5000,INDEX($E$2:$E$1001,-1163),"")))))</f>
        <v/>
      </c>
    </row>
    <row r="2839">
      <c r="G2839">
        <f>IF(2838&lt;=1000,INDEX($A$2:$A$1001,2838),IF(2838&lt;=2000,INDEX($B$2:$B$1001,1838),IF(2838&lt;=3000,INDEX($C$2:$C$1001,838),IF(2838&lt;=4000,INDEX($D$2:$D$1001,-162),IF(2838&lt;=5000,INDEX($E$2:$E$1001,-1162),"")))))</f>
        <v/>
      </c>
    </row>
    <row r="2840">
      <c r="G2840">
        <f>IF(2839&lt;=1000,INDEX($A$2:$A$1001,2839),IF(2839&lt;=2000,INDEX($B$2:$B$1001,1839),IF(2839&lt;=3000,INDEX($C$2:$C$1001,839),IF(2839&lt;=4000,INDEX($D$2:$D$1001,-161),IF(2839&lt;=5000,INDEX($E$2:$E$1001,-1161),"")))))</f>
        <v/>
      </c>
    </row>
    <row r="2841">
      <c r="G2841">
        <f>IF(2840&lt;=1000,INDEX($A$2:$A$1001,2840),IF(2840&lt;=2000,INDEX($B$2:$B$1001,1840),IF(2840&lt;=3000,INDEX($C$2:$C$1001,840),IF(2840&lt;=4000,INDEX($D$2:$D$1001,-160),IF(2840&lt;=5000,INDEX($E$2:$E$1001,-1160),"")))))</f>
        <v/>
      </c>
    </row>
    <row r="2842">
      <c r="G2842">
        <f>IF(2841&lt;=1000,INDEX($A$2:$A$1001,2841),IF(2841&lt;=2000,INDEX($B$2:$B$1001,1841),IF(2841&lt;=3000,INDEX($C$2:$C$1001,841),IF(2841&lt;=4000,INDEX($D$2:$D$1001,-159),IF(2841&lt;=5000,INDEX($E$2:$E$1001,-1159),"")))))</f>
        <v/>
      </c>
    </row>
    <row r="2843">
      <c r="G2843">
        <f>IF(2842&lt;=1000,INDEX($A$2:$A$1001,2842),IF(2842&lt;=2000,INDEX($B$2:$B$1001,1842),IF(2842&lt;=3000,INDEX($C$2:$C$1001,842),IF(2842&lt;=4000,INDEX($D$2:$D$1001,-158),IF(2842&lt;=5000,INDEX($E$2:$E$1001,-1158),"")))))</f>
        <v/>
      </c>
    </row>
    <row r="2844">
      <c r="G2844">
        <f>IF(2843&lt;=1000,INDEX($A$2:$A$1001,2843),IF(2843&lt;=2000,INDEX($B$2:$B$1001,1843),IF(2843&lt;=3000,INDEX($C$2:$C$1001,843),IF(2843&lt;=4000,INDEX($D$2:$D$1001,-157),IF(2843&lt;=5000,INDEX($E$2:$E$1001,-1157),"")))))</f>
        <v/>
      </c>
    </row>
    <row r="2845">
      <c r="G2845">
        <f>IF(2844&lt;=1000,INDEX($A$2:$A$1001,2844),IF(2844&lt;=2000,INDEX($B$2:$B$1001,1844),IF(2844&lt;=3000,INDEX($C$2:$C$1001,844),IF(2844&lt;=4000,INDEX($D$2:$D$1001,-156),IF(2844&lt;=5000,INDEX($E$2:$E$1001,-1156),"")))))</f>
        <v/>
      </c>
    </row>
    <row r="2846">
      <c r="G2846">
        <f>IF(2845&lt;=1000,INDEX($A$2:$A$1001,2845),IF(2845&lt;=2000,INDEX($B$2:$B$1001,1845),IF(2845&lt;=3000,INDEX($C$2:$C$1001,845),IF(2845&lt;=4000,INDEX($D$2:$D$1001,-155),IF(2845&lt;=5000,INDEX($E$2:$E$1001,-1155),"")))))</f>
        <v/>
      </c>
    </row>
    <row r="2847">
      <c r="G2847">
        <f>IF(2846&lt;=1000,INDEX($A$2:$A$1001,2846),IF(2846&lt;=2000,INDEX($B$2:$B$1001,1846),IF(2846&lt;=3000,INDEX($C$2:$C$1001,846),IF(2846&lt;=4000,INDEX($D$2:$D$1001,-154),IF(2846&lt;=5000,INDEX($E$2:$E$1001,-1154),"")))))</f>
        <v/>
      </c>
    </row>
    <row r="2848">
      <c r="G2848">
        <f>IF(2847&lt;=1000,INDEX($A$2:$A$1001,2847),IF(2847&lt;=2000,INDEX($B$2:$B$1001,1847),IF(2847&lt;=3000,INDEX($C$2:$C$1001,847),IF(2847&lt;=4000,INDEX($D$2:$D$1001,-153),IF(2847&lt;=5000,INDEX($E$2:$E$1001,-1153),"")))))</f>
        <v/>
      </c>
    </row>
    <row r="2849">
      <c r="G2849">
        <f>IF(2848&lt;=1000,INDEX($A$2:$A$1001,2848),IF(2848&lt;=2000,INDEX($B$2:$B$1001,1848),IF(2848&lt;=3000,INDEX($C$2:$C$1001,848),IF(2848&lt;=4000,INDEX($D$2:$D$1001,-152),IF(2848&lt;=5000,INDEX($E$2:$E$1001,-1152),"")))))</f>
        <v/>
      </c>
    </row>
    <row r="2850">
      <c r="G2850">
        <f>IF(2849&lt;=1000,INDEX($A$2:$A$1001,2849),IF(2849&lt;=2000,INDEX($B$2:$B$1001,1849),IF(2849&lt;=3000,INDEX($C$2:$C$1001,849),IF(2849&lt;=4000,INDEX($D$2:$D$1001,-151),IF(2849&lt;=5000,INDEX($E$2:$E$1001,-1151),"")))))</f>
        <v/>
      </c>
    </row>
    <row r="2851">
      <c r="G2851">
        <f>IF(2850&lt;=1000,INDEX($A$2:$A$1001,2850),IF(2850&lt;=2000,INDEX($B$2:$B$1001,1850),IF(2850&lt;=3000,INDEX($C$2:$C$1001,850),IF(2850&lt;=4000,INDEX($D$2:$D$1001,-150),IF(2850&lt;=5000,INDEX($E$2:$E$1001,-1150),"")))))</f>
        <v/>
      </c>
    </row>
    <row r="2852">
      <c r="G2852">
        <f>IF(2851&lt;=1000,INDEX($A$2:$A$1001,2851),IF(2851&lt;=2000,INDEX($B$2:$B$1001,1851),IF(2851&lt;=3000,INDEX($C$2:$C$1001,851),IF(2851&lt;=4000,INDEX($D$2:$D$1001,-149),IF(2851&lt;=5000,INDEX($E$2:$E$1001,-1149),"")))))</f>
        <v/>
      </c>
    </row>
    <row r="2853">
      <c r="G2853">
        <f>IF(2852&lt;=1000,INDEX($A$2:$A$1001,2852),IF(2852&lt;=2000,INDEX($B$2:$B$1001,1852),IF(2852&lt;=3000,INDEX($C$2:$C$1001,852),IF(2852&lt;=4000,INDEX($D$2:$D$1001,-148),IF(2852&lt;=5000,INDEX($E$2:$E$1001,-1148),"")))))</f>
        <v/>
      </c>
    </row>
    <row r="2854">
      <c r="G2854">
        <f>IF(2853&lt;=1000,INDEX($A$2:$A$1001,2853),IF(2853&lt;=2000,INDEX($B$2:$B$1001,1853),IF(2853&lt;=3000,INDEX($C$2:$C$1001,853),IF(2853&lt;=4000,INDEX($D$2:$D$1001,-147),IF(2853&lt;=5000,INDEX($E$2:$E$1001,-1147),"")))))</f>
        <v/>
      </c>
    </row>
    <row r="2855">
      <c r="G2855">
        <f>IF(2854&lt;=1000,INDEX($A$2:$A$1001,2854),IF(2854&lt;=2000,INDEX($B$2:$B$1001,1854),IF(2854&lt;=3000,INDEX($C$2:$C$1001,854),IF(2854&lt;=4000,INDEX($D$2:$D$1001,-146),IF(2854&lt;=5000,INDEX($E$2:$E$1001,-1146),"")))))</f>
        <v/>
      </c>
    </row>
    <row r="2856">
      <c r="G2856">
        <f>IF(2855&lt;=1000,INDEX($A$2:$A$1001,2855),IF(2855&lt;=2000,INDEX($B$2:$B$1001,1855),IF(2855&lt;=3000,INDEX($C$2:$C$1001,855),IF(2855&lt;=4000,INDEX($D$2:$D$1001,-145),IF(2855&lt;=5000,INDEX($E$2:$E$1001,-1145),"")))))</f>
        <v/>
      </c>
    </row>
    <row r="2857">
      <c r="G2857">
        <f>IF(2856&lt;=1000,INDEX($A$2:$A$1001,2856),IF(2856&lt;=2000,INDEX($B$2:$B$1001,1856),IF(2856&lt;=3000,INDEX($C$2:$C$1001,856),IF(2856&lt;=4000,INDEX($D$2:$D$1001,-144),IF(2856&lt;=5000,INDEX($E$2:$E$1001,-1144),"")))))</f>
        <v/>
      </c>
    </row>
    <row r="2858">
      <c r="G2858">
        <f>IF(2857&lt;=1000,INDEX($A$2:$A$1001,2857),IF(2857&lt;=2000,INDEX($B$2:$B$1001,1857),IF(2857&lt;=3000,INDEX($C$2:$C$1001,857),IF(2857&lt;=4000,INDEX($D$2:$D$1001,-143),IF(2857&lt;=5000,INDEX($E$2:$E$1001,-1143),"")))))</f>
        <v/>
      </c>
    </row>
    <row r="2859">
      <c r="G2859">
        <f>IF(2858&lt;=1000,INDEX($A$2:$A$1001,2858),IF(2858&lt;=2000,INDEX($B$2:$B$1001,1858),IF(2858&lt;=3000,INDEX($C$2:$C$1001,858),IF(2858&lt;=4000,INDEX($D$2:$D$1001,-142),IF(2858&lt;=5000,INDEX($E$2:$E$1001,-1142),"")))))</f>
        <v/>
      </c>
    </row>
    <row r="2860">
      <c r="G2860">
        <f>IF(2859&lt;=1000,INDEX($A$2:$A$1001,2859),IF(2859&lt;=2000,INDEX($B$2:$B$1001,1859),IF(2859&lt;=3000,INDEX($C$2:$C$1001,859),IF(2859&lt;=4000,INDEX($D$2:$D$1001,-141),IF(2859&lt;=5000,INDEX($E$2:$E$1001,-1141),"")))))</f>
        <v/>
      </c>
    </row>
    <row r="2861">
      <c r="G2861">
        <f>IF(2860&lt;=1000,INDEX($A$2:$A$1001,2860),IF(2860&lt;=2000,INDEX($B$2:$B$1001,1860),IF(2860&lt;=3000,INDEX($C$2:$C$1001,860),IF(2860&lt;=4000,INDEX($D$2:$D$1001,-140),IF(2860&lt;=5000,INDEX($E$2:$E$1001,-1140),"")))))</f>
        <v/>
      </c>
    </row>
    <row r="2862">
      <c r="G2862">
        <f>IF(2861&lt;=1000,INDEX($A$2:$A$1001,2861),IF(2861&lt;=2000,INDEX($B$2:$B$1001,1861),IF(2861&lt;=3000,INDEX($C$2:$C$1001,861),IF(2861&lt;=4000,INDEX($D$2:$D$1001,-139),IF(2861&lt;=5000,INDEX($E$2:$E$1001,-1139),"")))))</f>
        <v/>
      </c>
    </row>
    <row r="2863">
      <c r="G2863">
        <f>IF(2862&lt;=1000,INDEX($A$2:$A$1001,2862),IF(2862&lt;=2000,INDEX($B$2:$B$1001,1862),IF(2862&lt;=3000,INDEX($C$2:$C$1001,862),IF(2862&lt;=4000,INDEX($D$2:$D$1001,-138),IF(2862&lt;=5000,INDEX($E$2:$E$1001,-1138),"")))))</f>
        <v/>
      </c>
    </row>
    <row r="2864">
      <c r="G2864">
        <f>IF(2863&lt;=1000,INDEX($A$2:$A$1001,2863),IF(2863&lt;=2000,INDEX($B$2:$B$1001,1863),IF(2863&lt;=3000,INDEX($C$2:$C$1001,863),IF(2863&lt;=4000,INDEX($D$2:$D$1001,-137),IF(2863&lt;=5000,INDEX($E$2:$E$1001,-1137),"")))))</f>
        <v/>
      </c>
    </row>
    <row r="2865">
      <c r="G2865">
        <f>IF(2864&lt;=1000,INDEX($A$2:$A$1001,2864),IF(2864&lt;=2000,INDEX($B$2:$B$1001,1864),IF(2864&lt;=3000,INDEX($C$2:$C$1001,864),IF(2864&lt;=4000,INDEX($D$2:$D$1001,-136),IF(2864&lt;=5000,INDEX($E$2:$E$1001,-1136),"")))))</f>
        <v/>
      </c>
    </row>
    <row r="2866">
      <c r="G2866">
        <f>IF(2865&lt;=1000,INDEX($A$2:$A$1001,2865),IF(2865&lt;=2000,INDEX($B$2:$B$1001,1865),IF(2865&lt;=3000,INDEX($C$2:$C$1001,865),IF(2865&lt;=4000,INDEX($D$2:$D$1001,-135),IF(2865&lt;=5000,INDEX($E$2:$E$1001,-1135),"")))))</f>
        <v/>
      </c>
    </row>
    <row r="2867">
      <c r="G2867">
        <f>IF(2866&lt;=1000,INDEX($A$2:$A$1001,2866),IF(2866&lt;=2000,INDEX($B$2:$B$1001,1866),IF(2866&lt;=3000,INDEX($C$2:$C$1001,866),IF(2866&lt;=4000,INDEX($D$2:$D$1001,-134),IF(2866&lt;=5000,INDEX($E$2:$E$1001,-1134),"")))))</f>
        <v/>
      </c>
    </row>
    <row r="2868">
      <c r="G2868">
        <f>IF(2867&lt;=1000,INDEX($A$2:$A$1001,2867),IF(2867&lt;=2000,INDEX($B$2:$B$1001,1867),IF(2867&lt;=3000,INDEX($C$2:$C$1001,867),IF(2867&lt;=4000,INDEX($D$2:$D$1001,-133),IF(2867&lt;=5000,INDEX($E$2:$E$1001,-1133),"")))))</f>
        <v/>
      </c>
    </row>
    <row r="2869">
      <c r="G2869">
        <f>IF(2868&lt;=1000,INDEX($A$2:$A$1001,2868),IF(2868&lt;=2000,INDEX($B$2:$B$1001,1868),IF(2868&lt;=3000,INDEX($C$2:$C$1001,868),IF(2868&lt;=4000,INDEX($D$2:$D$1001,-132),IF(2868&lt;=5000,INDEX($E$2:$E$1001,-1132),"")))))</f>
        <v/>
      </c>
    </row>
    <row r="2870">
      <c r="G2870">
        <f>IF(2869&lt;=1000,INDEX($A$2:$A$1001,2869),IF(2869&lt;=2000,INDEX($B$2:$B$1001,1869),IF(2869&lt;=3000,INDEX($C$2:$C$1001,869),IF(2869&lt;=4000,INDEX($D$2:$D$1001,-131),IF(2869&lt;=5000,INDEX($E$2:$E$1001,-1131),"")))))</f>
        <v/>
      </c>
    </row>
    <row r="2871">
      <c r="G2871">
        <f>IF(2870&lt;=1000,INDEX($A$2:$A$1001,2870),IF(2870&lt;=2000,INDEX($B$2:$B$1001,1870),IF(2870&lt;=3000,INDEX($C$2:$C$1001,870),IF(2870&lt;=4000,INDEX($D$2:$D$1001,-130),IF(2870&lt;=5000,INDEX($E$2:$E$1001,-1130),"")))))</f>
        <v/>
      </c>
    </row>
    <row r="2872">
      <c r="G2872">
        <f>IF(2871&lt;=1000,INDEX($A$2:$A$1001,2871),IF(2871&lt;=2000,INDEX($B$2:$B$1001,1871),IF(2871&lt;=3000,INDEX($C$2:$C$1001,871),IF(2871&lt;=4000,INDEX($D$2:$D$1001,-129),IF(2871&lt;=5000,INDEX($E$2:$E$1001,-1129),"")))))</f>
        <v/>
      </c>
    </row>
    <row r="2873">
      <c r="G2873">
        <f>IF(2872&lt;=1000,INDEX($A$2:$A$1001,2872),IF(2872&lt;=2000,INDEX($B$2:$B$1001,1872),IF(2872&lt;=3000,INDEX($C$2:$C$1001,872),IF(2872&lt;=4000,INDEX($D$2:$D$1001,-128),IF(2872&lt;=5000,INDEX($E$2:$E$1001,-1128),"")))))</f>
        <v/>
      </c>
    </row>
    <row r="2874">
      <c r="G2874">
        <f>IF(2873&lt;=1000,INDEX($A$2:$A$1001,2873),IF(2873&lt;=2000,INDEX($B$2:$B$1001,1873),IF(2873&lt;=3000,INDEX($C$2:$C$1001,873),IF(2873&lt;=4000,INDEX($D$2:$D$1001,-127),IF(2873&lt;=5000,INDEX($E$2:$E$1001,-1127),"")))))</f>
        <v/>
      </c>
    </row>
    <row r="2875">
      <c r="G2875">
        <f>IF(2874&lt;=1000,INDEX($A$2:$A$1001,2874),IF(2874&lt;=2000,INDEX($B$2:$B$1001,1874),IF(2874&lt;=3000,INDEX($C$2:$C$1001,874),IF(2874&lt;=4000,INDEX($D$2:$D$1001,-126),IF(2874&lt;=5000,INDEX($E$2:$E$1001,-1126),"")))))</f>
        <v/>
      </c>
    </row>
    <row r="2876">
      <c r="G2876">
        <f>IF(2875&lt;=1000,INDEX($A$2:$A$1001,2875),IF(2875&lt;=2000,INDEX($B$2:$B$1001,1875),IF(2875&lt;=3000,INDEX($C$2:$C$1001,875),IF(2875&lt;=4000,INDEX($D$2:$D$1001,-125),IF(2875&lt;=5000,INDEX($E$2:$E$1001,-1125),"")))))</f>
        <v/>
      </c>
    </row>
    <row r="2877">
      <c r="G2877">
        <f>IF(2876&lt;=1000,INDEX($A$2:$A$1001,2876),IF(2876&lt;=2000,INDEX($B$2:$B$1001,1876),IF(2876&lt;=3000,INDEX($C$2:$C$1001,876),IF(2876&lt;=4000,INDEX($D$2:$D$1001,-124),IF(2876&lt;=5000,INDEX($E$2:$E$1001,-1124),"")))))</f>
        <v/>
      </c>
    </row>
    <row r="2878">
      <c r="G2878">
        <f>IF(2877&lt;=1000,INDEX($A$2:$A$1001,2877),IF(2877&lt;=2000,INDEX($B$2:$B$1001,1877),IF(2877&lt;=3000,INDEX($C$2:$C$1001,877),IF(2877&lt;=4000,INDEX($D$2:$D$1001,-123),IF(2877&lt;=5000,INDEX($E$2:$E$1001,-1123),"")))))</f>
        <v/>
      </c>
    </row>
    <row r="2879">
      <c r="G2879">
        <f>IF(2878&lt;=1000,INDEX($A$2:$A$1001,2878),IF(2878&lt;=2000,INDEX($B$2:$B$1001,1878),IF(2878&lt;=3000,INDEX($C$2:$C$1001,878),IF(2878&lt;=4000,INDEX($D$2:$D$1001,-122),IF(2878&lt;=5000,INDEX($E$2:$E$1001,-1122),"")))))</f>
        <v/>
      </c>
    </row>
    <row r="2880">
      <c r="G2880">
        <f>IF(2879&lt;=1000,INDEX($A$2:$A$1001,2879),IF(2879&lt;=2000,INDEX($B$2:$B$1001,1879),IF(2879&lt;=3000,INDEX($C$2:$C$1001,879),IF(2879&lt;=4000,INDEX($D$2:$D$1001,-121),IF(2879&lt;=5000,INDEX($E$2:$E$1001,-1121),"")))))</f>
        <v/>
      </c>
    </row>
    <row r="2881">
      <c r="G2881">
        <f>IF(2880&lt;=1000,INDEX($A$2:$A$1001,2880),IF(2880&lt;=2000,INDEX($B$2:$B$1001,1880),IF(2880&lt;=3000,INDEX($C$2:$C$1001,880),IF(2880&lt;=4000,INDEX($D$2:$D$1001,-120),IF(2880&lt;=5000,INDEX($E$2:$E$1001,-1120),"")))))</f>
        <v/>
      </c>
    </row>
    <row r="2882">
      <c r="G2882">
        <f>IF(2881&lt;=1000,INDEX($A$2:$A$1001,2881),IF(2881&lt;=2000,INDEX($B$2:$B$1001,1881),IF(2881&lt;=3000,INDEX($C$2:$C$1001,881),IF(2881&lt;=4000,INDEX($D$2:$D$1001,-119),IF(2881&lt;=5000,INDEX($E$2:$E$1001,-1119),"")))))</f>
        <v/>
      </c>
    </row>
    <row r="2883">
      <c r="G2883">
        <f>IF(2882&lt;=1000,INDEX($A$2:$A$1001,2882),IF(2882&lt;=2000,INDEX($B$2:$B$1001,1882),IF(2882&lt;=3000,INDEX($C$2:$C$1001,882),IF(2882&lt;=4000,INDEX($D$2:$D$1001,-118),IF(2882&lt;=5000,INDEX($E$2:$E$1001,-1118),"")))))</f>
        <v/>
      </c>
    </row>
    <row r="2884">
      <c r="G2884">
        <f>IF(2883&lt;=1000,INDEX($A$2:$A$1001,2883),IF(2883&lt;=2000,INDEX($B$2:$B$1001,1883),IF(2883&lt;=3000,INDEX($C$2:$C$1001,883),IF(2883&lt;=4000,INDEX($D$2:$D$1001,-117),IF(2883&lt;=5000,INDEX($E$2:$E$1001,-1117),"")))))</f>
        <v/>
      </c>
    </row>
    <row r="2885">
      <c r="G2885">
        <f>IF(2884&lt;=1000,INDEX($A$2:$A$1001,2884),IF(2884&lt;=2000,INDEX($B$2:$B$1001,1884),IF(2884&lt;=3000,INDEX($C$2:$C$1001,884),IF(2884&lt;=4000,INDEX($D$2:$D$1001,-116),IF(2884&lt;=5000,INDEX($E$2:$E$1001,-1116),"")))))</f>
        <v/>
      </c>
    </row>
    <row r="2886">
      <c r="G2886">
        <f>IF(2885&lt;=1000,INDEX($A$2:$A$1001,2885),IF(2885&lt;=2000,INDEX($B$2:$B$1001,1885),IF(2885&lt;=3000,INDEX($C$2:$C$1001,885),IF(2885&lt;=4000,INDEX($D$2:$D$1001,-115),IF(2885&lt;=5000,INDEX($E$2:$E$1001,-1115),"")))))</f>
        <v/>
      </c>
    </row>
    <row r="2887">
      <c r="G2887">
        <f>IF(2886&lt;=1000,INDEX($A$2:$A$1001,2886),IF(2886&lt;=2000,INDEX($B$2:$B$1001,1886),IF(2886&lt;=3000,INDEX($C$2:$C$1001,886),IF(2886&lt;=4000,INDEX($D$2:$D$1001,-114),IF(2886&lt;=5000,INDEX($E$2:$E$1001,-1114),"")))))</f>
        <v/>
      </c>
    </row>
    <row r="2888">
      <c r="G2888">
        <f>IF(2887&lt;=1000,INDEX($A$2:$A$1001,2887),IF(2887&lt;=2000,INDEX($B$2:$B$1001,1887),IF(2887&lt;=3000,INDEX($C$2:$C$1001,887),IF(2887&lt;=4000,INDEX($D$2:$D$1001,-113),IF(2887&lt;=5000,INDEX($E$2:$E$1001,-1113),"")))))</f>
        <v/>
      </c>
    </row>
    <row r="2889">
      <c r="G2889">
        <f>IF(2888&lt;=1000,INDEX($A$2:$A$1001,2888),IF(2888&lt;=2000,INDEX($B$2:$B$1001,1888),IF(2888&lt;=3000,INDEX($C$2:$C$1001,888),IF(2888&lt;=4000,INDEX($D$2:$D$1001,-112),IF(2888&lt;=5000,INDEX($E$2:$E$1001,-1112),"")))))</f>
        <v/>
      </c>
    </row>
    <row r="2890">
      <c r="G2890">
        <f>IF(2889&lt;=1000,INDEX($A$2:$A$1001,2889),IF(2889&lt;=2000,INDEX($B$2:$B$1001,1889),IF(2889&lt;=3000,INDEX($C$2:$C$1001,889),IF(2889&lt;=4000,INDEX($D$2:$D$1001,-111),IF(2889&lt;=5000,INDEX($E$2:$E$1001,-1111),"")))))</f>
        <v/>
      </c>
    </row>
    <row r="2891">
      <c r="G2891">
        <f>IF(2890&lt;=1000,INDEX($A$2:$A$1001,2890),IF(2890&lt;=2000,INDEX($B$2:$B$1001,1890),IF(2890&lt;=3000,INDEX($C$2:$C$1001,890),IF(2890&lt;=4000,INDEX($D$2:$D$1001,-110),IF(2890&lt;=5000,INDEX($E$2:$E$1001,-1110),"")))))</f>
        <v/>
      </c>
    </row>
    <row r="2892">
      <c r="G2892">
        <f>IF(2891&lt;=1000,INDEX($A$2:$A$1001,2891),IF(2891&lt;=2000,INDEX($B$2:$B$1001,1891),IF(2891&lt;=3000,INDEX($C$2:$C$1001,891),IF(2891&lt;=4000,INDEX($D$2:$D$1001,-109),IF(2891&lt;=5000,INDEX($E$2:$E$1001,-1109),"")))))</f>
        <v/>
      </c>
    </row>
    <row r="2893">
      <c r="G2893">
        <f>IF(2892&lt;=1000,INDEX($A$2:$A$1001,2892),IF(2892&lt;=2000,INDEX($B$2:$B$1001,1892),IF(2892&lt;=3000,INDEX($C$2:$C$1001,892),IF(2892&lt;=4000,INDEX($D$2:$D$1001,-108),IF(2892&lt;=5000,INDEX($E$2:$E$1001,-1108),"")))))</f>
        <v/>
      </c>
    </row>
    <row r="2894">
      <c r="G2894">
        <f>IF(2893&lt;=1000,INDEX($A$2:$A$1001,2893),IF(2893&lt;=2000,INDEX($B$2:$B$1001,1893),IF(2893&lt;=3000,INDEX($C$2:$C$1001,893),IF(2893&lt;=4000,INDEX($D$2:$D$1001,-107),IF(2893&lt;=5000,INDEX($E$2:$E$1001,-1107),"")))))</f>
        <v/>
      </c>
    </row>
    <row r="2895">
      <c r="G2895">
        <f>IF(2894&lt;=1000,INDEX($A$2:$A$1001,2894),IF(2894&lt;=2000,INDEX($B$2:$B$1001,1894),IF(2894&lt;=3000,INDEX($C$2:$C$1001,894),IF(2894&lt;=4000,INDEX($D$2:$D$1001,-106),IF(2894&lt;=5000,INDEX($E$2:$E$1001,-1106),"")))))</f>
        <v/>
      </c>
    </row>
    <row r="2896">
      <c r="G2896">
        <f>IF(2895&lt;=1000,INDEX($A$2:$A$1001,2895),IF(2895&lt;=2000,INDEX($B$2:$B$1001,1895),IF(2895&lt;=3000,INDEX($C$2:$C$1001,895),IF(2895&lt;=4000,INDEX($D$2:$D$1001,-105),IF(2895&lt;=5000,INDEX($E$2:$E$1001,-1105),"")))))</f>
        <v/>
      </c>
    </row>
    <row r="2897">
      <c r="G2897">
        <f>IF(2896&lt;=1000,INDEX($A$2:$A$1001,2896),IF(2896&lt;=2000,INDEX($B$2:$B$1001,1896),IF(2896&lt;=3000,INDEX($C$2:$C$1001,896),IF(2896&lt;=4000,INDEX($D$2:$D$1001,-104),IF(2896&lt;=5000,INDEX($E$2:$E$1001,-1104),"")))))</f>
        <v/>
      </c>
    </row>
    <row r="2898">
      <c r="G2898">
        <f>IF(2897&lt;=1000,INDEX($A$2:$A$1001,2897),IF(2897&lt;=2000,INDEX($B$2:$B$1001,1897),IF(2897&lt;=3000,INDEX($C$2:$C$1001,897),IF(2897&lt;=4000,INDEX($D$2:$D$1001,-103),IF(2897&lt;=5000,INDEX($E$2:$E$1001,-1103),"")))))</f>
        <v/>
      </c>
    </row>
    <row r="2899">
      <c r="G2899">
        <f>IF(2898&lt;=1000,INDEX($A$2:$A$1001,2898),IF(2898&lt;=2000,INDEX($B$2:$B$1001,1898),IF(2898&lt;=3000,INDEX($C$2:$C$1001,898),IF(2898&lt;=4000,INDEX($D$2:$D$1001,-102),IF(2898&lt;=5000,INDEX($E$2:$E$1001,-1102),"")))))</f>
        <v/>
      </c>
    </row>
    <row r="2900">
      <c r="G2900">
        <f>IF(2899&lt;=1000,INDEX($A$2:$A$1001,2899),IF(2899&lt;=2000,INDEX($B$2:$B$1001,1899),IF(2899&lt;=3000,INDEX($C$2:$C$1001,899),IF(2899&lt;=4000,INDEX($D$2:$D$1001,-101),IF(2899&lt;=5000,INDEX($E$2:$E$1001,-1101),"")))))</f>
        <v/>
      </c>
    </row>
    <row r="2901">
      <c r="G2901">
        <f>IF(2900&lt;=1000,INDEX($A$2:$A$1001,2900),IF(2900&lt;=2000,INDEX($B$2:$B$1001,1900),IF(2900&lt;=3000,INDEX($C$2:$C$1001,900),IF(2900&lt;=4000,INDEX($D$2:$D$1001,-100),IF(2900&lt;=5000,INDEX($E$2:$E$1001,-1100),"")))))</f>
        <v/>
      </c>
    </row>
    <row r="2902">
      <c r="G2902">
        <f>IF(2901&lt;=1000,INDEX($A$2:$A$1001,2901),IF(2901&lt;=2000,INDEX($B$2:$B$1001,1901),IF(2901&lt;=3000,INDEX($C$2:$C$1001,901),IF(2901&lt;=4000,INDEX($D$2:$D$1001,-99),IF(2901&lt;=5000,INDEX($E$2:$E$1001,-1099),"")))))</f>
        <v/>
      </c>
    </row>
    <row r="2903">
      <c r="G2903">
        <f>IF(2902&lt;=1000,INDEX($A$2:$A$1001,2902),IF(2902&lt;=2000,INDEX($B$2:$B$1001,1902),IF(2902&lt;=3000,INDEX($C$2:$C$1001,902),IF(2902&lt;=4000,INDEX($D$2:$D$1001,-98),IF(2902&lt;=5000,INDEX($E$2:$E$1001,-1098),"")))))</f>
        <v/>
      </c>
    </row>
    <row r="2904">
      <c r="G2904">
        <f>IF(2903&lt;=1000,INDEX($A$2:$A$1001,2903),IF(2903&lt;=2000,INDEX($B$2:$B$1001,1903),IF(2903&lt;=3000,INDEX($C$2:$C$1001,903),IF(2903&lt;=4000,INDEX($D$2:$D$1001,-97),IF(2903&lt;=5000,INDEX($E$2:$E$1001,-1097),"")))))</f>
        <v/>
      </c>
    </row>
    <row r="2905">
      <c r="G2905">
        <f>IF(2904&lt;=1000,INDEX($A$2:$A$1001,2904),IF(2904&lt;=2000,INDEX($B$2:$B$1001,1904),IF(2904&lt;=3000,INDEX($C$2:$C$1001,904),IF(2904&lt;=4000,INDEX($D$2:$D$1001,-96),IF(2904&lt;=5000,INDEX($E$2:$E$1001,-1096),"")))))</f>
        <v/>
      </c>
    </row>
    <row r="2906">
      <c r="G2906">
        <f>IF(2905&lt;=1000,INDEX($A$2:$A$1001,2905),IF(2905&lt;=2000,INDEX($B$2:$B$1001,1905),IF(2905&lt;=3000,INDEX($C$2:$C$1001,905),IF(2905&lt;=4000,INDEX($D$2:$D$1001,-95),IF(2905&lt;=5000,INDEX($E$2:$E$1001,-1095),"")))))</f>
        <v/>
      </c>
    </row>
    <row r="2907">
      <c r="G2907">
        <f>IF(2906&lt;=1000,INDEX($A$2:$A$1001,2906),IF(2906&lt;=2000,INDEX($B$2:$B$1001,1906),IF(2906&lt;=3000,INDEX($C$2:$C$1001,906),IF(2906&lt;=4000,INDEX($D$2:$D$1001,-94),IF(2906&lt;=5000,INDEX($E$2:$E$1001,-1094),"")))))</f>
        <v/>
      </c>
    </row>
    <row r="2908">
      <c r="G2908">
        <f>IF(2907&lt;=1000,INDEX($A$2:$A$1001,2907),IF(2907&lt;=2000,INDEX($B$2:$B$1001,1907),IF(2907&lt;=3000,INDEX($C$2:$C$1001,907),IF(2907&lt;=4000,INDEX($D$2:$D$1001,-93),IF(2907&lt;=5000,INDEX($E$2:$E$1001,-1093),"")))))</f>
        <v/>
      </c>
    </row>
    <row r="2909">
      <c r="G2909">
        <f>IF(2908&lt;=1000,INDEX($A$2:$A$1001,2908),IF(2908&lt;=2000,INDEX($B$2:$B$1001,1908),IF(2908&lt;=3000,INDEX($C$2:$C$1001,908),IF(2908&lt;=4000,INDEX($D$2:$D$1001,-92),IF(2908&lt;=5000,INDEX($E$2:$E$1001,-1092),"")))))</f>
        <v/>
      </c>
    </row>
    <row r="2910">
      <c r="G2910">
        <f>IF(2909&lt;=1000,INDEX($A$2:$A$1001,2909),IF(2909&lt;=2000,INDEX($B$2:$B$1001,1909),IF(2909&lt;=3000,INDEX($C$2:$C$1001,909),IF(2909&lt;=4000,INDEX($D$2:$D$1001,-91),IF(2909&lt;=5000,INDEX($E$2:$E$1001,-1091),"")))))</f>
        <v/>
      </c>
    </row>
    <row r="2911">
      <c r="G2911">
        <f>IF(2910&lt;=1000,INDEX($A$2:$A$1001,2910),IF(2910&lt;=2000,INDEX($B$2:$B$1001,1910),IF(2910&lt;=3000,INDEX($C$2:$C$1001,910),IF(2910&lt;=4000,INDEX($D$2:$D$1001,-90),IF(2910&lt;=5000,INDEX($E$2:$E$1001,-1090),"")))))</f>
        <v/>
      </c>
    </row>
    <row r="2912">
      <c r="G2912">
        <f>IF(2911&lt;=1000,INDEX($A$2:$A$1001,2911),IF(2911&lt;=2000,INDEX($B$2:$B$1001,1911),IF(2911&lt;=3000,INDEX($C$2:$C$1001,911),IF(2911&lt;=4000,INDEX($D$2:$D$1001,-89),IF(2911&lt;=5000,INDEX($E$2:$E$1001,-1089),"")))))</f>
        <v/>
      </c>
    </row>
    <row r="2913">
      <c r="G2913">
        <f>IF(2912&lt;=1000,INDEX($A$2:$A$1001,2912),IF(2912&lt;=2000,INDEX($B$2:$B$1001,1912),IF(2912&lt;=3000,INDEX($C$2:$C$1001,912),IF(2912&lt;=4000,INDEX($D$2:$D$1001,-88),IF(2912&lt;=5000,INDEX($E$2:$E$1001,-1088),"")))))</f>
        <v/>
      </c>
    </row>
    <row r="2914">
      <c r="G2914">
        <f>IF(2913&lt;=1000,INDEX($A$2:$A$1001,2913),IF(2913&lt;=2000,INDEX($B$2:$B$1001,1913),IF(2913&lt;=3000,INDEX($C$2:$C$1001,913),IF(2913&lt;=4000,INDEX($D$2:$D$1001,-87),IF(2913&lt;=5000,INDEX($E$2:$E$1001,-1087),"")))))</f>
        <v/>
      </c>
    </row>
    <row r="2915">
      <c r="G2915">
        <f>IF(2914&lt;=1000,INDEX($A$2:$A$1001,2914),IF(2914&lt;=2000,INDEX($B$2:$B$1001,1914),IF(2914&lt;=3000,INDEX($C$2:$C$1001,914),IF(2914&lt;=4000,INDEX($D$2:$D$1001,-86),IF(2914&lt;=5000,INDEX($E$2:$E$1001,-1086),"")))))</f>
        <v/>
      </c>
    </row>
    <row r="2916">
      <c r="G2916">
        <f>IF(2915&lt;=1000,INDEX($A$2:$A$1001,2915),IF(2915&lt;=2000,INDEX($B$2:$B$1001,1915),IF(2915&lt;=3000,INDEX($C$2:$C$1001,915),IF(2915&lt;=4000,INDEX($D$2:$D$1001,-85),IF(2915&lt;=5000,INDEX($E$2:$E$1001,-1085),"")))))</f>
        <v/>
      </c>
    </row>
    <row r="2917">
      <c r="G2917">
        <f>IF(2916&lt;=1000,INDEX($A$2:$A$1001,2916),IF(2916&lt;=2000,INDEX($B$2:$B$1001,1916),IF(2916&lt;=3000,INDEX($C$2:$C$1001,916),IF(2916&lt;=4000,INDEX($D$2:$D$1001,-84),IF(2916&lt;=5000,INDEX($E$2:$E$1001,-1084),"")))))</f>
        <v/>
      </c>
    </row>
    <row r="2918">
      <c r="G2918">
        <f>IF(2917&lt;=1000,INDEX($A$2:$A$1001,2917),IF(2917&lt;=2000,INDEX($B$2:$B$1001,1917),IF(2917&lt;=3000,INDEX($C$2:$C$1001,917),IF(2917&lt;=4000,INDEX($D$2:$D$1001,-83),IF(2917&lt;=5000,INDEX($E$2:$E$1001,-1083),"")))))</f>
        <v/>
      </c>
    </row>
    <row r="2919">
      <c r="G2919">
        <f>IF(2918&lt;=1000,INDEX($A$2:$A$1001,2918),IF(2918&lt;=2000,INDEX($B$2:$B$1001,1918),IF(2918&lt;=3000,INDEX($C$2:$C$1001,918),IF(2918&lt;=4000,INDEX($D$2:$D$1001,-82),IF(2918&lt;=5000,INDEX($E$2:$E$1001,-1082),"")))))</f>
        <v/>
      </c>
    </row>
    <row r="2920">
      <c r="G2920">
        <f>IF(2919&lt;=1000,INDEX($A$2:$A$1001,2919),IF(2919&lt;=2000,INDEX($B$2:$B$1001,1919),IF(2919&lt;=3000,INDEX($C$2:$C$1001,919),IF(2919&lt;=4000,INDEX($D$2:$D$1001,-81),IF(2919&lt;=5000,INDEX($E$2:$E$1001,-1081),"")))))</f>
        <v/>
      </c>
    </row>
    <row r="2921">
      <c r="G2921">
        <f>IF(2920&lt;=1000,INDEX($A$2:$A$1001,2920),IF(2920&lt;=2000,INDEX($B$2:$B$1001,1920),IF(2920&lt;=3000,INDEX($C$2:$C$1001,920),IF(2920&lt;=4000,INDEX($D$2:$D$1001,-80),IF(2920&lt;=5000,INDEX($E$2:$E$1001,-1080),"")))))</f>
        <v/>
      </c>
    </row>
    <row r="2922">
      <c r="G2922">
        <f>IF(2921&lt;=1000,INDEX($A$2:$A$1001,2921),IF(2921&lt;=2000,INDEX($B$2:$B$1001,1921),IF(2921&lt;=3000,INDEX($C$2:$C$1001,921),IF(2921&lt;=4000,INDEX($D$2:$D$1001,-79),IF(2921&lt;=5000,INDEX($E$2:$E$1001,-1079),"")))))</f>
        <v/>
      </c>
    </row>
    <row r="2923">
      <c r="G2923">
        <f>IF(2922&lt;=1000,INDEX($A$2:$A$1001,2922),IF(2922&lt;=2000,INDEX($B$2:$B$1001,1922),IF(2922&lt;=3000,INDEX($C$2:$C$1001,922),IF(2922&lt;=4000,INDEX($D$2:$D$1001,-78),IF(2922&lt;=5000,INDEX($E$2:$E$1001,-1078),"")))))</f>
        <v/>
      </c>
    </row>
    <row r="2924">
      <c r="G2924">
        <f>IF(2923&lt;=1000,INDEX($A$2:$A$1001,2923),IF(2923&lt;=2000,INDEX($B$2:$B$1001,1923),IF(2923&lt;=3000,INDEX($C$2:$C$1001,923),IF(2923&lt;=4000,INDEX($D$2:$D$1001,-77),IF(2923&lt;=5000,INDEX($E$2:$E$1001,-1077),"")))))</f>
        <v/>
      </c>
    </row>
    <row r="2925">
      <c r="G2925">
        <f>IF(2924&lt;=1000,INDEX($A$2:$A$1001,2924),IF(2924&lt;=2000,INDEX($B$2:$B$1001,1924),IF(2924&lt;=3000,INDEX($C$2:$C$1001,924),IF(2924&lt;=4000,INDEX($D$2:$D$1001,-76),IF(2924&lt;=5000,INDEX($E$2:$E$1001,-1076),"")))))</f>
        <v/>
      </c>
    </row>
    <row r="2926">
      <c r="G2926">
        <f>IF(2925&lt;=1000,INDEX($A$2:$A$1001,2925),IF(2925&lt;=2000,INDEX($B$2:$B$1001,1925),IF(2925&lt;=3000,INDEX($C$2:$C$1001,925),IF(2925&lt;=4000,INDEX($D$2:$D$1001,-75),IF(2925&lt;=5000,INDEX($E$2:$E$1001,-1075),"")))))</f>
        <v/>
      </c>
    </row>
    <row r="2927">
      <c r="G2927">
        <f>IF(2926&lt;=1000,INDEX($A$2:$A$1001,2926),IF(2926&lt;=2000,INDEX($B$2:$B$1001,1926),IF(2926&lt;=3000,INDEX($C$2:$C$1001,926),IF(2926&lt;=4000,INDEX($D$2:$D$1001,-74),IF(2926&lt;=5000,INDEX($E$2:$E$1001,-1074),"")))))</f>
        <v/>
      </c>
    </row>
    <row r="2928">
      <c r="G2928">
        <f>IF(2927&lt;=1000,INDEX($A$2:$A$1001,2927),IF(2927&lt;=2000,INDEX($B$2:$B$1001,1927),IF(2927&lt;=3000,INDEX($C$2:$C$1001,927),IF(2927&lt;=4000,INDEX($D$2:$D$1001,-73),IF(2927&lt;=5000,INDEX($E$2:$E$1001,-1073),"")))))</f>
        <v/>
      </c>
    </row>
    <row r="2929">
      <c r="G2929">
        <f>IF(2928&lt;=1000,INDEX($A$2:$A$1001,2928),IF(2928&lt;=2000,INDEX($B$2:$B$1001,1928),IF(2928&lt;=3000,INDEX($C$2:$C$1001,928),IF(2928&lt;=4000,INDEX($D$2:$D$1001,-72),IF(2928&lt;=5000,INDEX($E$2:$E$1001,-1072),"")))))</f>
        <v/>
      </c>
    </row>
    <row r="2930">
      <c r="G2930">
        <f>IF(2929&lt;=1000,INDEX($A$2:$A$1001,2929),IF(2929&lt;=2000,INDEX($B$2:$B$1001,1929),IF(2929&lt;=3000,INDEX($C$2:$C$1001,929),IF(2929&lt;=4000,INDEX($D$2:$D$1001,-71),IF(2929&lt;=5000,INDEX($E$2:$E$1001,-1071),"")))))</f>
        <v/>
      </c>
    </row>
    <row r="2931">
      <c r="G2931">
        <f>IF(2930&lt;=1000,INDEX($A$2:$A$1001,2930),IF(2930&lt;=2000,INDEX($B$2:$B$1001,1930),IF(2930&lt;=3000,INDEX($C$2:$C$1001,930),IF(2930&lt;=4000,INDEX($D$2:$D$1001,-70),IF(2930&lt;=5000,INDEX($E$2:$E$1001,-1070),"")))))</f>
        <v/>
      </c>
    </row>
    <row r="2932">
      <c r="G2932">
        <f>IF(2931&lt;=1000,INDEX($A$2:$A$1001,2931),IF(2931&lt;=2000,INDEX($B$2:$B$1001,1931),IF(2931&lt;=3000,INDEX($C$2:$C$1001,931),IF(2931&lt;=4000,INDEX($D$2:$D$1001,-69),IF(2931&lt;=5000,INDEX($E$2:$E$1001,-1069),"")))))</f>
        <v/>
      </c>
    </row>
    <row r="2933">
      <c r="G2933">
        <f>IF(2932&lt;=1000,INDEX($A$2:$A$1001,2932),IF(2932&lt;=2000,INDEX($B$2:$B$1001,1932),IF(2932&lt;=3000,INDEX($C$2:$C$1001,932),IF(2932&lt;=4000,INDEX($D$2:$D$1001,-68),IF(2932&lt;=5000,INDEX($E$2:$E$1001,-1068),"")))))</f>
        <v/>
      </c>
    </row>
    <row r="2934">
      <c r="G2934">
        <f>IF(2933&lt;=1000,INDEX($A$2:$A$1001,2933),IF(2933&lt;=2000,INDEX($B$2:$B$1001,1933),IF(2933&lt;=3000,INDEX($C$2:$C$1001,933),IF(2933&lt;=4000,INDEX($D$2:$D$1001,-67),IF(2933&lt;=5000,INDEX($E$2:$E$1001,-1067),"")))))</f>
        <v/>
      </c>
    </row>
    <row r="2935">
      <c r="G2935">
        <f>IF(2934&lt;=1000,INDEX($A$2:$A$1001,2934),IF(2934&lt;=2000,INDEX($B$2:$B$1001,1934),IF(2934&lt;=3000,INDEX($C$2:$C$1001,934),IF(2934&lt;=4000,INDEX($D$2:$D$1001,-66),IF(2934&lt;=5000,INDEX($E$2:$E$1001,-1066),"")))))</f>
        <v/>
      </c>
    </row>
    <row r="2936">
      <c r="G2936">
        <f>IF(2935&lt;=1000,INDEX($A$2:$A$1001,2935),IF(2935&lt;=2000,INDEX($B$2:$B$1001,1935),IF(2935&lt;=3000,INDEX($C$2:$C$1001,935),IF(2935&lt;=4000,INDEX($D$2:$D$1001,-65),IF(2935&lt;=5000,INDEX($E$2:$E$1001,-1065),"")))))</f>
        <v/>
      </c>
    </row>
    <row r="2937">
      <c r="G2937">
        <f>IF(2936&lt;=1000,INDEX($A$2:$A$1001,2936),IF(2936&lt;=2000,INDEX($B$2:$B$1001,1936),IF(2936&lt;=3000,INDEX($C$2:$C$1001,936),IF(2936&lt;=4000,INDEX($D$2:$D$1001,-64),IF(2936&lt;=5000,INDEX($E$2:$E$1001,-1064),"")))))</f>
        <v/>
      </c>
    </row>
    <row r="2938">
      <c r="G2938">
        <f>IF(2937&lt;=1000,INDEX($A$2:$A$1001,2937),IF(2937&lt;=2000,INDEX($B$2:$B$1001,1937),IF(2937&lt;=3000,INDEX($C$2:$C$1001,937),IF(2937&lt;=4000,INDEX($D$2:$D$1001,-63),IF(2937&lt;=5000,INDEX($E$2:$E$1001,-1063),"")))))</f>
        <v/>
      </c>
    </row>
    <row r="2939">
      <c r="G2939">
        <f>IF(2938&lt;=1000,INDEX($A$2:$A$1001,2938),IF(2938&lt;=2000,INDEX($B$2:$B$1001,1938),IF(2938&lt;=3000,INDEX($C$2:$C$1001,938),IF(2938&lt;=4000,INDEX($D$2:$D$1001,-62),IF(2938&lt;=5000,INDEX($E$2:$E$1001,-1062),"")))))</f>
        <v/>
      </c>
    </row>
    <row r="2940">
      <c r="G2940">
        <f>IF(2939&lt;=1000,INDEX($A$2:$A$1001,2939),IF(2939&lt;=2000,INDEX($B$2:$B$1001,1939),IF(2939&lt;=3000,INDEX($C$2:$C$1001,939),IF(2939&lt;=4000,INDEX($D$2:$D$1001,-61),IF(2939&lt;=5000,INDEX($E$2:$E$1001,-1061),"")))))</f>
        <v/>
      </c>
    </row>
    <row r="2941">
      <c r="G2941">
        <f>IF(2940&lt;=1000,INDEX($A$2:$A$1001,2940),IF(2940&lt;=2000,INDEX($B$2:$B$1001,1940),IF(2940&lt;=3000,INDEX($C$2:$C$1001,940),IF(2940&lt;=4000,INDEX($D$2:$D$1001,-60),IF(2940&lt;=5000,INDEX($E$2:$E$1001,-1060),"")))))</f>
        <v/>
      </c>
    </row>
    <row r="2942">
      <c r="G2942">
        <f>IF(2941&lt;=1000,INDEX($A$2:$A$1001,2941),IF(2941&lt;=2000,INDEX($B$2:$B$1001,1941),IF(2941&lt;=3000,INDEX($C$2:$C$1001,941),IF(2941&lt;=4000,INDEX($D$2:$D$1001,-59),IF(2941&lt;=5000,INDEX($E$2:$E$1001,-1059),"")))))</f>
        <v/>
      </c>
    </row>
    <row r="2943">
      <c r="G2943">
        <f>IF(2942&lt;=1000,INDEX($A$2:$A$1001,2942),IF(2942&lt;=2000,INDEX($B$2:$B$1001,1942),IF(2942&lt;=3000,INDEX($C$2:$C$1001,942),IF(2942&lt;=4000,INDEX($D$2:$D$1001,-58),IF(2942&lt;=5000,INDEX($E$2:$E$1001,-1058),"")))))</f>
        <v/>
      </c>
    </row>
    <row r="2944">
      <c r="G2944">
        <f>IF(2943&lt;=1000,INDEX($A$2:$A$1001,2943),IF(2943&lt;=2000,INDEX($B$2:$B$1001,1943),IF(2943&lt;=3000,INDEX($C$2:$C$1001,943),IF(2943&lt;=4000,INDEX($D$2:$D$1001,-57),IF(2943&lt;=5000,INDEX($E$2:$E$1001,-1057),"")))))</f>
        <v/>
      </c>
    </row>
    <row r="2945">
      <c r="G2945">
        <f>IF(2944&lt;=1000,INDEX($A$2:$A$1001,2944),IF(2944&lt;=2000,INDEX($B$2:$B$1001,1944),IF(2944&lt;=3000,INDEX($C$2:$C$1001,944),IF(2944&lt;=4000,INDEX($D$2:$D$1001,-56),IF(2944&lt;=5000,INDEX($E$2:$E$1001,-1056),"")))))</f>
        <v/>
      </c>
    </row>
    <row r="2946">
      <c r="G2946">
        <f>IF(2945&lt;=1000,INDEX($A$2:$A$1001,2945),IF(2945&lt;=2000,INDEX($B$2:$B$1001,1945),IF(2945&lt;=3000,INDEX($C$2:$C$1001,945),IF(2945&lt;=4000,INDEX($D$2:$D$1001,-55),IF(2945&lt;=5000,INDEX($E$2:$E$1001,-1055),"")))))</f>
        <v/>
      </c>
    </row>
    <row r="2947">
      <c r="G2947">
        <f>IF(2946&lt;=1000,INDEX($A$2:$A$1001,2946),IF(2946&lt;=2000,INDEX($B$2:$B$1001,1946),IF(2946&lt;=3000,INDEX($C$2:$C$1001,946),IF(2946&lt;=4000,INDEX($D$2:$D$1001,-54),IF(2946&lt;=5000,INDEX($E$2:$E$1001,-1054),"")))))</f>
        <v/>
      </c>
    </row>
    <row r="2948">
      <c r="G2948">
        <f>IF(2947&lt;=1000,INDEX($A$2:$A$1001,2947),IF(2947&lt;=2000,INDEX($B$2:$B$1001,1947),IF(2947&lt;=3000,INDEX($C$2:$C$1001,947),IF(2947&lt;=4000,INDEX($D$2:$D$1001,-53),IF(2947&lt;=5000,INDEX($E$2:$E$1001,-1053),"")))))</f>
        <v/>
      </c>
    </row>
    <row r="2949">
      <c r="G2949">
        <f>IF(2948&lt;=1000,INDEX($A$2:$A$1001,2948),IF(2948&lt;=2000,INDEX($B$2:$B$1001,1948),IF(2948&lt;=3000,INDEX($C$2:$C$1001,948),IF(2948&lt;=4000,INDEX($D$2:$D$1001,-52),IF(2948&lt;=5000,INDEX($E$2:$E$1001,-1052),"")))))</f>
        <v/>
      </c>
    </row>
    <row r="2950">
      <c r="G2950">
        <f>IF(2949&lt;=1000,INDEX($A$2:$A$1001,2949),IF(2949&lt;=2000,INDEX($B$2:$B$1001,1949),IF(2949&lt;=3000,INDEX($C$2:$C$1001,949),IF(2949&lt;=4000,INDEX($D$2:$D$1001,-51),IF(2949&lt;=5000,INDEX($E$2:$E$1001,-1051),"")))))</f>
        <v/>
      </c>
    </row>
    <row r="2951">
      <c r="G2951">
        <f>IF(2950&lt;=1000,INDEX($A$2:$A$1001,2950),IF(2950&lt;=2000,INDEX($B$2:$B$1001,1950),IF(2950&lt;=3000,INDEX($C$2:$C$1001,950),IF(2950&lt;=4000,INDEX($D$2:$D$1001,-50),IF(2950&lt;=5000,INDEX($E$2:$E$1001,-1050),"")))))</f>
        <v/>
      </c>
    </row>
    <row r="2952">
      <c r="G2952">
        <f>IF(2951&lt;=1000,INDEX($A$2:$A$1001,2951),IF(2951&lt;=2000,INDEX($B$2:$B$1001,1951),IF(2951&lt;=3000,INDEX($C$2:$C$1001,951),IF(2951&lt;=4000,INDEX($D$2:$D$1001,-49),IF(2951&lt;=5000,INDEX($E$2:$E$1001,-1049),"")))))</f>
        <v/>
      </c>
    </row>
    <row r="2953">
      <c r="G2953">
        <f>IF(2952&lt;=1000,INDEX($A$2:$A$1001,2952),IF(2952&lt;=2000,INDEX($B$2:$B$1001,1952),IF(2952&lt;=3000,INDEX($C$2:$C$1001,952),IF(2952&lt;=4000,INDEX($D$2:$D$1001,-48),IF(2952&lt;=5000,INDEX($E$2:$E$1001,-1048),"")))))</f>
        <v/>
      </c>
    </row>
    <row r="2954">
      <c r="G2954">
        <f>IF(2953&lt;=1000,INDEX($A$2:$A$1001,2953),IF(2953&lt;=2000,INDEX($B$2:$B$1001,1953),IF(2953&lt;=3000,INDEX($C$2:$C$1001,953),IF(2953&lt;=4000,INDEX($D$2:$D$1001,-47),IF(2953&lt;=5000,INDEX($E$2:$E$1001,-1047),"")))))</f>
        <v/>
      </c>
    </row>
    <row r="2955">
      <c r="G2955">
        <f>IF(2954&lt;=1000,INDEX($A$2:$A$1001,2954),IF(2954&lt;=2000,INDEX($B$2:$B$1001,1954),IF(2954&lt;=3000,INDEX($C$2:$C$1001,954),IF(2954&lt;=4000,INDEX($D$2:$D$1001,-46),IF(2954&lt;=5000,INDEX($E$2:$E$1001,-1046),"")))))</f>
        <v/>
      </c>
    </row>
    <row r="2956">
      <c r="G2956">
        <f>IF(2955&lt;=1000,INDEX($A$2:$A$1001,2955),IF(2955&lt;=2000,INDEX($B$2:$B$1001,1955),IF(2955&lt;=3000,INDEX($C$2:$C$1001,955),IF(2955&lt;=4000,INDEX($D$2:$D$1001,-45),IF(2955&lt;=5000,INDEX($E$2:$E$1001,-1045),"")))))</f>
        <v/>
      </c>
    </row>
    <row r="2957">
      <c r="G2957">
        <f>IF(2956&lt;=1000,INDEX($A$2:$A$1001,2956),IF(2956&lt;=2000,INDEX($B$2:$B$1001,1956),IF(2956&lt;=3000,INDEX($C$2:$C$1001,956),IF(2956&lt;=4000,INDEX($D$2:$D$1001,-44),IF(2956&lt;=5000,INDEX($E$2:$E$1001,-1044),"")))))</f>
        <v/>
      </c>
    </row>
    <row r="2958">
      <c r="G2958">
        <f>IF(2957&lt;=1000,INDEX($A$2:$A$1001,2957),IF(2957&lt;=2000,INDEX($B$2:$B$1001,1957),IF(2957&lt;=3000,INDEX($C$2:$C$1001,957),IF(2957&lt;=4000,INDEX($D$2:$D$1001,-43),IF(2957&lt;=5000,INDEX($E$2:$E$1001,-1043),"")))))</f>
        <v/>
      </c>
    </row>
    <row r="2959">
      <c r="G2959">
        <f>IF(2958&lt;=1000,INDEX($A$2:$A$1001,2958),IF(2958&lt;=2000,INDEX($B$2:$B$1001,1958),IF(2958&lt;=3000,INDEX($C$2:$C$1001,958),IF(2958&lt;=4000,INDEX($D$2:$D$1001,-42),IF(2958&lt;=5000,INDEX($E$2:$E$1001,-1042),"")))))</f>
        <v/>
      </c>
    </row>
    <row r="2960">
      <c r="G2960">
        <f>IF(2959&lt;=1000,INDEX($A$2:$A$1001,2959),IF(2959&lt;=2000,INDEX($B$2:$B$1001,1959),IF(2959&lt;=3000,INDEX($C$2:$C$1001,959),IF(2959&lt;=4000,INDEX($D$2:$D$1001,-41),IF(2959&lt;=5000,INDEX($E$2:$E$1001,-1041),"")))))</f>
        <v/>
      </c>
    </row>
    <row r="2961">
      <c r="G2961">
        <f>IF(2960&lt;=1000,INDEX($A$2:$A$1001,2960),IF(2960&lt;=2000,INDEX($B$2:$B$1001,1960),IF(2960&lt;=3000,INDEX($C$2:$C$1001,960),IF(2960&lt;=4000,INDEX($D$2:$D$1001,-40),IF(2960&lt;=5000,INDEX($E$2:$E$1001,-1040),"")))))</f>
        <v/>
      </c>
    </row>
    <row r="2962">
      <c r="G2962">
        <f>IF(2961&lt;=1000,INDEX($A$2:$A$1001,2961),IF(2961&lt;=2000,INDEX($B$2:$B$1001,1961),IF(2961&lt;=3000,INDEX($C$2:$C$1001,961),IF(2961&lt;=4000,INDEX($D$2:$D$1001,-39),IF(2961&lt;=5000,INDEX($E$2:$E$1001,-1039),"")))))</f>
        <v/>
      </c>
    </row>
    <row r="2963">
      <c r="G2963">
        <f>IF(2962&lt;=1000,INDEX($A$2:$A$1001,2962),IF(2962&lt;=2000,INDEX($B$2:$B$1001,1962),IF(2962&lt;=3000,INDEX($C$2:$C$1001,962),IF(2962&lt;=4000,INDEX($D$2:$D$1001,-38),IF(2962&lt;=5000,INDEX($E$2:$E$1001,-1038),"")))))</f>
        <v/>
      </c>
    </row>
    <row r="2964">
      <c r="G2964">
        <f>IF(2963&lt;=1000,INDEX($A$2:$A$1001,2963),IF(2963&lt;=2000,INDEX($B$2:$B$1001,1963),IF(2963&lt;=3000,INDEX($C$2:$C$1001,963),IF(2963&lt;=4000,INDEX($D$2:$D$1001,-37),IF(2963&lt;=5000,INDEX($E$2:$E$1001,-1037),"")))))</f>
        <v/>
      </c>
    </row>
    <row r="2965">
      <c r="G2965">
        <f>IF(2964&lt;=1000,INDEX($A$2:$A$1001,2964),IF(2964&lt;=2000,INDEX($B$2:$B$1001,1964),IF(2964&lt;=3000,INDEX($C$2:$C$1001,964),IF(2964&lt;=4000,INDEX($D$2:$D$1001,-36),IF(2964&lt;=5000,INDEX($E$2:$E$1001,-1036),"")))))</f>
        <v/>
      </c>
    </row>
    <row r="2966">
      <c r="G2966">
        <f>IF(2965&lt;=1000,INDEX($A$2:$A$1001,2965),IF(2965&lt;=2000,INDEX($B$2:$B$1001,1965),IF(2965&lt;=3000,INDEX($C$2:$C$1001,965),IF(2965&lt;=4000,INDEX($D$2:$D$1001,-35),IF(2965&lt;=5000,INDEX($E$2:$E$1001,-1035),"")))))</f>
        <v/>
      </c>
    </row>
    <row r="2967">
      <c r="G2967">
        <f>IF(2966&lt;=1000,INDEX($A$2:$A$1001,2966),IF(2966&lt;=2000,INDEX($B$2:$B$1001,1966),IF(2966&lt;=3000,INDEX($C$2:$C$1001,966),IF(2966&lt;=4000,INDEX($D$2:$D$1001,-34),IF(2966&lt;=5000,INDEX($E$2:$E$1001,-1034),"")))))</f>
        <v/>
      </c>
    </row>
    <row r="2968">
      <c r="G2968">
        <f>IF(2967&lt;=1000,INDEX($A$2:$A$1001,2967),IF(2967&lt;=2000,INDEX($B$2:$B$1001,1967),IF(2967&lt;=3000,INDEX($C$2:$C$1001,967),IF(2967&lt;=4000,INDEX($D$2:$D$1001,-33),IF(2967&lt;=5000,INDEX($E$2:$E$1001,-1033),"")))))</f>
        <v/>
      </c>
    </row>
    <row r="2969">
      <c r="G2969">
        <f>IF(2968&lt;=1000,INDEX($A$2:$A$1001,2968),IF(2968&lt;=2000,INDEX($B$2:$B$1001,1968),IF(2968&lt;=3000,INDEX($C$2:$C$1001,968),IF(2968&lt;=4000,INDEX($D$2:$D$1001,-32),IF(2968&lt;=5000,INDEX($E$2:$E$1001,-1032),"")))))</f>
        <v/>
      </c>
    </row>
    <row r="2970">
      <c r="G2970">
        <f>IF(2969&lt;=1000,INDEX($A$2:$A$1001,2969),IF(2969&lt;=2000,INDEX($B$2:$B$1001,1969),IF(2969&lt;=3000,INDEX($C$2:$C$1001,969),IF(2969&lt;=4000,INDEX($D$2:$D$1001,-31),IF(2969&lt;=5000,INDEX($E$2:$E$1001,-1031),"")))))</f>
        <v/>
      </c>
    </row>
    <row r="2971">
      <c r="G2971">
        <f>IF(2970&lt;=1000,INDEX($A$2:$A$1001,2970),IF(2970&lt;=2000,INDEX($B$2:$B$1001,1970),IF(2970&lt;=3000,INDEX($C$2:$C$1001,970),IF(2970&lt;=4000,INDEX($D$2:$D$1001,-30),IF(2970&lt;=5000,INDEX($E$2:$E$1001,-1030),"")))))</f>
        <v/>
      </c>
    </row>
    <row r="2972">
      <c r="G2972">
        <f>IF(2971&lt;=1000,INDEX($A$2:$A$1001,2971),IF(2971&lt;=2000,INDEX($B$2:$B$1001,1971),IF(2971&lt;=3000,INDEX($C$2:$C$1001,971),IF(2971&lt;=4000,INDEX($D$2:$D$1001,-29),IF(2971&lt;=5000,INDEX($E$2:$E$1001,-1029),"")))))</f>
        <v/>
      </c>
    </row>
    <row r="2973">
      <c r="G2973">
        <f>IF(2972&lt;=1000,INDEX($A$2:$A$1001,2972),IF(2972&lt;=2000,INDEX($B$2:$B$1001,1972),IF(2972&lt;=3000,INDEX($C$2:$C$1001,972),IF(2972&lt;=4000,INDEX($D$2:$D$1001,-28),IF(2972&lt;=5000,INDEX($E$2:$E$1001,-1028),"")))))</f>
        <v/>
      </c>
    </row>
    <row r="2974">
      <c r="G2974">
        <f>IF(2973&lt;=1000,INDEX($A$2:$A$1001,2973),IF(2973&lt;=2000,INDEX($B$2:$B$1001,1973),IF(2973&lt;=3000,INDEX($C$2:$C$1001,973),IF(2973&lt;=4000,INDEX($D$2:$D$1001,-27),IF(2973&lt;=5000,INDEX($E$2:$E$1001,-1027),"")))))</f>
        <v/>
      </c>
    </row>
    <row r="2975">
      <c r="G2975">
        <f>IF(2974&lt;=1000,INDEX($A$2:$A$1001,2974),IF(2974&lt;=2000,INDEX($B$2:$B$1001,1974),IF(2974&lt;=3000,INDEX($C$2:$C$1001,974),IF(2974&lt;=4000,INDEX($D$2:$D$1001,-26),IF(2974&lt;=5000,INDEX($E$2:$E$1001,-1026),"")))))</f>
        <v/>
      </c>
    </row>
    <row r="2976">
      <c r="G2976">
        <f>IF(2975&lt;=1000,INDEX($A$2:$A$1001,2975),IF(2975&lt;=2000,INDEX($B$2:$B$1001,1975),IF(2975&lt;=3000,INDEX($C$2:$C$1001,975),IF(2975&lt;=4000,INDEX($D$2:$D$1001,-25),IF(2975&lt;=5000,INDEX($E$2:$E$1001,-1025),"")))))</f>
        <v/>
      </c>
    </row>
    <row r="2977">
      <c r="G2977">
        <f>IF(2976&lt;=1000,INDEX($A$2:$A$1001,2976),IF(2976&lt;=2000,INDEX($B$2:$B$1001,1976),IF(2976&lt;=3000,INDEX($C$2:$C$1001,976),IF(2976&lt;=4000,INDEX($D$2:$D$1001,-24),IF(2976&lt;=5000,INDEX($E$2:$E$1001,-1024),"")))))</f>
        <v/>
      </c>
    </row>
    <row r="2978">
      <c r="G2978">
        <f>IF(2977&lt;=1000,INDEX($A$2:$A$1001,2977),IF(2977&lt;=2000,INDEX($B$2:$B$1001,1977),IF(2977&lt;=3000,INDEX($C$2:$C$1001,977),IF(2977&lt;=4000,INDEX($D$2:$D$1001,-23),IF(2977&lt;=5000,INDEX($E$2:$E$1001,-1023),"")))))</f>
        <v/>
      </c>
    </row>
    <row r="2979">
      <c r="G2979">
        <f>IF(2978&lt;=1000,INDEX($A$2:$A$1001,2978),IF(2978&lt;=2000,INDEX($B$2:$B$1001,1978),IF(2978&lt;=3000,INDEX($C$2:$C$1001,978),IF(2978&lt;=4000,INDEX($D$2:$D$1001,-22),IF(2978&lt;=5000,INDEX($E$2:$E$1001,-1022),"")))))</f>
        <v/>
      </c>
    </row>
    <row r="2980">
      <c r="G2980">
        <f>IF(2979&lt;=1000,INDEX($A$2:$A$1001,2979),IF(2979&lt;=2000,INDEX($B$2:$B$1001,1979),IF(2979&lt;=3000,INDEX($C$2:$C$1001,979),IF(2979&lt;=4000,INDEX($D$2:$D$1001,-21),IF(2979&lt;=5000,INDEX($E$2:$E$1001,-1021),"")))))</f>
        <v/>
      </c>
    </row>
    <row r="2981">
      <c r="G2981">
        <f>IF(2980&lt;=1000,INDEX($A$2:$A$1001,2980),IF(2980&lt;=2000,INDEX($B$2:$B$1001,1980),IF(2980&lt;=3000,INDEX($C$2:$C$1001,980),IF(2980&lt;=4000,INDEX($D$2:$D$1001,-20),IF(2980&lt;=5000,INDEX($E$2:$E$1001,-1020),"")))))</f>
        <v/>
      </c>
    </row>
    <row r="2982">
      <c r="G2982">
        <f>IF(2981&lt;=1000,INDEX($A$2:$A$1001,2981),IF(2981&lt;=2000,INDEX($B$2:$B$1001,1981),IF(2981&lt;=3000,INDEX($C$2:$C$1001,981),IF(2981&lt;=4000,INDEX($D$2:$D$1001,-19),IF(2981&lt;=5000,INDEX($E$2:$E$1001,-1019),"")))))</f>
        <v/>
      </c>
    </row>
    <row r="2983">
      <c r="G2983">
        <f>IF(2982&lt;=1000,INDEX($A$2:$A$1001,2982),IF(2982&lt;=2000,INDEX($B$2:$B$1001,1982),IF(2982&lt;=3000,INDEX($C$2:$C$1001,982),IF(2982&lt;=4000,INDEX($D$2:$D$1001,-18),IF(2982&lt;=5000,INDEX($E$2:$E$1001,-1018),"")))))</f>
        <v/>
      </c>
    </row>
    <row r="2984">
      <c r="G2984">
        <f>IF(2983&lt;=1000,INDEX($A$2:$A$1001,2983),IF(2983&lt;=2000,INDEX($B$2:$B$1001,1983),IF(2983&lt;=3000,INDEX($C$2:$C$1001,983),IF(2983&lt;=4000,INDEX($D$2:$D$1001,-17),IF(2983&lt;=5000,INDEX($E$2:$E$1001,-1017),"")))))</f>
        <v/>
      </c>
    </row>
    <row r="2985">
      <c r="G2985">
        <f>IF(2984&lt;=1000,INDEX($A$2:$A$1001,2984),IF(2984&lt;=2000,INDEX($B$2:$B$1001,1984),IF(2984&lt;=3000,INDEX($C$2:$C$1001,984),IF(2984&lt;=4000,INDEX($D$2:$D$1001,-16),IF(2984&lt;=5000,INDEX($E$2:$E$1001,-1016),"")))))</f>
        <v/>
      </c>
    </row>
    <row r="2986">
      <c r="G2986">
        <f>IF(2985&lt;=1000,INDEX($A$2:$A$1001,2985),IF(2985&lt;=2000,INDEX($B$2:$B$1001,1985),IF(2985&lt;=3000,INDEX($C$2:$C$1001,985),IF(2985&lt;=4000,INDEX($D$2:$D$1001,-15),IF(2985&lt;=5000,INDEX($E$2:$E$1001,-1015),"")))))</f>
        <v/>
      </c>
    </row>
    <row r="2987">
      <c r="G2987">
        <f>IF(2986&lt;=1000,INDEX($A$2:$A$1001,2986),IF(2986&lt;=2000,INDEX($B$2:$B$1001,1986),IF(2986&lt;=3000,INDEX($C$2:$C$1001,986),IF(2986&lt;=4000,INDEX($D$2:$D$1001,-14),IF(2986&lt;=5000,INDEX($E$2:$E$1001,-1014),"")))))</f>
        <v/>
      </c>
    </row>
    <row r="2988">
      <c r="G2988">
        <f>IF(2987&lt;=1000,INDEX($A$2:$A$1001,2987),IF(2987&lt;=2000,INDEX($B$2:$B$1001,1987),IF(2987&lt;=3000,INDEX($C$2:$C$1001,987),IF(2987&lt;=4000,INDEX($D$2:$D$1001,-13),IF(2987&lt;=5000,INDEX($E$2:$E$1001,-1013),"")))))</f>
        <v/>
      </c>
    </row>
    <row r="2989">
      <c r="G2989">
        <f>IF(2988&lt;=1000,INDEX($A$2:$A$1001,2988),IF(2988&lt;=2000,INDEX($B$2:$B$1001,1988),IF(2988&lt;=3000,INDEX($C$2:$C$1001,988),IF(2988&lt;=4000,INDEX($D$2:$D$1001,-12),IF(2988&lt;=5000,INDEX($E$2:$E$1001,-1012),"")))))</f>
        <v/>
      </c>
    </row>
    <row r="2990">
      <c r="G2990">
        <f>IF(2989&lt;=1000,INDEX($A$2:$A$1001,2989),IF(2989&lt;=2000,INDEX($B$2:$B$1001,1989),IF(2989&lt;=3000,INDEX($C$2:$C$1001,989),IF(2989&lt;=4000,INDEX($D$2:$D$1001,-11),IF(2989&lt;=5000,INDEX($E$2:$E$1001,-1011),"")))))</f>
        <v/>
      </c>
    </row>
    <row r="2991">
      <c r="G2991">
        <f>IF(2990&lt;=1000,INDEX($A$2:$A$1001,2990),IF(2990&lt;=2000,INDEX($B$2:$B$1001,1990),IF(2990&lt;=3000,INDEX($C$2:$C$1001,990),IF(2990&lt;=4000,INDEX($D$2:$D$1001,-10),IF(2990&lt;=5000,INDEX($E$2:$E$1001,-1010),"")))))</f>
        <v/>
      </c>
    </row>
    <row r="2992">
      <c r="G2992">
        <f>IF(2991&lt;=1000,INDEX($A$2:$A$1001,2991),IF(2991&lt;=2000,INDEX($B$2:$B$1001,1991),IF(2991&lt;=3000,INDEX($C$2:$C$1001,991),IF(2991&lt;=4000,INDEX($D$2:$D$1001,-9),IF(2991&lt;=5000,INDEX($E$2:$E$1001,-1009),"")))))</f>
        <v/>
      </c>
    </row>
    <row r="2993">
      <c r="G2993">
        <f>IF(2992&lt;=1000,INDEX($A$2:$A$1001,2992),IF(2992&lt;=2000,INDEX($B$2:$B$1001,1992),IF(2992&lt;=3000,INDEX($C$2:$C$1001,992),IF(2992&lt;=4000,INDEX($D$2:$D$1001,-8),IF(2992&lt;=5000,INDEX($E$2:$E$1001,-1008),"")))))</f>
        <v/>
      </c>
    </row>
    <row r="2994">
      <c r="G2994">
        <f>IF(2993&lt;=1000,INDEX($A$2:$A$1001,2993),IF(2993&lt;=2000,INDEX($B$2:$B$1001,1993),IF(2993&lt;=3000,INDEX($C$2:$C$1001,993),IF(2993&lt;=4000,INDEX($D$2:$D$1001,-7),IF(2993&lt;=5000,INDEX($E$2:$E$1001,-1007),"")))))</f>
        <v/>
      </c>
    </row>
    <row r="2995">
      <c r="G2995">
        <f>IF(2994&lt;=1000,INDEX($A$2:$A$1001,2994),IF(2994&lt;=2000,INDEX($B$2:$B$1001,1994),IF(2994&lt;=3000,INDEX($C$2:$C$1001,994),IF(2994&lt;=4000,INDEX($D$2:$D$1001,-6),IF(2994&lt;=5000,INDEX($E$2:$E$1001,-1006),"")))))</f>
        <v/>
      </c>
    </row>
    <row r="2996">
      <c r="G2996">
        <f>IF(2995&lt;=1000,INDEX($A$2:$A$1001,2995),IF(2995&lt;=2000,INDEX($B$2:$B$1001,1995),IF(2995&lt;=3000,INDEX($C$2:$C$1001,995),IF(2995&lt;=4000,INDEX($D$2:$D$1001,-5),IF(2995&lt;=5000,INDEX($E$2:$E$1001,-1005),"")))))</f>
        <v/>
      </c>
    </row>
    <row r="2997">
      <c r="G2997">
        <f>IF(2996&lt;=1000,INDEX($A$2:$A$1001,2996),IF(2996&lt;=2000,INDEX($B$2:$B$1001,1996),IF(2996&lt;=3000,INDEX($C$2:$C$1001,996),IF(2996&lt;=4000,INDEX($D$2:$D$1001,-4),IF(2996&lt;=5000,INDEX($E$2:$E$1001,-1004),"")))))</f>
        <v/>
      </c>
    </row>
    <row r="2998">
      <c r="G2998">
        <f>IF(2997&lt;=1000,INDEX($A$2:$A$1001,2997),IF(2997&lt;=2000,INDEX($B$2:$B$1001,1997),IF(2997&lt;=3000,INDEX($C$2:$C$1001,997),IF(2997&lt;=4000,INDEX($D$2:$D$1001,-3),IF(2997&lt;=5000,INDEX($E$2:$E$1001,-1003),"")))))</f>
        <v/>
      </c>
    </row>
    <row r="2999">
      <c r="G2999">
        <f>IF(2998&lt;=1000,INDEX($A$2:$A$1001,2998),IF(2998&lt;=2000,INDEX($B$2:$B$1001,1998),IF(2998&lt;=3000,INDEX($C$2:$C$1001,998),IF(2998&lt;=4000,INDEX($D$2:$D$1001,-2),IF(2998&lt;=5000,INDEX($E$2:$E$1001,-1002),"")))))</f>
        <v/>
      </c>
    </row>
    <row r="3000">
      <c r="G3000">
        <f>IF(2999&lt;=1000,INDEX($A$2:$A$1001,2999),IF(2999&lt;=2000,INDEX($B$2:$B$1001,1999),IF(2999&lt;=3000,INDEX($C$2:$C$1001,999),IF(2999&lt;=4000,INDEX($D$2:$D$1001,-1),IF(2999&lt;=5000,INDEX($E$2:$E$1001,-1001),"")))))</f>
        <v/>
      </c>
    </row>
    <row r="3001">
      <c r="G3001">
        <f>IF(3000&lt;=1000,INDEX($A$2:$A$1001,3000),IF(3000&lt;=2000,INDEX($B$2:$B$1001,2000),IF(3000&lt;=3000,INDEX($C$2:$C$1001,1000),IF(3000&lt;=4000,INDEX($D$2:$D$1001,0),IF(3000&lt;=5000,INDEX($E$2:$E$1001,-1000),"")))))</f>
        <v/>
      </c>
    </row>
    <row r="3002">
      <c r="G3002">
        <f>IF(3001&lt;=1000,INDEX($A$2:$A$1001,3001),IF(3001&lt;=2000,INDEX($B$2:$B$1001,2001),IF(3001&lt;=3000,INDEX($C$2:$C$1001,1001),IF(3001&lt;=4000,INDEX($D$2:$D$1001,1),IF(3001&lt;=5000,INDEX($E$2:$E$1001,-999),"")))))</f>
        <v/>
      </c>
    </row>
    <row r="3003">
      <c r="G3003">
        <f>IF(3002&lt;=1000,INDEX($A$2:$A$1001,3002),IF(3002&lt;=2000,INDEX($B$2:$B$1001,2002),IF(3002&lt;=3000,INDEX($C$2:$C$1001,1002),IF(3002&lt;=4000,INDEX($D$2:$D$1001,2),IF(3002&lt;=5000,INDEX($E$2:$E$1001,-998),"")))))</f>
        <v/>
      </c>
    </row>
    <row r="3004">
      <c r="G3004">
        <f>IF(3003&lt;=1000,INDEX($A$2:$A$1001,3003),IF(3003&lt;=2000,INDEX($B$2:$B$1001,2003),IF(3003&lt;=3000,INDEX($C$2:$C$1001,1003),IF(3003&lt;=4000,INDEX($D$2:$D$1001,3),IF(3003&lt;=5000,INDEX($E$2:$E$1001,-997),"")))))</f>
        <v/>
      </c>
    </row>
    <row r="3005">
      <c r="G3005">
        <f>IF(3004&lt;=1000,INDEX($A$2:$A$1001,3004),IF(3004&lt;=2000,INDEX($B$2:$B$1001,2004),IF(3004&lt;=3000,INDEX($C$2:$C$1001,1004),IF(3004&lt;=4000,INDEX($D$2:$D$1001,4),IF(3004&lt;=5000,INDEX($E$2:$E$1001,-996),"")))))</f>
        <v/>
      </c>
    </row>
    <row r="3006">
      <c r="G3006">
        <f>IF(3005&lt;=1000,INDEX($A$2:$A$1001,3005),IF(3005&lt;=2000,INDEX($B$2:$B$1001,2005),IF(3005&lt;=3000,INDEX($C$2:$C$1001,1005),IF(3005&lt;=4000,INDEX($D$2:$D$1001,5),IF(3005&lt;=5000,INDEX($E$2:$E$1001,-995),"")))))</f>
        <v/>
      </c>
    </row>
    <row r="3007">
      <c r="G3007">
        <f>IF(3006&lt;=1000,INDEX($A$2:$A$1001,3006),IF(3006&lt;=2000,INDEX($B$2:$B$1001,2006),IF(3006&lt;=3000,INDEX($C$2:$C$1001,1006),IF(3006&lt;=4000,INDEX($D$2:$D$1001,6),IF(3006&lt;=5000,INDEX($E$2:$E$1001,-994),"")))))</f>
        <v/>
      </c>
    </row>
    <row r="3008">
      <c r="G3008">
        <f>IF(3007&lt;=1000,INDEX($A$2:$A$1001,3007),IF(3007&lt;=2000,INDEX($B$2:$B$1001,2007),IF(3007&lt;=3000,INDEX($C$2:$C$1001,1007),IF(3007&lt;=4000,INDEX($D$2:$D$1001,7),IF(3007&lt;=5000,INDEX($E$2:$E$1001,-993),"")))))</f>
        <v/>
      </c>
    </row>
    <row r="3009">
      <c r="G3009">
        <f>IF(3008&lt;=1000,INDEX($A$2:$A$1001,3008),IF(3008&lt;=2000,INDEX($B$2:$B$1001,2008),IF(3008&lt;=3000,INDEX($C$2:$C$1001,1008),IF(3008&lt;=4000,INDEX($D$2:$D$1001,8),IF(3008&lt;=5000,INDEX($E$2:$E$1001,-992),"")))))</f>
        <v/>
      </c>
    </row>
    <row r="3010">
      <c r="G3010">
        <f>IF(3009&lt;=1000,INDEX($A$2:$A$1001,3009),IF(3009&lt;=2000,INDEX($B$2:$B$1001,2009),IF(3009&lt;=3000,INDEX($C$2:$C$1001,1009),IF(3009&lt;=4000,INDEX($D$2:$D$1001,9),IF(3009&lt;=5000,INDEX($E$2:$E$1001,-991),"")))))</f>
        <v/>
      </c>
    </row>
    <row r="3011">
      <c r="G3011">
        <f>IF(3010&lt;=1000,INDEX($A$2:$A$1001,3010),IF(3010&lt;=2000,INDEX($B$2:$B$1001,2010),IF(3010&lt;=3000,INDEX($C$2:$C$1001,1010),IF(3010&lt;=4000,INDEX($D$2:$D$1001,10),IF(3010&lt;=5000,INDEX($E$2:$E$1001,-990),"")))))</f>
        <v/>
      </c>
    </row>
    <row r="3012">
      <c r="G3012">
        <f>IF(3011&lt;=1000,INDEX($A$2:$A$1001,3011),IF(3011&lt;=2000,INDEX($B$2:$B$1001,2011),IF(3011&lt;=3000,INDEX($C$2:$C$1001,1011),IF(3011&lt;=4000,INDEX($D$2:$D$1001,11),IF(3011&lt;=5000,INDEX($E$2:$E$1001,-989),"")))))</f>
        <v/>
      </c>
    </row>
    <row r="3013">
      <c r="G3013">
        <f>IF(3012&lt;=1000,INDEX($A$2:$A$1001,3012),IF(3012&lt;=2000,INDEX($B$2:$B$1001,2012),IF(3012&lt;=3000,INDEX($C$2:$C$1001,1012),IF(3012&lt;=4000,INDEX($D$2:$D$1001,12),IF(3012&lt;=5000,INDEX($E$2:$E$1001,-988),"")))))</f>
        <v/>
      </c>
    </row>
    <row r="3014">
      <c r="G3014">
        <f>IF(3013&lt;=1000,INDEX($A$2:$A$1001,3013),IF(3013&lt;=2000,INDEX($B$2:$B$1001,2013),IF(3013&lt;=3000,INDEX($C$2:$C$1001,1013),IF(3013&lt;=4000,INDEX($D$2:$D$1001,13),IF(3013&lt;=5000,INDEX($E$2:$E$1001,-987),"")))))</f>
        <v/>
      </c>
    </row>
    <row r="3015">
      <c r="G3015">
        <f>IF(3014&lt;=1000,INDEX($A$2:$A$1001,3014),IF(3014&lt;=2000,INDEX($B$2:$B$1001,2014),IF(3014&lt;=3000,INDEX($C$2:$C$1001,1014),IF(3014&lt;=4000,INDEX($D$2:$D$1001,14),IF(3014&lt;=5000,INDEX($E$2:$E$1001,-986),"")))))</f>
        <v/>
      </c>
    </row>
    <row r="3016">
      <c r="G3016">
        <f>IF(3015&lt;=1000,INDEX($A$2:$A$1001,3015),IF(3015&lt;=2000,INDEX($B$2:$B$1001,2015),IF(3015&lt;=3000,INDEX($C$2:$C$1001,1015),IF(3015&lt;=4000,INDEX($D$2:$D$1001,15),IF(3015&lt;=5000,INDEX($E$2:$E$1001,-985),"")))))</f>
        <v/>
      </c>
    </row>
    <row r="3017">
      <c r="G3017">
        <f>IF(3016&lt;=1000,INDEX($A$2:$A$1001,3016),IF(3016&lt;=2000,INDEX($B$2:$B$1001,2016),IF(3016&lt;=3000,INDEX($C$2:$C$1001,1016),IF(3016&lt;=4000,INDEX($D$2:$D$1001,16),IF(3016&lt;=5000,INDEX($E$2:$E$1001,-984),"")))))</f>
        <v/>
      </c>
    </row>
    <row r="3018">
      <c r="G3018">
        <f>IF(3017&lt;=1000,INDEX($A$2:$A$1001,3017),IF(3017&lt;=2000,INDEX($B$2:$B$1001,2017),IF(3017&lt;=3000,INDEX($C$2:$C$1001,1017),IF(3017&lt;=4000,INDEX($D$2:$D$1001,17),IF(3017&lt;=5000,INDEX($E$2:$E$1001,-983),"")))))</f>
        <v/>
      </c>
    </row>
    <row r="3019">
      <c r="G3019">
        <f>IF(3018&lt;=1000,INDEX($A$2:$A$1001,3018),IF(3018&lt;=2000,INDEX($B$2:$B$1001,2018),IF(3018&lt;=3000,INDEX($C$2:$C$1001,1018),IF(3018&lt;=4000,INDEX($D$2:$D$1001,18),IF(3018&lt;=5000,INDEX($E$2:$E$1001,-982),"")))))</f>
        <v/>
      </c>
    </row>
    <row r="3020">
      <c r="G3020">
        <f>IF(3019&lt;=1000,INDEX($A$2:$A$1001,3019),IF(3019&lt;=2000,INDEX($B$2:$B$1001,2019),IF(3019&lt;=3000,INDEX($C$2:$C$1001,1019),IF(3019&lt;=4000,INDEX($D$2:$D$1001,19),IF(3019&lt;=5000,INDEX($E$2:$E$1001,-981),"")))))</f>
        <v/>
      </c>
    </row>
    <row r="3021">
      <c r="G3021">
        <f>IF(3020&lt;=1000,INDEX($A$2:$A$1001,3020),IF(3020&lt;=2000,INDEX($B$2:$B$1001,2020),IF(3020&lt;=3000,INDEX($C$2:$C$1001,1020),IF(3020&lt;=4000,INDEX($D$2:$D$1001,20),IF(3020&lt;=5000,INDEX($E$2:$E$1001,-980),"")))))</f>
        <v/>
      </c>
    </row>
    <row r="3022">
      <c r="G3022">
        <f>IF(3021&lt;=1000,INDEX($A$2:$A$1001,3021),IF(3021&lt;=2000,INDEX($B$2:$B$1001,2021),IF(3021&lt;=3000,INDEX($C$2:$C$1001,1021),IF(3021&lt;=4000,INDEX($D$2:$D$1001,21),IF(3021&lt;=5000,INDEX($E$2:$E$1001,-979),"")))))</f>
        <v/>
      </c>
    </row>
    <row r="3023">
      <c r="G3023">
        <f>IF(3022&lt;=1000,INDEX($A$2:$A$1001,3022),IF(3022&lt;=2000,INDEX($B$2:$B$1001,2022),IF(3022&lt;=3000,INDEX($C$2:$C$1001,1022),IF(3022&lt;=4000,INDEX($D$2:$D$1001,22),IF(3022&lt;=5000,INDEX($E$2:$E$1001,-978),"")))))</f>
        <v/>
      </c>
    </row>
    <row r="3024">
      <c r="G3024">
        <f>IF(3023&lt;=1000,INDEX($A$2:$A$1001,3023),IF(3023&lt;=2000,INDEX($B$2:$B$1001,2023),IF(3023&lt;=3000,INDEX($C$2:$C$1001,1023),IF(3023&lt;=4000,INDEX($D$2:$D$1001,23),IF(3023&lt;=5000,INDEX($E$2:$E$1001,-977),"")))))</f>
        <v/>
      </c>
    </row>
    <row r="3025">
      <c r="G3025">
        <f>IF(3024&lt;=1000,INDEX($A$2:$A$1001,3024),IF(3024&lt;=2000,INDEX($B$2:$B$1001,2024),IF(3024&lt;=3000,INDEX($C$2:$C$1001,1024),IF(3024&lt;=4000,INDEX($D$2:$D$1001,24),IF(3024&lt;=5000,INDEX($E$2:$E$1001,-976),"")))))</f>
        <v/>
      </c>
    </row>
    <row r="3026">
      <c r="G3026">
        <f>IF(3025&lt;=1000,INDEX($A$2:$A$1001,3025),IF(3025&lt;=2000,INDEX($B$2:$B$1001,2025),IF(3025&lt;=3000,INDEX($C$2:$C$1001,1025),IF(3025&lt;=4000,INDEX($D$2:$D$1001,25),IF(3025&lt;=5000,INDEX($E$2:$E$1001,-975),"")))))</f>
        <v/>
      </c>
    </row>
    <row r="3027">
      <c r="G3027">
        <f>IF(3026&lt;=1000,INDEX($A$2:$A$1001,3026),IF(3026&lt;=2000,INDEX($B$2:$B$1001,2026),IF(3026&lt;=3000,INDEX($C$2:$C$1001,1026),IF(3026&lt;=4000,INDEX($D$2:$D$1001,26),IF(3026&lt;=5000,INDEX($E$2:$E$1001,-974),"")))))</f>
        <v/>
      </c>
    </row>
    <row r="3028">
      <c r="G3028">
        <f>IF(3027&lt;=1000,INDEX($A$2:$A$1001,3027),IF(3027&lt;=2000,INDEX($B$2:$B$1001,2027),IF(3027&lt;=3000,INDEX($C$2:$C$1001,1027),IF(3027&lt;=4000,INDEX($D$2:$D$1001,27),IF(3027&lt;=5000,INDEX($E$2:$E$1001,-973),"")))))</f>
        <v/>
      </c>
    </row>
    <row r="3029">
      <c r="G3029">
        <f>IF(3028&lt;=1000,INDEX($A$2:$A$1001,3028),IF(3028&lt;=2000,INDEX($B$2:$B$1001,2028),IF(3028&lt;=3000,INDEX($C$2:$C$1001,1028),IF(3028&lt;=4000,INDEX($D$2:$D$1001,28),IF(3028&lt;=5000,INDEX($E$2:$E$1001,-972),"")))))</f>
        <v/>
      </c>
    </row>
    <row r="3030">
      <c r="G3030">
        <f>IF(3029&lt;=1000,INDEX($A$2:$A$1001,3029),IF(3029&lt;=2000,INDEX($B$2:$B$1001,2029),IF(3029&lt;=3000,INDEX($C$2:$C$1001,1029),IF(3029&lt;=4000,INDEX($D$2:$D$1001,29),IF(3029&lt;=5000,INDEX($E$2:$E$1001,-971),"")))))</f>
        <v/>
      </c>
    </row>
    <row r="3031">
      <c r="G3031">
        <f>IF(3030&lt;=1000,INDEX($A$2:$A$1001,3030),IF(3030&lt;=2000,INDEX($B$2:$B$1001,2030),IF(3030&lt;=3000,INDEX($C$2:$C$1001,1030),IF(3030&lt;=4000,INDEX($D$2:$D$1001,30),IF(3030&lt;=5000,INDEX($E$2:$E$1001,-970),"")))))</f>
        <v/>
      </c>
    </row>
    <row r="3032">
      <c r="G3032">
        <f>IF(3031&lt;=1000,INDEX($A$2:$A$1001,3031),IF(3031&lt;=2000,INDEX($B$2:$B$1001,2031),IF(3031&lt;=3000,INDEX($C$2:$C$1001,1031),IF(3031&lt;=4000,INDEX($D$2:$D$1001,31),IF(3031&lt;=5000,INDEX($E$2:$E$1001,-969),"")))))</f>
        <v/>
      </c>
    </row>
    <row r="3033">
      <c r="G3033">
        <f>IF(3032&lt;=1000,INDEX($A$2:$A$1001,3032),IF(3032&lt;=2000,INDEX($B$2:$B$1001,2032),IF(3032&lt;=3000,INDEX($C$2:$C$1001,1032),IF(3032&lt;=4000,INDEX($D$2:$D$1001,32),IF(3032&lt;=5000,INDEX($E$2:$E$1001,-968),"")))))</f>
        <v/>
      </c>
    </row>
    <row r="3034">
      <c r="G3034">
        <f>IF(3033&lt;=1000,INDEX($A$2:$A$1001,3033),IF(3033&lt;=2000,INDEX($B$2:$B$1001,2033),IF(3033&lt;=3000,INDEX($C$2:$C$1001,1033),IF(3033&lt;=4000,INDEX($D$2:$D$1001,33),IF(3033&lt;=5000,INDEX($E$2:$E$1001,-967),"")))))</f>
        <v/>
      </c>
    </row>
    <row r="3035">
      <c r="G3035">
        <f>IF(3034&lt;=1000,INDEX($A$2:$A$1001,3034),IF(3034&lt;=2000,INDEX($B$2:$B$1001,2034),IF(3034&lt;=3000,INDEX($C$2:$C$1001,1034),IF(3034&lt;=4000,INDEX($D$2:$D$1001,34),IF(3034&lt;=5000,INDEX($E$2:$E$1001,-966),"")))))</f>
        <v/>
      </c>
    </row>
    <row r="3036">
      <c r="G3036">
        <f>IF(3035&lt;=1000,INDEX($A$2:$A$1001,3035),IF(3035&lt;=2000,INDEX($B$2:$B$1001,2035),IF(3035&lt;=3000,INDEX($C$2:$C$1001,1035),IF(3035&lt;=4000,INDEX($D$2:$D$1001,35),IF(3035&lt;=5000,INDEX($E$2:$E$1001,-965),"")))))</f>
        <v/>
      </c>
    </row>
    <row r="3037">
      <c r="G3037">
        <f>IF(3036&lt;=1000,INDEX($A$2:$A$1001,3036),IF(3036&lt;=2000,INDEX($B$2:$B$1001,2036),IF(3036&lt;=3000,INDEX($C$2:$C$1001,1036),IF(3036&lt;=4000,INDEX($D$2:$D$1001,36),IF(3036&lt;=5000,INDEX($E$2:$E$1001,-964),"")))))</f>
        <v/>
      </c>
    </row>
    <row r="3038">
      <c r="G3038">
        <f>IF(3037&lt;=1000,INDEX($A$2:$A$1001,3037),IF(3037&lt;=2000,INDEX($B$2:$B$1001,2037),IF(3037&lt;=3000,INDEX($C$2:$C$1001,1037),IF(3037&lt;=4000,INDEX($D$2:$D$1001,37),IF(3037&lt;=5000,INDEX($E$2:$E$1001,-963),"")))))</f>
        <v/>
      </c>
    </row>
    <row r="3039">
      <c r="G3039">
        <f>IF(3038&lt;=1000,INDEX($A$2:$A$1001,3038),IF(3038&lt;=2000,INDEX($B$2:$B$1001,2038),IF(3038&lt;=3000,INDEX($C$2:$C$1001,1038),IF(3038&lt;=4000,INDEX($D$2:$D$1001,38),IF(3038&lt;=5000,INDEX($E$2:$E$1001,-962),"")))))</f>
        <v/>
      </c>
    </row>
    <row r="3040">
      <c r="G3040">
        <f>IF(3039&lt;=1000,INDEX($A$2:$A$1001,3039),IF(3039&lt;=2000,INDEX($B$2:$B$1001,2039),IF(3039&lt;=3000,INDEX($C$2:$C$1001,1039),IF(3039&lt;=4000,INDEX($D$2:$D$1001,39),IF(3039&lt;=5000,INDEX($E$2:$E$1001,-961),"")))))</f>
        <v/>
      </c>
    </row>
    <row r="3041">
      <c r="G3041">
        <f>IF(3040&lt;=1000,INDEX($A$2:$A$1001,3040),IF(3040&lt;=2000,INDEX($B$2:$B$1001,2040),IF(3040&lt;=3000,INDEX($C$2:$C$1001,1040),IF(3040&lt;=4000,INDEX($D$2:$D$1001,40),IF(3040&lt;=5000,INDEX($E$2:$E$1001,-960),"")))))</f>
        <v/>
      </c>
    </row>
    <row r="3042">
      <c r="G3042">
        <f>IF(3041&lt;=1000,INDEX($A$2:$A$1001,3041),IF(3041&lt;=2000,INDEX($B$2:$B$1001,2041),IF(3041&lt;=3000,INDEX($C$2:$C$1001,1041),IF(3041&lt;=4000,INDEX($D$2:$D$1001,41),IF(3041&lt;=5000,INDEX($E$2:$E$1001,-959),"")))))</f>
        <v/>
      </c>
    </row>
    <row r="3043">
      <c r="G3043">
        <f>IF(3042&lt;=1000,INDEX($A$2:$A$1001,3042),IF(3042&lt;=2000,INDEX($B$2:$B$1001,2042),IF(3042&lt;=3000,INDEX($C$2:$C$1001,1042),IF(3042&lt;=4000,INDEX($D$2:$D$1001,42),IF(3042&lt;=5000,INDEX($E$2:$E$1001,-958),"")))))</f>
        <v/>
      </c>
    </row>
    <row r="3044">
      <c r="G3044">
        <f>IF(3043&lt;=1000,INDEX($A$2:$A$1001,3043),IF(3043&lt;=2000,INDEX($B$2:$B$1001,2043),IF(3043&lt;=3000,INDEX($C$2:$C$1001,1043),IF(3043&lt;=4000,INDEX($D$2:$D$1001,43),IF(3043&lt;=5000,INDEX($E$2:$E$1001,-957),"")))))</f>
        <v/>
      </c>
    </row>
    <row r="3045">
      <c r="G3045">
        <f>IF(3044&lt;=1000,INDEX($A$2:$A$1001,3044),IF(3044&lt;=2000,INDEX($B$2:$B$1001,2044),IF(3044&lt;=3000,INDEX($C$2:$C$1001,1044),IF(3044&lt;=4000,INDEX($D$2:$D$1001,44),IF(3044&lt;=5000,INDEX($E$2:$E$1001,-956),"")))))</f>
        <v/>
      </c>
    </row>
    <row r="3046">
      <c r="G3046">
        <f>IF(3045&lt;=1000,INDEX($A$2:$A$1001,3045),IF(3045&lt;=2000,INDEX($B$2:$B$1001,2045),IF(3045&lt;=3000,INDEX($C$2:$C$1001,1045),IF(3045&lt;=4000,INDEX($D$2:$D$1001,45),IF(3045&lt;=5000,INDEX($E$2:$E$1001,-955),"")))))</f>
        <v/>
      </c>
    </row>
    <row r="3047">
      <c r="G3047">
        <f>IF(3046&lt;=1000,INDEX($A$2:$A$1001,3046),IF(3046&lt;=2000,INDEX($B$2:$B$1001,2046),IF(3046&lt;=3000,INDEX($C$2:$C$1001,1046),IF(3046&lt;=4000,INDEX($D$2:$D$1001,46),IF(3046&lt;=5000,INDEX($E$2:$E$1001,-954),"")))))</f>
        <v/>
      </c>
    </row>
    <row r="3048">
      <c r="G3048">
        <f>IF(3047&lt;=1000,INDEX($A$2:$A$1001,3047),IF(3047&lt;=2000,INDEX($B$2:$B$1001,2047),IF(3047&lt;=3000,INDEX($C$2:$C$1001,1047),IF(3047&lt;=4000,INDEX($D$2:$D$1001,47),IF(3047&lt;=5000,INDEX($E$2:$E$1001,-953),"")))))</f>
        <v/>
      </c>
    </row>
    <row r="3049">
      <c r="G3049">
        <f>IF(3048&lt;=1000,INDEX($A$2:$A$1001,3048),IF(3048&lt;=2000,INDEX($B$2:$B$1001,2048),IF(3048&lt;=3000,INDEX($C$2:$C$1001,1048),IF(3048&lt;=4000,INDEX($D$2:$D$1001,48),IF(3048&lt;=5000,INDEX($E$2:$E$1001,-952),"")))))</f>
        <v/>
      </c>
    </row>
    <row r="3050">
      <c r="G3050">
        <f>IF(3049&lt;=1000,INDEX($A$2:$A$1001,3049),IF(3049&lt;=2000,INDEX($B$2:$B$1001,2049),IF(3049&lt;=3000,INDEX($C$2:$C$1001,1049),IF(3049&lt;=4000,INDEX($D$2:$D$1001,49),IF(3049&lt;=5000,INDEX($E$2:$E$1001,-951),"")))))</f>
        <v/>
      </c>
    </row>
    <row r="3051">
      <c r="G3051">
        <f>IF(3050&lt;=1000,INDEX($A$2:$A$1001,3050),IF(3050&lt;=2000,INDEX($B$2:$B$1001,2050),IF(3050&lt;=3000,INDEX($C$2:$C$1001,1050),IF(3050&lt;=4000,INDEX($D$2:$D$1001,50),IF(3050&lt;=5000,INDEX($E$2:$E$1001,-950),"")))))</f>
        <v/>
      </c>
    </row>
    <row r="3052">
      <c r="G3052">
        <f>IF(3051&lt;=1000,INDEX($A$2:$A$1001,3051),IF(3051&lt;=2000,INDEX($B$2:$B$1001,2051),IF(3051&lt;=3000,INDEX($C$2:$C$1001,1051),IF(3051&lt;=4000,INDEX($D$2:$D$1001,51),IF(3051&lt;=5000,INDEX($E$2:$E$1001,-949),"")))))</f>
        <v/>
      </c>
    </row>
    <row r="3053">
      <c r="G3053">
        <f>IF(3052&lt;=1000,INDEX($A$2:$A$1001,3052),IF(3052&lt;=2000,INDEX($B$2:$B$1001,2052),IF(3052&lt;=3000,INDEX($C$2:$C$1001,1052),IF(3052&lt;=4000,INDEX($D$2:$D$1001,52),IF(3052&lt;=5000,INDEX($E$2:$E$1001,-948),"")))))</f>
        <v/>
      </c>
    </row>
    <row r="3054">
      <c r="G3054">
        <f>IF(3053&lt;=1000,INDEX($A$2:$A$1001,3053),IF(3053&lt;=2000,INDEX($B$2:$B$1001,2053),IF(3053&lt;=3000,INDEX($C$2:$C$1001,1053),IF(3053&lt;=4000,INDEX($D$2:$D$1001,53),IF(3053&lt;=5000,INDEX($E$2:$E$1001,-947),"")))))</f>
        <v/>
      </c>
    </row>
    <row r="3055">
      <c r="G3055">
        <f>IF(3054&lt;=1000,INDEX($A$2:$A$1001,3054),IF(3054&lt;=2000,INDEX($B$2:$B$1001,2054),IF(3054&lt;=3000,INDEX($C$2:$C$1001,1054),IF(3054&lt;=4000,INDEX($D$2:$D$1001,54),IF(3054&lt;=5000,INDEX($E$2:$E$1001,-946),"")))))</f>
        <v/>
      </c>
    </row>
    <row r="3056">
      <c r="G3056">
        <f>IF(3055&lt;=1000,INDEX($A$2:$A$1001,3055),IF(3055&lt;=2000,INDEX($B$2:$B$1001,2055),IF(3055&lt;=3000,INDEX($C$2:$C$1001,1055),IF(3055&lt;=4000,INDEX($D$2:$D$1001,55),IF(3055&lt;=5000,INDEX($E$2:$E$1001,-945),"")))))</f>
        <v/>
      </c>
    </row>
    <row r="3057">
      <c r="G3057">
        <f>IF(3056&lt;=1000,INDEX($A$2:$A$1001,3056),IF(3056&lt;=2000,INDEX($B$2:$B$1001,2056),IF(3056&lt;=3000,INDEX($C$2:$C$1001,1056),IF(3056&lt;=4000,INDEX($D$2:$D$1001,56),IF(3056&lt;=5000,INDEX($E$2:$E$1001,-944),"")))))</f>
        <v/>
      </c>
    </row>
    <row r="3058">
      <c r="G3058">
        <f>IF(3057&lt;=1000,INDEX($A$2:$A$1001,3057),IF(3057&lt;=2000,INDEX($B$2:$B$1001,2057),IF(3057&lt;=3000,INDEX($C$2:$C$1001,1057),IF(3057&lt;=4000,INDEX($D$2:$D$1001,57),IF(3057&lt;=5000,INDEX($E$2:$E$1001,-943),"")))))</f>
        <v/>
      </c>
    </row>
    <row r="3059">
      <c r="G3059">
        <f>IF(3058&lt;=1000,INDEX($A$2:$A$1001,3058),IF(3058&lt;=2000,INDEX($B$2:$B$1001,2058),IF(3058&lt;=3000,INDEX($C$2:$C$1001,1058),IF(3058&lt;=4000,INDEX($D$2:$D$1001,58),IF(3058&lt;=5000,INDEX($E$2:$E$1001,-942),"")))))</f>
        <v/>
      </c>
    </row>
    <row r="3060">
      <c r="G3060">
        <f>IF(3059&lt;=1000,INDEX($A$2:$A$1001,3059),IF(3059&lt;=2000,INDEX($B$2:$B$1001,2059),IF(3059&lt;=3000,INDEX($C$2:$C$1001,1059),IF(3059&lt;=4000,INDEX($D$2:$D$1001,59),IF(3059&lt;=5000,INDEX($E$2:$E$1001,-941),"")))))</f>
        <v/>
      </c>
    </row>
    <row r="3061">
      <c r="G3061">
        <f>IF(3060&lt;=1000,INDEX($A$2:$A$1001,3060),IF(3060&lt;=2000,INDEX($B$2:$B$1001,2060),IF(3060&lt;=3000,INDEX($C$2:$C$1001,1060),IF(3060&lt;=4000,INDEX($D$2:$D$1001,60),IF(3060&lt;=5000,INDEX($E$2:$E$1001,-940),"")))))</f>
        <v/>
      </c>
    </row>
    <row r="3062">
      <c r="G3062">
        <f>IF(3061&lt;=1000,INDEX($A$2:$A$1001,3061),IF(3061&lt;=2000,INDEX($B$2:$B$1001,2061),IF(3061&lt;=3000,INDEX($C$2:$C$1001,1061),IF(3061&lt;=4000,INDEX($D$2:$D$1001,61),IF(3061&lt;=5000,INDEX($E$2:$E$1001,-939),"")))))</f>
        <v/>
      </c>
    </row>
    <row r="3063">
      <c r="G3063">
        <f>IF(3062&lt;=1000,INDEX($A$2:$A$1001,3062),IF(3062&lt;=2000,INDEX($B$2:$B$1001,2062),IF(3062&lt;=3000,INDEX($C$2:$C$1001,1062),IF(3062&lt;=4000,INDEX($D$2:$D$1001,62),IF(3062&lt;=5000,INDEX($E$2:$E$1001,-938),"")))))</f>
        <v/>
      </c>
    </row>
    <row r="3064">
      <c r="G3064">
        <f>IF(3063&lt;=1000,INDEX($A$2:$A$1001,3063),IF(3063&lt;=2000,INDEX($B$2:$B$1001,2063),IF(3063&lt;=3000,INDEX($C$2:$C$1001,1063),IF(3063&lt;=4000,INDEX($D$2:$D$1001,63),IF(3063&lt;=5000,INDEX($E$2:$E$1001,-937),"")))))</f>
        <v/>
      </c>
    </row>
    <row r="3065">
      <c r="G3065">
        <f>IF(3064&lt;=1000,INDEX($A$2:$A$1001,3064),IF(3064&lt;=2000,INDEX($B$2:$B$1001,2064),IF(3064&lt;=3000,INDEX($C$2:$C$1001,1064),IF(3064&lt;=4000,INDEX($D$2:$D$1001,64),IF(3064&lt;=5000,INDEX($E$2:$E$1001,-936),"")))))</f>
        <v/>
      </c>
    </row>
    <row r="3066">
      <c r="G3066">
        <f>IF(3065&lt;=1000,INDEX($A$2:$A$1001,3065),IF(3065&lt;=2000,INDEX($B$2:$B$1001,2065),IF(3065&lt;=3000,INDEX($C$2:$C$1001,1065),IF(3065&lt;=4000,INDEX($D$2:$D$1001,65),IF(3065&lt;=5000,INDEX($E$2:$E$1001,-935),"")))))</f>
        <v/>
      </c>
    </row>
    <row r="3067">
      <c r="G3067">
        <f>IF(3066&lt;=1000,INDEX($A$2:$A$1001,3066),IF(3066&lt;=2000,INDEX($B$2:$B$1001,2066),IF(3066&lt;=3000,INDEX($C$2:$C$1001,1066),IF(3066&lt;=4000,INDEX($D$2:$D$1001,66),IF(3066&lt;=5000,INDEX($E$2:$E$1001,-934),"")))))</f>
        <v/>
      </c>
    </row>
    <row r="3068">
      <c r="G3068">
        <f>IF(3067&lt;=1000,INDEX($A$2:$A$1001,3067),IF(3067&lt;=2000,INDEX($B$2:$B$1001,2067),IF(3067&lt;=3000,INDEX($C$2:$C$1001,1067),IF(3067&lt;=4000,INDEX($D$2:$D$1001,67),IF(3067&lt;=5000,INDEX($E$2:$E$1001,-933),"")))))</f>
        <v/>
      </c>
    </row>
    <row r="3069">
      <c r="G3069">
        <f>IF(3068&lt;=1000,INDEX($A$2:$A$1001,3068),IF(3068&lt;=2000,INDEX($B$2:$B$1001,2068),IF(3068&lt;=3000,INDEX($C$2:$C$1001,1068),IF(3068&lt;=4000,INDEX($D$2:$D$1001,68),IF(3068&lt;=5000,INDEX($E$2:$E$1001,-932),"")))))</f>
        <v/>
      </c>
    </row>
    <row r="3070">
      <c r="G3070">
        <f>IF(3069&lt;=1000,INDEX($A$2:$A$1001,3069),IF(3069&lt;=2000,INDEX($B$2:$B$1001,2069),IF(3069&lt;=3000,INDEX($C$2:$C$1001,1069),IF(3069&lt;=4000,INDEX($D$2:$D$1001,69),IF(3069&lt;=5000,INDEX($E$2:$E$1001,-931),"")))))</f>
        <v/>
      </c>
    </row>
    <row r="3071">
      <c r="G3071">
        <f>IF(3070&lt;=1000,INDEX($A$2:$A$1001,3070),IF(3070&lt;=2000,INDEX($B$2:$B$1001,2070),IF(3070&lt;=3000,INDEX($C$2:$C$1001,1070),IF(3070&lt;=4000,INDEX($D$2:$D$1001,70),IF(3070&lt;=5000,INDEX($E$2:$E$1001,-930),"")))))</f>
        <v/>
      </c>
    </row>
    <row r="3072">
      <c r="G3072">
        <f>IF(3071&lt;=1000,INDEX($A$2:$A$1001,3071),IF(3071&lt;=2000,INDEX($B$2:$B$1001,2071),IF(3071&lt;=3000,INDEX($C$2:$C$1001,1071),IF(3071&lt;=4000,INDEX($D$2:$D$1001,71),IF(3071&lt;=5000,INDEX($E$2:$E$1001,-929),"")))))</f>
        <v/>
      </c>
    </row>
    <row r="3073">
      <c r="G3073">
        <f>IF(3072&lt;=1000,INDEX($A$2:$A$1001,3072),IF(3072&lt;=2000,INDEX($B$2:$B$1001,2072),IF(3072&lt;=3000,INDEX($C$2:$C$1001,1072),IF(3072&lt;=4000,INDEX($D$2:$D$1001,72),IF(3072&lt;=5000,INDEX($E$2:$E$1001,-928),"")))))</f>
        <v/>
      </c>
    </row>
    <row r="3074">
      <c r="G3074">
        <f>IF(3073&lt;=1000,INDEX($A$2:$A$1001,3073),IF(3073&lt;=2000,INDEX($B$2:$B$1001,2073),IF(3073&lt;=3000,INDEX($C$2:$C$1001,1073),IF(3073&lt;=4000,INDEX($D$2:$D$1001,73),IF(3073&lt;=5000,INDEX($E$2:$E$1001,-927),"")))))</f>
        <v/>
      </c>
    </row>
    <row r="3075">
      <c r="G3075">
        <f>IF(3074&lt;=1000,INDEX($A$2:$A$1001,3074),IF(3074&lt;=2000,INDEX($B$2:$B$1001,2074),IF(3074&lt;=3000,INDEX($C$2:$C$1001,1074),IF(3074&lt;=4000,INDEX($D$2:$D$1001,74),IF(3074&lt;=5000,INDEX($E$2:$E$1001,-926),"")))))</f>
        <v/>
      </c>
    </row>
    <row r="3076">
      <c r="G3076">
        <f>IF(3075&lt;=1000,INDEX($A$2:$A$1001,3075),IF(3075&lt;=2000,INDEX($B$2:$B$1001,2075),IF(3075&lt;=3000,INDEX($C$2:$C$1001,1075),IF(3075&lt;=4000,INDEX($D$2:$D$1001,75),IF(3075&lt;=5000,INDEX($E$2:$E$1001,-925),"")))))</f>
        <v/>
      </c>
    </row>
    <row r="3077">
      <c r="G3077">
        <f>IF(3076&lt;=1000,INDEX($A$2:$A$1001,3076),IF(3076&lt;=2000,INDEX($B$2:$B$1001,2076),IF(3076&lt;=3000,INDEX($C$2:$C$1001,1076),IF(3076&lt;=4000,INDEX($D$2:$D$1001,76),IF(3076&lt;=5000,INDEX($E$2:$E$1001,-924),"")))))</f>
        <v/>
      </c>
    </row>
    <row r="3078">
      <c r="G3078">
        <f>IF(3077&lt;=1000,INDEX($A$2:$A$1001,3077),IF(3077&lt;=2000,INDEX($B$2:$B$1001,2077),IF(3077&lt;=3000,INDEX($C$2:$C$1001,1077),IF(3077&lt;=4000,INDEX($D$2:$D$1001,77),IF(3077&lt;=5000,INDEX($E$2:$E$1001,-923),"")))))</f>
        <v/>
      </c>
    </row>
    <row r="3079">
      <c r="G3079">
        <f>IF(3078&lt;=1000,INDEX($A$2:$A$1001,3078),IF(3078&lt;=2000,INDEX($B$2:$B$1001,2078),IF(3078&lt;=3000,INDEX($C$2:$C$1001,1078),IF(3078&lt;=4000,INDEX($D$2:$D$1001,78),IF(3078&lt;=5000,INDEX($E$2:$E$1001,-922),"")))))</f>
        <v/>
      </c>
    </row>
    <row r="3080">
      <c r="G3080">
        <f>IF(3079&lt;=1000,INDEX($A$2:$A$1001,3079),IF(3079&lt;=2000,INDEX($B$2:$B$1001,2079),IF(3079&lt;=3000,INDEX($C$2:$C$1001,1079),IF(3079&lt;=4000,INDEX($D$2:$D$1001,79),IF(3079&lt;=5000,INDEX($E$2:$E$1001,-921),"")))))</f>
        <v/>
      </c>
    </row>
    <row r="3081">
      <c r="G3081">
        <f>IF(3080&lt;=1000,INDEX($A$2:$A$1001,3080),IF(3080&lt;=2000,INDEX($B$2:$B$1001,2080),IF(3080&lt;=3000,INDEX($C$2:$C$1001,1080),IF(3080&lt;=4000,INDEX($D$2:$D$1001,80),IF(3080&lt;=5000,INDEX($E$2:$E$1001,-920),"")))))</f>
        <v/>
      </c>
    </row>
    <row r="3082">
      <c r="G3082">
        <f>IF(3081&lt;=1000,INDEX($A$2:$A$1001,3081),IF(3081&lt;=2000,INDEX($B$2:$B$1001,2081),IF(3081&lt;=3000,INDEX($C$2:$C$1001,1081),IF(3081&lt;=4000,INDEX($D$2:$D$1001,81),IF(3081&lt;=5000,INDEX($E$2:$E$1001,-919),"")))))</f>
        <v/>
      </c>
    </row>
    <row r="3083">
      <c r="G3083">
        <f>IF(3082&lt;=1000,INDEX($A$2:$A$1001,3082),IF(3082&lt;=2000,INDEX($B$2:$B$1001,2082),IF(3082&lt;=3000,INDEX($C$2:$C$1001,1082),IF(3082&lt;=4000,INDEX($D$2:$D$1001,82),IF(3082&lt;=5000,INDEX($E$2:$E$1001,-918),"")))))</f>
        <v/>
      </c>
    </row>
    <row r="3084">
      <c r="G3084">
        <f>IF(3083&lt;=1000,INDEX($A$2:$A$1001,3083),IF(3083&lt;=2000,INDEX($B$2:$B$1001,2083),IF(3083&lt;=3000,INDEX($C$2:$C$1001,1083),IF(3083&lt;=4000,INDEX($D$2:$D$1001,83),IF(3083&lt;=5000,INDEX($E$2:$E$1001,-917),"")))))</f>
        <v/>
      </c>
    </row>
    <row r="3085">
      <c r="G3085">
        <f>IF(3084&lt;=1000,INDEX($A$2:$A$1001,3084),IF(3084&lt;=2000,INDEX($B$2:$B$1001,2084),IF(3084&lt;=3000,INDEX($C$2:$C$1001,1084),IF(3084&lt;=4000,INDEX($D$2:$D$1001,84),IF(3084&lt;=5000,INDEX($E$2:$E$1001,-916),"")))))</f>
        <v/>
      </c>
    </row>
    <row r="3086">
      <c r="G3086">
        <f>IF(3085&lt;=1000,INDEX($A$2:$A$1001,3085),IF(3085&lt;=2000,INDEX($B$2:$B$1001,2085),IF(3085&lt;=3000,INDEX($C$2:$C$1001,1085),IF(3085&lt;=4000,INDEX($D$2:$D$1001,85),IF(3085&lt;=5000,INDEX($E$2:$E$1001,-915),"")))))</f>
        <v/>
      </c>
    </row>
    <row r="3087">
      <c r="G3087">
        <f>IF(3086&lt;=1000,INDEX($A$2:$A$1001,3086),IF(3086&lt;=2000,INDEX($B$2:$B$1001,2086),IF(3086&lt;=3000,INDEX($C$2:$C$1001,1086),IF(3086&lt;=4000,INDEX($D$2:$D$1001,86),IF(3086&lt;=5000,INDEX($E$2:$E$1001,-914),"")))))</f>
        <v/>
      </c>
    </row>
    <row r="3088">
      <c r="G3088">
        <f>IF(3087&lt;=1000,INDEX($A$2:$A$1001,3087),IF(3087&lt;=2000,INDEX($B$2:$B$1001,2087),IF(3087&lt;=3000,INDEX($C$2:$C$1001,1087),IF(3087&lt;=4000,INDEX($D$2:$D$1001,87),IF(3087&lt;=5000,INDEX($E$2:$E$1001,-913),"")))))</f>
        <v/>
      </c>
    </row>
    <row r="3089">
      <c r="G3089">
        <f>IF(3088&lt;=1000,INDEX($A$2:$A$1001,3088),IF(3088&lt;=2000,INDEX($B$2:$B$1001,2088),IF(3088&lt;=3000,INDEX($C$2:$C$1001,1088),IF(3088&lt;=4000,INDEX($D$2:$D$1001,88),IF(3088&lt;=5000,INDEX($E$2:$E$1001,-912),"")))))</f>
        <v/>
      </c>
    </row>
    <row r="3090">
      <c r="G3090">
        <f>IF(3089&lt;=1000,INDEX($A$2:$A$1001,3089),IF(3089&lt;=2000,INDEX($B$2:$B$1001,2089),IF(3089&lt;=3000,INDEX($C$2:$C$1001,1089),IF(3089&lt;=4000,INDEX($D$2:$D$1001,89),IF(3089&lt;=5000,INDEX($E$2:$E$1001,-911),"")))))</f>
        <v/>
      </c>
    </row>
    <row r="3091">
      <c r="G3091">
        <f>IF(3090&lt;=1000,INDEX($A$2:$A$1001,3090),IF(3090&lt;=2000,INDEX($B$2:$B$1001,2090),IF(3090&lt;=3000,INDEX($C$2:$C$1001,1090),IF(3090&lt;=4000,INDEX($D$2:$D$1001,90),IF(3090&lt;=5000,INDEX($E$2:$E$1001,-910),"")))))</f>
        <v/>
      </c>
    </row>
    <row r="3092">
      <c r="G3092">
        <f>IF(3091&lt;=1000,INDEX($A$2:$A$1001,3091),IF(3091&lt;=2000,INDEX($B$2:$B$1001,2091),IF(3091&lt;=3000,INDEX($C$2:$C$1001,1091),IF(3091&lt;=4000,INDEX($D$2:$D$1001,91),IF(3091&lt;=5000,INDEX($E$2:$E$1001,-909),"")))))</f>
        <v/>
      </c>
    </row>
    <row r="3093">
      <c r="G3093">
        <f>IF(3092&lt;=1000,INDEX($A$2:$A$1001,3092),IF(3092&lt;=2000,INDEX($B$2:$B$1001,2092),IF(3092&lt;=3000,INDEX($C$2:$C$1001,1092),IF(3092&lt;=4000,INDEX($D$2:$D$1001,92),IF(3092&lt;=5000,INDEX($E$2:$E$1001,-908),"")))))</f>
        <v/>
      </c>
    </row>
    <row r="3094">
      <c r="G3094">
        <f>IF(3093&lt;=1000,INDEX($A$2:$A$1001,3093),IF(3093&lt;=2000,INDEX($B$2:$B$1001,2093),IF(3093&lt;=3000,INDEX($C$2:$C$1001,1093),IF(3093&lt;=4000,INDEX($D$2:$D$1001,93),IF(3093&lt;=5000,INDEX($E$2:$E$1001,-907),"")))))</f>
        <v/>
      </c>
    </row>
    <row r="3095">
      <c r="G3095">
        <f>IF(3094&lt;=1000,INDEX($A$2:$A$1001,3094),IF(3094&lt;=2000,INDEX($B$2:$B$1001,2094),IF(3094&lt;=3000,INDEX($C$2:$C$1001,1094),IF(3094&lt;=4000,INDEX($D$2:$D$1001,94),IF(3094&lt;=5000,INDEX($E$2:$E$1001,-906),"")))))</f>
        <v/>
      </c>
    </row>
    <row r="3096">
      <c r="G3096">
        <f>IF(3095&lt;=1000,INDEX($A$2:$A$1001,3095),IF(3095&lt;=2000,INDEX($B$2:$B$1001,2095),IF(3095&lt;=3000,INDEX($C$2:$C$1001,1095),IF(3095&lt;=4000,INDEX($D$2:$D$1001,95),IF(3095&lt;=5000,INDEX($E$2:$E$1001,-905),"")))))</f>
        <v/>
      </c>
    </row>
    <row r="3097">
      <c r="G3097">
        <f>IF(3096&lt;=1000,INDEX($A$2:$A$1001,3096),IF(3096&lt;=2000,INDEX($B$2:$B$1001,2096),IF(3096&lt;=3000,INDEX($C$2:$C$1001,1096),IF(3096&lt;=4000,INDEX($D$2:$D$1001,96),IF(3096&lt;=5000,INDEX($E$2:$E$1001,-904),"")))))</f>
        <v/>
      </c>
    </row>
    <row r="3098">
      <c r="G3098">
        <f>IF(3097&lt;=1000,INDEX($A$2:$A$1001,3097),IF(3097&lt;=2000,INDEX($B$2:$B$1001,2097),IF(3097&lt;=3000,INDEX($C$2:$C$1001,1097),IF(3097&lt;=4000,INDEX($D$2:$D$1001,97),IF(3097&lt;=5000,INDEX($E$2:$E$1001,-903),"")))))</f>
        <v/>
      </c>
    </row>
    <row r="3099">
      <c r="G3099">
        <f>IF(3098&lt;=1000,INDEX($A$2:$A$1001,3098),IF(3098&lt;=2000,INDEX($B$2:$B$1001,2098),IF(3098&lt;=3000,INDEX($C$2:$C$1001,1098),IF(3098&lt;=4000,INDEX($D$2:$D$1001,98),IF(3098&lt;=5000,INDEX($E$2:$E$1001,-902),"")))))</f>
        <v/>
      </c>
    </row>
    <row r="3100">
      <c r="G3100">
        <f>IF(3099&lt;=1000,INDEX($A$2:$A$1001,3099),IF(3099&lt;=2000,INDEX($B$2:$B$1001,2099),IF(3099&lt;=3000,INDEX($C$2:$C$1001,1099),IF(3099&lt;=4000,INDEX($D$2:$D$1001,99),IF(3099&lt;=5000,INDEX($E$2:$E$1001,-901),"")))))</f>
        <v/>
      </c>
    </row>
    <row r="3101">
      <c r="G3101">
        <f>IF(3100&lt;=1000,INDEX($A$2:$A$1001,3100),IF(3100&lt;=2000,INDEX($B$2:$B$1001,2100),IF(3100&lt;=3000,INDEX($C$2:$C$1001,1100),IF(3100&lt;=4000,INDEX($D$2:$D$1001,100),IF(3100&lt;=5000,INDEX($E$2:$E$1001,-900),"")))))</f>
        <v/>
      </c>
    </row>
    <row r="3102">
      <c r="G3102">
        <f>IF(3101&lt;=1000,INDEX($A$2:$A$1001,3101),IF(3101&lt;=2000,INDEX($B$2:$B$1001,2101),IF(3101&lt;=3000,INDEX($C$2:$C$1001,1101),IF(3101&lt;=4000,INDEX($D$2:$D$1001,101),IF(3101&lt;=5000,INDEX($E$2:$E$1001,-899),"")))))</f>
        <v/>
      </c>
    </row>
    <row r="3103">
      <c r="G3103">
        <f>IF(3102&lt;=1000,INDEX($A$2:$A$1001,3102),IF(3102&lt;=2000,INDEX($B$2:$B$1001,2102),IF(3102&lt;=3000,INDEX($C$2:$C$1001,1102),IF(3102&lt;=4000,INDEX($D$2:$D$1001,102),IF(3102&lt;=5000,INDEX($E$2:$E$1001,-898),"")))))</f>
        <v/>
      </c>
    </row>
    <row r="3104">
      <c r="G3104">
        <f>IF(3103&lt;=1000,INDEX($A$2:$A$1001,3103),IF(3103&lt;=2000,INDEX($B$2:$B$1001,2103),IF(3103&lt;=3000,INDEX($C$2:$C$1001,1103),IF(3103&lt;=4000,INDEX($D$2:$D$1001,103),IF(3103&lt;=5000,INDEX($E$2:$E$1001,-897),"")))))</f>
        <v/>
      </c>
    </row>
    <row r="3105">
      <c r="G3105">
        <f>IF(3104&lt;=1000,INDEX($A$2:$A$1001,3104),IF(3104&lt;=2000,INDEX($B$2:$B$1001,2104),IF(3104&lt;=3000,INDEX($C$2:$C$1001,1104),IF(3104&lt;=4000,INDEX($D$2:$D$1001,104),IF(3104&lt;=5000,INDEX($E$2:$E$1001,-896),"")))))</f>
        <v/>
      </c>
    </row>
    <row r="3106">
      <c r="G3106">
        <f>IF(3105&lt;=1000,INDEX($A$2:$A$1001,3105),IF(3105&lt;=2000,INDEX($B$2:$B$1001,2105),IF(3105&lt;=3000,INDEX($C$2:$C$1001,1105),IF(3105&lt;=4000,INDEX($D$2:$D$1001,105),IF(3105&lt;=5000,INDEX($E$2:$E$1001,-895),"")))))</f>
        <v/>
      </c>
    </row>
    <row r="3107">
      <c r="G3107">
        <f>IF(3106&lt;=1000,INDEX($A$2:$A$1001,3106),IF(3106&lt;=2000,INDEX($B$2:$B$1001,2106),IF(3106&lt;=3000,INDEX($C$2:$C$1001,1106),IF(3106&lt;=4000,INDEX($D$2:$D$1001,106),IF(3106&lt;=5000,INDEX($E$2:$E$1001,-894),"")))))</f>
        <v/>
      </c>
    </row>
    <row r="3108">
      <c r="G3108">
        <f>IF(3107&lt;=1000,INDEX($A$2:$A$1001,3107),IF(3107&lt;=2000,INDEX($B$2:$B$1001,2107),IF(3107&lt;=3000,INDEX($C$2:$C$1001,1107),IF(3107&lt;=4000,INDEX($D$2:$D$1001,107),IF(3107&lt;=5000,INDEX($E$2:$E$1001,-893),"")))))</f>
        <v/>
      </c>
    </row>
    <row r="3109">
      <c r="G3109">
        <f>IF(3108&lt;=1000,INDEX($A$2:$A$1001,3108),IF(3108&lt;=2000,INDEX($B$2:$B$1001,2108),IF(3108&lt;=3000,INDEX($C$2:$C$1001,1108),IF(3108&lt;=4000,INDEX($D$2:$D$1001,108),IF(3108&lt;=5000,INDEX($E$2:$E$1001,-892),"")))))</f>
        <v/>
      </c>
    </row>
    <row r="3110">
      <c r="G3110">
        <f>IF(3109&lt;=1000,INDEX($A$2:$A$1001,3109),IF(3109&lt;=2000,INDEX($B$2:$B$1001,2109),IF(3109&lt;=3000,INDEX($C$2:$C$1001,1109),IF(3109&lt;=4000,INDEX($D$2:$D$1001,109),IF(3109&lt;=5000,INDEX($E$2:$E$1001,-891),"")))))</f>
        <v/>
      </c>
    </row>
    <row r="3111">
      <c r="G3111">
        <f>IF(3110&lt;=1000,INDEX($A$2:$A$1001,3110),IF(3110&lt;=2000,INDEX($B$2:$B$1001,2110),IF(3110&lt;=3000,INDEX($C$2:$C$1001,1110),IF(3110&lt;=4000,INDEX($D$2:$D$1001,110),IF(3110&lt;=5000,INDEX($E$2:$E$1001,-890),"")))))</f>
        <v/>
      </c>
    </row>
    <row r="3112">
      <c r="G3112">
        <f>IF(3111&lt;=1000,INDEX($A$2:$A$1001,3111),IF(3111&lt;=2000,INDEX($B$2:$B$1001,2111),IF(3111&lt;=3000,INDEX($C$2:$C$1001,1111),IF(3111&lt;=4000,INDEX($D$2:$D$1001,111),IF(3111&lt;=5000,INDEX($E$2:$E$1001,-889),"")))))</f>
        <v/>
      </c>
    </row>
    <row r="3113">
      <c r="G3113">
        <f>IF(3112&lt;=1000,INDEX($A$2:$A$1001,3112),IF(3112&lt;=2000,INDEX($B$2:$B$1001,2112),IF(3112&lt;=3000,INDEX($C$2:$C$1001,1112),IF(3112&lt;=4000,INDEX($D$2:$D$1001,112),IF(3112&lt;=5000,INDEX($E$2:$E$1001,-888),"")))))</f>
        <v/>
      </c>
    </row>
    <row r="3114">
      <c r="G3114">
        <f>IF(3113&lt;=1000,INDEX($A$2:$A$1001,3113),IF(3113&lt;=2000,INDEX($B$2:$B$1001,2113),IF(3113&lt;=3000,INDEX($C$2:$C$1001,1113),IF(3113&lt;=4000,INDEX($D$2:$D$1001,113),IF(3113&lt;=5000,INDEX($E$2:$E$1001,-887),"")))))</f>
        <v/>
      </c>
    </row>
    <row r="3115">
      <c r="G3115">
        <f>IF(3114&lt;=1000,INDEX($A$2:$A$1001,3114),IF(3114&lt;=2000,INDEX($B$2:$B$1001,2114),IF(3114&lt;=3000,INDEX($C$2:$C$1001,1114),IF(3114&lt;=4000,INDEX($D$2:$D$1001,114),IF(3114&lt;=5000,INDEX($E$2:$E$1001,-886),"")))))</f>
        <v/>
      </c>
    </row>
    <row r="3116">
      <c r="G3116">
        <f>IF(3115&lt;=1000,INDEX($A$2:$A$1001,3115),IF(3115&lt;=2000,INDEX($B$2:$B$1001,2115),IF(3115&lt;=3000,INDEX($C$2:$C$1001,1115),IF(3115&lt;=4000,INDEX($D$2:$D$1001,115),IF(3115&lt;=5000,INDEX($E$2:$E$1001,-885),"")))))</f>
        <v/>
      </c>
    </row>
    <row r="3117">
      <c r="G3117">
        <f>IF(3116&lt;=1000,INDEX($A$2:$A$1001,3116),IF(3116&lt;=2000,INDEX($B$2:$B$1001,2116),IF(3116&lt;=3000,INDEX($C$2:$C$1001,1116),IF(3116&lt;=4000,INDEX($D$2:$D$1001,116),IF(3116&lt;=5000,INDEX($E$2:$E$1001,-884),"")))))</f>
        <v/>
      </c>
    </row>
    <row r="3118">
      <c r="G3118">
        <f>IF(3117&lt;=1000,INDEX($A$2:$A$1001,3117),IF(3117&lt;=2000,INDEX($B$2:$B$1001,2117),IF(3117&lt;=3000,INDEX($C$2:$C$1001,1117),IF(3117&lt;=4000,INDEX($D$2:$D$1001,117),IF(3117&lt;=5000,INDEX($E$2:$E$1001,-883),"")))))</f>
        <v/>
      </c>
    </row>
    <row r="3119">
      <c r="G3119">
        <f>IF(3118&lt;=1000,INDEX($A$2:$A$1001,3118),IF(3118&lt;=2000,INDEX($B$2:$B$1001,2118),IF(3118&lt;=3000,INDEX($C$2:$C$1001,1118),IF(3118&lt;=4000,INDEX($D$2:$D$1001,118),IF(3118&lt;=5000,INDEX($E$2:$E$1001,-882),"")))))</f>
        <v/>
      </c>
    </row>
    <row r="3120">
      <c r="G3120">
        <f>IF(3119&lt;=1000,INDEX($A$2:$A$1001,3119),IF(3119&lt;=2000,INDEX($B$2:$B$1001,2119),IF(3119&lt;=3000,INDEX($C$2:$C$1001,1119),IF(3119&lt;=4000,INDEX($D$2:$D$1001,119),IF(3119&lt;=5000,INDEX($E$2:$E$1001,-881),"")))))</f>
        <v/>
      </c>
    </row>
    <row r="3121">
      <c r="G3121">
        <f>IF(3120&lt;=1000,INDEX($A$2:$A$1001,3120),IF(3120&lt;=2000,INDEX($B$2:$B$1001,2120),IF(3120&lt;=3000,INDEX($C$2:$C$1001,1120),IF(3120&lt;=4000,INDEX($D$2:$D$1001,120),IF(3120&lt;=5000,INDEX($E$2:$E$1001,-880),"")))))</f>
        <v/>
      </c>
    </row>
    <row r="3122">
      <c r="G3122">
        <f>IF(3121&lt;=1000,INDEX($A$2:$A$1001,3121),IF(3121&lt;=2000,INDEX($B$2:$B$1001,2121),IF(3121&lt;=3000,INDEX($C$2:$C$1001,1121),IF(3121&lt;=4000,INDEX($D$2:$D$1001,121),IF(3121&lt;=5000,INDEX($E$2:$E$1001,-879),"")))))</f>
        <v/>
      </c>
    </row>
    <row r="3123">
      <c r="G3123">
        <f>IF(3122&lt;=1000,INDEX($A$2:$A$1001,3122),IF(3122&lt;=2000,INDEX($B$2:$B$1001,2122),IF(3122&lt;=3000,INDEX($C$2:$C$1001,1122),IF(3122&lt;=4000,INDEX($D$2:$D$1001,122),IF(3122&lt;=5000,INDEX($E$2:$E$1001,-878),"")))))</f>
        <v/>
      </c>
    </row>
    <row r="3124">
      <c r="G3124">
        <f>IF(3123&lt;=1000,INDEX($A$2:$A$1001,3123),IF(3123&lt;=2000,INDEX($B$2:$B$1001,2123),IF(3123&lt;=3000,INDEX($C$2:$C$1001,1123),IF(3123&lt;=4000,INDEX($D$2:$D$1001,123),IF(3123&lt;=5000,INDEX($E$2:$E$1001,-877),"")))))</f>
        <v/>
      </c>
    </row>
    <row r="3125">
      <c r="G3125">
        <f>IF(3124&lt;=1000,INDEX($A$2:$A$1001,3124),IF(3124&lt;=2000,INDEX($B$2:$B$1001,2124),IF(3124&lt;=3000,INDEX($C$2:$C$1001,1124),IF(3124&lt;=4000,INDEX($D$2:$D$1001,124),IF(3124&lt;=5000,INDEX($E$2:$E$1001,-876),"")))))</f>
        <v/>
      </c>
    </row>
    <row r="3126">
      <c r="G3126">
        <f>IF(3125&lt;=1000,INDEX($A$2:$A$1001,3125),IF(3125&lt;=2000,INDEX($B$2:$B$1001,2125),IF(3125&lt;=3000,INDEX($C$2:$C$1001,1125),IF(3125&lt;=4000,INDEX($D$2:$D$1001,125),IF(3125&lt;=5000,INDEX($E$2:$E$1001,-875),"")))))</f>
        <v/>
      </c>
    </row>
    <row r="3127">
      <c r="G3127">
        <f>IF(3126&lt;=1000,INDEX($A$2:$A$1001,3126),IF(3126&lt;=2000,INDEX($B$2:$B$1001,2126),IF(3126&lt;=3000,INDEX($C$2:$C$1001,1126),IF(3126&lt;=4000,INDEX($D$2:$D$1001,126),IF(3126&lt;=5000,INDEX($E$2:$E$1001,-874),"")))))</f>
        <v/>
      </c>
    </row>
    <row r="3128">
      <c r="G3128">
        <f>IF(3127&lt;=1000,INDEX($A$2:$A$1001,3127),IF(3127&lt;=2000,INDEX($B$2:$B$1001,2127),IF(3127&lt;=3000,INDEX($C$2:$C$1001,1127),IF(3127&lt;=4000,INDEX($D$2:$D$1001,127),IF(3127&lt;=5000,INDEX($E$2:$E$1001,-873),"")))))</f>
        <v/>
      </c>
    </row>
    <row r="3129">
      <c r="G3129">
        <f>IF(3128&lt;=1000,INDEX($A$2:$A$1001,3128),IF(3128&lt;=2000,INDEX($B$2:$B$1001,2128),IF(3128&lt;=3000,INDEX($C$2:$C$1001,1128),IF(3128&lt;=4000,INDEX($D$2:$D$1001,128),IF(3128&lt;=5000,INDEX($E$2:$E$1001,-872),"")))))</f>
        <v/>
      </c>
    </row>
    <row r="3130">
      <c r="G3130">
        <f>IF(3129&lt;=1000,INDEX($A$2:$A$1001,3129),IF(3129&lt;=2000,INDEX($B$2:$B$1001,2129),IF(3129&lt;=3000,INDEX($C$2:$C$1001,1129),IF(3129&lt;=4000,INDEX($D$2:$D$1001,129),IF(3129&lt;=5000,INDEX($E$2:$E$1001,-871),"")))))</f>
        <v/>
      </c>
    </row>
    <row r="3131">
      <c r="G3131">
        <f>IF(3130&lt;=1000,INDEX($A$2:$A$1001,3130),IF(3130&lt;=2000,INDEX($B$2:$B$1001,2130),IF(3130&lt;=3000,INDEX($C$2:$C$1001,1130),IF(3130&lt;=4000,INDEX($D$2:$D$1001,130),IF(3130&lt;=5000,INDEX($E$2:$E$1001,-870),"")))))</f>
        <v/>
      </c>
    </row>
    <row r="3132">
      <c r="G3132">
        <f>IF(3131&lt;=1000,INDEX($A$2:$A$1001,3131),IF(3131&lt;=2000,INDEX($B$2:$B$1001,2131),IF(3131&lt;=3000,INDEX($C$2:$C$1001,1131),IF(3131&lt;=4000,INDEX($D$2:$D$1001,131),IF(3131&lt;=5000,INDEX($E$2:$E$1001,-869),"")))))</f>
        <v/>
      </c>
    </row>
    <row r="3133">
      <c r="G3133">
        <f>IF(3132&lt;=1000,INDEX($A$2:$A$1001,3132),IF(3132&lt;=2000,INDEX($B$2:$B$1001,2132),IF(3132&lt;=3000,INDEX($C$2:$C$1001,1132),IF(3132&lt;=4000,INDEX($D$2:$D$1001,132),IF(3132&lt;=5000,INDEX($E$2:$E$1001,-868),"")))))</f>
        <v/>
      </c>
    </row>
    <row r="3134">
      <c r="G3134">
        <f>IF(3133&lt;=1000,INDEX($A$2:$A$1001,3133),IF(3133&lt;=2000,INDEX($B$2:$B$1001,2133),IF(3133&lt;=3000,INDEX($C$2:$C$1001,1133),IF(3133&lt;=4000,INDEX($D$2:$D$1001,133),IF(3133&lt;=5000,INDEX($E$2:$E$1001,-867),"")))))</f>
        <v/>
      </c>
    </row>
    <row r="3135">
      <c r="G3135">
        <f>IF(3134&lt;=1000,INDEX($A$2:$A$1001,3134),IF(3134&lt;=2000,INDEX($B$2:$B$1001,2134),IF(3134&lt;=3000,INDEX($C$2:$C$1001,1134),IF(3134&lt;=4000,INDEX($D$2:$D$1001,134),IF(3134&lt;=5000,INDEX($E$2:$E$1001,-866),"")))))</f>
        <v/>
      </c>
    </row>
    <row r="3136">
      <c r="G3136">
        <f>IF(3135&lt;=1000,INDEX($A$2:$A$1001,3135),IF(3135&lt;=2000,INDEX($B$2:$B$1001,2135),IF(3135&lt;=3000,INDEX($C$2:$C$1001,1135),IF(3135&lt;=4000,INDEX($D$2:$D$1001,135),IF(3135&lt;=5000,INDEX($E$2:$E$1001,-865),"")))))</f>
        <v/>
      </c>
    </row>
    <row r="3137">
      <c r="G3137">
        <f>IF(3136&lt;=1000,INDEX($A$2:$A$1001,3136),IF(3136&lt;=2000,INDEX($B$2:$B$1001,2136),IF(3136&lt;=3000,INDEX($C$2:$C$1001,1136),IF(3136&lt;=4000,INDEX($D$2:$D$1001,136),IF(3136&lt;=5000,INDEX($E$2:$E$1001,-864),"")))))</f>
        <v/>
      </c>
    </row>
    <row r="3138">
      <c r="G3138">
        <f>IF(3137&lt;=1000,INDEX($A$2:$A$1001,3137),IF(3137&lt;=2000,INDEX($B$2:$B$1001,2137),IF(3137&lt;=3000,INDEX($C$2:$C$1001,1137),IF(3137&lt;=4000,INDEX($D$2:$D$1001,137),IF(3137&lt;=5000,INDEX($E$2:$E$1001,-863),"")))))</f>
        <v/>
      </c>
    </row>
    <row r="3139">
      <c r="G3139">
        <f>IF(3138&lt;=1000,INDEX($A$2:$A$1001,3138),IF(3138&lt;=2000,INDEX($B$2:$B$1001,2138),IF(3138&lt;=3000,INDEX($C$2:$C$1001,1138),IF(3138&lt;=4000,INDEX($D$2:$D$1001,138),IF(3138&lt;=5000,INDEX($E$2:$E$1001,-862),"")))))</f>
        <v/>
      </c>
    </row>
    <row r="3140">
      <c r="G3140">
        <f>IF(3139&lt;=1000,INDEX($A$2:$A$1001,3139),IF(3139&lt;=2000,INDEX($B$2:$B$1001,2139),IF(3139&lt;=3000,INDEX($C$2:$C$1001,1139),IF(3139&lt;=4000,INDEX($D$2:$D$1001,139),IF(3139&lt;=5000,INDEX($E$2:$E$1001,-861),"")))))</f>
        <v/>
      </c>
    </row>
    <row r="3141">
      <c r="G3141">
        <f>IF(3140&lt;=1000,INDEX($A$2:$A$1001,3140),IF(3140&lt;=2000,INDEX($B$2:$B$1001,2140),IF(3140&lt;=3000,INDEX($C$2:$C$1001,1140),IF(3140&lt;=4000,INDEX($D$2:$D$1001,140),IF(3140&lt;=5000,INDEX($E$2:$E$1001,-860),"")))))</f>
        <v/>
      </c>
    </row>
    <row r="3142">
      <c r="G3142">
        <f>IF(3141&lt;=1000,INDEX($A$2:$A$1001,3141),IF(3141&lt;=2000,INDEX($B$2:$B$1001,2141),IF(3141&lt;=3000,INDEX($C$2:$C$1001,1141),IF(3141&lt;=4000,INDEX($D$2:$D$1001,141),IF(3141&lt;=5000,INDEX($E$2:$E$1001,-859),"")))))</f>
        <v/>
      </c>
    </row>
    <row r="3143">
      <c r="G3143">
        <f>IF(3142&lt;=1000,INDEX($A$2:$A$1001,3142),IF(3142&lt;=2000,INDEX($B$2:$B$1001,2142),IF(3142&lt;=3000,INDEX($C$2:$C$1001,1142),IF(3142&lt;=4000,INDEX($D$2:$D$1001,142),IF(3142&lt;=5000,INDEX($E$2:$E$1001,-858),"")))))</f>
        <v/>
      </c>
    </row>
    <row r="3144">
      <c r="G3144">
        <f>IF(3143&lt;=1000,INDEX($A$2:$A$1001,3143),IF(3143&lt;=2000,INDEX($B$2:$B$1001,2143),IF(3143&lt;=3000,INDEX($C$2:$C$1001,1143),IF(3143&lt;=4000,INDEX($D$2:$D$1001,143),IF(3143&lt;=5000,INDEX($E$2:$E$1001,-857),"")))))</f>
        <v/>
      </c>
    </row>
    <row r="3145">
      <c r="G3145">
        <f>IF(3144&lt;=1000,INDEX($A$2:$A$1001,3144),IF(3144&lt;=2000,INDEX($B$2:$B$1001,2144),IF(3144&lt;=3000,INDEX($C$2:$C$1001,1144),IF(3144&lt;=4000,INDEX($D$2:$D$1001,144),IF(3144&lt;=5000,INDEX($E$2:$E$1001,-856),"")))))</f>
        <v/>
      </c>
    </row>
    <row r="3146">
      <c r="G3146">
        <f>IF(3145&lt;=1000,INDEX($A$2:$A$1001,3145),IF(3145&lt;=2000,INDEX($B$2:$B$1001,2145),IF(3145&lt;=3000,INDEX($C$2:$C$1001,1145),IF(3145&lt;=4000,INDEX($D$2:$D$1001,145),IF(3145&lt;=5000,INDEX($E$2:$E$1001,-855),"")))))</f>
        <v/>
      </c>
    </row>
    <row r="3147">
      <c r="G3147">
        <f>IF(3146&lt;=1000,INDEX($A$2:$A$1001,3146),IF(3146&lt;=2000,INDEX($B$2:$B$1001,2146),IF(3146&lt;=3000,INDEX($C$2:$C$1001,1146),IF(3146&lt;=4000,INDEX($D$2:$D$1001,146),IF(3146&lt;=5000,INDEX($E$2:$E$1001,-854),"")))))</f>
        <v/>
      </c>
    </row>
    <row r="3148">
      <c r="G3148">
        <f>IF(3147&lt;=1000,INDEX($A$2:$A$1001,3147),IF(3147&lt;=2000,INDEX($B$2:$B$1001,2147),IF(3147&lt;=3000,INDEX($C$2:$C$1001,1147),IF(3147&lt;=4000,INDEX($D$2:$D$1001,147),IF(3147&lt;=5000,INDEX($E$2:$E$1001,-853),"")))))</f>
        <v/>
      </c>
    </row>
    <row r="3149">
      <c r="G3149">
        <f>IF(3148&lt;=1000,INDEX($A$2:$A$1001,3148),IF(3148&lt;=2000,INDEX($B$2:$B$1001,2148),IF(3148&lt;=3000,INDEX($C$2:$C$1001,1148),IF(3148&lt;=4000,INDEX($D$2:$D$1001,148),IF(3148&lt;=5000,INDEX($E$2:$E$1001,-852),"")))))</f>
        <v/>
      </c>
    </row>
    <row r="3150">
      <c r="G3150">
        <f>IF(3149&lt;=1000,INDEX($A$2:$A$1001,3149),IF(3149&lt;=2000,INDEX($B$2:$B$1001,2149),IF(3149&lt;=3000,INDEX($C$2:$C$1001,1149),IF(3149&lt;=4000,INDEX($D$2:$D$1001,149),IF(3149&lt;=5000,INDEX($E$2:$E$1001,-851),"")))))</f>
        <v/>
      </c>
    </row>
    <row r="3151">
      <c r="G3151">
        <f>IF(3150&lt;=1000,INDEX($A$2:$A$1001,3150),IF(3150&lt;=2000,INDEX($B$2:$B$1001,2150),IF(3150&lt;=3000,INDEX($C$2:$C$1001,1150),IF(3150&lt;=4000,INDEX($D$2:$D$1001,150),IF(3150&lt;=5000,INDEX($E$2:$E$1001,-850),"")))))</f>
        <v/>
      </c>
    </row>
    <row r="3152">
      <c r="G3152">
        <f>IF(3151&lt;=1000,INDEX($A$2:$A$1001,3151),IF(3151&lt;=2000,INDEX($B$2:$B$1001,2151),IF(3151&lt;=3000,INDEX($C$2:$C$1001,1151),IF(3151&lt;=4000,INDEX($D$2:$D$1001,151),IF(3151&lt;=5000,INDEX($E$2:$E$1001,-849),"")))))</f>
        <v/>
      </c>
    </row>
    <row r="3153">
      <c r="G3153">
        <f>IF(3152&lt;=1000,INDEX($A$2:$A$1001,3152),IF(3152&lt;=2000,INDEX($B$2:$B$1001,2152),IF(3152&lt;=3000,INDEX($C$2:$C$1001,1152),IF(3152&lt;=4000,INDEX($D$2:$D$1001,152),IF(3152&lt;=5000,INDEX($E$2:$E$1001,-848),"")))))</f>
        <v/>
      </c>
    </row>
    <row r="3154">
      <c r="G3154">
        <f>IF(3153&lt;=1000,INDEX($A$2:$A$1001,3153),IF(3153&lt;=2000,INDEX($B$2:$B$1001,2153),IF(3153&lt;=3000,INDEX($C$2:$C$1001,1153),IF(3153&lt;=4000,INDEX($D$2:$D$1001,153),IF(3153&lt;=5000,INDEX($E$2:$E$1001,-847),"")))))</f>
        <v/>
      </c>
    </row>
    <row r="3155">
      <c r="G3155">
        <f>IF(3154&lt;=1000,INDEX($A$2:$A$1001,3154),IF(3154&lt;=2000,INDEX($B$2:$B$1001,2154),IF(3154&lt;=3000,INDEX($C$2:$C$1001,1154),IF(3154&lt;=4000,INDEX($D$2:$D$1001,154),IF(3154&lt;=5000,INDEX($E$2:$E$1001,-846),"")))))</f>
        <v/>
      </c>
    </row>
    <row r="3156">
      <c r="G3156">
        <f>IF(3155&lt;=1000,INDEX($A$2:$A$1001,3155),IF(3155&lt;=2000,INDEX($B$2:$B$1001,2155),IF(3155&lt;=3000,INDEX($C$2:$C$1001,1155),IF(3155&lt;=4000,INDEX($D$2:$D$1001,155),IF(3155&lt;=5000,INDEX($E$2:$E$1001,-845),"")))))</f>
        <v/>
      </c>
    </row>
    <row r="3157">
      <c r="G3157">
        <f>IF(3156&lt;=1000,INDEX($A$2:$A$1001,3156),IF(3156&lt;=2000,INDEX($B$2:$B$1001,2156),IF(3156&lt;=3000,INDEX($C$2:$C$1001,1156),IF(3156&lt;=4000,INDEX($D$2:$D$1001,156),IF(3156&lt;=5000,INDEX($E$2:$E$1001,-844),"")))))</f>
        <v/>
      </c>
    </row>
    <row r="3158">
      <c r="G3158">
        <f>IF(3157&lt;=1000,INDEX($A$2:$A$1001,3157),IF(3157&lt;=2000,INDEX($B$2:$B$1001,2157),IF(3157&lt;=3000,INDEX($C$2:$C$1001,1157),IF(3157&lt;=4000,INDEX($D$2:$D$1001,157),IF(3157&lt;=5000,INDEX($E$2:$E$1001,-843),"")))))</f>
        <v/>
      </c>
    </row>
    <row r="3159">
      <c r="G3159">
        <f>IF(3158&lt;=1000,INDEX($A$2:$A$1001,3158),IF(3158&lt;=2000,INDEX($B$2:$B$1001,2158),IF(3158&lt;=3000,INDEX($C$2:$C$1001,1158),IF(3158&lt;=4000,INDEX($D$2:$D$1001,158),IF(3158&lt;=5000,INDEX($E$2:$E$1001,-842),"")))))</f>
        <v/>
      </c>
    </row>
    <row r="3160">
      <c r="G3160">
        <f>IF(3159&lt;=1000,INDEX($A$2:$A$1001,3159),IF(3159&lt;=2000,INDEX($B$2:$B$1001,2159),IF(3159&lt;=3000,INDEX($C$2:$C$1001,1159),IF(3159&lt;=4000,INDEX($D$2:$D$1001,159),IF(3159&lt;=5000,INDEX($E$2:$E$1001,-841),"")))))</f>
        <v/>
      </c>
    </row>
    <row r="3161">
      <c r="G3161">
        <f>IF(3160&lt;=1000,INDEX($A$2:$A$1001,3160),IF(3160&lt;=2000,INDEX($B$2:$B$1001,2160),IF(3160&lt;=3000,INDEX($C$2:$C$1001,1160),IF(3160&lt;=4000,INDEX($D$2:$D$1001,160),IF(3160&lt;=5000,INDEX($E$2:$E$1001,-840),"")))))</f>
        <v/>
      </c>
    </row>
    <row r="3162">
      <c r="G3162">
        <f>IF(3161&lt;=1000,INDEX($A$2:$A$1001,3161),IF(3161&lt;=2000,INDEX($B$2:$B$1001,2161),IF(3161&lt;=3000,INDEX($C$2:$C$1001,1161),IF(3161&lt;=4000,INDEX($D$2:$D$1001,161),IF(3161&lt;=5000,INDEX($E$2:$E$1001,-839),"")))))</f>
        <v/>
      </c>
    </row>
    <row r="3163">
      <c r="G3163">
        <f>IF(3162&lt;=1000,INDEX($A$2:$A$1001,3162),IF(3162&lt;=2000,INDEX($B$2:$B$1001,2162),IF(3162&lt;=3000,INDEX($C$2:$C$1001,1162),IF(3162&lt;=4000,INDEX($D$2:$D$1001,162),IF(3162&lt;=5000,INDEX($E$2:$E$1001,-838),"")))))</f>
        <v/>
      </c>
    </row>
    <row r="3164">
      <c r="G3164">
        <f>IF(3163&lt;=1000,INDEX($A$2:$A$1001,3163),IF(3163&lt;=2000,INDEX($B$2:$B$1001,2163),IF(3163&lt;=3000,INDEX($C$2:$C$1001,1163),IF(3163&lt;=4000,INDEX($D$2:$D$1001,163),IF(3163&lt;=5000,INDEX($E$2:$E$1001,-837),"")))))</f>
        <v/>
      </c>
    </row>
    <row r="3165">
      <c r="G3165">
        <f>IF(3164&lt;=1000,INDEX($A$2:$A$1001,3164),IF(3164&lt;=2000,INDEX($B$2:$B$1001,2164),IF(3164&lt;=3000,INDEX($C$2:$C$1001,1164),IF(3164&lt;=4000,INDEX($D$2:$D$1001,164),IF(3164&lt;=5000,INDEX($E$2:$E$1001,-836),"")))))</f>
        <v/>
      </c>
    </row>
    <row r="3166">
      <c r="G3166">
        <f>IF(3165&lt;=1000,INDEX($A$2:$A$1001,3165),IF(3165&lt;=2000,INDEX($B$2:$B$1001,2165),IF(3165&lt;=3000,INDEX($C$2:$C$1001,1165),IF(3165&lt;=4000,INDEX($D$2:$D$1001,165),IF(3165&lt;=5000,INDEX($E$2:$E$1001,-835),"")))))</f>
        <v/>
      </c>
    </row>
    <row r="3167">
      <c r="G3167">
        <f>IF(3166&lt;=1000,INDEX($A$2:$A$1001,3166),IF(3166&lt;=2000,INDEX($B$2:$B$1001,2166),IF(3166&lt;=3000,INDEX($C$2:$C$1001,1166),IF(3166&lt;=4000,INDEX($D$2:$D$1001,166),IF(3166&lt;=5000,INDEX($E$2:$E$1001,-834),"")))))</f>
        <v/>
      </c>
    </row>
    <row r="3168">
      <c r="G3168">
        <f>IF(3167&lt;=1000,INDEX($A$2:$A$1001,3167),IF(3167&lt;=2000,INDEX($B$2:$B$1001,2167),IF(3167&lt;=3000,INDEX($C$2:$C$1001,1167),IF(3167&lt;=4000,INDEX($D$2:$D$1001,167),IF(3167&lt;=5000,INDEX($E$2:$E$1001,-833),"")))))</f>
        <v/>
      </c>
    </row>
    <row r="3169">
      <c r="G3169">
        <f>IF(3168&lt;=1000,INDEX($A$2:$A$1001,3168),IF(3168&lt;=2000,INDEX($B$2:$B$1001,2168),IF(3168&lt;=3000,INDEX($C$2:$C$1001,1168),IF(3168&lt;=4000,INDEX($D$2:$D$1001,168),IF(3168&lt;=5000,INDEX($E$2:$E$1001,-832),"")))))</f>
        <v/>
      </c>
    </row>
    <row r="3170">
      <c r="G3170">
        <f>IF(3169&lt;=1000,INDEX($A$2:$A$1001,3169),IF(3169&lt;=2000,INDEX($B$2:$B$1001,2169),IF(3169&lt;=3000,INDEX($C$2:$C$1001,1169),IF(3169&lt;=4000,INDEX($D$2:$D$1001,169),IF(3169&lt;=5000,INDEX($E$2:$E$1001,-831),"")))))</f>
        <v/>
      </c>
    </row>
    <row r="3171">
      <c r="G3171">
        <f>IF(3170&lt;=1000,INDEX($A$2:$A$1001,3170),IF(3170&lt;=2000,INDEX($B$2:$B$1001,2170),IF(3170&lt;=3000,INDEX($C$2:$C$1001,1170),IF(3170&lt;=4000,INDEX($D$2:$D$1001,170),IF(3170&lt;=5000,INDEX($E$2:$E$1001,-830),"")))))</f>
        <v/>
      </c>
    </row>
    <row r="3172">
      <c r="G3172">
        <f>IF(3171&lt;=1000,INDEX($A$2:$A$1001,3171),IF(3171&lt;=2000,INDEX($B$2:$B$1001,2171),IF(3171&lt;=3000,INDEX($C$2:$C$1001,1171),IF(3171&lt;=4000,INDEX($D$2:$D$1001,171),IF(3171&lt;=5000,INDEX($E$2:$E$1001,-829),"")))))</f>
        <v/>
      </c>
    </row>
    <row r="3173">
      <c r="G3173">
        <f>IF(3172&lt;=1000,INDEX($A$2:$A$1001,3172),IF(3172&lt;=2000,INDEX($B$2:$B$1001,2172),IF(3172&lt;=3000,INDEX($C$2:$C$1001,1172),IF(3172&lt;=4000,INDEX($D$2:$D$1001,172),IF(3172&lt;=5000,INDEX($E$2:$E$1001,-828),"")))))</f>
        <v/>
      </c>
    </row>
    <row r="3174">
      <c r="G3174">
        <f>IF(3173&lt;=1000,INDEX($A$2:$A$1001,3173),IF(3173&lt;=2000,INDEX($B$2:$B$1001,2173),IF(3173&lt;=3000,INDEX($C$2:$C$1001,1173),IF(3173&lt;=4000,INDEX($D$2:$D$1001,173),IF(3173&lt;=5000,INDEX($E$2:$E$1001,-827),"")))))</f>
        <v/>
      </c>
    </row>
    <row r="3175">
      <c r="G3175">
        <f>IF(3174&lt;=1000,INDEX($A$2:$A$1001,3174),IF(3174&lt;=2000,INDEX($B$2:$B$1001,2174),IF(3174&lt;=3000,INDEX($C$2:$C$1001,1174),IF(3174&lt;=4000,INDEX($D$2:$D$1001,174),IF(3174&lt;=5000,INDEX($E$2:$E$1001,-826),"")))))</f>
        <v/>
      </c>
    </row>
    <row r="3176">
      <c r="G3176">
        <f>IF(3175&lt;=1000,INDEX($A$2:$A$1001,3175),IF(3175&lt;=2000,INDEX($B$2:$B$1001,2175),IF(3175&lt;=3000,INDEX($C$2:$C$1001,1175),IF(3175&lt;=4000,INDEX($D$2:$D$1001,175),IF(3175&lt;=5000,INDEX($E$2:$E$1001,-825),"")))))</f>
        <v/>
      </c>
    </row>
    <row r="3177">
      <c r="G3177">
        <f>IF(3176&lt;=1000,INDEX($A$2:$A$1001,3176),IF(3176&lt;=2000,INDEX($B$2:$B$1001,2176),IF(3176&lt;=3000,INDEX($C$2:$C$1001,1176),IF(3176&lt;=4000,INDEX($D$2:$D$1001,176),IF(3176&lt;=5000,INDEX($E$2:$E$1001,-824),"")))))</f>
        <v/>
      </c>
    </row>
    <row r="3178">
      <c r="G3178">
        <f>IF(3177&lt;=1000,INDEX($A$2:$A$1001,3177),IF(3177&lt;=2000,INDEX($B$2:$B$1001,2177),IF(3177&lt;=3000,INDEX($C$2:$C$1001,1177),IF(3177&lt;=4000,INDEX($D$2:$D$1001,177),IF(3177&lt;=5000,INDEX($E$2:$E$1001,-823),"")))))</f>
        <v/>
      </c>
    </row>
    <row r="3179">
      <c r="G3179">
        <f>IF(3178&lt;=1000,INDEX($A$2:$A$1001,3178),IF(3178&lt;=2000,INDEX($B$2:$B$1001,2178),IF(3178&lt;=3000,INDEX($C$2:$C$1001,1178),IF(3178&lt;=4000,INDEX($D$2:$D$1001,178),IF(3178&lt;=5000,INDEX($E$2:$E$1001,-822),"")))))</f>
        <v/>
      </c>
    </row>
    <row r="3180">
      <c r="G3180">
        <f>IF(3179&lt;=1000,INDEX($A$2:$A$1001,3179),IF(3179&lt;=2000,INDEX($B$2:$B$1001,2179),IF(3179&lt;=3000,INDEX($C$2:$C$1001,1179),IF(3179&lt;=4000,INDEX($D$2:$D$1001,179),IF(3179&lt;=5000,INDEX($E$2:$E$1001,-821),"")))))</f>
        <v/>
      </c>
    </row>
    <row r="3181">
      <c r="G3181">
        <f>IF(3180&lt;=1000,INDEX($A$2:$A$1001,3180),IF(3180&lt;=2000,INDEX($B$2:$B$1001,2180),IF(3180&lt;=3000,INDEX($C$2:$C$1001,1180),IF(3180&lt;=4000,INDEX($D$2:$D$1001,180),IF(3180&lt;=5000,INDEX($E$2:$E$1001,-820),"")))))</f>
        <v/>
      </c>
    </row>
    <row r="3182">
      <c r="G3182">
        <f>IF(3181&lt;=1000,INDEX($A$2:$A$1001,3181),IF(3181&lt;=2000,INDEX($B$2:$B$1001,2181),IF(3181&lt;=3000,INDEX($C$2:$C$1001,1181),IF(3181&lt;=4000,INDEX($D$2:$D$1001,181),IF(3181&lt;=5000,INDEX($E$2:$E$1001,-819),"")))))</f>
        <v/>
      </c>
    </row>
    <row r="3183">
      <c r="G3183">
        <f>IF(3182&lt;=1000,INDEX($A$2:$A$1001,3182),IF(3182&lt;=2000,INDEX($B$2:$B$1001,2182),IF(3182&lt;=3000,INDEX($C$2:$C$1001,1182),IF(3182&lt;=4000,INDEX($D$2:$D$1001,182),IF(3182&lt;=5000,INDEX($E$2:$E$1001,-818),"")))))</f>
        <v/>
      </c>
    </row>
    <row r="3184">
      <c r="G3184">
        <f>IF(3183&lt;=1000,INDEX($A$2:$A$1001,3183),IF(3183&lt;=2000,INDEX($B$2:$B$1001,2183),IF(3183&lt;=3000,INDEX($C$2:$C$1001,1183),IF(3183&lt;=4000,INDEX($D$2:$D$1001,183),IF(3183&lt;=5000,INDEX($E$2:$E$1001,-817),"")))))</f>
        <v/>
      </c>
    </row>
    <row r="3185">
      <c r="G3185">
        <f>IF(3184&lt;=1000,INDEX($A$2:$A$1001,3184),IF(3184&lt;=2000,INDEX($B$2:$B$1001,2184),IF(3184&lt;=3000,INDEX($C$2:$C$1001,1184),IF(3184&lt;=4000,INDEX($D$2:$D$1001,184),IF(3184&lt;=5000,INDEX($E$2:$E$1001,-816),"")))))</f>
        <v/>
      </c>
    </row>
    <row r="3186">
      <c r="G3186">
        <f>IF(3185&lt;=1000,INDEX($A$2:$A$1001,3185),IF(3185&lt;=2000,INDEX($B$2:$B$1001,2185),IF(3185&lt;=3000,INDEX($C$2:$C$1001,1185),IF(3185&lt;=4000,INDEX($D$2:$D$1001,185),IF(3185&lt;=5000,INDEX($E$2:$E$1001,-815),"")))))</f>
        <v/>
      </c>
    </row>
    <row r="3187">
      <c r="G3187">
        <f>IF(3186&lt;=1000,INDEX($A$2:$A$1001,3186),IF(3186&lt;=2000,INDEX($B$2:$B$1001,2186),IF(3186&lt;=3000,INDEX($C$2:$C$1001,1186),IF(3186&lt;=4000,INDEX($D$2:$D$1001,186),IF(3186&lt;=5000,INDEX($E$2:$E$1001,-814),"")))))</f>
        <v/>
      </c>
    </row>
    <row r="3188">
      <c r="G3188">
        <f>IF(3187&lt;=1000,INDEX($A$2:$A$1001,3187),IF(3187&lt;=2000,INDEX($B$2:$B$1001,2187),IF(3187&lt;=3000,INDEX($C$2:$C$1001,1187),IF(3187&lt;=4000,INDEX($D$2:$D$1001,187),IF(3187&lt;=5000,INDEX($E$2:$E$1001,-813),"")))))</f>
        <v/>
      </c>
    </row>
    <row r="3189">
      <c r="G3189">
        <f>IF(3188&lt;=1000,INDEX($A$2:$A$1001,3188),IF(3188&lt;=2000,INDEX($B$2:$B$1001,2188),IF(3188&lt;=3000,INDEX($C$2:$C$1001,1188),IF(3188&lt;=4000,INDEX($D$2:$D$1001,188),IF(3188&lt;=5000,INDEX($E$2:$E$1001,-812),"")))))</f>
        <v/>
      </c>
    </row>
    <row r="3190">
      <c r="G3190">
        <f>IF(3189&lt;=1000,INDEX($A$2:$A$1001,3189),IF(3189&lt;=2000,INDEX($B$2:$B$1001,2189),IF(3189&lt;=3000,INDEX($C$2:$C$1001,1189),IF(3189&lt;=4000,INDEX($D$2:$D$1001,189),IF(3189&lt;=5000,INDEX($E$2:$E$1001,-811),"")))))</f>
        <v/>
      </c>
    </row>
    <row r="3191">
      <c r="G3191">
        <f>IF(3190&lt;=1000,INDEX($A$2:$A$1001,3190),IF(3190&lt;=2000,INDEX($B$2:$B$1001,2190),IF(3190&lt;=3000,INDEX($C$2:$C$1001,1190),IF(3190&lt;=4000,INDEX($D$2:$D$1001,190),IF(3190&lt;=5000,INDEX($E$2:$E$1001,-810),"")))))</f>
        <v/>
      </c>
    </row>
    <row r="3192">
      <c r="G3192">
        <f>IF(3191&lt;=1000,INDEX($A$2:$A$1001,3191),IF(3191&lt;=2000,INDEX($B$2:$B$1001,2191),IF(3191&lt;=3000,INDEX($C$2:$C$1001,1191),IF(3191&lt;=4000,INDEX($D$2:$D$1001,191),IF(3191&lt;=5000,INDEX($E$2:$E$1001,-809),"")))))</f>
        <v/>
      </c>
    </row>
    <row r="3193">
      <c r="G3193">
        <f>IF(3192&lt;=1000,INDEX($A$2:$A$1001,3192),IF(3192&lt;=2000,INDEX($B$2:$B$1001,2192),IF(3192&lt;=3000,INDEX($C$2:$C$1001,1192),IF(3192&lt;=4000,INDEX($D$2:$D$1001,192),IF(3192&lt;=5000,INDEX($E$2:$E$1001,-808),"")))))</f>
        <v/>
      </c>
    </row>
    <row r="3194">
      <c r="G3194">
        <f>IF(3193&lt;=1000,INDEX($A$2:$A$1001,3193),IF(3193&lt;=2000,INDEX($B$2:$B$1001,2193),IF(3193&lt;=3000,INDEX($C$2:$C$1001,1193),IF(3193&lt;=4000,INDEX($D$2:$D$1001,193),IF(3193&lt;=5000,INDEX($E$2:$E$1001,-807),"")))))</f>
        <v/>
      </c>
    </row>
    <row r="3195">
      <c r="G3195">
        <f>IF(3194&lt;=1000,INDEX($A$2:$A$1001,3194),IF(3194&lt;=2000,INDEX($B$2:$B$1001,2194),IF(3194&lt;=3000,INDEX($C$2:$C$1001,1194),IF(3194&lt;=4000,INDEX($D$2:$D$1001,194),IF(3194&lt;=5000,INDEX($E$2:$E$1001,-806),"")))))</f>
        <v/>
      </c>
    </row>
    <row r="3196">
      <c r="G3196">
        <f>IF(3195&lt;=1000,INDEX($A$2:$A$1001,3195),IF(3195&lt;=2000,INDEX($B$2:$B$1001,2195),IF(3195&lt;=3000,INDEX($C$2:$C$1001,1195),IF(3195&lt;=4000,INDEX($D$2:$D$1001,195),IF(3195&lt;=5000,INDEX($E$2:$E$1001,-805),"")))))</f>
        <v/>
      </c>
    </row>
    <row r="3197">
      <c r="G3197">
        <f>IF(3196&lt;=1000,INDEX($A$2:$A$1001,3196),IF(3196&lt;=2000,INDEX($B$2:$B$1001,2196),IF(3196&lt;=3000,INDEX($C$2:$C$1001,1196),IF(3196&lt;=4000,INDEX($D$2:$D$1001,196),IF(3196&lt;=5000,INDEX($E$2:$E$1001,-804),"")))))</f>
        <v/>
      </c>
    </row>
    <row r="3198">
      <c r="G3198">
        <f>IF(3197&lt;=1000,INDEX($A$2:$A$1001,3197),IF(3197&lt;=2000,INDEX($B$2:$B$1001,2197),IF(3197&lt;=3000,INDEX($C$2:$C$1001,1197),IF(3197&lt;=4000,INDEX($D$2:$D$1001,197),IF(3197&lt;=5000,INDEX($E$2:$E$1001,-803),"")))))</f>
        <v/>
      </c>
    </row>
    <row r="3199">
      <c r="G3199">
        <f>IF(3198&lt;=1000,INDEX($A$2:$A$1001,3198),IF(3198&lt;=2000,INDEX($B$2:$B$1001,2198),IF(3198&lt;=3000,INDEX($C$2:$C$1001,1198),IF(3198&lt;=4000,INDEX($D$2:$D$1001,198),IF(3198&lt;=5000,INDEX($E$2:$E$1001,-802),"")))))</f>
        <v/>
      </c>
    </row>
    <row r="3200">
      <c r="G3200">
        <f>IF(3199&lt;=1000,INDEX($A$2:$A$1001,3199),IF(3199&lt;=2000,INDEX($B$2:$B$1001,2199),IF(3199&lt;=3000,INDEX($C$2:$C$1001,1199),IF(3199&lt;=4000,INDEX($D$2:$D$1001,199),IF(3199&lt;=5000,INDEX($E$2:$E$1001,-801),"")))))</f>
        <v/>
      </c>
    </row>
    <row r="3201">
      <c r="G3201">
        <f>IF(3200&lt;=1000,INDEX($A$2:$A$1001,3200),IF(3200&lt;=2000,INDEX($B$2:$B$1001,2200),IF(3200&lt;=3000,INDEX($C$2:$C$1001,1200),IF(3200&lt;=4000,INDEX($D$2:$D$1001,200),IF(3200&lt;=5000,INDEX($E$2:$E$1001,-800),"")))))</f>
        <v/>
      </c>
    </row>
    <row r="3202">
      <c r="G3202">
        <f>IF(3201&lt;=1000,INDEX($A$2:$A$1001,3201),IF(3201&lt;=2000,INDEX($B$2:$B$1001,2201),IF(3201&lt;=3000,INDEX($C$2:$C$1001,1201),IF(3201&lt;=4000,INDEX($D$2:$D$1001,201),IF(3201&lt;=5000,INDEX($E$2:$E$1001,-799),"")))))</f>
        <v/>
      </c>
    </row>
    <row r="3203">
      <c r="G3203">
        <f>IF(3202&lt;=1000,INDEX($A$2:$A$1001,3202),IF(3202&lt;=2000,INDEX($B$2:$B$1001,2202),IF(3202&lt;=3000,INDEX($C$2:$C$1001,1202),IF(3202&lt;=4000,INDEX($D$2:$D$1001,202),IF(3202&lt;=5000,INDEX($E$2:$E$1001,-798),"")))))</f>
        <v/>
      </c>
    </row>
    <row r="3204">
      <c r="G3204">
        <f>IF(3203&lt;=1000,INDEX($A$2:$A$1001,3203),IF(3203&lt;=2000,INDEX($B$2:$B$1001,2203),IF(3203&lt;=3000,INDEX($C$2:$C$1001,1203),IF(3203&lt;=4000,INDEX($D$2:$D$1001,203),IF(3203&lt;=5000,INDEX($E$2:$E$1001,-797),"")))))</f>
        <v/>
      </c>
    </row>
    <row r="3205">
      <c r="G3205">
        <f>IF(3204&lt;=1000,INDEX($A$2:$A$1001,3204),IF(3204&lt;=2000,INDEX($B$2:$B$1001,2204),IF(3204&lt;=3000,INDEX($C$2:$C$1001,1204),IF(3204&lt;=4000,INDEX($D$2:$D$1001,204),IF(3204&lt;=5000,INDEX($E$2:$E$1001,-796),"")))))</f>
        <v/>
      </c>
    </row>
    <row r="3206">
      <c r="G3206">
        <f>IF(3205&lt;=1000,INDEX($A$2:$A$1001,3205),IF(3205&lt;=2000,INDEX($B$2:$B$1001,2205),IF(3205&lt;=3000,INDEX($C$2:$C$1001,1205),IF(3205&lt;=4000,INDEX($D$2:$D$1001,205),IF(3205&lt;=5000,INDEX($E$2:$E$1001,-795),"")))))</f>
        <v/>
      </c>
    </row>
    <row r="3207">
      <c r="G3207">
        <f>IF(3206&lt;=1000,INDEX($A$2:$A$1001,3206),IF(3206&lt;=2000,INDEX($B$2:$B$1001,2206),IF(3206&lt;=3000,INDEX($C$2:$C$1001,1206),IF(3206&lt;=4000,INDEX($D$2:$D$1001,206),IF(3206&lt;=5000,INDEX($E$2:$E$1001,-794),"")))))</f>
        <v/>
      </c>
    </row>
    <row r="3208">
      <c r="G3208">
        <f>IF(3207&lt;=1000,INDEX($A$2:$A$1001,3207),IF(3207&lt;=2000,INDEX($B$2:$B$1001,2207),IF(3207&lt;=3000,INDEX($C$2:$C$1001,1207),IF(3207&lt;=4000,INDEX($D$2:$D$1001,207),IF(3207&lt;=5000,INDEX($E$2:$E$1001,-793),"")))))</f>
        <v/>
      </c>
    </row>
    <row r="3209">
      <c r="G3209">
        <f>IF(3208&lt;=1000,INDEX($A$2:$A$1001,3208),IF(3208&lt;=2000,INDEX($B$2:$B$1001,2208),IF(3208&lt;=3000,INDEX($C$2:$C$1001,1208),IF(3208&lt;=4000,INDEX($D$2:$D$1001,208),IF(3208&lt;=5000,INDEX($E$2:$E$1001,-792),"")))))</f>
        <v/>
      </c>
    </row>
    <row r="3210">
      <c r="G3210">
        <f>IF(3209&lt;=1000,INDEX($A$2:$A$1001,3209),IF(3209&lt;=2000,INDEX($B$2:$B$1001,2209),IF(3209&lt;=3000,INDEX($C$2:$C$1001,1209),IF(3209&lt;=4000,INDEX($D$2:$D$1001,209),IF(3209&lt;=5000,INDEX($E$2:$E$1001,-791),"")))))</f>
        <v/>
      </c>
    </row>
    <row r="3211">
      <c r="G3211">
        <f>IF(3210&lt;=1000,INDEX($A$2:$A$1001,3210),IF(3210&lt;=2000,INDEX($B$2:$B$1001,2210),IF(3210&lt;=3000,INDEX($C$2:$C$1001,1210),IF(3210&lt;=4000,INDEX($D$2:$D$1001,210),IF(3210&lt;=5000,INDEX($E$2:$E$1001,-790),"")))))</f>
        <v/>
      </c>
    </row>
    <row r="3212">
      <c r="G3212">
        <f>IF(3211&lt;=1000,INDEX($A$2:$A$1001,3211),IF(3211&lt;=2000,INDEX($B$2:$B$1001,2211),IF(3211&lt;=3000,INDEX($C$2:$C$1001,1211),IF(3211&lt;=4000,INDEX($D$2:$D$1001,211),IF(3211&lt;=5000,INDEX($E$2:$E$1001,-789),"")))))</f>
        <v/>
      </c>
    </row>
    <row r="3213">
      <c r="G3213">
        <f>IF(3212&lt;=1000,INDEX($A$2:$A$1001,3212),IF(3212&lt;=2000,INDEX($B$2:$B$1001,2212),IF(3212&lt;=3000,INDEX($C$2:$C$1001,1212),IF(3212&lt;=4000,INDEX($D$2:$D$1001,212),IF(3212&lt;=5000,INDEX($E$2:$E$1001,-788),"")))))</f>
        <v/>
      </c>
    </row>
    <row r="3214">
      <c r="G3214">
        <f>IF(3213&lt;=1000,INDEX($A$2:$A$1001,3213),IF(3213&lt;=2000,INDEX($B$2:$B$1001,2213),IF(3213&lt;=3000,INDEX($C$2:$C$1001,1213),IF(3213&lt;=4000,INDEX($D$2:$D$1001,213),IF(3213&lt;=5000,INDEX($E$2:$E$1001,-787),"")))))</f>
        <v/>
      </c>
    </row>
    <row r="3215">
      <c r="G3215">
        <f>IF(3214&lt;=1000,INDEX($A$2:$A$1001,3214),IF(3214&lt;=2000,INDEX($B$2:$B$1001,2214),IF(3214&lt;=3000,INDEX($C$2:$C$1001,1214),IF(3214&lt;=4000,INDEX($D$2:$D$1001,214),IF(3214&lt;=5000,INDEX($E$2:$E$1001,-786),"")))))</f>
        <v/>
      </c>
    </row>
    <row r="3216">
      <c r="G3216">
        <f>IF(3215&lt;=1000,INDEX($A$2:$A$1001,3215),IF(3215&lt;=2000,INDEX($B$2:$B$1001,2215),IF(3215&lt;=3000,INDEX($C$2:$C$1001,1215),IF(3215&lt;=4000,INDEX($D$2:$D$1001,215),IF(3215&lt;=5000,INDEX($E$2:$E$1001,-785),"")))))</f>
        <v/>
      </c>
    </row>
    <row r="3217">
      <c r="G3217">
        <f>IF(3216&lt;=1000,INDEX($A$2:$A$1001,3216),IF(3216&lt;=2000,INDEX($B$2:$B$1001,2216),IF(3216&lt;=3000,INDEX($C$2:$C$1001,1216),IF(3216&lt;=4000,INDEX($D$2:$D$1001,216),IF(3216&lt;=5000,INDEX($E$2:$E$1001,-784),"")))))</f>
        <v/>
      </c>
    </row>
    <row r="3218">
      <c r="G3218">
        <f>IF(3217&lt;=1000,INDEX($A$2:$A$1001,3217),IF(3217&lt;=2000,INDEX($B$2:$B$1001,2217),IF(3217&lt;=3000,INDEX($C$2:$C$1001,1217),IF(3217&lt;=4000,INDEX($D$2:$D$1001,217),IF(3217&lt;=5000,INDEX($E$2:$E$1001,-783),"")))))</f>
        <v/>
      </c>
    </row>
    <row r="3219">
      <c r="G3219">
        <f>IF(3218&lt;=1000,INDEX($A$2:$A$1001,3218),IF(3218&lt;=2000,INDEX($B$2:$B$1001,2218),IF(3218&lt;=3000,INDEX($C$2:$C$1001,1218),IF(3218&lt;=4000,INDEX($D$2:$D$1001,218),IF(3218&lt;=5000,INDEX($E$2:$E$1001,-782),"")))))</f>
        <v/>
      </c>
    </row>
    <row r="3220">
      <c r="G3220">
        <f>IF(3219&lt;=1000,INDEX($A$2:$A$1001,3219),IF(3219&lt;=2000,INDEX($B$2:$B$1001,2219),IF(3219&lt;=3000,INDEX($C$2:$C$1001,1219),IF(3219&lt;=4000,INDEX($D$2:$D$1001,219),IF(3219&lt;=5000,INDEX($E$2:$E$1001,-781),"")))))</f>
        <v/>
      </c>
    </row>
    <row r="3221">
      <c r="G3221">
        <f>IF(3220&lt;=1000,INDEX($A$2:$A$1001,3220),IF(3220&lt;=2000,INDEX($B$2:$B$1001,2220),IF(3220&lt;=3000,INDEX($C$2:$C$1001,1220),IF(3220&lt;=4000,INDEX($D$2:$D$1001,220),IF(3220&lt;=5000,INDEX($E$2:$E$1001,-780),"")))))</f>
        <v/>
      </c>
    </row>
    <row r="3222">
      <c r="G3222">
        <f>IF(3221&lt;=1000,INDEX($A$2:$A$1001,3221),IF(3221&lt;=2000,INDEX($B$2:$B$1001,2221),IF(3221&lt;=3000,INDEX($C$2:$C$1001,1221),IF(3221&lt;=4000,INDEX($D$2:$D$1001,221),IF(3221&lt;=5000,INDEX($E$2:$E$1001,-779),"")))))</f>
        <v/>
      </c>
    </row>
    <row r="3223">
      <c r="G3223">
        <f>IF(3222&lt;=1000,INDEX($A$2:$A$1001,3222),IF(3222&lt;=2000,INDEX($B$2:$B$1001,2222),IF(3222&lt;=3000,INDEX($C$2:$C$1001,1222),IF(3222&lt;=4000,INDEX($D$2:$D$1001,222),IF(3222&lt;=5000,INDEX($E$2:$E$1001,-778),"")))))</f>
        <v/>
      </c>
    </row>
    <row r="3224">
      <c r="G3224">
        <f>IF(3223&lt;=1000,INDEX($A$2:$A$1001,3223),IF(3223&lt;=2000,INDEX($B$2:$B$1001,2223),IF(3223&lt;=3000,INDEX($C$2:$C$1001,1223),IF(3223&lt;=4000,INDEX($D$2:$D$1001,223),IF(3223&lt;=5000,INDEX($E$2:$E$1001,-777),"")))))</f>
        <v/>
      </c>
    </row>
    <row r="3225">
      <c r="G3225">
        <f>IF(3224&lt;=1000,INDEX($A$2:$A$1001,3224),IF(3224&lt;=2000,INDEX($B$2:$B$1001,2224),IF(3224&lt;=3000,INDEX($C$2:$C$1001,1224),IF(3224&lt;=4000,INDEX($D$2:$D$1001,224),IF(3224&lt;=5000,INDEX($E$2:$E$1001,-776),"")))))</f>
        <v/>
      </c>
    </row>
    <row r="3226">
      <c r="G3226">
        <f>IF(3225&lt;=1000,INDEX($A$2:$A$1001,3225),IF(3225&lt;=2000,INDEX($B$2:$B$1001,2225),IF(3225&lt;=3000,INDEX($C$2:$C$1001,1225),IF(3225&lt;=4000,INDEX($D$2:$D$1001,225),IF(3225&lt;=5000,INDEX($E$2:$E$1001,-775),"")))))</f>
        <v/>
      </c>
    </row>
    <row r="3227">
      <c r="G3227">
        <f>IF(3226&lt;=1000,INDEX($A$2:$A$1001,3226),IF(3226&lt;=2000,INDEX($B$2:$B$1001,2226),IF(3226&lt;=3000,INDEX($C$2:$C$1001,1226),IF(3226&lt;=4000,INDEX($D$2:$D$1001,226),IF(3226&lt;=5000,INDEX($E$2:$E$1001,-774),"")))))</f>
        <v/>
      </c>
    </row>
    <row r="3228">
      <c r="G3228">
        <f>IF(3227&lt;=1000,INDEX($A$2:$A$1001,3227),IF(3227&lt;=2000,INDEX($B$2:$B$1001,2227),IF(3227&lt;=3000,INDEX($C$2:$C$1001,1227),IF(3227&lt;=4000,INDEX($D$2:$D$1001,227),IF(3227&lt;=5000,INDEX($E$2:$E$1001,-773),"")))))</f>
        <v/>
      </c>
    </row>
    <row r="3229">
      <c r="G3229">
        <f>IF(3228&lt;=1000,INDEX($A$2:$A$1001,3228),IF(3228&lt;=2000,INDEX($B$2:$B$1001,2228),IF(3228&lt;=3000,INDEX($C$2:$C$1001,1228),IF(3228&lt;=4000,INDEX($D$2:$D$1001,228),IF(3228&lt;=5000,INDEX($E$2:$E$1001,-772),"")))))</f>
        <v/>
      </c>
    </row>
    <row r="3230">
      <c r="G3230">
        <f>IF(3229&lt;=1000,INDEX($A$2:$A$1001,3229),IF(3229&lt;=2000,INDEX($B$2:$B$1001,2229),IF(3229&lt;=3000,INDEX($C$2:$C$1001,1229),IF(3229&lt;=4000,INDEX($D$2:$D$1001,229),IF(3229&lt;=5000,INDEX($E$2:$E$1001,-771),"")))))</f>
        <v/>
      </c>
    </row>
    <row r="3231">
      <c r="G3231">
        <f>IF(3230&lt;=1000,INDEX($A$2:$A$1001,3230),IF(3230&lt;=2000,INDEX($B$2:$B$1001,2230),IF(3230&lt;=3000,INDEX($C$2:$C$1001,1230),IF(3230&lt;=4000,INDEX($D$2:$D$1001,230),IF(3230&lt;=5000,INDEX($E$2:$E$1001,-770),"")))))</f>
        <v/>
      </c>
    </row>
    <row r="3232">
      <c r="G3232">
        <f>IF(3231&lt;=1000,INDEX($A$2:$A$1001,3231),IF(3231&lt;=2000,INDEX($B$2:$B$1001,2231),IF(3231&lt;=3000,INDEX($C$2:$C$1001,1231),IF(3231&lt;=4000,INDEX($D$2:$D$1001,231),IF(3231&lt;=5000,INDEX($E$2:$E$1001,-769),"")))))</f>
        <v/>
      </c>
    </row>
    <row r="3233">
      <c r="G3233">
        <f>IF(3232&lt;=1000,INDEX($A$2:$A$1001,3232),IF(3232&lt;=2000,INDEX($B$2:$B$1001,2232),IF(3232&lt;=3000,INDEX($C$2:$C$1001,1232),IF(3232&lt;=4000,INDEX($D$2:$D$1001,232),IF(3232&lt;=5000,INDEX($E$2:$E$1001,-768),"")))))</f>
        <v/>
      </c>
    </row>
    <row r="3234">
      <c r="G3234">
        <f>IF(3233&lt;=1000,INDEX($A$2:$A$1001,3233),IF(3233&lt;=2000,INDEX($B$2:$B$1001,2233),IF(3233&lt;=3000,INDEX($C$2:$C$1001,1233),IF(3233&lt;=4000,INDEX($D$2:$D$1001,233),IF(3233&lt;=5000,INDEX($E$2:$E$1001,-767),"")))))</f>
        <v/>
      </c>
    </row>
    <row r="3235">
      <c r="G3235">
        <f>IF(3234&lt;=1000,INDEX($A$2:$A$1001,3234),IF(3234&lt;=2000,INDEX($B$2:$B$1001,2234),IF(3234&lt;=3000,INDEX($C$2:$C$1001,1234),IF(3234&lt;=4000,INDEX($D$2:$D$1001,234),IF(3234&lt;=5000,INDEX($E$2:$E$1001,-766),"")))))</f>
        <v/>
      </c>
    </row>
    <row r="3236">
      <c r="G3236">
        <f>IF(3235&lt;=1000,INDEX($A$2:$A$1001,3235),IF(3235&lt;=2000,INDEX($B$2:$B$1001,2235),IF(3235&lt;=3000,INDEX($C$2:$C$1001,1235),IF(3235&lt;=4000,INDEX($D$2:$D$1001,235),IF(3235&lt;=5000,INDEX($E$2:$E$1001,-765),"")))))</f>
        <v/>
      </c>
    </row>
    <row r="3237">
      <c r="G3237">
        <f>IF(3236&lt;=1000,INDEX($A$2:$A$1001,3236),IF(3236&lt;=2000,INDEX($B$2:$B$1001,2236),IF(3236&lt;=3000,INDEX($C$2:$C$1001,1236),IF(3236&lt;=4000,INDEX($D$2:$D$1001,236),IF(3236&lt;=5000,INDEX($E$2:$E$1001,-764),"")))))</f>
        <v/>
      </c>
    </row>
    <row r="3238">
      <c r="G3238">
        <f>IF(3237&lt;=1000,INDEX($A$2:$A$1001,3237),IF(3237&lt;=2000,INDEX($B$2:$B$1001,2237),IF(3237&lt;=3000,INDEX($C$2:$C$1001,1237),IF(3237&lt;=4000,INDEX($D$2:$D$1001,237),IF(3237&lt;=5000,INDEX($E$2:$E$1001,-763),"")))))</f>
        <v/>
      </c>
    </row>
    <row r="3239">
      <c r="G3239">
        <f>IF(3238&lt;=1000,INDEX($A$2:$A$1001,3238),IF(3238&lt;=2000,INDEX($B$2:$B$1001,2238),IF(3238&lt;=3000,INDEX($C$2:$C$1001,1238),IF(3238&lt;=4000,INDEX($D$2:$D$1001,238),IF(3238&lt;=5000,INDEX($E$2:$E$1001,-762),"")))))</f>
        <v/>
      </c>
    </row>
    <row r="3240">
      <c r="G3240">
        <f>IF(3239&lt;=1000,INDEX($A$2:$A$1001,3239),IF(3239&lt;=2000,INDEX($B$2:$B$1001,2239),IF(3239&lt;=3000,INDEX($C$2:$C$1001,1239),IF(3239&lt;=4000,INDEX($D$2:$D$1001,239),IF(3239&lt;=5000,INDEX($E$2:$E$1001,-761),"")))))</f>
        <v/>
      </c>
    </row>
    <row r="3241">
      <c r="G3241">
        <f>IF(3240&lt;=1000,INDEX($A$2:$A$1001,3240),IF(3240&lt;=2000,INDEX($B$2:$B$1001,2240),IF(3240&lt;=3000,INDEX($C$2:$C$1001,1240),IF(3240&lt;=4000,INDEX($D$2:$D$1001,240),IF(3240&lt;=5000,INDEX($E$2:$E$1001,-760),"")))))</f>
        <v/>
      </c>
    </row>
    <row r="3242">
      <c r="G3242">
        <f>IF(3241&lt;=1000,INDEX($A$2:$A$1001,3241),IF(3241&lt;=2000,INDEX($B$2:$B$1001,2241),IF(3241&lt;=3000,INDEX($C$2:$C$1001,1241),IF(3241&lt;=4000,INDEX($D$2:$D$1001,241),IF(3241&lt;=5000,INDEX($E$2:$E$1001,-759),"")))))</f>
        <v/>
      </c>
    </row>
    <row r="3243">
      <c r="G3243">
        <f>IF(3242&lt;=1000,INDEX($A$2:$A$1001,3242),IF(3242&lt;=2000,INDEX($B$2:$B$1001,2242),IF(3242&lt;=3000,INDEX($C$2:$C$1001,1242),IF(3242&lt;=4000,INDEX($D$2:$D$1001,242),IF(3242&lt;=5000,INDEX($E$2:$E$1001,-758),"")))))</f>
        <v/>
      </c>
    </row>
    <row r="3244">
      <c r="G3244">
        <f>IF(3243&lt;=1000,INDEX($A$2:$A$1001,3243),IF(3243&lt;=2000,INDEX($B$2:$B$1001,2243),IF(3243&lt;=3000,INDEX($C$2:$C$1001,1243),IF(3243&lt;=4000,INDEX($D$2:$D$1001,243),IF(3243&lt;=5000,INDEX($E$2:$E$1001,-757),"")))))</f>
        <v/>
      </c>
    </row>
    <row r="3245">
      <c r="G3245">
        <f>IF(3244&lt;=1000,INDEX($A$2:$A$1001,3244),IF(3244&lt;=2000,INDEX($B$2:$B$1001,2244),IF(3244&lt;=3000,INDEX($C$2:$C$1001,1244),IF(3244&lt;=4000,INDEX($D$2:$D$1001,244),IF(3244&lt;=5000,INDEX($E$2:$E$1001,-756),"")))))</f>
        <v/>
      </c>
    </row>
    <row r="3246">
      <c r="G3246">
        <f>IF(3245&lt;=1000,INDEX($A$2:$A$1001,3245),IF(3245&lt;=2000,INDEX($B$2:$B$1001,2245),IF(3245&lt;=3000,INDEX($C$2:$C$1001,1245),IF(3245&lt;=4000,INDEX($D$2:$D$1001,245),IF(3245&lt;=5000,INDEX($E$2:$E$1001,-755),"")))))</f>
        <v/>
      </c>
    </row>
    <row r="3247">
      <c r="G3247">
        <f>IF(3246&lt;=1000,INDEX($A$2:$A$1001,3246),IF(3246&lt;=2000,INDEX($B$2:$B$1001,2246),IF(3246&lt;=3000,INDEX($C$2:$C$1001,1246),IF(3246&lt;=4000,INDEX($D$2:$D$1001,246),IF(3246&lt;=5000,INDEX($E$2:$E$1001,-754),"")))))</f>
        <v/>
      </c>
    </row>
    <row r="3248">
      <c r="G3248">
        <f>IF(3247&lt;=1000,INDEX($A$2:$A$1001,3247),IF(3247&lt;=2000,INDEX($B$2:$B$1001,2247),IF(3247&lt;=3000,INDEX($C$2:$C$1001,1247),IF(3247&lt;=4000,INDEX($D$2:$D$1001,247),IF(3247&lt;=5000,INDEX($E$2:$E$1001,-753),"")))))</f>
        <v/>
      </c>
    </row>
    <row r="3249">
      <c r="G3249">
        <f>IF(3248&lt;=1000,INDEX($A$2:$A$1001,3248),IF(3248&lt;=2000,INDEX($B$2:$B$1001,2248),IF(3248&lt;=3000,INDEX($C$2:$C$1001,1248),IF(3248&lt;=4000,INDEX($D$2:$D$1001,248),IF(3248&lt;=5000,INDEX($E$2:$E$1001,-752),"")))))</f>
        <v/>
      </c>
    </row>
    <row r="3250">
      <c r="G3250">
        <f>IF(3249&lt;=1000,INDEX($A$2:$A$1001,3249),IF(3249&lt;=2000,INDEX($B$2:$B$1001,2249),IF(3249&lt;=3000,INDEX($C$2:$C$1001,1249),IF(3249&lt;=4000,INDEX($D$2:$D$1001,249),IF(3249&lt;=5000,INDEX($E$2:$E$1001,-751),"")))))</f>
        <v/>
      </c>
    </row>
    <row r="3251">
      <c r="G3251">
        <f>IF(3250&lt;=1000,INDEX($A$2:$A$1001,3250),IF(3250&lt;=2000,INDEX($B$2:$B$1001,2250),IF(3250&lt;=3000,INDEX($C$2:$C$1001,1250),IF(3250&lt;=4000,INDEX($D$2:$D$1001,250),IF(3250&lt;=5000,INDEX($E$2:$E$1001,-750),"")))))</f>
        <v/>
      </c>
    </row>
    <row r="3252">
      <c r="G3252">
        <f>IF(3251&lt;=1000,INDEX($A$2:$A$1001,3251),IF(3251&lt;=2000,INDEX($B$2:$B$1001,2251),IF(3251&lt;=3000,INDEX($C$2:$C$1001,1251),IF(3251&lt;=4000,INDEX($D$2:$D$1001,251),IF(3251&lt;=5000,INDEX($E$2:$E$1001,-749),"")))))</f>
        <v/>
      </c>
    </row>
    <row r="3253">
      <c r="G3253">
        <f>IF(3252&lt;=1000,INDEX($A$2:$A$1001,3252),IF(3252&lt;=2000,INDEX($B$2:$B$1001,2252),IF(3252&lt;=3000,INDEX($C$2:$C$1001,1252),IF(3252&lt;=4000,INDEX($D$2:$D$1001,252),IF(3252&lt;=5000,INDEX($E$2:$E$1001,-748),"")))))</f>
        <v/>
      </c>
    </row>
    <row r="3254">
      <c r="G3254">
        <f>IF(3253&lt;=1000,INDEX($A$2:$A$1001,3253),IF(3253&lt;=2000,INDEX($B$2:$B$1001,2253),IF(3253&lt;=3000,INDEX($C$2:$C$1001,1253),IF(3253&lt;=4000,INDEX($D$2:$D$1001,253),IF(3253&lt;=5000,INDEX($E$2:$E$1001,-747),"")))))</f>
        <v/>
      </c>
    </row>
    <row r="3255">
      <c r="G3255">
        <f>IF(3254&lt;=1000,INDEX($A$2:$A$1001,3254),IF(3254&lt;=2000,INDEX($B$2:$B$1001,2254),IF(3254&lt;=3000,INDEX($C$2:$C$1001,1254),IF(3254&lt;=4000,INDEX($D$2:$D$1001,254),IF(3254&lt;=5000,INDEX($E$2:$E$1001,-746),"")))))</f>
        <v/>
      </c>
    </row>
    <row r="3256">
      <c r="G3256">
        <f>IF(3255&lt;=1000,INDEX($A$2:$A$1001,3255),IF(3255&lt;=2000,INDEX($B$2:$B$1001,2255),IF(3255&lt;=3000,INDEX($C$2:$C$1001,1255),IF(3255&lt;=4000,INDEX($D$2:$D$1001,255),IF(3255&lt;=5000,INDEX($E$2:$E$1001,-745),"")))))</f>
        <v/>
      </c>
    </row>
    <row r="3257">
      <c r="G3257">
        <f>IF(3256&lt;=1000,INDEX($A$2:$A$1001,3256),IF(3256&lt;=2000,INDEX($B$2:$B$1001,2256),IF(3256&lt;=3000,INDEX($C$2:$C$1001,1256),IF(3256&lt;=4000,INDEX($D$2:$D$1001,256),IF(3256&lt;=5000,INDEX($E$2:$E$1001,-744),"")))))</f>
        <v/>
      </c>
    </row>
    <row r="3258">
      <c r="G3258">
        <f>IF(3257&lt;=1000,INDEX($A$2:$A$1001,3257),IF(3257&lt;=2000,INDEX($B$2:$B$1001,2257),IF(3257&lt;=3000,INDEX($C$2:$C$1001,1257),IF(3257&lt;=4000,INDEX($D$2:$D$1001,257),IF(3257&lt;=5000,INDEX($E$2:$E$1001,-743),"")))))</f>
        <v/>
      </c>
    </row>
    <row r="3259">
      <c r="G3259">
        <f>IF(3258&lt;=1000,INDEX($A$2:$A$1001,3258),IF(3258&lt;=2000,INDEX($B$2:$B$1001,2258),IF(3258&lt;=3000,INDEX($C$2:$C$1001,1258),IF(3258&lt;=4000,INDEX($D$2:$D$1001,258),IF(3258&lt;=5000,INDEX($E$2:$E$1001,-742),"")))))</f>
        <v/>
      </c>
    </row>
    <row r="3260">
      <c r="G3260">
        <f>IF(3259&lt;=1000,INDEX($A$2:$A$1001,3259),IF(3259&lt;=2000,INDEX($B$2:$B$1001,2259),IF(3259&lt;=3000,INDEX($C$2:$C$1001,1259),IF(3259&lt;=4000,INDEX($D$2:$D$1001,259),IF(3259&lt;=5000,INDEX($E$2:$E$1001,-741),"")))))</f>
        <v/>
      </c>
    </row>
    <row r="3261">
      <c r="G3261">
        <f>IF(3260&lt;=1000,INDEX($A$2:$A$1001,3260),IF(3260&lt;=2000,INDEX($B$2:$B$1001,2260),IF(3260&lt;=3000,INDEX($C$2:$C$1001,1260),IF(3260&lt;=4000,INDEX($D$2:$D$1001,260),IF(3260&lt;=5000,INDEX($E$2:$E$1001,-740),"")))))</f>
        <v/>
      </c>
    </row>
    <row r="3262">
      <c r="G3262">
        <f>IF(3261&lt;=1000,INDEX($A$2:$A$1001,3261),IF(3261&lt;=2000,INDEX($B$2:$B$1001,2261),IF(3261&lt;=3000,INDEX($C$2:$C$1001,1261),IF(3261&lt;=4000,INDEX($D$2:$D$1001,261),IF(3261&lt;=5000,INDEX($E$2:$E$1001,-739),"")))))</f>
        <v/>
      </c>
    </row>
    <row r="3263">
      <c r="G3263">
        <f>IF(3262&lt;=1000,INDEX($A$2:$A$1001,3262),IF(3262&lt;=2000,INDEX($B$2:$B$1001,2262),IF(3262&lt;=3000,INDEX($C$2:$C$1001,1262),IF(3262&lt;=4000,INDEX($D$2:$D$1001,262),IF(3262&lt;=5000,INDEX($E$2:$E$1001,-738),"")))))</f>
        <v/>
      </c>
    </row>
    <row r="3264">
      <c r="G3264">
        <f>IF(3263&lt;=1000,INDEX($A$2:$A$1001,3263),IF(3263&lt;=2000,INDEX($B$2:$B$1001,2263),IF(3263&lt;=3000,INDEX($C$2:$C$1001,1263),IF(3263&lt;=4000,INDEX($D$2:$D$1001,263),IF(3263&lt;=5000,INDEX($E$2:$E$1001,-737),"")))))</f>
        <v/>
      </c>
    </row>
    <row r="3265">
      <c r="G3265">
        <f>IF(3264&lt;=1000,INDEX($A$2:$A$1001,3264),IF(3264&lt;=2000,INDEX($B$2:$B$1001,2264),IF(3264&lt;=3000,INDEX($C$2:$C$1001,1264),IF(3264&lt;=4000,INDEX($D$2:$D$1001,264),IF(3264&lt;=5000,INDEX($E$2:$E$1001,-736),"")))))</f>
        <v/>
      </c>
    </row>
    <row r="3266">
      <c r="G3266">
        <f>IF(3265&lt;=1000,INDEX($A$2:$A$1001,3265),IF(3265&lt;=2000,INDEX($B$2:$B$1001,2265),IF(3265&lt;=3000,INDEX($C$2:$C$1001,1265),IF(3265&lt;=4000,INDEX($D$2:$D$1001,265),IF(3265&lt;=5000,INDEX($E$2:$E$1001,-735),"")))))</f>
        <v/>
      </c>
    </row>
    <row r="3267">
      <c r="G3267">
        <f>IF(3266&lt;=1000,INDEX($A$2:$A$1001,3266),IF(3266&lt;=2000,INDEX($B$2:$B$1001,2266),IF(3266&lt;=3000,INDEX($C$2:$C$1001,1266),IF(3266&lt;=4000,INDEX($D$2:$D$1001,266),IF(3266&lt;=5000,INDEX($E$2:$E$1001,-734),"")))))</f>
        <v/>
      </c>
    </row>
    <row r="3268">
      <c r="G3268">
        <f>IF(3267&lt;=1000,INDEX($A$2:$A$1001,3267),IF(3267&lt;=2000,INDEX($B$2:$B$1001,2267),IF(3267&lt;=3000,INDEX($C$2:$C$1001,1267),IF(3267&lt;=4000,INDEX($D$2:$D$1001,267),IF(3267&lt;=5000,INDEX($E$2:$E$1001,-733),"")))))</f>
        <v/>
      </c>
    </row>
    <row r="3269">
      <c r="G3269">
        <f>IF(3268&lt;=1000,INDEX($A$2:$A$1001,3268),IF(3268&lt;=2000,INDEX($B$2:$B$1001,2268),IF(3268&lt;=3000,INDEX($C$2:$C$1001,1268),IF(3268&lt;=4000,INDEX($D$2:$D$1001,268),IF(3268&lt;=5000,INDEX($E$2:$E$1001,-732),"")))))</f>
        <v/>
      </c>
    </row>
    <row r="3270">
      <c r="G3270">
        <f>IF(3269&lt;=1000,INDEX($A$2:$A$1001,3269),IF(3269&lt;=2000,INDEX($B$2:$B$1001,2269),IF(3269&lt;=3000,INDEX($C$2:$C$1001,1269),IF(3269&lt;=4000,INDEX($D$2:$D$1001,269),IF(3269&lt;=5000,INDEX($E$2:$E$1001,-731),"")))))</f>
        <v/>
      </c>
    </row>
    <row r="3271">
      <c r="G3271">
        <f>IF(3270&lt;=1000,INDEX($A$2:$A$1001,3270),IF(3270&lt;=2000,INDEX($B$2:$B$1001,2270),IF(3270&lt;=3000,INDEX($C$2:$C$1001,1270),IF(3270&lt;=4000,INDEX($D$2:$D$1001,270),IF(3270&lt;=5000,INDEX($E$2:$E$1001,-730),"")))))</f>
        <v/>
      </c>
    </row>
    <row r="3272">
      <c r="G3272">
        <f>IF(3271&lt;=1000,INDEX($A$2:$A$1001,3271),IF(3271&lt;=2000,INDEX($B$2:$B$1001,2271),IF(3271&lt;=3000,INDEX($C$2:$C$1001,1271),IF(3271&lt;=4000,INDEX($D$2:$D$1001,271),IF(3271&lt;=5000,INDEX($E$2:$E$1001,-729),"")))))</f>
        <v/>
      </c>
    </row>
    <row r="3273">
      <c r="G3273">
        <f>IF(3272&lt;=1000,INDEX($A$2:$A$1001,3272),IF(3272&lt;=2000,INDEX($B$2:$B$1001,2272),IF(3272&lt;=3000,INDEX($C$2:$C$1001,1272),IF(3272&lt;=4000,INDEX($D$2:$D$1001,272),IF(3272&lt;=5000,INDEX($E$2:$E$1001,-728),"")))))</f>
        <v/>
      </c>
    </row>
    <row r="3274">
      <c r="G3274">
        <f>IF(3273&lt;=1000,INDEX($A$2:$A$1001,3273),IF(3273&lt;=2000,INDEX($B$2:$B$1001,2273),IF(3273&lt;=3000,INDEX($C$2:$C$1001,1273),IF(3273&lt;=4000,INDEX($D$2:$D$1001,273),IF(3273&lt;=5000,INDEX($E$2:$E$1001,-727),"")))))</f>
        <v/>
      </c>
    </row>
    <row r="3275">
      <c r="G3275">
        <f>IF(3274&lt;=1000,INDEX($A$2:$A$1001,3274),IF(3274&lt;=2000,INDEX($B$2:$B$1001,2274),IF(3274&lt;=3000,INDEX($C$2:$C$1001,1274),IF(3274&lt;=4000,INDEX($D$2:$D$1001,274),IF(3274&lt;=5000,INDEX($E$2:$E$1001,-726),"")))))</f>
        <v/>
      </c>
    </row>
    <row r="3276">
      <c r="G3276">
        <f>IF(3275&lt;=1000,INDEX($A$2:$A$1001,3275),IF(3275&lt;=2000,INDEX($B$2:$B$1001,2275),IF(3275&lt;=3000,INDEX($C$2:$C$1001,1275),IF(3275&lt;=4000,INDEX($D$2:$D$1001,275),IF(3275&lt;=5000,INDEX($E$2:$E$1001,-725),"")))))</f>
        <v/>
      </c>
    </row>
    <row r="3277">
      <c r="G3277">
        <f>IF(3276&lt;=1000,INDEX($A$2:$A$1001,3276),IF(3276&lt;=2000,INDEX($B$2:$B$1001,2276),IF(3276&lt;=3000,INDEX($C$2:$C$1001,1276),IF(3276&lt;=4000,INDEX($D$2:$D$1001,276),IF(3276&lt;=5000,INDEX($E$2:$E$1001,-724),"")))))</f>
        <v/>
      </c>
    </row>
    <row r="3278">
      <c r="G3278">
        <f>IF(3277&lt;=1000,INDEX($A$2:$A$1001,3277),IF(3277&lt;=2000,INDEX($B$2:$B$1001,2277),IF(3277&lt;=3000,INDEX($C$2:$C$1001,1277),IF(3277&lt;=4000,INDEX($D$2:$D$1001,277),IF(3277&lt;=5000,INDEX($E$2:$E$1001,-723),"")))))</f>
        <v/>
      </c>
    </row>
    <row r="3279">
      <c r="G3279">
        <f>IF(3278&lt;=1000,INDEX($A$2:$A$1001,3278),IF(3278&lt;=2000,INDEX($B$2:$B$1001,2278),IF(3278&lt;=3000,INDEX($C$2:$C$1001,1278),IF(3278&lt;=4000,INDEX($D$2:$D$1001,278),IF(3278&lt;=5000,INDEX($E$2:$E$1001,-722),"")))))</f>
        <v/>
      </c>
    </row>
    <row r="3280">
      <c r="G3280">
        <f>IF(3279&lt;=1000,INDEX($A$2:$A$1001,3279),IF(3279&lt;=2000,INDEX($B$2:$B$1001,2279),IF(3279&lt;=3000,INDEX($C$2:$C$1001,1279),IF(3279&lt;=4000,INDEX($D$2:$D$1001,279),IF(3279&lt;=5000,INDEX($E$2:$E$1001,-721),"")))))</f>
        <v/>
      </c>
    </row>
    <row r="3281">
      <c r="G3281">
        <f>IF(3280&lt;=1000,INDEX($A$2:$A$1001,3280),IF(3280&lt;=2000,INDEX($B$2:$B$1001,2280),IF(3280&lt;=3000,INDEX($C$2:$C$1001,1280),IF(3280&lt;=4000,INDEX($D$2:$D$1001,280),IF(3280&lt;=5000,INDEX($E$2:$E$1001,-720),"")))))</f>
        <v/>
      </c>
    </row>
    <row r="3282">
      <c r="G3282">
        <f>IF(3281&lt;=1000,INDEX($A$2:$A$1001,3281),IF(3281&lt;=2000,INDEX($B$2:$B$1001,2281),IF(3281&lt;=3000,INDEX($C$2:$C$1001,1281),IF(3281&lt;=4000,INDEX($D$2:$D$1001,281),IF(3281&lt;=5000,INDEX($E$2:$E$1001,-719),"")))))</f>
        <v/>
      </c>
    </row>
    <row r="3283">
      <c r="G3283">
        <f>IF(3282&lt;=1000,INDEX($A$2:$A$1001,3282),IF(3282&lt;=2000,INDEX($B$2:$B$1001,2282),IF(3282&lt;=3000,INDEX($C$2:$C$1001,1282),IF(3282&lt;=4000,INDEX($D$2:$D$1001,282),IF(3282&lt;=5000,INDEX($E$2:$E$1001,-718),"")))))</f>
        <v/>
      </c>
    </row>
    <row r="3284">
      <c r="G3284">
        <f>IF(3283&lt;=1000,INDEX($A$2:$A$1001,3283),IF(3283&lt;=2000,INDEX($B$2:$B$1001,2283),IF(3283&lt;=3000,INDEX($C$2:$C$1001,1283),IF(3283&lt;=4000,INDEX($D$2:$D$1001,283),IF(3283&lt;=5000,INDEX($E$2:$E$1001,-717),"")))))</f>
        <v/>
      </c>
    </row>
    <row r="3285">
      <c r="G3285">
        <f>IF(3284&lt;=1000,INDEX($A$2:$A$1001,3284),IF(3284&lt;=2000,INDEX($B$2:$B$1001,2284),IF(3284&lt;=3000,INDEX($C$2:$C$1001,1284),IF(3284&lt;=4000,INDEX($D$2:$D$1001,284),IF(3284&lt;=5000,INDEX($E$2:$E$1001,-716),"")))))</f>
        <v/>
      </c>
    </row>
    <row r="3286">
      <c r="G3286">
        <f>IF(3285&lt;=1000,INDEX($A$2:$A$1001,3285),IF(3285&lt;=2000,INDEX($B$2:$B$1001,2285),IF(3285&lt;=3000,INDEX($C$2:$C$1001,1285),IF(3285&lt;=4000,INDEX($D$2:$D$1001,285),IF(3285&lt;=5000,INDEX($E$2:$E$1001,-715),"")))))</f>
        <v/>
      </c>
    </row>
    <row r="3287">
      <c r="G3287">
        <f>IF(3286&lt;=1000,INDEX($A$2:$A$1001,3286),IF(3286&lt;=2000,INDEX($B$2:$B$1001,2286),IF(3286&lt;=3000,INDEX($C$2:$C$1001,1286),IF(3286&lt;=4000,INDEX($D$2:$D$1001,286),IF(3286&lt;=5000,INDEX($E$2:$E$1001,-714),"")))))</f>
        <v/>
      </c>
    </row>
    <row r="3288">
      <c r="G3288">
        <f>IF(3287&lt;=1000,INDEX($A$2:$A$1001,3287),IF(3287&lt;=2000,INDEX($B$2:$B$1001,2287),IF(3287&lt;=3000,INDEX($C$2:$C$1001,1287),IF(3287&lt;=4000,INDEX($D$2:$D$1001,287),IF(3287&lt;=5000,INDEX($E$2:$E$1001,-713),"")))))</f>
        <v/>
      </c>
    </row>
    <row r="3289">
      <c r="G3289">
        <f>IF(3288&lt;=1000,INDEX($A$2:$A$1001,3288),IF(3288&lt;=2000,INDEX($B$2:$B$1001,2288),IF(3288&lt;=3000,INDEX($C$2:$C$1001,1288),IF(3288&lt;=4000,INDEX($D$2:$D$1001,288),IF(3288&lt;=5000,INDEX($E$2:$E$1001,-712),"")))))</f>
        <v/>
      </c>
    </row>
    <row r="3290">
      <c r="G3290">
        <f>IF(3289&lt;=1000,INDEX($A$2:$A$1001,3289),IF(3289&lt;=2000,INDEX($B$2:$B$1001,2289),IF(3289&lt;=3000,INDEX($C$2:$C$1001,1289),IF(3289&lt;=4000,INDEX($D$2:$D$1001,289),IF(3289&lt;=5000,INDEX($E$2:$E$1001,-711),"")))))</f>
        <v/>
      </c>
    </row>
    <row r="3291">
      <c r="G3291">
        <f>IF(3290&lt;=1000,INDEX($A$2:$A$1001,3290),IF(3290&lt;=2000,INDEX($B$2:$B$1001,2290),IF(3290&lt;=3000,INDEX($C$2:$C$1001,1290),IF(3290&lt;=4000,INDEX($D$2:$D$1001,290),IF(3290&lt;=5000,INDEX($E$2:$E$1001,-710),"")))))</f>
        <v/>
      </c>
    </row>
    <row r="3292">
      <c r="G3292">
        <f>IF(3291&lt;=1000,INDEX($A$2:$A$1001,3291),IF(3291&lt;=2000,INDEX($B$2:$B$1001,2291),IF(3291&lt;=3000,INDEX($C$2:$C$1001,1291),IF(3291&lt;=4000,INDEX($D$2:$D$1001,291),IF(3291&lt;=5000,INDEX($E$2:$E$1001,-709),"")))))</f>
        <v/>
      </c>
    </row>
    <row r="3293">
      <c r="G3293">
        <f>IF(3292&lt;=1000,INDEX($A$2:$A$1001,3292),IF(3292&lt;=2000,INDEX($B$2:$B$1001,2292),IF(3292&lt;=3000,INDEX($C$2:$C$1001,1292),IF(3292&lt;=4000,INDEX($D$2:$D$1001,292),IF(3292&lt;=5000,INDEX($E$2:$E$1001,-708),"")))))</f>
        <v/>
      </c>
    </row>
    <row r="3294">
      <c r="G3294">
        <f>IF(3293&lt;=1000,INDEX($A$2:$A$1001,3293),IF(3293&lt;=2000,INDEX($B$2:$B$1001,2293),IF(3293&lt;=3000,INDEX($C$2:$C$1001,1293),IF(3293&lt;=4000,INDEX($D$2:$D$1001,293),IF(3293&lt;=5000,INDEX($E$2:$E$1001,-707),"")))))</f>
        <v/>
      </c>
    </row>
    <row r="3295">
      <c r="G3295">
        <f>IF(3294&lt;=1000,INDEX($A$2:$A$1001,3294),IF(3294&lt;=2000,INDEX($B$2:$B$1001,2294),IF(3294&lt;=3000,INDEX($C$2:$C$1001,1294),IF(3294&lt;=4000,INDEX($D$2:$D$1001,294),IF(3294&lt;=5000,INDEX($E$2:$E$1001,-706),"")))))</f>
        <v/>
      </c>
    </row>
    <row r="3296">
      <c r="G3296">
        <f>IF(3295&lt;=1000,INDEX($A$2:$A$1001,3295),IF(3295&lt;=2000,INDEX($B$2:$B$1001,2295),IF(3295&lt;=3000,INDEX($C$2:$C$1001,1295),IF(3295&lt;=4000,INDEX($D$2:$D$1001,295),IF(3295&lt;=5000,INDEX($E$2:$E$1001,-705),"")))))</f>
        <v/>
      </c>
    </row>
    <row r="3297">
      <c r="G3297">
        <f>IF(3296&lt;=1000,INDEX($A$2:$A$1001,3296),IF(3296&lt;=2000,INDEX($B$2:$B$1001,2296),IF(3296&lt;=3000,INDEX($C$2:$C$1001,1296),IF(3296&lt;=4000,INDEX($D$2:$D$1001,296),IF(3296&lt;=5000,INDEX($E$2:$E$1001,-704),"")))))</f>
        <v/>
      </c>
    </row>
    <row r="3298">
      <c r="G3298">
        <f>IF(3297&lt;=1000,INDEX($A$2:$A$1001,3297),IF(3297&lt;=2000,INDEX($B$2:$B$1001,2297),IF(3297&lt;=3000,INDEX($C$2:$C$1001,1297),IF(3297&lt;=4000,INDEX($D$2:$D$1001,297),IF(3297&lt;=5000,INDEX($E$2:$E$1001,-703),"")))))</f>
        <v/>
      </c>
    </row>
    <row r="3299">
      <c r="G3299">
        <f>IF(3298&lt;=1000,INDEX($A$2:$A$1001,3298),IF(3298&lt;=2000,INDEX($B$2:$B$1001,2298),IF(3298&lt;=3000,INDEX($C$2:$C$1001,1298),IF(3298&lt;=4000,INDEX($D$2:$D$1001,298),IF(3298&lt;=5000,INDEX($E$2:$E$1001,-702),"")))))</f>
        <v/>
      </c>
    </row>
    <row r="3300">
      <c r="G3300">
        <f>IF(3299&lt;=1000,INDEX($A$2:$A$1001,3299),IF(3299&lt;=2000,INDEX($B$2:$B$1001,2299),IF(3299&lt;=3000,INDEX($C$2:$C$1001,1299),IF(3299&lt;=4000,INDEX($D$2:$D$1001,299),IF(3299&lt;=5000,INDEX($E$2:$E$1001,-701),"")))))</f>
        <v/>
      </c>
    </row>
    <row r="3301">
      <c r="G3301">
        <f>IF(3300&lt;=1000,INDEX($A$2:$A$1001,3300),IF(3300&lt;=2000,INDEX($B$2:$B$1001,2300),IF(3300&lt;=3000,INDEX($C$2:$C$1001,1300),IF(3300&lt;=4000,INDEX($D$2:$D$1001,300),IF(3300&lt;=5000,INDEX($E$2:$E$1001,-700),"")))))</f>
        <v/>
      </c>
    </row>
    <row r="3302">
      <c r="G3302">
        <f>IF(3301&lt;=1000,INDEX($A$2:$A$1001,3301),IF(3301&lt;=2000,INDEX($B$2:$B$1001,2301),IF(3301&lt;=3000,INDEX($C$2:$C$1001,1301),IF(3301&lt;=4000,INDEX($D$2:$D$1001,301),IF(3301&lt;=5000,INDEX($E$2:$E$1001,-699),"")))))</f>
        <v/>
      </c>
    </row>
    <row r="3303">
      <c r="G3303">
        <f>IF(3302&lt;=1000,INDEX($A$2:$A$1001,3302),IF(3302&lt;=2000,INDEX($B$2:$B$1001,2302),IF(3302&lt;=3000,INDEX($C$2:$C$1001,1302),IF(3302&lt;=4000,INDEX($D$2:$D$1001,302),IF(3302&lt;=5000,INDEX($E$2:$E$1001,-698),"")))))</f>
        <v/>
      </c>
    </row>
    <row r="3304">
      <c r="G3304">
        <f>IF(3303&lt;=1000,INDEX($A$2:$A$1001,3303),IF(3303&lt;=2000,INDEX($B$2:$B$1001,2303),IF(3303&lt;=3000,INDEX($C$2:$C$1001,1303),IF(3303&lt;=4000,INDEX($D$2:$D$1001,303),IF(3303&lt;=5000,INDEX($E$2:$E$1001,-697),"")))))</f>
        <v/>
      </c>
    </row>
    <row r="3305">
      <c r="G3305">
        <f>IF(3304&lt;=1000,INDEX($A$2:$A$1001,3304),IF(3304&lt;=2000,INDEX($B$2:$B$1001,2304),IF(3304&lt;=3000,INDEX($C$2:$C$1001,1304),IF(3304&lt;=4000,INDEX($D$2:$D$1001,304),IF(3304&lt;=5000,INDEX($E$2:$E$1001,-696),"")))))</f>
        <v/>
      </c>
    </row>
    <row r="3306">
      <c r="G3306">
        <f>IF(3305&lt;=1000,INDEX($A$2:$A$1001,3305),IF(3305&lt;=2000,INDEX($B$2:$B$1001,2305),IF(3305&lt;=3000,INDEX($C$2:$C$1001,1305),IF(3305&lt;=4000,INDEX($D$2:$D$1001,305),IF(3305&lt;=5000,INDEX($E$2:$E$1001,-695),"")))))</f>
        <v/>
      </c>
    </row>
    <row r="3307">
      <c r="G3307">
        <f>IF(3306&lt;=1000,INDEX($A$2:$A$1001,3306),IF(3306&lt;=2000,INDEX($B$2:$B$1001,2306),IF(3306&lt;=3000,INDEX($C$2:$C$1001,1306),IF(3306&lt;=4000,INDEX($D$2:$D$1001,306),IF(3306&lt;=5000,INDEX($E$2:$E$1001,-694),"")))))</f>
        <v/>
      </c>
    </row>
    <row r="3308">
      <c r="G3308">
        <f>IF(3307&lt;=1000,INDEX($A$2:$A$1001,3307),IF(3307&lt;=2000,INDEX($B$2:$B$1001,2307),IF(3307&lt;=3000,INDEX($C$2:$C$1001,1307),IF(3307&lt;=4000,INDEX($D$2:$D$1001,307),IF(3307&lt;=5000,INDEX($E$2:$E$1001,-693),"")))))</f>
        <v/>
      </c>
    </row>
    <row r="3309">
      <c r="G3309">
        <f>IF(3308&lt;=1000,INDEX($A$2:$A$1001,3308),IF(3308&lt;=2000,INDEX($B$2:$B$1001,2308),IF(3308&lt;=3000,INDEX($C$2:$C$1001,1308),IF(3308&lt;=4000,INDEX($D$2:$D$1001,308),IF(3308&lt;=5000,INDEX($E$2:$E$1001,-692),"")))))</f>
        <v/>
      </c>
    </row>
    <row r="3310">
      <c r="G3310">
        <f>IF(3309&lt;=1000,INDEX($A$2:$A$1001,3309),IF(3309&lt;=2000,INDEX($B$2:$B$1001,2309),IF(3309&lt;=3000,INDEX($C$2:$C$1001,1309),IF(3309&lt;=4000,INDEX($D$2:$D$1001,309),IF(3309&lt;=5000,INDEX($E$2:$E$1001,-691),"")))))</f>
        <v/>
      </c>
    </row>
    <row r="3311">
      <c r="G3311">
        <f>IF(3310&lt;=1000,INDEX($A$2:$A$1001,3310),IF(3310&lt;=2000,INDEX($B$2:$B$1001,2310),IF(3310&lt;=3000,INDEX($C$2:$C$1001,1310),IF(3310&lt;=4000,INDEX($D$2:$D$1001,310),IF(3310&lt;=5000,INDEX($E$2:$E$1001,-690),"")))))</f>
        <v/>
      </c>
    </row>
    <row r="3312">
      <c r="G3312">
        <f>IF(3311&lt;=1000,INDEX($A$2:$A$1001,3311),IF(3311&lt;=2000,INDEX($B$2:$B$1001,2311),IF(3311&lt;=3000,INDEX($C$2:$C$1001,1311),IF(3311&lt;=4000,INDEX($D$2:$D$1001,311),IF(3311&lt;=5000,INDEX($E$2:$E$1001,-689),"")))))</f>
        <v/>
      </c>
    </row>
    <row r="3313">
      <c r="G3313">
        <f>IF(3312&lt;=1000,INDEX($A$2:$A$1001,3312),IF(3312&lt;=2000,INDEX($B$2:$B$1001,2312),IF(3312&lt;=3000,INDEX($C$2:$C$1001,1312),IF(3312&lt;=4000,INDEX($D$2:$D$1001,312),IF(3312&lt;=5000,INDEX($E$2:$E$1001,-688),"")))))</f>
        <v/>
      </c>
    </row>
    <row r="3314">
      <c r="G3314">
        <f>IF(3313&lt;=1000,INDEX($A$2:$A$1001,3313),IF(3313&lt;=2000,INDEX($B$2:$B$1001,2313),IF(3313&lt;=3000,INDEX($C$2:$C$1001,1313),IF(3313&lt;=4000,INDEX($D$2:$D$1001,313),IF(3313&lt;=5000,INDEX($E$2:$E$1001,-687),"")))))</f>
        <v/>
      </c>
    </row>
    <row r="3315">
      <c r="G3315">
        <f>IF(3314&lt;=1000,INDEX($A$2:$A$1001,3314),IF(3314&lt;=2000,INDEX($B$2:$B$1001,2314),IF(3314&lt;=3000,INDEX($C$2:$C$1001,1314),IF(3314&lt;=4000,INDEX($D$2:$D$1001,314),IF(3314&lt;=5000,INDEX($E$2:$E$1001,-686),"")))))</f>
        <v/>
      </c>
    </row>
    <row r="3316">
      <c r="G3316">
        <f>IF(3315&lt;=1000,INDEX($A$2:$A$1001,3315),IF(3315&lt;=2000,INDEX($B$2:$B$1001,2315),IF(3315&lt;=3000,INDEX($C$2:$C$1001,1315),IF(3315&lt;=4000,INDEX($D$2:$D$1001,315),IF(3315&lt;=5000,INDEX($E$2:$E$1001,-685),"")))))</f>
        <v/>
      </c>
    </row>
    <row r="3317">
      <c r="G3317">
        <f>IF(3316&lt;=1000,INDEX($A$2:$A$1001,3316),IF(3316&lt;=2000,INDEX($B$2:$B$1001,2316),IF(3316&lt;=3000,INDEX($C$2:$C$1001,1316),IF(3316&lt;=4000,INDEX($D$2:$D$1001,316),IF(3316&lt;=5000,INDEX($E$2:$E$1001,-684),"")))))</f>
        <v/>
      </c>
    </row>
    <row r="3318">
      <c r="G3318">
        <f>IF(3317&lt;=1000,INDEX($A$2:$A$1001,3317),IF(3317&lt;=2000,INDEX($B$2:$B$1001,2317),IF(3317&lt;=3000,INDEX($C$2:$C$1001,1317),IF(3317&lt;=4000,INDEX($D$2:$D$1001,317),IF(3317&lt;=5000,INDEX($E$2:$E$1001,-683),"")))))</f>
        <v/>
      </c>
    </row>
    <row r="3319">
      <c r="G3319">
        <f>IF(3318&lt;=1000,INDEX($A$2:$A$1001,3318),IF(3318&lt;=2000,INDEX($B$2:$B$1001,2318),IF(3318&lt;=3000,INDEX($C$2:$C$1001,1318),IF(3318&lt;=4000,INDEX($D$2:$D$1001,318),IF(3318&lt;=5000,INDEX($E$2:$E$1001,-682),"")))))</f>
        <v/>
      </c>
    </row>
    <row r="3320">
      <c r="G3320">
        <f>IF(3319&lt;=1000,INDEX($A$2:$A$1001,3319),IF(3319&lt;=2000,INDEX($B$2:$B$1001,2319),IF(3319&lt;=3000,INDEX($C$2:$C$1001,1319),IF(3319&lt;=4000,INDEX($D$2:$D$1001,319),IF(3319&lt;=5000,INDEX($E$2:$E$1001,-681),"")))))</f>
        <v/>
      </c>
    </row>
    <row r="3321">
      <c r="G3321">
        <f>IF(3320&lt;=1000,INDEX($A$2:$A$1001,3320),IF(3320&lt;=2000,INDEX($B$2:$B$1001,2320),IF(3320&lt;=3000,INDEX($C$2:$C$1001,1320),IF(3320&lt;=4000,INDEX($D$2:$D$1001,320),IF(3320&lt;=5000,INDEX($E$2:$E$1001,-680),"")))))</f>
        <v/>
      </c>
    </row>
    <row r="3322">
      <c r="G3322">
        <f>IF(3321&lt;=1000,INDEX($A$2:$A$1001,3321),IF(3321&lt;=2000,INDEX($B$2:$B$1001,2321),IF(3321&lt;=3000,INDEX($C$2:$C$1001,1321),IF(3321&lt;=4000,INDEX($D$2:$D$1001,321),IF(3321&lt;=5000,INDEX($E$2:$E$1001,-679),"")))))</f>
        <v/>
      </c>
    </row>
    <row r="3323">
      <c r="G3323">
        <f>IF(3322&lt;=1000,INDEX($A$2:$A$1001,3322),IF(3322&lt;=2000,INDEX($B$2:$B$1001,2322),IF(3322&lt;=3000,INDEX($C$2:$C$1001,1322),IF(3322&lt;=4000,INDEX($D$2:$D$1001,322),IF(3322&lt;=5000,INDEX($E$2:$E$1001,-678),"")))))</f>
        <v/>
      </c>
    </row>
    <row r="3324">
      <c r="G3324">
        <f>IF(3323&lt;=1000,INDEX($A$2:$A$1001,3323),IF(3323&lt;=2000,INDEX($B$2:$B$1001,2323),IF(3323&lt;=3000,INDEX($C$2:$C$1001,1323),IF(3323&lt;=4000,INDEX($D$2:$D$1001,323),IF(3323&lt;=5000,INDEX($E$2:$E$1001,-677),"")))))</f>
        <v/>
      </c>
    </row>
    <row r="3325">
      <c r="G3325">
        <f>IF(3324&lt;=1000,INDEX($A$2:$A$1001,3324),IF(3324&lt;=2000,INDEX($B$2:$B$1001,2324),IF(3324&lt;=3000,INDEX($C$2:$C$1001,1324),IF(3324&lt;=4000,INDEX($D$2:$D$1001,324),IF(3324&lt;=5000,INDEX($E$2:$E$1001,-676),"")))))</f>
        <v/>
      </c>
    </row>
    <row r="3326">
      <c r="G3326">
        <f>IF(3325&lt;=1000,INDEX($A$2:$A$1001,3325),IF(3325&lt;=2000,INDEX($B$2:$B$1001,2325),IF(3325&lt;=3000,INDEX($C$2:$C$1001,1325),IF(3325&lt;=4000,INDEX($D$2:$D$1001,325),IF(3325&lt;=5000,INDEX($E$2:$E$1001,-675),"")))))</f>
        <v/>
      </c>
    </row>
    <row r="3327">
      <c r="G3327">
        <f>IF(3326&lt;=1000,INDEX($A$2:$A$1001,3326),IF(3326&lt;=2000,INDEX($B$2:$B$1001,2326),IF(3326&lt;=3000,INDEX($C$2:$C$1001,1326),IF(3326&lt;=4000,INDEX($D$2:$D$1001,326),IF(3326&lt;=5000,INDEX($E$2:$E$1001,-674),"")))))</f>
        <v/>
      </c>
    </row>
    <row r="3328">
      <c r="G3328">
        <f>IF(3327&lt;=1000,INDEX($A$2:$A$1001,3327),IF(3327&lt;=2000,INDEX($B$2:$B$1001,2327),IF(3327&lt;=3000,INDEX($C$2:$C$1001,1327),IF(3327&lt;=4000,INDEX($D$2:$D$1001,327),IF(3327&lt;=5000,INDEX($E$2:$E$1001,-673),"")))))</f>
        <v/>
      </c>
    </row>
    <row r="3329">
      <c r="G3329">
        <f>IF(3328&lt;=1000,INDEX($A$2:$A$1001,3328),IF(3328&lt;=2000,INDEX($B$2:$B$1001,2328),IF(3328&lt;=3000,INDEX($C$2:$C$1001,1328),IF(3328&lt;=4000,INDEX($D$2:$D$1001,328),IF(3328&lt;=5000,INDEX($E$2:$E$1001,-672),"")))))</f>
        <v/>
      </c>
    </row>
    <row r="3330">
      <c r="G3330">
        <f>IF(3329&lt;=1000,INDEX($A$2:$A$1001,3329),IF(3329&lt;=2000,INDEX($B$2:$B$1001,2329),IF(3329&lt;=3000,INDEX($C$2:$C$1001,1329),IF(3329&lt;=4000,INDEX($D$2:$D$1001,329),IF(3329&lt;=5000,INDEX($E$2:$E$1001,-671),"")))))</f>
        <v/>
      </c>
    </row>
    <row r="3331">
      <c r="G3331">
        <f>IF(3330&lt;=1000,INDEX($A$2:$A$1001,3330),IF(3330&lt;=2000,INDEX($B$2:$B$1001,2330),IF(3330&lt;=3000,INDEX($C$2:$C$1001,1330),IF(3330&lt;=4000,INDEX($D$2:$D$1001,330),IF(3330&lt;=5000,INDEX($E$2:$E$1001,-670),"")))))</f>
        <v/>
      </c>
    </row>
    <row r="3332">
      <c r="G3332">
        <f>IF(3331&lt;=1000,INDEX($A$2:$A$1001,3331),IF(3331&lt;=2000,INDEX($B$2:$B$1001,2331),IF(3331&lt;=3000,INDEX($C$2:$C$1001,1331),IF(3331&lt;=4000,INDEX($D$2:$D$1001,331),IF(3331&lt;=5000,INDEX($E$2:$E$1001,-669),"")))))</f>
        <v/>
      </c>
    </row>
    <row r="3333">
      <c r="G3333">
        <f>IF(3332&lt;=1000,INDEX($A$2:$A$1001,3332),IF(3332&lt;=2000,INDEX($B$2:$B$1001,2332),IF(3332&lt;=3000,INDEX($C$2:$C$1001,1332),IF(3332&lt;=4000,INDEX($D$2:$D$1001,332),IF(3332&lt;=5000,INDEX($E$2:$E$1001,-668),"")))))</f>
        <v/>
      </c>
    </row>
    <row r="3334">
      <c r="G3334">
        <f>IF(3333&lt;=1000,INDEX($A$2:$A$1001,3333),IF(3333&lt;=2000,INDEX($B$2:$B$1001,2333),IF(3333&lt;=3000,INDEX($C$2:$C$1001,1333),IF(3333&lt;=4000,INDEX($D$2:$D$1001,333),IF(3333&lt;=5000,INDEX($E$2:$E$1001,-667),"")))))</f>
        <v/>
      </c>
    </row>
    <row r="3335">
      <c r="G3335">
        <f>IF(3334&lt;=1000,INDEX($A$2:$A$1001,3334),IF(3334&lt;=2000,INDEX($B$2:$B$1001,2334),IF(3334&lt;=3000,INDEX($C$2:$C$1001,1334),IF(3334&lt;=4000,INDEX($D$2:$D$1001,334),IF(3334&lt;=5000,INDEX($E$2:$E$1001,-666),"")))))</f>
        <v/>
      </c>
    </row>
    <row r="3336">
      <c r="G3336">
        <f>IF(3335&lt;=1000,INDEX($A$2:$A$1001,3335),IF(3335&lt;=2000,INDEX($B$2:$B$1001,2335),IF(3335&lt;=3000,INDEX($C$2:$C$1001,1335),IF(3335&lt;=4000,INDEX($D$2:$D$1001,335),IF(3335&lt;=5000,INDEX($E$2:$E$1001,-665),"")))))</f>
        <v/>
      </c>
    </row>
    <row r="3337">
      <c r="G3337">
        <f>IF(3336&lt;=1000,INDEX($A$2:$A$1001,3336),IF(3336&lt;=2000,INDEX($B$2:$B$1001,2336),IF(3336&lt;=3000,INDEX($C$2:$C$1001,1336),IF(3336&lt;=4000,INDEX($D$2:$D$1001,336),IF(3336&lt;=5000,INDEX($E$2:$E$1001,-664),"")))))</f>
        <v/>
      </c>
    </row>
    <row r="3338">
      <c r="G3338">
        <f>IF(3337&lt;=1000,INDEX($A$2:$A$1001,3337),IF(3337&lt;=2000,INDEX($B$2:$B$1001,2337),IF(3337&lt;=3000,INDEX($C$2:$C$1001,1337),IF(3337&lt;=4000,INDEX($D$2:$D$1001,337),IF(3337&lt;=5000,INDEX($E$2:$E$1001,-663),"")))))</f>
        <v/>
      </c>
    </row>
    <row r="3339">
      <c r="G3339">
        <f>IF(3338&lt;=1000,INDEX($A$2:$A$1001,3338),IF(3338&lt;=2000,INDEX($B$2:$B$1001,2338),IF(3338&lt;=3000,INDEX($C$2:$C$1001,1338),IF(3338&lt;=4000,INDEX($D$2:$D$1001,338),IF(3338&lt;=5000,INDEX($E$2:$E$1001,-662),"")))))</f>
        <v/>
      </c>
    </row>
    <row r="3340">
      <c r="G3340">
        <f>IF(3339&lt;=1000,INDEX($A$2:$A$1001,3339),IF(3339&lt;=2000,INDEX($B$2:$B$1001,2339),IF(3339&lt;=3000,INDEX($C$2:$C$1001,1339),IF(3339&lt;=4000,INDEX($D$2:$D$1001,339),IF(3339&lt;=5000,INDEX($E$2:$E$1001,-661),"")))))</f>
        <v/>
      </c>
    </row>
    <row r="3341">
      <c r="G3341">
        <f>IF(3340&lt;=1000,INDEX($A$2:$A$1001,3340),IF(3340&lt;=2000,INDEX($B$2:$B$1001,2340),IF(3340&lt;=3000,INDEX($C$2:$C$1001,1340),IF(3340&lt;=4000,INDEX($D$2:$D$1001,340),IF(3340&lt;=5000,INDEX($E$2:$E$1001,-660),"")))))</f>
        <v/>
      </c>
    </row>
    <row r="3342">
      <c r="G3342">
        <f>IF(3341&lt;=1000,INDEX($A$2:$A$1001,3341),IF(3341&lt;=2000,INDEX($B$2:$B$1001,2341),IF(3341&lt;=3000,INDEX($C$2:$C$1001,1341),IF(3341&lt;=4000,INDEX($D$2:$D$1001,341),IF(3341&lt;=5000,INDEX($E$2:$E$1001,-659),"")))))</f>
        <v/>
      </c>
    </row>
    <row r="3343">
      <c r="G3343">
        <f>IF(3342&lt;=1000,INDEX($A$2:$A$1001,3342),IF(3342&lt;=2000,INDEX($B$2:$B$1001,2342),IF(3342&lt;=3000,INDEX($C$2:$C$1001,1342),IF(3342&lt;=4000,INDEX($D$2:$D$1001,342),IF(3342&lt;=5000,INDEX($E$2:$E$1001,-658),"")))))</f>
        <v/>
      </c>
    </row>
    <row r="3344">
      <c r="G3344">
        <f>IF(3343&lt;=1000,INDEX($A$2:$A$1001,3343),IF(3343&lt;=2000,INDEX($B$2:$B$1001,2343),IF(3343&lt;=3000,INDEX($C$2:$C$1001,1343),IF(3343&lt;=4000,INDEX($D$2:$D$1001,343),IF(3343&lt;=5000,INDEX($E$2:$E$1001,-657),"")))))</f>
        <v/>
      </c>
    </row>
    <row r="3345">
      <c r="G3345">
        <f>IF(3344&lt;=1000,INDEX($A$2:$A$1001,3344),IF(3344&lt;=2000,INDEX($B$2:$B$1001,2344),IF(3344&lt;=3000,INDEX($C$2:$C$1001,1344),IF(3344&lt;=4000,INDEX($D$2:$D$1001,344),IF(3344&lt;=5000,INDEX($E$2:$E$1001,-656),"")))))</f>
        <v/>
      </c>
    </row>
    <row r="3346">
      <c r="G3346">
        <f>IF(3345&lt;=1000,INDEX($A$2:$A$1001,3345),IF(3345&lt;=2000,INDEX($B$2:$B$1001,2345),IF(3345&lt;=3000,INDEX($C$2:$C$1001,1345),IF(3345&lt;=4000,INDEX($D$2:$D$1001,345),IF(3345&lt;=5000,INDEX($E$2:$E$1001,-655),"")))))</f>
        <v/>
      </c>
    </row>
    <row r="3347">
      <c r="G3347">
        <f>IF(3346&lt;=1000,INDEX($A$2:$A$1001,3346),IF(3346&lt;=2000,INDEX($B$2:$B$1001,2346),IF(3346&lt;=3000,INDEX($C$2:$C$1001,1346),IF(3346&lt;=4000,INDEX($D$2:$D$1001,346),IF(3346&lt;=5000,INDEX($E$2:$E$1001,-654),"")))))</f>
        <v/>
      </c>
    </row>
    <row r="3348">
      <c r="G3348">
        <f>IF(3347&lt;=1000,INDEX($A$2:$A$1001,3347),IF(3347&lt;=2000,INDEX($B$2:$B$1001,2347),IF(3347&lt;=3000,INDEX($C$2:$C$1001,1347),IF(3347&lt;=4000,INDEX($D$2:$D$1001,347),IF(3347&lt;=5000,INDEX($E$2:$E$1001,-653),"")))))</f>
        <v/>
      </c>
    </row>
    <row r="3349">
      <c r="G3349">
        <f>IF(3348&lt;=1000,INDEX($A$2:$A$1001,3348),IF(3348&lt;=2000,INDEX($B$2:$B$1001,2348),IF(3348&lt;=3000,INDEX($C$2:$C$1001,1348),IF(3348&lt;=4000,INDEX($D$2:$D$1001,348),IF(3348&lt;=5000,INDEX($E$2:$E$1001,-652),"")))))</f>
        <v/>
      </c>
    </row>
    <row r="3350">
      <c r="G3350">
        <f>IF(3349&lt;=1000,INDEX($A$2:$A$1001,3349),IF(3349&lt;=2000,INDEX($B$2:$B$1001,2349),IF(3349&lt;=3000,INDEX($C$2:$C$1001,1349),IF(3349&lt;=4000,INDEX($D$2:$D$1001,349),IF(3349&lt;=5000,INDEX($E$2:$E$1001,-651),"")))))</f>
        <v/>
      </c>
    </row>
    <row r="3351">
      <c r="G3351">
        <f>IF(3350&lt;=1000,INDEX($A$2:$A$1001,3350),IF(3350&lt;=2000,INDEX($B$2:$B$1001,2350),IF(3350&lt;=3000,INDEX($C$2:$C$1001,1350),IF(3350&lt;=4000,INDEX($D$2:$D$1001,350),IF(3350&lt;=5000,INDEX($E$2:$E$1001,-650),"")))))</f>
        <v/>
      </c>
    </row>
    <row r="3352">
      <c r="G3352">
        <f>IF(3351&lt;=1000,INDEX($A$2:$A$1001,3351),IF(3351&lt;=2000,INDEX($B$2:$B$1001,2351),IF(3351&lt;=3000,INDEX($C$2:$C$1001,1351),IF(3351&lt;=4000,INDEX($D$2:$D$1001,351),IF(3351&lt;=5000,INDEX($E$2:$E$1001,-649),"")))))</f>
        <v/>
      </c>
    </row>
    <row r="3353">
      <c r="G3353">
        <f>IF(3352&lt;=1000,INDEX($A$2:$A$1001,3352),IF(3352&lt;=2000,INDEX($B$2:$B$1001,2352),IF(3352&lt;=3000,INDEX($C$2:$C$1001,1352),IF(3352&lt;=4000,INDEX($D$2:$D$1001,352),IF(3352&lt;=5000,INDEX($E$2:$E$1001,-648),"")))))</f>
        <v/>
      </c>
    </row>
    <row r="3354">
      <c r="G3354">
        <f>IF(3353&lt;=1000,INDEX($A$2:$A$1001,3353),IF(3353&lt;=2000,INDEX($B$2:$B$1001,2353),IF(3353&lt;=3000,INDEX($C$2:$C$1001,1353),IF(3353&lt;=4000,INDEX($D$2:$D$1001,353),IF(3353&lt;=5000,INDEX($E$2:$E$1001,-647),"")))))</f>
        <v/>
      </c>
    </row>
    <row r="3355">
      <c r="G3355">
        <f>IF(3354&lt;=1000,INDEX($A$2:$A$1001,3354),IF(3354&lt;=2000,INDEX($B$2:$B$1001,2354),IF(3354&lt;=3000,INDEX($C$2:$C$1001,1354),IF(3354&lt;=4000,INDEX($D$2:$D$1001,354),IF(3354&lt;=5000,INDEX($E$2:$E$1001,-646),"")))))</f>
        <v/>
      </c>
    </row>
    <row r="3356">
      <c r="G3356">
        <f>IF(3355&lt;=1000,INDEX($A$2:$A$1001,3355),IF(3355&lt;=2000,INDEX($B$2:$B$1001,2355),IF(3355&lt;=3000,INDEX($C$2:$C$1001,1355),IF(3355&lt;=4000,INDEX($D$2:$D$1001,355),IF(3355&lt;=5000,INDEX($E$2:$E$1001,-645),"")))))</f>
        <v/>
      </c>
    </row>
    <row r="3357">
      <c r="G3357">
        <f>IF(3356&lt;=1000,INDEX($A$2:$A$1001,3356),IF(3356&lt;=2000,INDEX($B$2:$B$1001,2356),IF(3356&lt;=3000,INDEX($C$2:$C$1001,1356),IF(3356&lt;=4000,INDEX($D$2:$D$1001,356),IF(3356&lt;=5000,INDEX($E$2:$E$1001,-644),"")))))</f>
        <v/>
      </c>
    </row>
    <row r="3358">
      <c r="G3358">
        <f>IF(3357&lt;=1000,INDEX($A$2:$A$1001,3357),IF(3357&lt;=2000,INDEX($B$2:$B$1001,2357),IF(3357&lt;=3000,INDEX($C$2:$C$1001,1357),IF(3357&lt;=4000,INDEX($D$2:$D$1001,357),IF(3357&lt;=5000,INDEX($E$2:$E$1001,-643),"")))))</f>
        <v/>
      </c>
    </row>
    <row r="3359">
      <c r="G3359">
        <f>IF(3358&lt;=1000,INDEX($A$2:$A$1001,3358),IF(3358&lt;=2000,INDEX($B$2:$B$1001,2358),IF(3358&lt;=3000,INDEX($C$2:$C$1001,1358),IF(3358&lt;=4000,INDEX($D$2:$D$1001,358),IF(3358&lt;=5000,INDEX($E$2:$E$1001,-642),"")))))</f>
        <v/>
      </c>
    </row>
    <row r="3360">
      <c r="G3360">
        <f>IF(3359&lt;=1000,INDEX($A$2:$A$1001,3359),IF(3359&lt;=2000,INDEX($B$2:$B$1001,2359),IF(3359&lt;=3000,INDEX($C$2:$C$1001,1359),IF(3359&lt;=4000,INDEX($D$2:$D$1001,359),IF(3359&lt;=5000,INDEX($E$2:$E$1001,-641),"")))))</f>
        <v/>
      </c>
    </row>
    <row r="3361">
      <c r="G3361">
        <f>IF(3360&lt;=1000,INDEX($A$2:$A$1001,3360),IF(3360&lt;=2000,INDEX($B$2:$B$1001,2360),IF(3360&lt;=3000,INDEX($C$2:$C$1001,1360),IF(3360&lt;=4000,INDEX($D$2:$D$1001,360),IF(3360&lt;=5000,INDEX($E$2:$E$1001,-640),"")))))</f>
        <v/>
      </c>
    </row>
    <row r="3362">
      <c r="G3362">
        <f>IF(3361&lt;=1000,INDEX($A$2:$A$1001,3361),IF(3361&lt;=2000,INDEX($B$2:$B$1001,2361),IF(3361&lt;=3000,INDEX($C$2:$C$1001,1361),IF(3361&lt;=4000,INDEX($D$2:$D$1001,361),IF(3361&lt;=5000,INDEX($E$2:$E$1001,-639),"")))))</f>
        <v/>
      </c>
    </row>
    <row r="3363">
      <c r="G3363">
        <f>IF(3362&lt;=1000,INDEX($A$2:$A$1001,3362),IF(3362&lt;=2000,INDEX($B$2:$B$1001,2362),IF(3362&lt;=3000,INDEX($C$2:$C$1001,1362),IF(3362&lt;=4000,INDEX($D$2:$D$1001,362),IF(3362&lt;=5000,INDEX($E$2:$E$1001,-638),"")))))</f>
        <v/>
      </c>
    </row>
    <row r="3364">
      <c r="G3364">
        <f>IF(3363&lt;=1000,INDEX($A$2:$A$1001,3363),IF(3363&lt;=2000,INDEX($B$2:$B$1001,2363),IF(3363&lt;=3000,INDEX($C$2:$C$1001,1363),IF(3363&lt;=4000,INDEX($D$2:$D$1001,363),IF(3363&lt;=5000,INDEX($E$2:$E$1001,-637),"")))))</f>
        <v/>
      </c>
    </row>
    <row r="3365">
      <c r="G3365">
        <f>IF(3364&lt;=1000,INDEX($A$2:$A$1001,3364),IF(3364&lt;=2000,INDEX($B$2:$B$1001,2364),IF(3364&lt;=3000,INDEX($C$2:$C$1001,1364),IF(3364&lt;=4000,INDEX($D$2:$D$1001,364),IF(3364&lt;=5000,INDEX($E$2:$E$1001,-636),"")))))</f>
        <v/>
      </c>
    </row>
    <row r="3366">
      <c r="G3366">
        <f>IF(3365&lt;=1000,INDEX($A$2:$A$1001,3365),IF(3365&lt;=2000,INDEX($B$2:$B$1001,2365),IF(3365&lt;=3000,INDEX($C$2:$C$1001,1365),IF(3365&lt;=4000,INDEX($D$2:$D$1001,365),IF(3365&lt;=5000,INDEX($E$2:$E$1001,-635),"")))))</f>
        <v/>
      </c>
    </row>
    <row r="3367">
      <c r="G3367">
        <f>IF(3366&lt;=1000,INDEX($A$2:$A$1001,3366),IF(3366&lt;=2000,INDEX($B$2:$B$1001,2366),IF(3366&lt;=3000,INDEX($C$2:$C$1001,1366),IF(3366&lt;=4000,INDEX($D$2:$D$1001,366),IF(3366&lt;=5000,INDEX($E$2:$E$1001,-634),"")))))</f>
        <v/>
      </c>
    </row>
    <row r="3368">
      <c r="G3368">
        <f>IF(3367&lt;=1000,INDEX($A$2:$A$1001,3367),IF(3367&lt;=2000,INDEX($B$2:$B$1001,2367),IF(3367&lt;=3000,INDEX($C$2:$C$1001,1367),IF(3367&lt;=4000,INDEX($D$2:$D$1001,367),IF(3367&lt;=5000,INDEX($E$2:$E$1001,-633),"")))))</f>
        <v/>
      </c>
    </row>
    <row r="3369">
      <c r="G3369">
        <f>IF(3368&lt;=1000,INDEX($A$2:$A$1001,3368),IF(3368&lt;=2000,INDEX($B$2:$B$1001,2368),IF(3368&lt;=3000,INDEX($C$2:$C$1001,1368),IF(3368&lt;=4000,INDEX($D$2:$D$1001,368),IF(3368&lt;=5000,INDEX($E$2:$E$1001,-632),"")))))</f>
        <v/>
      </c>
    </row>
    <row r="3370">
      <c r="G3370">
        <f>IF(3369&lt;=1000,INDEX($A$2:$A$1001,3369),IF(3369&lt;=2000,INDEX($B$2:$B$1001,2369),IF(3369&lt;=3000,INDEX($C$2:$C$1001,1369),IF(3369&lt;=4000,INDEX($D$2:$D$1001,369),IF(3369&lt;=5000,INDEX($E$2:$E$1001,-631),"")))))</f>
        <v/>
      </c>
    </row>
    <row r="3371">
      <c r="G3371">
        <f>IF(3370&lt;=1000,INDEX($A$2:$A$1001,3370),IF(3370&lt;=2000,INDEX($B$2:$B$1001,2370),IF(3370&lt;=3000,INDEX($C$2:$C$1001,1370),IF(3370&lt;=4000,INDEX($D$2:$D$1001,370),IF(3370&lt;=5000,INDEX($E$2:$E$1001,-630),"")))))</f>
        <v/>
      </c>
    </row>
    <row r="3372">
      <c r="G3372">
        <f>IF(3371&lt;=1000,INDEX($A$2:$A$1001,3371),IF(3371&lt;=2000,INDEX($B$2:$B$1001,2371),IF(3371&lt;=3000,INDEX($C$2:$C$1001,1371),IF(3371&lt;=4000,INDEX($D$2:$D$1001,371),IF(3371&lt;=5000,INDEX($E$2:$E$1001,-629),"")))))</f>
        <v/>
      </c>
    </row>
    <row r="3373">
      <c r="G3373">
        <f>IF(3372&lt;=1000,INDEX($A$2:$A$1001,3372),IF(3372&lt;=2000,INDEX($B$2:$B$1001,2372),IF(3372&lt;=3000,INDEX($C$2:$C$1001,1372),IF(3372&lt;=4000,INDEX($D$2:$D$1001,372),IF(3372&lt;=5000,INDEX($E$2:$E$1001,-628),"")))))</f>
        <v/>
      </c>
    </row>
    <row r="3374">
      <c r="G3374">
        <f>IF(3373&lt;=1000,INDEX($A$2:$A$1001,3373),IF(3373&lt;=2000,INDEX($B$2:$B$1001,2373),IF(3373&lt;=3000,INDEX($C$2:$C$1001,1373),IF(3373&lt;=4000,INDEX($D$2:$D$1001,373),IF(3373&lt;=5000,INDEX($E$2:$E$1001,-627),"")))))</f>
        <v/>
      </c>
    </row>
    <row r="3375">
      <c r="G3375">
        <f>IF(3374&lt;=1000,INDEX($A$2:$A$1001,3374),IF(3374&lt;=2000,INDEX($B$2:$B$1001,2374),IF(3374&lt;=3000,INDEX($C$2:$C$1001,1374),IF(3374&lt;=4000,INDEX($D$2:$D$1001,374),IF(3374&lt;=5000,INDEX($E$2:$E$1001,-626),"")))))</f>
        <v/>
      </c>
    </row>
    <row r="3376">
      <c r="G3376">
        <f>IF(3375&lt;=1000,INDEX($A$2:$A$1001,3375),IF(3375&lt;=2000,INDEX($B$2:$B$1001,2375),IF(3375&lt;=3000,INDEX($C$2:$C$1001,1375),IF(3375&lt;=4000,INDEX($D$2:$D$1001,375),IF(3375&lt;=5000,INDEX($E$2:$E$1001,-625),"")))))</f>
        <v/>
      </c>
    </row>
    <row r="3377">
      <c r="G3377">
        <f>IF(3376&lt;=1000,INDEX($A$2:$A$1001,3376),IF(3376&lt;=2000,INDEX($B$2:$B$1001,2376),IF(3376&lt;=3000,INDEX($C$2:$C$1001,1376),IF(3376&lt;=4000,INDEX($D$2:$D$1001,376),IF(3376&lt;=5000,INDEX($E$2:$E$1001,-624),"")))))</f>
        <v/>
      </c>
    </row>
    <row r="3378">
      <c r="G3378">
        <f>IF(3377&lt;=1000,INDEX($A$2:$A$1001,3377),IF(3377&lt;=2000,INDEX($B$2:$B$1001,2377),IF(3377&lt;=3000,INDEX($C$2:$C$1001,1377),IF(3377&lt;=4000,INDEX($D$2:$D$1001,377),IF(3377&lt;=5000,INDEX($E$2:$E$1001,-623),"")))))</f>
        <v/>
      </c>
    </row>
    <row r="3379">
      <c r="G3379">
        <f>IF(3378&lt;=1000,INDEX($A$2:$A$1001,3378),IF(3378&lt;=2000,INDEX($B$2:$B$1001,2378),IF(3378&lt;=3000,INDEX($C$2:$C$1001,1378),IF(3378&lt;=4000,INDEX($D$2:$D$1001,378),IF(3378&lt;=5000,INDEX($E$2:$E$1001,-622),"")))))</f>
        <v/>
      </c>
    </row>
    <row r="3380">
      <c r="G3380">
        <f>IF(3379&lt;=1000,INDEX($A$2:$A$1001,3379),IF(3379&lt;=2000,INDEX($B$2:$B$1001,2379),IF(3379&lt;=3000,INDEX($C$2:$C$1001,1379),IF(3379&lt;=4000,INDEX($D$2:$D$1001,379),IF(3379&lt;=5000,INDEX($E$2:$E$1001,-621),"")))))</f>
        <v/>
      </c>
    </row>
    <row r="3381">
      <c r="G3381">
        <f>IF(3380&lt;=1000,INDEX($A$2:$A$1001,3380),IF(3380&lt;=2000,INDEX($B$2:$B$1001,2380),IF(3380&lt;=3000,INDEX($C$2:$C$1001,1380),IF(3380&lt;=4000,INDEX($D$2:$D$1001,380),IF(3380&lt;=5000,INDEX($E$2:$E$1001,-620),"")))))</f>
        <v/>
      </c>
    </row>
    <row r="3382">
      <c r="G3382">
        <f>IF(3381&lt;=1000,INDEX($A$2:$A$1001,3381),IF(3381&lt;=2000,INDEX($B$2:$B$1001,2381),IF(3381&lt;=3000,INDEX($C$2:$C$1001,1381),IF(3381&lt;=4000,INDEX($D$2:$D$1001,381),IF(3381&lt;=5000,INDEX($E$2:$E$1001,-619),"")))))</f>
        <v/>
      </c>
    </row>
    <row r="3383">
      <c r="G3383">
        <f>IF(3382&lt;=1000,INDEX($A$2:$A$1001,3382),IF(3382&lt;=2000,INDEX($B$2:$B$1001,2382),IF(3382&lt;=3000,INDEX($C$2:$C$1001,1382),IF(3382&lt;=4000,INDEX($D$2:$D$1001,382),IF(3382&lt;=5000,INDEX($E$2:$E$1001,-618),"")))))</f>
        <v/>
      </c>
    </row>
    <row r="3384">
      <c r="G3384">
        <f>IF(3383&lt;=1000,INDEX($A$2:$A$1001,3383),IF(3383&lt;=2000,INDEX($B$2:$B$1001,2383),IF(3383&lt;=3000,INDEX($C$2:$C$1001,1383),IF(3383&lt;=4000,INDEX($D$2:$D$1001,383),IF(3383&lt;=5000,INDEX($E$2:$E$1001,-617),"")))))</f>
        <v/>
      </c>
    </row>
    <row r="3385">
      <c r="G3385">
        <f>IF(3384&lt;=1000,INDEX($A$2:$A$1001,3384),IF(3384&lt;=2000,INDEX($B$2:$B$1001,2384),IF(3384&lt;=3000,INDEX($C$2:$C$1001,1384),IF(3384&lt;=4000,INDEX($D$2:$D$1001,384),IF(3384&lt;=5000,INDEX($E$2:$E$1001,-616),"")))))</f>
        <v/>
      </c>
    </row>
    <row r="3386">
      <c r="G3386">
        <f>IF(3385&lt;=1000,INDEX($A$2:$A$1001,3385),IF(3385&lt;=2000,INDEX($B$2:$B$1001,2385),IF(3385&lt;=3000,INDEX($C$2:$C$1001,1385),IF(3385&lt;=4000,INDEX($D$2:$D$1001,385),IF(3385&lt;=5000,INDEX($E$2:$E$1001,-615),"")))))</f>
        <v/>
      </c>
    </row>
    <row r="3387">
      <c r="G3387">
        <f>IF(3386&lt;=1000,INDEX($A$2:$A$1001,3386),IF(3386&lt;=2000,INDEX($B$2:$B$1001,2386),IF(3386&lt;=3000,INDEX($C$2:$C$1001,1386),IF(3386&lt;=4000,INDEX($D$2:$D$1001,386),IF(3386&lt;=5000,INDEX($E$2:$E$1001,-614),"")))))</f>
        <v/>
      </c>
    </row>
    <row r="3388">
      <c r="G3388">
        <f>IF(3387&lt;=1000,INDEX($A$2:$A$1001,3387),IF(3387&lt;=2000,INDEX($B$2:$B$1001,2387),IF(3387&lt;=3000,INDEX($C$2:$C$1001,1387),IF(3387&lt;=4000,INDEX($D$2:$D$1001,387),IF(3387&lt;=5000,INDEX($E$2:$E$1001,-613),"")))))</f>
        <v/>
      </c>
    </row>
    <row r="3389">
      <c r="G3389">
        <f>IF(3388&lt;=1000,INDEX($A$2:$A$1001,3388),IF(3388&lt;=2000,INDEX($B$2:$B$1001,2388),IF(3388&lt;=3000,INDEX($C$2:$C$1001,1388),IF(3388&lt;=4000,INDEX($D$2:$D$1001,388),IF(3388&lt;=5000,INDEX($E$2:$E$1001,-612),"")))))</f>
        <v/>
      </c>
    </row>
    <row r="3390">
      <c r="G3390">
        <f>IF(3389&lt;=1000,INDEX($A$2:$A$1001,3389),IF(3389&lt;=2000,INDEX($B$2:$B$1001,2389),IF(3389&lt;=3000,INDEX($C$2:$C$1001,1389),IF(3389&lt;=4000,INDEX($D$2:$D$1001,389),IF(3389&lt;=5000,INDEX($E$2:$E$1001,-611),"")))))</f>
        <v/>
      </c>
    </row>
    <row r="3391">
      <c r="G3391">
        <f>IF(3390&lt;=1000,INDEX($A$2:$A$1001,3390),IF(3390&lt;=2000,INDEX($B$2:$B$1001,2390),IF(3390&lt;=3000,INDEX($C$2:$C$1001,1390),IF(3390&lt;=4000,INDEX($D$2:$D$1001,390),IF(3390&lt;=5000,INDEX($E$2:$E$1001,-610),"")))))</f>
        <v/>
      </c>
    </row>
    <row r="3392">
      <c r="G3392">
        <f>IF(3391&lt;=1000,INDEX($A$2:$A$1001,3391),IF(3391&lt;=2000,INDEX($B$2:$B$1001,2391),IF(3391&lt;=3000,INDEX($C$2:$C$1001,1391),IF(3391&lt;=4000,INDEX($D$2:$D$1001,391),IF(3391&lt;=5000,INDEX($E$2:$E$1001,-609),"")))))</f>
        <v/>
      </c>
    </row>
    <row r="3393">
      <c r="G3393">
        <f>IF(3392&lt;=1000,INDEX($A$2:$A$1001,3392),IF(3392&lt;=2000,INDEX($B$2:$B$1001,2392),IF(3392&lt;=3000,INDEX($C$2:$C$1001,1392),IF(3392&lt;=4000,INDEX($D$2:$D$1001,392),IF(3392&lt;=5000,INDEX($E$2:$E$1001,-608),"")))))</f>
        <v/>
      </c>
    </row>
    <row r="3394">
      <c r="G3394">
        <f>IF(3393&lt;=1000,INDEX($A$2:$A$1001,3393),IF(3393&lt;=2000,INDEX($B$2:$B$1001,2393),IF(3393&lt;=3000,INDEX($C$2:$C$1001,1393),IF(3393&lt;=4000,INDEX($D$2:$D$1001,393),IF(3393&lt;=5000,INDEX($E$2:$E$1001,-607),"")))))</f>
        <v/>
      </c>
    </row>
    <row r="3395">
      <c r="G3395">
        <f>IF(3394&lt;=1000,INDEX($A$2:$A$1001,3394),IF(3394&lt;=2000,INDEX($B$2:$B$1001,2394),IF(3394&lt;=3000,INDEX($C$2:$C$1001,1394),IF(3394&lt;=4000,INDEX($D$2:$D$1001,394),IF(3394&lt;=5000,INDEX($E$2:$E$1001,-606),"")))))</f>
        <v/>
      </c>
    </row>
    <row r="3396">
      <c r="G3396">
        <f>IF(3395&lt;=1000,INDEX($A$2:$A$1001,3395),IF(3395&lt;=2000,INDEX($B$2:$B$1001,2395),IF(3395&lt;=3000,INDEX($C$2:$C$1001,1395),IF(3395&lt;=4000,INDEX($D$2:$D$1001,395),IF(3395&lt;=5000,INDEX($E$2:$E$1001,-605),"")))))</f>
        <v/>
      </c>
    </row>
    <row r="3397">
      <c r="G3397">
        <f>IF(3396&lt;=1000,INDEX($A$2:$A$1001,3396),IF(3396&lt;=2000,INDEX($B$2:$B$1001,2396),IF(3396&lt;=3000,INDEX($C$2:$C$1001,1396),IF(3396&lt;=4000,INDEX($D$2:$D$1001,396),IF(3396&lt;=5000,INDEX($E$2:$E$1001,-604),"")))))</f>
        <v/>
      </c>
    </row>
    <row r="3398">
      <c r="G3398">
        <f>IF(3397&lt;=1000,INDEX($A$2:$A$1001,3397),IF(3397&lt;=2000,INDEX($B$2:$B$1001,2397),IF(3397&lt;=3000,INDEX($C$2:$C$1001,1397),IF(3397&lt;=4000,INDEX($D$2:$D$1001,397),IF(3397&lt;=5000,INDEX($E$2:$E$1001,-603),"")))))</f>
        <v/>
      </c>
    </row>
    <row r="3399">
      <c r="G3399">
        <f>IF(3398&lt;=1000,INDEX($A$2:$A$1001,3398),IF(3398&lt;=2000,INDEX($B$2:$B$1001,2398),IF(3398&lt;=3000,INDEX($C$2:$C$1001,1398),IF(3398&lt;=4000,INDEX($D$2:$D$1001,398),IF(3398&lt;=5000,INDEX($E$2:$E$1001,-602),"")))))</f>
        <v/>
      </c>
    </row>
    <row r="3400">
      <c r="G3400">
        <f>IF(3399&lt;=1000,INDEX($A$2:$A$1001,3399),IF(3399&lt;=2000,INDEX($B$2:$B$1001,2399),IF(3399&lt;=3000,INDEX($C$2:$C$1001,1399),IF(3399&lt;=4000,INDEX($D$2:$D$1001,399),IF(3399&lt;=5000,INDEX($E$2:$E$1001,-601),"")))))</f>
        <v/>
      </c>
    </row>
    <row r="3401">
      <c r="G3401">
        <f>IF(3400&lt;=1000,INDEX($A$2:$A$1001,3400),IF(3400&lt;=2000,INDEX($B$2:$B$1001,2400),IF(3400&lt;=3000,INDEX($C$2:$C$1001,1400),IF(3400&lt;=4000,INDEX($D$2:$D$1001,400),IF(3400&lt;=5000,INDEX($E$2:$E$1001,-600),"")))))</f>
        <v/>
      </c>
    </row>
    <row r="3402">
      <c r="G3402">
        <f>IF(3401&lt;=1000,INDEX($A$2:$A$1001,3401),IF(3401&lt;=2000,INDEX($B$2:$B$1001,2401),IF(3401&lt;=3000,INDEX($C$2:$C$1001,1401),IF(3401&lt;=4000,INDEX($D$2:$D$1001,401),IF(3401&lt;=5000,INDEX($E$2:$E$1001,-599),"")))))</f>
        <v/>
      </c>
    </row>
    <row r="3403">
      <c r="G3403">
        <f>IF(3402&lt;=1000,INDEX($A$2:$A$1001,3402),IF(3402&lt;=2000,INDEX($B$2:$B$1001,2402),IF(3402&lt;=3000,INDEX($C$2:$C$1001,1402),IF(3402&lt;=4000,INDEX($D$2:$D$1001,402),IF(3402&lt;=5000,INDEX($E$2:$E$1001,-598),"")))))</f>
        <v/>
      </c>
    </row>
    <row r="3404">
      <c r="G3404">
        <f>IF(3403&lt;=1000,INDEX($A$2:$A$1001,3403),IF(3403&lt;=2000,INDEX($B$2:$B$1001,2403),IF(3403&lt;=3000,INDEX($C$2:$C$1001,1403),IF(3403&lt;=4000,INDEX($D$2:$D$1001,403),IF(3403&lt;=5000,INDEX($E$2:$E$1001,-597),"")))))</f>
        <v/>
      </c>
    </row>
    <row r="3405">
      <c r="G3405">
        <f>IF(3404&lt;=1000,INDEX($A$2:$A$1001,3404),IF(3404&lt;=2000,INDEX($B$2:$B$1001,2404),IF(3404&lt;=3000,INDEX($C$2:$C$1001,1404),IF(3404&lt;=4000,INDEX($D$2:$D$1001,404),IF(3404&lt;=5000,INDEX($E$2:$E$1001,-596),"")))))</f>
        <v/>
      </c>
    </row>
    <row r="3406">
      <c r="G3406">
        <f>IF(3405&lt;=1000,INDEX($A$2:$A$1001,3405),IF(3405&lt;=2000,INDEX($B$2:$B$1001,2405),IF(3405&lt;=3000,INDEX($C$2:$C$1001,1405),IF(3405&lt;=4000,INDEX($D$2:$D$1001,405),IF(3405&lt;=5000,INDEX($E$2:$E$1001,-595),"")))))</f>
        <v/>
      </c>
    </row>
    <row r="3407">
      <c r="G3407">
        <f>IF(3406&lt;=1000,INDEX($A$2:$A$1001,3406),IF(3406&lt;=2000,INDEX($B$2:$B$1001,2406),IF(3406&lt;=3000,INDEX($C$2:$C$1001,1406),IF(3406&lt;=4000,INDEX($D$2:$D$1001,406),IF(3406&lt;=5000,INDEX($E$2:$E$1001,-594),"")))))</f>
        <v/>
      </c>
    </row>
    <row r="3408">
      <c r="G3408">
        <f>IF(3407&lt;=1000,INDEX($A$2:$A$1001,3407),IF(3407&lt;=2000,INDEX($B$2:$B$1001,2407),IF(3407&lt;=3000,INDEX($C$2:$C$1001,1407),IF(3407&lt;=4000,INDEX($D$2:$D$1001,407),IF(3407&lt;=5000,INDEX($E$2:$E$1001,-593),"")))))</f>
        <v/>
      </c>
    </row>
    <row r="3409">
      <c r="G3409">
        <f>IF(3408&lt;=1000,INDEX($A$2:$A$1001,3408),IF(3408&lt;=2000,INDEX($B$2:$B$1001,2408),IF(3408&lt;=3000,INDEX($C$2:$C$1001,1408),IF(3408&lt;=4000,INDEX($D$2:$D$1001,408),IF(3408&lt;=5000,INDEX($E$2:$E$1001,-592),"")))))</f>
        <v/>
      </c>
    </row>
    <row r="3410">
      <c r="G3410">
        <f>IF(3409&lt;=1000,INDEX($A$2:$A$1001,3409),IF(3409&lt;=2000,INDEX($B$2:$B$1001,2409),IF(3409&lt;=3000,INDEX($C$2:$C$1001,1409),IF(3409&lt;=4000,INDEX($D$2:$D$1001,409),IF(3409&lt;=5000,INDEX($E$2:$E$1001,-591),"")))))</f>
        <v/>
      </c>
    </row>
    <row r="3411">
      <c r="G3411">
        <f>IF(3410&lt;=1000,INDEX($A$2:$A$1001,3410),IF(3410&lt;=2000,INDEX($B$2:$B$1001,2410),IF(3410&lt;=3000,INDEX($C$2:$C$1001,1410),IF(3410&lt;=4000,INDEX($D$2:$D$1001,410),IF(3410&lt;=5000,INDEX($E$2:$E$1001,-590),"")))))</f>
        <v/>
      </c>
    </row>
    <row r="3412">
      <c r="G3412">
        <f>IF(3411&lt;=1000,INDEX($A$2:$A$1001,3411),IF(3411&lt;=2000,INDEX($B$2:$B$1001,2411),IF(3411&lt;=3000,INDEX($C$2:$C$1001,1411),IF(3411&lt;=4000,INDEX($D$2:$D$1001,411),IF(3411&lt;=5000,INDEX($E$2:$E$1001,-589),"")))))</f>
        <v/>
      </c>
    </row>
    <row r="3413">
      <c r="G3413">
        <f>IF(3412&lt;=1000,INDEX($A$2:$A$1001,3412),IF(3412&lt;=2000,INDEX($B$2:$B$1001,2412),IF(3412&lt;=3000,INDEX($C$2:$C$1001,1412),IF(3412&lt;=4000,INDEX($D$2:$D$1001,412),IF(3412&lt;=5000,INDEX($E$2:$E$1001,-588),"")))))</f>
        <v/>
      </c>
    </row>
    <row r="3414">
      <c r="G3414">
        <f>IF(3413&lt;=1000,INDEX($A$2:$A$1001,3413),IF(3413&lt;=2000,INDEX($B$2:$B$1001,2413),IF(3413&lt;=3000,INDEX($C$2:$C$1001,1413),IF(3413&lt;=4000,INDEX($D$2:$D$1001,413),IF(3413&lt;=5000,INDEX($E$2:$E$1001,-587),"")))))</f>
        <v/>
      </c>
    </row>
    <row r="3415">
      <c r="G3415">
        <f>IF(3414&lt;=1000,INDEX($A$2:$A$1001,3414),IF(3414&lt;=2000,INDEX($B$2:$B$1001,2414),IF(3414&lt;=3000,INDEX($C$2:$C$1001,1414),IF(3414&lt;=4000,INDEX($D$2:$D$1001,414),IF(3414&lt;=5000,INDEX($E$2:$E$1001,-586),"")))))</f>
        <v/>
      </c>
    </row>
    <row r="3416">
      <c r="G3416">
        <f>IF(3415&lt;=1000,INDEX($A$2:$A$1001,3415),IF(3415&lt;=2000,INDEX($B$2:$B$1001,2415),IF(3415&lt;=3000,INDEX($C$2:$C$1001,1415),IF(3415&lt;=4000,INDEX($D$2:$D$1001,415),IF(3415&lt;=5000,INDEX($E$2:$E$1001,-585),"")))))</f>
        <v/>
      </c>
    </row>
    <row r="3417">
      <c r="G3417">
        <f>IF(3416&lt;=1000,INDEX($A$2:$A$1001,3416),IF(3416&lt;=2000,INDEX($B$2:$B$1001,2416),IF(3416&lt;=3000,INDEX($C$2:$C$1001,1416),IF(3416&lt;=4000,INDEX($D$2:$D$1001,416),IF(3416&lt;=5000,INDEX($E$2:$E$1001,-584),"")))))</f>
        <v/>
      </c>
    </row>
    <row r="3418">
      <c r="G3418">
        <f>IF(3417&lt;=1000,INDEX($A$2:$A$1001,3417),IF(3417&lt;=2000,INDEX($B$2:$B$1001,2417),IF(3417&lt;=3000,INDEX($C$2:$C$1001,1417),IF(3417&lt;=4000,INDEX($D$2:$D$1001,417),IF(3417&lt;=5000,INDEX($E$2:$E$1001,-583),"")))))</f>
        <v/>
      </c>
    </row>
    <row r="3419">
      <c r="G3419">
        <f>IF(3418&lt;=1000,INDEX($A$2:$A$1001,3418),IF(3418&lt;=2000,INDEX($B$2:$B$1001,2418),IF(3418&lt;=3000,INDEX($C$2:$C$1001,1418),IF(3418&lt;=4000,INDEX($D$2:$D$1001,418),IF(3418&lt;=5000,INDEX($E$2:$E$1001,-582),"")))))</f>
        <v/>
      </c>
    </row>
    <row r="3420">
      <c r="G3420">
        <f>IF(3419&lt;=1000,INDEX($A$2:$A$1001,3419),IF(3419&lt;=2000,INDEX($B$2:$B$1001,2419),IF(3419&lt;=3000,INDEX($C$2:$C$1001,1419),IF(3419&lt;=4000,INDEX($D$2:$D$1001,419),IF(3419&lt;=5000,INDEX($E$2:$E$1001,-581),"")))))</f>
        <v/>
      </c>
    </row>
    <row r="3421">
      <c r="G3421">
        <f>IF(3420&lt;=1000,INDEX($A$2:$A$1001,3420),IF(3420&lt;=2000,INDEX($B$2:$B$1001,2420),IF(3420&lt;=3000,INDEX($C$2:$C$1001,1420),IF(3420&lt;=4000,INDEX($D$2:$D$1001,420),IF(3420&lt;=5000,INDEX($E$2:$E$1001,-580),"")))))</f>
        <v/>
      </c>
    </row>
    <row r="3422">
      <c r="G3422">
        <f>IF(3421&lt;=1000,INDEX($A$2:$A$1001,3421),IF(3421&lt;=2000,INDEX($B$2:$B$1001,2421),IF(3421&lt;=3000,INDEX($C$2:$C$1001,1421),IF(3421&lt;=4000,INDEX($D$2:$D$1001,421),IF(3421&lt;=5000,INDEX($E$2:$E$1001,-579),"")))))</f>
        <v/>
      </c>
    </row>
    <row r="3423">
      <c r="G3423">
        <f>IF(3422&lt;=1000,INDEX($A$2:$A$1001,3422),IF(3422&lt;=2000,INDEX($B$2:$B$1001,2422),IF(3422&lt;=3000,INDEX($C$2:$C$1001,1422),IF(3422&lt;=4000,INDEX($D$2:$D$1001,422),IF(3422&lt;=5000,INDEX($E$2:$E$1001,-578),"")))))</f>
        <v/>
      </c>
    </row>
    <row r="3424">
      <c r="G3424">
        <f>IF(3423&lt;=1000,INDEX($A$2:$A$1001,3423),IF(3423&lt;=2000,INDEX($B$2:$B$1001,2423),IF(3423&lt;=3000,INDEX($C$2:$C$1001,1423),IF(3423&lt;=4000,INDEX($D$2:$D$1001,423),IF(3423&lt;=5000,INDEX($E$2:$E$1001,-577),"")))))</f>
        <v/>
      </c>
    </row>
    <row r="3425">
      <c r="G3425">
        <f>IF(3424&lt;=1000,INDEX($A$2:$A$1001,3424),IF(3424&lt;=2000,INDEX($B$2:$B$1001,2424),IF(3424&lt;=3000,INDEX($C$2:$C$1001,1424),IF(3424&lt;=4000,INDEX($D$2:$D$1001,424),IF(3424&lt;=5000,INDEX($E$2:$E$1001,-576),"")))))</f>
        <v/>
      </c>
    </row>
    <row r="3426">
      <c r="G3426">
        <f>IF(3425&lt;=1000,INDEX($A$2:$A$1001,3425),IF(3425&lt;=2000,INDEX($B$2:$B$1001,2425),IF(3425&lt;=3000,INDEX($C$2:$C$1001,1425),IF(3425&lt;=4000,INDEX($D$2:$D$1001,425),IF(3425&lt;=5000,INDEX($E$2:$E$1001,-575),"")))))</f>
        <v/>
      </c>
    </row>
    <row r="3427">
      <c r="G3427">
        <f>IF(3426&lt;=1000,INDEX($A$2:$A$1001,3426),IF(3426&lt;=2000,INDEX($B$2:$B$1001,2426),IF(3426&lt;=3000,INDEX($C$2:$C$1001,1426),IF(3426&lt;=4000,INDEX($D$2:$D$1001,426),IF(3426&lt;=5000,INDEX($E$2:$E$1001,-574),"")))))</f>
        <v/>
      </c>
    </row>
    <row r="3428">
      <c r="G3428">
        <f>IF(3427&lt;=1000,INDEX($A$2:$A$1001,3427),IF(3427&lt;=2000,INDEX($B$2:$B$1001,2427),IF(3427&lt;=3000,INDEX($C$2:$C$1001,1427),IF(3427&lt;=4000,INDEX($D$2:$D$1001,427),IF(3427&lt;=5000,INDEX($E$2:$E$1001,-573),"")))))</f>
        <v/>
      </c>
    </row>
    <row r="3429">
      <c r="G3429">
        <f>IF(3428&lt;=1000,INDEX($A$2:$A$1001,3428),IF(3428&lt;=2000,INDEX($B$2:$B$1001,2428),IF(3428&lt;=3000,INDEX($C$2:$C$1001,1428),IF(3428&lt;=4000,INDEX($D$2:$D$1001,428),IF(3428&lt;=5000,INDEX($E$2:$E$1001,-572),"")))))</f>
        <v/>
      </c>
    </row>
    <row r="3430">
      <c r="G3430">
        <f>IF(3429&lt;=1000,INDEX($A$2:$A$1001,3429),IF(3429&lt;=2000,INDEX($B$2:$B$1001,2429),IF(3429&lt;=3000,INDEX($C$2:$C$1001,1429),IF(3429&lt;=4000,INDEX($D$2:$D$1001,429),IF(3429&lt;=5000,INDEX($E$2:$E$1001,-571),"")))))</f>
        <v/>
      </c>
    </row>
    <row r="3431">
      <c r="G3431">
        <f>IF(3430&lt;=1000,INDEX($A$2:$A$1001,3430),IF(3430&lt;=2000,INDEX($B$2:$B$1001,2430),IF(3430&lt;=3000,INDEX($C$2:$C$1001,1430),IF(3430&lt;=4000,INDEX($D$2:$D$1001,430),IF(3430&lt;=5000,INDEX($E$2:$E$1001,-570),"")))))</f>
        <v/>
      </c>
    </row>
    <row r="3432">
      <c r="G3432">
        <f>IF(3431&lt;=1000,INDEX($A$2:$A$1001,3431),IF(3431&lt;=2000,INDEX($B$2:$B$1001,2431),IF(3431&lt;=3000,INDEX($C$2:$C$1001,1431),IF(3431&lt;=4000,INDEX($D$2:$D$1001,431),IF(3431&lt;=5000,INDEX($E$2:$E$1001,-569),"")))))</f>
        <v/>
      </c>
    </row>
    <row r="3433">
      <c r="G3433">
        <f>IF(3432&lt;=1000,INDEX($A$2:$A$1001,3432),IF(3432&lt;=2000,INDEX($B$2:$B$1001,2432),IF(3432&lt;=3000,INDEX($C$2:$C$1001,1432),IF(3432&lt;=4000,INDEX($D$2:$D$1001,432),IF(3432&lt;=5000,INDEX($E$2:$E$1001,-568),"")))))</f>
        <v/>
      </c>
    </row>
    <row r="3434">
      <c r="G3434">
        <f>IF(3433&lt;=1000,INDEX($A$2:$A$1001,3433),IF(3433&lt;=2000,INDEX($B$2:$B$1001,2433),IF(3433&lt;=3000,INDEX($C$2:$C$1001,1433),IF(3433&lt;=4000,INDEX($D$2:$D$1001,433),IF(3433&lt;=5000,INDEX($E$2:$E$1001,-567),"")))))</f>
        <v/>
      </c>
    </row>
    <row r="3435">
      <c r="G3435">
        <f>IF(3434&lt;=1000,INDEX($A$2:$A$1001,3434),IF(3434&lt;=2000,INDEX($B$2:$B$1001,2434),IF(3434&lt;=3000,INDEX($C$2:$C$1001,1434),IF(3434&lt;=4000,INDEX($D$2:$D$1001,434),IF(3434&lt;=5000,INDEX($E$2:$E$1001,-566),"")))))</f>
        <v/>
      </c>
    </row>
    <row r="3436">
      <c r="G3436">
        <f>IF(3435&lt;=1000,INDEX($A$2:$A$1001,3435),IF(3435&lt;=2000,INDEX($B$2:$B$1001,2435),IF(3435&lt;=3000,INDEX($C$2:$C$1001,1435),IF(3435&lt;=4000,INDEX($D$2:$D$1001,435),IF(3435&lt;=5000,INDEX($E$2:$E$1001,-565),"")))))</f>
        <v/>
      </c>
    </row>
    <row r="3437">
      <c r="G3437">
        <f>IF(3436&lt;=1000,INDEX($A$2:$A$1001,3436),IF(3436&lt;=2000,INDEX($B$2:$B$1001,2436),IF(3436&lt;=3000,INDEX($C$2:$C$1001,1436),IF(3436&lt;=4000,INDEX($D$2:$D$1001,436),IF(3436&lt;=5000,INDEX($E$2:$E$1001,-564),"")))))</f>
        <v/>
      </c>
    </row>
    <row r="3438">
      <c r="G3438">
        <f>IF(3437&lt;=1000,INDEX($A$2:$A$1001,3437),IF(3437&lt;=2000,INDEX($B$2:$B$1001,2437),IF(3437&lt;=3000,INDEX($C$2:$C$1001,1437),IF(3437&lt;=4000,INDEX($D$2:$D$1001,437),IF(3437&lt;=5000,INDEX($E$2:$E$1001,-563),"")))))</f>
        <v/>
      </c>
    </row>
    <row r="3439">
      <c r="G3439">
        <f>IF(3438&lt;=1000,INDEX($A$2:$A$1001,3438),IF(3438&lt;=2000,INDEX($B$2:$B$1001,2438),IF(3438&lt;=3000,INDEX($C$2:$C$1001,1438),IF(3438&lt;=4000,INDEX($D$2:$D$1001,438),IF(3438&lt;=5000,INDEX($E$2:$E$1001,-562),"")))))</f>
        <v/>
      </c>
    </row>
    <row r="3440">
      <c r="G3440">
        <f>IF(3439&lt;=1000,INDEX($A$2:$A$1001,3439),IF(3439&lt;=2000,INDEX($B$2:$B$1001,2439),IF(3439&lt;=3000,INDEX($C$2:$C$1001,1439),IF(3439&lt;=4000,INDEX($D$2:$D$1001,439),IF(3439&lt;=5000,INDEX($E$2:$E$1001,-561),"")))))</f>
        <v/>
      </c>
    </row>
    <row r="3441">
      <c r="G3441">
        <f>IF(3440&lt;=1000,INDEX($A$2:$A$1001,3440),IF(3440&lt;=2000,INDEX($B$2:$B$1001,2440),IF(3440&lt;=3000,INDEX($C$2:$C$1001,1440),IF(3440&lt;=4000,INDEX($D$2:$D$1001,440),IF(3440&lt;=5000,INDEX($E$2:$E$1001,-560),"")))))</f>
        <v/>
      </c>
    </row>
    <row r="3442">
      <c r="G3442">
        <f>IF(3441&lt;=1000,INDEX($A$2:$A$1001,3441),IF(3441&lt;=2000,INDEX($B$2:$B$1001,2441),IF(3441&lt;=3000,INDEX($C$2:$C$1001,1441),IF(3441&lt;=4000,INDEX($D$2:$D$1001,441),IF(3441&lt;=5000,INDEX($E$2:$E$1001,-559),"")))))</f>
        <v/>
      </c>
    </row>
    <row r="3443">
      <c r="G3443">
        <f>IF(3442&lt;=1000,INDEX($A$2:$A$1001,3442),IF(3442&lt;=2000,INDEX($B$2:$B$1001,2442),IF(3442&lt;=3000,INDEX($C$2:$C$1001,1442),IF(3442&lt;=4000,INDEX($D$2:$D$1001,442),IF(3442&lt;=5000,INDEX($E$2:$E$1001,-558),"")))))</f>
        <v/>
      </c>
    </row>
    <row r="3444">
      <c r="G3444">
        <f>IF(3443&lt;=1000,INDEX($A$2:$A$1001,3443),IF(3443&lt;=2000,INDEX($B$2:$B$1001,2443),IF(3443&lt;=3000,INDEX($C$2:$C$1001,1443),IF(3443&lt;=4000,INDEX($D$2:$D$1001,443),IF(3443&lt;=5000,INDEX($E$2:$E$1001,-557),"")))))</f>
        <v/>
      </c>
    </row>
    <row r="3445">
      <c r="G3445">
        <f>IF(3444&lt;=1000,INDEX($A$2:$A$1001,3444),IF(3444&lt;=2000,INDEX($B$2:$B$1001,2444),IF(3444&lt;=3000,INDEX($C$2:$C$1001,1444),IF(3444&lt;=4000,INDEX($D$2:$D$1001,444),IF(3444&lt;=5000,INDEX($E$2:$E$1001,-556),"")))))</f>
        <v/>
      </c>
    </row>
    <row r="3446">
      <c r="G3446">
        <f>IF(3445&lt;=1000,INDEX($A$2:$A$1001,3445),IF(3445&lt;=2000,INDEX($B$2:$B$1001,2445),IF(3445&lt;=3000,INDEX($C$2:$C$1001,1445),IF(3445&lt;=4000,INDEX($D$2:$D$1001,445),IF(3445&lt;=5000,INDEX($E$2:$E$1001,-555),"")))))</f>
        <v/>
      </c>
    </row>
    <row r="3447">
      <c r="G3447">
        <f>IF(3446&lt;=1000,INDEX($A$2:$A$1001,3446),IF(3446&lt;=2000,INDEX($B$2:$B$1001,2446),IF(3446&lt;=3000,INDEX($C$2:$C$1001,1446),IF(3446&lt;=4000,INDEX($D$2:$D$1001,446),IF(3446&lt;=5000,INDEX($E$2:$E$1001,-554),"")))))</f>
        <v/>
      </c>
    </row>
    <row r="3448">
      <c r="G3448">
        <f>IF(3447&lt;=1000,INDEX($A$2:$A$1001,3447),IF(3447&lt;=2000,INDEX($B$2:$B$1001,2447),IF(3447&lt;=3000,INDEX($C$2:$C$1001,1447),IF(3447&lt;=4000,INDEX($D$2:$D$1001,447),IF(3447&lt;=5000,INDEX($E$2:$E$1001,-553),"")))))</f>
        <v/>
      </c>
    </row>
    <row r="3449">
      <c r="G3449">
        <f>IF(3448&lt;=1000,INDEX($A$2:$A$1001,3448),IF(3448&lt;=2000,INDEX($B$2:$B$1001,2448),IF(3448&lt;=3000,INDEX($C$2:$C$1001,1448),IF(3448&lt;=4000,INDEX($D$2:$D$1001,448),IF(3448&lt;=5000,INDEX($E$2:$E$1001,-552),"")))))</f>
        <v/>
      </c>
    </row>
    <row r="3450">
      <c r="G3450">
        <f>IF(3449&lt;=1000,INDEX($A$2:$A$1001,3449),IF(3449&lt;=2000,INDEX($B$2:$B$1001,2449),IF(3449&lt;=3000,INDEX($C$2:$C$1001,1449),IF(3449&lt;=4000,INDEX($D$2:$D$1001,449),IF(3449&lt;=5000,INDEX($E$2:$E$1001,-551),"")))))</f>
        <v/>
      </c>
    </row>
    <row r="3451">
      <c r="G3451">
        <f>IF(3450&lt;=1000,INDEX($A$2:$A$1001,3450),IF(3450&lt;=2000,INDEX($B$2:$B$1001,2450),IF(3450&lt;=3000,INDEX($C$2:$C$1001,1450),IF(3450&lt;=4000,INDEX($D$2:$D$1001,450),IF(3450&lt;=5000,INDEX($E$2:$E$1001,-550),"")))))</f>
        <v/>
      </c>
    </row>
    <row r="3452">
      <c r="G3452">
        <f>IF(3451&lt;=1000,INDEX($A$2:$A$1001,3451),IF(3451&lt;=2000,INDEX($B$2:$B$1001,2451),IF(3451&lt;=3000,INDEX($C$2:$C$1001,1451),IF(3451&lt;=4000,INDEX($D$2:$D$1001,451),IF(3451&lt;=5000,INDEX($E$2:$E$1001,-549),"")))))</f>
        <v/>
      </c>
    </row>
    <row r="3453">
      <c r="G3453">
        <f>IF(3452&lt;=1000,INDEX($A$2:$A$1001,3452),IF(3452&lt;=2000,INDEX($B$2:$B$1001,2452),IF(3452&lt;=3000,INDEX($C$2:$C$1001,1452),IF(3452&lt;=4000,INDEX($D$2:$D$1001,452),IF(3452&lt;=5000,INDEX($E$2:$E$1001,-548),"")))))</f>
        <v/>
      </c>
    </row>
    <row r="3454">
      <c r="G3454">
        <f>IF(3453&lt;=1000,INDEX($A$2:$A$1001,3453),IF(3453&lt;=2000,INDEX($B$2:$B$1001,2453),IF(3453&lt;=3000,INDEX($C$2:$C$1001,1453),IF(3453&lt;=4000,INDEX($D$2:$D$1001,453),IF(3453&lt;=5000,INDEX($E$2:$E$1001,-547),"")))))</f>
        <v/>
      </c>
    </row>
    <row r="3455">
      <c r="G3455">
        <f>IF(3454&lt;=1000,INDEX($A$2:$A$1001,3454),IF(3454&lt;=2000,INDEX($B$2:$B$1001,2454),IF(3454&lt;=3000,INDEX($C$2:$C$1001,1454),IF(3454&lt;=4000,INDEX($D$2:$D$1001,454),IF(3454&lt;=5000,INDEX($E$2:$E$1001,-546),"")))))</f>
        <v/>
      </c>
    </row>
    <row r="3456">
      <c r="G3456">
        <f>IF(3455&lt;=1000,INDEX($A$2:$A$1001,3455),IF(3455&lt;=2000,INDEX($B$2:$B$1001,2455),IF(3455&lt;=3000,INDEX($C$2:$C$1001,1455),IF(3455&lt;=4000,INDEX($D$2:$D$1001,455),IF(3455&lt;=5000,INDEX($E$2:$E$1001,-545),"")))))</f>
        <v/>
      </c>
    </row>
    <row r="3457">
      <c r="G3457">
        <f>IF(3456&lt;=1000,INDEX($A$2:$A$1001,3456),IF(3456&lt;=2000,INDEX($B$2:$B$1001,2456),IF(3456&lt;=3000,INDEX($C$2:$C$1001,1456),IF(3456&lt;=4000,INDEX($D$2:$D$1001,456),IF(3456&lt;=5000,INDEX($E$2:$E$1001,-544),"")))))</f>
        <v/>
      </c>
    </row>
    <row r="3458">
      <c r="G3458">
        <f>IF(3457&lt;=1000,INDEX($A$2:$A$1001,3457),IF(3457&lt;=2000,INDEX($B$2:$B$1001,2457),IF(3457&lt;=3000,INDEX($C$2:$C$1001,1457),IF(3457&lt;=4000,INDEX($D$2:$D$1001,457),IF(3457&lt;=5000,INDEX($E$2:$E$1001,-543),"")))))</f>
        <v/>
      </c>
    </row>
    <row r="3459">
      <c r="G3459">
        <f>IF(3458&lt;=1000,INDEX($A$2:$A$1001,3458),IF(3458&lt;=2000,INDEX($B$2:$B$1001,2458),IF(3458&lt;=3000,INDEX($C$2:$C$1001,1458),IF(3458&lt;=4000,INDEX($D$2:$D$1001,458),IF(3458&lt;=5000,INDEX($E$2:$E$1001,-542),"")))))</f>
        <v/>
      </c>
    </row>
    <row r="3460">
      <c r="G3460">
        <f>IF(3459&lt;=1000,INDEX($A$2:$A$1001,3459),IF(3459&lt;=2000,INDEX($B$2:$B$1001,2459),IF(3459&lt;=3000,INDEX($C$2:$C$1001,1459),IF(3459&lt;=4000,INDEX($D$2:$D$1001,459),IF(3459&lt;=5000,INDEX($E$2:$E$1001,-541),"")))))</f>
        <v/>
      </c>
    </row>
    <row r="3461">
      <c r="G3461">
        <f>IF(3460&lt;=1000,INDEX($A$2:$A$1001,3460),IF(3460&lt;=2000,INDEX($B$2:$B$1001,2460),IF(3460&lt;=3000,INDEX($C$2:$C$1001,1460),IF(3460&lt;=4000,INDEX($D$2:$D$1001,460),IF(3460&lt;=5000,INDEX($E$2:$E$1001,-540),"")))))</f>
        <v/>
      </c>
    </row>
    <row r="3462">
      <c r="G3462">
        <f>IF(3461&lt;=1000,INDEX($A$2:$A$1001,3461),IF(3461&lt;=2000,INDEX($B$2:$B$1001,2461),IF(3461&lt;=3000,INDEX($C$2:$C$1001,1461),IF(3461&lt;=4000,INDEX($D$2:$D$1001,461),IF(3461&lt;=5000,INDEX($E$2:$E$1001,-539),"")))))</f>
        <v/>
      </c>
    </row>
    <row r="3463">
      <c r="G3463">
        <f>IF(3462&lt;=1000,INDEX($A$2:$A$1001,3462),IF(3462&lt;=2000,INDEX($B$2:$B$1001,2462),IF(3462&lt;=3000,INDEX($C$2:$C$1001,1462),IF(3462&lt;=4000,INDEX($D$2:$D$1001,462),IF(3462&lt;=5000,INDEX($E$2:$E$1001,-538),"")))))</f>
        <v/>
      </c>
    </row>
    <row r="3464">
      <c r="G3464">
        <f>IF(3463&lt;=1000,INDEX($A$2:$A$1001,3463),IF(3463&lt;=2000,INDEX($B$2:$B$1001,2463),IF(3463&lt;=3000,INDEX($C$2:$C$1001,1463),IF(3463&lt;=4000,INDEX($D$2:$D$1001,463),IF(3463&lt;=5000,INDEX($E$2:$E$1001,-537),"")))))</f>
        <v/>
      </c>
    </row>
    <row r="3465">
      <c r="G3465">
        <f>IF(3464&lt;=1000,INDEX($A$2:$A$1001,3464),IF(3464&lt;=2000,INDEX($B$2:$B$1001,2464),IF(3464&lt;=3000,INDEX($C$2:$C$1001,1464),IF(3464&lt;=4000,INDEX($D$2:$D$1001,464),IF(3464&lt;=5000,INDEX($E$2:$E$1001,-536),"")))))</f>
        <v/>
      </c>
    </row>
    <row r="3466">
      <c r="G3466">
        <f>IF(3465&lt;=1000,INDEX($A$2:$A$1001,3465),IF(3465&lt;=2000,INDEX($B$2:$B$1001,2465),IF(3465&lt;=3000,INDEX($C$2:$C$1001,1465),IF(3465&lt;=4000,INDEX($D$2:$D$1001,465),IF(3465&lt;=5000,INDEX($E$2:$E$1001,-535),"")))))</f>
        <v/>
      </c>
    </row>
    <row r="3467">
      <c r="G3467">
        <f>IF(3466&lt;=1000,INDEX($A$2:$A$1001,3466),IF(3466&lt;=2000,INDEX($B$2:$B$1001,2466),IF(3466&lt;=3000,INDEX($C$2:$C$1001,1466),IF(3466&lt;=4000,INDEX($D$2:$D$1001,466),IF(3466&lt;=5000,INDEX($E$2:$E$1001,-534),"")))))</f>
        <v/>
      </c>
    </row>
    <row r="3468">
      <c r="G3468">
        <f>IF(3467&lt;=1000,INDEX($A$2:$A$1001,3467),IF(3467&lt;=2000,INDEX($B$2:$B$1001,2467),IF(3467&lt;=3000,INDEX($C$2:$C$1001,1467),IF(3467&lt;=4000,INDEX($D$2:$D$1001,467),IF(3467&lt;=5000,INDEX($E$2:$E$1001,-533),"")))))</f>
        <v/>
      </c>
    </row>
    <row r="3469">
      <c r="G3469">
        <f>IF(3468&lt;=1000,INDEX($A$2:$A$1001,3468),IF(3468&lt;=2000,INDEX($B$2:$B$1001,2468),IF(3468&lt;=3000,INDEX($C$2:$C$1001,1468),IF(3468&lt;=4000,INDEX($D$2:$D$1001,468),IF(3468&lt;=5000,INDEX($E$2:$E$1001,-532),"")))))</f>
        <v/>
      </c>
    </row>
    <row r="3470">
      <c r="G3470">
        <f>IF(3469&lt;=1000,INDEX($A$2:$A$1001,3469),IF(3469&lt;=2000,INDEX($B$2:$B$1001,2469),IF(3469&lt;=3000,INDEX($C$2:$C$1001,1469),IF(3469&lt;=4000,INDEX($D$2:$D$1001,469),IF(3469&lt;=5000,INDEX($E$2:$E$1001,-531),"")))))</f>
        <v/>
      </c>
    </row>
    <row r="3471">
      <c r="G3471">
        <f>IF(3470&lt;=1000,INDEX($A$2:$A$1001,3470),IF(3470&lt;=2000,INDEX($B$2:$B$1001,2470),IF(3470&lt;=3000,INDEX($C$2:$C$1001,1470),IF(3470&lt;=4000,INDEX($D$2:$D$1001,470),IF(3470&lt;=5000,INDEX($E$2:$E$1001,-530),"")))))</f>
        <v/>
      </c>
    </row>
    <row r="3472">
      <c r="G3472">
        <f>IF(3471&lt;=1000,INDEX($A$2:$A$1001,3471),IF(3471&lt;=2000,INDEX($B$2:$B$1001,2471),IF(3471&lt;=3000,INDEX($C$2:$C$1001,1471),IF(3471&lt;=4000,INDEX($D$2:$D$1001,471),IF(3471&lt;=5000,INDEX($E$2:$E$1001,-529),"")))))</f>
        <v/>
      </c>
    </row>
    <row r="3473">
      <c r="G3473">
        <f>IF(3472&lt;=1000,INDEX($A$2:$A$1001,3472),IF(3472&lt;=2000,INDEX($B$2:$B$1001,2472),IF(3472&lt;=3000,INDEX($C$2:$C$1001,1472),IF(3472&lt;=4000,INDEX($D$2:$D$1001,472),IF(3472&lt;=5000,INDEX($E$2:$E$1001,-528),"")))))</f>
        <v/>
      </c>
    </row>
    <row r="3474">
      <c r="G3474">
        <f>IF(3473&lt;=1000,INDEX($A$2:$A$1001,3473),IF(3473&lt;=2000,INDEX($B$2:$B$1001,2473),IF(3473&lt;=3000,INDEX($C$2:$C$1001,1473),IF(3473&lt;=4000,INDEX($D$2:$D$1001,473),IF(3473&lt;=5000,INDEX($E$2:$E$1001,-527),"")))))</f>
        <v/>
      </c>
    </row>
    <row r="3475">
      <c r="G3475">
        <f>IF(3474&lt;=1000,INDEX($A$2:$A$1001,3474),IF(3474&lt;=2000,INDEX($B$2:$B$1001,2474),IF(3474&lt;=3000,INDEX($C$2:$C$1001,1474),IF(3474&lt;=4000,INDEX($D$2:$D$1001,474),IF(3474&lt;=5000,INDEX($E$2:$E$1001,-526),"")))))</f>
        <v/>
      </c>
    </row>
    <row r="3476">
      <c r="G3476">
        <f>IF(3475&lt;=1000,INDEX($A$2:$A$1001,3475),IF(3475&lt;=2000,INDEX($B$2:$B$1001,2475),IF(3475&lt;=3000,INDEX($C$2:$C$1001,1475),IF(3475&lt;=4000,INDEX($D$2:$D$1001,475),IF(3475&lt;=5000,INDEX($E$2:$E$1001,-525),"")))))</f>
        <v/>
      </c>
    </row>
    <row r="3477">
      <c r="G3477">
        <f>IF(3476&lt;=1000,INDEX($A$2:$A$1001,3476),IF(3476&lt;=2000,INDEX($B$2:$B$1001,2476),IF(3476&lt;=3000,INDEX($C$2:$C$1001,1476),IF(3476&lt;=4000,INDEX($D$2:$D$1001,476),IF(3476&lt;=5000,INDEX($E$2:$E$1001,-524),"")))))</f>
        <v/>
      </c>
    </row>
    <row r="3478">
      <c r="G3478">
        <f>IF(3477&lt;=1000,INDEX($A$2:$A$1001,3477),IF(3477&lt;=2000,INDEX($B$2:$B$1001,2477),IF(3477&lt;=3000,INDEX($C$2:$C$1001,1477),IF(3477&lt;=4000,INDEX($D$2:$D$1001,477),IF(3477&lt;=5000,INDEX($E$2:$E$1001,-523),"")))))</f>
        <v/>
      </c>
    </row>
    <row r="3479">
      <c r="G3479">
        <f>IF(3478&lt;=1000,INDEX($A$2:$A$1001,3478),IF(3478&lt;=2000,INDEX($B$2:$B$1001,2478),IF(3478&lt;=3000,INDEX($C$2:$C$1001,1478),IF(3478&lt;=4000,INDEX($D$2:$D$1001,478),IF(3478&lt;=5000,INDEX($E$2:$E$1001,-522),"")))))</f>
        <v/>
      </c>
    </row>
    <row r="3480">
      <c r="G3480">
        <f>IF(3479&lt;=1000,INDEX($A$2:$A$1001,3479),IF(3479&lt;=2000,INDEX($B$2:$B$1001,2479),IF(3479&lt;=3000,INDEX($C$2:$C$1001,1479),IF(3479&lt;=4000,INDEX($D$2:$D$1001,479),IF(3479&lt;=5000,INDEX($E$2:$E$1001,-521),"")))))</f>
        <v/>
      </c>
    </row>
    <row r="3481">
      <c r="G3481">
        <f>IF(3480&lt;=1000,INDEX($A$2:$A$1001,3480),IF(3480&lt;=2000,INDEX($B$2:$B$1001,2480),IF(3480&lt;=3000,INDEX($C$2:$C$1001,1480),IF(3480&lt;=4000,INDEX($D$2:$D$1001,480),IF(3480&lt;=5000,INDEX($E$2:$E$1001,-520),"")))))</f>
        <v/>
      </c>
    </row>
    <row r="3482">
      <c r="G3482">
        <f>IF(3481&lt;=1000,INDEX($A$2:$A$1001,3481),IF(3481&lt;=2000,INDEX($B$2:$B$1001,2481),IF(3481&lt;=3000,INDEX($C$2:$C$1001,1481),IF(3481&lt;=4000,INDEX($D$2:$D$1001,481),IF(3481&lt;=5000,INDEX($E$2:$E$1001,-519),"")))))</f>
        <v/>
      </c>
    </row>
    <row r="3483">
      <c r="G3483">
        <f>IF(3482&lt;=1000,INDEX($A$2:$A$1001,3482),IF(3482&lt;=2000,INDEX($B$2:$B$1001,2482),IF(3482&lt;=3000,INDEX($C$2:$C$1001,1482),IF(3482&lt;=4000,INDEX($D$2:$D$1001,482),IF(3482&lt;=5000,INDEX($E$2:$E$1001,-518),"")))))</f>
        <v/>
      </c>
    </row>
    <row r="3484">
      <c r="G3484">
        <f>IF(3483&lt;=1000,INDEX($A$2:$A$1001,3483),IF(3483&lt;=2000,INDEX($B$2:$B$1001,2483),IF(3483&lt;=3000,INDEX($C$2:$C$1001,1483),IF(3483&lt;=4000,INDEX($D$2:$D$1001,483),IF(3483&lt;=5000,INDEX($E$2:$E$1001,-517),"")))))</f>
        <v/>
      </c>
    </row>
    <row r="3485">
      <c r="G3485">
        <f>IF(3484&lt;=1000,INDEX($A$2:$A$1001,3484),IF(3484&lt;=2000,INDEX($B$2:$B$1001,2484),IF(3484&lt;=3000,INDEX($C$2:$C$1001,1484),IF(3484&lt;=4000,INDEX($D$2:$D$1001,484),IF(3484&lt;=5000,INDEX($E$2:$E$1001,-516),"")))))</f>
        <v/>
      </c>
    </row>
    <row r="3486">
      <c r="G3486">
        <f>IF(3485&lt;=1000,INDEX($A$2:$A$1001,3485),IF(3485&lt;=2000,INDEX($B$2:$B$1001,2485),IF(3485&lt;=3000,INDEX($C$2:$C$1001,1485),IF(3485&lt;=4000,INDEX($D$2:$D$1001,485),IF(3485&lt;=5000,INDEX($E$2:$E$1001,-515),"")))))</f>
        <v/>
      </c>
    </row>
    <row r="3487">
      <c r="G3487">
        <f>IF(3486&lt;=1000,INDEX($A$2:$A$1001,3486),IF(3486&lt;=2000,INDEX($B$2:$B$1001,2486),IF(3486&lt;=3000,INDEX($C$2:$C$1001,1486),IF(3486&lt;=4000,INDEX($D$2:$D$1001,486),IF(3486&lt;=5000,INDEX($E$2:$E$1001,-514),"")))))</f>
        <v/>
      </c>
    </row>
    <row r="3488">
      <c r="G3488">
        <f>IF(3487&lt;=1000,INDEX($A$2:$A$1001,3487),IF(3487&lt;=2000,INDEX($B$2:$B$1001,2487),IF(3487&lt;=3000,INDEX($C$2:$C$1001,1487),IF(3487&lt;=4000,INDEX($D$2:$D$1001,487),IF(3487&lt;=5000,INDEX($E$2:$E$1001,-513),"")))))</f>
        <v/>
      </c>
    </row>
    <row r="3489">
      <c r="G3489">
        <f>IF(3488&lt;=1000,INDEX($A$2:$A$1001,3488),IF(3488&lt;=2000,INDEX($B$2:$B$1001,2488),IF(3488&lt;=3000,INDEX($C$2:$C$1001,1488),IF(3488&lt;=4000,INDEX($D$2:$D$1001,488),IF(3488&lt;=5000,INDEX($E$2:$E$1001,-512),"")))))</f>
        <v/>
      </c>
    </row>
    <row r="3490">
      <c r="G3490">
        <f>IF(3489&lt;=1000,INDEX($A$2:$A$1001,3489),IF(3489&lt;=2000,INDEX($B$2:$B$1001,2489),IF(3489&lt;=3000,INDEX($C$2:$C$1001,1489),IF(3489&lt;=4000,INDEX($D$2:$D$1001,489),IF(3489&lt;=5000,INDEX($E$2:$E$1001,-511),"")))))</f>
        <v/>
      </c>
    </row>
    <row r="3491">
      <c r="G3491">
        <f>IF(3490&lt;=1000,INDEX($A$2:$A$1001,3490),IF(3490&lt;=2000,INDEX($B$2:$B$1001,2490),IF(3490&lt;=3000,INDEX($C$2:$C$1001,1490),IF(3490&lt;=4000,INDEX($D$2:$D$1001,490),IF(3490&lt;=5000,INDEX($E$2:$E$1001,-510),"")))))</f>
        <v/>
      </c>
    </row>
    <row r="3492">
      <c r="G3492">
        <f>IF(3491&lt;=1000,INDEX($A$2:$A$1001,3491),IF(3491&lt;=2000,INDEX($B$2:$B$1001,2491),IF(3491&lt;=3000,INDEX($C$2:$C$1001,1491),IF(3491&lt;=4000,INDEX($D$2:$D$1001,491),IF(3491&lt;=5000,INDEX($E$2:$E$1001,-509),"")))))</f>
        <v/>
      </c>
    </row>
    <row r="3493">
      <c r="G3493">
        <f>IF(3492&lt;=1000,INDEX($A$2:$A$1001,3492),IF(3492&lt;=2000,INDEX($B$2:$B$1001,2492),IF(3492&lt;=3000,INDEX($C$2:$C$1001,1492),IF(3492&lt;=4000,INDEX($D$2:$D$1001,492),IF(3492&lt;=5000,INDEX($E$2:$E$1001,-508),"")))))</f>
        <v/>
      </c>
    </row>
    <row r="3494">
      <c r="G3494">
        <f>IF(3493&lt;=1000,INDEX($A$2:$A$1001,3493),IF(3493&lt;=2000,INDEX($B$2:$B$1001,2493),IF(3493&lt;=3000,INDEX($C$2:$C$1001,1493),IF(3493&lt;=4000,INDEX($D$2:$D$1001,493),IF(3493&lt;=5000,INDEX($E$2:$E$1001,-507),"")))))</f>
        <v/>
      </c>
    </row>
    <row r="3495">
      <c r="G3495">
        <f>IF(3494&lt;=1000,INDEX($A$2:$A$1001,3494),IF(3494&lt;=2000,INDEX($B$2:$B$1001,2494),IF(3494&lt;=3000,INDEX($C$2:$C$1001,1494),IF(3494&lt;=4000,INDEX($D$2:$D$1001,494),IF(3494&lt;=5000,INDEX($E$2:$E$1001,-506),"")))))</f>
        <v/>
      </c>
    </row>
    <row r="3496">
      <c r="G3496">
        <f>IF(3495&lt;=1000,INDEX($A$2:$A$1001,3495),IF(3495&lt;=2000,INDEX($B$2:$B$1001,2495),IF(3495&lt;=3000,INDEX($C$2:$C$1001,1495),IF(3495&lt;=4000,INDEX($D$2:$D$1001,495),IF(3495&lt;=5000,INDEX($E$2:$E$1001,-505),"")))))</f>
        <v/>
      </c>
    </row>
    <row r="3497">
      <c r="G3497">
        <f>IF(3496&lt;=1000,INDEX($A$2:$A$1001,3496),IF(3496&lt;=2000,INDEX($B$2:$B$1001,2496),IF(3496&lt;=3000,INDEX($C$2:$C$1001,1496),IF(3496&lt;=4000,INDEX($D$2:$D$1001,496),IF(3496&lt;=5000,INDEX($E$2:$E$1001,-504),"")))))</f>
        <v/>
      </c>
    </row>
    <row r="3498">
      <c r="G3498">
        <f>IF(3497&lt;=1000,INDEX($A$2:$A$1001,3497),IF(3497&lt;=2000,INDEX($B$2:$B$1001,2497),IF(3497&lt;=3000,INDEX($C$2:$C$1001,1497),IF(3497&lt;=4000,INDEX($D$2:$D$1001,497),IF(3497&lt;=5000,INDEX($E$2:$E$1001,-503),"")))))</f>
        <v/>
      </c>
    </row>
    <row r="3499">
      <c r="G3499">
        <f>IF(3498&lt;=1000,INDEX($A$2:$A$1001,3498),IF(3498&lt;=2000,INDEX($B$2:$B$1001,2498),IF(3498&lt;=3000,INDEX($C$2:$C$1001,1498),IF(3498&lt;=4000,INDEX($D$2:$D$1001,498),IF(3498&lt;=5000,INDEX($E$2:$E$1001,-502),"")))))</f>
        <v/>
      </c>
    </row>
    <row r="3500">
      <c r="G3500">
        <f>IF(3499&lt;=1000,INDEX($A$2:$A$1001,3499),IF(3499&lt;=2000,INDEX($B$2:$B$1001,2499),IF(3499&lt;=3000,INDEX($C$2:$C$1001,1499),IF(3499&lt;=4000,INDEX($D$2:$D$1001,499),IF(3499&lt;=5000,INDEX($E$2:$E$1001,-501),"")))))</f>
        <v/>
      </c>
    </row>
    <row r="3501">
      <c r="G3501">
        <f>IF(3500&lt;=1000,INDEX($A$2:$A$1001,3500),IF(3500&lt;=2000,INDEX($B$2:$B$1001,2500),IF(3500&lt;=3000,INDEX($C$2:$C$1001,1500),IF(3500&lt;=4000,INDEX($D$2:$D$1001,500),IF(3500&lt;=5000,INDEX($E$2:$E$1001,-500),"")))))</f>
        <v/>
      </c>
    </row>
    <row r="3502">
      <c r="G3502">
        <f>IF(3501&lt;=1000,INDEX($A$2:$A$1001,3501),IF(3501&lt;=2000,INDEX($B$2:$B$1001,2501),IF(3501&lt;=3000,INDEX($C$2:$C$1001,1501),IF(3501&lt;=4000,INDEX($D$2:$D$1001,501),IF(3501&lt;=5000,INDEX($E$2:$E$1001,-499),"")))))</f>
        <v/>
      </c>
    </row>
    <row r="3503">
      <c r="G3503">
        <f>IF(3502&lt;=1000,INDEX($A$2:$A$1001,3502),IF(3502&lt;=2000,INDEX($B$2:$B$1001,2502),IF(3502&lt;=3000,INDEX($C$2:$C$1001,1502),IF(3502&lt;=4000,INDEX($D$2:$D$1001,502),IF(3502&lt;=5000,INDEX($E$2:$E$1001,-498),"")))))</f>
        <v/>
      </c>
    </row>
    <row r="3504">
      <c r="G3504">
        <f>IF(3503&lt;=1000,INDEX($A$2:$A$1001,3503),IF(3503&lt;=2000,INDEX($B$2:$B$1001,2503),IF(3503&lt;=3000,INDEX($C$2:$C$1001,1503),IF(3503&lt;=4000,INDEX($D$2:$D$1001,503),IF(3503&lt;=5000,INDEX($E$2:$E$1001,-497),"")))))</f>
        <v/>
      </c>
    </row>
    <row r="3505">
      <c r="G3505">
        <f>IF(3504&lt;=1000,INDEX($A$2:$A$1001,3504),IF(3504&lt;=2000,INDEX($B$2:$B$1001,2504),IF(3504&lt;=3000,INDEX($C$2:$C$1001,1504),IF(3504&lt;=4000,INDEX($D$2:$D$1001,504),IF(3504&lt;=5000,INDEX($E$2:$E$1001,-496),"")))))</f>
        <v/>
      </c>
    </row>
    <row r="3506">
      <c r="G3506">
        <f>IF(3505&lt;=1000,INDEX($A$2:$A$1001,3505),IF(3505&lt;=2000,INDEX($B$2:$B$1001,2505),IF(3505&lt;=3000,INDEX($C$2:$C$1001,1505),IF(3505&lt;=4000,INDEX($D$2:$D$1001,505),IF(3505&lt;=5000,INDEX($E$2:$E$1001,-495),"")))))</f>
        <v/>
      </c>
    </row>
    <row r="3507">
      <c r="G3507">
        <f>IF(3506&lt;=1000,INDEX($A$2:$A$1001,3506),IF(3506&lt;=2000,INDEX($B$2:$B$1001,2506),IF(3506&lt;=3000,INDEX($C$2:$C$1001,1506),IF(3506&lt;=4000,INDEX($D$2:$D$1001,506),IF(3506&lt;=5000,INDEX($E$2:$E$1001,-494),"")))))</f>
        <v/>
      </c>
    </row>
    <row r="3508">
      <c r="G3508">
        <f>IF(3507&lt;=1000,INDEX($A$2:$A$1001,3507),IF(3507&lt;=2000,INDEX($B$2:$B$1001,2507),IF(3507&lt;=3000,INDEX($C$2:$C$1001,1507),IF(3507&lt;=4000,INDEX($D$2:$D$1001,507),IF(3507&lt;=5000,INDEX($E$2:$E$1001,-493),"")))))</f>
        <v/>
      </c>
    </row>
    <row r="3509">
      <c r="G3509">
        <f>IF(3508&lt;=1000,INDEX($A$2:$A$1001,3508),IF(3508&lt;=2000,INDEX($B$2:$B$1001,2508),IF(3508&lt;=3000,INDEX($C$2:$C$1001,1508),IF(3508&lt;=4000,INDEX($D$2:$D$1001,508),IF(3508&lt;=5000,INDEX($E$2:$E$1001,-492),"")))))</f>
        <v/>
      </c>
    </row>
    <row r="3510">
      <c r="G3510">
        <f>IF(3509&lt;=1000,INDEX($A$2:$A$1001,3509),IF(3509&lt;=2000,INDEX($B$2:$B$1001,2509),IF(3509&lt;=3000,INDEX($C$2:$C$1001,1509),IF(3509&lt;=4000,INDEX($D$2:$D$1001,509),IF(3509&lt;=5000,INDEX($E$2:$E$1001,-491),"")))))</f>
        <v/>
      </c>
    </row>
    <row r="3511">
      <c r="G3511">
        <f>IF(3510&lt;=1000,INDEX($A$2:$A$1001,3510),IF(3510&lt;=2000,INDEX($B$2:$B$1001,2510),IF(3510&lt;=3000,INDEX($C$2:$C$1001,1510),IF(3510&lt;=4000,INDEX($D$2:$D$1001,510),IF(3510&lt;=5000,INDEX($E$2:$E$1001,-490),"")))))</f>
        <v/>
      </c>
    </row>
    <row r="3512">
      <c r="G3512">
        <f>IF(3511&lt;=1000,INDEX($A$2:$A$1001,3511),IF(3511&lt;=2000,INDEX($B$2:$B$1001,2511),IF(3511&lt;=3000,INDEX($C$2:$C$1001,1511),IF(3511&lt;=4000,INDEX($D$2:$D$1001,511),IF(3511&lt;=5000,INDEX($E$2:$E$1001,-489),"")))))</f>
        <v/>
      </c>
    </row>
    <row r="3513">
      <c r="G3513">
        <f>IF(3512&lt;=1000,INDEX($A$2:$A$1001,3512),IF(3512&lt;=2000,INDEX($B$2:$B$1001,2512),IF(3512&lt;=3000,INDEX($C$2:$C$1001,1512),IF(3512&lt;=4000,INDEX($D$2:$D$1001,512),IF(3512&lt;=5000,INDEX($E$2:$E$1001,-488),"")))))</f>
        <v/>
      </c>
    </row>
    <row r="3514">
      <c r="G3514">
        <f>IF(3513&lt;=1000,INDEX($A$2:$A$1001,3513),IF(3513&lt;=2000,INDEX($B$2:$B$1001,2513),IF(3513&lt;=3000,INDEX($C$2:$C$1001,1513),IF(3513&lt;=4000,INDEX($D$2:$D$1001,513),IF(3513&lt;=5000,INDEX($E$2:$E$1001,-487),"")))))</f>
        <v/>
      </c>
    </row>
    <row r="3515">
      <c r="G3515">
        <f>IF(3514&lt;=1000,INDEX($A$2:$A$1001,3514),IF(3514&lt;=2000,INDEX($B$2:$B$1001,2514),IF(3514&lt;=3000,INDEX($C$2:$C$1001,1514),IF(3514&lt;=4000,INDEX($D$2:$D$1001,514),IF(3514&lt;=5000,INDEX($E$2:$E$1001,-486),"")))))</f>
        <v/>
      </c>
    </row>
    <row r="3516">
      <c r="G3516">
        <f>IF(3515&lt;=1000,INDEX($A$2:$A$1001,3515),IF(3515&lt;=2000,INDEX($B$2:$B$1001,2515),IF(3515&lt;=3000,INDEX($C$2:$C$1001,1515),IF(3515&lt;=4000,INDEX($D$2:$D$1001,515),IF(3515&lt;=5000,INDEX($E$2:$E$1001,-485),"")))))</f>
        <v/>
      </c>
    </row>
    <row r="3517">
      <c r="G3517">
        <f>IF(3516&lt;=1000,INDEX($A$2:$A$1001,3516),IF(3516&lt;=2000,INDEX($B$2:$B$1001,2516),IF(3516&lt;=3000,INDEX($C$2:$C$1001,1516),IF(3516&lt;=4000,INDEX($D$2:$D$1001,516),IF(3516&lt;=5000,INDEX($E$2:$E$1001,-484),"")))))</f>
        <v/>
      </c>
    </row>
    <row r="3518">
      <c r="G3518">
        <f>IF(3517&lt;=1000,INDEX($A$2:$A$1001,3517),IF(3517&lt;=2000,INDEX($B$2:$B$1001,2517),IF(3517&lt;=3000,INDEX($C$2:$C$1001,1517),IF(3517&lt;=4000,INDEX($D$2:$D$1001,517),IF(3517&lt;=5000,INDEX($E$2:$E$1001,-483),"")))))</f>
        <v/>
      </c>
    </row>
    <row r="3519">
      <c r="G3519">
        <f>IF(3518&lt;=1000,INDEX($A$2:$A$1001,3518),IF(3518&lt;=2000,INDEX($B$2:$B$1001,2518),IF(3518&lt;=3000,INDEX($C$2:$C$1001,1518),IF(3518&lt;=4000,INDEX($D$2:$D$1001,518),IF(3518&lt;=5000,INDEX($E$2:$E$1001,-482),"")))))</f>
        <v/>
      </c>
    </row>
    <row r="3520">
      <c r="G3520">
        <f>IF(3519&lt;=1000,INDEX($A$2:$A$1001,3519),IF(3519&lt;=2000,INDEX($B$2:$B$1001,2519),IF(3519&lt;=3000,INDEX($C$2:$C$1001,1519),IF(3519&lt;=4000,INDEX($D$2:$D$1001,519),IF(3519&lt;=5000,INDEX($E$2:$E$1001,-481),"")))))</f>
        <v/>
      </c>
    </row>
    <row r="3521">
      <c r="G3521">
        <f>IF(3520&lt;=1000,INDEX($A$2:$A$1001,3520),IF(3520&lt;=2000,INDEX($B$2:$B$1001,2520),IF(3520&lt;=3000,INDEX($C$2:$C$1001,1520),IF(3520&lt;=4000,INDEX($D$2:$D$1001,520),IF(3520&lt;=5000,INDEX($E$2:$E$1001,-480),"")))))</f>
        <v/>
      </c>
    </row>
    <row r="3522">
      <c r="G3522">
        <f>IF(3521&lt;=1000,INDEX($A$2:$A$1001,3521),IF(3521&lt;=2000,INDEX($B$2:$B$1001,2521),IF(3521&lt;=3000,INDEX($C$2:$C$1001,1521),IF(3521&lt;=4000,INDEX($D$2:$D$1001,521),IF(3521&lt;=5000,INDEX($E$2:$E$1001,-479),"")))))</f>
        <v/>
      </c>
    </row>
    <row r="3523">
      <c r="G3523">
        <f>IF(3522&lt;=1000,INDEX($A$2:$A$1001,3522),IF(3522&lt;=2000,INDEX($B$2:$B$1001,2522),IF(3522&lt;=3000,INDEX($C$2:$C$1001,1522),IF(3522&lt;=4000,INDEX($D$2:$D$1001,522),IF(3522&lt;=5000,INDEX($E$2:$E$1001,-478),"")))))</f>
        <v/>
      </c>
    </row>
    <row r="3524">
      <c r="G3524">
        <f>IF(3523&lt;=1000,INDEX($A$2:$A$1001,3523),IF(3523&lt;=2000,INDEX($B$2:$B$1001,2523),IF(3523&lt;=3000,INDEX($C$2:$C$1001,1523),IF(3523&lt;=4000,INDEX($D$2:$D$1001,523),IF(3523&lt;=5000,INDEX($E$2:$E$1001,-477),"")))))</f>
        <v/>
      </c>
    </row>
    <row r="3525">
      <c r="G3525">
        <f>IF(3524&lt;=1000,INDEX($A$2:$A$1001,3524),IF(3524&lt;=2000,INDEX($B$2:$B$1001,2524),IF(3524&lt;=3000,INDEX($C$2:$C$1001,1524),IF(3524&lt;=4000,INDEX($D$2:$D$1001,524),IF(3524&lt;=5000,INDEX($E$2:$E$1001,-476),"")))))</f>
        <v/>
      </c>
    </row>
    <row r="3526">
      <c r="G3526">
        <f>IF(3525&lt;=1000,INDEX($A$2:$A$1001,3525),IF(3525&lt;=2000,INDEX($B$2:$B$1001,2525),IF(3525&lt;=3000,INDEX($C$2:$C$1001,1525),IF(3525&lt;=4000,INDEX($D$2:$D$1001,525),IF(3525&lt;=5000,INDEX($E$2:$E$1001,-475),"")))))</f>
        <v/>
      </c>
    </row>
    <row r="3527">
      <c r="G3527">
        <f>IF(3526&lt;=1000,INDEX($A$2:$A$1001,3526),IF(3526&lt;=2000,INDEX($B$2:$B$1001,2526),IF(3526&lt;=3000,INDEX($C$2:$C$1001,1526),IF(3526&lt;=4000,INDEX($D$2:$D$1001,526),IF(3526&lt;=5000,INDEX($E$2:$E$1001,-474),"")))))</f>
        <v/>
      </c>
    </row>
    <row r="3528">
      <c r="G3528">
        <f>IF(3527&lt;=1000,INDEX($A$2:$A$1001,3527),IF(3527&lt;=2000,INDEX($B$2:$B$1001,2527),IF(3527&lt;=3000,INDEX($C$2:$C$1001,1527),IF(3527&lt;=4000,INDEX($D$2:$D$1001,527),IF(3527&lt;=5000,INDEX($E$2:$E$1001,-473),"")))))</f>
        <v/>
      </c>
    </row>
    <row r="3529">
      <c r="G3529">
        <f>IF(3528&lt;=1000,INDEX($A$2:$A$1001,3528),IF(3528&lt;=2000,INDEX($B$2:$B$1001,2528),IF(3528&lt;=3000,INDEX($C$2:$C$1001,1528),IF(3528&lt;=4000,INDEX($D$2:$D$1001,528),IF(3528&lt;=5000,INDEX($E$2:$E$1001,-472),"")))))</f>
        <v/>
      </c>
    </row>
    <row r="3530">
      <c r="G3530">
        <f>IF(3529&lt;=1000,INDEX($A$2:$A$1001,3529),IF(3529&lt;=2000,INDEX($B$2:$B$1001,2529),IF(3529&lt;=3000,INDEX($C$2:$C$1001,1529),IF(3529&lt;=4000,INDEX($D$2:$D$1001,529),IF(3529&lt;=5000,INDEX($E$2:$E$1001,-471),"")))))</f>
        <v/>
      </c>
    </row>
    <row r="3531">
      <c r="G3531">
        <f>IF(3530&lt;=1000,INDEX($A$2:$A$1001,3530),IF(3530&lt;=2000,INDEX($B$2:$B$1001,2530),IF(3530&lt;=3000,INDEX($C$2:$C$1001,1530),IF(3530&lt;=4000,INDEX($D$2:$D$1001,530),IF(3530&lt;=5000,INDEX($E$2:$E$1001,-470),"")))))</f>
        <v/>
      </c>
    </row>
    <row r="3532">
      <c r="G3532">
        <f>IF(3531&lt;=1000,INDEX($A$2:$A$1001,3531),IF(3531&lt;=2000,INDEX($B$2:$B$1001,2531),IF(3531&lt;=3000,INDEX($C$2:$C$1001,1531),IF(3531&lt;=4000,INDEX($D$2:$D$1001,531),IF(3531&lt;=5000,INDEX($E$2:$E$1001,-469),"")))))</f>
        <v/>
      </c>
    </row>
    <row r="3533">
      <c r="G3533">
        <f>IF(3532&lt;=1000,INDEX($A$2:$A$1001,3532),IF(3532&lt;=2000,INDEX($B$2:$B$1001,2532),IF(3532&lt;=3000,INDEX($C$2:$C$1001,1532),IF(3532&lt;=4000,INDEX($D$2:$D$1001,532),IF(3532&lt;=5000,INDEX($E$2:$E$1001,-468),"")))))</f>
        <v/>
      </c>
    </row>
    <row r="3534">
      <c r="G3534">
        <f>IF(3533&lt;=1000,INDEX($A$2:$A$1001,3533),IF(3533&lt;=2000,INDEX($B$2:$B$1001,2533),IF(3533&lt;=3000,INDEX($C$2:$C$1001,1533),IF(3533&lt;=4000,INDEX($D$2:$D$1001,533),IF(3533&lt;=5000,INDEX($E$2:$E$1001,-467),"")))))</f>
        <v/>
      </c>
    </row>
    <row r="3535">
      <c r="G3535">
        <f>IF(3534&lt;=1000,INDEX($A$2:$A$1001,3534),IF(3534&lt;=2000,INDEX($B$2:$B$1001,2534),IF(3534&lt;=3000,INDEX($C$2:$C$1001,1534),IF(3534&lt;=4000,INDEX($D$2:$D$1001,534),IF(3534&lt;=5000,INDEX($E$2:$E$1001,-466),"")))))</f>
        <v/>
      </c>
    </row>
    <row r="3536">
      <c r="G3536">
        <f>IF(3535&lt;=1000,INDEX($A$2:$A$1001,3535),IF(3535&lt;=2000,INDEX($B$2:$B$1001,2535),IF(3535&lt;=3000,INDEX($C$2:$C$1001,1535),IF(3535&lt;=4000,INDEX($D$2:$D$1001,535),IF(3535&lt;=5000,INDEX($E$2:$E$1001,-465),"")))))</f>
        <v/>
      </c>
    </row>
    <row r="3537">
      <c r="G3537">
        <f>IF(3536&lt;=1000,INDEX($A$2:$A$1001,3536),IF(3536&lt;=2000,INDEX($B$2:$B$1001,2536),IF(3536&lt;=3000,INDEX($C$2:$C$1001,1536),IF(3536&lt;=4000,INDEX($D$2:$D$1001,536),IF(3536&lt;=5000,INDEX($E$2:$E$1001,-464),"")))))</f>
        <v/>
      </c>
    </row>
    <row r="3538">
      <c r="G3538">
        <f>IF(3537&lt;=1000,INDEX($A$2:$A$1001,3537),IF(3537&lt;=2000,INDEX($B$2:$B$1001,2537),IF(3537&lt;=3000,INDEX($C$2:$C$1001,1537),IF(3537&lt;=4000,INDEX($D$2:$D$1001,537),IF(3537&lt;=5000,INDEX($E$2:$E$1001,-463),"")))))</f>
        <v/>
      </c>
    </row>
    <row r="3539">
      <c r="G3539">
        <f>IF(3538&lt;=1000,INDEX($A$2:$A$1001,3538),IF(3538&lt;=2000,INDEX($B$2:$B$1001,2538),IF(3538&lt;=3000,INDEX($C$2:$C$1001,1538),IF(3538&lt;=4000,INDEX($D$2:$D$1001,538),IF(3538&lt;=5000,INDEX($E$2:$E$1001,-462),"")))))</f>
        <v/>
      </c>
    </row>
    <row r="3540">
      <c r="G3540">
        <f>IF(3539&lt;=1000,INDEX($A$2:$A$1001,3539),IF(3539&lt;=2000,INDEX($B$2:$B$1001,2539),IF(3539&lt;=3000,INDEX($C$2:$C$1001,1539),IF(3539&lt;=4000,INDEX($D$2:$D$1001,539),IF(3539&lt;=5000,INDEX($E$2:$E$1001,-461),"")))))</f>
        <v/>
      </c>
    </row>
    <row r="3541">
      <c r="G3541">
        <f>IF(3540&lt;=1000,INDEX($A$2:$A$1001,3540),IF(3540&lt;=2000,INDEX($B$2:$B$1001,2540),IF(3540&lt;=3000,INDEX($C$2:$C$1001,1540),IF(3540&lt;=4000,INDEX($D$2:$D$1001,540),IF(3540&lt;=5000,INDEX($E$2:$E$1001,-460),"")))))</f>
        <v/>
      </c>
    </row>
    <row r="3542">
      <c r="G3542">
        <f>IF(3541&lt;=1000,INDEX($A$2:$A$1001,3541),IF(3541&lt;=2000,INDEX($B$2:$B$1001,2541),IF(3541&lt;=3000,INDEX($C$2:$C$1001,1541),IF(3541&lt;=4000,INDEX($D$2:$D$1001,541),IF(3541&lt;=5000,INDEX($E$2:$E$1001,-459),"")))))</f>
        <v/>
      </c>
    </row>
    <row r="3543">
      <c r="G3543">
        <f>IF(3542&lt;=1000,INDEX($A$2:$A$1001,3542),IF(3542&lt;=2000,INDEX($B$2:$B$1001,2542),IF(3542&lt;=3000,INDEX($C$2:$C$1001,1542),IF(3542&lt;=4000,INDEX($D$2:$D$1001,542),IF(3542&lt;=5000,INDEX($E$2:$E$1001,-458),"")))))</f>
        <v/>
      </c>
    </row>
    <row r="3544">
      <c r="G3544">
        <f>IF(3543&lt;=1000,INDEX($A$2:$A$1001,3543),IF(3543&lt;=2000,INDEX($B$2:$B$1001,2543),IF(3543&lt;=3000,INDEX($C$2:$C$1001,1543),IF(3543&lt;=4000,INDEX($D$2:$D$1001,543),IF(3543&lt;=5000,INDEX($E$2:$E$1001,-457),"")))))</f>
        <v/>
      </c>
    </row>
    <row r="3545">
      <c r="G3545">
        <f>IF(3544&lt;=1000,INDEX($A$2:$A$1001,3544),IF(3544&lt;=2000,INDEX($B$2:$B$1001,2544),IF(3544&lt;=3000,INDEX($C$2:$C$1001,1544),IF(3544&lt;=4000,INDEX($D$2:$D$1001,544),IF(3544&lt;=5000,INDEX($E$2:$E$1001,-456),"")))))</f>
        <v/>
      </c>
    </row>
    <row r="3546">
      <c r="G3546">
        <f>IF(3545&lt;=1000,INDEX($A$2:$A$1001,3545),IF(3545&lt;=2000,INDEX($B$2:$B$1001,2545),IF(3545&lt;=3000,INDEX($C$2:$C$1001,1545),IF(3545&lt;=4000,INDEX($D$2:$D$1001,545),IF(3545&lt;=5000,INDEX($E$2:$E$1001,-455),"")))))</f>
        <v/>
      </c>
    </row>
    <row r="3547">
      <c r="G3547">
        <f>IF(3546&lt;=1000,INDEX($A$2:$A$1001,3546),IF(3546&lt;=2000,INDEX($B$2:$B$1001,2546),IF(3546&lt;=3000,INDEX($C$2:$C$1001,1546),IF(3546&lt;=4000,INDEX($D$2:$D$1001,546),IF(3546&lt;=5000,INDEX($E$2:$E$1001,-454),"")))))</f>
        <v/>
      </c>
    </row>
    <row r="3548">
      <c r="G3548">
        <f>IF(3547&lt;=1000,INDEX($A$2:$A$1001,3547),IF(3547&lt;=2000,INDEX($B$2:$B$1001,2547),IF(3547&lt;=3000,INDEX($C$2:$C$1001,1547),IF(3547&lt;=4000,INDEX($D$2:$D$1001,547),IF(3547&lt;=5000,INDEX($E$2:$E$1001,-453),"")))))</f>
        <v/>
      </c>
    </row>
    <row r="3549">
      <c r="G3549">
        <f>IF(3548&lt;=1000,INDEX($A$2:$A$1001,3548),IF(3548&lt;=2000,INDEX($B$2:$B$1001,2548),IF(3548&lt;=3000,INDEX($C$2:$C$1001,1548),IF(3548&lt;=4000,INDEX($D$2:$D$1001,548),IF(3548&lt;=5000,INDEX($E$2:$E$1001,-452),"")))))</f>
        <v/>
      </c>
    </row>
    <row r="3550">
      <c r="G3550">
        <f>IF(3549&lt;=1000,INDEX($A$2:$A$1001,3549),IF(3549&lt;=2000,INDEX($B$2:$B$1001,2549),IF(3549&lt;=3000,INDEX($C$2:$C$1001,1549),IF(3549&lt;=4000,INDEX($D$2:$D$1001,549),IF(3549&lt;=5000,INDEX($E$2:$E$1001,-451),"")))))</f>
        <v/>
      </c>
    </row>
    <row r="3551">
      <c r="G3551">
        <f>IF(3550&lt;=1000,INDEX($A$2:$A$1001,3550),IF(3550&lt;=2000,INDEX($B$2:$B$1001,2550),IF(3550&lt;=3000,INDEX($C$2:$C$1001,1550),IF(3550&lt;=4000,INDEX($D$2:$D$1001,550),IF(3550&lt;=5000,INDEX($E$2:$E$1001,-450),"")))))</f>
        <v/>
      </c>
    </row>
    <row r="3552">
      <c r="G3552">
        <f>IF(3551&lt;=1000,INDEX($A$2:$A$1001,3551),IF(3551&lt;=2000,INDEX($B$2:$B$1001,2551),IF(3551&lt;=3000,INDEX($C$2:$C$1001,1551),IF(3551&lt;=4000,INDEX($D$2:$D$1001,551),IF(3551&lt;=5000,INDEX($E$2:$E$1001,-449),"")))))</f>
        <v/>
      </c>
    </row>
    <row r="3553">
      <c r="G3553">
        <f>IF(3552&lt;=1000,INDEX($A$2:$A$1001,3552),IF(3552&lt;=2000,INDEX($B$2:$B$1001,2552),IF(3552&lt;=3000,INDEX($C$2:$C$1001,1552),IF(3552&lt;=4000,INDEX($D$2:$D$1001,552),IF(3552&lt;=5000,INDEX($E$2:$E$1001,-448),"")))))</f>
        <v/>
      </c>
    </row>
    <row r="3554">
      <c r="G3554">
        <f>IF(3553&lt;=1000,INDEX($A$2:$A$1001,3553),IF(3553&lt;=2000,INDEX($B$2:$B$1001,2553),IF(3553&lt;=3000,INDEX($C$2:$C$1001,1553),IF(3553&lt;=4000,INDEX($D$2:$D$1001,553),IF(3553&lt;=5000,INDEX($E$2:$E$1001,-447),"")))))</f>
        <v/>
      </c>
    </row>
    <row r="3555">
      <c r="G3555">
        <f>IF(3554&lt;=1000,INDEX($A$2:$A$1001,3554),IF(3554&lt;=2000,INDEX($B$2:$B$1001,2554),IF(3554&lt;=3000,INDEX($C$2:$C$1001,1554),IF(3554&lt;=4000,INDEX($D$2:$D$1001,554),IF(3554&lt;=5000,INDEX($E$2:$E$1001,-446),"")))))</f>
        <v/>
      </c>
    </row>
    <row r="3556">
      <c r="G3556">
        <f>IF(3555&lt;=1000,INDEX($A$2:$A$1001,3555),IF(3555&lt;=2000,INDEX($B$2:$B$1001,2555),IF(3555&lt;=3000,INDEX($C$2:$C$1001,1555),IF(3555&lt;=4000,INDEX($D$2:$D$1001,555),IF(3555&lt;=5000,INDEX($E$2:$E$1001,-445),"")))))</f>
        <v/>
      </c>
    </row>
    <row r="3557">
      <c r="G3557">
        <f>IF(3556&lt;=1000,INDEX($A$2:$A$1001,3556),IF(3556&lt;=2000,INDEX($B$2:$B$1001,2556),IF(3556&lt;=3000,INDEX($C$2:$C$1001,1556),IF(3556&lt;=4000,INDEX($D$2:$D$1001,556),IF(3556&lt;=5000,INDEX($E$2:$E$1001,-444),"")))))</f>
        <v/>
      </c>
    </row>
    <row r="3558">
      <c r="G3558">
        <f>IF(3557&lt;=1000,INDEX($A$2:$A$1001,3557),IF(3557&lt;=2000,INDEX($B$2:$B$1001,2557),IF(3557&lt;=3000,INDEX($C$2:$C$1001,1557),IF(3557&lt;=4000,INDEX($D$2:$D$1001,557),IF(3557&lt;=5000,INDEX($E$2:$E$1001,-443),"")))))</f>
        <v/>
      </c>
    </row>
    <row r="3559">
      <c r="G3559">
        <f>IF(3558&lt;=1000,INDEX($A$2:$A$1001,3558),IF(3558&lt;=2000,INDEX($B$2:$B$1001,2558),IF(3558&lt;=3000,INDEX($C$2:$C$1001,1558),IF(3558&lt;=4000,INDEX($D$2:$D$1001,558),IF(3558&lt;=5000,INDEX($E$2:$E$1001,-442),"")))))</f>
        <v/>
      </c>
    </row>
    <row r="3560">
      <c r="G3560">
        <f>IF(3559&lt;=1000,INDEX($A$2:$A$1001,3559),IF(3559&lt;=2000,INDEX($B$2:$B$1001,2559),IF(3559&lt;=3000,INDEX($C$2:$C$1001,1559),IF(3559&lt;=4000,INDEX($D$2:$D$1001,559),IF(3559&lt;=5000,INDEX($E$2:$E$1001,-441),"")))))</f>
        <v/>
      </c>
    </row>
    <row r="3561">
      <c r="G3561">
        <f>IF(3560&lt;=1000,INDEX($A$2:$A$1001,3560),IF(3560&lt;=2000,INDEX($B$2:$B$1001,2560),IF(3560&lt;=3000,INDEX($C$2:$C$1001,1560),IF(3560&lt;=4000,INDEX($D$2:$D$1001,560),IF(3560&lt;=5000,INDEX($E$2:$E$1001,-440),"")))))</f>
        <v/>
      </c>
    </row>
    <row r="3562">
      <c r="G3562">
        <f>IF(3561&lt;=1000,INDEX($A$2:$A$1001,3561),IF(3561&lt;=2000,INDEX($B$2:$B$1001,2561),IF(3561&lt;=3000,INDEX($C$2:$C$1001,1561),IF(3561&lt;=4000,INDEX($D$2:$D$1001,561),IF(3561&lt;=5000,INDEX($E$2:$E$1001,-439),"")))))</f>
        <v/>
      </c>
    </row>
    <row r="3563">
      <c r="G3563">
        <f>IF(3562&lt;=1000,INDEX($A$2:$A$1001,3562),IF(3562&lt;=2000,INDEX($B$2:$B$1001,2562),IF(3562&lt;=3000,INDEX($C$2:$C$1001,1562),IF(3562&lt;=4000,INDEX($D$2:$D$1001,562),IF(3562&lt;=5000,INDEX($E$2:$E$1001,-438),"")))))</f>
        <v/>
      </c>
    </row>
    <row r="3564">
      <c r="G3564">
        <f>IF(3563&lt;=1000,INDEX($A$2:$A$1001,3563),IF(3563&lt;=2000,INDEX($B$2:$B$1001,2563),IF(3563&lt;=3000,INDEX($C$2:$C$1001,1563),IF(3563&lt;=4000,INDEX($D$2:$D$1001,563),IF(3563&lt;=5000,INDEX($E$2:$E$1001,-437),"")))))</f>
        <v/>
      </c>
    </row>
    <row r="3565">
      <c r="G3565">
        <f>IF(3564&lt;=1000,INDEX($A$2:$A$1001,3564),IF(3564&lt;=2000,INDEX($B$2:$B$1001,2564),IF(3564&lt;=3000,INDEX($C$2:$C$1001,1564),IF(3564&lt;=4000,INDEX($D$2:$D$1001,564),IF(3564&lt;=5000,INDEX($E$2:$E$1001,-436),"")))))</f>
        <v/>
      </c>
    </row>
    <row r="3566">
      <c r="G3566">
        <f>IF(3565&lt;=1000,INDEX($A$2:$A$1001,3565),IF(3565&lt;=2000,INDEX($B$2:$B$1001,2565),IF(3565&lt;=3000,INDEX($C$2:$C$1001,1565),IF(3565&lt;=4000,INDEX($D$2:$D$1001,565),IF(3565&lt;=5000,INDEX($E$2:$E$1001,-435),"")))))</f>
        <v/>
      </c>
    </row>
    <row r="3567">
      <c r="G3567">
        <f>IF(3566&lt;=1000,INDEX($A$2:$A$1001,3566),IF(3566&lt;=2000,INDEX($B$2:$B$1001,2566),IF(3566&lt;=3000,INDEX($C$2:$C$1001,1566),IF(3566&lt;=4000,INDEX($D$2:$D$1001,566),IF(3566&lt;=5000,INDEX($E$2:$E$1001,-434),"")))))</f>
        <v/>
      </c>
    </row>
    <row r="3568">
      <c r="G3568">
        <f>IF(3567&lt;=1000,INDEX($A$2:$A$1001,3567),IF(3567&lt;=2000,INDEX($B$2:$B$1001,2567),IF(3567&lt;=3000,INDEX($C$2:$C$1001,1567),IF(3567&lt;=4000,INDEX($D$2:$D$1001,567),IF(3567&lt;=5000,INDEX($E$2:$E$1001,-433),"")))))</f>
        <v/>
      </c>
    </row>
    <row r="3569">
      <c r="G3569">
        <f>IF(3568&lt;=1000,INDEX($A$2:$A$1001,3568),IF(3568&lt;=2000,INDEX($B$2:$B$1001,2568),IF(3568&lt;=3000,INDEX($C$2:$C$1001,1568),IF(3568&lt;=4000,INDEX($D$2:$D$1001,568),IF(3568&lt;=5000,INDEX($E$2:$E$1001,-432),"")))))</f>
        <v/>
      </c>
    </row>
    <row r="3570">
      <c r="G3570">
        <f>IF(3569&lt;=1000,INDEX($A$2:$A$1001,3569),IF(3569&lt;=2000,INDEX($B$2:$B$1001,2569),IF(3569&lt;=3000,INDEX($C$2:$C$1001,1569),IF(3569&lt;=4000,INDEX($D$2:$D$1001,569),IF(3569&lt;=5000,INDEX($E$2:$E$1001,-431),"")))))</f>
        <v/>
      </c>
    </row>
    <row r="3571">
      <c r="G3571">
        <f>IF(3570&lt;=1000,INDEX($A$2:$A$1001,3570),IF(3570&lt;=2000,INDEX($B$2:$B$1001,2570),IF(3570&lt;=3000,INDEX($C$2:$C$1001,1570),IF(3570&lt;=4000,INDEX($D$2:$D$1001,570),IF(3570&lt;=5000,INDEX($E$2:$E$1001,-430),"")))))</f>
        <v/>
      </c>
    </row>
    <row r="3572">
      <c r="G3572">
        <f>IF(3571&lt;=1000,INDEX($A$2:$A$1001,3571),IF(3571&lt;=2000,INDEX($B$2:$B$1001,2571),IF(3571&lt;=3000,INDEX($C$2:$C$1001,1571),IF(3571&lt;=4000,INDEX($D$2:$D$1001,571),IF(3571&lt;=5000,INDEX($E$2:$E$1001,-429),"")))))</f>
        <v/>
      </c>
    </row>
    <row r="3573">
      <c r="G3573">
        <f>IF(3572&lt;=1000,INDEX($A$2:$A$1001,3572),IF(3572&lt;=2000,INDEX($B$2:$B$1001,2572),IF(3572&lt;=3000,INDEX($C$2:$C$1001,1572),IF(3572&lt;=4000,INDEX($D$2:$D$1001,572),IF(3572&lt;=5000,INDEX($E$2:$E$1001,-428),"")))))</f>
        <v/>
      </c>
    </row>
    <row r="3574">
      <c r="G3574">
        <f>IF(3573&lt;=1000,INDEX($A$2:$A$1001,3573),IF(3573&lt;=2000,INDEX($B$2:$B$1001,2573),IF(3573&lt;=3000,INDEX($C$2:$C$1001,1573),IF(3573&lt;=4000,INDEX($D$2:$D$1001,573),IF(3573&lt;=5000,INDEX($E$2:$E$1001,-427),"")))))</f>
        <v/>
      </c>
    </row>
    <row r="3575">
      <c r="G3575">
        <f>IF(3574&lt;=1000,INDEX($A$2:$A$1001,3574),IF(3574&lt;=2000,INDEX($B$2:$B$1001,2574),IF(3574&lt;=3000,INDEX($C$2:$C$1001,1574),IF(3574&lt;=4000,INDEX($D$2:$D$1001,574),IF(3574&lt;=5000,INDEX($E$2:$E$1001,-426),"")))))</f>
        <v/>
      </c>
    </row>
    <row r="3576">
      <c r="G3576">
        <f>IF(3575&lt;=1000,INDEX($A$2:$A$1001,3575),IF(3575&lt;=2000,INDEX($B$2:$B$1001,2575),IF(3575&lt;=3000,INDEX($C$2:$C$1001,1575),IF(3575&lt;=4000,INDEX($D$2:$D$1001,575),IF(3575&lt;=5000,INDEX($E$2:$E$1001,-425),"")))))</f>
        <v/>
      </c>
    </row>
    <row r="3577">
      <c r="G3577">
        <f>IF(3576&lt;=1000,INDEX($A$2:$A$1001,3576),IF(3576&lt;=2000,INDEX($B$2:$B$1001,2576),IF(3576&lt;=3000,INDEX($C$2:$C$1001,1576),IF(3576&lt;=4000,INDEX($D$2:$D$1001,576),IF(3576&lt;=5000,INDEX($E$2:$E$1001,-424),"")))))</f>
        <v/>
      </c>
    </row>
    <row r="3578">
      <c r="G3578">
        <f>IF(3577&lt;=1000,INDEX($A$2:$A$1001,3577),IF(3577&lt;=2000,INDEX($B$2:$B$1001,2577),IF(3577&lt;=3000,INDEX($C$2:$C$1001,1577),IF(3577&lt;=4000,INDEX($D$2:$D$1001,577),IF(3577&lt;=5000,INDEX($E$2:$E$1001,-423),"")))))</f>
        <v/>
      </c>
    </row>
    <row r="3579">
      <c r="G3579">
        <f>IF(3578&lt;=1000,INDEX($A$2:$A$1001,3578),IF(3578&lt;=2000,INDEX($B$2:$B$1001,2578),IF(3578&lt;=3000,INDEX($C$2:$C$1001,1578),IF(3578&lt;=4000,INDEX($D$2:$D$1001,578),IF(3578&lt;=5000,INDEX($E$2:$E$1001,-422),"")))))</f>
        <v/>
      </c>
    </row>
    <row r="3580">
      <c r="G3580">
        <f>IF(3579&lt;=1000,INDEX($A$2:$A$1001,3579),IF(3579&lt;=2000,INDEX($B$2:$B$1001,2579),IF(3579&lt;=3000,INDEX($C$2:$C$1001,1579),IF(3579&lt;=4000,INDEX($D$2:$D$1001,579),IF(3579&lt;=5000,INDEX($E$2:$E$1001,-421),"")))))</f>
        <v/>
      </c>
    </row>
    <row r="3581">
      <c r="G3581">
        <f>IF(3580&lt;=1000,INDEX($A$2:$A$1001,3580),IF(3580&lt;=2000,INDEX($B$2:$B$1001,2580),IF(3580&lt;=3000,INDEX($C$2:$C$1001,1580),IF(3580&lt;=4000,INDEX($D$2:$D$1001,580),IF(3580&lt;=5000,INDEX($E$2:$E$1001,-420),"")))))</f>
        <v/>
      </c>
    </row>
    <row r="3582">
      <c r="G3582">
        <f>IF(3581&lt;=1000,INDEX($A$2:$A$1001,3581),IF(3581&lt;=2000,INDEX($B$2:$B$1001,2581),IF(3581&lt;=3000,INDEX($C$2:$C$1001,1581),IF(3581&lt;=4000,INDEX($D$2:$D$1001,581),IF(3581&lt;=5000,INDEX($E$2:$E$1001,-419),"")))))</f>
        <v/>
      </c>
    </row>
    <row r="3583">
      <c r="G3583">
        <f>IF(3582&lt;=1000,INDEX($A$2:$A$1001,3582),IF(3582&lt;=2000,INDEX($B$2:$B$1001,2582),IF(3582&lt;=3000,INDEX($C$2:$C$1001,1582),IF(3582&lt;=4000,INDEX($D$2:$D$1001,582),IF(3582&lt;=5000,INDEX($E$2:$E$1001,-418),"")))))</f>
        <v/>
      </c>
    </row>
    <row r="3584">
      <c r="G3584">
        <f>IF(3583&lt;=1000,INDEX($A$2:$A$1001,3583),IF(3583&lt;=2000,INDEX($B$2:$B$1001,2583),IF(3583&lt;=3000,INDEX($C$2:$C$1001,1583),IF(3583&lt;=4000,INDEX($D$2:$D$1001,583),IF(3583&lt;=5000,INDEX($E$2:$E$1001,-417),"")))))</f>
        <v/>
      </c>
    </row>
    <row r="3585">
      <c r="G3585">
        <f>IF(3584&lt;=1000,INDEX($A$2:$A$1001,3584),IF(3584&lt;=2000,INDEX($B$2:$B$1001,2584),IF(3584&lt;=3000,INDEX($C$2:$C$1001,1584),IF(3584&lt;=4000,INDEX($D$2:$D$1001,584),IF(3584&lt;=5000,INDEX($E$2:$E$1001,-416),"")))))</f>
        <v/>
      </c>
    </row>
    <row r="3586">
      <c r="G3586">
        <f>IF(3585&lt;=1000,INDEX($A$2:$A$1001,3585),IF(3585&lt;=2000,INDEX($B$2:$B$1001,2585),IF(3585&lt;=3000,INDEX($C$2:$C$1001,1585),IF(3585&lt;=4000,INDEX($D$2:$D$1001,585),IF(3585&lt;=5000,INDEX($E$2:$E$1001,-415),"")))))</f>
        <v/>
      </c>
    </row>
    <row r="3587">
      <c r="G3587">
        <f>IF(3586&lt;=1000,INDEX($A$2:$A$1001,3586),IF(3586&lt;=2000,INDEX($B$2:$B$1001,2586),IF(3586&lt;=3000,INDEX($C$2:$C$1001,1586),IF(3586&lt;=4000,INDEX($D$2:$D$1001,586),IF(3586&lt;=5000,INDEX($E$2:$E$1001,-414),"")))))</f>
        <v/>
      </c>
    </row>
    <row r="3588">
      <c r="G3588">
        <f>IF(3587&lt;=1000,INDEX($A$2:$A$1001,3587),IF(3587&lt;=2000,INDEX($B$2:$B$1001,2587),IF(3587&lt;=3000,INDEX($C$2:$C$1001,1587),IF(3587&lt;=4000,INDEX($D$2:$D$1001,587),IF(3587&lt;=5000,INDEX($E$2:$E$1001,-413),"")))))</f>
        <v/>
      </c>
    </row>
    <row r="3589">
      <c r="G3589">
        <f>IF(3588&lt;=1000,INDEX($A$2:$A$1001,3588),IF(3588&lt;=2000,INDEX($B$2:$B$1001,2588),IF(3588&lt;=3000,INDEX($C$2:$C$1001,1588),IF(3588&lt;=4000,INDEX($D$2:$D$1001,588),IF(3588&lt;=5000,INDEX($E$2:$E$1001,-412),"")))))</f>
        <v/>
      </c>
    </row>
    <row r="3590">
      <c r="G3590">
        <f>IF(3589&lt;=1000,INDEX($A$2:$A$1001,3589),IF(3589&lt;=2000,INDEX($B$2:$B$1001,2589),IF(3589&lt;=3000,INDEX($C$2:$C$1001,1589),IF(3589&lt;=4000,INDEX($D$2:$D$1001,589),IF(3589&lt;=5000,INDEX($E$2:$E$1001,-411),"")))))</f>
        <v/>
      </c>
    </row>
    <row r="3591">
      <c r="G3591">
        <f>IF(3590&lt;=1000,INDEX($A$2:$A$1001,3590),IF(3590&lt;=2000,INDEX($B$2:$B$1001,2590),IF(3590&lt;=3000,INDEX($C$2:$C$1001,1590),IF(3590&lt;=4000,INDEX($D$2:$D$1001,590),IF(3590&lt;=5000,INDEX($E$2:$E$1001,-410),"")))))</f>
        <v/>
      </c>
    </row>
    <row r="3592">
      <c r="G3592">
        <f>IF(3591&lt;=1000,INDEX($A$2:$A$1001,3591),IF(3591&lt;=2000,INDEX($B$2:$B$1001,2591),IF(3591&lt;=3000,INDEX($C$2:$C$1001,1591),IF(3591&lt;=4000,INDEX($D$2:$D$1001,591),IF(3591&lt;=5000,INDEX($E$2:$E$1001,-409),"")))))</f>
        <v/>
      </c>
    </row>
    <row r="3593">
      <c r="G3593">
        <f>IF(3592&lt;=1000,INDEX($A$2:$A$1001,3592),IF(3592&lt;=2000,INDEX($B$2:$B$1001,2592),IF(3592&lt;=3000,INDEX($C$2:$C$1001,1592),IF(3592&lt;=4000,INDEX($D$2:$D$1001,592),IF(3592&lt;=5000,INDEX($E$2:$E$1001,-408),"")))))</f>
        <v/>
      </c>
    </row>
    <row r="3594">
      <c r="G3594">
        <f>IF(3593&lt;=1000,INDEX($A$2:$A$1001,3593),IF(3593&lt;=2000,INDEX($B$2:$B$1001,2593),IF(3593&lt;=3000,INDEX($C$2:$C$1001,1593),IF(3593&lt;=4000,INDEX($D$2:$D$1001,593),IF(3593&lt;=5000,INDEX($E$2:$E$1001,-407),"")))))</f>
        <v/>
      </c>
    </row>
    <row r="3595">
      <c r="G3595">
        <f>IF(3594&lt;=1000,INDEX($A$2:$A$1001,3594),IF(3594&lt;=2000,INDEX($B$2:$B$1001,2594),IF(3594&lt;=3000,INDEX($C$2:$C$1001,1594),IF(3594&lt;=4000,INDEX($D$2:$D$1001,594),IF(3594&lt;=5000,INDEX($E$2:$E$1001,-406),"")))))</f>
        <v/>
      </c>
    </row>
    <row r="3596">
      <c r="G3596">
        <f>IF(3595&lt;=1000,INDEX($A$2:$A$1001,3595),IF(3595&lt;=2000,INDEX($B$2:$B$1001,2595),IF(3595&lt;=3000,INDEX($C$2:$C$1001,1595),IF(3595&lt;=4000,INDEX($D$2:$D$1001,595),IF(3595&lt;=5000,INDEX($E$2:$E$1001,-405),"")))))</f>
        <v/>
      </c>
    </row>
    <row r="3597">
      <c r="G3597">
        <f>IF(3596&lt;=1000,INDEX($A$2:$A$1001,3596),IF(3596&lt;=2000,INDEX($B$2:$B$1001,2596),IF(3596&lt;=3000,INDEX($C$2:$C$1001,1596),IF(3596&lt;=4000,INDEX($D$2:$D$1001,596),IF(3596&lt;=5000,INDEX($E$2:$E$1001,-404),"")))))</f>
        <v/>
      </c>
    </row>
    <row r="3598">
      <c r="G3598">
        <f>IF(3597&lt;=1000,INDEX($A$2:$A$1001,3597),IF(3597&lt;=2000,INDEX($B$2:$B$1001,2597),IF(3597&lt;=3000,INDEX($C$2:$C$1001,1597),IF(3597&lt;=4000,INDEX($D$2:$D$1001,597),IF(3597&lt;=5000,INDEX($E$2:$E$1001,-403),"")))))</f>
        <v/>
      </c>
    </row>
    <row r="3599">
      <c r="G3599">
        <f>IF(3598&lt;=1000,INDEX($A$2:$A$1001,3598),IF(3598&lt;=2000,INDEX($B$2:$B$1001,2598),IF(3598&lt;=3000,INDEX($C$2:$C$1001,1598),IF(3598&lt;=4000,INDEX($D$2:$D$1001,598),IF(3598&lt;=5000,INDEX($E$2:$E$1001,-402),"")))))</f>
        <v/>
      </c>
    </row>
    <row r="3600">
      <c r="G3600">
        <f>IF(3599&lt;=1000,INDEX($A$2:$A$1001,3599),IF(3599&lt;=2000,INDEX($B$2:$B$1001,2599),IF(3599&lt;=3000,INDEX($C$2:$C$1001,1599),IF(3599&lt;=4000,INDEX($D$2:$D$1001,599),IF(3599&lt;=5000,INDEX($E$2:$E$1001,-401),"")))))</f>
        <v/>
      </c>
    </row>
    <row r="3601">
      <c r="G3601">
        <f>IF(3600&lt;=1000,INDEX($A$2:$A$1001,3600),IF(3600&lt;=2000,INDEX($B$2:$B$1001,2600),IF(3600&lt;=3000,INDEX($C$2:$C$1001,1600),IF(3600&lt;=4000,INDEX($D$2:$D$1001,600),IF(3600&lt;=5000,INDEX($E$2:$E$1001,-400),"")))))</f>
        <v/>
      </c>
    </row>
    <row r="3602">
      <c r="G3602">
        <f>IF(3601&lt;=1000,INDEX($A$2:$A$1001,3601),IF(3601&lt;=2000,INDEX($B$2:$B$1001,2601),IF(3601&lt;=3000,INDEX($C$2:$C$1001,1601),IF(3601&lt;=4000,INDEX($D$2:$D$1001,601),IF(3601&lt;=5000,INDEX($E$2:$E$1001,-399),"")))))</f>
        <v/>
      </c>
    </row>
    <row r="3603">
      <c r="G3603">
        <f>IF(3602&lt;=1000,INDEX($A$2:$A$1001,3602),IF(3602&lt;=2000,INDEX($B$2:$B$1001,2602),IF(3602&lt;=3000,INDEX($C$2:$C$1001,1602),IF(3602&lt;=4000,INDEX($D$2:$D$1001,602),IF(3602&lt;=5000,INDEX($E$2:$E$1001,-398),"")))))</f>
        <v/>
      </c>
    </row>
    <row r="3604">
      <c r="G3604">
        <f>IF(3603&lt;=1000,INDEX($A$2:$A$1001,3603),IF(3603&lt;=2000,INDEX($B$2:$B$1001,2603),IF(3603&lt;=3000,INDEX($C$2:$C$1001,1603),IF(3603&lt;=4000,INDEX($D$2:$D$1001,603),IF(3603&lt;=5000,INDEX($E$2:$E$1001,-397),"")))))</f>
        <v/>
      </c>
    </row>
    <row r="3605">
      <c r="G3605">
        <f>IF(3604&lt;=1000,INDEX($A$2:$A$1001,3604),IF(3604&lt;=2000,INDEX($B$2:$B$1001,2604),IF(3604&lt;=3000,INDEX($C$2:$C$1001,1604),IF(3604&lt;=4000,INDEX($D$2:$D$1001,604),IF(3604&lt;=5000,INDEX($E$2:$E$1001,-396),"")))))</f>
        <v/>
      </c>
    </row>
    <row r="3606">
      <c r="G3606">
        <f>IF(3605&lt;=1000,INDEX($A$2:$A$1001,3605),IF(3605&lt;=2000,INDEX($B$2:$B$1001,2605),IF(3605&lt;=3000,INDEX($C$2:$C$1001,1605),IF(3605&lt;=4000,INDEX($D$2:$D$1001,605),IF(3605&lt;=5000,INDEX($E$2:$E$1001,-395),"")))))</f>
        <v/>
      </c>
    </row>
    <row r="3607">
      <c r="G3607">
        <f>IF(3606&lt;=1000,INDEX($A$2:$A$1001,3606),IF(3606&lt;=2000,INDEX($B$2:$B$1001,2606),IF(3606&lt;=3000,INDEX($C$2:$C$1001,1606),IF(3606&lt;=4000,INDEX($D$2:$D$1001,606),IF(3606&lt;=5000,INDEX($E$2:$E$1001,-394),"")))))</f>
        <v/>
      </c>
    </row>
    <row r="3608">
      <c r="G3608">
        <f>IF(3607&lt;=1000,INDEX($A$2:$A$1001,3607),IF(3607&lt;=2000,INDEX($B$2:$B$1001,2607),IF(3607&lt;=3000,INDEX($C$2:$C$1001,1607),IF(3607&lt;=4000,INDEX($D$2:$D$1001,607),IF(3607&lt;=5000,INDEX($E$2:$E$1001,-393),"")))))</f>
        <v/>
      </c>
    </row>
    <row r="3609">
      <c r="G3609">
        <f>IF(3608&lt;=1000,INDEX($A$2:$A$1001,3608),IF(3608&lt;=2000,INDEX($B$2:$B$1001,2608),IF(3608&lt;=3000,INDEX($C$2:$C$1001,1608),IF(3608&lt;=4000,INDEX($D$2:$D$1001,608),IF(3608&lt;=5000,INDEX($E$2:$E$1001,-392),"")))))</f>
        <v/>
      </c>
    </row>
    <row r="3610">
      <c r="G3610">
        <f>IF(3609&lt;=1000,INDEX($A$2:$A$1001,3609),IF(3609&lt;=2000,INDEX($B$2:$B$1001,2609),IF(3609&lt;=3000,INDEX($C$2:$C$1001,1609),IF(3609&lt;=4000,INDEX($D$2:$D$1001,609),IF(3609&lt;=5000,INDEX($E$2:$E$1001,-391),"")))))</f>
        <v/>
      </c>
    </row>
    <row r="3611">
      <c r="G3611">
        <f>IF(3610&lt;=1000,INDEX($A$2:$A$1001,3610),IF(3610&lt;=2000,INDEX($B$2:$B$1001,2610),IF(3610&lt;=3000,INDEX($C$2:$C$1001,1610),IF(3610&lt;=4000,INDEX($D$2:$D$1001,610),IF(3610&lt;=5000,INDEX($E$2:$E$1001,-390),"")))))</f>
        <v/>
      </c>
    </row>
    <row r="3612">
      <c r="G3612">
        <f>IF(3611&lt;=1000,INDEX($A$2:$A$1001,3611),IF(3611&lt;=2000,INDEX($B$2:$B$1001,2611),IF(3611&lt;=3000,INDEX($C$2:$C$1001,1611),IF(3611&lt;=4000,INDEX($D$2:$D$1001,611),IF(3611&lt;=5000,INDEX($E$2:$E$1001,-389),"")))))</f>
        <v/>
      </c>
    </row>
    <row r="3613">
      <c r="G3613">
        <f>IF(3612&lt;=1000,INDEX($A$2:$A$1001,3612),IF(3612&lt;=2000,INDEX($B$2:$B$1001,2612),IF(3612&lt;=3000,INDEX($C$2:$C$1001,1612),IF(3612&lt;=4000,INDEX($D$2:$D$1001,612),IF(3612&lt;=5000,INDEX($E$2:$E$1001,-388),"")))))</f>
        <v/>
      </c>
    </row>
    <row r="3614">
      <c r="G3614">
        <f>IF(3613&lt;=1000,INDEX($A$2:$A$1001,3613),IF(3613&lt;=2000,INDEX($B$2:$B$1001,2613),IF(3613&lt;=3000,INDEX($C$2:$C$1001,1613),IF(3613&lt;=4000,INDEX($D$2:$D$1001,613),IF(3613&lt;=5000,INDEX($E$2:$E$1001,-387),"")))))</f>
        <v/>
      </c>
    </row>
    <row r="3615">
      <c r="G3615">
        <f>IF(3614&lt;=1000,INDEX($A$2:$A$1001,3614),IF(3614&lt;=2000,INDEX($B$2:$B$1001,2614),IF(3614&lt;=3000,INDEX($C$2:$C$1001,1614),IF(3614&lt;=4000,INDEX($D$2:$D$1001,614),IF(3614&lt;=5000,INDEX($E$2:$E$1001,-386),"")))))</f>
        <v/>
      </c>
    </row>
    <row r="3616">
      <c r="G3616">
        <f>IF(3615&lt;=1000,INDEX($A$2:$A$1001,3615),IF(3615&lt;=2000,INDEX($B$2:$B$1001,2615),IF(3615&lt;=3000,INDEX($C$2:$C$1001,1615),IF(3615&lt;=4000,INDEX($D$2:$D$1001,615),IF(3615&lt;=5000,INDEX($E$2:$E$1001,-385),"")))))</f>
        <v/>
      </c>
    </row>
    <row r="3617">
      <c r="G3617">
        <f>IF(3616&lt;=1000,INDEX($A$2:$A$1001,3616),IF(3616&lt;=2000,INDEX($B$2:$B$1001,2616),IF(3616&lt;=3000,INDEX($C$2:$C$1001,1616),IF(3616&lt;=4000,INDEX($D$2:$D$1001,616),IF(3616&lt;=5000,INDEX($E$2:$E$1001,-384),"")))))</f>
        <v/>
      </c>
    </row>
    <row r="3618">
      <c r="G3618">
        <f>IF(3617&lt;=1000,INDEX($A$2:$A$1001,3617),IF(3617&lt;=2000,INDEX($B$2:$B$1001,2617),IF(3617&lt;=3000,INDEX($C$2:$C$1001,1617),IF(3617&lt;=4000,INDEX($D$2:$D$1001,617),IF(3617&lt;=5000,INDEX($E$2:$E$1001,-383),"")))))</f>
        <v/>
      </c>
    </row>
    <row r="3619">
      <c r="G3619">
        <f>IF(3618&lt;=1000,INDEX($A$2:$A$1001,3618),IF(3618&lt;=2000,INDEX($B$2:$B$1001,2618),IF(3618&lt;=3000,INDEX($C$2:$C$1001,1618),IF(3618&lt;=4000,INDEX($D$2:$D$1001,618),IF(3618&lt;=5000,INDEX($E$2:$E$1001,-382),"")))))</f>
        <v/>
      </c>
    </row>
    <row r="3620">
      <c r="G3620">
        <f>IF(3619&lt;=1000,INDEX($A$2:$A$1001,3619),IF(3619&lt;=2000,INDEX($B$2:$B$1001,2619),IF(3619&lt;=3000,INDEX($C$2:$C$1001,1619),IF(3619&lt;=4000,INDEX($D$2:$D$1001,619),IF(3619&lt;=5000,INDEX($E$2:$E$1001,-381),"")))))</f>
        <v/>
      </c>
    </row>
    <row r="3621">
      <c r="G3621">
        <f>IF(3620&lt;=1000,INDEX($A$2:$A$1001,3620),IF(3620&lt;=2000,INDEX($B$2:$B$1001,2620),IF(3620&lt;=3000,INDEX($C$2:$C$1001,1620),IF(3620&lt;=4000,INDEX($D$2:$D$1001,620),IF(3620&lt;=5000,INDEX($E$2:$E$1001,-380),"")))))</f>
        <v/>
      </c>
    </row>
    <row r="3622">
      <c r="G3622">
        <f>IF(3621&lt;=1000,INDEX($A$2:$A$1001,3621),IF(3621&lt;=2000,INDEX($B$2:$B$1001,2621),IF(3621&lt;=3000,INDEX($C$2:$C$1001,1621),IF(3621&lt;=4000,INDEX($D$2:$D$1001,621),IF(3621&lt;=5000,INDEX($E$2:$E$1001,-379),"")))))</f>
        <v/>
      </c>
    </row>
    <row r="3623">
      <c r="G3623">
        <f>IF(3622&lt;=1000,INDEX($A$2:$A$1001,3622),IF(3622&lt;=2000,INDEX($B$2:$B$1001,2622),IF(3622&lt;=3000,INDEX($C$2:$C$1001,1622),IF(3622&lt;=4000,INDEX($D$2:$D$1001,622),IF(3622&lt;=5000,INDEX($E$2:$E$1001,-378),"")))))</f>
        <v/>
      </c>
    </row>
    <row r="3624">
      <c r="G3624">
        <f>IF(3623&lt;=1000,INDEX($A$2:$A$1001,3623),IF(3623&lt;=2000,INDEX($B$2:$B$1001,2623),IF(3623&lt;=3000,INDEX($C$2:$C$1001,1623),IF(3623&lt;=4000,INDEX($D$2:$D$1001,623),IF(3623&lt;=5000,INDEX($E$2:$E$1001,-377),"")))))</f>
        <v/>
      </c>
    </row>
    <row r="3625">
      <c r="G3625">
        <f>IF(3624&lt;=1000,INDEX($A$2:$A$1001,3624),IF(3624&lt;=2000,INDEX($B$2:$B$1001,2624),IF(3624&lt;=3000,INDEX($C$2:$C$1001,1624),IF(3624&lt;=4000,INDEX($D$2:$D$1001,624),IF(3624&lt;=5000,INDEX($E$2:$E$1001,-376),"")))))</f>
        <v/>
      </c>
    </row>
    <row r="3626">
      <c r="G3626">
        <f>IF(3625&lt;=1000,INDEX($A$2:$A$1001,3625),IF(3625&lt;=2000,INDEX($B$2:$B$1001,2625),IF(3625&lt;=3000,INDEX($C$2:$C$1001,1625),IF(3625&lt;=4000,INDEX($D$2:$D$1001,625),IF(3625&lt;=5000,INDEX($E$2:$E$1001,-375),"")))))</f>
        <v/>
      </c>
    </row>
    <row r="3627">
      <c r="G3627">
        <f>IF(3626&lt;=1000,INDEX($A$2:$A$1001,3626),IF(3626&lt;=2000,INDEX($B$2:$B$1001,2626),IF(3626&lt;=3000,INDEX($C$2:$C$1001,1626),IF(3626&lt;=4000,INDEX($D$2:$D$1001,626),IF(3626&lt;=5000,INDEX($E$2:$E$1001,-374),"")))))</f>
        <v/>
      </c>
    </row>
    <row r="3628">
      <c r="G3628">
        <f>IF(3627&lt;=1000,INDEX($A$2:$A$1001,3627),IF(3627&lt;=2000,INDEX($B$2:$B$1001,2627),IF(3627&lt;=3000,INDEX($C$2:$C$1001,1627),IF(3627&lt;=4000,INDEX($D$2:$D$1001,627),IF(3627&lt;=5000,INDEX($E$2:$E$1001,-373),"")))))</f>
        <v/>
      </c>
    </row>
    <row r="3629">
      <c r="G3629">
        <f>IF(3628&lt;=1000,INDEX($A$2:$A$1001,3628),IF(3628&lt;=2000,INDEX($B$2:$B$1001,2628),IF(3628&lt;=3000,INDEX($C$2:$C$1001,1628),IF(3628&lt;=4000,INDEX($D$2:$D$1001,628),IF(3628&lt;=5000,INDEX($E$2:$E$1001,-372),"")))))</f>
        <v/>
      </c>
    </row>
    <row r="3630">
      <c r="G3630">
        <f>IF(3629&lt;=1000,INDEX($A$2:$A$1001,3629),IF(3629&lt;=2000,INDEX($B$2:$B$1001,2629),IF(3629&lt;=3000,INDEX($C$2:$C$1001,1629),IF(3629&lt;=4000,INDEX($D$2:$D$1001,629),IF(3629&lt;=5000,INDEX($E$2:$E$1001,-371),"")))))</f>
        <v/>
      </c>
    </row>
    <row r="3631">
      <c r="G3631">
        <f>IF(3630&lt;=1000,INDEX($A$2:$A$1001,3630),IF(3630&lt;=2000,INDEX($B$2:$B$1001,2630),IF(3630&lt;=3000,INDEX($C$2:$C$1001,1630),IF(3630&lt;=4000,INDEX($D$2:$D$1001,630),IF(3630&lt;=5000,INDEX($E$2:$E$1001,-370),"")))))</f>
        <v/>
      </c>
    </row>
    <row r="3632">
      <c r="G3632">
        <f>IF(3631&lt;=1000,INDEX($A$2:$A$1001,3631),IF(3631&lt;=2000,INDEX($B$2:$B$1001,2631),IF(3631&lt;=3000,INDEX($C$2:$C$1001,1631),IF(3631&lt;=4000,INDEX($D$2:$D$1001,631),IF(3631&lt;=5000,INDEX($E$2:$E$1001,-369),"")))))</f>
        <v/>
      </c>
    </row>
    <row r="3633">
      <c r="G3633">
        <f>IF(3632&lt;=1000,INDEX($A$2:$A$1001,3632),IF(3632&lt;=2000,INDEX($B$2:$B$1001,2632),IF(3632&lt;=3000,INDEX($C$2:$C$1001,1632),IF(3632&lt;=4000,INDEX($D$2:$D$1001,632),IF(3632&lt;=5000,INDEX($E$2:$E$1001,-368),"")))))</f>
        <v/>
      </c>
    </row>
    <row r="3634">
      <c r="G3634">
        <f>IF(3633&lt;=1000,INDEX($A$2:$A$1001,3633),IF(3633&lt;=2000,INDEX($B$2:$B$1001,2633),IF(3633&lt;=3000,INDEX($C$2:$C$1001,1633),IF(3633&lt;=4000,INDEX($D$2:$D$1001,633),IF(3633&lt;=5000,INDEX($E$2:$E$1001,-367),"")))))</f>
        <v/>
      </c>
    </row>
    <row r="3635">
      <c r="G3635">
        <f>IF(3634&lt;=1000,INDEX($A$2:$A$1001,3634),IF(3634&lt;=2000,INDEX($B$2:$B$1001,2634),IF(3634&lt;=3000,INDEX($C$2:$C$1001,1634),IF(3634&lt;=4000,INDEX($D$2:$D$1001,634),IF(3634&lt;=5000,INDEX($E$2:$E$1001,-366),"")))))</f>
        <v/>
      </c>
    </row>
    <row r="3636">
      <c r="G3636">
        <f>IF(3635&lt;=1000,INDEX($A$2:$A$1001,3635),IF(3635&lt;=2000,INDEX($B$2:$B$1001,2635),IF(3635&lt;=3000,INDEX($C$2:$C$1001,1635),IF(3635&lt;=4000,INDEX($D$2:$D$1001,635),IF(3635&lt;=5000,INDEX($E$2:$E$1001,-365),"")))))</f>
        <v/>
      </c>
    </row>
    <row r="3637">
      <c r="G3637">
        <f>IF(3636&lt;=1000,INDEX($A$2:$A$1001,3636),IF(3636&lt;=2000,INDEX($B$2:$B$1001,2636),IF(3636&lt;=3000,INDEX($C$2:$C$1001,1636),IF(3636&lt;=4000,INDEX($D$2:$D$1001,636),IF(3636&lt;=5000,INDEX($E$2:$E$1001,-364),"")))))</f>
        <v/>
      </c>
    </row>
    <row r="3638">
      <c r="G3638">
        <f>IF(3637&lt;=1000,INDEX($A$2:$A$1001,3637),IF(3637&lt;=2000,INDEX($B$2:$B$1001,2637),IF(3637&lt;=3000,INDEX($C$2:$C$1001,1637),IF(3637&lt;=4000,INDEX($D$2:$D$1001,637),IF(3637&lt;=5000,INDEX($E$2:$E$1001,-363),"")))))</f>
        <v/>
      </c>
    </row>
    <row r="3639">
      <c r="G3639">
        <f>IF(3638&lt;=1000,INDEX($A$2:$A$1001,3638),IF(3638&lt;=2000,INDEX($B$2:$B$1001,2638),IF(3638&lt;=3000,INDEX($C$2:$C$1001,1638),IF(3638&lt;=4000,INDEX($D$2:$D$1001,638),IF(3638&lt;=5000,INDEX($E$2:$E$1001,-362),"")))))</f>
        <v/>
      </c>
    </row>
    <row r="3640">
      <c r="G3640">
        <f>IF(3639&lt;=1000,INDEX($A$2:$A$1001,3639),IF(3639&lt;=2000,INDEX($B$2:$B$1001,2639),IF(3639&lt;=3000,INDEX($C$2:$C$1001,1639),IF(3639&lt;=4000,INDEX($D$2:$D$1001,639),IF(3639&lt;=5000,INDEX($E$2:$E$1001,-361),"")))))</f>
        <v/>
      </c>
    </row>
    <row r="3641">
      <c r="G3641">
        <f>IF(3640&lt;=1000,INDEX($A$2:$A$1001,3640),IF(3640&lt;=2000,INDEX($B$2:$B$1001,2640),IF(3640&lt;=3000,INDEX($C$2:$C$1001,1640),IF(3640&lt;=4000,INDEX($D$2:$D$1001,640),IF(3640&lt;=5000,INDEX($E$2:$E$1001,-360),"")))))</f>
        <v/>
      </c>
    </row>
    <row r="3642">
      <c r="G3642">
        <f>IF(3641&lt;=1000,INDEX($A$2:$A$1001,3641),IF(3641&lt;=2000,INDEX($B$2:$B$1001,2641),IF(3641&lt;=3000,INDEX($C$2:$C$1001,1641),IF(3641&lt;=4000,INDEX($D$2:$D$1001,641),IF(3641&lt;=5000,INDEX($E$2:$E$1001,-359),"")))))</f>
        <v/>
      </c>
    </row>
    <row r="3643">
      <c r="G3643">
        <f>IF(3642&lt;=1000,INDEX($A$2:$A$1001,3642),IF(3642&lt;=2000,INDEX($B$2:$B$1001,2642),IF(3642&lt;=3000,INDEX($C$2:$C$1001,1642),IF(3642&lt;=4000,INDEX($D$2:$D$1001,642),IF(3642&lt;=5000,INDEX($E$2:$E$1001,-358),"")))))</f>
        <v/>
      </c>
    </row>
    <row r="3644">
      <c r="G3644">
        <f>IF(3643&lt;=1000,INDEX($A$2:$A$1001,3643),IF(3643&lt;=2000,INDEX($B$2:$B$1001,2643),IF(3643&lt;=3000,INDEX($C$2:$C$1001,1643),IF(3643&lt;=4000,INDEX($D$2:$D$1001,643),IF(3643&lt;=5000,INDEX($E$2:$E$1001,-357),"")))))</f>
        <v/>
      </c>
    </row>
    <row r="3645">
      <c r="G3645">
        <f>IF(3644&lt;=1000,INDEX($A$2:$A$1001,3644),IF(3644&lt;=2000,INDEX($B$2:$B$1001,2644),IF(3644&lt;=3000,INDEX($C$2:$C$1001,1644),IF(3644&lt;=4000,INDEX($D$2:$D$1001,644),IF(3644&lt;=5000,INDEX($E$2:$E$1001,-356),"")))))</f>
        <v/>
      </c>
    </row>
    <row r="3646">
      <c r="G3646">
        <f>IF(3645&lt;=1000,INDEX($A$2:$A$1001,3645),IF(3645&lt;=2000,INDEX($B$2:$B$1001,2645),IF(3645&lt;=3000,INDEX($C$2:$C$1001,1645),IF(3645&lt;=4000,INDEX($D$2:$D$1001,645),IF(3645&lt;=5000,INDEX($E$2:$E$1001,-355),"")))))</f>
        <v/>
      </c>
    </row>
    <row r="3647">
      <c r="G3647">
        <f>IF(3646&lt;=1000,INDEX($A$2:$A$1001,3646),IF(3646&lt;=2000,INDEX($B$2:$B$1001,2646),IF(3646&lt;=3000,INDEX($C$2:$C$1001,1646),IF(3646&lt;=4000,INDEX($D$2:$D$1001,646),IF(3646&lt;=5000,INDEX($E$2:$E$1001,-354),"")))))</f>
        <v/>
      </c>
    </row>
    <row r="3648">
      <c r="G3648">
        <f>IF(3647&lt;=1000,INDEX($A$2:$A$1001,3647),IF(3647&lt;=2000,INDEX($B$2:$B$1001,2647),IF(3647&lt;=3000,INDEX($C$2:$C$1001,1647),IF(3647&lt;=4000,INDEX($D$2:$D$1001,647),IF(3647&lt;=5000,INDEX($E$2:$E$1001,-353),"")))))</f>
        <v/>
      </c>
    </row>
    <row r="3649">
      <c r="G3649">
        <f>IF(3648&lt;=1000,INDEX($A$2:$A$1001,3648),IF(3648&lt;=2000,INDEX($B$2:$B$1001,2648),IF(3648&lt;=3000,INDEX($C$2:$C$1001,1648),IF(3648&lt;=4000,INDEX($D$2:$D$1001,648),IF(3648&lt;=5000,INDEX($E$2:$E$1001,-352),"")))))</f>
        <v/>
      </c>
    </row>
    <row r="3650">
      <c r="G3650">
        <f>IF(3649&lt;=1000,INDEX($A$2:$A$1001,3649),IF(3649&lt;=2000,INDEX($B$2:$B$1001,2649),IF(3649&lt;=3000,INDEX($C$2:$C$1001,1649),IF(3649&lt;=4000,INDEX($D$2:$D$1001,649),IF(3649&lt;=5000,INDEX($E$2:$E$1001,-351),"")))))</f>
        <v/>
      </c>
    </row>
    <row r="3651">
      <c r="G3651">
        <f>IF(3650&lt;=1000,INDEX($A$2:$A$1001,3650),IF(3650&lt;=2000,INDEX($B$2:$B$1001,2650),IF(3650&lt;=3000,INDEX($C$2:$C$1001,1650),IF(3650&lt;=4000,INDEX($D$2:$D$1001,650),IF(3650&lt;=5000,INDEX($E$2:$E$1001,-350),"")))))</f>
        <v/>
      </c>
    </row>
    <row r="3652">
      <c r="G3652">
        <f>IF(3651&lt;=1000,INDEX($A$2:$A$1001,3651),IF(3651&lt;=2000,INDEX($B$2:$B$1001,2651),IF(3651&lt;=3000,INDEX($C$2:$C$1001,1651),IF(3651&lt;=4000,INDEX($D$2:$D$1001,651),IF(3651&lt;=5000,INDEX($E$2:$E$1001,-349),"")))))</f>
        <v/>
      </c>
    </row>
    <row r="3653">
      <c r="G3653">
        <f>IF(3652&lt;=1000,INDEX($A$2:$A$1001,3652),IF(3652&lt;=2000,INDEX($B$2:$B$1001,2652),IF(3652&lt;=3000,INDEX($C$2:$C$1001,1652),IF(3652&lt;=4000,INDEX($D$2:$D$1001,652),IF(3652&lt;=5000,INDEX($E$2:$E$1001,-348),"")))))</f>
        <v/>
      </c>
    </row>
    <row r="3654">
      <c r="G3654">
        <f>IF(3653&lt;=1000,INDEX($A$2:$A$1001,3653),IF(3653&lt;=2000,INDEX($B$2:$B$1001,2653),IF(3653&lt;=3000,INDEX($C$2:$C$1001,1653),IF(3653&lt;=4000,INDEX($D$2:$D$1001,653),IF(3653&lt;=5000,INDEX($E$2:$E$1001,-347),"")))))</f>
        <v/>
      </c>
    </row>
    <row r="3655">
      <c r="G3655">
        <f>IF(3654&lt;=1000,INDEX($A$2:$A$1001,3654),IF(3654&lt;=2000,INDEX($B$2:$B$1001,2654),IF(3654&lt;=3000,INDEX($C$2:$C$1001,1654),IF(3654&lt;=4000,INDEX($D$2:$D$1001,654),IF(3654&lt;=5000,INDEX($E$2:$E$1001,-346),"")))))</f>
        <v/>
      </c>
    </row>
    <row r="3656">
      <c r="G3656">
        <f>IF(3655&lt;=1000,INDEX($A$2:$A$1001,3655),IF(3655&lt;=2000,INDEX($B$2:$B$1001,2655),IF(3655&lt;=3000,INDEX($C$2:$C$1001,1655),IF(3655&lt;=4000,INDEX($D$2:$D$1001,655),IF(3655&lt;=5000,INDEX($E$2:$E$1001,-345),"")))))</f>
        <v/>
      </c>
    </row>
    <row r="3657">
      <c r="G3657">
        <f>IF(3656&lt;=1000,INDEX($A$2:$A$1001,3656),IF(3656&lt;=2000,INDEX($B$2:$B$1001,2656),IF(3656&lt;=3000,INDEX($C$2:$C$1001,1656),IF(3656&lt;=4000,INDEX($D$2:$D$1001,656),IF(3656&lt;=5000,INDEX($E$2:$E$1001,-344),"")))))</f>
        <v/>
      </c>
    </row>
    <row r="3658">
      <c r="G3658">
        <f>IF(3657&lt;=1000,INDEX($A$2:$A$1001,3657),IF(3657&lt;=2000,INDEX($B$2:$B$1001,2657),IF(3657&lt;=3000,INDEX($C$2:$C$1001,1657),IF(3657&lt;=4000,INDEX($D$2:$D$1001,657),IF(3657&lt;=5000,INDEX($E$2:$E$1001,-343),"")))))</f>
        <v/>
      </c>
    </row>
    <row r="3659">
      <c r="G3659">
        <f>IF(3658&lt;=1000,INDEX($A$2:$A$1001,3658),IF(3658&lt;=2000,INDEX($B$2:$B$1001,2658),IF(3658&lt;=3000,INDEX($C$2:$C$1001,1658),IF(3658&lt;=4000,INDEX($D$2:$D$1001,658),IF(3658&lt;=5000,INDEX($E$2:$E$1001,-342),"")))))</f>
        <v/>
      </c>
    </row>
    <row r="3660">
      <c r="G3660">
        <f>IF(3659&lt;=1000,INDEX($A$2:$A$1001,3659),IF(3659&lt;=2000,INDEX($B$2:$B$1001,2659),IF(3659&lt;=3000,INDEX($C$2:$C$1001,1659),IF(3659&lt;=4000,INDEX($D$2:$D$1001,659),IF(3659&lt;=5000,INDEX($E$2:$E$1001,-341),"")))))</f>
        <v/>
      </c>
    </row>
    <row r="3661">
      <c r="G3661">
        <f>IF(3660&lt;=1000,INDEX($A$2:$A$1001,3660),IF(3660&lt;=2000,INDEX($B$2:$B$1001,2660),IF(3660&lt;=3000,INDEX($C$2:$C$1001,1660),IF(3660&lt;=4000,INDEX($D$2:$D$1001,660),IF(3660&lt;=5000,INDEX($E$2:$E$1001,-340),"")))))</f>
        <v/>
      </c>
    </row>
    <row r="3662">
      <c r="G3662">
        <f>IF(3661&lt;=1000,INDEX($A$2:$A$1001,3661),IF(3661&lt;=2000,INDEX($B$2:$B$1001,2661),IF(3661&lt;=3000,INDEX($C$2:$C$1001,1661),IF(3661&lt;=4000,INDEX($D$2:$D$1001,661),IF(3661&lt;=5000,INDEX($E$2:$E$1001,-339),"")))))</f>
        <v/>
      </c>
    </row>
    <row r="3663">
      <c r="G3663">
        <f>IF(3662&lt;=1000,INDEX($A$2:$A$1001,3662),IF(3662&lt;=2000,INDEX($B$2:$B$1001,2662),IF(3662&lt;=3000,INDEX($C$2:$C$1001,1662),IF(3662&lt;=4000,INDEX($D$2:$D$1001,662),IF(3662&lt;=5000,INDEX($E$2:$E$1001,-338),"")))))</f>
        <v/>
      </c>
    </row>
    <row r="3664">
      <c r="G3664">
        <f>IF(3663&lt;=1000,INDEX($A$2:$A$1001,3663),IF(3663&lt;=2000,INDEX($B$2:$B$1001,2663),IF(3663&lt;=3000,INDEX($C$2:$C$1001,1663),IF(3663&lt;=4000,INDEX($D$2:$D$1001,663),IF(3663&lt;=5000,INDEX($E$2:$E$1001,-337),"")))))</f>
        <v/>
      </c>
    </row>
    <row r="3665">
      <c r="G3665">
        <f>IF(3664&lt;=1000,INDEX($A$2:$A$1001,3664),IF(3664&lt;=2000,INDEX($B$2:$B$1001,2664),IF(3664&lt;=3000,INDEX($C$2:$C$1001,1664),IF(3664&lt;=4000,INDEX($D$2:$D$1001,664),IF(3664&lt;=5000,INDEX($E$2:$E$1001,-336),"")))))</f>
        <v/>
      </c>
    </row>
    <row r="3666">
      <c r="G3666">
        <f>IF(3665&lt;=1000,INDEX($A$2:$A$1001,3665),IF(3665&lt;=2000,INDEX($B$2:$B$1001,2665),IF(3665&lt;=3000,INDEX($C$2:$C$1001,1665),IF(3665&lt;=4000,INDEX($D$2:$D$1001,665),IF(3665&lt;=5000,INDEX($E$2:$E$1001,-335),"")))))</f>
        <v/>
      </c>
    </row>
    <row r="3667">
      <c r="G3667">
        <f>IF(3666&lt;=1000,INDEX($A$2:$A$1001,3666),IF(3666&lt;=2000,INDEX($B$2:$B$1001,2666),IF(3666&lt;=3000,INDEX($C$2:$C$1001,1666),IF(3666&lt;=4000,INDEX($D$2:$D$1001,666),IF(3666&lt;=5000,INDEX($E$2:$E$1001,-334),"")))))</f>
        <v/>
      </c>
    </row>
    <row r="3668">
      <c r="G3668">
        <f>IF(3667&lt;=1000,INDEX($A$2:$A$1001,3667),IF(3667&lt;=2000,INDEX($B$2:$B$1001,2667),IF(3667&lt;=3000,INDEX($C$2:$C$1001,1667),IF(3667&lt;=4000,INDEX($D$2:$D$1001,667),IF(3667&lt;=5000,INDEX($E$2:$E$1001,-333),"")))))</f>
        <v/>
      </c>
    </row>
    <row r="3669">
      <c r="G3669">
        <f>IF(3668&lt;=1000,INDEX($A$2:$A$1001,3668),IF(3668&lt;=2000,INDEX($B$2:$B$1001,2668),IF(3668&lt;=3000,INDEX($C$2:$C$1001,1668),IF(3668&lt;=4000,INDEX($D$2:$D$1001,668),IF(3668&lt;=5000,INDEX($E$2:$E$1001,-332),"")))))</f>
        <v/>
      </c>
    </row>
    <row r="3670">
      <c r="G3670">
        <f>IF(3669&lt;=1000,INDEX($A$2:$A$1001,3669),IF(3669&lt;=2000,INDEX($B$2:$B$1001,2669),IF(3669&lt;=3000,INDEX($C$2:$C$1001,1669),IF(3669&lt;=4000,INDEX($D$2:$D$1001,669),IF(3669&lt;=5000,INDEX($E$2:$E$1001,-331),"")))))</f>
        <v/>
      </c>
    </row>
    <row r="3671">
      <c r="G3671">
        <f>IF(3670&lt;=1000,INDEX($A$2:$A$1001,3670),IF(3670&lt;=2000,INDEX($B$2:$B$1001,2670),IF(3670&lt;=3000,INDEX($C$2:$C$1001,1670),IF(3670&lt;=4000,INDEX($D$2:$D$1001,670),IF(3670&lt;=5000,INDEX($E$2:$E$1001,-330),"")))))</f>
        <v/>
      </c>
    </row>
    <row r="3672">
      <c r="G3672">
        <f>IF(3671&lt;=1000,INDEX($A$2:$A$1001,3671),IF(3671&lt;=2000,INDEX($B$2:$B$1001,2671),IF(3671&lt;=3000,INDEX($C$2:$C$1001,1671),IF(3671&lt;=4000,INDEX($D$2:$D$1001,671),IF(3671&lt;=5000,INDEX($E$2:$E$1001,-329),"")))))</f>
        <v/>
      </c>
    </row>
    <row r="3673">
      <c r="G3673">
        <f>IF(3672&lt;=1000,INDEX($A$2:$A$1001,3672),IF(3672&lt;=2000,INDEX($B$2:$B$1001,2672),IF(3672&lt;=3000,INDEX($C$2:$C$1001,1672),IF(3672&lt;=4000,INDEX($D$2:$D$1001,672),IF(3672&lt;=5000,INDEX($E$2:$E$1001,-328),"")))))</f>
        <v/>
      </c>
    </row>
    <row r="3674">
      <c r="G3674">
        <f>IF(3673&lt;=1000,INDEX($A$2:$A$1001,3673),IF(3673&lt;=2000,INDEX($B$2:$B$1001,2673),IF(3673&lt;=3000,INDEX($C$2:$C$1001,1673),IF(3673&lt;=4000,INDEX($D$2:$D$1001,673),IF(3673&lt;=5000,INDEX($E$2:$E$1001,-327),"")))))</f>
        <v/>
      </c>
    </row>
    <row r="3675">
      <c r="G3675">
        <f>IF(3674&lt;=1000,INDEX($A$2:$A$1001,3674),IF(3674&lt;=2000,INDEX($B$2:$B$1001,2674),IF(3674&lt;=3000,INDEX($C$2:$C$1001,1674),IF(3674&lt;=4000,INDEX($D$2:$D$1001,674),IF(3674&lt;=5000,INDEX($E$2:$E$1001,-326),"")))))</f>
        <v/>
      </c>
    </row>
    <row r="3676">
      <c r="G3676">
        <f>IF(3675&lt;=1000,INDEX($A$2:$A$1001,3675),IF(3675&lt;=2000,INDEX($B$2:$B$1001,2675),IF(3675&lt;=3000,INDEX($C$2:$C$1001,1675),IF(3675&lt;=4000,INDEX($D$2:$D$1001,675),IF(3675&lt;=5000,INDEX($E$2:$E$1001,-325),"")))))</f>
        <v/>
      </c>
    </row>
    <row r="3677">
      <c r="G3677">
        <f>IF(3676&lt;=1000,INDEX($A$2:$A$1001,3676),IF(3676&lt;=2000,INDEX($B$2:$B$1001,2676),IF(3676&lt;=3000,INDEX($C$2:$C$1001,1676),IF(3676&lt;=4000,INDEX($D$2:$D$1001,676),IF(3676&lt;=5000,INDEX($E$2:$E$1001,-324),"")))))</f>
        <v/>
      </c>
    </row>
    <row r="3678">
      <c r="G3678">
        <f>IF(3677&lt;=1000,INDEX($A$2:$A$1001,3677),IF(3677&lt;=2000,INDEX($B$2:$B$1001,2677),IF(3677&lt;=3000,INDEX($C$2:$C$1001,1677),IF(3677&lt;=4000,INDEX($D$2:$D$1001,677),IF(3677&lt;=5000,INDEX($E$2:$E$1001,-323),"")))))</f>
        <v/>
      </c>
    </row>
    <row r="3679">
      <c r="G3679">
        <f>IF(3678&lt;=1000,INDEX($A$2:$A$1001,3678),IF(3678&lt;=2000,INDEX($B$2:$B$1001,2678),IF(3678&lt;=3000,INDEX($C$2:$C$1001,1678),IF(3678&lt;=4000,INDEX($D$2:$D$1001,678),IF(3678&lt;=5000,INDEX($E$2:$E$1001,-322),"")))))</f>
        <v/>
      </c>
    </row>
    <row r="3680">
      <c r="G3680">
        <f>IF(3679&lt;=1000,INDEX($A$2:$A$1001,3679),IF(3679&lt;=2000,INDEX($B$2:$B$1001,2679),IF(3679&lt;=3000,INDEX($C$2:$C$1001,1679),IF(3679&lt;=4000,INDEX($D$2:$D$1001,679),IF(3679&lt;=5000,INDEX($E$2:$E$1001,-321),"")))))</f>
        <v/>
      </c>
    </row>
    <row r="3681">
      <c r="G3681">
        <f>IF(3680&lt;=1000,INDEX($A$2:$A$1001,3680),IF(3680&lt;=2000,INDEX($B$2:$B$1001,2680),IF(3680&lt;=3000,INDEX($C$2:$C$1001,1680),IF(3680&lt;=4000,INDEX($D$2:$D$1001,680),IF(3680&lt;=5000,INDEX($E$2:$E$1001,-320),"")))))</f>
        <v/>
      </c>
    </row>
    <row r="3682">
      <c r="G3682">
        <f>IF(3681&lt;=1000,INDEX($A$2:$A$1001,3681),IF(3681&lt;=2000,INDEX($B$2:$B$1001,2681),IF(3681&lt;=3000,INDEX($C$2:$C$1001,1681),IF(3681&lt;=4000,INDEX($D$2:$D$1001,681),IF(3681&lt;=5000,INDEX($E$2:$E$1001,-319),"")))))</f>
        <v/>
      </c>
    </row>
    <row r="3683">
      <c r="G3683">
        <f>IF(3682&lt;=1000,INDEX($A$2:$A$1001,3682),IF(3682&lt;=2000,INDEX($B$2:$B$1001,2682),IF(3682&lt;=3000,INDEX($C$2:$C$1001,1682),IF(3682&lt;=4000,INDEX($D$2:$D$1001,682),IF(3682&lt;=5000,INDEX($E$2:$E$1001,-318),"")))))</f>
        <v/>
      </c>
    </row>
    <row r="3684">
      <c r="G3684">
        <f>IF(3683&lt;=1000,INDEX($A$2:$A$1001,3683),IF(3683&lt;=2000,INDEX($B$2:$B$1001,2683),IF(3683&lt;=3000,INDEX($C$2:$C$1001,1683),IF(3683&lt;=4000,INDEX($D$2:$D$1001,683),IF(3683&lt;=5000,INDEX($E$2:$E$1001,-317),"")))))</f>
        <v/>
      </c>
    </row>
    <row r="3685">
      <c r="G3685">
        <f>IF(3684&lt;=1000,INDEX($A$2:$A$1001,3684),IF(3684&lt;=2000,INDEX($B$2:$B$1001,2684),IF(3684&lt;=3000,INDEX($C$2:$C$1001,1684),IF(3684&lt;=4000,INDEX($D$2:$D$1001,684),IF(3684&lt;=5000,INDEX($E$2:$E$1001,-316),"")))))</f>
        <v/>
      </c>
    </row>
    <row r="3686">
      <c r="G3686">
        <f>IF(3685&lt;=1000,INDEX($A$2:$A$1001,3685),IF(3685&lt;=2000,INDEX($B$2:$B$1001,2685),IF(3685&lt;=3000,INDEX($C$2:$C$1001,1685),IF(3685&lt;=4000,INDEX($D$2:$D$1001,685),IF(3685&lt;=5000,INDEX($E$2:$E$1001,-315),"")))))</f>
        <v/>
      </c>
    </row>
    <row r="3687">
      <c r="G3687">
        <f>IF(3686&lt;=1000,INDEX($A$2:$A$1001,3686),IF(3686&lt;=2000,INDEX($B$2:$B$1001,2686),IF(3686&lt;=3000,INDEX($C$2:$C$1001,1686),IF(3686&lt;=4000,INDEX($D$2:$D$1001,686),IF(3686&lt;=5000,INDEX($E$2:$E$1001,-314),"")))))</f>
        <v/>
      </c>
    </row>
    <row r="3688">
      <c r="G3688">
        <f>IF(3687&lt;=1000,INDEX($A$2:$A$1001,3687),IF(3687&lt;=2000,INDEX($B$2:$B$1001,2687),IF(3687&lt;=3000,INDEX($C$2:$C$1001,1687),IF(3687&lt;=4000,INDEX($D$2:$D$1001,687),IF(3687&lt;=5000,INDEX($E$2:$E$1001,-313),"")))))</f>
        <v/>
      </c>
    </row>
    <row r="3689">
      <c r="G3689">
        <f>IF(3688&lt;=1000,INDEX($A$2:$A$1001,3688),IF(3688&lt;=2000,INDEX($B$2:$B$1001,2688),IF(3688&lt;=3000,INDEX($C$2:$C$1001,1688),IF(3688&lt;=4000,INDEX($D$2:$D$1001,688),IF(3688&lt;=5000,INDEX($E$2:$E$1001,-312),"")))))</f>
        <v/>
      </c>
    </row>
    <row r="3690">
      <c r="G3690">
        <f>IF(3689&lt;=1000,INDEX($A$2:$A$1001,3689),IF(3689&lt;=2000,INDEX($B$2:$B$1001,2689),IF(3689&lt;=3000,INDEX($C$2:$C$1001,1689),IF(3689&lt;=4000,INDEX($D$2:$D$1001,689),IF(3689&lt;=5000,INDEX($E$2:$E$1001,-311),"")))))</f>
        <v/>
      </c>
    </row>
    <row r="3691">
      <c r="G3691">
        <f>IF(3690&lt;=1000,INDEX($A$2:$A$1001,3690),IF(3690&lt;=2000,INDEX($B$2:$B$1001,2690),IF(3690&lt;=3000,INDEX($C$2:$C$1001,1690),IF(3690&lt;=4000,INDEX($D$2:$D$1001,690),IF(3690&lt;=5000,INDEX($E$2:$E$1001,-310),"")))))</f>
        <v/>
      </c>
    </row>
    <row r="3692">
      <c r="G3692">
        <f>IF(3691&lt;=1000,INDEX($A$2:$A$1001,3691),IF(3691&lt;=2000,INDEX($B$2:$B$1001,2691),IF(3691&lt;=3000,INDEX($C$2:$C$1001,1691),IF(3691&lt;=4000,INDEX($D$2:$D$1001,691),IF(3691&lt;=5000,INDEX($E$2:$E$1001,-309),"")))))</f>
        <v/>
      </c>
    </row>
    <row r="3693">
      <c r="G3693">
        <f>IF(3692&lt;=1000,INDEX($A$2:$A$1001,3692),IF(3692&lt;=2000,INDEX($B$2:$B$1001,2692),IF(3692&lt;=3000,INDEX($C$2:$C$1001,1692),IF(3692&lt;=4000,INDEX($D$2:$D$1001,692),IF(3692&lt;=5000,INDEX($E$2:$E$1001,-308),"")))))</f>
        <v/>
      </c>
    </row>
    <row r="3694">
      <c r="G3694">
        <f>IF(3693&lt;=1000,INDEX($A$2:$A$1001,3693),IF(3693&lt;=2000,INDEX($B$2:$B$1001,2693),IF(3693&lt;=3000,INDEX($C$2:$C$1001,1693),IF(3693&lt;=4000,INDEX($D$2:$D$1001,693),IF(3693&lt;=5000,INDEX($E$2:$E$1001,-307),"")))))</f>
        <v/>
      </c>
    </row>
    <row r="3695">
      <c r="G3695">
        <f>IF(3694&lt;=1000,INDEX($A$2:$A$1001,3694),IF(3694&lt;=2000,INDEX($B$2:$B$1001,2694),IF(3694&lt;=3000,INDEX($C$2:$C$1001,1694),IF(3694&lt;=4000,INDEX($D$2:$D$1001,694),IF(3694&lt;=5000,INDEX($E$2:$E$1001,-306),"")))))</f>
        <v/>
      </c>
    </row>
    <row r="3696">
      <c r="G3696">
        <f>IF(3695&lt;=1000,INDEX($A$2:$A$1001,3695),IF(3695&lt;=2000,INDEX($B$2:$B$1001,2695),IF(3695&lt;=3000,INDEX($C$2:$C$1001,1695),IF(3695&lt;=4000,INDEX($D$2:$D$1001,695),IF(3695&lt;=5000,INDEX($E$2:$E$1001,-305),"")))))</f>
        <v/>
      </c>
    </row>
    <row r="3697">
      <c r="G3697">
        <f>IF(3696&lt;=1000,INDEX($A$2:$A$1001,3696),IF(3696&lt;=2000,INDEX($B$2:$B$1001,2696),IF(3696&lt;=3000,INDEX($C$2:$C$1001,1696),IF(3696&lt;=4000,INDEX($D$2:$D$1001,696),IF(3696&lt;=5000,INDEX($E$2:$E$1001,-304),"")))))</f>
        <v/>
      </c>
    </row>
    <row r="3698">
      <c r="G3698">
        <f>IF(3697&lt;=1000,INDEX($A$2:$A$1001,3697),IF(3697&lt;=2000,INDEX($B$2:$B$1001,2697),IF(3697&lt;=3000,INDEX($C$2:$C$1001,1697),IF(3697&lt;=4000,INDEX($D$2:$D$1001,697),IF(3697&lt;=5000,INDEX($E$2:$E$1001,-303),"")))))</f>
        <v/>
      </c>
    </row>
    <row r="3699">
      <c r="G3699">
        <f>IF(3698&lt;=1000,INDEX($A$2:$A$1001,3698),IF(3698&lt;=2000,INDEX($B$2:$B$1001,2698),IF(3698&lt;=3000,INDEX($C$2:$C$1001,1698),IF(3698&lt;=4000,INDEX($D$2:$D$1001,698),IF(3698&lt;=5000,INDEX($E$2:$E$1001,-302),"")))))</f>
        <v/>
      </c>
    </row>
    <row r="3700">
      <c r="G3700">
        <f>IF(3699&lt;=1000,INDEX($A$2:$A$1001,3699),IF(3699&lt;=2000,INDEX($B$2:$B$1001,2699),IF(3699&lt;=3000,INDEX($C$2:$C$1001,1699),IF(3699&lt;=4000,INDEX($D$2:$D$1001,699),IF(3699&lt;=5000,INDEX($E$2:$E$1001,-301),"")))))</f>
        <v/>
      </c>
    </row>
    <row r="3701">
      <c r="G3701">
        <f>IF(3700&lt;=1000,INDEX($A$2:$A$1001,3700),IF(3700&lt;=2000,INDEX($B$2:$B$1001,2700),IF(3700&lt;=3000,INDEX($C$2:$C$1001,1700),IF(3700&lt;=4000,INDEX($D$2:$D$1001,700),IF(3700&lt;=5000,INDEX($E$2:$E$1001,-300),"")))))</f>
        <v/>
      </c>
    </row>
    <row r="3702">
      <c r="G3702">
        <f>IF(3701&lt;=1000,INDEX($A$2:$A$1001,3701),IF(3701&lt;=2000,INDEX($B$2:$B$1001,2701),IF(3701&lt;=3000,INDEX($C$2:$C$1001,1701),IF(3701&lt;=4000,INDEX($D$2:$D$1001,701),IF(3701&lt;=5000,INDEX($E$2:$E$1001,-299),"")))))</f>
        <v/>
      </c>
    </row>
    <row r="3703">
      <c r="G3703">
        <f>IF(3702&lt;=1000,INDEX($A$2:$A$1001,3702),IF(3702&lt;=2000,INDEX($B$2:$B$1001,2702),IF(3702&lt;=3000,INDEX($C$2:$C$1001,1702),IF(3702&lt;=4000,INDEX($D$2:$D$1001,702),IF(3702&lt;=5000,INDEX($E$2:$E$1001,-298),"")))))</f>
        <v/>
      </c>
    </row>
    <row r="3704">
      <c r="G3704">
        <f>IF(3703&lt;=1000,INDEX($A$2:$A$1001,3703),IF(3703&lt;=2000,INDEX($B$2:$B$1001,2703),IF(3703&lt;=3000,INDEX($C$2:$C$1001,1703),IF(3703&lt;=4000,INDEX($D$2:$D$1001,703),IF(3703&lt;=5000,INDEX($E$2:$E$1001,-297),"")))))</f>
        <v/>
      </c>
    </row>
    <row r="3705">
      <c r="G3705">
        <f>IF(3704&lt;=1000,INDEX($A$2:$A$1001,3704),IF(3704&lt;=2000,INDEX($B$2:$B$1001,2704),IF(3704&lt;=3000,INDEX($C$2:$C$1001,1704),IF(3704&lt;=4000,INDEX($D$2:$D$1001,704),IF(3704&lt;=5000,INDEX($E$2:$E$1001,-296),"")))))</f>
        <v/>
      </c>
    </row>
    <row r="3706">
      <c r="G3706">
        <f>IF(3705&lt;=1000,INDEX($A$2:$A$1001,3705),IF(3705&lt;=2000,INDEX($B$2:$B$1001,2705),IF(3705&lt;=3000,INDEX($C$2:$C$1001,1705),IF(3705&lt;=4000,INDEX($D$2:$D$1001,705),IF(3705&lt;=5000,INDEX($E$2:$E$1001,-295),"")))))</f>
        <v/>
      </c>
    </row>
    <row r="3707">
      <c r="G3707">
        <f>IF(3706&lt;=1000,INDEX($A$2:$A$1001,3706),IF(3706&lt;=2000,INDEX($B$2:$B$1001,2706),IF(3706&lt;=3000,INDEX($C$2:$C$1001,1706),IF(3706&lt;=4000,INDEX($D$2:$D$1001,706),IF(3706&lt;=5000,INDEX($E$2:$E$1001,-294),"")))))</f>
        <v/>
      </c>
    </row>
    <row r="3708">
      <c r="G3708">
        <f>IF(3707&lt;=1000,INDEX($A$2:$A$1001,3707),IF(3707&lt;=2000,INDEX($B$2:$B$1001,2707),IF(3707&lt;=3000,INDEX($C$2:$C$1001,1707),IF(3707&lt;=4000,INDEX($D$2:$D$1001,707),IF(3707&lt;=5000,INDEX($E$2:$E$1001,-293),"")))))</f>
        <v/>
      </c>
    </row>
    <row r="3709">
      <c r="G3709">
        <f>IF(3708&lt;=1000,INDEX($A$2:$A$1001,3708),IF(3708&lt;=2000,INDEX($B$2:$B$1001,2708),IF(3708&lt;=3000,INDEX($C$2:$C$1001,1708),IF(3708&lt;=4000,INDEX($D$2:$D$1001,708),IF(3708&lt;=5000,INDEX($E$2:$E$1001,-292),"")))))</f>
        <v/>
      </c>
    </row>
    <row r="3710">
      <c r="G3710">
        <f>IF(3709&lt;=1000,INDEX($A$2:$A$1001,3709),IF(3709&lt;=2000,INDEX($B$2:$B$1001,2709),IF(3709&lt;=3000,INDEX($C$2:$C$1001,1709),IF(3709&lt;=4000,INDEX($D$2:$D$1001,709),IF(3709&lt;=5000,INDEX($E$2:$E$1001,-291),"")))))</f>
        <v/>
      </c>
    </row>
    <row r="3711">
      <c r="G3711">
        <f>IF(3710&lt;=1000,INDEX($A$2:$A$1001,3710),IF(3710&lt;=2000,INDEX($B$2:$B$1001,2710),IF(3710&lt;=3000,INDEX($C$2:$C$1001,1710),IF(3710&lt;=4000,INDEX($D$2:$D$1001,710),IF(3710&lt;=5000,INDEX($E$2:$E$1001,-290),"")))))</f>
        <v/>
      </c>
    </row>
    <row r="3712">
      <c r="G3712">
        <f>IF(3711&lt;=1000,INDEX($A$2:$A$1001,3711),IF(3711&lt;=2000,INDEX($B$2:$B$1001,2711),IF(3711&lt;=3000,INDEX($C$2:$C$1001,1711),IF(3711&lt;=4000,INDEX($D$2:$D$1001,711),IF(3711&lt;=5000,INDEX($E$2:$E$1001,-289),"")))))</f>
        <v/>
      </c>
    </row>
    <row r="3713">
      <c r="G3713">
        <f>IF(3712&lt;=1000,INDEX($A$2:$A$1001,3712),IF(3712&lt;=2000,INDEX($B$2:$B$1001,2712),IF(3712&lt;=3000,INDEX($C$2:$C$1001,1712),IF(3712&lt;=4000,INDEX($D$2:$D$1001,712),IF(3712&lt;=5000,INDEX($E$2:$E$1001,-288),"")))))</f>
        <v/>
      </c>
    </row>
    <row r="3714">
      <c r="G3714">
        <f>IF(3713&lt;=1000,INDEX($A$2:$A$1001,3713),IF(3713&lt;=2000,INDEX($B$2:$B$1001,2713),IF(3713&lt;=3000,INDEX($C$2:$C$1001,1713),IF(3713&lt;=4000,INDEX($D$2:$D$1001,713),IF(3713&lt;=5000,INDEX($E$2:$E$1001,-287),"")))))</f>
        <v/>
      </c>
    </row>
    <row r="3715">
      <c r="G3715">
        <f>IF(3714&lt;=1000,INDEX($A$2:$A$1001,3714),IF(3714&lt;=2000,INDEX($B$2:$B$1001,2714),IF(3714&lt;=3000,INDEX($C$2:$C$1001,1714),IF(3714&lt;=4000,INDEX($D$2:$D$1001,714),IF(3714&lt;=5000,INDEX($E$2:$E$1001,-286),"")))))</f>
        <v/>
      </c>
    </row>
    <row r="3716">
      <c r="G3716">
        <f>IF(3715&lt;=1000,INDEX($A$2:$A$1001,3715),IF(3715&lt;=2000,INDEX($B$2:$B$1001,2715),IF(3715&lt;=3000,INDEX($C$2:$C$1001,1715),IF(3715&lt;=4000,INDEX($D$2:$D$1001,715),IF(3715&lt;=5000,INDEX($E$2:$E$1001,-285),"")))))</f>
        <v/>
      </c>
    </row>
    <row r="3717">
      <c r="G3717">
        <f>IF(3716&lt;=1000,INDEX($A$2:$A$1001,3716),IF(3716&lt;=2000,INDEX($B$2:$B$1001,2716),IF(3716&lt;=3000,INDEX($C$2:$C$1001,1716),IF(3716&lt;=4000,INDEX($D$2:$D$1001,716),IF(3716&lt;=5000,INDEX($E$2:$E$1001,-284),"")))))</f>
        <v/>
      </c>
    </row>
    <row r="3718">
      <c r="G3718">
        <f>IF(3717&lt;=1000,INDEX($A$2:$A$1001,3717),IF(3717&lt;=2000,INDEX($B$2:$B$1001,2717),IF(3717&lt;=3000,INDEX($C$2:$C$1001,1717),IF(3717&lt;=4000,INDEX($D$2:$D$1001,717),IF(3717&lt;=5000,INDEX($E$2:$E$1001,-283),"")))))</f>
        <v/>
      </c>
    </row>
    <row r="3719">
      <c r="G3719">
        <f>IF(3718&lt;=1000,INDEX($A$2:$A$1001,3718),IF(3718&lt;=2000,INDEX($B$2:$B$1001,2718),IF(3718&lt;=3000,INDEX($C$2:$C$1001,1718),IF(3718&lt;=4000,INDEX($D$2:$D$1001,718),IF(3718&lt;=5000,INDEX($E$2:$E$1001,-282),"")))))</f>
        <v/>
      </c>
    </row>
    <row r="3720">
      <c r="G3720">
        <f>IF(3719&lt;=1000,INDEX($A$2:$A$1001,3719),IF(3719&lt;=2000,INDEX($B$2:$B$1001,2719),IF(3719&lt;=3000,INDEX($C$2:$C$1001,1719),IF(3719&lt;=4000,INDEX($D$2:$D$1001,719),IF(3719&lt;=5000,INDEX($E$2:$E$1001,-281),"")))))</f>
        <v/>
      </c>
    </row>
    <row r="3721">
      <c r="G3721">
        <f>IF(3720&lt;=1000,INDEX($A$2:$A$1001,3720),IF(3720&lt;=2000,INDEX($B$2:$B$1001,2720),IF(3720&lt;=3000,INDEX($C$2:$C$1001,1720),IF(3720&lt;=4000,INDEX($D$2:$D$1001,720),IF(3720&lt;=5000,INDEX($E$2:$E$1001,-280),"")))))</f>
        <v/>
      </c>
    </row>
    <row r="3722">
      <c r="G3722">
        <f>IF(3721&lt;=1000,INDEX($A$2:$A$1001,3721),IF(3721&lt;=2000,INDEX($B$2:$B$1001,2721),IF(3721&lt;=3000,INDEX($C$2:$C$1001,1721),IF(3721&lt;=4000,INDEX($D$2:$D$1001,721),IF(3721&lt;=5000,INDEX($E$2:$E$1001,-279),"")))))</f>
        <v/>
      </c>
    </row>
    <row r="3723">
      <c r="G3723">
        <f>IF(3722&lt;=1000,INDEX($A$2:$A$1001,3722),IF(3722&lt;=2000,INDEX($B$2:$B$1001,2722),IF(3722&lt;=3000,INDEX($C$2:$C$1001,1722),IF(3722&lt;=4000,INDEX($D$2:$D$1001,722),IF(3722&lt;=5000,INDEX($E$2:$E$1001,-278),"")))))</f>
        <v/>
      </c>
    </row>
    <row r="3724">
      <c r="G3724">
        <f>IF(3723&lt;=1000,INDEX($A$2:$A$1001,3723),IF(3723&lt;=2000,INDEX($B$2:$B$1001,2723),IF(3723&lt;=3000,INDEX($C$2:$C$1001,1723),IF(3723&lt;=4000,INDEX($D$2:$D$1001,723),IF(3723&lt;=5000,INDEX($E$2:$E$1001,-277),"")))))</f>
        <v/>
      </c>
    </row>
    <row r="3725">
      <c r="G3725">
        <f>IF(3724&lt;=1000,INDEX($A$2:$A$1001,3724),IF(3724&lt;=2000,INDEX($B$2:$B$1001,2724),IF(3724&lt;=3000,INDEX($C$2:$C$1001,1724),IF(3724&lt;=4000,INDEX($D$2:$D$1001,724),IF(3724&lt;=5000,INDEX($E$2:$E$1001,-276),"")))))</f>
        <v/>
      </c>
    </row>
    <row r="3726">
      <c r="G3726">
        <f>IF(3725&lt;=1000,INDEX($A$2:$A$1001,3725),IF(3725&lt;=2000,INDEX($B$2:$B$1001,2725),IF(3725&lt;=3000,INDEX($C$2:$C$1001,1725),IF(3725&lt;=4000,INDEX($D$2:$D$1001,725),IF(3725&lt;=5000,INDEX($E$2:$E$1001,-275),"")))))</f>
        <v/>
      </c>
    </row>
    <row r="3727">
      <c r="G3727">
        <f>IF(3726&lt;=1000,INDEX($A$2:$A$1001,3726),IF(3726&lt;=2000,INDEX($B$2:$B$1001,2726),IF(3726&lt;=3000,INDEX($C$2:$C$1001,1726),IF(3726&lt;=4000,INDEX($D$2:$D$1001,726),IF(3726&lt;=5000,INDEX($E$2:$E$1001,-274),"")))))</f>
        <v/>
      </c>
    </row>
    <row r="3728">
      <c r="G3728">
        <f>IF(3727&lt;=1000,INDEX($A$2:$A$1001,3727),IF(3727&lt;=2000,INDEX($B$2:$B$1001,2727),IF(3727&lt;=3000,INDEX($C$2:$C$1001,1727),IF(3727&lt;=4000,INDEX($D$2:$D$1001,727),IF(3727&lt;=5000,INDEX($E$2:$E$1001,-273),"")))))</f>
        <v/>
      </c>
    </row>
    <row r="3729">
      <c r="G3729">
        <f>IF(3728&lt;=1000,INDEX($A$2:$A$1001,3728),IF(3728&lt;=2000,INDEX($B$2:$B$1001,2728),IF(3728&lt;=3000,INDEX($C$2:$C$1001,1728),IF(3728&lt;=4000,INDEX($D$2:$D$1001,728),IF(3728&lt;=5000,INDEX($E$2:$E$1001,-272),"")))))</f>
        <v/>
      </c>
    </row>
    <row r="3730">
      <c r="G3730">
        <f>IF(3729&lt;=1000,INDEX($A$2:$A$1001,3729),IF(3729&lt;=2000,INDEX($B$2:$B$1001,2729),IF(3729&lt;=3000,INDEX($C$2:$C$1001,1729),IF(3729&lt;=4000,INDEX($D$2:$D$1001,729),IF(3729&lt;=5000,INDEX($E$2:$E$1001,-271),"")))))</f>
        <v/>
      </c>
    </row>
    <row r="3731">
      <c r="G3731">
        <f>IF(3730&lt;=1000,INDEX($A$2:$A$1001,3730),IF(3730&lt;=2000,INDEX($B$2:$B$1001,2730),IF(3730&lt;=3000,INDEX($C$2:$C$1001,1730),IF(3730&lt;=4000,INDEX($D$2:$D$1001,730),IF(3730&lt;=5000,INDEX($E$2:$E$1001,-270),"")))))</f>
        <v/>
      </c>
    </row>
    <row r="3732">
      <c r="G3732">
        <f>IF(3731&lt;=1000,INDEX($A$2:$A$1001,3731),IF(3731&lt;=2000,INDEX($B$2:$B$1001,2731),IF(3731&lt;=3000,INDEX($C$2:$C$1001,1731),IF(3731&lt;=4000,INDEX($D$2:$D$1001,731),IF(3731&lt;=5000,INDEX($E$2:$E$1001,-269),"")))))</f>
        <v/>
      </c>
    </row>
    <row r="3733">
      <c r="G3733">
        <f>IF(3732&lt;=1000,INDEX($A$2:$A$1001,3732),IF(3732&lt;=2000,INDEX($B$2:$B$1001,2732),IF(3732&lt;=3000,INDEX($C$2:$C$1001,1732),IF(3732&lt;=4000,INDEX($D$2:$D$1001,732),IF(3732&lt;=5000,INDEX($E$2:$E$1001,-268),"")))))</f>
        <v/>
      </c>
    </row>
    <row r="3734">
      <c r="G3734">
        <f>IF(3733&lt;=1000,INDEX($A$2:$A$1001,3733),IF(3733&lt;=2000,INDEX($B$2:$B$1001,2733),IF(3733&lt;=3000,INDEX($C$2:$C$1001,1733),IF(3733&lt;=4000,INDEX($D$2:$D$1001,733),IF(3733&lt;=5000,INDEX($E$2:$E$1001,-267),"")))))</f>
        <v/>
      </c>
    </row>
    <row r="3735">
      <c r="G3735">
        <f>IF(3734&lt;=1000,INDEX($A$2:$A$1001,3734),IF(3734&lt;=2000,INDEX($B$2:$B$1001,2734),IF(3734&lt;=3000,INDEX($C$2:$C$1001,1734),IF(3734&lt;=4000,INDEX($D$2:$D$1001,734),IF(3734&lt;=5000,INDEX($E$2:$E$1001,-266),"")))))</f>
        <v/>
      </c>
    </row>
    <row r="3736">
      <c r="G3736">
        <f>IF(3735&lt;=1000,INDEX($A$2:$A$1001,3735),IF(3735&lt;=2000,INDEX($B$2:$B$1001,2735),IF(3735&lt;=3000,INDEX($C$2:$C$1001,1735),IF(3735&lt;=4000,INDEX($D$2:$D$1001,735),IF(3735&lt;=5000,INDEX($E$2:$E$1001,-265),"")))))</f>
        <v/>
      </c>
    </row>
    <row r="3737">
      <c r="G3737">
        <f>IF(3736&lt;=1000,INDEX($A$2:$A$1001,3736),IF(3736&lt;=2000,INDEX($B$2:$B$1001,2736),IF(3736&lt;=3000,INDEX($C$2:$C$1001,1736),IF(3736&lt;=4000,INDEX($D$2:$D$1001,736),IF(3736&lt;=5000,INDEX($E$2:$E$1001,-264),"")))))</f>
        <v/>
      </c>
    </row>
    <row r="3738">
      <c r="G3738">
        <f>IF(3737&lt;=1000,INDEX($A$2:$A$1001,3737),IF(3737&lt;=2000,INDEX($B$2:$B$1001,2737),IF(3737&lt;=3000,INDEX($C$2:$C$1001,1737),IF(3737&lt;=4000,INDEX($D$2:$D$1001,737),IF(3737&lt;=5000,INDEX($E$2:$E$1001,-263),"")))))</f>
        <v/>
      </c>
    </row>
    <row r="3739">
      <c r="G3739">
        <f>IF(3738&lt;=1000,INDEX($A$2:$A$1001,3738),IF(3738&lt;=2000,INDEX($B$2:$B$1001,2738),IF(3738&lt;=3000,INDEX($C$2:$C$1001,1738),IF(3738&lt;=4000,INDEX($D$2:$D$1001,738),IF(3738&lt;=5000,INDEX($E$2:$E$1001,-262),"")))))</f>
        <v/>
      </c>
    </row>
    <row r="3740">
      <c r="G3740">
        <f>IF(3739&lt;=1000,INDEX($A$2:$A$1001,3739),IF(3739&lt;=2000,INDEX($B$2:$B$1001,2739),IF(3739&lt;=3000,INDEX($C$2:$C$1001,1739),IF(3739&lt;=4000,INDEX($D$2:$D$1001,739),IF(3739&lt;=5000,INDEX($E$2:$E$1001,-261),"")))))</f>
        <v/>
      </c>
    </row>
    <row r="3741">
      <c r="G3741">
        <f>IF(3740&lt;=1000,INDEX($A$2:$A$1001,3740),IF(3740&lt;=2000,INDEX($B$2:$B$1001,2740),IF(3740&lt;=3000,INDEX($C$2:$C$1001,1740),IF(3740&lt;=4000,INDEX($D$2:$D$1001,740),IF(3740&lt;=5000,INDEX($E$2:$E$1001,-260),"")))))</f>
        <v/>
      </c>
    </row>
    <row r="3742">
      <c r="G3742">
        <f>IF(3741&lt;=1000,INDEX($A$2:$A$1001,3741),IF(3741&lt;=2000,INDEX($B$2:$B$1001,2741),IF(3741&lt;=3000,INDEX($C$2:$C$1001,1741),IF(3741&lt;=4000,INDEX($D$2:$D$1001,741),IF(3741&lt;=5000,INDEX($E$2:$E$1001,-259),"")))))</f>
        <v/>
      </c>
    </row>
    <row r="3743">
      <c r="G3743">
        <f>IF(3742&lt;=1000,INDEX($A$2:$A$1001,3742),IF(3742&lt;=2000,INDEX($B$2:$B$1001,2742),IF(3742&lt;=3000,INDEX($C$2:$C$1001,1742),IF(3742&lt;=4000,INDEX($D$2:$D$1001,742),IF(3742&lt;=5000,INDEX($E$2:$E$1001,-258),"")))))</f>
        <v/>
      </c>
    </row>
    <row r="3744">
      <c r="G3744">
        <f>IF(3743&lt;=1000,INDEX($A$2:$A$1001,3743),IF(3743&lt;=2000,INDEX($B$2:$B$1001,2743),IF(3743&lt;=3000,INDEX($C$2:$C$1001,1743),IF(3743&lt;=4000,INDEX($D$2:$D$1001,743),IF(3743&lt;=5000,INDEX($E$2:$E$1001,-257),"")))))</f>
        <v/>
      </c>
    </row>
    <row r="3745">
      <c r="G3745">
        <f>IF(3744&lt;=1000,INDEX($A$2:$A$1001,3744),IF(3744&lt;=2000,INDEX($B$2:$B$1001,2744),IF(3744&lt;=3000,INDEX($C$2:$C$1001,1744),IF(3744&lt;=4000,INDEX($D$2:$D$1001,744),IF(3744&lt;=5000,INDEX($E$2:$E$1001,-256),"")))))</f>
        <v/>
      </c>
    </row>
    <row r="3746">
      <c r="G3746">
        <f>IF(3745&lt;=1000,INDEX($A$2:$A$1001,3745),IF(3745&lt;=2000,INDEX($B$2:$B$1001,2745),IF(3745&lt;=3000,INDEX($C$2:$C$1001,1745),IF(3745&lt;=4000,INDEX($D$2:$D$1001,745),IF(3745&lt;=5000,INDEX($E$2:$E$1001,-255),"")))))</f>
        <v/>
      </c>
    </row>
    <row r="3747">
      <c r="G3747">
        <f>IF(3746&lt;=1000,INDEX($A$2:$A$1001,3746),IF(3746&lt;=2000,INDEX($B$2:$B$1001,2746),IF(3746&lt;=3000,INDEX($C$2:$C$1001,1746),IF(3746&lt;=4000,INDEX($D$2:$D$1001,746),IF(3746&lt;=5000,INDEX($E$2:$E$1001,-254),"")))))</f>
        <v/>
      </c>
    </row>
    <row r="3748">
      <c r="G3748">
        <f>IF(3747&lt;=1000,INDEX($A$2:$A$1001,3747),IF(3747&lt;=2000,INDEX($B$2:$B$1001,2747),IF(3747&lt;=3000,INDEX($C$2:$C$1001,1747),IF(3747&lt;=4000,INDEX($D$2:$D$1001,747),IF(3747&lt;=5000,INDEX($E$2:$E$1001,-253),"")))))</f>
        <v/>
      </c>
    </row>
    <row r="3749">
      <c r="G3749">
        <f>IF(3748&lt;=1000,INDEX($A$2:$A$1001,3748),IF(3748&lt;=2000,INDEX($B$2:$B$1001,2748),IF(3748&lt;=3000,INDEX($C$2:$C$1001,1748),IF(3748&lt;=4000,INDEX($D$2:$D$1001,748),IF(3748&lt;=5000,INDEX($E$2:$E$1001,-252),"")))))</f>
        <v/>
      </c>
    </row>
    <row r="3750">
      <c r="G3750">
        <f>IF(3749&lt;=1000,INDEX($A$2:$A$1001,3749),IF(3749&lt;=2000,INDEX($B$2:$B$1001,2749),IF(3749&lt;=3000,INDEX($C$2:$C$1001,1749),IF(3749&lt;=4000,INDEX($D$2:$D$1001,749),IF(3749&lt;=5000,INDEX($E$2:$E$1001,-251),"")))))</f>
        <v/>
      </c>
    </row>
    <row r="3751">
      <c r="G3751">
        <f>IF(3750&lt;=1000,INDEX($A$2:$A$1001,3750),IF(3750&lt;=2000,INDEX($B$2:$B$1001,2750),IF(3750&lt;=3000,INDEX($C$2:$C$1001,1750),IF(3750&lt;=4000,INDEX($D$2:$D$1001,750),IF(3750&lt;=5000,INDEX($E$2:$E$1001,-250),"")))))</f>
        <v/>
      </c>
    </row>
    <row r="3752">
      <c r="G3752">
        <f>IF(3751&lt;=1000,INDEX($A$2:$A$1001,3751),IF(3751&lt;=2000,INDEX($B$2:$B$1001,2751),IF(3751&lt;=3000,INDEX($C$2:$C$1001,1751),IF(3751&lt;=4000,INDEX($D$2:$D$1001,751),IF(3751&lt;=5000,INDEX($E$2:$E$1001,-249),"")))))</f>
        <v/>
      </c>
    </row>
    <row r="3753">
      <c r="G3753">
        <f>IF(3752&lt;=1000,INDEX($A$2:$A$1001,3752),IF(3752&lt;=2000,INDEX($B$2:$B$1001,2752),IF(3752&lt;=3000,INDEX($C$2:$C$1001,1752),IF(3752&lt;=4000,INDEX($D$2:$D$1001,752),IF(3752&lt;=5000,INDEX($E$2:$E$1001,-248),"")))))</f>
        <v/>
      </c>
    </row>
    <row r="3754">
      <c r="G3754">
        <f>IF(3753&lt;=1000,INDEX($A$2:$A$1001,3753),IF(3753&lt;=2000,INDEX($B$2:$B$1001,2753),IF(3753&lt;=3000,INDEX($C$2:$C$1001,1753),IF(3753&lt;=4000,INDEX($D$2:$D$1001,753),IF(3753&lt;=5000,INDEX($E$2:$E$1001,-247),"")))))</f>
        <v/>
      </c>
    </row>
    <row r="3755">
      <c r="G3755">
        <f>IF(3754&lt;=1000,INDEX($A$2:$A$1001,3754),IF(3754&lt;=2000,INDEX($B$2:$B$1001,2754),IF(3754&lt;=3000,INDEX($C$2:$C$1001,1754),IF(3754&lt;=4000,INDEX($D$2:$D$1001,754),IF(3754&lt;=5000,INDEX($E$2:$E$1001,-246),"")))))</f>
        <v/>
      </c>
    </row>
    <row r="3756">
      <c r="G3756">
        <f>IF(3755&lt;=1000,INDEX($A$2:$A$1001,3755),IF(3755&lt;=2000,INDEX($B$2:$B$1001,2755),IF(3755&lt;=3000,INDEX($C$2:$C$1001,1755),IF(3755&lt;=4000,INDEX($D$2:$D$1001,755),IF(3755&lt;=5000,INDEX($E$2:$E$1001,-245),"")))))</f>
        <v/>
      </c>
    </row>
    <row r="3757">
      <c r="G3757">
        <f>IF(3756&lt;=1000,INDEX($A$2:$A$1001,3756),IF(3756&lt;=2000,INDEX($B$2:$B$1001,2756),IF(3756&lt;=3000,INDEX($C$2:$C$1001,1756),IF(3756&lt;=4000,INDEX($D$2:$D$1001,756),IF(3756&lt;=5000,INDEX($E$2:$E$1001,-244),"")))))</f>
        <v/>
      </c>
    </row>
    <row r="3758">
      <c r="G3758">
        <f>IF(3757&lt;=1000,INDEX($A$2:$A$1001,3757),IF(3757&lt;=2000,INDEX($B$2:$B$1001,2757),IF(3757&lt;=3000,INDEX($C$2:$C$1001,1757),IF(3757&lt;=4000,INDEX($D$2:$D$1001,757),IF(3757&lt;=5000,INDEX($E$2:$E$1001,-243),"")))))</f>
        <v/>
      </c>
    </row>
    <row r="3759">
      <c r="G3759">
        <f>IF(3758&lt;=1000,INDEX($A$2:$A$1001,3758),IF(3758&lt;=2000,INDEX($B$2:$B$1001,2758),IF(3758&lt;=3000,INDEX($C$2:$C$1001,1758),IF(3758&lt;=4000,INDEX($D$2:$D$1001,758),IF(3758&lt;=5000,INDEX($E$2:$E$1001,-242),"")))))</f>
        <v/>
      </c>
    </row>
    <row r="3760">
      <c r="G3760">
        <f>IF(3759&lt;=1000,INDEX($A$2:$A$1001,3759),IF(3759&lt;=2000,INDEX($B$2:$B$1001,2759),IF(3759&lt;=3000,INDEX($C$2:$C$1001,1759),IF(3759&lt;=4000,INDEX($D$2:$D$1001,759),IF(3759&lt;=5000,INDEX($E$2:$E$1001,-241),"")))))</f>
        <v/>
      </c>
    </row>
    <row r="3761">
      <c r="G3761">
        <f>IF(3760&lt;=1000,INDEX($A$2:$A$1001,3760),IF(3760&lt;=2000,INDEX($B$2:$B$1001,2760),IF(3760&lt;=3000,INDEX($C$2:$C$1001,1760),IF(3760&lt;=4000,INDEX($D$2:$D$1001,760),IF(3760&lt;=5000,INDEX($E$2:$E$1001,-240),"")))))</f>
        <v/>
      </c>
    </row>
    <row r="3762">
      <c r="G3762">
        <f>IF(3761&lt;=1000,INDEX($A$2:$A$1001,3761),IF(3761&lt;=2000,INDEX($B$2:$B$1001,2761),IF(3761&lt;=3000,INDEX($C$2:$C$1001,1761),IF(3761&lt;=4000,INDEX($D$2:$D$1001,761),IF(3761&lt;=5000,INDEX($E$2:$E$1001,-239),"")))))</f>
        <v/>
      </c>
    </row>
    <row r="3763">
      <c r="G3763">
        <f>IF(3762&lt;=1000,INDEX($A$2:$A$1001,3762),IF(3762&lt;=2000,INDEX($B$2:$B$1001,2762),IF(3762&lt;=3000,INDEX($C$2:$C$1001,1762),IF(3762&lt;=4000,INDEX($D$2:$D$1001,762),IF(3762&lt;=5000,INDEX($E$2:$E$1001,-238),"")))))</f>
        <v/>
      </c>
    </row>
    <row r="3764">
      <c r="G3764">
        <f>IF(3763&lt;=1000,INDEX($A$2:$A$1001,3763),IF(3763&lt;=2000,INDEX($B$2:$B$1001,2763),IF(3763&lt;=3000,INDEX($C$2:$C$1001,1763),IF(3763&lt;=4000,INDEX($D$2:$D$1001,763),IF(3763&lt;=5000,INDEX($E$2:$E$1001,-237),"")))))</f>
        <v/>
      </c>
    </row>
    <row r="3765">
      <c r="G3765">
        <f>IF(3764&lt;=1000,INDEX($A$2:$A$1001,3764),IF(3764&lt;=2000,INDEX($B$2:$B$1001,2764),IF(3764&lt;=3000,INDEX($C$2:$C$1001,1764),IF(3764&lt;=4000,INDEX($D$2:$D$1001,764),IF(3764&lt;=5000,INDEX($E$2:$E$1001,-236),"")))))</f>
        <v/>
      </c>
    </row>
    <row r="3766">
      <c r="G3766">
        <f>IF(3765&lt;=1000,INDEX($A$2:$A$1001,3765),IF(3765&lt;=2000,INDEX($B$2:$B$1001,2765),IF(3765&lt;=3000,INDEX($C$2:$C$1001,1765),IF(3765&lt;=4000,INDEX($D$2:$D$1001,765),IF(3765&lt;=5000,INDEX($E$2:$E$1001,-235),"")))))</f>
        <v/>
      </c>
    </row>
    <row r="3767">
      <c r="G3767">
        <f>IF(3766&lt;=1000,INDEX($A$2:$A$1001,3766),IF(3766&lt;=2000,INDEX($B$2:$B$1001,2766),IF(3766&lt;=3000,INDEX($C$2:$C$1001,1766),IF(3766&lt;=4000,INDEX($D$2:$D$1001,766),IF(3766&lt;=5000,INDEX($E$2:$E$1001,-234),"")))))</f>
        <v/>
      </c>
    </row>
    <row r="3768">
      <c r="G3768">
        <f>IF(3767&lt;=1000,INDEX($A$2:$A$1001,3767),IF(3767&lt;=2000,INDEX($B$2:$B$1001,2767),IF(3767&lt;=3000,INDEX($C$2:$C$1001,1767),IF(3767&lt;=4000,INDEX($D$2:$D$1001,767),IF(3767&lt;=5000,INDEX($E$2:$E$1001,-233),"")))))</f>
        <v/>
      </c>
    </row>
    <row r="3769">
      <c r="G3769">
        <f>IF(3768&lt;=1000,INDEX($A$2:$A$1001,3768),IF(3768&lt;=2000,INDEX($B$2:$B$1001,2768),IF(3768&lt;=3000,INDEX($C$2:$C$1001,1768),IF(3768&lt;=4000,INDEX($D$2:$D$1001,768),IF(3768&lt;=5000,INDEX($E$2:$E$1001,-232),"")))))</f>
        <v/>
      </c>
    </row>
    <row r="3770">
      <c r="G3770">
        <f>IF(3769&lt;=1000,INDEX($A$2:$A$1001,3769),IF(3769&lt;=2000,INDEX($B$2:$B$1001,2769),IF(3769&lt;=3000,INDEX($C$2:$C$1001,1769),IF(3769&lt;=4000,INDEX($D$2:$D$1001,769),IF(3769&lt;=5000,INDEX($E$2:$E$1001,-231),"")))))</f>
        <v/>
      </c>
    </row>
    <row r="3771">
      <c r="G3771">
        <f>IF(3770&lt;=1000,INDEX($A$2:$A$1001,3770),IF(3770&lt;=2000,INDEX($B$2:$B$1001,2770),IF(3770&lt;=3000,INDEX($C$2:$C$1001,1770),IF(3770&lt;=4000,INDEX($D$2:$D$1001,770),IF(3770&lt;=5000,INDEX($E$2:$E$1001,-230),"")))))</f>
        <v/>
      </c>
    </row>
    <row r="3772">
      <c r="G3772">
        <f>IF(3771&lt;=1000,INDEX($A$2:$A$1001,3771),IF(3771&lt;=2000,INDEX($B$2:$B$1001,2771),IF(3771&lt;=3000,INDEX($C$2:$C$1001,1771),IF(3771&lt;=4000,INDEX($D$2:$D$1001,771),IF(3771&lt;=5000,INDEX($E$2:$E$1001,-229),"")))))</f>
        <v/>
      </c>
    </row>
    <row r="3773">
      <c r="G3773">
        <f>IF(3772&lt;=1000,INDEX($A$2:$A$1001,3772),IF(3772&lt;=2000,INDEX($B$2:$B$1001,2772),IF(3772&lt;=3000,INDEX($C$2:$C$1001,1772),IF(3772&lt;=4000,INDEX($D$2:$D$1001,772),IF(3772&lt;=5000,INDEX($E$2:$E$1001,-228),"")))))</f>
        <v/>
      </c>
    </row>
    <row r="3774">
      <c r="G3774">
        <f>IF(3773&lt;=1000,INDEX($A$2:$A$1001,3773),IF(3773&lt;=2000,INDEX($B$2:$B$1001,2773),IF(3773&lt;=3000,INDEX($C$2:$C$1001,1773),IF(3773&lt;=4000,INDEX($D$2:$D$1001,773),IF(3773&lt;=5000,INDEX($E$2:$E$1001,-227),"")))))</f>
        <v/>
      </c>
    </row>
    <row r="3775">
      <c r="G3775">
        <f>IF(3774&lt;=1000,INDEX($A$2:$A$1001,3774),IF(3774&lt;=2000,INDEX($B$2:$B$1001,2774),IF(3774&lt;=3000,INDEX($C$2:$C$1001,1774),IF(3774&lt;=4000,INDEX($D$2:$D$1001,774),IF(3774&lt;=5000,INDEX($E$2:$E$1001,-226),"")))))</f>
        <v/>
      </c>
    </row>
    <row r="3776">
      <c r="G3776">
        <f>IF(3775&lt;=1000,INDEX($A$2:$A$1001,3775),IF(3775&lt;=2000,INDEX($B$2:$B$1001,2775),IF(3775&lt;=3000,INDEX($C$2:$C$1001,1775),IF(3775&lt;=4000,INDEX($D$2:$D$1001,775),IF(3775&lt;=5000,INDEX($E$2:$E$1001,-225),"")))))</f>
        <v/>
      </c>
    </row>
    <row r="3777">
      <c r="G3777">
        <f>IF(3776&lt;=1000,INDEX($A$2:$A$1001,3776),IF(3776&lt;=2000,INDEX($B$2:$B$1001,2776),IF(3776&lt;=3000,INDEX($C$2:$C$1001,1776),IF(3776&lt;=4000,INDEX($D$2:$D$1001,776),IF(3776&lt;=5000,INDEX($E$2:$E$1001,-224),"")))))</f>
        <v/>
      </c>
    </row>
    <row r="3778">
      <c r="G3778">
        <f>IF(3777&lt;=1000,INDEX($A$2:$A$1001,3777),IF(3777&lt;=2000,INDEX($B$2:$B$1001,2777),IF(3777&lt;=3000,INDEX($C$2:$C$1001,1777),IF(3777&lt;=4000,INDEX($D$2:$D$1001,777),IF(3777&lt;=5000,INDEX($E$2:$E$1001,-223),"")))))</f>
        <v/>
      </c>
    </row>
    <row r="3779">
      <c r="G3779">
        <f>IF(3778&lt;=1000,INDEX($A$2:$A$1001,3778),IF(3778&lt;=2000,INDEX($B$2:$B$1001,2778),IF(3778&lt;=3000,INDEX($C$2:$C$1001,1778),IF(3778&lt;=4000,INDEX($D$2:$D$1001,778),IF(3778&lt;=5000,INDEX($E$2:$E$1001,-222),"")))))</f>
        <v/>
      </c>
    </row>
    <row r="3780">
      <c r="G3780">
        <f>IF(3779&lt;=1000,INDEX($A$2:$A$1001,3779),IF(3779&lt;=2000,INDEX($B$2:$B$1001,2779),IF(3779&lt;=3000,INDEX($C$2:$C$1001,1779),IF(3779&lt;=4000,INDEX($D$2:$D$1001,779),IF(3779&lt;=5000,INDEX($E$2:$E$1001,-221),"")))))</f>
        <v/>
      </c>
    </row>
    <row r="3781">
      <c r="G3781">
        <f>IF(3780&lt;=1000,INDEX($A$2:$A$1001,3780),IF(3780&lt;=2000,INDEX($B$2:$B$1001,2780),IF(3780&lt;=3000,INDEX($C$2:$C$1001,1780),IF(3780&lt;=4000,INDEX($D$2:$D$1001,780),IF(3780&lt;=5000,INDEX($E$2:$E$1001,-220),"")))))</f>
        <v/>
      </c>
    </row>
    <row r="3782">
      <c r="G3782">
        <f>IF(3781&lt;=1000,INDEX($A$2:$A$1001,3781),IF(3781&lt;=2000,INDEX($B$2:$B$1001,2781),IF(3781&lt;=3000,INDEX($C$2:$C$1001,1781),IF(3781&lt;=4000,INDEX($D$2:$D$1001,781),IF(3781&lt;=5000,INDEX($E$2:$E$1001,-219),"")))))</f>
        <v/>
      </c>
    </row>
    <row r="3783">
      <c r="G3783">
        <f>IF(3782&lt;=1000,INDEX($A$2:$A$1001,3782),IF(3782&lt;=2000,INDEX($B$2:$B$1001,2782),IF(3782&lt;=3000,INDEX($C$2:$C$1001,1782),IF(3782&lt;=4000,INDEX($D$2:$D$1001,782),IF(3782&lt;=5000,INDEX($E$2:$E$1001,-218),"")))))</f>
        <v/>
      </c>
    </row>
    <row r="3784">
      <c r="G3784">
        <f>IF(3783&lt;=1000,INDEX($A$2:$A$1001,3783),IF(3783&lt;=2000,INDEX($B$2:$B$1001,2783),IF(3783&lt;=3000,INDEX($C$2:$C$1001,1783),IF(3783&lt;=4000,INDEX($D$2:$D$1001,783),IF(3783&lt;=5000,INDEX($E$2:$E$1001,-217),"")))))</f>
        <v/>
      </c>
    </row>
    <row r="3785">
      <c r="G3785">
        <f>IF(3784&lt;=1000,INDEX($A$2:$A$1001,3784),IF(3784&lt;=2000,INDEX($B$2:$B$1001,2784),IF(3784&lt;=3000,INDEX($C$2:$C$1001,1784),IF(3784&lt;=4000,INDEX($D$2:$D$1001,784),IF(3784&lt;=5000,INDEX($E$2:$E$1001,-216),"")))))</f>
        <v/>
      </c>
    </row>
    <row r="3786">
      <c r="G3786">
        <f>IF(3785&lt;=1000,INDEX($A$2:$A$1001,3785),IF(3785&lt;=2000,INDEX($B$2:$B$1001,2785),IF(3785&lt;=3000,INDEX($C$2:$C$1001,1785),IF(3785&lt;=4000,INDEX($D$2:$D$1001,785),IF(3785&lt;=5000,INDEX($E$2:$E$1001,-215),"")))))</f>
        <v/>
      </c>
    </row>
    <row r="3787">
      <c r="G3787">
        <f>IF(3786&lt;=1000,INDEX($A$2:$A$1001,3786),IF(3786&lt;=2000,INDEX($B$2:$B$1001,2786),IF(3786&lt;=3000,INDEX($C$2:$C$1001,1786),IF(3786&lt;=4000,INDEX($D$2:$D$1001,786),IF(3786&lt;=5000,INDEX($E$2:$E$1001,-214),"")))))</f>
        <v/>
      </c>
    </row>
    <row r="3788">
      <c r="G3788">
        <f>IF(3787&lt;=1000,INDEX($A$2:$A$1001,3787),IF(3787&lt;=2000,INDEX($B$2:$B$1001,2787),IF(3787&lt;=3000,INDEX($C$2:$C$1001,1787),IF(3787&lt;=4000,INDEX($D$2:$D$1001,787),IF(3787&lt;=5000,INDEX($E$2:$E$1001,-213),"")))))</f>
        <v/>
      </c>
    </row>
    <row r="3789">
      <c r="G3789">
        <f>IF(3788&lt;=1000,INDEX($A$2:$A$1001,3788),IF(3788&lt;=2000,INDEX($B$2:$B$1001,2788),IF(3788&lt;=3000,INDEX($C$2:$C$1001,1788),IF(3788&lt;=4000,INDEX($D$2:$D$1001,788),IF(3788&lt;=5000,INDEX($E$2:$E$1001,-212),"")))))</f>
        <v/>
      </c>
    </row>
    <row r="3790">
      <c r="G3790">
        <f>IF(3789&lt;=1000,INDEX($A$2:$A$1001,3789),IF(3789&lt;=2000,INDEX($B$2:$B$1001,2789),IF(3789&lt;=3000,INDEX($C$2:$C$1001,1789),IF(3789&lt;=4000,INDEX($D$2:$D$1001,789),IF(3789&lt;=5000,INDEX($E$2:$E$1001,-211),"")))))</f>
        <v/>
      </c>
    </row>
    <row r="3791">
      <c r="G3791">
        <f>IF(3790&lt;=1000,INDEX($A$2:$A$1001,3790),IF(3790&lt;=2000,INDEX($B$2:$B$1001,2790),IF(3790&lt;=3000,INDEX($C$2:$C$1001,1790),IF(3790&lt;=4000,INDEX($D$2:$D$1001,790),IF(3790&lt;=5000,INDEX($E$2:$E$1001,-210),"")))))</f>
        <v/>
      </c>
    </row>
    <row r="3792">
      <c r="G3792">
        <f>IF(3791&lt;=1000,INDEX($A$2:$A$1001,3791),IF(3791&lt;=2000,INDEX($B$2:$B$1001,2791),IF(3791&lt;=3000,INDEX($C$2:$C$1001,1791),IF(3791&lt;=4000,INDEX($D$2:$D$1001,791),IF(3791&lt;=5000,INDEX($E$2:$E$1001,-209),"")))))</f>
        <v/>
      </c>
    </row>
    <row r="3793">
      <c r="G3793">
        <f>IF(3792&lt;=1000,INDEX($A$2:$A$1001,3792),IF(3792&lt;=2000,INDEX($B$2:$B$1001,2792),IF(3792&lt;=3000,INDEX($C$2:$C$1001,1792),IF(3792&lt;=4000,INDEX($D$2:$D$1001,792),IF(3792&lt;=5000,INDEX($E$2:$E$1001,-208),"")))))</f>
        <v/>
      </c>
    </row>
    <row r="3794">
      <c r="G3794">
        <f>IF(3793&lt;=1000,INDEX($A$2:$A$1001,3793),IF(3793&lt;=2000,INDEX($B$2:$B$1001,2793),IF(3793&lt;=3000,INDEX($C$2:$C$1001,1793),IF(3793&lt;=4000,INDEX($D$2:$D$1001,793),IF(3793&lt;=5000,INDEX($E$2:$E$1001,-207),"")))))</f>
        <v/>
      </c>
    </row>
    <row r="3795">
      <c r="G3795">
        <f>IF(3794&lt;=1000,INDEX($A$2:$A$1001,3794),IF(3794&lt;=2000,INDEX($B$2:$B$1001,2794),IF(3794&lt;=3000,INDEX($C$2:$C$1001,1794),IF(3794&lt;=4000,INDEX($D$2:$D$1001,794),IF(3794&lt;=5000,INDEX($E$2:$E$1001,-206),"")))))</f>
        <v/>
      </c>
    </row>
    <row r="3796">
      <c r="G3796">
        <f>IF(3795&lt;=1000,INDEX($A$2:$A$1001,3795),IF(3795&lt;=2000,INDEX($B$2:$B$1001,2795),IF(3795&lt;=3000,INDEX($C$2:$C$1001,1795),IF(3795&lt;=4000,INDEX($D$2:$D$1001,795),IF(3795&lt;=5000,INDEX($E$2:$E$1001,-205),"")))))</f>
        <v/>
      </c>
    </row>
    <row r="3797">
      <c r="G3797">
        <f>IF(3796&lt;=1000,INDEX($A$2:$A$1001,3796),IF(3796&lt;=2000,INDEX($B$2:$B$1001,2796),IF(3796&lt;=3000,INDEX($C$2:$C$1001,1796),IF(3796&lt;=4000,INDEX($D$2:$D$1001,796),IF(3796&lt;=5000,INDEX($E$2:$E$1001,-204),"")))))</f>
        <v/>
      </c>
    </row>
    <row r="3798">
      <c r="G3798">
        <f>IF(3797&lt;=1000,INDEX($A$2:$A$1001,3797),IF(3797&lt;=2000,INDEX($B$2:$B$1001,2797),IF(3797&lt;=3000,INDEX($C$2:$C$1001,1797),IF(3797&lt;=4000,INDEX($D$2:$D$1001,797),IF(3797&lt;=5000,INDEX($E$2:$E$1001,-203),"")))))</f>
        <v/>
      </c>
    </row>
    <row r="3799">
      <c r="G3799">
        <f>IF(3798&lt;=1000,INDEX($A$2:$A$1001,3798),IF(3798&lt;=2000,INDEX($B$2:$B$1001,2798),IF(3798&lt;=3000,INDEX($C$2:$C$1001,1798),IF(3798&lt;=4000,INDEX($D$2:$D$1001,798),IF(3798&lt;=5000,INDEX($E$2:$E$1001,-202),"")))))</f>
        <v/>
      </c>
    </row>
    <row r="3800">
      <c r="G3800">
        <f>IF(3799&lt;=1000,INDEX($A$2:$A$1001,3799),IF(3799&lt;=2000,INDEX($B$2:$B$1001,2799),IF(3799&lt;=3000,INDEX($C$2:$C$1001,1799),IF(3799&lt;=4000,INDEX($D$2:$D$1001,799),IF(3799&lt;=5000,INDEX($E$2:$E$1001,-201),"")))))</f>
        <v/>
      </c>
    </row>
    <row r="3801">
      <c r="G3801">
        <f>IF(3800&lt;=1000,INDEX($A$2:$A$1001,3800),IF(3800&lt;=2000,INDEX($B$2:$B$1001,2800),IF(3800&lt;=3000,INDEX($C$2:$C$1001,1800),IF(3800&lt;=4000,INDEX($D$2:$D$1001,800),IF(3800&lt;=5000,INDEX($E$2:$E$1001,-200),"")))))</f>
        <v/>
      </c>
    </row>
    <row r="3802">
      <c r="G3802">
        <f>IF(3801&lt;=1000,INDEX($A$2:$A$1001,3801),IF(3801&lt;=2000,INDEX($B$2:$B$1001,2801),IF(3801&lt;=3000,INDEX($C$2:$C$1001,1801),IF(3801&lt;=4000,INDEX($D$2:$D$1001,801),IF(3801&lt;=5000,INDEX($E$2:$E$1001,-199),"")))))</f>
        <v/>
      </c>
    </row>
    <row r="3803">
      <c r="G3803">
        <f>IF(3802&lt;=1000,INDEX($A$2:$A$1001,3802),IF(3802&lt;=2000,INDEX($B$2:$B$1001,2802),IF(3802&lt;=3000,INDEX($C$2:$C$1001,1802),IF(3802&lt;=4000,INDEX($D$2:$D$1001,802),IF(3802&lt;=5000,INDEX($E$2:$E$1001,-198),"")))))</f>
        <v/>
      </c>
    </row>
    <row r="3804">
      <c r="G3804">
        <f>IF(3803&lt;=1000,INDEX($A$2:$A$1001,3803),IF(3803&lt;=2000,INDEX($B$2:$B$1001,2803),IF(3803&lt;=3000,INDEX($C$2:$C$1001,1803),IF(3803&lt;=4000,INDEX($D$2:$D$1001,803),IF(3803&lt;=5000,INDEX($E$2:$E$1001,-197),"")))))</f>
        <v/>
      </c>
    </row>
    <row r="3805">
      <c r="G3805">
        <f>IF(3804&lt;=1000,INDEX($A$2:$A$1001,3804),IF(3804&lt;=2000,INDEX($B$2:$B$1001,2804),IF(3804&lt;=3000,INDEX($C$2:$C$1001,1804),IF(3804&lt;=4000,INDEX($D$2:$D$1001,804),IF(3804&lt;=5000,INDEX($E$2:$E$1001,-196),"")))))</f>
        <v/>
      </c>
    </row>
    <row r="3806">
      <c r="G3806">
        <f>IF(3805&lt;=1000,INDEX($A$2:$A$1001,3805),IF(3805&lt;=2000,INDEX($B$2:$B$1001,2805),IF(3805&lt;=3000,INDEX($C$2:$C$1001,1805),IF(3805&lt;=4000,INDEX($D$2:$D$1001,805),IF(3805&lt;=5000,INDEX($E$2:$E$1001,-195),"")))))</f>
        <v/>
      </c>
    </row>
    <row r="3807">
      <c r="G3807">
        <f>IF(3806&lt;=1000,INDEX($A$2:$A$1001,3806),IF(3806&lt;=2000,INDEX($B$2:$B$1001,2806),IF(3806&lt;=3000,INDEX($C$2:$C$1001,1806),IF(3806&lt;=4000,INDEX($D$2:$D$1001,806),IF(3806&lt;=5000,INDEX($E$2:$E$1001,-194),"")))))</f>
        <v/>
      </c>
    </row>
    <row r="3808">
      <c r="G3808">
        <f>IF(3807&lt;=1000,INDEX($A$2:$A$1001,3807),IF(3807&lt;=2000,INDEX($B$2:$B$1001,2807),IF(3807&lt;=3000,INDEX($C$2:$C$1001,1807),IF(3807&lt;=4000,INDEX($D$2:$D$1001,807),IF(3807&lt;=5000,INDEX($E$2:$E$1001,-193),"")))))</f>
        <v/>
      </c>
    </row>
    <row r="3809">
      <c r="G3809">
        <f>IF(3808&lt;=1000,INDEX($A$2:$A$1001,3808),IF(3808&lt;=2000,INDEX($B$2:$B$1001,2808),IF(3808&lt;=3000,INDEX($C$2:$C$1001,1808),IF(3808&lt;=4000,INDEX($D$2:$D$1001,808),IF(3808&lt;=5000,INDEX($E$2:$E$1001,-192),"")))))</f>
        <v/>
      </c>
    </row>
    <row r="3810">
      <c r="G3810">
        <f>IF(3809&lt;=1000,INDEX($A$2:$A$1001,3809),IF(3809&lt;=2000,INDEX($B$2:$B$1001,2809),IF(3809&lt;=3000,INDEX($C$2:$C$1001,1809),IF(3809&lt;=4000,INDEX($D$2:$D$1001,809),IF(3809&lt;=5000,INDEX($E$2:$E$1001,-191),"")))))</f>
        <v/>
      </c>
    </row>
    <row r="3811">
      <c r="G3811">
        <f>IF(3810&lt;=1000,INDEX($A$2:$A$1001,3810),IF(3810&lt;=2000,INDEX($B$2:$B$1001,2810),IF(3810&lt;=3000,INDEX($C$2:$C$1001,1810),IF(3810&lt;=4000,INDEX($D$2:$D$1001,810),IF(3810&lt;=5000,INDEX($E$2:$E$1001,-190),"")))))</f>
        <v/>
      </c>
    </row>
    <row r="3812">
      <c r="G3812">
        <f>IF(3811&lt;=1000,INDEX($A$2:$A$1001,3811),IF(3811&lt;=2000,INDEX($B$2:$B$1001,2811),IF(3811&lt;=3000,INDEX($C$2:$C$1001,1811),IF(3811&lt;=4000,INDEX($D$2:$D$1001,811),IF(3811&lt;=5000,INDEX($E$2:$E$1001,-189),"")))))</f>
        <v/>
      </c>
    </row>
    <row r="3813">
      <c r="G3813">
        <f>IF(3812&lt;=1000,INDEX($A$2:$A$1001,3812),IF(3812&lt;=2000,INDEX($B$2:$B$1001,2812),IF(3812&lt;=3000,INDEX($C$2:$C$1001,1812),IF(3812&lt;=4000,INDEX($D$2:$D$1001,812),IF(3812&lt;=5000,INDEX($E$2:$E$1001,-188),"")))))</f>
        <v/>
      </c>
    </row>
    <row r="3814">
      <c r="G3814">
        <f>IF(3813&lt;=1000,INDEX($A$2:$A$1001,3813),IF(3813&lt;=2000,INDEX($B$2:$B$1001,2813),IF(3813&lt;=3000,INDEX($C$2:$C$1001,1813),IF(3813&lt;=4000,INDEX($D$2:$D$1001,813),IF(3813&lt;=5000,INDEX($E$2:$E$1001,-187),"")))))</f>
        <v/>
      </c>
    </row>
    <row r="3815">
      <c r="G3815">
        <f>IF(3814&lt;=1000,INDEX($A$2:$A$1001,3814),IF(3814&lt;=2000,INDEX($B$2:$B$1001,2814),IF(3814&lt;=3000,INDEX($C$2:$C$1001,1814),IF(3814&lt;=4000,INDEX($D$2:$D$1001,814),IF(3814&lt;=5000,INDEX($E$2:$E$1001,-186),"")))))</f>
        <v/>
      </c>
    </row>
    <row r="3816">
      <c r="G3816">
        <f>IF(3815&lt;=1000,INDEX($A$2:$A$1001,3815),IF(3815&lt;=2000,INDEX($B$2:$B$1001,2815),IF(3815&lt;=3000,INDEX($C$2:$C$1001,1815),IF(3815&lt;=4000,INDEX($D$2:$D$1001,815),IF(3815&lt;=5000,INDEX($E$2:$E$1001,-185),"")))))</f>
        <v/>
      </c>
    </row>
    <row r="3817">
      <c r="G3817">
        <f>IF(3816&lt;=1000,INDEX($A$2:$A$1001,3816),IF(3816&lt;=2000,INDEX($B$2:$B$1001,2816),IF(3816&lt;=3000,INDEX($C$2:$C$1001,1816),IF(3816&lt;=4000,INDEX($D$2:$D$1001,816),IF(3816&lt;=5000,INDEX($E$2:$E$1001,-184),"")))))</f>
        <v/>
      </c>
    </row>
    <row r="3818">
      <c r="G3818">
        <f>IF(3817&lt;=1000,INDEX($A$2:$A$1001,3817),IF(3817&lt;=2000,INDEX($B$2:$B$1001,2817),IF(3817&lt;=3000,INDEX($C$2:$C$1001,1817),IF(3817&lt;=4000,INDEX($D$2:$D$1001,817),IF(3817&lt;=5000,INDEX($E$2:$E$1001,-183),"")))))</f>
        <v/>
      </c>
    </row>
    <row r="3819">
      <c r="G3819">
        <f>IF(3818&lt;=1000,INDEX($A$2:$A$1001,3818),IF(3818&lt;=2000,INDEX($B$2:$B$1001,2818),IF(3818&lt;=3000,INDEX($C$2:$C$1001,1818),IF(3818&lt;=4000,INDEX($D$2:$D$1001,818),IF(3818&lt;=5000,INDEX($E$2:$E$1001,-182),"")))))</f>
        <v/>
      </c>
    </row>
    <row r="3820">
      <c r="G3820">
        <f>IF(3819&lt;=1000,INDEX($A$2:$A$1001,3819),IF(3819&lt;=2000,INDEX($B$2:$B$1001,2819),IF(3819&lt;=3000,INDEX($C$2:$C$1001,1819),IF(3819&lt;=4000,INDEX($D$2:$D$1001,819),IF(3819&lt;=5000,INDEX($E$2:$E$1001,-181),"")))))</f>
        <v/>
      </c>
    </row>
    <row r="3821">
      <c r="G3821">
        <f>IF(3820&lt;=1000,INDEX($A$2:$A$1001,3820),IF(3820&lt;=2000,INDEX($B$2:$B$1001,2820),IF(3820&lt;=3000,INDEX($C$2:$C$1001,1820),IF(3820&lt;=4000,INDEX($D$2:$D$1001,820),IF(3820&lt;=5000,INDEX($E$2:$E$1001,-180),"")))))</f>
        <v/>
      </c>
    </row>
    <row r="3822">
      <c r="G3822">
        <f>IF(3821&lt;=1000,INDEX($A$2:$A$1001,3821),IF(3821&lt;=2000,INDEX($B$2:$B$1001,2821),IF(3821&lt;=3000,INDEX($C$2:$C$1001,1821),IF(3821&lt;=4000,INDEX($D$2:$D$1001,821),IF(3821&lt;=5000,INDEX($E$2:$E$1001,-179),"")))))</f>
        <v/>
      </c>
    </row>
    <row r="3823">
      <c r="G3823">
        <f>IF(3822&lt;=1000,INDEX($A$2:$A$1001,3822),IF(3822&lt;=2000,INDEX($B$2:$B$1001,2822),IF(3822&lt;=3000,INDEX($C$2:$C$1001,1822),IF(3822&lt;=4000,INDEX($D$2:$D$1001,822),IF(3822&lt;=5000,INDEX($E$2:$E$1001,-178),"")))))</f>
        <v/>
      </c>
    </row>
    <row r="3824">
      <c r="G3824">
        <f>IF(3823&lt;=1000,INDEX($A$2:$A$1001,3823),IF(3823&lt;=2000,INDEX($B$2:$B$1001,2823),IF(3823&lt;=3000,INDEX($C$2:$C$1001,1823),IF(3823&lt;=4000,INDEX($D$2:$D$1001,823),IF(3823&lt;=5000,INDEX($E$2:$E$1001,-177),"")))))</f>
        <v/>
      </c>
    </row>
    <row r="3825">
      <c r="G3825">
        <f>IF(3824&lt;=1000,INDEX($A$2:$A$1001,3824),IF(3824&lt;=2000,INDEX($B$2:$B$1001,2824),IF(3824&lt;=3000,INDEX($C$2:$C$1001,1824),IF(3824&lt;=4000,INDEX($D$2:$D$1001,824),IF(3824&lt;=5000,INDEX($E$2:$E$1001,-176),"")))))</f>
        <v/>
      </c>
    </row>
    <row r="3826">
      <c r="G3826">
        <f>IF(3825&lt;=1000,INDEX($A$2:$A$1001,3825),IF(3825&lt;=2000,INDEX($B$2:$B$1001,2825),IF(3825&lt;=3000,INDEX($C$2:$C$1001,1825),IF(3825&lt;=4000,INDEX($D$2:$D$1001,825),IF(3825&lt;=5000,INDEX($E$2:$E$1001,-175),"")))))</f>
        <v/>
      </c>
    </row>
    <row r="3827">
      <c r="G3827">
        <f>IF(3826&lt;=1000,INDEX($A$2:$A$1001,3826),IF(3826&lt;=2000,INDEX($B$2:$B$1001,2826),IF(3826&lt;=3000,INDEX($C$2:$C$1001,1826),IF(3826&lt;=4000,INDEX($D$2:$D$1001,826),IF(3826&lt;=5000,INDEX($E$2:$E$1001,-174),"")))))</f>
        <v/>
      </c>
    </row>
    <row r="3828">
      <c r="G3828">
        <f>IF(3827&lt;=1000,INDEX($A$2:$A$1001,3827),IF(3827&lt;=2000,INDEX($B$2:$B$1001,2827),IF(3827&lt;=3000,INDEX($C$2:$C$1001,1827),IF(3827&lt;=4000,INDEX($D$2:$D$1001,827),IF(3827&lt;=5000,INDEX($E$2:$E$1001,-173),"")))))</f>
        <v/>
      </c>
    </row>
    <row r="3829">
      <c r="G3829">
        <f>IF(3828&lt;=1000,INDEX($A$2:$A$1001,3828),IF(3828&lt;=2000,INDEX($B$2:$B$1001,2828),IF(3828&lt;=3000,INDEX($C$2:$C$1001,1828),IF(3828&lt;=4000,INDEX($D$2:$D$1001,828),IF(3828&lt;=5000,INDEX($E$2:$E$1001,-172),"")))))</f>
        <v/>
      </c>
    </row>
    <row r="3830">
      <c r="G3830">
        <f>IF(3829&lt;=1000,INDEX($A$2:$A$1001,3829),IF(3829&lt;=2000,INDEX($B$2:$B$1001,2829),IF(3829&lt;=3000,INDEX($C$2:$C$1001,1829),IF(3829&lt;=4000,INDEX($D$2:$D$1001,829),IF(3829&lt;=5000,INDEX($E$2:$E$1001,-171),"")))))</f>
        <v/>
      </c>
    </row>
    <row r="3831">
      <c r="G3831">
        <f>IF(3830&lt;=1000,INDEX($A$2:$A$1001,3830),IF(3830&lt;=2000,INDEX($B$2:$B$1001,2830),IF(3830&lt;=3000,INDEX($C$2:$C$1001,1830),IF(3830&lt;=4000,INDEX($D$2:$D$1001,830),IF(3830&lt;=5000,INDEX($E$2:$E$1001,-170),"")))))</f>
        <v/>
      </c>
    </row>
    <row r="3832">
      <c r="G3832">
        <f>IF(3831&lt;=1000,INDEX($A$2:$A$1001,3831),IF(3831&lt;=2000,INDEX($B$2:$B$1001,2831),IF(3831&lt;=3000,INDEX($C$2:$C$1001,1831),IF(3831&lt;=4000,INDEX($D$2:$D$1001,831),IF(3831&lt;=5000,INDEX($E$2:$E$1001,-169),"")))))</f>
        <v/>
      </c>
    </row>
    <row r="3833">
      <c r="G3833">
        <f>IF(3832&lt;=1000,INDEX($A$2:$A$1001,3832),IF(3832&lt;=2000,INDEX($B$2:$B$1001,2832),IF(3832&lt;=3000,INDEX($C$2:$C$1001,1832),IF(3832&lt;=4000,INDEX($D$2:$D$1001,832),IF(3832&lt;=5000,INDEX($E$2:$E$1001,-168),"")))))</f>
        <v/>
      </c>
    </row>
    <row r="3834">
      <c r="G3834">
        <f>IF(3833&lt;=1000,INDEX($A$2:$A$1001,3833),IF(3833&lt;=2000,INDEX($B$2:$B$1001,2833),IF(3833&lt;=3000,INDEX($C$2:$C$1001,1833),IF(3833&lt;=4000,INDEX($D$2:$D$1001,833),IF(3833&lt;=5000,INDEX($E$2:$E$1001,-167),"")))))</f>
        <v/>
      </c>
    </row>
    <row r="3835">
      <c r="G3835">
        <f>IF(3834&lt;=1000,INDEX($A$2:$A$1001,3834),IF(3834&lt;=2000,INDEX($B$2:$B$1001,2834),IF(3834&lt;=3000,INDEX($C$2:$C$1001,1834),IF(3834&lt;=4000,INDEX($D$2:$D$1001,834),IF(3834&lt;=5000,INDEX($E$2:$E$1001,-166),"")))))</f>
        <v/>
      </c>
    </row>
    <row r="3836">
      <c r="G3836">
        <f>IF(3835&lt;=1000,INDEX($A$2:$A$1001,3835),IF(3835&lt;=2000,INDEX($B$2:$B$1001,2835),IF(3835&lt;=3000,INDEX($C$2:$C$1001,1835),IF(3835&lt;=4000,INDEX($D$2:$D$1001,835),IF(3835&lt;=5000,INDEX($E$2:$E$1001,-165),"")))))</f>
        <v/>
      </c>
    </row>
    <row r="3837">
      <c r="G3837">
        <f>IF(3836&lt;=1000,INDEX($A$2:$A$1001,3836),IF(3836&lt;=2000,INDEX($B$2:$B$1001,2836),IF(3836&lt;=3000,INDEX($C$2:$C$1001,1836),IF(3836&lt;=4000,INDEX($D$2:$D$1001,836),IF(3836&lt;=5000,INDEX($E$2:$E$1001,-164),"")))))</f>
        <v/>
      </c>
    </row>
    <row r="3838">
      <c r="G3838">
        <f>IF(3837&lt;=1000,INDEX($A$2:$A$1001,3837),IF(3837&lt;=2000,INDEX($B$2:$B$1001,2837),IF(3837&lt;=3000,INDEX($C$2:$C$1001,1837),IF(3837&lt;=4000,INDEX($D$2:$D$1001,837),IF(3837&lt;=5000,INDEX($E$2:$E$1001,-163),"")))))</f>
        <v/>
      </c>
    </row>
    <row r="3839">
      <c r="G3839">
        <f>IF(3838&lt;=1000,INDEX($A$2:$A$1001,3838),IF(3838&lt;=2000,INDEX($B$2:$B$1001,2838),IF(3838&lt;=3000,INDEX($C$2:$C$1001,1838),IF(3838&lt;=4000,INDEX($D$2:$D$1001,838),IF(3838&lt;=5000,INDEX($E$2:$E$1001,-162),"")))))</f>
        <v/>
      </c>
    </row>
    <row r="3840">
      <c r="G3840">
        <f>IF(3839&lt;=1000,INDEX($A$2:$A$1001,3839),IF(3839&lt;=2000,INDEX($B$2:$B$1001,2839),IF(3839&lt;=3000,INDEX($C$2:$C$1001,1839),IF(3839&lt;=4000,INDEX($D$2:$D$1001,839),IF(3839&lt;=5000,INDEX($E$2:$E$1001,-161),"")))))</f>
        <v/>
      </c>
    </row>
    <row r="3841">
      <c r="G3841">
        <f>IF(3840&lt;=1000,INDEX($A$2:$A$1001,3840),IF(3840&lt;=2000,INDEX($B$2:$B$1001,2840),IF(3840&lt;=3000,INDEX($C$2:$C$1001,1840),IF(3840&lt;=4000,INDEX($D$2:$D$1001,840),IF(3840&lt;=5000,INDEX($E$2:$E$1001,-160),"")))))</f>
        <v/>
      </c>
    </row>
    <row r="3842">
      <c r="G3842">
        <f>IF(3841&lt;=1000,INDEX($A$2:$A$1001,3841),IF(3841&lt;=2000,INDEX($B$2:$B$1001,2841),IF(3841&lt;=3000,INDEX($C$2:$C$1001,1841),IF(3841&lt;=4000,INDEX($D$2:$D$1001,841),IF(3841&lt;=5000,INDEX($E$2:$E$1001,-159),"")))))</f>
        <v/>
      </c>
    </row>
    <row r="3843">
      <c r="G3843">
        <f>IF(3842&lt;=1000,INDEX($A$2:$A$1001,3842),IF(3842&lt;=2000,INDEX($B$2:$B$1001,2842),IF(3842&lt;=3000,INDEX($C$2:$C$1001,1842),IF(3842&lt;=4000,INDEX($D$2:$D$1001,842),IF(3842&lt;=5000,INDEX($E$2:$E$1001,-158),"")))))</f>
        <v/>
      </c>
    </row>
    <row r="3844">
      <c r="G3844">
        <f>IF(3843&lt;=1000,INDEX($A$2:$A$1001,3843),IF(3843&lt;=2000,INDEX($B$2:$B$1001,2843),IF(3843&lt;=3000,INDEX($C$2:$C$1001,1843),IF(3843&lt;=4000,INDEX($D$2:$D$1001,843),IF(3843&lt;=5000,INDEX($E$2:$E$1001,-157),"")))))</f>
        <v/>
      </c>
    </row>
    <row r="3845">
      <c r="G3845">
        <f>IF(3844&lt;=1000,INDEX($A$2:$A$1001,3844),IF(3844&lt;=2000,INDEX($B$2:$B$1001,2844),IF(3844&lt;=3000,INDEX($C$2:$C$1001,1844),IF(3844&lt;=4000,INDEX($D$2:$D$1001,844),IF(3844&lt;=5000,INDEX($E$2:$E$1001,-156),"")))))</f>
        <v/>
      </c>
    </row>
    <row r="3846">
      <c r="G3846">
        <f>IF(3845&lt;=1000,INDEX($A$2:$A$1001,3845),IF(3845&lt;=2000,INDEX($B$2:$B$1001,2845),IF(3845&lt;=3000,INDEX($C$2:$C$1001,1845),IF(3845&lt;=4000,INDEX($D$2:$D$1001,845),IF(3845&lt;=5000,INDEX($E$2:$E$1001,-155),"")))))</f>
        <v/>
      </c>
    </row>
    <row r="3847">
      <c r="G3847">
        <f>IF(3846&lt;=1000,INDEX($A$2:$A$1001,3846),IF(3846&lt;=2000,INDEX($B$2:$B$1001,2846),IF(3846&lt;=3000,INDEX($C$2:$C$1001,1846),IF(3846&lt;=4000,INDEX($D$2:$D$1001,846),IF(3846&lt;=5000,INDEX($E$2:$E$1001,-154),"")))))</f>
        <v/>
      </c>
    </row>
    <row r="3848">
      <c r="G3848">
        <f>IF(3847&lt;=1000,INDEX($A$2:$A$1001,3847),IF(3847&lt;=2000,INDEX($B$2:$B$1001,2847),IF(3847&lt;=3000,INDEX($C$2:$C$1001,1847),IF(3847&lt;=4000,INDEX($D$2:$D$1001,847),IF(3847&lt;=5000,INDEX($E$2:$E$1001,-153),"")))))</f>
        <v/>
      </c>
    </row>
    <row r="3849">
      <c r="G3849">
        <f>IF(3848&lt;=1000,INDEX($A$2:$A$1001,3848),IF(3848&lt;=2000,INDEX($B$2:$B$1001,2848),IF(3848&lt;=3000,INDEX($C$2:$C$1001,1848),IF(3848&lt;=4000,INDEX($D$2:$D$1001,848),IF(3848&lt;=5000,INDEX($E$2:$E$1001,-152),"")))))</f>
        <v/>
      </c>
    </row>
    <row r="3850">
      <c r="G3850">
        <f>IF(3849&lt;=1000,INDEX($A$2:$A$1001,3849),IF(3849&lt;=2000,INDEX($B$2:$B$1001,2849),IF(3849&lt;=3000,INDEX($C$2:$C$1001,1849),IF(3849&lt;=4000,INDEX($D$2:$D$1001,849),IF(3849&lt;=5000,INDEX($E$2:$E$1001,-151),"")))))</f>
        <v/>
      </c>
    </row>
    <row r="3851">
      <c r="G3851">
        <f>IF(3850&lt;=1000,INDEX($A$2:$A$1001,3850),IF(3850&lt;=2000,INDEX($B$2:$B$1001,2850),IF(3850&lt;=3000,INDEX($C$2:$C$1001,1850),IF(3850&lt;=4000,INDEX($D$2:$D$1001,850),IF(3850&lt;=5000,INDEX($E$2:$E$1001,-150),"")))))</f>
        <v/>
      </c>
    </row>
    <row r="3852">
      <c r="G3852">
        <f>IF(3851&lt;=1000,INDEX($A$2:$A$1001,3851),IF(3851&lt;=2000,INDEX($B$2:$B$1001,2851),IF(3851&lt;=3000,INDEX($C$2:$C$1001,1851),IF(3851&lt;=4000,INDEX($D$2:$D$1001,851),IF(3851&lt;=5000,INDEX($E$2:$E$1001,-149),"")))))</f>
        <v/>
      </c>
    </row>
    <row r="3853">
      <c r="G3853">
        <f>IF(3852&lt;=1000,INDEX($A$2:$A$1001,3852),IF(3852&lt;=2000,INDEX($B$2:$B$1001,2852),IF(3852&lt;=3000,INDEX($C$2:$C$1001,1852),IF(3852&lt;=4000,INDEX($D$2:$D$1001,852),IF(3852&lt;=5000,INDEX($E$2:$E$1001,-148),"")))))</f>
        <v/>
      </c>
    </row>
    <row r="3854">
      <c r="G3854">
        <f>IF(3853&lt;=1000,INDEX($A$2:$A$1001,3853),IF(3853&lt;=2000,INDEX($B$2:$B$1001,2853),IF(3853&lt;=3000,INDEX($C$2:$C$1001,1853),IF(3853&lt;=4000,INDEX($D$2:$D$1001,853),IF(3853&lt;=5000,INDEX($E$2:$E$1001,-147),"")))))</f>
        <v/>
      </c>
    </row>
    <row r="3855">
      <c r="G3855">
        <f>IF(3854&lt;=1000,INDEX($A$2:$A$1001,3854),IF(3854&lt;=2000,INDEX($B$2:$B$1001,2854),IF(3854&lt;=3000,INDEX($C$2:$C$1001,1854),IF(3854&lt;=4000,INDEX($D$2:$D$1001,854),IF(3854&lt;=5000,INDEX($E$2:$E$1001,-146),"")))))</f>
        <v/>
      </c>
    </row>
    <row r="3856">
      <c r="G3856">
        <f>IF(3855&lt;=1000,INDEX($A$2:$A$1001,3855),IF(3855&lt;=2000,INDEX($B$2:$B$1001,2855),IF(3855&lt;=3000,INDEX($C$2:$C$1001,1855),IF(3855&lt;=4000,INDEX($D$2:$D$1001,855),IF(3855&lt;=5000,INDEX($E$2:$E$1001,-145),"")))))</f>
        <v/>
      </c>
    </row>
    <row r="3857">
      <c r="G3857">
        <f>IF(3856&lt;=1000,INDEX($A$2:$A$1001,3856),IF(3856&lt;=2000,INDEX($B$2:$B$1001,2856),IF(3856&lt;=3000,INDEX($C$2:$C$1001,1856),IF(3856&lt;=4000,INDEX($D$2:$D$1001,856),IF(3856&lt;=5000,INDEX($E$2:$E$1001,-144),"")))))</f>
        <v/>
      </c>
    </row>
    <row r="3858">
      <c r="G3858">
        <f>IF(3857&lt;=1000,INDEX($A$2:$A$1001,3857),IF(3857&lt;=2000,INDEX($B$2:$B$1001,2857),IF(3857&lt;=3000,INDEX($C$2:$C$1001,1857),IF(3857&lt;=4000,INDEX($D$2:$D$1001,857),IF(3857&lt;=5000,INDEX($E$2:$E$1001,-143),"")))))</f>
        <v/>
      </c>
    </row>
    <row r="3859">
      <c r="G3859">
        <f>IF(3858&lt;=1000,INDEX($A$2:$A$1001,3858),IF(3858&lt;=2000,INDEX($B$2:$B$1001,2858),IF(3858&lt;=3000,INDEX($C$2:$C$1001,1858),IF(3858&lt;=4000,INDEX($D$2:$D$1001,858),IF(3858&lt;=5000,INDEX($E$2:$E$1001,-142),"")))))</f>
        <v/>
      </c>
    </row>
    <row r="3860">
      <c r="G3860">
        <f>IF(3859&lt;=1000,INDEX($A$2:$A$1001,3859),IF(3859&lt;=2000,INDEX($B$2:$B$1001,2859),IF(3859&lt;=3000,INDEX($C$2:$C$1001,1859),IF(3859&lt;=4000,INDEX($D$2:$D$1001,859),IF(3859&lt;=5000,INDEX($E$2:$E$1001,-141),"")))))</f>
        <v/>
      </c>
    </row>
    <row r="3861">
      <c r="G3861">
        <f>IF(3860&lt;=1000,INDEX($A$2:$A$1001,3860),IF(3860&lt;=2000,INDEX($B$2:$B$1001,2860),IF(3860&lt;=3000,INDEX($C$2:$C$1001,1860),IF(3860&lt;=4000,INDEX($D$2:$D$1001,860),IF(3860&lt;=5000,INDEX($E$2:$E$1001,-140),"")))))</f>
        <v/>
      </c>
    </row>
    <row r="3862">
      <c r="G3862">
        <f>IF(3861&lt;=1000,INDEX($A$2:$A$1001,3861),IF(3861&lt;=2000,INDEX($B$2:$B$1001,2861),IF(3861&lt;=3000,INDEX($C$2:$C$1001,1861),IF(3861&lt;=4000,INDEX($D$2:$D$1001,861),IF(3861&lt;=5000,INDEX($E$2:$E$1001,-139),"")))))</f>
        <v/>
      </c>
    </row>
    <row r="3863">
      <c r="G3863">
        <f>IF(3862&lt;=1000,INDEX($A$2:$A$1001,3862),IF(3862&lt;=2000,INDEX($B$2:$B$1001,2862),IF(3862&lt;=3000,INDEX($C$2:$C$1001,1862),IF(3862&lt;=4000,INDEX($D$2:$D$1001,862),IF(3862&lt;=5000,INDEX($E$2:$E$1001,-138),"")))))</f>
        <v/>
      </c>
    </row>
    <row r="3864">
      <c r="G3864">
        <f>IF(3863&lt;=1000,INDEX($A$2:$A$1001,3863),IF(3863&lt;=2000,INDEX($B$2:$B$1001,2863),IF(3863&lt;=3000,INDEX($C$2:$C$1001,1863),IF(3863&lt;=4000,INDEX($D$2:$D$1001,863),IF(3863&lt;=5000,INDEX($E$2:$E$1001,-137),"")))))</f>
        <v/>
      </c>
    </row>
    <row r="3865">
      <c r="G3865">
        <f>IF(3864&lt;=1000,INDEX($A$2:$A$1001,3864),IF(3864&lt;=2000,INDEX($B$2:$B$1001,2864),IF(3864&lt;=3000,INDEX($C$2:$C$1001,1864),IF(3864&lt;=4000,INDEX($D$2:$D$1001,864),IF(3864&lt;=5000,INDEX($E$2:$E$1001,-136),"")))))</f>
        <v/>
      </c>
    </row>
    <row r="3866">
      <c r="G3866">
        <f>IF(3865&lt;=1000,INDEX($A$2:$A$1001,3865),IF(3865&lt;=2000,INDEX($B$2:$B$1001,2865),IF(3865&lt;=3000,INDEX($C$2:$C$1001,1865),IF(3865&lt;=4000,INDEX($D$2:$D$1001,865),IF(3865&lt;=5000,INDEX($E$2:$E$1001,-135),"")))))</f>
        <v/>
      </c>
    </row>
    <row r="3867">
      <c r="G3867">
        <f>IF(3866&lt;=1000,INDEX($A$2:$A$1001,3866),IF(3866&lt;=2000,INDEX($B$2:$B$1001,2866),IF(3866&lt;=3000,INDEX($C$2:$C$1001,1866),IF(3866&lt;=4000,INDEX($D$2:$D$1001,866),IF(3866&lt;=5000,INDEX($E$2:$E$1001,-134),"")))))</f>
        <v/>
      </c>
    </row>
    <row r="3868">
      <c r="G3868">
        <f>IF(3867&lt;=1000,INDEX($A$2:$A$1001,3867),IF(3867&lt;=2000,INDEX($B$2:$B$1001,2867),IF(3867&lt;=3000,INDEX($C$2:$C$1001,1867),IF(3867&lt;=4000,INDEX($D$2:$D$1001,867),IF(3867&lt;=5000,INDEX($E$2:$E$1001,-133),"")))))</f>
        <v/>
      </c>
    </row>
    <row r="3869">
      <c r="G3869">
        <f>IF(3868&lt;=1000,INDEX($A$2:$A$1001,3868),IF(3868&lt;=2000,INDEX($B$2:$B$1001,2868),IF(3868&lt;=3000,INDEX($C$2:$C$1001,1868),IF(3868&lt;=4000,INDEX($D$2:$D$1001,868),IF(3868&lt;=5000,INDEX($E$2:$E$1001,-132),"")))))</f>
        <v/>
      </c>
    </row>
    <row r="3870">
      <c r="G3870">
        <f>IF(3869&lt;=1000,INDEX($A$2:$A$1001,3869),IF(3869&lt;=2000,INDEX($B$2:$B$1001,2869),IF(3869&lt;=3000,INDEX($C$2:$C$1001,1869),IF(3869&lt;=4000,INDEX($D$2:$D$1001,869),IF(3869&lt;=5000,INDEX($E$2:$E$1001,-131),"")))))</f>
        <v/>
      </c>
    </row>
    <row r="3871">
      <c r="G3871">
        <f>IF(3870&lt;=1000,INDEX($A$2:$A$1001,3870),IF(3870&lt;=2000,INDEX($B$2:$B$1001,2870),IF(3870&lt;=3000,INDEX($C$2:$C$1001,1870),IF(3870&lt;=4000,INDEX($D$2:$D$1001,870),IF(3870&lt;=5000,INDEX($E$2:$E$1001,-130),"")))))</f>
        <v/>
      </c>
    </row>
    <row r="3872">
      <c r="G3872">
        <f>IF(3871&lt;=1000,INDEX($A$2:$A$1001,3871),IF(3871&lt;=2000,INDEX($B$2:$B$1001,2871),IF(3871&lt;=3000,INDEX($C$2:$C$1001,1871),IF(3871&lt;=4000,INDEX($D$2:$D$1001,871),IF(3871&lt;=5000,INDEX($E$2:$E$1001,-129),"")))))</f>
        <v/>
      </c>
    </row>
    <row r="3873">
      <c r="G3873">
        <f>IF(3872&lt;=1000,INDEX($A$2:$A$1001,3872),IF(3872&lt;=2000,INDEX($B$2:$B$1001,2872),IF(3872&lt;=3000,INDEX($C$2:$C$1001,1872),IF(3872&lt;=4000,INDEX($D$2:$D$1001,872),IF(3872&lt;=5000,INDEX($E$2:$E$1001,-128),"")))))</f>
        <v/>
      </c>
    </row>
    <row r="3874">
      <c r="G3874">
        <f>IF(3873&lt;=1000,INDEX($A$2:$A$1001,3873),IF(3873&lt;=2000,INDEX($B$2:$B$1001,2873),IF(3873&lt;=3000,INDEX($C$2:$C$1001,1873),IF(3873&lt;=4000,INDEX($D$2:$D$1001,873),IF(3873&lt;=5000,INDEX($E$2:$E$1001,-127),"")))))</f>
        <v/>
      </c>
    </row>
    <row r="3875">
      <c r="G3875">
        <f>IF(3874&lt;=1000,INDEX($A$2:$A$1001,3874),IF(3874&lt;=2000,INDEX($B$2:$B$1001,2874),IF(3874&lt;=3000,INDEX($C$2:$C$1001,1874),IF(3874&lt;=4000,INDEX($D$2:$D$1001,874),IF(3874&lt;=5000,INDEX($E$2:$E$1001,-126),"")))))</f>
        <v/>
      </c>
    </row>
    <row r="3876">
      <c r="G3876">
        <f>IF(3875&lt;=1000,INDEX($A$2:$A$1001,3875),IF(3875&lt;=2000,INDEX($B$2:$B$1001,2875),IF(3875&lt;=3000,INDEX($C$2:$C$1001,1875),IF(3875&lt;=4000,INDEX($D$2:$D$1001,875),IF(3875&lt;=5000,INDEX($E$2:$E$1001,-125),"")))))</f>
        <v/>
      </c>
    </row>
    <row r="3877">
      <c r="G3877">
        <f>IF(3876&lt;=1000,INDEX($A$2:$A$1001,3876),IF(3876&lt;=2000,INDEX($B$2:$B$1001,2876),IF(3876&lt;=3000,INDEX($C$2:$C$1001,1876),IF(3876&lt;=4000,INDEX($D$2:$D$1001,876),IF(3876&lt;=5000,INDEX($E$2:$E$1001,-124),"")))))</f>
        <v/>
      </c>
    </row>
    <row r="3878">
      <c r="G3878">
        <f>IF(3877&lt;=1000,INDEX($A$2:$A$1001,3877),IF(3877&lt;=2000,INDEX($B$2:$B$1001,2877),IF(3877&lt;=3000,INDEX($C$2:$C$1001,1877),IF(3877&lt;=4000,INDEX($D$2:$D$1001,877),IF(3877&lt;=5000,INDEX($E$2:$E$1001,-123),"")))))</f>
        <v/>
      </c>
    </row>
    <row r="3879">
      <c r="G3879">
        <f>IF(3878&lt;=1000,INDEX($A$2:$A$1001,3878),IF(3878&lt;=2000,INDEX($B$2:$B$1001,2878),IF(3878&lt;=3000,INDEX($C$2:$C$1001,1878),IF(3878&lt;=4000,INDEX($D$2:$D$1001,878),IF(3878&lt;=5000,INDEX($E$2:$E$1001,-122),"")))))</f>
        <v/>
      </c>
    </row>
    <row r="3880">
      <c r="G3880">
        <f>IF(3879&lt;=1000,INDEX($A$2:$A$1001,3879),IF(3879&lt;=2000,INDEX($B$2:$B$1001,2879),IF(3879&lt;=3000,INDEX($C$2:$C$1001,1879),IF(3879&lt;=4000,INDEX($D$2:$D$1001,879),IF(3879&lt;=5000,INDEX($E$2:$E$1001,-121),"")))))</f>
        <v/>
      </c>
    </row>
    <row r="3881">
      <c r="G3881">
        <f>IF(3880&lt;=1000,INDEX($A$2:$A$1001,3880),IF(3880&lt;=2000,INDEX($B$2:$B$1001,2880),IF(3880&lt;=3000,INDEX($C$2:$C$1001,1880),IF(3880&lt;=4000,INDEX($D$2:$D$1001,880),IF(3880&lt;=5000,INDEX($E$2:$E$1001,-120),"")))))</f>
        <v/>
      </c>
    </row>
    <row r="3882">
      <c r="G3882">
        <f>IF(3881&lt;=1000,INDEX($A$2:$A$1001,3881),IF(3881&lt;=2000,INDEX($B$2:$B$1001,2881),IF(3881&lt;=3000,INDEX($C$2:$C$1001,1881),IF(3881&lt;=4000,INDEX($D$2:$D$1001,881),IF(3881&lt;=5000,INDEX($E$2:$E$1001,-119),"")))))</f>
        <v/>
      </c>
    </row>
    <row r="3883">
      <c r="G3883">
        <f>IF(3882&lt;=1000,INDEX($A$2:$A$1001,3882),IF(3882&lt;=2000,INDEX($B$2:$B$1001,2882),IF(3882&lt;=3000,INDEX($C$2:$C$1001,1882),IF(3882&lt;=4000,INDEX($D$2:$D$1001,882),IF(3882&lt;=5000,INDEX($E$2:$E$1001,-118),"")))))</f>
        <v/>
      </c>
    </row>
    <row r="3884">
      <c r="G3884">
        <f>IF(3883&lt;=1000,INDEX($A$2:$A$1001,3883),IF(3883&lt;=2000,INDEX($B$2:$B$1001,2883),IF(3883&lt;=3000,INDEX($C$2:$C$1001,1883),IF(3883&lt;=4000,INDEX($D$2:$D$1001,883),IF(3883&lt;=5000,INDEX($E$2:$E$1001,-117),"")))))</f>
        <v/>
      </c>
    </row>
    <row r="3885">
      <c r="G3885">
        <f>IF(3884&lt;=1000,INDEX($A$2:$A$1001,3884),IF(3884&lt;=2000,INDEX($B$2:$B$1001,2884),IF(3884&lt;=3000,INDEX($C$2:$C$1001,1884),IF(3884&lt;=4000,INDEX($D$2:$D$1001,884),IF(3884&lt;=5000,INDEX($E$2:$E$1001,-116),"")))))</f>
        <v/>
      </c>
    </row>
    <row r="3886">
      <c r="G3886">
        <f>IF(3885&lt;=1000,INDEX($A$2:$A$1001,3885),IF(3885&lt;=2000,INDEX($B$2:$B$1001,2885),IF(3885&lt;=3000,INDEX($C$2:$C$1001,1885),IF(3885&lt;=4000,INDEX($D$2:$D$1001,885),IF(3885&lt;=5000,INDEX($E$2:$E$1001,-115),"")))))</f>
        <v/>
      </c>
    </row>
    <row r="3887">
      <c r="G3887">
        <f>IF(3886&lt;=1000,INDEX($A$2:$A$1001,3886),IF(3886&lt;=2000,INDEX($B$2:$B$1001,2886),IF(3886&lt;=3000,INDEX($C$2:$C$1001,1886),IF(3886&lt;=4000,INDEX($D$2:$D$1001,886),IF(3886&lt;=5000,INDEX($E$2:$E$1001,-114),"")))))</f>
        <v/>
      </c>
    </row>
    <row r="3888">
      <c r="G3888">
        <f>IF(3887&lt;=1000,INDEX($A$2:$A$1001,3887),IF(3887&lt;=2000,INDEX($B$2:$B$1001,2887),IF(3887&lt;=3000,INDEX($C$2:$C$1001,1887),IF(3887&lt;=4000,INDEX($D$2:$D$1001,887),IF(3887&lt;=5000,INDEX($E$2:$E$1001,-113),"")))))</f>
        <v/>
      </c>
    </row>
    <row r="3889">
      <c r="G3889">
        <f>IF(3888&lt;=1000,INDEX($A$2:$A$1001,3888),IF(3888&lt;=2000,INDEX($B$2:$B$1001,2888),IF(3888&lt;=3000,INDEX($C$2:$C$1001,1888),IF(3888&lt;=4000,INDEX($D$2:$D$1001,888),IF(3888&lt;=5000,INDEX($E$2:$E$1001,-112),"")))))</f>
        <v/>
      </c>
    </row>
    <row r="3890">
      <c r="G3890">
        <f>IF(3889&lt;=1000,INDEX($A$2:$A$1001,3889),IF(3889&lt;=2000,INDEX($B$2:$B$1001,2889),IF(3889&lt;=3000,INDEX($C$2:$C$1001,1889),IF(3889&lt;=4000,INDEX($D$2:$D$1001,889),IF(3889&lt;=5000,INDEX($E$2:$E$1001,-111),"")))))</f>
        <v/>
      </c>
    </row>
    <row r="3891">
      <c r="G3891">
        <f>IF(3890&lt;=1000,INDEX($A$2:$A$1001,3890),IF(3890&lt;=2000,INDEX($B$2:$B$1001,2890),IF(3890&lt;=3000,INDEX($C$2:$C$1001,1890),IF(3890&lt;=4000,INDEX($D$2:$D$1001,890),IF(3890&lt;=5000,INDEX($E$2:$E$1001,-110),"")))))</f>
        <v/>
      </c>
    </row>
    <row r="3892">
      <c r="G3892">
        <f>IF(3891&lt;=1000,INDEX($A$2:$A$1001,3891),IF(3891&lt;=2000,INDEX($B$2:$B$1001,2891),IF(3891&lt;=3000,INDEX($C$2:$C$1001,1891),IF(3891&lt;=4000,INDEX($D$2:$D$1001,891),IF(3891&lt;=5000,INDEX($E$2:$E$1001,-109),"")))))</f>
        <v/>
      </c>
    </row>
    <row r="3893">
      <c r="G3893">
        <f>IF(3892&lt;=1000,INDEX($A$2:$A$1001,3892),IF(3892&lt;=2000,INDEX($B$2:$B$1001,2892),IF(3892&lt;=3000,INDEX($C$2:$C$1001,1892),IF(3892&lt;=4000,INDEX($D$2:$D$1001,892),IF(3892&lt;=5000,INDEX($E$2:$E$1001,-108),"")))))</f>
        <v/>
      </c>
    </row>
    <row r="3894">
      <c r="G3894">
        <f>IF(3893&lt;=1000,INDEX($A$2:$A$1001,3893),IF(3893&lt;=2000,INDEX($B$2:$B$1001,2893),IF(3893&lt;=3000,INDEX($C$2:$C$1001,1893),IF(3893&lt;=4000,INDEX($D$2:$D$1001,893),IF(3893&lt;=5000,INDEX($E$2:$E$1001,-107),"")))))</f>
        <v/>
      </c>
    </row>
    <row r="3895">
      <c r="G3895">
        <f>IF(3894&lt;=1000,INDEX($A$2:$A$1001,3894),IF(3894&lt;=2000,INDEX($B$2:$B$1001,2894),IF(3894&lt;=3000,INDEX($C$2:$C$1001,1894),IF(3894&lt;=4000,INDEX($D$2:$D$1001,894),IF(3894&lt;=5000,INDEX($E$2:$E$1001,-106),"")))))</f>
        <v/>
      </c>
    </row>
    <row r="3896">
      <c r="G3896">
        <f>IF(3895&lt;=1000,INDEX($A$2:$A$1001,3895),IF(3895&lt;=2000,INDEX($B$2:$B$1001,2895),IF(3895&lt;=3000,INDEX($C$2:$C$1001,1895),IF(3895&lt;=4000,INDEX($D$2:$D$1001,895),IF(3895&lt;=5000,INDEX($E$2:$E$1001,-105),"")))))</f>
        <v/>
      </c>
    </row>
    <row r="3897">
      <c r="G3897">
        <f>IF(3896&lt;=1000,INDEX($A$2:$A$1001,3896),IF(3896&lt;=2000,INDEX($B$2:$B$1001,2896),IF(3896&lt;=3000,INDEX($C$2:$C$1001,1896),IF(3896&lt;=4000,INDEX($D$2:$D$1001,896),IF(3896&lt;=5000,INDEX($E$2:$E$1001,-104),"")))))</f>
        <v/>
      </c>
    </row>
    <row r="3898">
      <c r="G3898">
        <f>IF(3897&lt;=1000,INDEX($A$2:$A$1001,3897),IF(3897&lt;=2000,INDEX($B$2:$B$1001,2897),IF(3897&lt;=3000,INDEX($C$2:$C$1001,1897),IF(3897&lt;=4000,INDEX($D$2:$D$1001,897),IF(3897&lt;=5000,INDEX($E$2:$E$1001,-103),"")))))</f>
        <v/>
      </c>
    </row>
    <row r="3899">
      <c r="G3899">
        <f>IF(3898&lt;=1000,INDEX($A$2:$A$1001,3898),IF(3898&lt;=2000,INDEX($B$2:$B$1001,2898),IF(3898&lt;=3000,INDEX($C$2:$C$1001,1898),IF(3898&lt;=4000,INDEX($D$2:$D$1001,898),IF(3898&lt;=5000,INDEX($E$2:$E$1001,-102),"")))))</f>
        <v/>
      </c>
    </row>
    <row r="3900">
      <c r="G3900">
        <f>IF(3899&lt;=1000,INDEX($A$2:$A$1001,3899),IF(3899&lt;=2000,INDEX($B$2:$B$1001,2899),IF(3899&lt;=3000,INDEX($C$2:$C$1001,1899),IF(3899&lt;=4000,INDEX($D$2:$D$1001,899),IF(3899&lt;=5000,INDEX($E$2:$E$1001,-101),"")))))</f>
        <v/>
      </c>
    </row>
    <row r="3901">
      <c r="G3901">
        <f>IF(3900&lt;=1000,INDEX($A$2:$A$1001,3900),IF(3900&lt;=2000,INDEX($B$2:$B$1001,2900),IF(3900&lt;=3000,INDEX($C$2:$C$1001,1900),IF(3900&lt;=4000,INDEX($D$2:$D$1001,900),IF(3900&lt;=5000,INDEX($E$2:$E$1001,-100),"")))))</f>
        <v/>
      </c>
    </row>
    <row r="3902">
      <c r="G3902">
        <f>IF(3901&lt;=1000,INDEX($A$2:$A$1001,3901),IF(3901&lt;=2000,INDEX($B$2:$B$1001,2901),IF(3901&lt;=3000,INDEX($C$2:$C$1001,1901),IF(3901&lt;=4000,INDEX($D$2:$D$1001,901),IF(3901&lt;=5000,INDEX($E$2:$E$1001,-99),"")))))</f>
        <v/>
      </c>
    </row>
    <row r="3903">
      <c r="G3903">
        <f>IF(3902&lt;=1000,INDEX($A$2:$A$1001,3902),IF(3902&lt;=2000,INDEX($B$2:$B$1001,2902),IF(3902&lt;=3000,INDEX($C$2:$C$1001,1902),IF(3902&lt;=4000,INDEX($D$2:$D$1001,902),IF(3902&lt;=5000,INDEX($E$2:$E$1001,-98),"")))))</f>
        <v/>
      </c>
    </row>
    <row r="3904">
      <c r="G3904">
        <f>IF(3903&lt;=1000,INDEX($A$2:$A$1001,3903),IF(3903&lt;=2000,INDEX($B$2:$B$1001,2903),IF(3903&lt;=3000,INDEX($C$2:$C$1001,1903),IF(3903&lt;=4000,INDEX($D$2:$D$1001,903),IF(3903&lt;=5000,INDEX($E$2:$E$1001,-97),"")))))</f>
        <v/>
      </c>
    </row>
    <row r="3905">
      <c r="G3905">
        <f>IF(3904&lt;=1000,INDEX($A$2:$A$1001,3904),IF(3904&lt;=2000,INDEX($B$2:$B$1001,2904),IF(3904&lt;=3000,INDEX($C$2:$C$1001,1904),IF(3904&lt;=4000,INDEX($D$2:$D$1001,904),IF(3904&lt;=5000,INDEX($E$2:$E$1001,-96),"")))))</f>
        <v/>
      </c>
    </row>
    <row r="3906">
      <c r="G3906">
        <f>IF(3905&lt;=1000,INDEX($A$2:$A$1001,3905),IF(3905&lt;=2000,INDEX($B$2:$B$1001,2905),IF(3905&lt;=3000,INDEX($C$2:$C$1001,1905),IF(3905&lt;=4000,INDEX($D$2:$D$1001,905),IF(3905&lt;=5000,INDEX($E$2:$E$1001,-95),"")))))</f>
        <v/>
      </c>
    </row>
    <row r="3907">
      <c r="G3907">
        <f>IF(3906&lt;=1000,INDEX($A$2:$A$1001,3906),IF(3906&lt;=2000,INDEX($B$2:$B$1001,2906),IF(3906&lt;=3000,INDEX($C$2:$C$1001,1906),IF(3906&lt;=4000,INDEX($D$2:$D$1001,906),IF(3906&lt;=5000,INDEX($E$2:$E$1001,-94),"")))))</f>
        <v/>
      </c>
    </row>
    <row r="3908">
      <c r="G3908">
        <f>IF(3907&lt;=1000,INDEX($A$2:$A$1001,3907),IF(3907&lt;=2000,INDEX($B$2:$B$1001,2907),IF(3907&lt;=3000,INDEX($C$2:$C$1001,1907),IF(3907&lt;=4000,INDEX($D$2:$D$1001,907),IF(3907&lt;=5000,INDEX($E$2:$E$1001,-93),"")))))</f>
        <v/>
      </c>
    </row>
    <row r="3909">
      <c r="G3909">
        <f>IF(3908&lt;=1000,INDEX($A$2:$A$1001,3908),IF(3908&lt;=2000,INDEX($B$2:$B$1001,2908),IF(3908&lt;=3000,INDEX($C$2:$C$1001,1908),IF(3908&lt;=4000,INDEX($D$2:$D$1001,908),IF(3908&lt;=5000,INDEX($E$2:$E$1001,-92),"")))))</f>
        <v/>
      </c>
    </row>
    <row r="3910">
      <c r="G3910">
        <f>IF(3909&lt;=1000,INDEX($A$2:$A$1001,3909),IF(3909&lt;=2000,INDEX($B$2:$B$1001,2909),IF(3909&lt;=3000,INDEX($C$2:$C$1001,1909),IF(3909&lt;=4000,INDEX($D$2:$D$1001,909),IF(3909&lt;=5000,INDEX($E$2:$E$1001,-91),"")))))</f>
        <v/>
      </c>
    </row>
    <row r="3911">
      <c r="G3911">
        <f>IF(3910&lt;=1000,INDEX($A$2:$A$1001,3910),IF(3910&lt;=2000,INDEX($B$2:$B$1001,2910),IF(3910&lt;=3000,INDEX($C$2:$C$1001,1910),IF(3910&lt;=4000,INDEX($D$2:$D$1001,910),IF(3910&lt;=5000,INDEX($E$2:$E$1001,-90),"")))))</f>
        <v/>
      </c>
    </row>
    <row r="3912">
      <c r="G3912">
        <f>IF(3911&lt;=1000,INDEX($A$2:$A$1001,3911),IF(3911&lt;=2000,INDEX($B$2:$B$1001,2911),IF(3911&lt;=3000,INDEX($C$2:$C$1001,1911),IF(3911&lt;=4000,INDEX($D$2:$D$1001,911),IF(3911&lt;=5000,INDEX($E$2:$E$1001,-89),"")))))</f>
        <v/>
      </c>
    </row>
    <row r="3913">
      <c r="G3913">
        <f>IF(3912&lt;=1000,INDEX($A$2:$A$1001,3912),IF(3912&lt;=2000,INDEX($B$2:$B$1001,2912),IF(3912&lt;=3000,INDEX($C$2:$C$1001,1912),IF(3912&lt;=4000,INDEX($D$2:$D$1001,912),IF(3912&lt;=5000,INDEX($E$2:$E$1001,-88),"")))))</f>
        <v/>
      </c>
    </row>
    <row r="3914">
      <c r="G3914">
        <f>IF(3913&lt;=1000,INDEX($A$2:$A$1001,3913),IF(3913&lt;=2000,INDEX($B$2:$B$1001,2913),IF(3913&lt;=3000,INDEX($C$2:$C$1001,1913),IF(3913&lt;=4000,INDEX($D$2:$D$1001,913),IF(3913&lt;=5000,INDEX($E$2:$E$1001,-87),"")))))</f>
        <v/>
      </c>
    </row>
    <row r="3915">
      <c r="G3915">
        <f>IF(3914&lt;=1000,INDEX($A$2:$A$1001,3914),IF(3914&lt;=2000,INDEX($B$2:$B$1001,2914),IF(3914&lt;=3000,INDEX($C$2:$C$1001,1914),IF(3914&lt;=4000,INDEX($D$2:$D$1001,914),IF(3914&lt;=5000,INDEX($E$2:$E$1001,-86),"")))))</f>
        <v/>
      </c>
    </row>
    <row r="3916">
      <c r="G3916">
        <f>IF(3915&lt;=1000,INDEX($A$2:$A$1001,3915),IF(3915&lt;=2000,INDEX($B$2:$B$1001,2915),IF(3915&lt;=3000,INDEX($C$2:$C$1001,1915),IF(3915&lt;=4000,INDEX($D$2:$D$1001,915),IF(3915&lt;=5000,INDEX($E$2:$E$1001,-85),"")))))</f>
        <v/>
      </c>
    </row>
    <row r="3917">
      <c r="G3917">
        <f>IF(3916&lt;=1000,INDEX($A$2:$A$1001,3916),IF(3916&lt;=2000,INDEX($B$2:$B$1001,2916),IF(3916&lt;=3000,INDEX($C$2:$C$1001,1916),IF(3916&lt;=4000,INDEX($D$2:$D$1001,916),IF(3916&lt;=5000,INDEX($E$2:$E$1001,-84),"")))))</f>
        <v/>
      </c>
    </row>
    <row r="3918">
      <c r="G3918">
        <f>IF(3917&lt;=1000,INDEX($A$2:$A$1001,3917),IF(3917&lt;=2000,INDEX($B$2:$B$1001,2917),IF(3917&lt;=3000,INDEX($C$2:$C$1001,1917),IF(3917&lt;=4000,INDEX($D$2:$D$1001,917),IF(3917&lt;=5000,INDEX($E$2:$E$1001,-83),"")))))</f>
        <v/>
      </c>
    </row>
    <row r="3919">
      <c r="G3919">
        <f>IF(3918&lt;=1000,INDEX($A$2:$A$1001,3918),IF(3918&lt;=2000,INDEX($B$2:$B$1001,2918),IF(3918&lt;=3000,INDEX($C$2:$C$1001,1918),IF(3918&lt;=4000,INDEX($D$2:$D$1001,918),IF(3918&lt;=5000,INDEX($E$2:$E$1001,-82),"")))))</f>
        <v/>
      </c>
    </row>
    <row r="3920">
      <c r="G3920">
        <f>IF(3919&lt;=1000,INDEX($A$2:$A$1001,3919),IF(3919&lt;=2000,INDEX($B$2:$B$1001,2919),IF(3919&lt;=3000,INDEX($C$2:$C$1001,1919),IF(3919&lt;=4000,INDEX($D$2:$D$1001,919),IF(3919&lt;=5000,INDEX($E$2:$E$1001,-81),"")))))</f>
        <v/>
      </c>
    </row>
    <row r="3921">
      <c r="G3921">
        <f>IF(3920&lt;=1000,INDEX($A$2:$A$1001,3920),IF(3920&lt;=2000,INDEX($B$2:$B$1001,2920),IF(3920&lt;=3000,INDEX($C$2:$C$1001,1920),IF(3920&lt;=4000,INDEX($D$2:$D$1001,920),IF(3920&lt;=5000,INDEX($E$2:$E$1001,-80),"")))))</f>
        <v/>
      </c>
    </row>
    <row r="3922">
      <c r="G3922">
        <f>IF(3921&lt;=1000,INDEX($A$2:$A$1001,3921),IF(3921&lt;=2000,INDEX($B$2:$B$1001,2921),IF(3921&lt;=3000,INDEX($C$2:$C$1001,1921),IF(3921&lt;=4000,INDEX($D$2:$D$1001,921),IF(3921&lt;=5000,INDEX($E$2:$E$1001,-79),"")))))</f>
        <v/>
      </c>
    </row>
    <row r="3923">
      <c r="G3923">
        <f>IF(3922&lt;=1000,INDEX($A$2:$A$1001,3922),IF(3922&lt;=2000,INDEX($B$2:$B$1001,2922),IF(3922&lt;=3000,INDEX($C$2:$C$1001,1922),IF(3922&lt;=4000,INDEX($D$2:$D$1001,922),IF(3922&lt;=5000,INDEX($E$2:$E$1001,-78),"")))))</f>
        <v/>
      </c>
    </row>
    <row r="3924">
      <c r="G3924">
        <f>IF(3923&lt;=1000,INDEX($A$2:$A$1001,3923),IF(3923&lt;=2000,INDEX($B$2:$B$1001,2923),IF(3923&lt;=3000,INDEX($C$2:$C$1001,1923),IF(3923&lt;=4000,INDEX($D$2:$D$1001,923),IF(3923&lt;=5000,INDEX($E$2:$E$1001,-77),"")))))</f>
        <v/>
      </c>
    </row>
    <row r="3925">
      <c r="G3925">
        <f>IF(3924&lt;=1000,INDEX($A$2:$A$1001,3924),IF(3924&lt;=2000,INDEX($B$2:$B$1001,2924),IF(3924&lt;=3000,INDEX($C$2:$C$1001,1924),IF(3924&lt;=4000,INDEX($D$2:$D$1001,924),IF(3924&lt;=5000,INDEX($E$2:$E$1001,-76),"")))))</f>
        <v/>
      </c>
    </row>
    <row r="3926">
      <c r="G3926">
        <f>IF(3925&lt;=1000,INDEX($A$2:$A$1001,3925),IF(3925&lt;=2000,INDEX($B$2:$B$1001,2925),IF(3925&lt;=3000,INDEX($C$2:$C$1001,1925),IF(3925&lt;=4000,INDEX($D$2:$D$1001,925),IF(3925&lt;=5000,INDEX($E$2:$E$1001,-75),"")))))</f>
        <v/>
      </c>
    </row>
    <row r="3927">
      <c r="G3927">
        <f>IF(3926&lt;=1000,INDEX($A$2:$A$1001,3926),IF(3926&lt;=2000,INDEX($B$2:$B$1001,2926),IF(3926&lt;=3000,INDEX($C$2:$C$1001,1926),IF(3926&lt;=4000,INDEX($D$2:$D$1001,926),IF(3926&lt;=5000,INDEX($E$2:$E$1001,-74),"")))))</f>
        <v/>
      </c>
    </row>
    <row r="3928">
      <c r="G3928">
        <f>IF(3927&lt;=1000,INDEX($A$2:$A$1001,3927),IF(3927&lt;=2000,INDEX($B$2:$B$1001,2927),IF(3927&lt;=3000,INDEX($C$2:$C$1001,1927),IF(3927&lt;=4000,INDEX($D$2:$D$1001,927),IF(3927&lt;=5000,INDEX($E$2:$E$1001,-73),"")))))</f>
        <v/>
      </c>
    </row>
    <row r="3929">
      <c r="G3929">
        <f>IF(3928&lt;=1000,INDEX($A$2:$A$1001,3928),IF(3928&lt;=2000,INDEX($B$2:$B$1001,2928),IF(3928&lt;=3000,INDEX($C$2:$C$1001,1928),IF(3928&lt;=4000,INDEX($D$2:$D$1001,928),IF(3928&lt;=5000,INDEX($E$2:$E$1001,-72),"")))))</f>
        <v/>
      </c>
    </row>
    <row r="3930">
      <c r="G3930">
        <f>IF(3929&lt;=1000,INDEX($A$2:$A$1001,3929),IF(3929&lt;=2000,INDEX($B$2:$B$1001,2929),IF(3929&lt;=3000,INDEX($C$2:$C$1001,1929),IF(3929&lt;=4000,INDEX($D$2:$D$1001,929),IF(3929&lt;=5000,INDEX($E$2:$E$1001,-71),"")))))</f>
        <v/>
      </c>
    </row>
    <row r="3931">
      <c r="G3931">
        <f>IF(3930&lt;=1000,INDEX($A$2:$A$1001,3930),IF(3930&lt;=2000,INDEX($B$2:$B$1001,2930),IF(3930&lt;=3000,INDEX($C$2:$C$1001,1930),IF(3930&lt;=4000,INDEX($D$2:$D$1001,930),IF(3930&lt;=5000,INDEX($E$2:$E$1001,-70),"")))))</f>
        <v/>
      </c>
    </row>
    <row r="3932">
      <c r="G3932">
        <f>IF(3931&lt;=1000,INDEX($A$2:$A$1001,3931),IF(3931&lt;=2000,INDEX($B$2:$B$1001,2931),IF(3931&lt;=3000,INDEX($C$2:$C$1001,1931),IF(3931&lt;=4000,INDEX($D$2:$D$1001,931),IF(3931&lt;=5000,INDEX($E$2:$E$1001,-69),"")))))</f>
        <v/>
      </c>
    </row>
    <row r="3933">
      <c r="G3933">
        <f>IF(3932&lt;=1000,INDEX($A$2:$A$1001,3932),IF(3932&lt;=2000,INDEX($B$2:$B$1001,2932),IF(3932&lt;=3000,INDEX($C$2:$C$1001,1932),IF(3932&lt;=4000,INDEX($D$2:$D$1001,932),IF(3932&lt;=5000,INDEX($E$2:$E$1001,-68),"")))))</f>
        <v/>
      </c>
    </row>
    <row r="3934">
      <c r="G3934">
        <f>IF(3933&lt;=1000,INDEX($A$2:$A$1001,3933),IF(3933&lt;=2000,INDEX($B$2:$B$1001,2933),IF(3933&lt;=3000,INDEX($C$2:$C$1001,1933),IF(3933&lt;=4000,INDEX($D$2:$D$1001,933),IF(3933&lt;=5000,INDEX($E$2:$E$1001,-67),"")))))</f>
        <v/>
      </c>
    </row>
    <row r="3935">
      <c r="G3935">
        <f>IF(3934&lt;=1000,INDEX($A$2:$A$1001,3934),IF(3934&lt;=2000,INDEX($B$2:$B$1001,2934),IF(3934&lt;=3000,INDEX($C$2:$C$1001,1934),IF(3934&lt;=4000,INDEX($D$2:$D$1001,934),IF(3934&lt;=5000,INDEX($E$2:$E$1001,-66),"")))))</f>
        <v/>
      </c>
    </row>
    <row r="3936">
      <c r="G3936">
        <f>IF(3935&lt;=1000,INDEX($A$2:$A$1001,3935),IF(3935&lt;=2000,INDEX($B$2:$B$1001,2935),IF(3935&lt;=3000,INDEX($C$2:$C$1001,1935),IF(3935&lt;=4000,INDEX($D$2:$D$1001,935),IF(3935&lt;=5000,INDEX($E$2:$E$1001,-65),"")))))</f>
        <v/>
      </c>
    </row>
    <row r="3937">
      <c r="G3937">
        <f>IF(3936&lt;=1000,INDEX($A$2:$A$1001,3936),IF(3936&lt;=2000,INDEX($B$2:$B$1001,2936),IF(3936&lt;=3000,INDEX($C$2:$C$1001,1936),IF(3936&lt;=4000,INDEX($D$2:$D$1001,936),IF(3936&lt;=5000,INDEX($E$2:$E$1001,-64),"")))))</f>
        <v/>
      </c>
    </row>
    <row r="3938">
      <c r="G3938">
        <f>IF(3937&lt;=1000,INDEX($A$2:$A$1001,3937),IF(3937&lt;=2000,INDEX($B$2:$B$1001,2937),IF(3937&lt;=3000,INDEX($C$2:$C$1001,1937),IF(3937&lt;=4000,INDEX($D$2:$D$1001,937),IF(3937&lt;=5000,INDEX($E$2:$E$1001,-63),"")))))</f>
        <v/>
      </c>
    </row>
    <row r="3939">
      <c r="G3939">
        <f>IF(3938&lt;=1000,INDEX($A$2:$A$1001,3938),IF(3938&lt;=2000,INDEX($B$2:$B$1001,2938),IF(3938&lt;=3000,INDEX($C$2:$C$1001,1938),IF(3938&lt;=4000,INDEX($D$2:$D$1001,938),IF(3938&lt;=5000,INDEX($E$2:$E$1001,-62),"")))))</f>
        <v/>
      </c>
    </row>
    <row r="3940">
      <c r="G3940">
        <f>IF(3939&lt;=1000,INDEX($A$2:$A$1001,3939),IF(3939&lt;=2000,INDEX($B$2:$B$1001,2939),IF(3939&lt;=3000,INDEX($C$2:$C$1001,1939),IF(3939&lt;=4000,INDEX($D$2:$D$1001,939),IF(3939&lt;=5000,INDEX($E$2:$E$1001,-61),"")))))</f>
        <v/>
      </c>
    </row>
    <row r="3941">
      <c r="G3941">
        <f>IF(3940&lt;=1000,INDEX($A$2:$A$1001,3940),IF(3940&lt;=2000,INDEX($B$2:$B$1001,2940),IF(3940&lt;=3000,INDEX($C$2:$C$1001,1940),IF(3940&lt;=4000,INDEX($D$2:$D$1001,940),IF(3940&lt;=5000,INDEX($E$2:$E$1001,-60),"")))))</f>
        <v/>
      </c>
    </row>
    <row r="3942">
      <c r="G3942">
        <f>IF(3941&lt;=1000,INDEX($A$2:$A$1001,3941),IF(3941&lt;=2000,INDEX($B$2:$B$1001,2941),IF(3941&lt;=3000,INDEX($C$2:$C$1001,1941),IF(3941&lt;=4000,INDEX($D$2:$D$1001,941),IF(3941&lt;=5000,INDEX($E$2:$E$1001,-59),"")))))</f>
        <v/>
      </c>
    </row>
    <row r="3943">
      <c r="G3943">
        <f>IF(3942&lt;=1000,INDEX($A$2:$A$1001,3942),IF(3942&lt;=2000,INDEX($B$2:$B$1001,2942),IF(3942&lt;=3000,INDEX($C$2:$C$1001,1942),IF(3942&lt;=4000,INDEX($D$2:$D$1001,942),IF(3942&lt;=5000,INDEX($E$2:$E$1001,-58),"")))))</f>
        <v/>
      </c>
    </row>
    <row r="3944">
      <c r="G3944">
        <f>IF(3943&lt;=1000,INDEX($A$2:$A$1001,3943),IF(3943&lt;=2000,INDEX($B$2:$B$1001,2943),IF(3943&lt;=3000,INDEX($C$2:$C$1001,1943),IF(3943&lt;=4000,INDEX($D$2:$D$1001,943),IF(3943&lt;=5000,INDEX($E$2:$E$1001,-57),"")))))</f>
        <v/>
      </c>
    </row>
    <row r="3945">
      <c r="G3945">
        <f>IF(3944&lt;=1000,INDEX($A$2:$A$1001,3944),IF(3944&lt;=2000,INDEX($B$2:$B$1001,2944),IF(3944&lt;=3000,INDEX($C$2:$C$1001,1944),IF(3944&lt;=4000,INDEX($D$2:$D$1001,944),IF(3944&lt;=5000,INDEX($E$2:$E$1001,-56),"")))))</f>
        <v/>
      </c>
    </row>
    <row r="3946">
      <c r="G3946">
        <f>IF(3945&lt;=1000,INDEX($A$2:$A$1001,3945),IF(3945&lt;=2000,INDEX($B$2:$B$1001,2945),IF(3945&lt;=3000,INDEX($C$2:$C$1001,1945),IF(3945&lt;=4000,INDEX($D$2:$D$1001,945),IF(3945&lt;=5000,INDEX($E$2:$E$1001,-55),"")))))</f>
        <v/>
      </c>
    </row>
    <row r="3947">
      <c r="G3947">
        <f>IF(3946&lt;=1000,INDEX($A$2:$A$1001,3946),IF(3946&lt;=2000,INDEX($B$2:$B$1001,2946),IF(3946&lt;=3000,INDEX($C$2:$C$1001,1946),IF(3946&lt;=4000,INDEX($D$2:$D$1001,946),IF(3946&lt;=5000,INDEX($E$2:$E$1001,-54),"")))))</f>
        <v/>
      </c>
    </row>
    <row r="3948">
      <c r="G3948">
        <f>IF(3947&lt;=1000,INDEX($A$2:$A$1001,3947),IF(3947&lt;=2000,INDEX($B$2:$B$1001,2947),IF(3947&lt;=3000,INDEX($C$2:$C$1001,1947),IF(3947&lt;=4000,INDEX($D$2:$D$1001,947),IF(3947&lt;=5000,INDEX($E$2:$E$1001,-53),"")))))</f>
        <v/>
      </c>
    </row>
    <row r="3949">
      <c r="G3949">
        <f>IF(3948&lt;=1000,INDEX($A$2:$A$1001,3948),IF(3948&lt;=2000,INDEX($B$2:$B$1001,2948),IF(3948&lt;=3000,INDEX($C$2:$C$1001,1948),IF(3948&lt;=4000,INDEX($D$2:$D$1001,948),IF(3948&lt;=5000,INDEX($E$2:$E$1001,-52),"")))))</f>
        <v/>
      </c>
    </row>
    <row r="3950">
      <c r="G3950">
        <f>IF(3949&lt;=1000,INDEX($A$2:$A$1001,3949),IF(3949&lt;=2000,INDEX($B$2:$B$1001,2949),IF(3949&lt;=3000,INDEX($C$2:$C$1001,1949),IF(3949&lt;=4000,INDEX($D$2:$D$1001,949),IF(3949&lt;=5000,INDEX($E$2:$E$1001,-51),"")))))</f>
        <v/>
      </c>
    </row>
    <row r="3951">
      <c r="G3951">
        <f>IF(3950&lt;=1000,INDEX($A$2:$A$1001,3950),IF(3950&lt;=2000,INDEX($B$2:$B$1001,2950),IF(3950&lt;=3000,INDEX($C$2:$C$1001,1950),IF(3950&lt;=4000,INDEX($D$2:$D$1001,950),IF(3950&lt;=5000,INDEX($E$2:$E$1001,-50),"")))))</f>
        <v/>
      </c>
    </row>
    <row r="3952">
      <c r="G3952">
        <f>IF(3951&lt;=1000,INDEX($A$2:$A$1001,3951),IF(3951&lt;=2000,INDEX($B$2:$B$1001,2951),IF(3951&lt;=3000,INDEX($C$2:$C$1001,1951),IF(3951&lt;=4000,INDEX($D$2:$D$1001,951),IF(3951&lt;=5000,INDEX($E$2:$E$1001,-49),"")))))</f>
        <v/>
      </c>
    </row>
    <row r="3953">
      <c r="G3953">
        <f>IF(3952&lt;=1000,INDEX($A$2:$A$1001,3952),IF(3952&lt;=2000,INDEX($B$2:$B$1001,2952),IF(3952&lt;=3000,INDEX($C$2:$C$1001,1952),IF(3952&lt;=4000,INDEX($D$2:$D$1001,952),IF(3952&lt;=5000,INDEX($E$2:$E$1001,-48),"")))))</f>
        <v/>
      </c>
    </row>
    <row r="3954">
      <c r="G3954">
        <f>IF(3953&lt;=1000,INDEX($A$2:$A$1001,3953),IF(3953&lt;=2000,INDEX($B$2:$B$1001,2953),IF(3953&lt;=3000,INDEX($C$2:$C$1001,1953),IF(3953&lt;=4000,INDEX($D$2:$D$1001,953),IF(3953&lt;=5000,INDEX($E$2:$E$1001,-47),"")))))</f>
        <v/>
      </c>
    </row>
    <row r="3955">
      <c r="G3955">
        <f>IF(3954&lt;=1000,INDEX($A$2:$A$1001,3954),IF(3954&lt;=2000,INDEX($B$2:$B$1001,2954),IF(3954&lt;=3000,INDEX($C$2:$C$1001,1954),IF(3954&lt;=4000,INDEX($D$2:$D$1001,954),IF(3954&lt;=5000,INDEX($E$2:$E$1001,-46),"")))))</f>
        <v/>
      </c>
    </row>
    <row r="3956">
      <c r="G3956">
        <f>IF(3955&lt;=1000,INDEX($A$2:$A$1001,3955),IF(3955&lt;=2000,INDEX($B$2:$B$1001,2955),IF(3955&lt;=3000,INDEX($C$2:$C$1001,1955),IF(3955&lt;=4000,INDEX($D$2:$D$1001,955),IF(3955&lt;=5000,INDEX($E$2:$E$1001,-45),"")))))</f>
        <v/>
      </c>
    </row>
    <row r="3957">
      <c r="G3957">
        <f>IF(3956&lt;=1000,INDEX($A$2:$A$1001,3956),IF(3956&lt;=2000,INDEX($B$2:$B$1001,2956),IF(3956&lt;=3000,INDEX($C$2:$C$1001,1956),IF(3956&lt;=4000,INDEX($D$2:$D$1001,956),IF(3956&lt;=5000,INDEX($E$2:$E$1001,-44),"")))))</f>
        <v/>
      </c>
    </row>
    <row r="3958">
      <c r="G3958">
        <f>IF(3957&lt;=1000,INDEX($A$2:$A$1001,3957),IF(3957&lt;=2000,INDEX($B$2:$B$1001,2957),IF(3957&lt;=3000,INDEX($C$2:$C$1001,1957),IF(3957&lt;=4000,INDEX($D$2:$D$1001,957),IF(3957&lt;=5000,INDEX($E$2:$E$1001,-43),"")))))</f>
        <v/>
      </c>
    </row>
    <row r="3959">
      <c r="G3959">
        <f>IF(3958&lt;=1000,INDEX($A$2:$A$1001,3958),IF(3958&lt;=2000,INDEX($B$2:$B$1001,2958),IF(3958&lt;=3000,INDEX($C$2:$C$1001,1958),IF(3958&lt;=4000,INDEX($D$2:$D$1001,958),IF(3958&lt;=5000,INDEX($E$2:$E$1001,-42),"")))))</f>
        <v/>
      </c>
    </row>
    <row r="3960">
      <c r="G3960">
        <f>IF(3959&lt;=1000,INDEX($A$2:$A$1001,3959),IF(3959&lt;=2000,INDEX($B$2:$B$1001,2959),IF(3959&lt;=3000,INDEX($C$2:$C$1001,1959),IF(3959&lt;=4000,INDEX($D$2:$D$1001,959),IF(3959&lt;=5000,INDEX($E$2:$E$1001,-41),"")))))</f>
        <v/>
      </c>
    </row>
    <row r="3961">
      <c r="G3961">
        <f>IF(3960&lt;=1000,INDEX($A$2:$A$1001,3960),IF(3960&lt;=2000,INDEX($B$2:$B$1001,2960),IF(3960&lt;=3000,INDEX($C$2:$C$1001,1960),IF(3960&lt;=4000,INDEX($D$2:$D$1001,960),IF(3960&lt;=5000,INDEX($E$2:$E$1001,-40),"")))))</f>
        <v/>
      </c>
    </row>
    <row r="3962">
      <c r="G3962">
        <f>IF(3961&lt;=1000,INDEX($A$2:$A$1001,3961),IF(3961&lt;=2000,INDEX($B$2:$B$1001,2961),IF(3961&lt;=3000,INDEX($C$2:$C$1001,1961),IF(3961&lt;=4000,INDEX($D$2:$D$1001,961),IF(3961&lt;=5000,INDEX($E$2:$E$1001,-39),"")))))</f>
        <v/>
      </c>
    </row>
    <row r="3963">
      <c r="G3963">
        <f>IF(3962&lt;=1000,INDEX($A$2:$A$1001,3962),IF(3962&lt;=2000,INDEX($B$2:$B$1001,2962),IF(3962&lt;=3000,INDEX($C$2:$C$1001,1962),IF(3962&lt;=4000,INDEX($D$2:$D$1001,962),IF(3962&lt;=5000,INDEX($E$2:$E$1001,-38),"")))))</f>
        <v/>
      </c>
    </row>
    <row r="3964">
      <c r="G3964">
        <f>IF(3963&lt;=1000,INDEX($A$2:$A$1001,3963),IF(3963&lt;=2000,INDEX($B$2:$B$1001,2963),IF(3963&lt;=3000,INDEX($C$2:$C$1001,1963),IF(3963&lt;=4000,INDEX($D$2:$D$1001,963),IF(3963&lt;=5000,INDEX($E$2:$E$1001,-37),"")))))</f>
        <v/>
      </c>
    </row>
    <row r="3965">
      <c r="G3965">
        <f>IF(3964&lt;=1000,INDEX($A$2:$A$1001,3964),IF(3964&lt;=2000,INDEX($B$2:$B$1001,2964),IF(3964&lt;=3000,INDEX($C$2:$C$1001,1964),IF(3964&lt;=4000,INDEX($D$2:$D$1001,964),IF(3964&lt;=5000,INDEX($E$2:$E$1001,-36),"")))))</f>
        <v/>
      </c>
    </row>
    <row r="3966">
      <c r="G3966">
        <f>IF(3965&lt;=1000,INDEX($A$2:$A$1001,3965),IF(3965&lt;=2000,INDEX($B$2:$B$1001,2965),IF(3965&lt;=3000,INDEX($C$2:$C$1001,1965),IF(3965&lt;=4000,INDEX($D$2:$D$1001,965),IF(3965&lt;=5000,INDEX($E$2:$E$1001,-35),"")))))</f>
        <v/>
      </c>
    </row>
    <row r="3967">
      <c r="G3967">
        <f>IF(3966&lt;=1000,INDEX($A$2:$A$1001,3966),IF(3966&lt;=2000,INDEX($B$2:$B$1001,2966),IF(3966&lt;=3000,INDEX($C$2:$C$1001,1966),IF(3966&lt;=4000,INDEX($D$2:$D$1001,966),IF(3966&lt;=5000,INDEX($E$2:$E$1001,-34),"")))))</f>
        <v/>
      </c>
    </row>
    <row r="3968">
      <c r="G3968">
        <f>IF(3967&lt;=1000,INDEX($A$2:$A$1001,3967),IF(3967&lt;=2000,INDEX($B$2:$B$1001,2967),IF(3967&lt;=3000,INDEX($C$2:$C$1001,1967),IF(3967&lt;=4000,INDEX($D$2:$D$1001,967),IF(3967&lt;=5000,INDEX($E$2:$E$1001,-33),"")))))</f>
        <v/>
      </c>
    </row>
    <row r="3969">
      <c r="G3969">
        <f>IF(3968&lt;=1000,INDEX($A$2:$A$1001,3968),IF(3968&lt;=2000,INDEX($B$2:$B$1001,2968),IF(3968&lt;=3000,INDEX($C$2:$C$1001,1968),IF(3968&lt;=4000,INDEX($D$2:$D$1001,968),IF(3968&lt;=5000,INDEX($E$2:$E$1001,-32),"")))))</f>
        <v/>
      </c>
    </row>
    <row r="3970">
      <c r="G3970">
        <f>IF(3969&lt;=1000,INDEX($A$2:$A$1001,3969),IF(3969&lt;=2000,INDEX($B$2:$B$1001,2969),IF(3969&lt;=3000,INDEX($C$2:$C$1001,1969),IF(3969&lt;=4000,INDEX($D$2:$D$1001,969),IF(3969&lt;=5000,INDEX($E$2:$E$1001,-31),"")))))</f>
        <v/>
      </c>
    </row>
    <row r="3971">
      <c r="G3971">
        <f>IF(3970&lt;=1000,INDEX($A$2:$A$1001,3970),IF(3970&lt;=2000,INDEX($B$2:$B$1001,2970),IF(3970&lt;=3000,INDEX($C$2:$C$1001,1970),IF(3970&lt;=4000,INDEX($D$2:$D$1001,970),IF(3970&lt;=5000,INDEX($E$2:$E$1001,-30),"")))))</f>
        <v/>
      </c>
    </row>
    <row r="3972">
      <c r="G3972">
        <f>IF(3971&lt;=1000,INDEX($A$2:$A$1001,3971),IF(3971&lt;=2000,INDEX($B$2:$B$1001,2971),IF(3971&lt;=3000,INDEX($C$2:$C$1001,1971),IF(3971&lt;=4000,INDEX($D$2:$D$1001,971),IF(3971&lt;=5000,INDEX($E$2:$E$1001,-29),"")))))</f>
        <v/>
      </c>
    </row>
    <row r="3973">
      <c r="G3973">
        <f>IF(3972&lt;=1000,INDEX($A$2:$A$1001,3972),IF(3972&lt;=2000,INDEX($B$2:$B$1001,2972),IF(3972&lt;=3000,INDEX($C$2:$C$1001,1972),IF(3972&lt;=4000,INDEX($D$2:$D$1001,972),IF(3972&lt;=5000,INDEX($E$2:$E$1001,-28),"")))))</f>
        <v/>
      </c>
    </row>
    <row r="3974">
      <c r="G3974">
        <f>IF(3973&lt;=1000,INDEX($A$2:$A$1001,3973),IF(3973&lt;=2000,INDEX($B$2:$B$1001,2973),IF(3973&lt;=3000,INDEX($C$2:$C$1001,1973),IF(3973&lt;=4000,INDEX($D$2:$D$1001,973),IF(3973&lt;=5000,INDEX($E$2:$E$1001,-27),"")))))</f>
        <v/>
      </c>
    </row>
    <row r="3975">
      <c r="G3975">
        <f>IF(3974&lt;=1000,INDEX($A$2:$A$1001,3974),IF(3974&lt;=2000,INDEX($B$2:$B$1001,2974),IF(3974&lt;=3000,INDEX($C$2:$C$1001,1974),IF(3974&lt;=4000,INDEX($D$2:$D$1001,974),IF(3974&lt;=5000,INDEX($E$2:$E$1001,-26),"")))))</f>
        <v/>
      </c>
    </row>
    <row r="3976">
      <c r="G3976">
        <f>IF(3975&lt;=1000,INDEX($A$2:$A$1001,3975),IF(3975&lt;=2000,INDEX($B$2:$B$1001,2975),IF(3975&lt;=3000,INDEX($C$2:$C$1001,1975),IF(3975&lt;=4000,INDEX($D$2:$D$1001,975),IF(3975&lt;=5000,INDEX($E$2:$E$1001,-25),"")))))</f>
        <v/>
      </c>
    </row>
    <row r="3977">
      <c r="G3977">
        <f>IF(3976&lt;=1000,INDEX($A$2:$A$1001,3976),IF(3976&lt;=2000,INDEX($B$2:$B$1001,2976),IF(3976&lt;=3000,INDEX($C$2:$C$1001,1976),IF(3976&lt;=4000,INDEX($D$2:$D$1001,976),IF(3976&lt;=5000,INDEX($E$2:$E$1001,-24),"")))))</f>
        <v/>
      </c>
    </row>
    <row r="3978">
      <c r="G3978">
        <f>IF(3977&lt;=1000,INDEX($A$2:$A$1001,3977),IF(3977&lt;=2000,INDEX($B$2:$B$1001,2977),IF(3977&lt;=3000,INDEX($C$2:$C$1001,1977),IF(3977&lt;=4000,INDEX($D$2:$D$1001,977),IF(3977&lt;=5000,INDEX($E$2:$E$1001,-23),"")))))</f>
        <v/>
      </c>
    </row>
    <row r="3979">
      <c r="G3979">
        <f>IF(3978&lt;=1000,INDEX($A$2:$A$1001,3978),IF(3978&lt;=2000,INDEX($B$2:$B$1001,2978),IF(3978&lt;=3000,INDEX($C$2:$C$1001,1978),IF(3978&lt;=4000,INDEX($D$2:$D$1001,978),IF(3978&lt;=5000,INDEX($E$2:$E$1001,-22),"")))))</f>
        <v/>
      </c>
    </row>
    <row r="3980">
      <c r="G3980">
        <f>IF(3979&lt;=1000,INDEX($A$2:$A$1001,3979),IF(3979&lt;=2000,INDEX($B$2:$B$1001,2979),IF(3979&lt;=3000,INDEX($C$2:$C$1001,1979),IF(3979&lt;=4000,INDEX($D$2:$D$1001,979),IF(3979&lt;=5000,INDEX($E$2:$E$1001,-21),"")))))</f>
        <v/>
      </c>
    </row>
    <row r="3981">
      <c r="G3981">
        <f>IF(3980&lt;=1000,INDEX($A$2:$A$1001,3980),IF(3980&lt;=2000,INDEX($B$2:$B$1001,2980),IF(3980&lt;=3000,INDEX($C$2:$C$1001,1980),IF(3980&lt;=4000,INDEX($D$2:$D$1001,980),IF(3980&lt;=5000,INDEX($E$2:$E$1001,-20),"")))))</f>
        <v/>
      </c>
    </row>
    <row r="3982">
      <c r="G3982">
        <f>IF(3981&lt;=1000,INDEX($A$2:$A$1001,3981),IF(3981&lt;=2000,INDEX($B$2:$B$1001,2981),IF(3981&lt;=3000,INDEX($C$2:$C$1001,1981),IF(3981&lt;=4000,INDEX($D$2:$D$1001,981),IF(3981&lt;=5000,INDEX($E$2:$E$1001,-19),"")))))</f>
        <v/>
      </c>
    </row>
    <row r="3983">
      <c r="G3983">
        <f>IF(3982&lt;=1000,INDEX($A$2:$A$1001,3982),IF(3982&lt;=2000,INDEX($B$2:$B$1001,2982),IF(3982&lt;=3000,INDEX($C$2:$C$1001,1982),IF(3982&lt;=4000,INDEX($D$2:$D$1001,982),IF(3982&lt;=5000,INDEX($E$2:$E$1001,-18),"")))))</f>
        <v/>
      </c>
    </row>
    <row r="3984">
      <c r="G3984">
        <f>IF(3983&lt;=1000,INDEX($A$2:$A$1001,3983),IF(3983&lt;=2000,INDEX($B$2:$B$1001,2983),IF(3983&lt;=3000,INDEX($C$2:$C$1001,1983),IF(3983&lt;=4000,INDEX($D$2:$D$1001,983),IF(3983&lt;=5000,INDEX($E$2:$E$1001,-17),"")))))</f>
        <v/>
      </c>
    </row>
    <row r="3985">
      <c r="G3985">
        <f>IF(3984&lt;=1000,INDEX($A$2:$A$1001,3984),IF(3984&lt;=2000,INDEX($B$2:$B$1001,2984),IF(3984&lt;=3000,INDEX($C$2:$C$1001,1984),IF(3984&lt;=4000,INDEX($D$2:$D$1001,984),IF(3984&lt;=5000,INDEX($E$2:$E$1001,-16),"")))))</f>
        <v/>
      </c>
    </row>
    <row r="3986">
      <c r="G3986">
        <f>IF(3985&lt;=1000,INDEX($A$2:$A$1001,3985),IF(3985&lt;=2000,INDEX($B$2:$B$1001,2985),IF(3985&lt;=3000,INDEX($C$2:$C$1001,1985),IF(3985&lt;=4000,INDEX($D$2:$D$1001,985),IF(3985&lt;=5000,INDEX($E$2:$E$1001,-15),"")))))</f>
        <v/>
      </c>
    </row>
    <row r="3987">
      <c r="G3987">
        <f>IF(3986&lt;=1000,INDEX($A$2:$A$1001,3986),IF(3986&lt;=2000,INDEX($B$2:$B$1001,2986),IF(3986&lt;=3000,INDEX($C$2:$C$1001,1986),IF(3986&lt;=4000,INDEX($D$2:$D$1001,986),IF(3986&lt;=5000,INDEX($E$2:$E$1001,-14),"")))))</f>
        <v/>
      </c>
    </row>
    <row r="3988">
      <c r="G3988">
        <f>IF(3987&lt;=1000,INDEX($A$2:$A$1001,3987),IF(3987&lt;=2000,INDEX($B$2:$B$1001,2987),IF(3987&lt;=3000,INDEX($C$2:$C$1001,1987),IF(3987&lt;=4000,INDEX($D$2:$D$1001,987),IF(3987&lt;=5000,INDEX($E$2:$E$1001,-13),"")))))</f>
        <v/>
      </c>
    </row>
    <row r="3989">
      <c r="G3989">
        <f>IF(3988&lt;=1000,INDEX($A$2:$A$1001,3988),IF(3988&lt;=2000,INDEX($B$2:$B$1001,2988),IF(3988&lt;=3000,INDEX($C$2:$C$1001,1988),IF(3988&lt;=4000,INDEX($D$2:$D$1001,988),IF(3988&lt;=5000,INDEX($E$2:$E$1001,-12),"")))))</f>
        <v/>
      </c>
    </row>
    <row r="3990">
      <c r="G3990">
        <f>IF(3989&lt;=1000,INDEX($A$2:$A$1001,3989),IF(3989&lt;=2000,INDEX($B$2:$B$1001,2989),IF(3989&lt;=3000,INDEX($C$2:$C$1001,1989),IF(3989&lt;=4000,INDEX($D$2:$D$1001,989),IF(3989&lt;=5000,INDEX($E$2:$E$1001,-11),"")))))</f>
        <v/>
      </c>
    </row>
    <row r="3991">
      <c r="G3991">
        <f>IF(3990&lt;=1000,INDEX($A$2:$A$1001,3990),IF(3990&lt;=2000,INDEX($B$2:$B$1001,2990),IF(3990&lt;=3000,INDEX($C$2:$C$1001,1990),IF(3990&lt;=4000,INDEX($D$2:$D$1001,990),IF(3990&lt;=5000,INDEX($E$2:$E$1001,-10),"")))))</f>
        <v/>
      </c>
    </row>
    <row r="3992">
      <c r="G3992">
        <f>IF(3991&lt;=1000,INDEX($A$2:$A$1001,3991),IF(3991&lt;=2000,INDEX($B$2:$B$1001,2991),IF(3991&lt;=3000,INDEX($C$2:$C$1001,1991),IF(3991&lt;=4000,INDEX($D$2:$D$1001,991),IF(3991&lt;=5000,INDEX($E$2:$E$1001,-9),"")))))</f>
        <v/>
      </c>
    </row>
    <row r="3993">
      <c r="G3993">
        <f>IF(3992&lt;=1000,INDEX($A$2:$A$1001,3992),IF(3992&lt;=2000,INDEX($B$2:$B$1001,2992),IF(3992&lt;=3000,INDEX($C$2:$C$1001,1992),IF(3992&lt;=4000,INDEX($D$2:$D$1001,992),IF(3992&lt;=5000,INDEX($E$2:$E$1001,-8),"")))))</f>
        <v/>
      </c>
    </row>
    <row r="3994">
      <c r="G3994">
        <f>IF(3993&lt;=1000,INDEX($A$2:$A$1001,3993),IF(3993&lt;=2000,INDEX($B$2:$B$1001,2993),IF(3993&lt;=3000,INDEX($C$2:$C$1001,1993),IF(3993&lt;=4000,INDEX($D$2:$D$1001,993),IF(3993&lt;=5000,INDEX($E$2:$E$1001,-7),"")))))</f>
        <v/>
      </c>
    </row>
    <row r="3995">
      <c r="G3995">
        <f>IF(3994&lt;=1000,INDEX($A$2:$A$1001,3994),IF(3994&lt;=2000,INDEX($B$2:$B$1001,2994),IF(3994&lt;=3000,INDEX($C$2:$C$1001,1994),IF(3994&lt;=4000,INDEX($D$2:$D$1001,994),IF(3994&lt;=5000,INDEX($E$2:$E$1001,-6),"")))))</f>
        <v/>
      </c>
    </row>
    <row r="3996">
      <c r="G3996">
        <f>IF(3995&lt;=1000,INDEX($A$2:$A$1001,3995),IF(3995&lt;=2000,INDEX($B$2:$B$1001,2995),IF(3995&lt;=3000,INDEX($C$2:$C$1001,1995),IF(3995&lt;=4000,INDEX($D$2:$D$1001,995),IF(3995&lt;=5000,INDEX($E$2:$E$1001,-5),"")))))</f>
        <v/>
      </c>
    </row>
    <row r="3997">
      <c r="G3997">
        <f>IF(3996&lt;=1000,INDEX($A$2:$A$1001,3996),IF(3996&lt;=2000,INDEX($B$2:$B$1001,2996),IF(3996&lt;=3000,INDEX($C$2:$C$1001,1996),IF(3996&lt;=4000,INDEX($D$2:$D$1001,996),IF(3996&lt;=5000,INDEX($E$2:$E$1001,-4),"")))))</f>
        <v/>
      </c>
    </row>
    <row r="3998">
      <c r="G3998">
        <f>IF(3997&lt;=1000,INDEX($A$2:$A$1001,3997),IF(3997&lt;=2000,INDEX($B$2:$B$1001,2997),IF(3997&lt;=3000,INDEX($C$2:$C$1001,1997),IF(3997&lt;=4000,INDEX($D$2:$D$1001,997),IF(3997&lt;=5000,INDEX($E$2:$E$1001,-3),"")))))</f>
        <v/>
      </c>
    </row>
    <row r="3999">
      <c r="G3999">
        <f>IF(3998&lt;=1000,INDEX($A$2:$A$1001,3998),IF(3998&lt;=2000,INDEX($B$2:$B$1001,2998),IF(3998&lt;=3000,INDEX($C$2:$C$1001,1998),IF(3998&lt;=4000,INDEX($D$2:$D$1001,998),IF(3998&lt;=5000,INDEX($E$2:$E$1001,-2),"")))))</f>
        <v/>
      </c>
    </row>
    <row r="4000">
      <c r="G4000">
        <f>IF(3999&lt;=1000,INDEX($A$2:$A$1001,3999),IF(3999&lt;=2000,INDEX($B$2:$B$1001,2999),IF(3999&lt;=3000,INDEX($C$2:$C$1001,1999),IF(3999&lt;=4000,INDEX($D$2:$D$1001,999),IF(3999&lt;=5000,INDEX($E$2:$E$1001,-1),"")))))</f>
        <v/>
      </c>
    </row>
    <row r="4001">
      <c r="G4001">
        <f>IF(4000&lt;=1000,INDEX($A$2:$A$1001,4000),IF(4000&lt;=2000,INDEX($B$2:$B$1001,3000),IF(4000&lt;=3000,INDEX($C$2:$C$1001,2000),IF(4000&lt;=4000,INDEX($D$2:$D$1001,1000),IF(4000&lt;=5000,INDEX($E$2:$E$1001,0),"")))))</f>
        <v/>
      </c>
    </row>
    <row r="4002">
      <c r="G4002">
        <f>IF(4001&lt;=1000,INDEX($A$2:$A$1001,4001),IF(4001&lt;=2000,INDEX($B$2:$B$1001,3001),IF(4001&lt;=3000,INDEX($C$2:$C$1001,2001),IF(4001&lt;=4000,INDEX($D$2:$D$1001,1001),IF(4001&lt;=5000,INDEX($E$2:$E$1001,1),"")))))</f>
        <v/>
      </c>
    </row>
    <row r="4003">
      <c r="G4003">
        <f>IF(4002&lt;=1000,INDEX($A$2:$A$1001,4002),IF(4002&lt;=2000,INDEX($B$2:$B$1001,3002),IF(4002&lt;=3000,INDEX($C$2:$C$1001,2002),IF(4002&lt;=4000,INDEX($D$2:$D$1001,1002),IF(4002&lt;=5000,INDEX($E$2:$E$1001,2),"")))))</f>
        <v/>
      </c>
    </row>
    <row r="4004">
      <c r="G4004">
        <f>IF(4003&lt;=1000,INDEX($A$2:$A$1001,4003),IF(4003&lt;=2000,INDEX($B$2:$B$1001,3003),IF(4003&lt;=3000,INDEX($C$2:$C$1001,2003),IF(4003&lt;=4000,INDEX($D$2:$D$1001,1003),IF(4003&lt;=5000,INDEX($E$2:$E$1001,3),"")))))</f>
        <v/>
      </c>
    </row>
    <row r="4005">
      <c r="G4005">
        <f>IF(4004&lt;=1000,INDEX($A$2:$A$1001,4004),IF(4004&lt;=2000,INDEX($B$2:$B$1001,3004),IF(4004&lt;=3000,INDEX($C$2:$C$1001,2004),IF(4004&lt;=4000,INDEX($D$2:$D$1001,1004),IF(4004&lt;=5000,INDEX($E$2:$E$1001,4),"")))))</f>
        <v/>
      </c>
    </row>
    <row r="4006">
      <c r="G4006">
        <f>IF(4005&lt;=1000,INDEX($A$2:$A$1001,4005),IF(4005&lt;=2000,INDEX($B$2:$B$1001,3005),IF(4005&lt;=3000,INDEX($C$2:$C$1001,2005),IF(4005&lt;=4000,INDEX($D$2:$D$1001,1005),IF(4005&lt;=5000,INDEX($E$2:$E$1001,5),"")))))</f>
        <v/>
      </c>
    </row>
    <row r="4007">
      <c r="G4007">
        <f>IF(4006&lt;=1000,INDEX($A$2:$A$1001,4006),IF(4006&lt;=2000,INDEX($B$2:$B$1001,3006),IF(4006&lt;=3000,INDEX($C$2:$C$1001,2006),IF(4006&lt;=4000,INDEX($D$2:$D$1001,1006),IF(4006&lt;=5000,INDEX($E$2:$E$1001,6),"")))))</f>
        <v/>
      </c>
    </row>
    <row r="4008">
      <c r="G4008">
        <f>IF(4007&lt;=1000,INDEX($A$2:$A$1001,4007),IF(4007&lt;=2000,INDEX($B$2:$B$1001,3007),IF(4007&lt;=3000,INDEX($C$2:$C$1001,2007),IF(4007&lt;=4000,INDEX($D$2:$D$1001,1007),IF(4007&lt;=5000,INDEX($E$2:$E$1001,7),"")))))</f>
        <v/>
      </c>
    </row>
    <row r="4009">
      <c r="G4009">
        <f>IF(4008&lt;=1000,INDEX($A$2:$A$1001,4008),IF(4008&lt;=2000,INDEX($B$2:$B$1001,3008),IF(4008&lt;=3000,INDEX($C$2:$C$1001,2008),IF(4008&lt;=4000,INDEX($D$2:$D$1001,1008),IF(4008&lt;=5000,INDEX($E$2:$E$1001,8),"")))))</f>
        <v/>
      </c>
    </row>
    <row r="4010">
      <c r="G4010">
        <f>IF(4009&lt;=1000,INDEX($A$2:$A$1001,4009),IF(4009&lt;=2000,INDEX($B$2:$B$1001,3009),IF(4009&lt;=3000,INDEX($C$2:$C$1001,2009),IF(4009&lt;=4000,INDEX($D$2:$D$1001,1009),IF(4009&lt;=5000,INDEX($E$2:$E$1001,9),"")))))</f>
        <v/>
      </c>
    </row>
    <row r="4011">
      <c r="G4011">
        <f>IF(4010&lt;=1000,INDEX($A$2:$A$1001,4010),IF(4010&lt;=2000,INDEX($B$2:$B$1001,3010),IF(4010&lt;=3000,INDEX($C$2:$C$1001,2010),IF(4010&lt;=4000,INDEX($D$2:$D$1001,1010),IF(4010&lt;=5000,INDEX($E$2:$E$1001,10),"")))))</f>
        <v/>
      </c>
    </row>
    <row r="4012">
      <c r="G4012">
        <f>IF(4011&lt;=1000,INDEX($A$2:$A$1001,4011),IF(4011&lt;=2000,INDEX($B$2:$B$1001,3011),IF(4011&lt;=3000,INDEX($C$2:$C$1001,2011),IF(4011&lt;=4000,INDEX($D$2:$D$1001,1011),IF(4011&lt;=5000,INDEX($E$2:$E$1001,11),"")))))</f>
        <v/>
      </c>
    </row>
    <row r="4013">
      <c r="G4013">
        <f>IF(4012&lt;=1000,INDEX($A$2:$A$1001,4012),IF(4012&lt;=2000,INDEX($B$2:$B$1001,3012),IF(4012&lt;=3000,INDEX($C$2:$C$1001,2012),IF(4012&lt;=4000,INDEX($D$2:$D$1001,1012),IF(4012&lt;=5000,INDEX($E$2:$E$1001,12),"")))))</f>
        <v/>
      </c>
    </row>
    <row r="4014">
      <c r="G4014">
        <f>IF(4013&lt;=1000,INDEX($A$2:$A$1001,4013),IF(4013&lt;=2000,INDEX($B$2:$B$1001,3013),IF(4013&lt;=3000,INDEX($C$2:$C$1001,2013),IF(4013&lt;=4000,INDEX($D$2:$D$1001,1013),IF(4013&lt;=5000,INDEX($E$2:$E$1001,13),"")))))</f>
        <v/>
      </c>
    </row>
    <row r="4015">
      <c r="G4015">
        <f>IF(4014&lt;=1000,INDEX($A$2:$A$1001,4014),IF(4014&lt;=2000,INDEX($B$2:$B$1001,3014),IF(4014&lt;=3000,INDEX($C$2:$C$1001,2014),IF(4014&lt;=4000,INDEX($D$2:$D$1001,1014),IF(4014&lt;=5000,INDEX($E$2:$E$1001,14),"")))))</f>
        <v/>
      </c>
    </row>
    <row r="4016">
      <c r="G4016">
        <f>IF(4015&lt;=1000,INDEX($A$2:$A$1001,4015),IF(4015&lt;=2000,INDEX($B$2:$B$1001,3015),IF(4015&lt;=3000,INDEX($C$2:$C$1001,2015),IF(4015&lt;=4000,INDEX($D$2:$D$1001,1015),IF(4015&lt;=5000,INDEX($E$2:$E$1001,15),"")))))</f>
        <v/>
      </c>
    </row>
    <row r="4017">
      <c r="G4017">
        <f>IF(4016&lt;=1000,INDEX($A$2:$A$1001,4016),IF(4016&lt;=2000,INDEX($B$2:$B$1001,3016),IF(4016&lt;=3000,INDEX($C$2:$C$1001,2016),IF(4016&lt;=4000,INDEX($D$2:$D$1001,1016),IF(4016&lt;=5000,INDEX($E$2:$E$1001,16),"")))))</f>
        <v/>
      </c>
    </row>
    <row r="4018">
      <c r="G4018">
        <f>IF(4017&lt;=1000,INDEX($A$2:$A$1001,4017),IF(4017&lt;=2000,INDEX($B$2:$B$1001,3017),IF(4017&lt;=3000,INDEX($C$2:$C$1001,2017),IF(4017&lt;=4000,INDEX($D$2:$D$1001,1017),IF(4017&lt;=5000,INDEX($E$2:$E$1001,17),"")))))</f>
        <v/>
      </c>
    </row>
    <row r="4019">
      <c r="G4019">
        <f>IF(4018&lt;=1000,INDEX($A$2:$A$1001,4018),IF(4018&lt;=2000,INDEX($B$2:$B$1001,3018),IF(4018&lt;=3000,INDEX($C$2:$C$1001,2018),IF(4018&lt;=4000,INDEX($D$2:$D$1001,1018),IF(4018&lt;=5000,INDEX($E$2:$E$1001,18),"")))))</f>
        <v/>
      </c>
    </row>
    <row r="4020">
      <c r="G4020">
        <f>IF(4019&lt;=1000,INDEX($A$2:$A$1001,4019),IF(4019&lt;=2000,INDEX($B$2:$B$1001,3019),IF(4019&lt;=3000,INDEX($C$2:$C$1001,2019),IF(4019&lt;=4000,INDEX($D$2:$D$1001,1019),IF(4019&lt;=5000,INDEX($E$2:$E$1001,19),"")))))</f>
        <v/>
      </c>
    </row>
    <row r="4021">
      <c r="G4021">
        <f>IF(4020&lt;=1000,INDEX($A$2:$A$1001,4020),IF(4020&lt;=2000,INDEX($B$2:$B$1001,3020),IF(4020&lt;=3000,INDEX($C$2:$C$1001,2020),IF(4020&lt;=4000,INDEX($D$2:$D$1001,1020),IF(4020&lt;=5000,INDEX($E$2:$E$1001,20),"")))))</f>
        <v/>
      </c>
    </row>
    <row r="4022">
      <c r="G4022">
        <f>IF(4021&lt;=1000,INDEX($A$2:$A$1001,4021),IF(4021&lt;=2000,INDEX($B$2:$B$1001,3021),IF(4021&lt;=3000,INDEX($C$2:$C$1001,2021),IF(4021&lt;=4000,INDEX($D$2:$D$1001,1021),IF(4021&lt;=5000,INDEX($E$2:$E$1001,21),"")))))</f>
        <v/>
      </c>
    </row>
    <row r="4023">
      <c r="G4023">
        <f>IF(4022&lt;=1000,INDEX($A$2:$A$1001,4022),IF(4022&lt;=2000,INDEX($B$2:$B$1001,3022),IF(4022&lt;=3000,INDEX($C$2:$C$1001,2022),IF(4022&lt;=4000,INDEX($D$2:$D$1001,1022),IF(4022&lt;=5000,INDEX($E$2:$E$1001,22),"")))))</f>
        <v/>
      </c>
    </row>
    <row r="4024">
      <c r="G4024">
        <f>IF(4023&lt;=1000,INDEX($A$2:$A$1001,4023),IF(4023&lt;=2000,INDEX($B$2:$B$1001,3023),IF(4023&lt;=3000,INDEX($C$2:$C$1001,2023),IF(4023&lt;=4000,INDEX($D$2:$D$1001,1023),IF(4023&lt;=5000,INDEX($E$2:$E$1001,23),"")))))</f>
        <v/>
      </c>
    </row>
    <row r="4025">
      <c r="G4025">
        <f>IF(4024&lt;=1000,INDEX($A$2:$A$1001,4024),IF(4024&lt;=2000,INDEX($B$2:$B$1001,3024),IF(4024&lt;=3000,INDEX($C$2:$C$1001,2024),IF(4024&lt;=4000,INDEX($D$2:$D$1001,1024),IF(4024&lt;=5000,INDEX($E$2:$E$1001,24),"")))))</f>
        <v/>
      </c>
    </row>
    <row r="4026">
      <c r="G4026">
        <f>IF(4025&lt;=1000,INDEX($A$2:$A$1001,4025),IF(4025&lt;=2000,INDEX($B$2:$B$1001,3025),IF(4025&lt;=3000,INDEX($C$2:$C$1001,2025),IF(4025&lt;=4000,INDEX($D$2:$D$1001,1025),IF(4025&lt;=5000,INDEX($E$2:$E$1001,25),"")))))</f>
        <v/>
      </c>
    </row>
    <row r="4027">
      <c r="G4027">
        <f>IF(4026&lt;=1000,INDEX($A$2:$A$1001,4026),IF(4026&lt;=2000,INDEX($B$2:$B$1001,3026),IF(4026&lt;=3000,INDEX($C$2:$C$1001,2026),IF(4026&lt;=4000,INDEX($D$2:$D$1001,1026),IF(4026&lt;=5000,INDEX($E$2:$E$1001,26),"")))))</f>
        <v/>
      </c>
    </row>
    <row r="4028">
      <c r="G4028">
        <f>IF(4027&lt;=1000,INDEX($A$2:$A$1001,4027),IF(4027&lt;=2000,INDEX($B$2:$B$1001,3027),IF(4027&lt;=3000,INDEX($C$2:$C$1001,2027),IF(4027&lt;=4000,INDEX($D$2:$D$1001,1027),IF(4027&lt;=5000,INDEX($E$2:$E$1001,27),"")))))</f>
        <v/>
      </c>
    </row>
    <row r="4029">
      <c r="G4029">
        <f>IF(4028&lt;=1000,INDEX($A$2:$A$1001,4028),IF(4028&lt;=2000,INDEX($B$2:$B$1001,3028),IF(4028&lt;=3000,INDEX($C$2:$C$1001,2028),IF(4028&lt;=4000,INDEX($D$2:$D$1001,1028),IF(4028&lt;=5000,INDEX($E$2:$E$1001,28),"")))))</f>
        <v/>
      </c>
    </row>
    <row r="4030">
      <c r="G4030">
        <f>IF(4029&lt;=1000,INDEX($A$2:$A$1001,4029),IF(4029&lt;=2000,INDEX($B$2:$B$1001,3029),IF(4029&lt;=3000,INDEX($C$2:$C$1001,2029),IF(4029&lt;=4000,INDEX($D$2:$D$1001,1029),IF(4029&lt;=5000,INDEX($E$2:$E$1001,29),"")))))</f>
        <v/>
      </c>
    </row>
    <row r="4031">
      <c r="G4031">
        <f>IF(4030&lt;=1000,INDEX($A$2:$A$1001,4030),IF(4030&lt;=2000,INDEX($B$2:$B$1001,3030),IF(4030&lt;=3000,INDEX($C$2:$C$1001,2030),IF(4030&lt;=4000,INDEX($D$2:$D$1001,1030),IF(4030&lt;=5000,INDEX($E$2:$E$1001,30),"")))))</f>
        <v/>
      </c>
    </row>
    <row r="4032">
      <c r="G4032">
        <f>IF(4031&lt;=1000,INDEX($A$2:$A$1001,4031),IF(4031&lt;=2000,INDEX($B$2:$B$1001,3031),IF(4031&lt;=3000,INDEX($C$2:$C$1001,2031),IF(4031&lt;=4000,INDEX($D$2:$D$1001,1031),IF(4031&lt;=5000,INDEX($E$2:$E$1001,31),"")))))</f>
        <v/>
      </c>
    </row>
    <row r="4033">
      <c r="G4033">
        <f>IF(4032&lt;=1000,INDEX($A$2:$A$1001,4032),IF(4032&lt;=2000,INDEX($B$2:$B$1001,3032),IF(4032&lt;=3000,INDEX($C$2:$C$1001,2032),IF(4032&lt;=4000,INDEX($D$2:$D$1001,1032),IF(4032&lt;=5000,INDEX($E$2:$E$1001,32),"")))))</f>
        <v/>
      </c>
    </row>
    <row r="4034">
      <c r="G4034">
        <f>IF(4033&lt;=1000,INDEX($A$2:$A$1001,4033),IF(4033&lt;=2000,INDEX($B$2:$B$1001,3033),IF(4033&lt;=3000,INDEX($C$2:$C$1001,2033),IF(4033&lt;=4000,INDEX($D$2:$D$1001,1033),IF(4033&lt;=5000,INDEX($E$2:$E$1001,33),"")))))</f>
        <v/>
      </c>
    </row>
    <row r="4035">
      <c r="G4035">
        <f>IF(4034&lt;=1000,INDEX($A$2:$A$1001,4034),IF(4034&lt;=2000,INDEX($B$2:$B$1001,3034),IF(4034&lt;=3000,INDEX($C$2:$C$1001,2034),IF(4034&lt;=4000,INDEX($D$2:$D$1001,1034),IF(4034&lt;=5000,INDEX($E$2:$E$1001,34),"")))))</f>
        <v/>
      </c>
    </row>
    <row r="4036">
      <c r="G4036">
        <f>IF(4035&lt;=1000,INDEX($A$2:$A$1001,4035),IF(4035&lt;=2000,INDEX($B$2:$B$1001,3035),IF(4035&lt;=3000,INDEX($C$2:$C$1001,2035),IF(4035&lt;=4000,INDEX($D$2:$D$1001,1035),IF(4035&lt;=5000,INDEX($E$2:$E$1001,35),"")))))</f>
        <v/>
      </c>
    </row>
    <row r="4037">
      <c r="G4037">
        <f>IF(4036&lt;=1000,INDEX($A$2:$A$1001,4036),IF(4036&lt;=2000,INDEX($B$2:$B$1001,3036),IF(4036&lt;=3000,INDEX($C$2:$C$1001,2036),IF(4036&lt;=4000,INDEX($D$2:$D$1001,1036),IF(4036&lt;=5000,INDEX($E$2:$E$1001,36),"")))))</f>
        <v/>
      </c>
    </row>
    <row r="4038">
      <c r="G4038">
        <f>IF(4037&lt;=1000,INDEX($A$2:$A$1001,4037),IF(4037&lt;=2000,INDEX($B$2:$B$1001,3037),IF(4037&lt;=3000,INDEX($C$2:$C$1001,2037),IF(4037&lt;=4000,INDEX($D$2:$D$1001,1037),IF(4037&lt;=5000,INDEX($E$2:$E$1001,37),"")))))</f>
        <v/>
      </c>
    </row>
    <row r="4039">
      <c r="G4039">
        <f>IF(4038&lt;=1000,INDEX($A$2:$A$1001,4038),IF(4038&lt;=2000,INDEX($B$2:$B$1001,3038),IF(4038&lt;=3000,INDEX($C$2:$C$1001,2038),IF(4038&lt;=4000,INDEX($D$2:$D$1001,1038),IF(4038&lt;=5000,INDEX($E$2:$E$1001,38),"")))))</f>
        <v/>
      </c>
    </row>
    <row r="4040">
      <c r="G4040">
        <f>IF(4039&lt;=1000,INDEX($A$2:$A$1001,4039),IF(4039&lt;=2000,INDEX($B$2:$B$1001,3039),IF(4039&lt;=3000,INDEX($C$2:$C$1001,2039),IF(4039&lt;=4000,INDEX($D$2:$D$1001,1039),IF(4039&lt;=5000,INDEX($E$2:$E$1001,39),"")))))</f>
        <v/>
      </c>
    </row>
    <row r="4041">
      <c r="G4041">
        <f>IF(4040&lt;=1000,INDEX($A$2:$A$1001,4040),IF(4040&lt;=2000,INDEX($B$2:$B$1001,3040),IF(4040&lt;=3000,INDEX($C$2:$C$1001,2040),IF(4040&lt;=4000,INDEX($D$2:$D$1001,1040),IF(4040&lt;=5000,INDEX($E$2:$E$1001,40),"")))))</f>
        <v/>
      </c>
    </row>
    <row r="4042">
      <c r="G4042">
        <f>IF(4041&lt;=1000,INDEX($A$2:$A$1001,4041),IF(4041&lt;=2000,INDEX($B$2:$B$1001,3041),IF(4041&lt;=3000,INDEX($C$2:$C$1001,2041),IF(4041&lt;=4000,INDEX($D$2:$D$1001,1041),IF(4041&lt;=5000,INDEX($E$2:$E$1001,41),"")))))</f>
        <v/>
      </c>
    </row>
    <row r="4043">
      <c r="G4043">
        <f>IF(4042&lt;=1000,INDEX($A$2:$A$1001,4042),IF(4042&lt;=2000,INDEX($B$2:$B$1001,3042),IF(4042&lt;=3000,INDEX($C$2:$C$1001,2042),IF(4042&lt;=4000,INDEX($D$2:$D$1001,1042),IF(4042&lt;=5000,INDEX($E$2:$E$1001,42),"")))))</f>
        <v/>
      </c>
    </row>
    <row r="4044">
      <c r="G4044">
        <f>IF(4043&lt;=1000,INDEX($A$2:$A$1001,4043),IF(4043&lt;=2000,INDEX($B$2:$B$1001,3043),IF(4043&lt;=3000,INDEX($C$2:$C$1001,2043),IF(4043&lt;=4000,INDEX($D$2:$D$1001,1043),IF(4043&lt;=5000,INDEX($E$2:$E$1001,43),"")))))</f>
        <v/>
      </c>
    </row>
    <row r="4045">
      <c r="G4045">
        <f>IF(4044&lt;=1000,INDEX($A$2:$A$1001,4044),IF(4044&lt;=2000,INDEX($B$2:$B$1001,3044),IF(4044&lt;=3000,INDEX($C$2:$C$1001,2044),IF(4044&lt;=4000,INDEX($D$2:$D$1001,1044),IF(4044&lt;=5000,INDEX($E$2:$E$1001,44),"")))))</f>
        <v/>
      </c>
    </row>
    <row r="4046">
      <c r="G4046">
        <f>IF(4045&lt;=1000,INDEX($A$2:$A$1001,4045),IF(4045&lt;=2000,INDEX($B$2:$B$1001,3045),IF(4045&lt;=3000,INDEX($C$2:$C$1001,2045),IF(4045&lt;=4000,INDEX($D$2:$D$1001,1045),IF(4045&lt;=5000,INDEX($E$2:$E$1001,45),"")))))</f>
        <v/>
      </c>
    </row>
    <row r="4047">
      <c r="G4047">
        <f>IF(4046&lt;=1000,INDEX($A$2:$A$1001,4046),IF(4046&lt;=2000,INDEX($B$2:$B$1001,3046),IF(4046&lt;=3000,INDEX($C$2:$C$1001,2046),IF(4046&lt;=4000,INDEX($D$2:$D$1001,1046),IF(4046&lt;=5000,INDEX($E$2:$E$1001,46),"")))))</f>
        <v/>
      </c>
    </row>
    <row r="4048">
      <c r="G4048">
        <f>IF(4047&lt;=1000,INDEX($A$2:$A$1001,4047),IF(4047&lt;=2000,INDEX($B$2:$B$1001,3047),IF(4047&lt;=3000,INDEX($C$2:$C$1001,2047),IF(4047&lt;=4000,INDEX($D$2:$D$1001,1047),IF(4047&lt;=5000,INDEX($E$2:$E$1001,47),"")))))</f>
        <v/>
      </c>
    </row>
    <row r="4049">
      <c r="G4049">
        <f>IF(4048&lt;=1000,INDEX($A$2:$A$1001,4048),IF(4048&lt;=2000,INDEX($B$2:$B$1001,3048),IF(4048&lt;=3000,INDEX($C$2:$C$1001,2048),IF(4048&lt;=4000,INDEX($D$2:$D$1001,1048),IF(4048&lt;=5000,INDEX($E$2:$E$1001,48),"")))))</f>
        <v/>
      </c>
    </row>
    <row r="4050">
      <c r="G4050">
        <f>IF(4049&lt;=1000,INDEX($A$2:$A$1001,4049),IF(4049&lt;=2000,INDEX($B$2:$B$1001,3049),IF(4049&lt;=3000,INDEX($C$2:$C$1001,2049),IF(4049&lt;=4000,INDEX($D$2:$D$1001,1049),IF(4049&lt;=5000,INDEX($E$2:$E$1001,49),"")))))</f>
        <v/>
      </c>
    </row>
    <row r="4051">
      <c r="G4051">
        <f>IF(4050&lt;=1000,INDEX($A$2:$A$1001,4050),IF(4050&lt;=2000,INDEX($B$2:$B$1001,3050),IF(4050&lt;=3000,INDEX($C$2:$C$1001,2050),IF(4050&lt;=4000,INDEX($D$2:$D$1001,1050),IF(4050&lt;=5000,INDEX($E$2:$E$1001,50),"")))))</f>
        <v/>
      </c>
    </row>
    <row r="4052">
      <c r="G4052">
        <f>IF(4051&lt;=1000,INDEX($A$2:$A$1001,4051),IF(4051&lt;=2000,INDEX($B$2:$B$1001,3051),IF(4051&lt;=3000,INDEX($C$2:$C$1001,2051),IF(4051&lt;=4000,INDEX($D$2:$D$1001,1051),IF(4051&lt;=5000,INDEX($E$2:$E$1001,51),"")))))</f>
        <v/>
      </c>
    </row>
    <row r="4053">
      <c r="G4053">
        <f>IF(4052&lt;=1000,INDEX($A$2:$A$1001,4052),IF(4052&lt;=2000,INDEX($B$2:$B$1001,3052),IF(4052&lt;=3000,INDEX($C$2:$C$1001,2052),IF(4052&lt;=4000,INDEX($D$2:$D$1001,1052),IF(4052&lt;=5000,INDEX($E$2:$E$1001,52),"")))))</f>
        <v/>
      </c>
    </row>
    <row r="4054">
      <c r="G4054">
        <f>IF(4053&lt;=1000,INDEX($A$2:$A$1001,4053),IF(4053&lt;=2000,INDEX($B$2:$B$1001,3053),IF(4053&lt;=3000,INDEX($C$2:$C$1001,2053),IF(4053&lt;=4000,INDEX($D$2:$D$1001,1053),IF(4053&lt;=5000,INDEX($E$2:$E$1001,53),"")))))</f>
        <v/>
      </c>
    </row>
    <row r="4055">
      <c r="G4055">
        <f>IF(4054&lt;=1000,INDEX($A$2:$A$1001,4054),IF(4054&lt;=2000,INDEX($B$2:$B$1001,3054),IF(4054&lt;=3000,INDEX($C$2:$C$1001,2054),IF(4054&lt;=4000,INDEX($D$2:$D$1001,1054),IF(4054&lt;=5000,INDEX($E$2:$E$1001,54),"")))))</f>
        <v/>
      </c>
    </row>
    <row r="4056">
      <c r="G4056">
        <f>IF(4055&lt;=1000,INDEX($A$2:$A$1001,4055),IF(4055&lt;=2000,INDEX($B$2:$B$1001,3055),IF(4055&lt;=3000,INDEX($C$2:$C$1001,2055),IF(4055&lt;=4000,INDEX($D$2:$D$1001,1055),IF(4055&lt;=5000,INDEX($E$2:$E$1001,55),"")))))</f>
        <v/>
      </c>
    </row>
    <row r="4057">
      <c r="G4057">
        <f>IF(4056&lt;=1000,INDEX($A$2:$A$1001,4056),IF(4056&lt;=2000,INDEX($B$2:$B$1001,3056),IF(4056&lt;=3000,INDEX($C$2:$C$1001,2056),IF(4056&lt;=4000,INDEX($D$2:$D$1001,1056),IF(4056&lt;=5000,INDEX($E$2:$E$1001,56),"")))))</f>
        <v/>
      </c>
    </row>
    <row r="4058">
      <c r="G4058">
        <f>IF(4057&lt;=1000,INDEX($A$2:$A$1001,4057),IF(4057&lt;=2000,INDEX($B$2:$B$1001,3057),IF(4057&lt;=3000,INDEX($C$2:$C$1001,2057),IF(4057&lt;=4000,INDEX($D$2:$D$1001,1057),IF(4057&lt;=5000,INDEX($E$2:$E$1001,57),"")))))</f>
        <v/>
      </c>
    </row>
    <row r="4059">
      <c r="G4059">
        <f>IF(4058&lt;=1000,INDEX($A$2:$A$1001,4058),IF(4058&lt;=2000,INDEX($B$2:$B$1001,3058),IF(4058&lt;=3000,INDEX($C$2:$C$1001,2058),IF(4058&lt;=4000,INDEX($D$2:$D$1001,1058),IF(4058&lt;=5000,INDEX($E$2:$E$1001,58),"")))))</f>
        <v/>
      </c>
    </row>
    <row r="4060">
      <c r="G4060">
        <f>IF(4059&lt;=1000,INDEX($A$2:$A$1001,4059),IF(4059&lt;=2000,INDEX($B$2:$B$1001,3059),IF(4059&lt;=3000,INDEX($C$2:$C$1001,2059),IF(4059&lt;=4000,INDEX($D$2:$D$1001,1059),IF(4059&lt;=5000,INDEX($E$2:$E$1001,59),"")))))</f>
        <v/>
      </c>
    </row>
    <row r="4061">
      <c r="G4061">
        <f>IF(4060&lt;=1000,INDEX($A$2:$A$1001,4060),IF(4060&lt;=2000,INDEX($B$2:$B$1001,3060),IF(4060&lt;=3000,INDEX($C$2:$C$1001,2060),IF(4060&lt;=4000,INDEX($D$2:$D$1001,1060),IF(4060&lt;=5000,INDEX($E$2:$E$1001,60),"")))))</f>
        <v/>
      </c>
    </row>
    <row r="4062">
      <c r="G4062">
        <f>IF(4061&lt;=1000,INDEX($A$2:$A$1001,4061),IF(4061&lt;=2000,INDEX($B$2:$B$1001,3061),IF(4061&lt;=3000,INDEX($C$2:$C$1001,2061),IF(4061&lt;=4000,INDEX($D$2:$D$1001,1061),IF(4061&lt;=5000,INDEX($E$2:$E$1001,61),"")))))</f>
        <v/>
      </c>
    </row>
    <row r="4063">
      <c r="G4063">
        <f>IF(4062&lt;=1000,INDEX($A$2:$A$1001,4062),IF(4062&lt;=2000,INDEX($B$2:$B$1001,3062),IF(4062&lt;=3000,INDEX($C$2:$C$1001,2062),IF(4062&lt;=4000,INDEX($D$2:$D$1001,1062),IF(4062&lt;=5000,INDEX($E$2:$E$1001,62),"")))))</f>
        <v/>
      </c>
    </row>
    <row r="4064">
      <c r="G4064">
        <f>IF(4063&lt;=1000,INDEX($A$2:$A$1001,4063),IF(4063&lt;=2000,INDEX($B$2:$B$1001,3063),IF(4063&lt;=3000,INDEX($C$2:$C$1001,2063),IF(4063&lt;=4000,INDEX($D$2:$D$1001,1063),IF(4063&lt;=5000,INDEX($E$2:$E$1001,63),"")))))</f>
        <v/>
      </c>
    </row>
    <row r="4065">
      <c r="G4065">
        <f>IF(4064&lt;=1000,INDEX($A$2:$A$1001,4064),IF(4064&lt;=2000,INDEX($B$2:$B$1001,3064),IF(4064&lt;=3000,INDEX($C$2:$C$1001,2064),IF(4064&lt;=4000,INDEX($D$2:$D$1001,1064),IF(4064&lt;=5000,INDEX($E$2:$E$1001,64),"")))))</f>
        <v/>
      </c>
    </row>
    <row r="4066">
      <c r="G4066">
        <f>IF(4065&lt;=1000,INDEX($A$2:$A$1001,4065),IF(4065&lt;=2000,INDEX($B$2:$B$1001,3065),IF(4065&lt;=3000,INDEX($C$2:$C$1001,2065),IF(4065&lt;=4000,INDEX($D$2:$D$1001,1065),IF(4065&lt;=5000,INDEX($E$2:$E$1001,65),"")))))</f>
        <v/>
      </c>
    </row>
    <row r="4067">
      <c r="G4067">
        <f>IF(4066&lt;=1000,INDEX($A$2:$A$1001,4066),IF(4066&lt;=2000,INDEX($B$2:$B$1001,3066),IF(4066&lt;=3000,INDEX($C$2:$C$1001,2066),IF(4066&lt;=4000,INDEX($D$2:$D$1001,1066),IF(4066&lt;=5000,INDEX($E$2:$E$1001,66),"")))))</f>
        <v/>
      </c>
    </row>
    <row r="4068">
      <c r="G4068">
        <f>IF(4067&lt;=1000,INDEX($A$2:$A$1001,4067),IF(4067&lt;=2000,INDEX($B$2:$B$1001,3067),IF(4067&lt;=3000,INDEX($C$2:$C$1001,2067),IF(4067&lt;=4000,INDEX($D$2:$D$1001,1067),IF(4067&lt;=5000,INDEX($E$2:$E$1001,67),"")))))</f>
        <v/>
      </c>
    </row>
    <row r="4069">
      <c r="G4069">
        <f>IF(4068&lt;=1000,INDEX($A$2:$A$1001,4068),IF(4068&lt;=2000,INDEX($B$2:$B$1001,3068),IF(4068&lt;=3000,INDEX($C$2:$C$1001,2068),IF(4068&lt;=4000,INDEX($D$2:$D$1001,1068),IF(4068&lt;=5000,INDEX($E$2:$E$1001,68),"")))))</f>
        <v/>
      </c>
    </row>
    <row r="4070">
      <c r="G4070">
        <f>IF(4069&lt;=1000,INDEX($A$2:$A$1001,4069),IF(4069&lt;=2000,INDEX($B$2:$B$1001,3069),IF(4069&lt;=3000,INDEX($C$2:$C$1001,2069),IF(4069&lt;=4000,INDEX($D$2:$D$1001,1069),IF(4069&lt;=5000,INDEX($E$2:$E$1001,69),"")))))</f>
        <v/>
      </c>
    </row>
    <row r="4071">
      <c r="G4071">
        <f>IF(4070&lt;=1000,INDEX($A$2:$A$1001,4070),IF(4070&lt;=2000,INDEX($B$2:$B$1001,3070),IF(4070&lt;=3000,INDEX($C$2:$C$1001,2070),IF(4070&lt;=4000,INDEX($D$2:$D$1001,1070),IF(4070&lt;=5000,INDEX($E$2:$E$1001,70),"")))))</f>
        <v/>
      </c>
    </row>
    <row r="4072">
      <c r="G4072">
        <f>IF(4071&lt;=1000,INDEX($A$2:$A$1001,4071),IF(4071&lt;=2000,INDEX($B$2:$B$1001,3071),IF(4071&lt;=3000,INDEX($C$2:$C$1001,2071),IF(4071&lt;=4000,INDEX($D$2:$D$1001,1071),IF(4071&lt;=5000,INDEX($E$2:$E$1001,71),"")))))</f>
        <v/>
      </c>
    </row>
    <row r="4073">
      <c r="G4073">
        <f>IF(4072&lt;=1000,INDEX($A$2:$A$1001,4072),IF(4072&lt;=2000,INDEX($B$2:$B$1001,3072),IF(4072&lt;=3000,INDEX($C$2:$C$1001,2072),IF(4072&lt;=4000,INDEX($D$2:$D$1001,1072),IF(4072&lt;=5000,INDEX($E$2:$E$1001,72),"")))))</f>
        <v/>
      </c>
    </row>
    <row r="4074">
      <c r="G4074">
        <f>IF(4073&lt;=1000,INDEX($A$2:$A$1001,4073),IF(4073&lt;=2000,INDEX($B$2:$B$1001,3073),IF(4073&lt;=3000,INDEX($C$2:$C$1001,2073),IF(4073&lt;=4000,INDEX($D$2:$D$1001,1073),IF(4073&lt;=5000,INDEX($E$2:$E$1001,73),"")))))</f>
        <v/>
      </c>
    </row>
    <row r="4075">
      <c r="G4075">
        <f>IF(4074&lt;=1000,INDEX($A$2:$A$1001,4074),IF(4074&lt;=2000,INDEX($B$2:$B$1001,3074),IF(4074&lt;=3000,INDEX($C$2:$C$1001,2074),IF(4074&lt;=4000,INDEX($D$2:$D$1001,1074),IF(4074&lt;=5000,INDEX($E$2:$E$1001,74),"")))))</f>
        <v/>
      </c>
    </row>
    <row r="4076">
      <c r="G4076">
        <f>IF(4075&lt;=1000,INDEX($A$2:$A$1001,4075),IF(4075&lt;=2000,INDEX($B$2:$B$1001,3075),IF(4075&lt;=3000,INDEX($C$2:$C$1001,2075),IF(4075&lt;=4000,INDEX($D$2:$D$1001,1075),IF(4075&lt;=5000,INDEX($E$2:$E$1001,75),"")))))</f>
        <v/>
      </c>
    </row>
    <row r="4077">
      <c r="G4077">
        <f>IF(4076&lt;=1000,INDEX($A$2:$A$1001,4076),IF(4076&lt;=2000,INDEX($B$2:$B$1001,3076),IF(4076&lt;=3000,INDEX($C$2:$C$1001,2076),IF(4076&lt;=4000,INDEX($D$2:$D$1001,1076),IF(4076&lt;=5000,INDEX($E$2:$E$1001,76),"")))))</f>
        <v/>
      </c>
    </row>
    <row r="4078">
      <c r="G4078">
        <f>IF(4077&lt;=1000,INDEX($A$2:$A$1001,4077),IF(4077&lt;=2000,INDEX($B$2:$B$1001,3077),IF(4077&lt;=3000,INDEX($C$2:$C$1001,2077),IF(4077&lt;=4000,INDEX($D$2:$D$1001,1077),IF(4077&lt;=5000,INDEX($E$2:$E$1001,77),"")))))</f>
        <v/>
      </c>
    </row>
    <row r="4079">
      <c r="G4079">
        <f>IF(4078&lt;=1000,INDEX($A$2:$A$1001,4078),IF(4078&lt;=2000,INDEX($B$2:$B$1001,3078),IF(4078&lt;=3000,INDEX($C$2:$C$1001,2078),IF(4078&lt;=4000,INDEX($D$2:$D$1001,1078),IF(4078&lt;=5000,INDEX($E$2:$E$1001,78),"")))))</f>
        <v/>
      </c>
    </row>
    <row r="4080">
      <c r="G4080">
        <f>IF(4079&lt;=1000,INDEX($A$2:$A$1001,4079),IF(4079&lt;=2000,INDEX($B$2:$B$1001,3079),IF(4079&lt;=3000,INDEX($C$2:$C$1001,2079),IF(4079&lt;=4000,INDEX($D$2:$D$1001,1079),IF(4079&lt;=5000,INDEX($E$2:$E$1001,79),"")))))</f>
        <v/>
      </c>
    </row>
    <row r="4081">
      <c r="G4081">
        <f>IF(4080&lt;=1000,INDEX($A$2:$A$1001,4080),IF(4080&lt;=2000,INDEX($B$2:$B$1001,3080),IF(4080&lt;=3000,INDEX($C$2:$C$1001,2080),IF(4080&lt;=4000,INDEX($D$2:$D$1001,1080),IF(4080&lt;=5000,INDEX($E$2:$E$1001,80),"")))))</f>
        <v/>
      </c>
    </row>
    <row r="4082">
      <c r="G4082">
        <f>IF(4081&lt;=1000,INDEX($A$2:$A$1001,4081),IF(4081&lt;=2000,INDEX($B$2:$B$1001,3081),IF(4081&lt;=3000,INDEX($C$2:$C$1001,2081),IF(4081&lt;=4000,INDEX($D$2:$D$1001,1081),IF(4081&lt;=5000,INDEX($E$2:$E$1001,81),"")))))</f>
        <v/>
      </c>
    </row>
    <row r="4083">
      <c r="G4083">
        <f>IF(4082&lt;=1000,INDEX($A$2:$A$1001,4082),IF(4082&lt;=2000,INDEX($B$2:$B$1001,3082),IF(4082&lt;=3000,INDEX($C$2:$C$1001,2082),IF(4082&lt;=4000,INDEX($D$2:$D$1001,1082),IF(4082&lt;=5000,INDEX($E$2:$E$1001,82),"")))))</f>
        <v/>
      </c>
    </row>
    <row r="4084">
      <c r="G4084">
        <f>IF(4083&lt;=1000,INDEX($A$2:$A$1001,4083),IF(4083&lt;=2000,INDEX($B$2:$B$1001,3083),IF(4083&lt;=3000,INDEX($C$2:$C$1001,2083),IF(4083&lt;=4000,INDEX($D$2:$D$1001,1083),IF(4083&lt;=5000,INDEX($E$2:$E$1001,83),"")))))</f>
        <v/>
      </c>
    </row>
    <row r="4085">
      <c r="G4085">
        <f>IF(4084&lt;=1000,INDEX($A$2:$A$1001,4084),IF(4084&lt;=2000,INDEX($B$2:$B$1001,3084),IF(4084&lt;=3000,INDEX($C$2:$C$1001,2084),IF(4084&lt;=4000,INDEX($D$2:$D$1001,1084),IF(4084&lt;=5000,INDEX($E$2:$E$1001,84),"")))))</f>
        <v/>
      </c>
    </row>
    <row r="4086">
      <c r="G4086">
        <f>IF(4085&lt;=1000,INDEX($A$2:$A$1001,4085),IF(4085&lt;=2000,INDEX($B$2:$B$1001,3085),IF(4085&lt;=3000,INDEX($C$2:$C$1001,2085),IF(4085&lt;=4000,INDEX($D$2:$D$1001,1085),IF(4085&lt;=5000,INDEX($E$2:$E$1001,85),"")))))</f>
        <v/>
      </c>
    </row>
    <row r="4087">
      <c r="G4087">
        <f>IF(4086&lt;=1000,INDEX($A$2:$A$1001,4086),IF(4086&lt;=2000,INDEX($B$2:$B$1001,3086),IF(4086&lt;=3000,INDEX($C$2:$C$1001,2086),IF(4086&lt;=4000,INDEX($D$2:$D$1001,1086),IF(4086&lt;=5000,INDEX($E$2:$E$1001,86),"")))))</f>
        <v/>
      </c>
    </row>
    <row r="4088">
      <c r="G4088">
        <f>IF(4087&lt;=1000,INDEX($A$2:$A$1001,4087),IF(4087&lt;=2000,INDEX($B$2:$B$1001,3087),IF(4087&lt;=3000,INDEX($C$2:$C$1001,2087),IF(4087&lt;=4000,INDEX($D$2:$D$1001,1087),IF(4087&lt;=5000,INDEX($E$2:$E$1001,87),"")))))</f>
        <v/>
      </c>
    </row>
    <row r="4089">
      <c r="G4089">
        <f>IF(4088&lt;=1000,INDEX($A$2:$A$1001,4088),IF(4088&lt;=2000,INDEX($B$2:$B$1001,3088),IF(4088&lt;=3000,INDEX($C$2:$C$1001,2088),IF(4088&lt;=4000,INDEX($D$2:$D$1001,1088),IF(4088&lt;=5000,INDEX($E$2:$E$1001,88),"")))))</f>
        <v/>
      </c>
    </row>
    <row r="4090">
      <c r="G4090">
        <f>IF(4089&lt;=1000,INDEX($A$2:$A$1001,4089),IF(4089&lt;=2000,INDEX($B$2:$B$1001,3089),IF(4089&lt;=3000,INDEX($C$2:$C$1001,2089),IF(4089&lt;=4000,INDEX($D$2:$D$1001,1089),IF(4089&lt;=5000,INDEX($E$2:$E$1001,89),"")))))</f>
        <v/>
      </c>
    </row>
    <row r="4091">
      <c r="G4091">
        <f>IF(4090&lt;=1000,INDEX($A$2:$A$1001,4090),IF(4090&lt;=2000,INDEX($B$2:$B$1001,3090),IF(4090&lt;=3000,INDEX($C$2:$C$1001,2090),IF(4090&lt;=4000,INDEX($D$2:$D$1001,1090),IF(4090&lt;=5000,INDEX($E$2:$E$1001,90),"")))))</f>
        <v/>
      </c>
    </row>
    <row r="4092">
      <c r="G4092">
        <f>IF(4091&lt;=1000,INDEX($A$2:$A$1001,4091),IF(4091&lt;=2000,INDEX($B$2:$B$1001,3091),IF(4091&lt;=3000,INDEX($C$2:$C$1001,2091),IF(4091&lt;=4000,INDEX($D$2:$D$1001,1091),IF(4091&lt;=5000,INDEX($E$2:$E$1001,91),"")))))</f>
        <v/>
      </c>
    </row>
    <row r="4093">
      <c r="G4093">
        <f>IF(4092&lt;=1000,INDEX($A$2:$A$1001,4092),IF(4092&lt;=2000,INDEX($B$2:$B$1001,3092),IF(4092&lt;=3000,INDEX($C$2:$C$1001,2092),IF(4092&lt;=4000,INDEX($D$2:$D$1001,1092),IF(4092&lt;=5000,INDEX($E$2:$E$1001,92),"")))))</f>
        <v/>
      </c>
    </row>
    <row r="4094">
      <c r="G4094">
        <f>IF(4093&lt;=1000,INDEX($A$2:$A$1001,4093),IF(4093&lt;=2000,INDEX($B$2:$B$1001,3093),IF(4093&lt;=3000,INDEX($C$2:$C$1001,2093),IF(4093&lt;=4000,INDEX($D$2:$D$1001,1093),IF(4093&lt;=5000,INDEX($E$2:$E$1001,93),"")))))</f>
        <v/>
      </c>
    </row>
    <row r="4095">
      <c r="G4095">
        <f>IF(4094&lt;=1000,INDEX($A$2:$A$1001,4094),IF(4094&lt;=2000,INDEX($B$2:$B$1001,3094),IF(4094&lt;=3000,INDEX($C$2:$C$1001,2094),IF(4094&lt;=4000,INDEX($D$2:$D$1001,1094),IF(4094&lt;=5000,INDEX($E$2:$E$1001,94),"")))))</f>
        <v/>
      </c>
    </row>
    <row r="4096">
      <c r="G4096">
        <f>IF(4095&lt;=1000,INDEX($A$2:$A$1001,4095),IF(4095&lt;=2000,INDEX($B$2:$B$1001,3095),IF(4095&lt;=3000,INDEX($C$2:$C$1001,2095),IF(4095&lt;=4000,INDEX($D$2:$D$1001,1095),IF(4095&lt;=5000,INDEX($E$2:$E$1001,95),"")))))</f>
        <v/>
      </c>
    </row>
    <row r="4097">
      <c r="G4097">
        <f>IF(4096&lt;=1000,INDEX($A$2:$A$1001,4096),IF(4096&lt;=2000,INDEX($B$2:$B$1001,3096),IF(4096&lt;=3000,INDEX($C$2:$C$1001,2096),IF(4096&lt;=4000,INDEX($D$2:$D$1001,1096),IF(4096&lt;=5000,INDEX($E$2:$E$1001,96),"")))))</f>
        <v/>
      </c>
    </row>
    <row r="4098">
      <c r="G4098">
        <f>IF(4097&lt;=1000,INDEX($A$2:$A$1001,4097),IF(4097&lt;=2000,INDEX($B$2:$B$1001,3097),IF(4097&lt;=3000,INDEX($C$2:$C$1001,2097),IF(4097&lt;=4000,INDEX($D$2:$D$1001,1097),IF(4097&lt;=5000,INDEX($E$2:$E$1001,97),"")))))</f>
        <v/>
      </c>
    </row>
    <row r="4099">
      <c r="G4099">
        <f>IF(4098&lt;=1000,INDEX($A$2:$A$1001,4098),IF(4098&lt;=2000,INDEX($B$2:$B$1001,3098),IF(4098&lt;=3000,INDEX($C$2:$C$1001,2098),IF(4098&lt;=4000,INDEX($D$2:$D$1001,1098),IF(4098&lt;=5000,INDEX($E$2:$E$1001,98),"")))))</f>
        <v/>
      </c>
    </row>
    <row r="4100">
      <c r="G4100">
        <f>IF(4099&lt;=1000,INDEX($A$2:$A$1001,4099),IF(4099&lt;=2000,INDEX($B$2:$B$1001,3099),IF(4099&lt;=3000,INDEX($C$2:$C$1001,2099),IF(4099&lt;=4000,INDEX($D$2:$D$1001,1099),IF(4099&lt;=5000,INDEX($E$2:$E$1001,99),"")))))</f>
        <v/>
      </c>
    </row>
    <row r="4101">
      <c r="G4101">
        <f>IF(4100&lt;=1000,INDEX($A$2:$A$1001,4100),IF(4100&lt;=2000,INDEX($B$2:$B$1001,3100),IF(4100&lt;=3000,INDEX($C$2:$C$1001,2100),IF(4100&lt;=4000,INDEX($D$2:$D$1001,1100),IF(4100&lt;=5000,INDEX($E$2:$E$1001,100),"")))))</f>
        <v/>
      </c>
    </row>
    <row r="4102">
      <c r="G4102">
        <f>IF(4101&lt;=1000,INDEX($A$2:$A$1001,4101),IF(4101&lt;=2000,INDEX($B$2:$B$1001,3101),IF(4101&lt;=3000,INDEX($C$2:$C$1001,2101),IF(4101&lt;=4000,INDEX($D$2:$D$1001,1101),IF(4101&lt;=5000,INDEX($E$2:$E$1001,101),"")))))</f>
        <v/>
      </c>
    </row>
    <row r="4103">
      <c r="G4103">
        <f>IF(4102&lt;=1000,INDEX($A$2:$A$1001,4102),IF(4102&lt;=2000,INDEX($B$2:$B$1001,3102),IF(4102&lt;=3000,INDEX($C$2:$C$1001,2102),IF(4102&lt;=4000,INDEX($D$2:$D$1001,1102),IF(4102&lt;=5000,INDEX($E$2:$E$1001,102),"")))))</f>
        <v/>
      </c>
    </row>
    <row r="4104">
      <c r="G4104">
        <f>IF(4103&lt;=1000,INDEX($A$2:$A$1001,4103),IF(4103&lt;=2000,INDEX($B$2:$B$1001,3103),IF(4103&lt;=3000,INDEX($C$2:$C$1001,2103),IF(4103&lt;=4000,INDEX($D$2:$D$1001,1103),IF(4103&lt;=5000,INDEX($E$2:$E$1001,103),"")))))</f>
        <v/>
      </c>
    </row>
    <row r="4105">
      <c r="G4105">
        <f>IF(4104&lt;=1000,INDEX($A$2:$A$1001,4104),IF(4104&lt;=2000,INDEX($B$2:$B$1001,3104),IF(4104&lt;=3000,INDEX($C$2:$C$1001,2104),IF(4104&lt;=4000,INDEX($D$2:$D$1001,1104),IF(4104&lt;=5000,INDEX($E$2:$E$1001,104),"")))))</f>
        <v/>
      </c>
    </row>
    <row r="4106">
      <c r="G4106">
        <f>IF(4105&lt;=1000,INDEX($A$2:$A$1001,4105),IF(4105&lt;=2000,INDEX($B$2:$B$1001,3105),IF(4105&lt;=3000,INDEX($C$2:$C$1001,2105),IF(4105&lt;=4000,INDEX($D$2:$D$1001,1105),IF(4105&lt;=5000,INDEX($E$2:$E$1001,105),"")))))</f>
        <v/>
      </c>
    </row>
    <row r="4107">
      <c r="G4107">
        <f>IF(4106&lt;=1000,INDEX($A$2:$A$1001,4106),IF(4106&lt;=2000,INDEX($B$2:$B$1001,3106),IF(4106&lt;=3000,INDEX($C$2:$C$1001,2106),IF(4106&lt;=4000,INDEX($D$2:$D$1001,1106),IF(4106&lt;=5000,INDEX($E$2:$E$1001,106),"")))))</f>
        <v/>
      </c>
    </row>
    <row r="4108">
      <c r="G4108">
        <f>IF(4107&lt;=1000,INDEX($A$2:$A$1001,4107),IF(4107&lt;=2000,INDEX($B$2:$B$1001,3107),IF(4107&lt;=3000,INDEX($C$2:$C$1001,2107),IF(4107&lt;=4000,INDEX($D$2:$D$1001,1107),IF(4107&lt;=5000,INDEX($E$2:$E$1001,107),"")))))</f>
        <v/>
      </c>
    </row>
    <row r="4109">
      <c r="G4109">
        <f>IF(4108&lt;=1000,INDEX($A$2:$A$1001,4108),IF(4108&lt;=2000,INDEX($B$2:$B$1001,3108),IF(4108&lt;=3000,INDEX($C$2:$C$1001,2108),IF(4108&lt;=4000,INDEX($D$2:$D$1001,1108),IF(4108&lt;=5000,INDEX($E$2:$E$1001,108),"")))))</f>
        <v/>
      </c>
    </row>
    <row r="4110">
      <c r="G4110">
        <f>IF(4109&lt;=1000,INDEX($A$2:$A$1001,4109),IF(4109&lt;=2000,INDEX($B$2:$B$1001,3109),IF(4109&lt;=3000,INDEX($C$2:$C$1001,2109),IF(4109&lt;=4000,INDEX($D$2:$D$1001,1109),IF(4109&lt;=5000,INDEX($E$2:$E$1001,109),"")))))</f>
        <v/>
      </c>
    </row>
    <row r="4111">
      <c r="G4111">
        <f>IF(4110&lt;=1000,INDEX($A$2:$A$1001,4110),IF(4110&lt;=2000,INDEX($B$2:$B$1001,3110),IF(4110&lt;=3000,INDEX($C$2:$C$1001,2110),IF(4110&lt;=4000,INDEX($D$2:$D$1001,1110),IF(4110&lt;=5000,INDEX($E$2:$E$1001,110),"")))))</f>
        <v/>
      </c>
    </row>
    <row r="4112">
      <c r="G4112">
        <f>IF(4111&lt;=1000,INDEX($A$2:$A$1001,4111),IF(4111&lt;=2000,INDEX($B$2:$B$1001,3111),IF(4111&lt;=3000,INDEX($C$2:$C$1001,2111),IF(4111&lt;=4000,INDEX($D$2:$D$1001,1111),IF(4111&lt;=5000,INDEX($E$2:$E$1001,111),"")))))</f>
        <v/>
      </c>
    </row>
    <row r="4113">
      <c r="G4113">
        <f>IF(4112&lt;=1000,INDEX($A$2:$A$1001,4112),IF(4112&lt;=2000,INDEX($B$2:$B$1001,3112),IF(4112&lt;=3000,INDEX($C$2:$C$1001,2112),IF(4112&lt;=4000,INDEX($D$2:$D$1001,1112),IF(4112&lt;=5000,INDEX($E$2:$E$1001,112),"")))))</f>
        <v/>
      </c>
    </row>
    <row r="4114">
      <c r="G4114">
        <f>IF(4113&lt;=1000,INDEX($A$2:$A$1001,4113),IF(4113&lt;=2000,INDEX($B$2:$B$1001,3113),IF(4113&lt;=3000,INDEX($C$2:$C$1001,2113),IF(4113&lt;=4000,INDEX($D$2:$D$1001,1113),IF(4113&lt;=5000,INDEX($E$2:$E$1001,113),"")))))</f>
        <v/>
      </c>
    </row>
    <row r="4115">
      <c r="G4115">
        <f>IF(4114&lt;=1000,INDEX($A$2:$A$1001,4114),IF(4114&lt;=2000,INDEX($B$2:$B$1001,3114),IF(4114&lt;=3000,INDEX($C$2:$C$1001,2114),IF(4114&lt;=4000,INDEX($D$2:$D$1001,1114),IF(4114&lt;=5000,INDEX($E$2:$E$1001,114),"")))))</f>
        <v/>
      </c>
    </row>
    <row r="4116">
      <c r="G4116">
        <f>IF(4115&lt;=1000,INDEX($A$2:$A$1001,4115),IF(4115&lt;=2000,INDEX($B$2:$B$1001,3115),IF(4115&lt;=3000,INDEX($C$2:$C$1001,2115),IF(4115&lt;=4000,INDEX($D$2:$D$1001,1115),IF(4115&lt;=5000,INDEX($E$2:$E$1001,115),"")))))</f>
        <v/>
      </c>
    </row>
    <row r="4117">
      <c r="G4117">
        <f>IF(4116&lt;=1000,INDEX($A$2:$A$1001,4116),IF(4116&lt;=2000,INDEX($B$2:$B$1001,3116),IF(4116&lt;=3000,INDEX($C$2:$C$1001,2116),IF(4116&lt;=4000,INDEX($D$2:$D$1001,1116),IF(4116&lt;=5000,INDEX($E$2:$E$1001,116),"")))))</f>
        <v/>
      </c>
    </row>
    <row r="4118">
      <c r="G4118">
        <f>IF(4117&lt;=1000,INDEX($A$2:$A$1001,4117),IF(4117&lt;=2000,INDEX($B$2:$B$1001,3117),IF(4117&lt;=3000,INDEX($C$2:$C$1001,2117),IF(4117&lt;=4000,INDEX($D$2:$D$1001,1117),IF(4117&lt;=5000,INDEX($E$2:$E$1001,117),"")))))</f>
        <v/>
      </c>
    </row>
    <row r="4119">
      <c r="G4119">
        <f>IF(4118&lt;=1000,INDEX($A$2:$A$1001,4118),IF(4118&lt;=2000,INDEX($B$2:$B$1001,3118),IF(4118&lt;=3000,INDEX($C$2:$C$1001,2118),IF(4118&lt;=4000,INDEX($D$2:$D$1001,1118),IF(4118&lt;=5000,INDEX($E$2:$E$1001,118),"")))))</f>
        <v/>
      </c>
    </row>
    <row r="4120">
      <c r="G4120">
        <f>IF(4119&lt;=1000,INDEX($A$2:$A$1001,4119),IF(4119&lt;=2000,INDEX($B$2:$B$1001,3119),IF(4119&lt;=3000,INDEX($C$2:$C$1001,2119),IF(4119&lt;=4000,INDEX($D$2:$D$1001,1119),IF(4119&lt;=5000,INDEX($E$2:$E$1001,119),"")))))</f>
        <v/>
      </c>
    </row>
    <row r="4121">
      <c r="G4121">
        <f>IF(4120&lt;=1000,INDEX($A$2:$A$1001,4120),IF(4120&lt;=2000,INDEX($B$2:$B$1001,3120),IF(4120&lt;=3000,INDEX($C$2:$C$1001,2120),IF(4120&lt;=4000,INDEX($D$2:$D$1001,1120),IF(4120&lt;=5000,INDEX($E$2:$E$1001,120),"")))))</f>
        <v/>
      </c>
    </row>
    <row r="4122">
      <c r="G4122">
        <f>IF(4121&lt;=1000,INDEX($A$2:$A$1001,4121),IF(4121&lt;=2000,INDEX($B$2:$B$1001,3121),IF(4121&lt;=3000,INDEX($C$2:$C$1001,2121),IF(4121&lt;=4000,INDEX($D$2:$D$1001,1121),IF(4121&lt;=5000,INDEX($E$2:$E$1001,121),"")))))</f>
        <v/>
      </c>
    </row>
    <row r="4123">
      <c r="G4123">
        <f>IF(4122&lt;=1000,INDEX($A$2:$A$1001,4122),IF(4122&lt;=2000,INDEX($B$2:$B$1001,3122),IF(4122&lt;=3000,INDEX($C$2:$C$1001,2122),IF(4122&lt;=4000,INDEX($D$2:$D$1001,1122),IF(4122&lt;=5000,INDEX($E$2:$E$1001,122),"")))))</f>
        <v/>
      </c>
    </row>
    <row r="4124">
      <c r="G4124">
        <f>IF(4123&lt;=1000,INDEX($A$2:$A$1001,4123),IF(4123&lt;=2000,INDEX($B$2:$B$1001,3123),IF(4123&lt;=3000,INDEX($C$2:$C$1001,2123),IF(4123&lt;=4000,INDEX($D$2:$D$1001,1123),IF(4123&lt;=5000,INDEX($E$2:$E$1001,123),"")))))</f>
        <v/>
      </c>
    </row>
    <row r="4125">
      <c r="G4125">
        <f>IF(4124&lt;=1000,INDEX($A$2:$A$1001,4124),IF(4124&lt;=2000,INDEX($B$2:$B$1001,3124),IF(4124&lt;=3000,INDEX($C$2:$C$1001,2124),IF(4124&lt;=4000,INDEX($D$2:$D$1001,1124),IF(4124&lt;=5000,INDEX($E$2:$E$1001,124),"")))))</f>
        <v/>
      </c>
    </row>
    <row r="4126">
      <c r="G4126">
        <f>IF(4125&lt;=1000,INDEX($A$2:$A$1001,4125),IF(4125&lt;=2000,INDEX($B$2:$B$1001,3125),IF(4125&lt;=3000,INDEX($C$2:$C$1001,2125),IF(4125&lt;=4000,INDEX($D$2:$D$1001,1125),IF(4125&lt;=5000,INDEX($E$2:$E$1001,125),"")))))</f>
        <v/>
      </c>
    </row>
    <row r="4127">
      <c r="G4127">
        <f>IF(4126&lt;=1000,INDEX($A$2:$A$1001,4126),IF(4126&lt;=2000,INDEX($B$2:$B$1001,3126),IF(4126&lt;=3000,INDEX($C$2:$C$1001,2126),IF(4126&lt;=4000,INDEX($D$2:$D$1001,1126),IF(4126&lt;=5000,INDEX($E$2:$E$1001,126),"")))))</f>
        <v/>
      </c>
    </row>
    <row r="4128">
      <c r="G4128">
        <f>IF(4127&lt;=1000,INDEX($A$2:$A$1001,4127),IF(4127&lt;=2000,INDEX($B$2:$B$1001,3127),IF(4127&lt;=3000,INDEX($C$2:$C$1001,2127),IF(4127&lt;=4000,INDEX($D$2:$D$1001,1127),IF(4127&lt;=5000,INDEX($E$2:$E$1001,127),"")))))</f>
        <v/>
      </c>
    </row>
    <row r="4129">
      <c r="G4129">
        <f>IF(4128&lt;=1000,INDEX($A$2:$A$1001,4128),IF(4128&lt;=2000,INDEX($B$2:$B$1001,3128),IF(4128&lt;=3000,INDEX($C$2:$C$1001,2128),IF(4128&lt;=4000,INDEX($D$2:$D$1001,1128),IF(4128&lt;=5000,INDEX($E$2:$E$1001,128),"")))))</f>
        <v/>
      </c>
    </row>
    <row r="4130">
      <c r="G4130">
        <f>IF(4129&lt;=1000,INDEX($A$2:$A$1001,4129),IF(4129&lt;=2000,INDEX($B$2:$B$1001,3129),IF(4129&lt;=3000,INDEX($C$2:$C$1001,2129),IF(4129&lt;=4000,INDEX($D$2:$D$1001,1129),IF(4129&lt;=5000,INDEX($E$2:$E$1001,129),"")))))</f>
        <v/>
      </c>
    </row>
    <row r="4131">
      <c r="G4131">
        <f>IF(4130&lt;=1000,INDEX($A$2:$A$1001,4130),IF(4130&lt;=2000,INDEX($B$2:$B$1001,3130),IF(4130&lt;=3000,INDEX($C$2:$C$1001,2130),IF(4130&lt;=4000,INDEX($D$2:$D$1001,1130),IF(4130&lt;=5000,INDEX($E$2:$E$1001,130),"")))))</f>
        <v/>
      </c>
    </row>
    <row r="4132">
      <c r="G4132">
        <f>IF(4131&lt;=1000,INDEX($A$2:$A$1001,4131),IF(4131&lt;=2000,INDEX($B$2:$B$1001,3131),IF(4131&lt;=3000,INDEX($C$2:$C$1001,2131),IF(4131&lt;=4000,INDEX($D$2:$D$1001,1131),IF(4131&lt;=5000,INDEX($E$2:$E$1001,131),"")))))</f>
        <v/>
      </c>
    </row>
    <row r="4133">
      <c r="G4133">
        <f>IF(4132&lt;=1000,INDEX($A$2:$A$1001,4132),IF(4132&lt;=2000,INDEX($B$2:$B$1001,3132),IF(4132&lt;=3000,INDEX($C$2:$C$1001,2132),IF(4132&lt;=4000,INDEX($D$2:$D$1001,1132),IF(4132&lt;=5000,INDEX($E$2:$E$1001,132),"")))))</f>
        <v/>
      </c>
    </row>
    <row r="4134">
      <c r="G4134">
        <f>IF(4133&lt;=1000,INDEX($A$2:$A$1001,4133),IF(4133&lt;=2000,INDEX($B$2:$B$1001,3133),IF(4133&lt;=3000,INDEX($C$2:$C$1001,2133),IF(4133&lt;=4000,INDEX($D$2:$D$1001,1133),IF(4133&lt;=5000,INDEX($E$2:$E$1001,133),"")))))</f>
        <v/>
      </c>
    </row>
    <row r="4135">
      <c r="G4135">
        <f>IF(4134&lt;=1000,INDEX($A$2:$A$1001,4134),IF(4134&lt;=2000,INDEX($B$2:$B$1001,3134),IF(4134&lt;=3000,INDEX($C$2:$C$1001,2134),IF(4134&lt;=4000,INDEX($D$2:$D$1001,1134),IF(4134&lt;=5000,INDEX($E$2:$E$1001,134),"")))))</f>
        <v/>
      </c>
    </row>
    <row r="4136">
      <c r="G4136">
        <f>IF(4135&lt;=1000,INDEX($A$2:$A$1001,4135),IF(4135&lt;=2000,INDEX($B$2:$B$1001,3135),IF(4135&lt;=3000,INDEX($C$2:$C$1001,2135),IF(4135&lt;=4000,INDEX($D$2:$D$1001,1135),IF(4135&lt;=5000,INDEX($E$2:$E$1001,135),"")))))</f>
        <v/>
      </c>
    </row>
    <row r="4137">
      <c r="G4137">
        <f>IF(4136&lt;=1000,INDEX($A$2:$A$1001,4136),IF(4136&lt;=2000,INDEX($B$2:$B$1001,3136),IF(4136&lt;=3000,INDEX($C$2:$C$1001,2136),IF(4136&lt;=4000,INDEX($D$2:$D$1001,1136),IF(4136&lt;=5000,INDEX($E$2:$E$1001,136),"")))))</f>
        <v/>
      </c>
    </row>
    <row r="4138">
      <c r="G4138">
        <f>IF(4137&lt;=1000,INDEX($A$2:$A$1001,4137),IF(4137&lt;=2000,INDEX($B$2:$B$1001,3137),IF(4137&lt;=3000,INDEX($C$2:$C$1001,2137),IF(4137&lt;=4000,INDEX($D$2:$D$1001,1137),IF(4137&lt;=5000,INDEX($E$2:$E$1001,137),"")))))</f>
        <v/>
      </c>
    </row>
    <row r="4139">
      <c r="G4139">
        <f>IF(4138&lt;=1000,INDEX($A$2:$A$1001,4138),IF(4138&lt;=2000,INDEX($B$2:$B$1001,3138),IF(4138&lt;=3000,INDEX($C$2:$C$1001,2138),IF(4138&lt;=4000,INDEX($D$2:$D$1001,1138),IF(4138&lt;=5000,INDEX($E$2:$E$1001,138),"")))))</f>
        <v/>
      </c>
    </row>
    <row r="4140">
      <c r="G4140">
        <f>IF(4139&lt;=1000,INDEX($A$2:$A$1001,4139),IF(4139&lt;=2000,INDEX($B$2:$B$1001,3139),IF(4139&lt;=3000,INDEX($C$2:$C$1001,2139),IF(4139&lt;=4000,INDEX($D$2:$D$1001,1139),IF(4139&lt;=5000,INDEX($E$2:$E$1001,139),"")))))</f>
        <v/>
      </c>
    </row>
    <row r="4141">
      <c r="G4141">
        <f>IF(4140&lt;=1000,INDEX($A$2:$A$1001,4140),IF(4140&lt;=2000,INDEX($B$2:$B$1001,3140),IF(4140&lt;=3000,INDEX($C$2:$C$1001,2140),IF(4140&lt;=4000,INDEX($D$2:$D$1001,1140),IF(4140&lt;=5000,INDEX($E$2:$E$1001,140),"")))))</f>
        <v/>
      </c>
    </row>
    <row r="4142">
      <c r="G4142">
        <f>IF(4141&lt;=1000,INDEX($A$2:$A$1001,4141),IF(4141&lt;=2000,INDEX($B$2:$B$1001,3141),IF(4141&lt;=3000,INDEX($C$2:$C$1001,2141),IF(4141&lt;=4000,INDEX($D$2:$D$1001,1141),IF(4141&lt;=5000,INDEX($E$2:$E$1001,141),"")))))</f>
        <v/>
      </c>
    </row>
    <row r="4143">
      <c r="G4143">
        <f>IF(4142&lt;=1000,INDEX($A$2:$A$1001,4142),IF(4142&lt;=2000,INDEX($B$2:$B$1001,3142),IF(4142&lt;=3000,INDEX($C$2:$C$1001,2142),IF(4142&lt;=4000,INDEX($D$2:$D$1001,1142),IF(4142&lt;=5000,INDEX($E$2:$E$1001,142),"")))))</f>
        <v/>
      </c>
    </row>
    <row r="4144">
      <c r="G4144">
        <f>IF(4143&lt;=1000,INDEX($A$2:$A$1001,4143),IF(4143&lt;=2000,INDEX($B$2:$B$1001,3143),IF(4143&lt;=3000,INDEX($C$2:$C$1001,2143),IF(4143&lt;=4000,INDEX($D$2:$D$1001,1143),IF(4143&lt;=5000,INDEX($E$2:$E$1001,143),"")))))</f>
        <v/>
      </c>
    </row>
    <row r="4145">
      <c r="G4145">
        <f>IF(4144&lt;=1000,INDEX($A$2:$A$1001,4144),IF(4144&lt;=2000,INDEX($B$2:$B$1001,3144),IF(4144&lt;=3000,INDEX($C$2:$C$1001,2144),IF(4144&lt;=4000,INDEX($D$2:$D$1001,1144),IF(4144&lt;=5000,INDEX($E$2:$E$1001,144),"")))))</f>
        <v/>
      </c>
    </row>
    <row r="4146">
      <c r="G4146">
        <f>IF(4145&lt;=1000,INDEX($A$2:$A$1001,4145),IF(4145&lt;=2000,INDEX($B$2:$B$1001,3145),IF(4145&lt;=3000,INDEX($C$2:$C$1001,2145),IF(4145&lt;=4000,INDEX($D$2:$D$1001,1145),IF(4145&lt;=5000,INDEX($E$2:$E$1001,145),"")))))</f>
        <v/>
      </c>
    </row>
    <row r="4147">
      <c r="G4147">
        <f>IF(4146&lt;=1000,INDEX($A$2:$A$1001,4146),IF(4146&lt;=2000,INDEX($B$2:$B$1001,3146),IF(4146&lt;=3000,INDEX($C$2:$C$1001,2146),IF(4146&lt;=4000,INDEX($D$2:$D$1001,1146),IF(4146&lt;=5000,INDEX($E$2:$E$1001,146),"")))))</f>
        <v/>
      </c>
    </row>
    <row r="4148">
      <c r="G4148">
        <f>IF(4147&lt;=1000,INDEX($A$2:$A$1001,4147),IF(4147&lt;=2000,INDEX($B$2:$B$1001,3147),IF(4147&lt;=3000,INDEX($C$2:$C$1001,2147),IF(4147&lt;=4000,INDEX($D$2:$D$1001,1147),IF(4147&lt;=5000,INDEX($E$2:$E$1001,147),"")))))</f>
        <v/>
      </c>
    </row>
    <row r="4149">
      <c r="G4149">
        <f>IF(4148&lt;=1000,INDEX($A$2:$A$1001,4148),IF(4148&lt;=2000,INDEX($B$2:$B$1001,3148),IF(4148&lt;=3000,INDEX($C$2:$C$1001,2148),IF(4148&lt;=4000,INDEX($D$2:$D$1001,1148),IF(4148&lt;=5000,INDEX($E$2:$E$1001,148),"")))))</f>
        <v/>
      </c>
    </row>
    <row r="4150">
      <c r="G4150">
        <f>IF(4149&lt;=1000,INDEX($A$2:$A$1001,4149),IF(4149&lt;=2000,INDEX($B$2:$B$1001,3149),IF(4149&lt;=3000,INDEX($C$2:$C$1001,2149),IF(4149&lt;=4000,INDEX($D$2:$D$1001,1149),IF(4149&lt;=5000,INDEX($E$2:$E$1001,149),"")))))</f>
        <v/>
      </c>
    </row>
    <row r="4151">
      <c r="G4151">
        <f>IF(4150&lt;=1000,INDEX($A$2:$A$1001,4150),IF(4150&lt;=2000,INDEX($B$2:$B$1001,3150),IF(4150&lt;=3000,INDEX($C$2:$C$1001,2150),IF(4150&lt;=4000,INDEX($D$2:$D$1001,1150),IF(4150&lt;=5000,INDEX($E$2:$E$1001,150),"")))))</f>
        <v/>
      </c>
    </row>
    <row r="4152">
      <c r="G4152">
        <f>IF(4151&lt;=1000,INDEX($A$2:$A$1001,4151),IF(4151&lt;=2000,INDEX($B$2:$B$1001,3151),IF(4151&lt;=3000,INDEX($C$2:$C$1001,2151),IF(4151&lt;=4000,INDEX($D$2:$D$1001,1151),IF(4151&lt;=5000,INDEX($E$2:$E$1001,151),"")))))</f>
        <v/>
      </c>
    </row>
    <row r="4153">
      <c r="G4153">
        <f>IF(4152&lt;=1000,INDEX($A$2:$A$1001,4152),IF(4152&lt;=2000,INDEX($B$2:$B$1001,3152),IF(4152&lt;=3000,INDEX($C$2:$C$1001,2152),IF(4152&lt;=4000,INDEX($D$2:$D$1001,1152),IF(4152&lt;=5000,INDEX($E$2:$E$1001,152),"")))))</f>
        <v/>
      </c>
    </row>
    <row r="4154">
      <c r="G4154">
        <f>IF(4153&lt;=1000,INDEX($A$2:$A$1001,4153),IF(4153&lt;=2000,INDEX($B$2:$B$1001,3153),IF(4153&lt;=3000,INDEX($C$2:$C$1001,2153),IF(4153&lt;=4000,INDEX($D$2:$D$1001,1153),IF(4153&lt;=5000,INDEX($E$2:$E$1001,153),"")))))</f>
        <v/>
      </c>
    </row>
    <row r="4155">
      <c r="G4155">
        <f>IF(4154&lt;=1000,INDEX($A$2:$A$1001,4154),IF(4154&lt;=2000,INDEX($B$2:$B$1001,3154),IF(4154&lt;=3000,INDEX($C$2:$C$1001,2154),IF(4154&lt;=4000,INDEX($D$2:$D$1001,1154),IF(4154&lt;=5000,INDEX($E$2:$E$1001,154),"")))))</f>
        <v/>
      </c>
    </row>
    <row r="4156">
      <c r="G4156">
        <f>IF(4155&lt;=1000,INDEX($A$2:$A$1001,4155),IF(4155&lt;=2000,INDEX($B$2:$B$1001,3155),IF(4155&lt;=3000,INDEX($C$2:$C$1001,2155),IF(4155&lt;=4000,INDEX($D$2:$D$1001,1155),IF(4155&lt;=5000,INDEX($E$2:$E$1001,155),"")))))</f>
        <v/>
      </c>
    </row>
    <row r="4157">
      <c r="G4157">
        <f>IF(4156&lt;=1000,INDEX($A$2:$A$1001,4156),IF(4156&lt;=2000,INDEX($B$2:$B$1001,3156),IF(4156&lt;=3000,INDEX($C$2:$C$1001,2156),IF(4156&lt;=4000,INDEX($D$2:$D$1001,1156),IF(4156&lt;=5000,INDEX($E$2:$E$1001,156),"")))))</f>
        <v/>
      </c>
    </row>
    <row r="4158">
      <c r="G4158">
        <f>IF(4157&lt;=1000,INDEX($A$2:$A$1001,4157),IF(4157&lt;=2000,INDEX($B$2:$B$1001,3157),IF(4157&lt;=3000,INDEX($C$2:$C$1001,2157),IF(4157&lt;=4000,INDEX($D$2:$D$1001,1157),IF(4157&lt;=5000,INDEX($E$2:$E$1001,157),"")))))</f>
        <v/>
      </c>
    </row>
    <row r="4159">
      <c r="G4159">
        <f>IF(4158&lt;=1000,INDEX($A$2:$A$1001,4158),IF(4158&lt;=2000,INDEX($B$2:$B$1001,3158),IF(4158&lt;=3000,INDEX($C$2:$C$1001,2158),IF(4158&lt;=4000,INDEX($D$2:$D$1001,1158),IF(4158&lt;=5000,INDEX($E$2:$E$1001,158),"")))))</f>
        <v/>
      </c>
    </row>
    <row r="4160">
      <c r="G4160">
        <f>IF(4159&lt;=1000,INDEX($A$2:$A$1001,4159),IF(4159&lt;=2000,INDEX($B$2:$B$1001,3159),IF(4159&lt;=3000,INDEX($C$2:$C$1001,2159),IF(4159&lt;=4000,INDEX($D$2:$D$1001,1159),IF(4159&lt;=5000,INDEX($E$2:$E$1001,159),"")))))</f>
        <v/>
      </c>
    </row>
    <row r="4161">
      <c r="G4161">
        <f>IF(4160&lt;=1000,INDEX($A$2:$A$1001,4160),IF(4160&lt;=2000,INDEX($B$2:$B$1001,3160),IF(4160&lt;=3000,INDEX($C$2:$C$1001,2160),IF(4160&lt;=4000,INDEX($D$2:$D$1001,1160),IF(4160&lt;=5000,INDEX($E$2:$E$1001,160),"")))))</f>
        <v/>
      </c>
    </row>
    <row r="4162">
      <c r="G4162">
        <f>IF(4161&lt;=1000,INDEX($A$2:$A$1001,4161),IF(4161&lt;=2000,INDEX($B$2:$B$1001,3161),IF(4161&lt;=3000,INDEX($C$2:$C$1001,2161),IF(4161&lt;=4000,INDEX($D$2:$D$1001,1161),IF(4161&lt;=5000,INDEX($E$2:$E$1001,161),"")))))</f>
        <v/>
      </c>
    </row>
    <row r="4163">
      <c r="G4163">
        <f>IF(4162&lt;=1000,INDEX($A$2:$A$1001,4162),IF(4162&lt;=2000,INDEX($B$2:$B$1001,3162),IF(4162&lt;=3000,INDEX($C$2:$C$1001,2162),IF(4162&lt;=4000,INDEX($D$2:$D$1001,1162),IF(4162&lt;=5000,INDEX($E$2:$E$1001,162),"")))))</f>
        <v/>
      </c>
    </row>
    <row r="4164">
      <c r="G4164">
        <f>IF(4163&lt;=1000,INDEX($A$2:$A$1001,4163),IF(4163&lt;=2000,INDEX($B$2:$B$1001,3163),IF(4163&lt;=3000,INDEX($C$2:$C$1001,2163),IF(4163&lt;=4000,INDEX($D$2:$D$1001,1163),IF(4163&lt;=5000,INDEX($E$2:$E$1001,163),"")))))</f>
        <v/>
      </c>
    </row>
    <row r="4165">
      <c r="G4165">
        <f>IF(4164&lt;=1000,INDEX($A$2:$A$1001,4164),IF(4164&lt;=2000,INDEX($B$2:$B$1001,3164),IF(4164&lt;=3000,INDEX($C$2:$C$1001,2164),IF(4164&lt;=4000,INDEX($D$2:$D$1001,1164),IF(4164&lt;=5000,INDEX($E$2:$E$1001,164),"")))))</f>
        <v/>
      </c>
    </row>
    <row r="4166">
      <c r="G4166">
        <f>IF(4165&lt;=1000,INDEX($A$2:$A$1001,4165),IF(4165&lt;=2000,INDEX($B$2:$B$1001,3165),IF(4165&lt;=3000,INDEX($C$2:$C$1001,2165),IF(4165&lt;=4000,INDEX($D$2:$D$1001,1165),IF(4165&lt;=5000,INDEX($E$2:$E$1001,165),"")))))</f>
        <v/>
      </c>
    </row>
    <row r="4167">
      <c r="G4167">
        <f>IF(4166&lt;=1000,INDEX($A$2:$A$1001,4166),IF(4166&lt;=2000,INDEX($B$2:$B$1001,3166),IF(4166&lt;=3000,INDEX($C$2:$C$1001,2166),IF(4166&lt;=4000,INDEX($D$2:$D$1001,1166),IF(4166&lt;=5000,INDEX($E$2:$E$1001,166),"")))))</f>
        <v/>
      </c>
    </row>
    <row r="4168">
      <c r="G4168">
        <f>IF(4167&lt;=1000,INDEX($A$2:$A$1001,4167),IF(4167&lt;=2000,INDEX($B$2:$B$1001,3167),IF(4167&lt;=3000,INDEX($C$2:$C$1001,2167),IF(4167&lt;=4000,INDEX($D$2:$D$1001,1167),IF(4167&lt;=5000,INDEX($E$2:$E$1001,167),"")))))</f>
        <v/>
      </c>
    </row>
    <row r="4169">
      <c r="G4169">
        <f>IF(4168&lt;=1000,INDEX($A$2:$A$1001,4168),IF(4168&lt;=2000,INDEX($B$2:$B$1001,3168),IF(4168&lt;=3000,INDEX($C$2:$C$1001,2168),IF(4168&lt;=4000,INDEX($D$2:$D$1001,1168),IF(4168&lt;=5000,INDEX($E$2:$E$1001,168),"")))))</f>
        <v/>
      </c>
    </row>
    <row r="4170">
      <c r="G4170">
        <f>IF(4169&lt;=1000,INDEX($A$2:$A$1001,4169),IF(4169&lt;=2000,INDEX($B$2:$B$1001,3169),IF(4169&lt;=3000,INDEX($C$2:$C$1001,2169),IF(4169&lt;=4000,INDEX($D$2:$D$1001,1169),IF(4169&lt;=5000,INDEX($E$2:$E$1001,169),"")))))</f>
        <v/>
      </c>
    </row>
    <row r="4171">
      <c r="G4171">
        <f>IF(4170&lt;=1000,INDEX($A$2:$A$1001,4170),IF(4170&lt;=2000,INDEX($B$2:$B$1001,3170),IF(4170&lt;=3000,INDEX($C$2:$C$1001,2170),IF(4170&lt;=4000,INDEX($D$2:$D$1001,1170),IF(4170&lt;=5000,INDEX($E$2:$E$1001,170),"")))))</f>
        <v/>
      </c>
    </row>
    <row r="4172">
      <c r="G4172">
        <f>IF(4171&lt;=1000,INDEX($A$2:$A$1001,4171),IF(4171&lt;=2000,INDEX($B$2:$B$1001,3171),IF(4171&lt;=3000,INDEX($C$2:$C$1001,2171),IF(4171&lt;=4000,INDEX($D$2:$D$1001,1171),IF(4171&lt;=5000,INDEX($E$2:$E$1001,171),"")))))</f>
        <v/>
      </c>
    </row>
    <row r="4173">
      <c r="G4173">
        <f>IF(4172&lt;=1000,INDEX($A$2:$A$1001,4172),IF(4172&lt;=2000,INDEX($B$2:$B$1001,3172),IF(4172&lt;=3000,INDEX($C$2:$C$1001,2172),IF(4172&lt;=4000,INDEX($D$2:$D$1001,1172),IF(4172&lt;=5000,INDEX($E$2:$E$1001,172),"")))))</f>
        <v/>
      </c>
    </row>
    <row r="4174">
      <c r="G4174">
        <f>IF(4173&lt;=1000,INDEX($A$2:$A$1001,4173),IF(4173&lt;=2000,INDEX($B$2:$B$1001,3173),IF(4173&lt;=3000,INDEX($C$2:$C$1001,2173),IF(4173&lt;=4000,INDEX($D$2:$D$1001,1173),IF(4173&lt;=5000,INDEX($E$2:$E$1001,173),"")))))</f>
        <v/>
      </c>
    </row>
    <row r="4175">
      <c r="G4175">
        <f>IF(4174&lt;=1000,INDEX($A$2:$A$1001,4174),IF(4174&lt;=2000,INDEX($B$2:$B$1001,3174),IF(4174&lt;=3000,INDEX($C$2:$C$1001,2174),IF(4174&lt;=4000,INDEX($D$2:$D$1001,1174),IF(4174&lt;=5000,INDEX($E$2:$E$1001,174),"")))))</f>
        <v/>
      </c>
    </row>
    <row r="4176">
      <c r="G4176">
        <f>IF(4175&lt;=1000,INDEX($A$2:$A$1001,4175),IF(4175&lt;=2000,INDEX($B$2:$B$1001,3175),IF(4175&lt;=3000,INDEX($C$2:$C$1001,2175),IF(4175&lt;=4000,INDEX($D$2:$D$1001,1175),IF(4175&lt;=5000,INDEX($E$2:$E$1001,175),"")))))</f>
        <v/>
      </c>
    </row>
    <row r="4177">
      <c r="G4177">
        <f>IF(4176&lt;=1000,INDEX($A$2:$A$1001,4176),IF(4176&lt;=2000,INDEX($B$2:$B$1001,3176),IF(4176&lt;=3000,INDEX($C$2:$C$1001,2176),IF(4176&lt;=4000,INDEX($D$2:$D$1001,1176),IF(4176&lt;=5000,INDEX($E$2:$E$1001,176),"")))))</f>
        <v/>
      </c>
    </row>
    <row r="4178">
      <c r="G4178">
        <f>IF(4177&lt;=1000,INDEX($A$2:$A$1001,4177),IF(4177&lt;=2000,INDEX($B$2:$B$1001,3177),IF(4177&lt;=3000,INDEX($C$2:$C$1001,2177),IF(4177&lt;=4000,INDEX($D$2:$D$1001,1177),IF(4177&lt;=5000,INDEX($E$2:$E$1001,177),"")))))</f>
        <v/>
      </c>
    </row>
    <row r="4179">
      <c r="G4179">
        <f>IF(4178&lt;=1000,INDEX($A$2:$A$1001,4178),IF(4178&lt;=2000,INDEX($B$2:$B$1001,3178),IF(4178&lt;=3000,INDEX($C$2:$C$1001,2178),IF(4178&lt;=4000,INDEX($D$2:$D$1001,1178),IF(4178&lt;=5000,INDEX($E$2:$E$1001,178),"")))))</f>
        <v/>
      </c>
    </row>
    <row r="4180">
      <c r="G4180">
        <f>IF(4179&lt;=1000,INDEX($A$2:$A$1001,4179),IF(4179&lt;=2000,INDEX($B$2:$B$1001,3179),IF(4179&lt;=3000,INDEX($C$2:$C$1001,2179),IF(4179&lt;=4000,INDEX($D$2:$D$1001,1179),IF(4179&lt;=5000,INDEX($E$2:$E$1001,179),"")))))</f>
        <v/>
      </c>
    </row>
    <row r="4181">
      <c r="G4181">
        <f>IF(4180&lt;=1000,INDEX($A$2:$A$1001,4180),IF(4180&lt;=2000,INDEX($B$2:$B$1001,3180),IF(4180&lt;=3000,INDEX($C$2:$C$1001,2180),IF(4180&lt;=4000,INDEX($D$2:$D$1001,1180),IF(4180&lt;=5000,INDEX($E$2:$E$1001,180),"")))))</f>
        <v/>
      </c>
    </row>
    <row r="4182">
      <c r="G4182">
        <f>IF(4181&lt;=1000,INDEX($A$2:$A$1001,4181),IF(4181&lt;=2000,INDEX($B$2:$B$1001,3181),IF(4181&lt;=3000,INDEX($C$2:$C$1001,2181),IF(4181&lt;=4000,INDEX($D$2:$D$1001,1181),IF(4181&lt;=5000,INDEX($E$2:$E$1001,181),"")))))</f>
        <v/>
      </c>
    </row>
    <row r="4183">
      <c r="G4183">
        <f>IF(4182&lt;=1000,INDEX($A$2:$A$1001,4182),IF(4182&lt;=2000,INDEX($B$2:$B$1001,3182),IF(4182&lt;=3000,INDEX($C$2:$C$1001,2182),IF(4182&lt;=4000,INDEX($D$2:$D$1001,1182),IF(4182&lt;=5000,INDEX($E$2:$E$1001,182),"")))))</f>
        <v/>
      </c>
    </row>
    <row r="4184">
      <c r="G4184">
        <f>IF(4183&lt;=1000,INDEX($A$2:$A$1001,4183),IF(4183&lt;=2000,INDEX($B$2:$B$1001,3183),IF(4183&lt;=3000,INDEX($C$2:$C$1001,2183),IF(4183&lt;=4000,INDEX($D$2:$D$1001,1183),IF(4183&lt;=5000,INDEX($E$2:$E$1001,183),"")))))</f>
        <v/>
      </c>
    </row>
    <row r="4185">
      <c r="G4185">
        <f>IF(4184&lt;=1000,INDEX($A$2:$A$1001,4184),IF(4184&lt;=2000,INDEX($B$2:$B$1001,3184),IF(4184&lt;=3000,INDEX($C$2:$C$1001,2184),IF(4184&lt;=4000,INDEX($D$2:$D$1001,1184),IF(4184&lt;=5000,INDEX($E$2:$E$1001,184),"")))))</f>
        <v/>
      </c>
    </row>
    <row r="4186">
      <c r="G4186">
        <f>IF(4185&lt;=1000,INDEX($A$2:$A$1001,4185),IF(4185&lt;=2000,INDEX($B$2:$B$1001,3185),IF(4185&lt;=3000,INDEX($C$2:$C$1001,2185),IF(4185&lt;=4000,INDEX($D$2:$D$1001,1185),IF(4185&lt;=5000,INDEX($E$2:$E$1001,185),"")))))</f>
        <v/>
      </c>
    </row>
    <row r="4187">
      <c r="G4187">
        <f>IF(4186&lt;=1000,INDEX($A$2:$A$1001,4186),IF(4186&lt;=2000,INDEX($B$2:$B$1001,3186),IF(4186&lt;=3000,INDEX($C$2:$C$1001,2186),IF(4186&lt;=4000,INDEX($D$2:$D$1001,1186),IF(4186&lt;=5000,INDEX($E$2:$E$1001,186),"")))))</f>
        <v/>
      </c>
    </row>
    <row r="4188">
      <c r="G4188">
        <f>IF(4187&lt;=1000,INDEX($A$2:$A$1001,4187),IF(4187&lt;=2000,INDEX($B$2:$B$1001,3187),IF(4187&lt;=3000,INDEX($C$2:$C$1001,2187),IF(4187&lt;=4000,INDEX($D$2:$D$1001,1187),IF(4187&lt;=5000,INDEX($E$2:$E$1001,187),"")))))</f>
        <v/>
      </c>
    </row>
    <row r="4189">
      <c r="G4189">
        <f>IF(4188&lt;=1000,INDEX($A$2:$A$1001,4188),IF(4188&lt;=2000,INDEX($B$2:$B$1001,3188),IF(4188&lt;=3000,INDEX($C$2:$C$1001,2188),IF(4188&lt;=4000,INDEX($D$2:$D$1001,1188),IF(4188&lt;=5000,INDEX($E$2:$E$1001,188),"")))))</f>
        <v/>
      </c>
    </row>
    <row r="4190">
      <c r="G4190">
        <f>IF(4189&lt;=1000,INDEX($A$2:$A$1001,4189),IF(4189&lt;=2000,INDEX($B$2:$B$1001,3189),IF(4189&lt;=3000,INDEX($C$2:$C$1001,2189),IF(4189&lt;=4000,INDEX($D$2:$D$1001,1189),IF(4189&lt;=5000,INDEX($E$2:$E$1001,189),"")))))</f>
        <v/>
      </c>
    </row>
    <row r="4191">
      <c r="G4191">
        <f>IF(4190&lt;=1000,INDEX($A$2:$A$1001,4190),IF(4190&lt;=2000,INDEX($B$2:$B$1001,3190),IF(4190&lt;=3000,INDEX($C$2:$C$1001,2190),IF(4190&lt;=4000,INDEX($D$2:$D$1001,1190),IF(4190&lt;=5000,INDEX($E$2:$E$1001,190),"")))))</f>
        <v/>
      </c>
    </row>
    <row r="4192">
      <c r="G4192">
        <f>IF(4191&lt;=1000,INDEX($A$2:$A$1001,4191),IF(4191&lt;=2000,INDEX($B$2:$B$1001,3191),IF(4191&lt;=3000,INDEX($C$2:$C$1001,2191),IF(4191&lt;=4000,INDEX($D$2:$D$1001,1191),IF(4191&lt;=5000,INDEX($E$2:$E$1001,191),"")))))</f>
        <v/>
      </c>
    </row>
    <row r="4193">
      <c r="G4193">
        <f>IF(4192&lt;=1000,INDEX($A$2:$A$1001,4192),IF(4192&lt;=2000,INDEX($B$2:$B$1001,3192),IF(4192&lt;=3000,INDEX($C$2:$C$1001,2192),IF(4192&lt;=4000,INDEX($D$2:$D$1001,1192),IF(4192&lt;=5000,INDEX($E$2:$E$1001,192),"")))))</f>
        <v/>
      </c>
    </row>
    <row r="4194">
      <c r="G4194">
        <f>IF(4193&lt;=1000,INDEX($A$2:$A$1001,4193),IF(4193&lt;=2000,INDEX($B$2:$B$1001,3193),IF(4193&lt;=3000,INDEX($C$2:$C$1001,2193),IF(4193&lt;=4000,INDEX($D$2:$D$1001,1193),IF(4193&lt;=5000,INDEX($E$2:$E$1001,193),"")))))</f>
        <v/>
      </c>
    </row>
    <row r="4195">
      <c r="G4195">
        <f>IF(4194&lt;=1000,INDEX($A$2:$A$1001,4194),IF(4194&lt;=2000,INDEX($B$2:$B$1001,3194),IF(4194&lt;=3000,INDEX($C$2:$C$1001,2194),IF(4194&lt;=4000,INDEX($D$2:$D$1001,1194),IF(4194&lt;=5000,INDEX($E$2:$E$1001,194),"")))))</f>
        <v/>
      </c>
    </row>
    <row r="4196">
      <c r="G4196">
        <f>IF(4195&lt;=1000,INDEX($A$2:$A$1001,4195),IF(4195&lt;=2000,INDEX($B$2:$B$1001,3195),IF(4195&lt;=3000,INDEX($C$2:$C$1001,2195),IF(4195&lt;=4000,INDEX($D$2:$D$1001,1195),IF(4195&lt;=5000,INDEX($E$2:$E$1001,195),"")))))</f>
        <v/>
      </c>
    </row>
    <row r="4197">
      <c r="G4197">
        <f>IF(4196&lt;=1000,INDEX($A$2:$A$1001,4196),IF(4196&lt;=2000,INDEX($B$2:$B$1001,3196),IF(4196&lt;=3000,INDEX($C$2:$C$1001,2196),IF(4196&lt;=4000,INDEX($D$2:$D$1001,1196),IF(4196&lt;=5000,INDEX($E$2:$E$1001,196),"")))))</f>
        <v/>
      </c>
    </row>
    <row r="4198">
      <c r="G4198">
        <f>IF(4197&lt;=1000,INDEX($A$2:$A$1001,4197),IF(4197&lt;=2000,INDEX($B$2:$B$1001,3197),IF(4197&lt;=3000,INDEX($C$2:$C$1001,2197),IF(4197&lt;=4000,INDEX($D$2:$D$1001,1197),IF(4197&lt;=5000,INDEX($E$2:$E$1001,197),"")))))</f>
        <v/>
      </c>
    </row>
    <row r="4199">
      <c r="G4199">
        <f>IF(4198&lt;=1000,INDEX($A$2:$A$1001,4198),IF(4198&lt;=2000,INDEX($B$2:$B$1001,3198),IF(4198&lt;=3000,INDEX($C$2:$C$1001,2198),IF(4198&lt;=4000,INDEX($D$2:$D$1001,1198),IF(4198&lt;=5000,INDEX($E$2:$E$1001,198),"")))))</f>
        <v/>
      </c>
    </row>
    <row r="4200">
      <c r="G4200">
        <f>IF(4199&lt;=1000,INDEX($A$2:$A$1001,4199),IF(4199&lt;=2000,INDEX($B$2:$B$1001,3199),IF(4199&lt;=3000,INDEX($C$2:$C$1001,2199),IF(4199&lt;=4000,INDEX($D$2:$D$1001,1199),IF(4199&lt;=5000,INDEX($E$2:$E$1001,199),"")))))</f>
        <v/>
      </c>
    </row>
    <row r="4201">
      <c r="G4201">
        <f>IF(4200&lt;=1000,INDEX($A$2:$A$1001,4200),IF(4200&lt;=2000,INDEX($B$2:$B$1001,3200),IF(4200&lt;=3000,INDEX($C$2:$C$1001,2200),IF(4200&lt;=4000,INDEX($D$2:$D$1001,1200),IF(4200&lt;=5000,INDEX($E$2:$E$1001,200),"")))))</f>
        <v/>
      </c>
    </row>
    <row r="4202">
      <c r="G4202">
        <f>IF(4201&lt;=1000,INDEX($A$2:$A$1001,4201),IF(4201&lt;=2000,INDEX($B$2:$B$1001,3201),IF(4201&lt;=3000,INDEX($C$2:$C$1001,2201),IF(4201&lt;=4000,INDEX($D$2:$D$1001,1201),IF(4201&lt;=5000,INDEX($E$2:$E$1001,201),"")))))</f>
        <v/>
      </c>
    </row>
    <row r="4203">
      <c r="G4203">
        <f>IF(4202&lt;=1000,INDEX($A$2:$A$1001,4202),IF(4202&lt;=2000,INDEX($B$2:$B$1001,3202),IF(4202&lt;=3000,INDEX($C$2:$C$1001,2202),IF(4202&lt;=4000,INDEX($D$2:$D$1001,1202),IF(4202&lt;=5000,INDEX($E$2:$E$1001,202),"")))))</f>
        <v/>
      </c>
    </row>
    <row r="4204">
      <c r="G4204">
        <f>IF(4203&lt;=1000,INDEX($A$2:$A$1001,4203),IF(4203&lt;=2000,INDEX($B$2:$B$1001,3203),IF(4203&lt;=3000,INDEX($C$2:$C$1001,2203),IF(4203&lt;=4000,INDEX($D$2:$D$1001,1203),IF(4203&lt;=5000,INDEX($E$2:$E$1001,203),"")))))</f>
        <v/>
      </c>
    </row>
    <row r="4205">
      <c r="G4205">
        <f>IF(4204&lt;=1000,INDEX($A$2:$A$1001,4204),IF(4204&lt;=2000,INDEX($B$2:$B$1001,3204),IF(4204&lt;=3000,INDEX($C$2:$C$1001,2204),IF(4204&lt;=4000,INDEX($D$2:$D$1001,1204),IF(4204&lt;=5000,INDEX($E$2:$E$1001,204),"")))))</f>
        <v/>
      </c>
    </row>
    <row r="4206">
      <c r="G4206">
        <f>IF(4205&lt;=1000,INDEX($A$2:$A$1001,4205),IF(4205&lt;=2000,INDEX($B$2:$B$1001,3205),IF(4205&lt;=3000,INDEX($C$2:$C$1001,2205),IF(4205&lt;=4000,INDEX($D$2:$D$1001,1205),IF(4205&lt;=5000,INDEX($E$2:$E$1001,205),"")))))</f>
        <v/>
      </c>
    </row>
    <row r="4207">
      <c r="G4207">
        <f>IF(4206&lt;=1000,INDEX($A$2:$A$1001,4206),IF(4206&lt;=2000,INDEX($B$2:$B$1001,3206),IF(4206&lt;=3000,INDEX($C$2:$C$1001,2206),IF(4206&lt;=4000,INDEX($D$2:$D$1001,1206),IF(4206&lt;=5000,INDEX($E$2:$E$1001,206),"")))))</f>
        <v/>
      </c>
    </row>
    <row r="4208">
      <c r="G4208">
        <f>IF(4207&lt;=1000,INDEX($A$2:$A$1001,4207),IF(4207&lt;=2000,INDEX($B$2:$B$1001,3207),IF(4207&lt;=3000,INDEX($C$2:$C$1001,2207),IF(4207&lt;=4000,INDEX($D$2:$D$1001,1207),IF(4207&lt;=5000,INDEX($E$2:$E$1001,207),"")))))</f>
        <v/>
      </c>
    </row>
    <row r="4209">
      <c r="G4209">
        <f>IF(4208&lt;=1000,INDEX($A$2:$A$1001,4208),IF(4208&lt;=2000,INDEX($B$2:$B$1001,3208),IF(4208&lt;=3000,INDEX($C$2:$C$1001,2208),IF(4208&lt;=4000,INDEX($D$2:$D$1001,1208),IF(4208&lt;=5000,INDEX($E$2:$E$1001,208),"")))))</f>
        <v/>
      </c>
    </row>
    <row r="4210">
      <c r="G4210">
        <f>IF(4209&lt;=1000,INDEX($A$2:$A$1001,4209),IF(4209&lt;=2000,INDEX($B$2:$B$1001,3209),IF(4209&lt;=3000,INDEX($C$2:$C$1001,2209),IF(4209&lt;=4000,INDEX($D$2:$D$1001,1209),IF(4209&lt;=5000,INDEX($E$2:$E$1001,209),"")))))</f>
        <v/>
      </c>
    </row>
    <row r="4211">
      <c r="G4211">
        <f>IF(4210&lt;=1000,INDEX($A$2:$A$1001,4210),IF(4210&lt;=2000,INDEX($B$2:$B$1001,3210),IF(4210&lt;=3000,INDEX($C$2:$C$1001,2210),IF(4210&lt;=4000,INDEX($D$2:$D$1001,1210),IF(4210&lt;=5000,INDEX($E$2:$E$1001,210),"")))))</f>
        <v/>
      </c>
    </row>
    <row r="4212">
      <c r="G4212">
        <f>IF(4211&lt;=1000,INDEX($A$2:$A$1001,4211),IF(4211&lt;=2000,INDEX($B$2:$B$1001,3211),IF(4211&lt;=3000,INDEX($C$2:$C$1001,2211),IF(4211&lt;=4000,INDEX($D$2:$D$1001,1211),IF(4211&lt;=5000,INDEX($E$2:$E$1001,211),"")))))</f>
        <v/>
      </c>
    </row>
    <row r="4213">
      <c r="G4213">
        <f>IF(4212&lt;=1000,INDEX($A$2:$A$1001,4212),IF(4212&lt;=2000,INDEX($B$2:$B$1001,3212),IF(4212&lt;=3000,INDEX($C$2:$C$1001,2212),IF(4212&lt;=4000,INDEX($D$2:$D$1001,1212),IF(4212&lt;=5000,INDEX($E$2:$E$1001,212),"")))))</f>
        <v/>
      </c>
    </row>
    <row r="4214">
      <c r="G4214">
        <f>IF(4213&lt;=1000,INDEX($A$2:$A$1001,4213),IF(4213&lt;=2000,INDEX($B$2:$B$1001,3213),IF(4213&lt;=3000,INDEX($C$2:$C$1001,2213),IF(4213&lt;=4000,INDEX($D$2:$D$1001,1213),IF(4213&lt;=5000,INDEX($E$2:$E$1001,213),"")))))</f>
        <v/>
      </c>
    </row>
    <row r="4215">
      <c r="G4215">
        <f>IF(4214&lt;=1000,INDEX($A$2:$A$1001,4214),IF(4214&lt;=2000,INDEX($B$2:$B$1001,3214),IF(4214&lt;=3000,INDEX($C$2:$C$1001,2214),IF(4214&lt;=4000,INDEX($D$2:$D$1001,1214),IF(4214&lt;=5000,INDEX($E$2:$E$1001,214),"")))))</f>
        <v/>
      </c>
    </row>
    <row r="4216">
      <c r="G4216">
        <f>IF(4215&lt;=1000,INDEX($A$2:$A$1001,4215),IF(4215&lt;=2000,INDEX($B$2:$B$1001,3215),IF(4215&lt;=3000,INDEX($C$2:$C$1001,2215),IF(4215&lt;=4000,INDEX($D$2:$D$1001,1215),IF(4215&lt;=5000,INDEX($E$2:$E$1001,215),"")))))</f>
        <v/>
      </c>
    </row>
    <row r="4217">
      <c r="G4217">
        <f>IF(4216&lt;=1000,INDEX($A$2:$A$1001,4216),IF(4216&lt;=2000,INDEX($B$2:$B$1001,3216),IF(4216&lt;=3000,INDEX($C$2:$C$1001,2216),IF(4216&lt;=4000,INDEX($D$2:$D$1001,1216),IF(4216&lt;=5000,INDEX($E$2:$E$1001,216),"")))))</f>
        <v/>
      </c>
    </row>
    <row r="4218">
      <c r="G4218">
        <f>IF(4217&lt;=1000,INDEX($A$2:$A$1001,4217),IF(4217&lt;=2000,INDEX($B$2:$B$1001,3217),IF(4217&lt;=3000,INDEX($C$2:$C$1001,2217),IF(4217&lt;=4000,INDEX($D$2:$D$1001,1217),IF(4217&lt;=5000,INDEX($E$2:$E$1001,217),"")))))</f>
        <v/>
      </c>
    </row>
    <row r="4219">
      <c r="G4219">
        <f>IF(4218&lt;=1000,INDEX($A$2:$A$1001,4218),IF(4218&lt;=2000,INDEX($B$2:$B$1001,3218),IF(4218&lt;=3000,INDEX($C$2:$C$1001,2218),IF(4218&lt;=4000,INDEX($D$2:$D$1001,1218),IF(4218&lt;=5000,INDEX($E$2:$E$1001,218),"")))))</f>
        <v/>
      </c>
    </row>
    <row r="4220">
      <c r="G4220">
        <f>IF(4219&lt;=1000,INDEX($A$2:$A$1001,4219),IF(4219&lt;=2000,INDEX($B$2:$B$1001,3219),IF(4219&lt;=3000,INDEX($C$2:$C$1001,2219),IF(4219&lt;=4000,INDEX($D$2:$D$1001,1219),IF(4219&lt;=5000,INDEX($E$2:$E$1001,219),"")))))</f>
        <v/>
      </c>
    </row>
    <row r="4221">
      <c r="G4221">
        <f>IF(4220&lt;=1000,INDEX($A$2:$A$1001,4220),IF(4220&lt;=2000,INDEX($B$2:$B$1001,3220),IF(4220&lt;=3000,INDEX($C$2:$C$1001,2220),IF(4220&lt;=4000,INDEX($D$2:$D$1001,1220),IF(4220&lt;=5000,INDEX($E$2:$E$1001,220),"")))))</f>
        <v/>
      </c>
    </row>
    <row r="4222">
      <c r="G4222">
        <f>IF(4221&lt;=1000,INDEX($A$2:$A$1001,4221),IF(4221&lt;=2000,INDEX($B$2:$B$1001,3221),IF(4221&lt;=3000,INDEX($C$2:$C$1001,2221),IF(4221&lt;=4000,INDEX($D$2:$D$1001,1221),IF(4221&lt;=5000,INDEX($E$2:$E$1001,221),"")))))</f>
        <v/>
      </c>
    </row>
    <row r="4223">
      <c r="G4223">
        <f>IF(4222&lt;=1000,INDEX($A$2:$A$1001,4222),IF(4222&lt;=2000,INDEX($B$2:$B$1001,3222),IF(4222&lt;=3000,INDEX($C$2:$C$1001,2222),IF(4222&lt;=4000,INDEX($D$2:$D$1001,1222),IF(4222&lt;=5000,INDEX($E$2:$E$1001,222),"")))))</f>
        <v/>
      </c>
    </row>
    <row r="4224">
      <c r="G4224">
        <f>IF(4223&lt;=1000,INDEX($A$2:$A$1001,4223),IF(4223&lt;=2000,INDEX($B$2:$B$1001,3223),IF(4223&lt;=3000,INDEX($C$2:$C$1001,2223),IF(4223&lt;=4000,INDEX($D$2:$D$1001,1223),IF(4223&lt;=5000,INDEX($E$2:$E$1001,223),"")))))</f>
        <v/>
      </c>
    </row>
    <row r="4225">
      <c r="G4225">
        <f>IF(4224&lt;=1000,INDEX($A$2:$A$1001,4224),IF(4224&lt;=2000,INDEX($B$2:$B$1001,3224),IF(4224&lt;=3000,INDEX($C$2:$C$1001,2224),IF(4224&lt;=4000,INDEX($D$2:$D$1001,1224),IF(4224&lt;=5000,INDEX($E$2:$E$1001,224),"")))))</f>
        <v/>
      </c>
    </row>
    <row r="4226">
      <c r="G4226">
        <f>IF(4225&lt;=1000,INDEX($A$2:$A$1001,4225),IF(4225&lt;=2000,INDEX($B$2:$B$1001,3225),IF(4225&lt;=3000,INDEX($C$2:$C$1001,2225),IF(4225&lt;=4000,INDEX($D$2:$D$1001,1225),IF(4225&lt;=5000,INDEX($E$2:$E$1001,225),"")))))</f>
        <v/>
      </c>
    </row>
    <row r="4227">
      <c r="G4227">
        <f>IF(4226&lt;=1000,INDEX($A$2:$A$1001,4226),IF(4226&lt;=2000,INDEX($B$2:$B$1001,3226),IF(4226&lt;=3000,INDEX($C$2:$C$1001,2226),IF(4226&lt;=4000,INDEX($D$2:$D$1001,1226),IF(4226&lt;=5000,INDEX($E$2:$E$1001,226),"")))))</f>
        <v/>
      </c>
    </row>
    <row r="4228">
      <c r="G4228">
        <f>IF(4227&lt;=1000,INDEX($A$2:$A$1001,4227),IF(4227&lt;=2000,INDEX($B$2:$B$1001,3227),IF(4227&lt;=3000,INDEX($C$2:$C$1001,2227),IF(4227&lt;=4000,INDEX($D$2:$D$1001,1227),IF(4227&lt;=5000,INDEX($E$2:$E$1001,227),"")))))</f>
        <v/>
      </c>
    </row>
    <row r="4229">
      <c r="G4229">
        <f>IF(4228&lt;=1000,INDEX($A$2:$A$1001,4228),IF(4228&lt;=2000,INDEX($B$2:$B$1001,3228),IF(4228&lt;=3000,INDEX($C$2:$C$1001,2228),IF(4228&lt;=4000,INDEX($D$2:$D$1001,1228),IF(4228&lt;=5000,INDEX($E$2:$E$1001,228),"")))))</f>
        <v/>
      </c>
    </row>
    <row r="4230">
      <c r="G4230">
        <f>IF(4229&lt;=1000,INDEX($A$2:$A$1001,4229),IF(4229&lt;=2000,INDEX($B$2:$B$1001,3229),IF(4229&lt;=3000,INDEX($C$2:$C$1001,2229),IF(4229&lt;=4000,INDEX($D$2:$D$1001,1229),IF(4229&lt;=5000,INDEX($E$2:$E$1001,229),"")))))</f>
        <v/>
      </c>
    </row>
    <row r="4231">
      <c r="G4231">
        <f>IF(4230&lt;=1000,INDEX($A$2:$A$1001,4230),IF(4230&lt;=2000,INDEX($B$2:$B$1001,3230),IF(4230&lt;=3000,INDEX($C$2:$C$1001,2230),IF(4230&lt;=4000,INDEX($D$2:$D$1001,1230),IF(4230&lt;=5000,INDEX($E$2:$E$1001,230),"")))))</f>
        <v/>
      </c>
    </row>
    <row r="4232">
      <c r="G4232">
        <f>IF(4231&lt;=1000,INDEX($A$2:$A$1001,4231),IF(4231&lt;=2000,INDEX($B$2:$B$1001,3231),IF(4231&lt;=3000,INDEX($C$2:$C$1001,2231),IF(4231&lt;=4000,INDEX($D$2:$D$1001,1231),IF(4231&lt;=5000,INDEX($E$2:$E$1001,231),"")))))</f>
        <v/>
      </c>
    </row>
    <row r="4233">
      <c r="G4233">
        <f>IF(4232&lt;=1000,INDEX($A$2:$A$1001,4232),IF(4232&lt;=2000,INDEX($B$2:$B$1001,3232),IF(4232&lt;=3000,INDEX($C$2:$C$1001,2232),IF(4232&lt;=4000,INDEX($D$2:$D$1001,1232),IF(4232&lt;=5000,INDEX($E$2:$E$1001,232),"")))))</f>
        <v/>
      </c>
    </row>
    <row r="4234">
      <c r="G4234">
        <f>IF(4233&lt;=1000,INDEX($A$2:$A$1001,4233),IF(4233&lt;=2000,INDEX($B$2:$B$1001,3233),IF(4233&lt;=3000,INDEX($C$2:$C$1001,2233),IF(4233&lt;=4000,INDEX($D$2:$D$1001,1233),IF(4233&lt;=5000,INDEX($E$2:$E$1001,233),"")))))</f>
        <v/>
      </c>
    </row>
    <row r="4235">
      <c r="G4235">
        <f>IF(4234&lt;=1000,INDEX($A$2:$A$1001,4234),IF(4234&lt;=2000,INDEX($B$2:$B$1001,3234),IF(4234&lt;=3000,INDEX($C$2:$C$1001,2234),IF(4234&lt;=4000,INDEX($D$2:$D$1001,1234),IF(4234&lt;=5000,INDEX($E$2:$E$1001,234),"")))))</f>
        <v/>
      </c>
    </row>
    <row r="4236">
      <c r="G4236">
        <f>IF(4235&lt;=1000,INDEX($A$2:$A$1001,4235),IF(4235&lt;=2000,INDEX($B$2:$B$1001,3235),IF(4235&lt;=3000,INDEX($C$2:$C$1001,2235),IF(4235&lt;=4000,INDEX($D$2:$D$1001,1235),IF(4235&lt;=5000,INDEX($E$2:$E$1001,235),"")))))</f>
        <v/>
      </c>
    </row>
    <row r="4237">
      <c r="G4237">
        <f>IF(4236&lt;=1000,INDEX($A$2:$A$1001,4236),IF(4236&lt;=2000,INDEX($B$2:$B$1001,3236),IF(4236&lt;=3000,INDEX($C$2:$C$1001,2236),IF(4236&lt;=4000,INDEX($D$2:$D$1001,1236),IF(4236&lt;=5000,INDEX($E$2:$E$1001,236),"")))))</f>
        <v/>
      </c>
    </row>
    <row r="4238">
      <c r="G4238">
        <f>IF(4237&lt;=1000,INDEX($A$2:$A$1001,4237),IF(4237&lt;=2000,INDEX($B$2:$B$1001,3237),IF(4237&lt;=3000,INDEX($C$2:$C$1001,2237),IF(4237&lt;=4000,INDEX($D$2:$D$1001,1237),IF(4237&lt;=5000,INDEX($E$2:$E$1001,237),"")))))</f>
        <v/>
      </c>
    </row>
    <row r="4239">
      <c r="G4239">
        <f>IF(4238&lt;=1000,INDEX($A$2:$A$1001,4238),IF(4238&lt;=2000,INDEX($B$2:$B$1001,3238),IF(4238&lt;=3000,INDEX($C$2:$C$1001,2238),IF(4238&lt;=4000,INDEX($D$2:$D$1001,1238),IF(4238&lt;=5000,INDEX($E$2:$E$1001,238),"")))))</f>
        <v/>
      </c>
    </row>
    <row r="4240">
      <c r="G4240">
        <f>IF(4239&lt;=1000,INDEX($A$2:$A$1001,4239),IF(4239&lt;=2000,INDEX($B$2:$B$1001,3239),IF(4239&lt;=3000,INDEX($C$2:$C$1001,2239),IF(4239&lt;=4000,INDEX($D$2:$D$1001,1239),IF(4239&lt;=5000,INDEX($E$2:$E$1001,239),"")))))</f>
        <v/>
      </c>
    </row>
    <row r="4241">
      <c r="G4241">
        <f>IF(4240&lt;=1000,INDEX($A$2:$A$1001,4240),IF(4240&lt;=2000,INDEX($B$2:$B$1001,3240),IF(4240&lt;=3000,INDEX($C$2:$C$1001,2240),IF(4240&lt;=4000,INDEX($D$2:$D$1001,1240),IF(4240&lt;=5000,INDEX($E$2:$E$1001,240),"")))))</f>
        <v/>
      </c>
    </row>
    <row r="4242">
      <c r="G4242">
        <f>IF(4241&lt;=1000,INDEX($A$2:$A$1001,4241),IF(4241&lt;=2000,INDEX($B$2:$B$1001,3241),IF(4241&lt;=3000,INDEX($C$2:$C$1001,2241),IF(4241&lt;=4000,INDEX($D$2:$D$1001,1241),IF(4241&lt;=5000,INDEX($E$2:$E$1001,241),"")))))</f>
        <v/>
      </c>
    </row>
    <row r="4243">
      <c r="G4243">
        <f>IF(4242&lt;=1000,INDEX($A$2:$A$1001,4242),IF(4242&lt;=2000,INDEX($B$2:$B$1001,3242),IF(4242&lt;=3000,INDEX($C$2:$C$1001,2242),IF(4242&lt;=4000,INDEX($D$2:$D$1001,1242),IF(4242&lt;=5000,INDEX($E$2:$E$1001,242),"")))))</f>
        <v/>
      </c>
    </row>
    <row r="4244">
      <c r="G4244">
        <f>IF(4243&lt;=1000,INDEX($A$2:$A$1001,4243),IF(4243&lt;=2000,INDEX($B$2:$B$1001,3243),IF(4243&lt;=3000,INDEX($C$2:$C$1001,2243),IF(4243&lt;=4000,INDEX($D$2:$D$1001,1243),IF(4243&lt;=5000,INDEX($E$2:$E$1001,243),"")))))</f>
        <v/>
      </c>
    </row>
    <row r="4245">
      <c r="G4245">
        <f>IF(4244&lt;=1000,INDEX($A$2:$A$1001,4244),IF(4244&lt;=2000,INDEX($B$2:$B$1001,3244),IF(4244&lt;=3000,INDEX($C$2:$C$1001,2244),IF(4244&lt;=4000,INDEX($D$2:$D$1001,1244),IF(4244&lt;=5000,INDEX($E$2:$E$1001,244),"")))))</f>
        <v/>
      </c>
    </row>
    <row r="4246">
      <c r="G4246">
        <f>IF(4245&lt;=1000,INDEX($A$2:$A$1001,4245),IF(4245&lt;=2000,INDEX($B$2:$B$1001,3245),IF(4245&lt;=3000,INDEX($C$2:$C$1001,2245),IF(4245&lt;=4000,INDEX($D$2:$D$1001,1245),IF(4245&lt;=5000,INDEX($E$2:$E$1001,245),"")))))</f>
        <v/>
      </c>
    </row>
    <row r="4247">
      <c r="G4247">
        <f>IF(4246&lt;=1000,INDEX($A$2:$A$1001,4246),IF(4246&lt;=2000,INDEX($B$2:$B$1001,3246),IF(4246&lt;=3000,INDEX($C$2:$C$1001,2246),IF(4246&lt;=4000,INDEX($D$2:$D$1001,1246),IF(4246&lt;=5000,INDEX($E$2:$E$1001,246),"")))))</f>
        <v/>
      </c>
    </row>
    <row r="4248">
      <c r="G4248">
        <f>IF(4247&lt;=1000,INDEX($A$2:$A$1001,4247),IF(4247&lt;=2000,INDEX($B$2:$B$1001,3247),IF(4247&lt;=3000,INDEX($C$2:$C$1001,2247),IF(4247&lt;=4000,INDEX($D$2:$D$1001,1247),IF(4247&lt;=5000,INDEX($E$2:$E$1001,247),"")))))</f>
        <v/>
      </c>
    </row>
    <row r="4249">
      <c r="G4249">
        <f>IF(4248&lt;=1000,INDEX($A$2:$A$1001,4248),IF(4248&lt;=2000,INDEX($B$2:$B$1001,3248),IF(4248&lt;=3000,INDEX($C$2:$C$1001,2248),IF(4248&lt;=4000,INDEX($D$2:$D$1001,1248),IF(4248&lt;=5000,INDEX($E$2:$E$1001,248),"")))))</f>
        <v/>
      </c>
    </row>
    <row r="4250">
      <c r="G4250">
        <f>IF(4249&lt;=1000,INDEX($A$2:$A$1001,4249),IF(4249&lt;=2000,INDEX($B$2:$B$1001,3249),IF(4249&lt;=3000,INDEX($C$2:$C$1001,2249),IF(4249&lt;=4000,INDEX($D$2:$D$1001,1249),IF(4249&lt;=5000,INDEX($E$2:$E$1001,249),"")))))</f>
        <v/>
      </c>
    </row>
    <row r="4251">
      <c r="G4251">
        <f>IF(4250&lt;=1000,INDEX($A$2:$A$1001,4250),IF(4250&lt;=2000,INDEX($B$2:$B$1001,3250),IF(4250&lt;=3000,INDEX($C$2:$C$1001,2250),IF(4250&lt;=4000,INDEX($D$2:$D$1001,1250),IF(4250&lt;=5000,INDEX($E$2:$E$1001,250),"")))))</f>
        <v/>
      </c>
    </row>
    <row r="4252">
      <c r="G4252">
        <f>IF(4251&lt;=1000,INDEX($A$2:$A$1001,4251),IF(4251&lt;=2000,INDEX($B$2:$B$1001,3251),IF(4251&lt;=3000,INDEX($C$2:$C$1001,2251),IF(4251&lt;=4000,INDEX($D$2:$D$1001,1251),IF(4251&lt;=5000,INDEX($E$2:$E$1001,251),"")))))</f>
        <v/>
      </c>
    </row>
    <row r="4253">
      <c r="G4253">
        <f>IF(4252&lt;=1000,INDEX($A$2:$A$1001,4252),IF(4252&lt;=2000,INDEX($B$2:$B$1001,3252),IF(4252&lt;=3000,INDEX($C$2:$C$1001,2252),IF(4252&lt;=4000,INDEX($D$2:$D$1001,1252),IF(4252&lt;=5000,INDEX($E$2:$E$1001,252),"")))))</f>
        <v/>
      </c>
    </row>
    <row r="4254">
      <c r="G4254">
        <f>IF(4253&lt;=1000,INDEX($A$2:$A$1001,4253),IF(4253&lt;=2000,INDEX($B$2:$B$1001,3253),IF(4253&lt;=3000,INDEX($C$2:$C$1001,2253),IF(4253&lt;=4000,INDEX($D$2:$D$1001,1253),IF(4253&lt;=5000,INDEX($E$2:$E$1001,253),"")))))</f>
        <v/>
      </c>
    </row>
    <row r="4255">
      <c r="G4255">
        <f>IF(4254&lt;=1000,INDEX($A$2:$A$1001,4254),IF(4254&lt;=2000,INDEX($B$2:$B$1001,3254),IF(4254&lt;=3000,INDEX($C$2:$C$1001,2254),IF(4254&lt;=4000,INDEX($D$2:$D$1001,1254),IF(4254&lt;=5000,INDEX($E$2:$E$1001,254),"")))))</f>
        <v/>
      </c>
    </row>
    <row r="4256">
      <c r="G4256">
        <f>IF(4255&lt;=1000,INDEX($A$2:$A$1001,4255),IF(4255&lt;=2000,INDEX($B$2:$B$1001,3255),IF(4255&lt;=3000,INDEX($C$2:$C$1001,2255),IF(4255&lt;=4000,INDEX($D$2:$D$1001,1255),IF(4255&lt;=5000,INDEX($E$2:$E$1001,255),"")))))</f>
        <v/>
      </c>
    </row>
    <row r="4257">
      <c r="G4257">
        <f>IF(4256&lt;=1000,INDEX($A$2:$A$1001,4256),IF(4256&lt;=2000,INDEX($B$2:$B$1001,3256),IF(4256&lt;=3000,INDEX($C$2:$C$1001,2256),IF(4256&lt;=4000,INDEX($D$2:$D$1001,1256),IF(4256&lt;=5000,INDEX($E$2:$E$1001,256),"")))))</f>
        <v/>
      </c>
    </row>
    <row r="4258">
      <c r="G4258">
        <f>IF(4257&lt;=1000,INDEX($A$2:$A$1001,4257),IF(4257&lt;=2000,INDEX($B$2:$B$1001,3257),IF(4257&lt;=3000,INDEX($C$2:$C$1001,2257),IF(4257&lt;=4000,INDEX($D$2:$D$1001,1257),IF(4257&lt;=5000,INDEX($E$2:$E$1001,257),"")))))</f>
        <v/>
      </c>
    </row>
    <row r="4259">
      <c r="G4259">
        <f>IF(4258&lt;=1000,INDEX($A$2:$A$1001,4258),IF(4258&lt;=2000,INDEX($B$2:$B$1001,3258),IF(4258&lt;=3000,INDEX($C$2:$C$1001,2258),IF(4258&lt;=4000,INDEX($D$2:$D$1001,1258),IF(4258&lt;=5000,INDEX($E$2:$E$1001,258),"")))))</f>
        <v/>
      </c>
    </row>
    <row r="4260">
      <c r="G4260">
        <f>IF(4259&lt;=1000,INDEX($A$2:$A$1001,4259),IF(4259&lt;=2000,INDEX($B$2:$B$1001,3259),IF(4259&lt;=3000,INDEX($C$2:$C$1001,2259),IF(4259&lt;=4000,INDEX($D$2:$D$1001,1259),IF(4259&lt;=5000,INDEX($E$2:$E$1001,259),"")))))</f>
        <v/>
      </c>
    </row>
    <row r="4261">
      <c r="G4261">
        <f>IF(4260&lt;=1000,INDEX($A$2:$A$1001,4260),IF(4260&lt;=2000,INDEX($B$2:$B$1001,3260),IF(4260&lt;=3000,INDEX($C$2:$C$1001,2260),IF(4260&lt;=4000,INDEX($D$2:$D$1001,1260),IF(4260&lt;=5000,INDEX($E$2:$E$1001,260),"")))))</f>
        <v/>
      </c>
    </row>
    <row r="4262">
      <c r="G4262">
        <f>IF(4261&lt;=1000,INDEX($A$2:$A$1001,4261),IF(4261&lt;=2000,INDEX($B$2:$B$1001,3261),IF(4261&lt;=3000,INDEX($C$2:$C$1001,2261),IF(4261&lt;=4000,INDEX($D$2:$D$1001,1261),IF(4261&lt;=5000,INDEX($E$2:$E$1001,261),"")))))</f>
        <v/>
      </c>
    </row>
    <row r="4263">
      <c r="G4263">
        <f>IF(4262&lt;=1000,INDEX($A$2:$A$1001,4262),IF(4262&lt;=2000,INDEX($B$2:$B$1001,3262),IF(4262&lt;=3000,INDEX($C$2:$C$1001,2262),IF(4262&lt;=4000,INDEX($D$2:$D$1001,1262),IF(4262&lt;=5000,INDEX($E$2:$E$1001,262),"")))))</f>
        <v/>
      </c>
    </row>
    <row r="4264">
      <c r="G4264">
        <f>IF(4263&lt;=1000,INDEX($A$2:$A$1001,4263),IF(4263&lt;=2000,INDEX($B$2:$B$1001,3263),IF(4263&lt;=3000,INDEX($C$2:$C$1001,2263),IF(4263&lt;=4000,INDEX($D$2:$D$1001,1263),IF(4263&lt;=5000,INDEX($E$2:$E$1001,263),"")))))</f>
        <v/>
      </c>
    </row>
    <row r="4265">
      <c r="G4265">
        <f>IF(4264&lt;=1000,INDEX($A$2:$A$1001,4264),IF(4264&lt;=2000,INDEX($B$2:$B$1001,3264),IF(4264&lt;=3000,INDEX($C$2:$C$1001,2264),IF(4264&lt;=4000,INDEX($D$2:$D$1001,1264),IF(4264&lt;=5000,INDEX($E$2:$E$1001,264),"")))))</f>
        <v/>
      </c>
    </row>
    <row r="4266">
      <c r="G4266">
        <f>IF(4265&lt;=1000,INDEX($A$2:$A$1001,4265),IF(4265&lt;=2000,INDEX($B$2:$B$1001,3265),IF(4265&lt;=3000,INDEX($C$2:$C$1001,2265),IF(4265&lt;=4000,INDEX($D$2:$D$1001,1265),IF(4265&lt;=5000,INDEX($E$2:$E$1001,265),"")))))</f>
        <v/>
      </c>
    </row>
    <row r="4267">
      <c r="G4267">
        <f>IF(4266&lt;=1000,INDEX($A$2:$A$1001,4266),IF(4266&lt;=2000,INDEX($B$2:$B$1001,3266),IF(4266&lt;=3000,INDEX($C$2:$C$1001,2266),IF(4266&lt;=4000,INDEX($D$2:$D$1001,1266),IF(4266&lt;=5000,INDEX($E$2:$E$1001,266),"")))))</f>
        <v/>
      </c>
    </row>
    <row r="4268">
      <c r="G4268">
        <f>IF(4267&lt;=1000,INDEX($A$2:$A$1001,4267),IF(4267&lt;=2000,INDEX($B$2:$B$1001,3267),IF(4267&lt;=3000,INDEX($C$2:$C$1001,2267),IF(4267&lt;=4000,INDEX($D$2:$D$1001,1267),IF(4267&lt;=5000,INDEX($E$2:$E$1001,267),"")))))</f>
        <v/>
      </c>
    </row>
    <row r="4269">
      <c r="G4269">
        <f>IF(4268&lt;=1000,INDEX($A$2:$A$1001,4268),IF(4268&lt;=2000,INDEX($B$2:$B$1001,3268),IF(4268&lt;=3000,INDEX($C$2:$C$1001,2268),IF(4268&lt;=4000,INDEX($D$2:$D$1001,1268),IF(4268&lt;=5000,INDEX($E$2:$E$1001,268),"")))))</f>
        <v/>
      </c>
    </row>
    <row r="4270">
      <c r="G4270">
        <f>IF(4269&lt;=1000,INDEX($A$2:$A$1001,4269),IF(4269&lt;=2000,INDEX($B$2:$B$1001,3269),IF(4269&lt;=3000,INDEX($C$2:$C$1001,2269),IF(4269&lt;=4000,INDEX($D$2:$D$1001,1269),IF(4269&lt;=5000,INDEX($E$2:$E$1001,269),"")))))</f>
        <v/>
      </c>
    </row>
    <row r="4271">
      <c r="G4271">
        <f>IF(4270&lt;=1000,INDEX($A$2:$A$1001,4270),IF(4270&lt;=2000,INDEX($B$2:$B$1001,3270),IF(4270&lt;=3000,INDEX($C$2:$C$1001,2270),IF(4270&lt;=4000,INDEX($D$2:$D$1001,1270),IF(4270&lt;=5000,INDEX($E$2:$E$1001,270),"")))))</f>
        <v/>
      </c>
    </row>
    <row r="4272">
      <c r="G4272">
        <f>IF(4271&lt;=1000,INDEX($A$2:$A$1001,4271),IF(4271&lt;=2000,INDEX($B$2:$B$1001,3271),IF(4271&lt;=3000,INDEX($C$2:$C$1001,2271),IF(4271&lt;=4000,INDEX($D$2:$D$1001,1271),IF(4271&lt;=5000,INDEX($E$2:$E$1001,271),"")))))</f>
        <v/>
      </c>
    </row>
    <row r="4273">
      <c r="G4273">
        <f>IF(4272&lt;=1000,INDEX($A$2:$A$1001,4272),IF(4272&lt;=2000,INDEX($B$2:$B$1001,3272),IF(4272&lt;=3000,INDEX($C$2:$C$1001,2272),IF(4272&lt;=4000,INDEX($D$2:$D$1001,1272),IF(4272&lt;=5000,INDEX($E$2:$E$1001,272),"")))))</f>
        <v/>
      </c>
    </row>
    <row r="4274">
      <c r="G4274">
        <f>IF(4273&lt;=1000,INDEX($A$2:$A$1001,4273),IF(4273&lt;=2000,INDEX($B$2:$B$1001,3273),IF(4273&lt;=3000,INDEX($C$2:$C$1001,2273),IF(4273&lt;=4000,INDEX($D$2:$D$1001,1273),IF(4273&lt;=5000,INDEX($E$2:$E$1001,273),"")))))</f>
        <v/>
      </c>
    </row>
    <row r="4275">
      <c r="G4275">
        <f>IF(4274&lt;=1000,INDEX($A$2:$A$1001,4274),IF(4274&lt;=2000,INDEX($B$2:$B$1001,3274),IF(4274&lt;=3000,INDEX($C$2:$C$1001,2274),IF(4274&lt;=4000,INDEX($D$2:$D$1001,1274),IF(4274&lt;=5000,INDEX($E$2:$E$1001,274),"")))))</f>
        <v/>
      </c>
    </row>
    <row r="4276">
      <c r="G4276">
        <f>IF(4275&lt;=1000,INDEX($A$2:$A$1001,4275),IF(4275&lt;=2000,INDEX($B$2:$B$1001,3275),IF(4275&lt;=3000,INDEX($C$2:$C$1001,2275),IF(4275&lt;=4000,INDEX($D$2:$D$1001,1275),IF(4275&lt;=5000,INDEX($E$2:$E$1001,275),"")))))</f>
        <v/>
      </c>
    </row>
    <row r="4277">
      <c r="G4277">
        <f>IF(4276&lt;=1000,INDEX($A$2:$A$1001,4276),IF(4276&lt;=2000,INDEX($B$2:$B$1001,3276),IF(4276&lt;=3000,INDEX($C$2:$C$1001,2276),IF(4276&lt;=4000,INDEX($D$2:$D$1001,1276),IF(4276&lt;=5000,INDEX($E$2:$E$1001,276),"")))))</f>
        <v/>
      </c>
    </row>
    <row r="4278">
      <c r="G4278">
        <f>IF(4277&lt;=1000,INDEX($A$2:$A$1001,4277),IF(4277&lt;=2000,INDEX($B$2:$B$1001,3277),IF(4277&lt;=3000,INDEX($C$2:$C$1001,2277),IF(4277&lt;=4000,INDEX($D$2:$D$1001,1277),IF(4277&lt;=5000,INDEX($E$2:$E$1001,277),"")))))</f>
        <v/>
      </c>
    </row>
    <row r="4279">
      <c r="G4279">
        <f>IF(4278&lt;=1000,INDEX($A$2:$A$1001,4278),IF(4278&lt;=2000,INDEX($B$2:$B$1001,3278),IF(4278&lt;=3000,INDEX($C$2:$C$1001,2278),IF(4278&lt;=4000,INDEX($D$2:$D$1001,1278),IF(4278&lt;=5000,INDEX($E$2:$E$1001,278),"")))))</f>
        <v/>
      </c>
    </row>
    <row r="4280">
      <c r="G4280">
        <f>IF(4279&lt;=1000,INDEX($A$2:$A$1001,4279),IF(4279&lt;=2000,INDEX($B$2:$B$1001,3279),IF(4279&lt;=3000,INDEX($C$2:$C$1001,2279),IF(4279&lt;=4000,INDEX($D$2:$D$1001,1279),IF(4279&lt;=5000,INDEX($E$2:$E$1001,279),"")))))</f>
        <v/>
      </c>
    </row>
    <row r="4281">
      <c r="G4281">
        <f>IF(4280&lt;=1000,INDEX($A$2:$A$1001,4280),IF(4280&lt;=2000,INDEX($B$2:$B$1001,3280),IF(4280&lt;=3000,INDEX($C$2:$C$1001,2280),IF(4280&lt;=4000,INDEX($D$2:$D$1001,1280),IF(4280&lt;=5000,INDEX($E$2:$E$1001,280),"")))))</f>
        <v/>
      </c>
    </row>
    <row r="4282">
      <c r="G4282">
        <f>IF(4281&lt;=1000,INDEX($A$2:$A$1001,4281),IF(4281&lt;=2000,INDEX($B$2:$B$1001,3281),IF(4281&lt;=3000,INDEX($C$2:$C$1001,2281),IF(4281&lt;=4000,INDEX($D$2:$D$1001,1281),IF(4281&lt;=5000,INDEX($E$2:$E$1001,281),"")))))</f>
        <v/>
      </c>
    </row>
    <row r="4283">
      <c r="G4283">
        <f>IF(4282&lt;=1000,INDEX($A$2:$A$1001,4282),IF(4282&lt;=2000,INDEX($B$2:$B$1001,3282),IF(4282&lt;=3000,INDEX($C$2:$C$1001,2282),IF(4282&lt;=4000,INDEX($D$2:$D$1001,1282),IF(4282&lt;=5000,INDEX($E$2:$E$1001,282),"")))))</f>
        <v/>
      </c>
    </row>
    <row r="4284">
      <c r="G4284">
        <f>IF(4283&lt;=1000,INDEX($A$2:$A$1001,4283),IF(4283&lt;=2000,INDEX($B$2:$B$1001,3283),IF(4283&lt;=3000,INDEX($C$2:$C$1001,2283),IF(4283&lt;=4000,INDEX($D$2:$D$1001,1283),IF(4283&lt;=5000,INDEX($E$2:$E$1001,283),"")))))</f>
        <v/>
      </c>
    </row>
    <row r="4285">
      <c r="G4285">
        <f>IF(4284&lt;=1000,INDEX($A$2:$A$1001,4284),IF(4284&lt;=2000,INDEX($B$2:$B$1001,3284),IF(4284&lt;=3000,INDEX($C$2:$C$1001,2284),IF(4284&lt;=4000,INDEX($D$2:$D$1001,1284),IF(4284&lt;=5000,INDEX($E$2:$E$1001,284),"")))))</f>
        <v/>
      </c>
    </row>
    <row r="4286">
      <c r="G4286">
        <f>IF(4285&lt;=1000,INDEX($A$2:$A$1001,4285),IF(4285&lt;=2000,INDEX($B$2:$B$1001,3285),IF(4285&lt;=3000,INDEX($C$2:$C$1001,2285),IF(4285&lt;=4000,INDEX($D$2:$D$1001,1285),IF(4285&lt;=5000,INDEX($E$2:$E$1001,285),"")))))</f>
        <v/>
      </c>
    </row>
    <row r="4287">
      <c r="G4287">
        <f>IF(4286&lt;=1000,INDEX($A$2:$A$1001,4286),IF(4286&lt;=2000,INDEX($B$2:$B$1001,3286),IF(4286&lt;=3000,INDEX($C$2:$C$1001,2286),IF(4286&lt;=4000,INDEX($D$2:$D$1001,1286),IF(4286&lt;=5000,INDEX($E$2:$E$1001,286),"")))))</f>
        <v/>
      </c>
    </row>
    <row r="4288">
      <c r="G4288">
        <f>IF(4287&lt;=1000,INDEX($A$2:$A$1001,4287),IF(4287&lt;=2000,INDEX($B$2:$B$1001,3287),IF(4287&lt;=3000,INDEX($C$2:$C$1001,2287),IF(4287&lt;=4000,INDEX($D$2:$D$1001,1287),IF(4287&lt;=5000,INDEX($E$2:$E$1001,287),"")))))</f>
        <v/>
      </c>
    </row>
    <row r="4289">
      <c r="G4289">
        <f>IF(4288&lt;=1000,INDEX($A$2:$A$1001,4288),IF(4288&lt;=2000,INDEX($B$2:$B$1001,3288),IF(4288&lt;=3000,INDEX($C$2:$C$1001,2288),IF(4288&lt;=4000,INDEX($D$2:$D$1001,1288),IF(4288&lt;=5000,INDEX($E$2:$E$1001,288),"")))))</f>
        <v/>
      </c>
    </row>
    <row r="4290">
      <c r="G4290">
        <f>IF(4289&lt;=1000,INDEX($A$2:$A$1001,4289),IF(4289&lt;=2000,INDEX($B$2:$B$1001,3289),IF(4289&lt;=3000,INDEX($C$2:$C$1001,2289),IF(4289&lt;=4000,INDEX($D$2:$D$1001,1289),IF(4289&lt;=5000,INDEX($E$2:$E$1001,289),"")))))</f>
        <v/>
      </c>
    </row>
    <row r="4291">
      <c r="G4291">
        <f>IF(4290&lt;=1000,INDEX($A$2:$A$1001,4290),IF(4290&lt;=2000,INDEX($B$2:$B$1001,3290),IF(4290&lt;=3000,INDEX($C$2:$C$1001,2290),IF(4290&lt;=4000,INDEX($D$2:$D$1001,1290),IF(4290&lt;=5000,INDEX($E$2:$E$1001,290),"")))))</f>
        <v/>
      </c>
    </row>
    <row r="4292">
      <c r="G4292">
        <f>IF(4291&lt;=1000,INDEX($A$2:$A$1001,4291),IF(4291&lt;=2000,INDEX($B$2:$B$1001,3291),IF(4291&lt;=3000,INDEX($C$2:$C$1001,2291),IF(4291&lt;=4000,INDEX($D$2:$D$1001,1291),IF(4291&lt;=5000,INDEX($E$2:$E$1001,291),"")))))</f>
        <v/>
      </c>
    </row>
    <row r="4293">
      <c r="G4293">
        <f>IF(4292&lt;=1000,INDEX($A$2:$A$1001,4292),IF(4292&lt;=2000,INDEX($B$2:$B$1001,3292),IF(4292&lt;=3000,INDEX($C$2:$C$1001,2292),IF(4292&lt;=4000,INDEX($D$2:$D$1001,1292),IF(4292&lt;=5000,INDEX($E$2:$E$1001,292),"")))))</f>
        <v/>
      </c>
    </row>
    <row r="4294">
      <c r="G4294">
        <f>IF(4293&lt;=1000,INDEX($A$2:$A$1001,4293),IF(4293&lt;=2000,INDEX($B$2:$B$1001,3293),IF(4293&lt;=3000,INDEX($C$2:$C$1001,2293),IF(4293&lt;=4000,INDEX($D$2:$D$1001,1293),IF(4293&lt;=5000,INDEX($E$2:$E$1001,293),"")))))</f>
        <v/>
      </c>
    </row>
    <row r="4295">
      <c r="G4295">
        <f>IF(4294&lt;=1000,INDEX($A$2:$A$1001,4294),IF(4294&lt;=2000,INDEX($B$2:$B$1001,3294),IF(4294&lt;=3000,INDEX($C$2:$C$1001,2294),IF(4294&lt;=4000,INDEX($D$2:$D$1001,1294),IF(4294&lt;=5000,INDEX($E$2:$E$1001,294),"")))))</f>
        <v/>
      </c>
    </row>
    <row r="4296">
      <c r="G4296">
        <f>IF(4295&lt;=1000,INDEX($A$2:$A$1001,4295),IF(4295&lt;=2000,INDEX($B$2:$B$1001,3295),IF(4295&lt;=3000,INDEX($C$2:$C$1001,2295),IF(4295&lt;=4000,INDEX($D$2:$D$1001,1295),IF(4295&lt;=5000,INDEX($E$2:$E$1001,295),"")))))</f>
        <v/>
      </c>
    </row>
    <row r="4297">
      <c r="G4297">
        <f>IF(4296&lt;=1000,INDEX($A$2:$A$1001,4296),IF(4296&lt;=2000,INDEX($B$2:$B$1001,3296),IF(4296&lt;=3000,INDEX($C$2:$C$1001,2296),IF(4296&lt;=4000,INDEX($D$2:$D$1001,1296),IF(4296&lt;=5000,INDEX($E$2:$E$1001,296),"")))))</f>
        <v/>
      </c>
    </row>
    <row r="4298">
      <c r="G4298">
        <f>IF(4297&lt;=1000,INDEX($A$2:$A$1001,4297),IF(4297&lt;=2000,INDEX($B$2:$B$1001,3297),IF(4297&lt;=3000,INDEX($C$2:$C$1001,2297),IF(4297&lt;=4000,INDEX($D$2:$D$1001,1297),IF(4297&lt;=5000,INDEX($E$2:$E$1001,297),"")))))</f>
        <v/>
      </c>
    </row>
    <row r="4299">
      <c r="G4299">
        <f>IF(4298&lt;=1000,INDEX($A$2:$A$1001,4298),IF(4298&lt;=2000,INDEX($B$2:$B$1001,3298),IF(4298&lt;=3000,INDEX($C$2:$C$1001,2298),IF(4298&lt;=4000,INDEX($D$2:$D$1001,1298),IF(4298&lt;=5000,INDEX($E$2:$E$1001,298),"")))))</f>
        <v/>
      </c>
    </row>
    <row r="4300">
      <c r="G4300">
        <f>IF(4299&lt;=1000,INDEX($A$2:$A$1001,4299),IF(4299&lt;=2000,INDEX($B$2:$B$1001,3299),IF(4299&lt;=3000,INDEX($C$2:$C$1001,2299),IF(4299&lt;=4000,INDEX($D$2:$D$1001,1299),IF(4299&lt;=5000,INDEX($E$2:$E$1001,299),"")))))</f>
        <v/>
      </c>
    </row>
    <row r="4301">
      <c r="G4301">
        <f>IF(4300&lt;=1000,INDEX($A$2:$A$1001,4300),IF(4300&lt;=2000,INDEX($B$2:$B$1001,3300),IF(4300&lt;=3000,INDEX($C$2:$C$1001,2300),IF(4300&lt;=4000,INDEX($D$2:$D$1001,1300),IF(4300&lt;=5000,INDEX($E$2:$E$1001,300),"")))))</f>
        <v/>
      </c>
    </row>
    <row r="4302">
      <c r="G4302">
        <f>IF(4301&lt;=1000,INDEX($A$2:$A$1001,4301),IF(4301&lt;=2000,INDEX($B$2:$B$1001,3301),IF(4301&lt;=3000,INDEX($C$2:$C$1001,2301),IF(4301&lt;=4000,INDEX($D$2:$D$1001,1301),IF(4301&lt;=5000,INDEX($E$2:$E$1001,301),"")))))</f>
        <v/>
      </c>
    </row>
    <row r="4303">
      <c r="G4303">
        <f>IF(4302&lt;=1000,INDEX($A$2:$A$1001,4302),IF(4302&lt;=2000,INDEX($B$2:$B$1001,3302),IF(4302&lt;=3000,INDEX($C$2:$C$1001,2302),IF(4302&lt;=4000,INDEX($D$2:$D$1001,1302),IF(4302&lt;=5000,INDEX($E$2:$E$1001,302),"")))))</f>
        <v/>
      </c>
    </row>
    <row r="4304">
      <c r="G4304">
        <f>IF(4303&lt;=1000,INDEX($A$2:$A$1001,4303),IF(4303&lt;=2000,INDEX($B$2:$B$1001,3303),IF(4303&lt;=3000,INDEX($C$2:$C$1001,2303),IF(4303&lt;=4000,INDEX($D$2:$D$1001,1303),IF(4303&lt;=5000,INDEX($E$2:$E$1001,303),"")))))</f>
        <v/>
      </c>
    </row>
    <row r="4305">
      <c r="G4305">
        <f>IF(4304&lt;=1000,INDEX($A$2:$A$1001,4304),IF(4304&lt;=2000,INDEX($B$2:$B$1001,3304),IF(4304&lt;=3000,INDEX($C$2:$C$1001,2304),IF(4304&lt;=4000,INDEX($D$2:$D$1001,1304),IF(4304&lt;=5000,INDEX($E$2:$E$1001,304),"")))))</f>
        <v/>
      </c>
    </row>
    <row r="4306">
      <c r="G4306">
        <f>IF(4305&lt;=1000,INDEX($A$2:$A$1001,4305),IF(4305&lt;=2000,INDEX($B$2:$B$1001,3305),IF(4305&lt;=3000,INDEX($C$2:$C$1001,2305),IF(4305&lt;=4000,INDEX($D$2:$D$1001,1305),IF(4305&lt;=5000,INDEX($E$2:$E$1001,305),"")))))</f>
        <v/>
      </c>
    </row>
    <row r="4307">
      <c r="G4307">
        <f>IF(4306&lt;=1000,INDEX($A$2:$A$1001,4306),IF(4306&lt;=2000,INDEX($B$2:$B$1001,3306),IF(4306&lt;=3000,INDEX($C$2:$C$1001,2306),IF(4306&lt;=4000,INDEX($D$2:$D$1001,1306),IF(4306&lt;=5000,INDEX($E$2:$E$1001,306),"")))))</f>
        <v/>
      </c>
    </row>
    <row r="4308">
      <c r="G4308">
        <f>IF(4307&lt;=1000,INDEX($A$2:$A$1001,4307),IF(4307&lt;=2000,INDEX($B$2:$B$1001,3307),IF(4307&lt;=3000,INDEX($C$2:$C$1001,2307),IF(4307&lt;=4000,INDEX($D$2:$D$1001,1307),IF(4307&lt;=5000,INDEX($E$2:$E$1001,307),"")))))</f>
        <v/>
      </c>
    </row>
    <row r="4309">
      <c r="G4309">
        <f>IF(4308&lt;=1000,INDEX($A$2:$A$1001,4308),IF(4308&lt;=2000,INDEX($B$2:$B$1001,3308),IF(4308&lt;=3000,INDEX($C$2:$C$1001,2308),IF(4308&lt;=4000,INDEX($D$2:$D$1001,1308),IF(4308&lt;=5000,INDEX($E$2:$E$1001,308),"")))))</f>
        <v/>
      </c>
    </row>
    <row r="4310">
      <c r="G4310">
        <f>IF(4309&lt;=1000,INDEX($A$2:$A$1001,4309),IF(4309&lt;=2000,INDEX($B$2:$B$1001,3309),IF(4309&lt;=3000,INDEX($C$2:$C$1001,2309),IF(4309&lt;=4000,INDEX($D$2:$D$1001,1309),IF(4309&lt;=5000,INDEX($E$2:$E$1001,309),"")))))</f>
        <v/>
      </c>
    </row>
    <row r="4311">
      <c r="G4311">
        <f>IF(4310&lt;=1000,INDEX($A$2:$A$1001,4310),IF(4310&lt;=2000,INDEX($B$2:$B$1001,3310),IF(4310&lt;=3000,INDEX($C$2:$C$1001,2310),IF(4310&lt;=4000,INDEX($D$2:$D$1001,1310),IF(4310&lt;=5000,INDEX($E$2:$E$1001,310),"")))))</f>
        <v/>
      </c>
    </row>
    <row r="4312">
      <c r="G4312">
        <f>IF(4311&lt;=1000,INDEX($A$2:$A$1001,4311),IF(4311&lt;=2000,INDEX($B$2:$B$1001,3311),IF(4311&lt;=3000,INDEX($C$2:$C$1001,2311),IF(4311&lt;=4000,INDEX($D$2:$D$1001,1311),IF(4311&lt;=5000,INDEX($E$2:$E$1001,311),"")))))</f>
        <v/>
      </c>
    </row>
    <row r="4313">
      <c r="G4313">
        <f>IF(4312&lt;=1000,INDEX($A$2:$A$1001,4312),IF(4312&lt;=2000,INDEX($B$2:$B$1001,3312),IF(4312&lt;=3000,INDEX($C$2:$C$1001,2312),IF(4312&lt;=4000,INDEX($D$2:$D$1001,1312),IF(4312&lt;=5000,INDEX($E$2:$E$1001,312),"")))))</f>
        <v/>
      </c>
    </row>
    <row r="4314">
      <c r="G4314">
        <f>IF(4313&lt;=1000,INDEX($A$2:$A$1001,4313),IF(4313&lt;=2000,INDEX($B$2:$B$1001,3313),IF(4313&lt;=3000,INDEX($C$2:$C$1001,2313),IF(4313&lt;=4000,INDEX($D$2:$D$1001,1313),IF(4313&lt;=5000,INDEX($E$2:$E$1001,313),"")))))</f>
        <v/>
      </c>
    </row>
    <row r="4315">
      <c r="G4315">
        <f>IF(4314&lt;=1000,INDEX($A$2:$A$1001,4314),IF(4314&lt;=2000,INDEX($B$2:$B$1001,3314),IF(4314&lt;=3000,INDEX($C$2:$C$1001,2314),IF(4314&lt;=4000,INDEX($D$2:$D$1001,1314),IF(4314&lt;=5000,INDEX($E$2:$E$1001,314),"")))))</f>
        <v/>
      </c>
    </row>
    <row r="4316">
      <c r="G4316">
        <f>IF(4315&lt;=1000,INDEX($A$2:$A$1001,4315),IF(4315&lt;=2000,INDEX($B$2:$B$1001,3315),IF(4315&lt;=3000,INDEX($C$2:$C$1001,2315),IF(4315&lt;=4000,INDEX($D$2:$D$1001,1315),IF(4315&lt;=5000,INDEX($E$2:$E$1001,315),"")))))</f>
        <v/>
      </c>
    </row>
    <row r="4317">
      <c r="G4317">
        <f>IF(4316&lt;=1000,INDEX($A$2:$A$1001,4316),IF(4316&lt;=2000,INDEX($B$2:$B$1001,3316),IF(4316&lt;=3000,INDEX($C$2:$C$1001,2316),IF(4316&lt;=4000,INDEX($D$2:$D$1001,1316),IF(4316&lt;=5000,INDEX($E$2:$E$1001,316),"")))))</f>
        <v/>
      </c>
    </row>
    <row r="4318">
      <c r="G4318">
        <f>IF(4317&lt;=1000,INDEX($A$2:$A$1001,4317),IF(4317&lt;=2000,INDEX($B$2:$B$1001,3317),IF(4317&lt;=3000,INDEX($C$2:$C$1001,2317),IF(4317&lt;=4000,INDEX($D$2:$D$1001,1317),IF(4317&lt;=5000,INDEX($E$2:$E$1001,317),"")))))</f>
        <v/>
      </c>
    </row>
    <row r="4319">
      <c r="G4319">
        <f>IF(4318&lt;=1000,INDEX($A$2:$A$1001,4318),IF(4318&lt;=2000,INDEX($B$2:$B$1001,3318),IF(4318&lt;=3000,INDEX($C$2:$C$1001,2318),IF(4318&lt;=4000,INDEX($D$2:$D$1001,1318),IF(4318&lt;=5000,INDEX($E$2:$E$1001,318),"")))))</f>
        <v/>
      </c>
    </row>
    <row r="4320">
      <c r="G4320">
        <f>IF(4319&lt;=1000,INDEX($A$2:$A$1001,4319),IF(4319&lt;=2000,INDEX($B$2:$B$1001,3319),IF(4319&lt;=3000,INDEX($C$2:$C$1001,2319),IF(4319&lt;=4000,INDEX($D$2:$D$1001,1319),IF(4319&lt;=5000,INDEX($E$2:$E$1001,319),"")))))</f>
        <v/>
      </c>
    </row>
    <row r="4321">
      <c r="G4321">
        <f>IF(4320&lt;=1000,INDEX($A$2:$A$1001,4320),IF(4320&lt;=2000,INDEX($B$2:$B$1001,3320),IF(4320&lt;=3000,INDEX($C$2:$C$1001,2320),IF(4320&lt;=4000,INDEX($D$2:$D$1001,1320),IF(4320&lt;=5000,INDEX($E$2:$E$1001,320),"")))))</f>
        <v/>
      </c>
    </row>
    <row r="4322">
      <c r="G4322">
        <f>IF(4321&lt;=1000,INDEX($A$2:$A$1001,4321),IF(4321&lt;=2000,INDEX($B$2:$B$1001,3321),IF(4321&lt;=3000,INDEX($C$2:$C$1001,2321),IF(4321&lt;=4000,INDEX($D$2:$D$1001,1321),IF(4321&lt;=5000,INDEX($E$2:$E$1001,321),"")))))</f>
        <v/>
      </c>
    </row>
    <row r="4323">
      <c r="G4323">
        <f>IF(4322&lt;=1000,INDEX($A$2:$A$1001,4322),IF(4322&lt;=2000,INDEX($B$2:$B$1001,3322),IF(4322&lt;=3000,INDEX($C$2:$C$1001,2322),IF(4322&lt;=4000,INDEX($D$2:$D$1001,1322),IF(4322&lt;=5000,INDEX($E$2:$E$1001,322),"")))))</f>
        <v/>
      </c>
    </row>
    <row r="4324">
      <c r="G4324">
        <f>IF(4323&lt;=1000,INDEX($A$2:$A$1001,4323),IF(4323&lt;=2000,INDEX($B$2:$B$1001,3323),IF(4323&lt;=3000,INDEX($C$2:$C$1001,2323),IF(4323&lt;=4000,INDEX($D$2:$D$1001,1323),IF(4323&lt;=5000,INDEX($E$2:$E$1001,323),"")))))</f>
        <v/>
      </c>
    </row>
    <row r="4325">
      <c r="G4325">
        <f>IF(4324&lt;=1000,INDEX($A$2:$A$1001,4324),IF(4324&lt;=2000,INDEX($B$2:$B$1001,3324),IF(4324&lt;=3000,INDEX($C$2:$C$1001,2324),IF(4324&lt;=4000,INDEX($D$2:$D$1001,1324),IF(4324&lt;=5000,INDEX($E$2:$E$1001,324),"")))))</f>
        <v/>
      </c>
    </row>
    <row r="4326">
      <c r="G4326">
        <f>IF(4325&lt;=1000,INDEX($A$2:$A$1001,4325),IF(4325&lt;=2000,INDEX($B$2:$B$1001,3325),IF(4325&lt;=3000,INDEX($C$2:$C$1001,2325),IF(4325&lt;=4000,INDEX($D$2:$D$1001,1325),IF(4325&lt;=5000,INDEX($E$2:$E$1001,325),"")))))</f>
        <v/>
      </c>
    </row>
    <row r="4327">
      <c r="G4327">
        <f>IF(4326&lt;=1000,INDEX($A$2:$A$1001,4326),IF(4326&lt;=2000,INDEX($B$2:$B$1001,3326),IF(4326&lt;=3000,INDEX($C$2:$C$1001,2326),IF(4326&lt;=4000,INDEX($D$2:$D$1001,1326),IF(4326&lt;=5000,INDEX($E$2:$E$1001,326),"")))))</f>
        <v/>
      </c>
    </row>
    <row r="4328">
      <c r="G4328">
        <f>IF(4327&lt;=1000,INDEX($A$2:$A$1001,4327),IF(4327&lt;=2000,INDEX($B$2:$B$1001,3327),IF(4327&lt;=3000,INDEX($C$2:$C$1001,2327),IF(4327&lt;=4000,INDEX($D$2:$D$1001,1327),IF(4327&lt;=5000,INDEX($E$2:$E$1001,327),"")))))</f>
        <v/>
      </c>
    </row>
    <row r="4329">
      <c r="G4329">
        <f>IF(4328&lt;=1000,INDEX($A$2:$A$1001,4328),IF(4328&lt;=2000,INDEX($B$2:$B$1001,3328),IF(4328&lt;=3000,INDEX($C$2:$C$1001,2328),IF(4328&lt;=4000,INDEX($D$2:$D$1001,1328),IF(4328&lt;=5000,INDEX($E$2:$E$1001,328),"")))))</f>
        <v/>
      </c>
    </row>
    <row r="4330">
      <c r="G4330">
        <f>IF(4329&lt;=1000,INDEX($A$2:$A$1001,4329),IF(4329&lt;=2000,INDEX($B$2:$B$1001,3329),IF(4329&lt;=3000,INDEX($C$2:$C$1001,2329),IF(4329&lt;=4000,INDEX($D$2:$D$1001,1329),IF(4329&lt;=5000,INDEX($E$2:$E$1001,329),"")))))</f>
        <v/>
      </c>
    </row>
    <row r="4331">
      <c r="G4331">
        <f>IF(4330&lt;=1000,INDEX($A$2:$A$1001,4330),IF(4330&lt;=2000,INDEX($B$2:$B$1001,3330),IF(4330&lt;=3000,INDEX($C$2:$C$1001,2330),IF(4330&lt;=4000,INDEX($D$2:$D$1001,1330),IF(4330&lt;=5000,INDEX($E$2:$E$1001,330),"")))))</f>
        <v/>
      </c>
    </row>
    <row r="4332">
      <c r="G4332">
        <f>IF(4331&lt;=1000,INDEX($A$2:$A$1001,4331),IF(4331&lt;=2000,INDEX($B$2:$B$1001,3331),IF(4331&lt;=3000,INDEX($C$2:$C$1001,2331),IF(4331&lt;=4000,INDEX($D$2:$D$1001,1331),IF(4331&lt;=5000,INDEX($E$2:$E$1001,331),"")))))</f>
        <v/>
      </c>
    </row>
    <row r="4333">
      <c r="G4333">
        <f>IF(4332&lt;=1000,INDEX($A$2:$A$1001,4332),IF(4332&lt;=2000,INDEX($B$2:$B$1001,3332),IF(4332&lt;=3000,INDEX($C$2:$C$1001,2332),IF(4332&lt;=4000,INDEX($D$2:$D$1001,1332),IF(4332&lt;=5000,INDEX($E$2:$E$1001,332),"")))))</f>
        <v/>
      </c>
    </row>
    <row r="4334">
      <c r="G4334">
        <f>IF(4333&lt;=1000,INDEX($A$2:$A$1001,4333),IF(4333&lt;=2000,INDEX($B$2:$B$1001,3333),IF(4333&lt;=3000,INDEX($C$2:$C$1001,2333),IF(4333&lt;=4000,INDEX($D$2:$D$1001,1333),IF(4333&lt;=5000,INDEX($E$2:$E$1001,333),"")))))</f>
        <v/>
      </c>
    </row>
    <row r="4335">
      <c r="G4335">
        <f>IF(4334&lt;=1000,INDEX($A$2:$A$1001,4334),IF(4334&lt;=2000,INDEX($B$2:$B$1001,3334),IF(4334&lt;=3000,INDEX($C$2:$C$1001,2334),IF(4334&lt;=4000,INDEX($D$2:$D$1001,1334),IF(4334&lt;=5000,INDEX($E$2:$E$1001,334),"")))))</f>
        <v/>
      </c>
    </row>
    <row r="4336">
      <c r="G4336">
        <f>IF(4335&lt;=1000,INDEX($A$2:$A$1001,4335),IF(4335&lt;=2000,INDEX($B$2:$B$1001,3335),IF(4335&lt;=3000,INDEX($C$2:$C$1001,2335),IF(4335&lt;=4000,INDEX($D$2:$D$1001,1335),IF(4335&lt;=5000,INDEX($E$2:$E$1001,335),"")))))</f>
        <v/>
      </c>
    </row>
    <row r="4337">
      <c r="G4337">
        <f>IF(4336&lt;=1000,INDEX($A$2:$A$1001,4336),IF(4336&lt;=2000,INDEX($B$2:$B$1001,3336),IF(4336&lt;=3000,INDEX($C$2:$C$1001,2336),IF(4336&lt;=4000,INDEX($D$2:$D$1001,1336),IF(4336&lt;=5000,INDEX($E$2:$E$1001,336),"")))))</f>
        <v/>
      </c>
    </row>
    <row r="4338">
      <c r="G4338">
        <f>IF(4337&lt;=1000,INDEX($A$2:$A$1001,4337),IF(4337&lt;=2000,INDEX($B$2:$B$1001,3337),IF(4337&lt;=3000,INDEX($C$2:$C$1001,2337),IF(4337&lt;=4000,INDEX($D$2:$D$1001,1337),IF(4337&lt;=5000,INDEX($E$2:$E$1001,337),"")))))</f>
        <v/>
      </c>
    </row>
    <row r="4339">
      <c r="G4339">
        <f>IF(4338&lt;=1000,INDEX($A$2:$A$1001,4338),IF(4338&lt;=2000,INDEX($B$2:$B$1001,3338),IF(4338&lt;=3000,INDEX($C$2:$C$1001,2338),IF(4338&lt;=4000,INDEX($D$2:$D$1001,1338),IF(4338&lt;=5000,INDEX($E$2:$E$1001,338),"")))))</f>
        <v/>
      </c>
    </row>
    <row r="4340">
      <c r="G4340">
        <f>IF(4339&lt;=1000,INDEX($A$2:$A$1001,4339),IF(4339&lt;=2000,INDEX($B$2:$B$1001,3339),IF(4339&lt;=3000,INDEX($C$2:$C$1001,2339),IF(4339&lt;=4000,INDEX($D$2:$D$1001,1339),IF(4339&lt;=5000,INDEX($E$2:$E$1001,339),"")))))</f>
        <v/>
      </c>
    </row>
    <row r="4341">
      <c r="G4341">
        <f>IF(4340&lt;=1000,INDEX($A$2:$A$1001,4340),IF(4340&lt;=2000,INDEX($B$2:$B$1001,3340),IF(4340&lt;=3000,INDEX($C$2:$C$1001,2340),IF(4340&lt;=4000,INDEX($D$2:$D$1001,1340),IF(4340&lt;=5000,INDEX($E$2:$E$1001,340),"")))))</f>
        <v/>
      </c>
    </row>
    <row r="4342">
      <c r="G4342">
        <f>IF(4341&lt;=1000,INDEX($A$2:$A$1001,4341),IF(4341&lt;=2000,INDEX($B$2:$B$1001,3341),IF(4341&lt;=3000,INDEX($C$2:$C$1001,2341),IF(4341&lt;=4000,INDEX($D$2:$D$1001,1341),IF(4341&lt;=5000,INDEX($E$2:$E$1001,341),"")))))</f>
        <v/>
      </c>
    </row>
    <row r="4343">
      <c r="G4343">
        <f>IF(4342&lt;=1000,INDEX($A$2:$A$1001,4342),IF(4342&lt;=2000,INDEX($B$2:$B$1001,3342),IF(4342&lt;=3000,INDEX($C$2:$C$1001,2342),IF(4342&lt;=4000,INDEX($D$2:$D$1001,1342),IF(4342&lt;=5000,INDEX($E$2:$E$1001,342),"")))))</f>
        <v/>
      </c>
    </row>
    <row r="4344">
      <c r="G4344">
        <f>IF(4343&lt;=1000,INDEX($A$2:$A$1001,4343),IF(4343&lt;=2000,INDEX($B$2:$B$1001,3343),IF(4343&lt;=3000,INDEX($C$2:$C$1001,2343),IF(4343&lt;=4000,INDEX($D$2:$D$1001,1343),IF(4343&lt;=5000,INDEX($E$2:$E$1001,343),"")))))</f>
        <v/>
      </c>
    </row>
    <row r="4345">
      <c r="G4345">
        <f>IF(4344&lt;=1000,INDEX($A$2:$A$1001,4344),IF(4344&lt;=2000,INDEX($B$2:$B$1001,3344),IF(4344&lt;=3000,INDEX($C$2:$C$1001,2344),IF(4344&lt;=4000,INDEX($D$2:$D$1001,1344),IF(4344&lt;=5000,INDEX($E$2:$E$1001,344),"")))))</f>
        <v/>
      </c>
    </row>
    <row r="4346">
      <c r="G4346">
        <f>IF(4345&lt;=1000,INDEX($A$2:$A$1001,4345),IF(4345&lt;=2000,INDEX($B$2:$B$1001,3345),IF(4345&lt;=3000,INDEX($C$2:$C$1001,2345),IF(4345&lt;=4000,INDEX($D$2:$D$1001,1345),IF(4345&lt;=5000,INDEX($E$2:$E$1001,345),"")))))</f>
        <v/>
      </c>
    </row>
    <row r="4347">
      <c r="G4347">
        <f>IF(4346&lt;=1000,INDEX($A$2:$A$1001,4346),IF(4346&lt;=2000,INDEX($B$2:$B$1001,3346),IF(4346&lt;=3000,INDEX($C$2:$C$1001,2346),IF(4346&lt;=4000,INDEX($D$2:$D$1001,1346),IF(4346&lt;=5000,INDEX($E$2:$E$1001,346),"")))))</f>
        <v/>
      </c>
    </row>
    <row r="4348">
      <c r="G4348">
        <f>IF(4347&lt;=1000,INDEX($A$2:$A$1001,4347),IF(4347&lt;=2000,INDEX($B$2:$B$1001,3347),IF(4347&lt;=3000,INDEX($C$2:$C$1001,2347),IF(4347&lt;=4000,INDEX($D$2:$D$1001,1347),IF(4347&lt;=5000,INDEX($E$2:$E$1001,347),"")))))</f>
        <v/>
      </c>
    </row>
    <row r="4349">
      <c r="G4349">
        <f>IF(4348&lt;=1000,INDEX($A$2:$A$1001,4348),IF(4348&lt;=2000,INDEX($B$2:$B$1001,3348),IF(4348&lt;=3000,INDEX($C$2:$C$1001,2348),IF(4348&lt;=4000,INDEX($D$2:$D$1001,1348),IF(4348&lt;=5000,INDEX($E$2:$E$1001,348),"")))))</f>
        <v/>
      </c>
    </row>
    <row r="4350">
      <c r="G4350">
        <f>IF(4349&lt;=1000,INDEX($A$2:$A$1001,4349),IF(4349&lt;=2000,INDEX($B$2:$B$1001,3349),IF(4349&lt;=3000,INDEX($C$2:$C$1001,2349),IF(4349&lt;=4000,INDEX($D$2:$D$1001,1349),IF(4349&lt;=5000,INDEX($E$2:$E$1001,349),"")))))</f>
        <v/>
      </c>
    </row>
    <row r="4351">
      <c r="G4351">
        <f>IF(4350&lt;=1000,INDEX($A$2:$A$1001,4350),IF(4350&lt;=2000,INDEX($B$2:$B$1001,3350),IF(4350&lt;=3000,INDEX($C$2:$C$1001,2350),IF(4350&lt;=4000,INDEX($D$2:$D$1001,1350),IF(4350&lt;=5000,INDEX($E$2:$E$1001,350),"")))))</f>
        <v/>
      </c>
    </row>
    <row r="4352">
      <c r="G4352">
        <f>IF(4351&lt;=1000,INDEX($A$2:$A$1001,4351),IF(4351&lt;=2000,INDEX($B$2:$B$1001,3351),IF(4351&lt;=3000,INDEX($C$2:$C$1001,2351),IF(4351&lt;=4000,INDEX($D$2:$D$1001,1351),IF(4351&lt;=5000,INDEX($E$2:$E$1001,351),"")))))</f>
        <v/>
      </c>
    </row>
    <row r="4353">
      <c r="G4353">
        <f>IF(4352&lt;=1000,INDEX($A$2:$A$1001,4352),IF(4352&lt;=2000,INDEX($B$2:$B$1001,3352),IF(4352&lt;=3000,INDEX($C$2:$C$1001,2352),IF(4352&lt;=4000,INDEX($D$2:$D$1001,1352),IF(4352&lt;=5000,INDEX($E$2:$E$1001,352),"")))))</f>
        <v/>
      </c>
    </row>
    <row r="4354">
      <c r="G4354">
        <f>IF(4353&lt;=1000,INDEX($A$2:$A$1001,4353),IF(4353&lt;=2000,INDEX($B$2:$B$1001,3353),IF(4353&lt;=3000,INDEX($C$2:$C$1001,2353),IF(4353&lt;=4000,INDEX($D$2:$D$1001,1353),IF(4353&lt;=5000,INDEX($E$2:$E$1001,353),"")))))</f>
        <v/>
      </c>
    </row>
    <row r="4355">
      <c r="G4355">
        <f>IF(4354&lt;=1000,INDEX($A$2:$A$1001,4354),IF(4354&lt;=2000,INDEX($B$2:$B$1001,3354),IF(4354&lt;=3000,INDEX($C$2:$C$1001,2354),IF(4354&lt;=4000,INDEX($D$2:$D$1001,1354),IF(4354&lt;=5000,INDEX($E$2:$E$1001,354),"")))))</f>
        <v/>
      </c>
    </row>
    <row r="4356">
      <c r="G4356">
        <f>IF(4355&lt;=1000,INDEX($A$2:$A$1001,4355),IF(4355&lt;=2000,INDEX($B$2:$B$1001,3355),IF(4355&lt;=3000,INDEX($C$2:$C$1001,2355),IF(4355&lt;=4000,INDEX($D$2:$D$1001,1355),IF(4355&lt;=5000,INDEX($E$2:$E$1001,355),"")))))</f>
        <v/>
      </c>
    </row>
    <row r="4357">
      <c r="G4357">
        <f>IF(4356&lt;=1000,INDEX($A$2:$A$1001,4356),IF(4356&lt;=2000,INDEX($B$2:$B$1001,3356),IF(4356&lt;=3000,INDEX($C$2:$C$1001,2356),IF(4356&lt;=4000,INDEX($D$2:$D$1001,1356),IF(4356&lt;=5000,INDEX($E$2:$E$1001,356),"")))))</f>
        <v/>
      </c>
    </row>
    <row r="4358">
      <c r="G4358">
        <f>IF(4357&lt;=1000,INDEX($A$2:$A$1001,4357),IF(4357&lt;=2000,INDEX($B$2:$B$1001,3357),IF(4357&lt;=3000,INDEX($C$2:$C$1001,2357),IF(4357&lt;=4000,INDEX($D$2:$D$1001,1357),IF(4357&lt;=5000,INDEX($E$2:$E$1001,357),"")))))</f>
        <v/>
      </c>
    </row>
    <row r="4359">
      <c r="G4359">
        <f>IF(4358&lt;=1000,INDEX($A$2:$A$1001,4358),IF(4358&lt;=2000,INDEX($B$2:$B$1001,3358),IF(4358&lt;=3000,INDEX($C$2:$C$1001,2358),IF(4358&lt;=4000,INDEX($D$2:$D$1001,1358),IF(4358&lt;=5000,INDEX($E$2:$E$1001,358),"")))))</f>
        <v/>
      </c>
    </row>
    <row r="4360">
      <c r="G4360">
        <f>IF(4359&lt;=1000,INDEX($A$2:$A$1001,4359),IF(4359&lt;=2000,INDEX($B$2:$B$1001,3359),IF(4359&lt;=3000,INDEX($C$2:$C$1001,2359),IF(4359&lt;=4000,INDEX($D$2:$D$1001,1359),IF(4359&lt;=5000,INDEX($E$2:$E$1001,359),"")))))</f>
        <v/>
      </c>
    </row>
    <row r="4361">
      <c r="G4361">
        <f>IF(4360&lt;=1000,INDEX($A$2:$A$1001,4360),IF(4360&lt;=2000,INDEX($B$2:$B$1001,3360),IF(4360&lt;=3000,INDEX($C$2:$C$1001,2360),IF(4360&lt;=4000,INDEX($D$2:$D$1001,1360),IF(4360&lt;=5000,INDEX($E$2:$E$1001,360),"")))))</f>
        <v/>
      </c>
    </row>
    <row r="4362">
      <c r="G4362">
        <f>IF(4361&lt;=1000,INDEX($A$2:$A$1001,4361),IF(4361&lt;=2000,INDEX($B$2:$B$1001,3361),IF(4361&lt;=3000,INDEX($C$2:$C$1001,2361),IF(4361&lt;=4000,INDEX($D$2:$D$1001,1361),IF(4361&lt;=5000,INDEX($E$2:$E$1001,361),"")))))</f>
        <v/>
      </c>
    </row>
    <row r="4363">
      <c r="G4363">
        <f>IF(4362&lt;=1000,INDEX($A$2:$A$1001,4362),IF(4362&lt;=2000,INDEX($B$2:$B$1001,3362),IF(4362&lt;=3000,INDEX($C$2:$C$1001,2362),IF(4362&lt;=4000,INDEX($D$2:$D$1001,1362),IF(4362&lt;=5000,INDEX($E$2:$E$1001,362),"")))))</f>
        <v/>
      </c>
    </row>
    <row r="4364">
      <c r="G4364">
        <f>IF(4363&lt;=1000,INDEX($A$2:$A$1001,4363),IF(4363&lt;=2000,INDEX($B$2:$B$1001,3363),IF(4363&lt;=3000,INDEX($C$2:$C$1001,2363),IF(4363&lt;=4000,INDEX($D$2:$D$1001,1363),IF(4363&lt;=5000,INDEX($E$2:$E$1001,363),"")))))</f>
        <v/>
      </c>
    </row>
    <row r="4365">
      <c r="G4365">
        <f>IF(4364&lt;=1000,INDEX($A$2:$A$1001,4364),IF(4364&lt;=2000,INDEX($B$2:$B$1001,3364),IF(4364&lt;=3000,INDEX($C$2:$C$1001,2364),IF(4364&lt;=4000,INDEX($D$2:$D$1001,1364),IF(4364&lt;=5000,INDEX($E$2:$E$1001,364),"")))))</f>
        <v/>
      </c>
    </row>
    <row r="4366">
      <c r="G4366">
        <f>IF(4365&lt;=1000,INDEX($A$2:$A$1001,4365),IF(4365&lt;=2000,INDEX($B$2:$B$1001,3365),IF(4365&lt;=3000,INDEX($C$2:$C$1001,2365),IF(4365&lt;=4000,INDEX($D$2:$D$1001,1365),IF(4365&lt;=5000,INDEX($E$2:$E$1001,365),"")))))</f>
        <v/>
      </c>
    </row>
    <row r="4367">
      <c r="G4367">
        <f>IF(4366&lt;=1000,INDEX($A$2:$A$1001,4366),IF(4366&lt;=2000,INDEX($B$2:$B$1001,3366),IF(4366&lt;=3000,INDEX($C$2:$C$1001,2366),IF(4366&lt;=4000,INDEX($D$2:$D$1001,1366),IF(4366&lt;=5000,INDEX($E$2:$E$1001,366),"")))))</f>
        <v/>
      </c>
    </row>
    <row r="4368">
      <c r="G4368">
        <f>IF(4367&lt;=1000,INDEX($A$2:$A$1001,4367),IF(4367&lt;=2000,INDEX($B$2:$B$1001,3367),IF(4367&lt;=3000,INDEX($C$2:$C$1001,2367),IF(4367&lt;=4000,INDEX($D$2:$D$1001,1367),IF(4367&lt;=5000,INDEX($E$2:$E$1001,367),"")))))</f>
        <v/>
      </c>
    </row>
    <row r="4369">
      <c r="G4369">
        <f>IF(4368&lt;=1000,INDEX($A$2:$A$1001,4368),IF(4368&lt;=2000,INDEX($B$2:$B$1001,3368),IF(4368&lt;=3000,INDEX($C$2:$C$1001,2368),IF(4368&lt;=4000,INDEX($D$2:$D$1001,1368),IF(4368&lt;=5000,INDEX($E$2:$E$1001,368),"")))))</f>
        <v/>
      </c>
    </row>
    <row r="4370">
      <c r="G4370">
        <f>IF(4369&lt;=1000,INDEX($A$2:$A$1001,4369),IF(4369&lt;=2000,INDEX($B$2:$B$1001,3369),IF(4369&lt;=3000,INDEX($C$2:$C$1001,2369),IF(4369&lt;=4000,INDEX($D$2:$D$1001,1369),IF(4369&lt;=5000,INDEX($E$2:$E$1001,369),"")))))</f>
        <v/>
      </c>
    </row>
    <row r="4371">
      <c r="G4371">
        <f>IF(4370&lt;=1000,INDEX($A$2:$A$1001,4370),IF(4370&lt;=2000,INDEX($B$2:$B$1001,3370),IF(4370&lt;=3000,INDEX($C$2:$C$1001,2370),IF(4370&lt;=4000,INDEX($D$2:$D$1001,1370),IF(4370&lt;=5000,INDEX($E$2:$E$1001,370),"")))))</f>
        <v/>
      </c>
    </row>
    <row r="4372">
      <c r="G4372">
        <f>IF(4371&lt;=1000,INDEX($A$2:$A$1001,4371),IF(4371&lt;=2000,INDEX($B$2:$B$1001,3371),IF(4371&lt;=3000,INDEX($C$2:$C$1001,2371),IF(4371&lt;=4000,INDEX($D$2:$D$1001,1371),IF(4371&lt;=5000,INDEX($E$2:$E$1001,371),"")))))</f>
        <v/>
      </c>
    </row>
    <row r="4373">
      <c r="G4373">
        <f>IF(4372&lt;=1000,INDEX($A$2:$A$1001,4372),IF(4372&lt;=2000,INDEX($B$2:$B$1001,3372),IF(4372&lt;=3000,INDEX($C$2:$C$1001,2372),IF(4372&lt;=4000,INDEX($D$2:$D$1001,1372),IF(4372&lt;=5000,INDEX($E$2:$E$1001,372),"")))))</f>
        <v/>
      </c>
    </row>
    <row r="4374">
      <c r="G4374">
        <f>IF(4373&lt;=1000,INDEX($A$2:$A$1001,4373),IF(4373&lt;=2000,INDEX($B$2:$B$1001,3373),IF(4373&lt;=3000,INDEX($C$2:$C$1001,2373),IF(4373&lt;=4000,INDEX($D$2:$D$1001,1373),IF(4373&lt;=5000,INDEX($E$2:$E$1001,373),"")))))</f>
        <v/>
      </c>
    </row>
    <row r="4375">
      <c r="G4375">
        <f>IF(4374&lt;=1000,INDEX($A$2:$A$1001,4374),IF(4374&lt;=2000,INDEX($B$2:$B$1001,3374),IF(4374&lt;=3000,INDEX($C$2:$C$1001,2374),IF(4374&lt;=4000,INDEX($D$2:$D$1001,1374),IF(4374&lt;=5000,INDEX($E$2:$E$1001,374),"")))))</f>
        <v/>
      </c>
    </row>
    <row r="4376">
      <c r="G4376">
        <f>IF(4375&lt;=1000,INDEX($A$2:$A$1001,4375),IF(4375&lt;=2000,INDEX($B$2:$B$1001,3375),IF(4375&lt;=3000,INDEX($C$2:$C$1001,2375),IF(4375&lt;=4000,INDEX($D$2:$D$1001,1375),IF(4375&lt;=5000,INDEX($E$2:$E$1001,375),"")))))</f>
        <v/>
      </c>
    </row>
    <row r="4377">
      <c r="G4377">
        <f>IF(4376&lt;=1000,INDEX($A$2:$A$1001,4376),IF(4376&lt;=2000,INDEX($B$2:$B$1001,3376),IF(4376&lt;=3000,INDEX($C$2:$C$1001,2376),IF(4376&lt;=4000,INDEX($D$2:$D$1001,1376),IF(4376&lt;=5000,INDEX($E$2:$E$1001,376),"")))))</f>
        <v/>
      </c>
    </row>
    <row r="4378">
      <c r="G4378">
        <f>IF(4377&lt;=1000,INDEX($A$2:$A$1001,4377),IF(4377&lt;=2000,INDEX($B$2:$B$1001,3377),IF(4377&lt;=3000,INDEX($C$2:$C$1001,2377),IF(4377&lt;=4000,INDEX($D$2:$D$1001,1377),IF(4377&lt;=5000,INDEX($E$2:$E$1001,377),"")))))</f>
        <v/>
      </c>
    </row>
    <row r="4379">
      <c r="G4379">
        <f>IF(4378&lt;=1000,INDEX($A$2:$A$1001,4378),IF(4378&lt;=2000,INDEX($B$2:$B$1001,3378),IF(4378&lt;=3000,INDEX($C$2:$C$1001,2378),IF(4378&lt;=4000,INDEX($D$2:$D$1001,1378),IF(4378&lt;=5000,INDEX($E$2:$E$1001,378),"")))))</f>
        <v/>
      </c>
    </row>
    <row r="4380">
      <c r="G4380">
        <f>IF(4379&lt;=1000,INDEX($A$2:$A$1001,4379),IF(4379&lt;=2000,INDEX($B$2:$B$1001,3379),IF(4379&lt;=3000,INDEX($C$2:$C$1001,2379),IF(4379&lt;=4000,INDEX($D$2:$D$1001,1379),IF(4379&lt;=5000,INDEX($E$2:$E$1001,379),"")))))</f>
        <v/>
      </c>
    </row>
    <row r="4381">
      <c r="G4381">
        <f>IF(4380&lt;=1000,INDEX($A$2:$A$1001,4380),IF(4380&lt;=2000,INDEX($B$2:$B$1001,3380),IF(4380&lt;=3000,INDEX($C$2:$C$1001,2380),IF(4380&lt;=4000,INDEX($D$2:$D$1001,1380),IF(4380&lt;=5000,INDEX($E$2:$E$1001,380),"")))))</f>
        <v/>
      </c>
    </row>
    <row r="4382">
      <c r="G4382">
        <f>IF(4381&lt;=1000,INDEX($A$2:$A$1001,4381),IF(4381&lt;=2000,INDEX($B$2:$B$1001,3381),IF(4381&lt;=3000,INDEX($C$2:$C$1001,2381),IF(4381&lt;=4000,INDEX($D$2:$D$1001,1381),IF(4381&lt;=5000,INDEX($E$2:$E$1001,381),"")))))</f>
        <v/>
      </c>
    </row>
    <row r="4383">
      <c r="G4383">
        <f>IF(4382&lt;=1000,INDEX($A$2:$A$1001,4382),IF(4382&lt;=2000,INDEX($B$2:$B$1001,3382),IF(4382&lt;=3000,INDEX($C$2:$C$1001,2382),IF(4382&lt;=4000,INDEX($D$2:$D$1001,1382),IF(4382&lt;=5000,INDEX($E$2:$E$1001,382),"")))))</f>
        <v/>
      </c>
    </row>
    <row r="4384">
      <c r="G4384">
        <f>IF(4383&lt;=1000,INDEX($A$2:$A$1001,4383),IF(4383&lt;=2000,INDEX($B$2:$B$1001,3383),IF(4383&lt;=3000,INDEX($C$2:$C$1001,2383),IF(4383&lt;=4000,INDEX($D$2:$D$1001,1383),IF(4383&lt;=5000,INDEX($E$2:$E$1001,383),"")))))</f>
        <v/>
      </c>
    </row>
    <row r="4385">
      <c r="G4385">
        <f>IF(4384&lt;=1000,INDEX($A$2:$A$1001,4384),IF(4384&lt;=2000,INDEX($B$2:$B$1001,3384),IF(4384&lt;=3000,INDEX($C$2:$C$1001,2384),IF(4384&lt;=4000,INDEX($D$2:$D$1001,1384),IF(4384&lt;=5000,INDEX($E$2:$E$1001,384),"")))))</f>
        <v/>
      </c>
    </row>
    <row r="4386">
      <c r="G4386">
        <f>IF(4385&lt;=1000,INDEX($A$2:$A$1001,4385),IF(4385&lt;=2000,INDEX($B$2:$B$1001,3385),IF(4385&lt;=3000,INDEX($C$2:$C$1001,2385),IF(4385&lt;=4000,INDEX($D$2:$D$1001,1385),IF(4385&lt;=5000,INDEX($E$2:$E$1001,385),"")))))</f>
        <v/>
      </c>
    </row>
    <row r="4387">
      <c r="G4387">
        <f>IF(4386&lt;=1000,INDEX($A$2:$A$1001,4386),IF(4386&lt;=2000,INDEX($B$2:$B$1001,3386),IF(4386&lt;=3000,INDEX($C$2:$C$1001,2386),IF(4386&lt;=4000,INDEX($D$2:$D$1001,1386),IF(4386&lt;=5000,INDEX($E$2:$E$1001,386),"")))))</f>
        <v/>
      </c>
    </row>
    <row r="4388">
      <c r="G4388">
        <f>IF(4387&lt;=1000,INDEX($A$2:$A$1001,4387),IF(4387&lt;=2000,INDEX($B$2:$B$1001,3387),IF(4387&lt;=3000,INDEX($C$2:$C$1001,2387),IF(4387&lt;=4000,INDEX($D$2:$D$1001,1387),IF(4387&lt;=5000,INDEX($E$2:$E$1001,387),"")))))</f>
        <v/>
      </c>
    </row>
    <row r="4389">
      <c r="G4389">
        <f>IF(4388&lt;=1000,INDEX($A$2:$A$1001,4388),IF(4388&lt;=2000,INDEX($B$2:$B$1001,3388),IF(4388&lt;=3000,INDEX($C$2:$C$1001,2388),IF(4388&lt;=4000,INDEX($D$2:$D$1001,1388),IF(4388&lt;=5000,INDEX($E$2:$E$1001,388),"")))))</f>
        <v/>
      </c>
    </row>
    <row r="4390">
      <c r="G4390">
        <f>IF(4389&lt;=1000,INDEX($A$2:$A$1001,4389),IF(4389&lt;=2000,INDEX($B$2:$B$1001,3389),IF(4389&lt;=3000,INDEX($C$2:$C$1001,2389),IF(4389&lt;=4000,INDEX($D$2:$D$1001,1389),IF(4389&lt;=5000,INDEX($E$2:$E$1001,389),"")))))</f>
        <v/>
      </c>
    </row>
    <row r="4391">
      <c r="G4391">
        <f>IF(4390&lt;=1000,INDEX($A$2:$A$1001,4390),IF(4390&lt;=2000,INDEX($B$2:$B$1001,3390),IF(4390&lt;=3000,INDEX($C$2:$C$1001,2390),IF(4390&lt;=4000,INDEX($D$2:$D$1001,1390),IF(4390&lt;=5000,INDEX($E$2:$E$1001,390),"")))))</f>
        <v/>
      </c>
    </row>
    <row r="4392">
      <c r="G4392">
        <f>IF(4391&lt;=1000,INDEX($A$2:$A$1001,4391),IF(4391&lt;=2000,INDEX($B$2:$B$1001,3391),IF(4391&lt;=3000,INDEX($C$2:$C$1001,2391),IF(4391&lt;=4000,INDEX($D$2:$D$1001,1391),IF(4391&lt;=5000,INDEX($E$2:$E$1001,391),"")))))</f>
        <v/>
      </c>
    </row>
    <row r="4393">
      <c r="G4393">
        <f>IF(4392&lt;=1000,INDEX($A$2:$A$1001,4392),IF(4392&lt;=2000,INDEX($B$2:$B$1001,3392),IF(4392&lt;=3000,INDEX($C$2:$C$1001,2392),IF(4392&lt;=4000,INDEX($D$2:$D$1001,1392),IF(4392&lt;=5000,INDEX($E$2:$E$1001,392),"")))))</f>
        <v/>
      </c>
    </row>
    <row r="4394">
      <c r="G4394">
        <f>IF(4393&lt;=1000,INDEX($A$2:$A$1001,4393),IF(4393&lt;=2000,INDEX($B$2:$B$1001,3393),IF(4393&lt;=3000,INDEX($C$2:$C$1001,2393),IF(4393&lt;=4000,INDEX($D$2:$D$1001,1393),IF(4393&lt;=5000,INDEX($E$2:$E$1001,393),"")))))</f>
        <v/>
      </c>
    </row>
    <row r="4395">
      <c r="G4395">
        <f>IF(4394&lt;=1000,INDEX($A$2:$A$1001,4394),IF(4394&lt;=2000,INDEX($B$2:$B$1001,3394),IF(4394&lt;=3000,INDEX($C$2:$C$1001,2394),IF(4394&lt;=4000,INDEX($D$2:$D$1001,1394),IF(4394&lt;=5000,INDEX($E$2:$E$1001,394),"")))))</f>
        <v/>
      </c>
    </row>
    <row r="4396">
      <c r="G4396">
        <f>IF(4395&lt;=1000,INDEX($A$2:$A$1001,4395),IF(4395&lt;=2000,INDEX($B$2:$B$1001,3395),IF(4395&lt;=3000,INDEX($C$2:$C$1001,2395),IF(4395&lt;=4000,INDEX($D$2:$D$1001,1395),IF(4395&lt;=5000,INDEX($E$2:$E$1001,395),"")))))</f>
        <v/>
      </c>
    </row>
    <row r="4397">
      <c r="G4397">
        <f>IF(4396&lt;=1000,INDEX($A$2:$A$1001,4396),IF(4396&lt;=2000,INDEX($B$2:$B$1001,3396),IF(4396&lt;=3000,INDEX($C$2:$C$1001,2396),IF(4396&lt;=4000,INDEX($D$2:$D$1001,1396),IF(4396&lt;=5000,INDEX($E$2:$E$1001,396),"")))))</f>
        <v/>
      </c>
    </row>
    <row r="4398">
      <c r="G4398">
        <f>IF(4397&lt;=1000,INDEX($A$2:$A$1001,4397),IF(4397&lt;=2000,INDEX($B$2:$B$1001,3397),IF(4397&lt;=3000,INDEX($C$2:$C$1001,2397),IF(4397&lt;=4000,INDEX($D$2:$D$1001,1397),IF(4397&lt;=5000,INDEX($E$2:$E$1001,397),"")))))</f>
        <v/>
      </c>
    </row>
    <row r="4399">
      <c r="G4399">
        <f>IF(4398&lt;=1000,INDEX($A$2:$A$1001,4398),IF(4398&lt;=2000,INDEX($B$2:$B$1001,3398),IF(4398&lt;=3000,INDEX($C$2:$C$1001,2398),IF(4398&lt;=4000,INDEX($D$2:$D$1001,1398),IF(4398&lt;=5000,INDEX($E$2:$E$1001,398),"")))))</f>
        <v/>
      </c>
    </row>
    <row r="4400">
      <c r="G4400">
        <f>IF(4399&lt;=1000,INDEX($A$2:$A$1001,4399),IF(4399&lt;=2000,INDEX($B$2:$B$1001,3399),IF(4399&lt;=3000,INDEX($C$2:$C$1001,2399),IF(4399&lt;=4000,INDEX($D$2:$D$1001,1399),IF(4399&lt;=5000,INDEX($E$2:$E$1001,399),"")))))</f>
        <v/>
      </c>
    </row>
    <row r="4401">
      <c r="G4401">
        <f>IF(4400&lt;=1000,INDEX($A$2:$A$1001,4400),IF(4400&lt;=2000,INDEX($B$2:$B$1001,3400),IF(4400&lt;=3000,INDEX($C$2:$C$1001,2400),IF(4400&lt;=4000,INDEX($D$2:$D$1001,1400),IF(4400&lt;=5000,INDEX($E$2:$E$1001,400),"")))))</f>
        <v/>
      </c>
    </row>
    <row r="4402">
      <c r="G4402">
        <f>IF(4401&lt;=1000,INDEX($A$2:$A$1001,4401),IF(4401&lt;=2000,INDEX($B$2:$B$1001,3401),IF(4401&lt;=3000,INDEX($C$2:$C$1001,2401),IF(4401&lt;=4000,INDEX($D$2:$D$1001,1401),IF(4401&lt;=5000,INDEX($E$2:$E$1001,401),"")))))</f>
        <v/>
      </c>
    </row>
    <row r="4403">
      <c r="G4403">
        <f>IF(4402&lt;=1000,INDEX($A$2:$A$1001,4402),IF(4402&lt;=2000,INDEX($B$2:$B$1001,3402),IF(4402&lt;=3000,INDEX($C$2:$C$1001,2402),IF(4402&lt;=4000,INDEX($D$2:$D$1001,1402),IF(4402&lt;=5000,INDEX($E$2:$E$1001,402),"")))))</f>
        <v/>
      </c>
    </row>
    <row r="4404">
      <c r="G4404">
        <f>IF(4403&lt;=1000,INDEX($A$2:$A$1001,4403),IF(4403&lt;=2000,INDEX($B$2:$B$1001,3403),IF(4403&lt;=3000,INDEX($C$2:$C$1001,2403),IF(4403&lt;=4000,INDEX($D$2:$D$1001,1403),IF(4403&lt;=5000,INDEX($E$2:$E$1001,403),"")))))</f>
        <v/>
      </c>
    </row>
    <row r="4405">
      <c r="G4405">
        <f>IF(4404&lt;=1000,INDEX($A$2:$A$1001,4404),IF(4404&lt;=2000,INDEX($B$2:$B$1001,3404),IF(4404&lt;=3000,INDEX($C$2:$C$1001,2404),IF(4404&lt;=4000,INDEX($D$2:$D$1001,1404),IF(4404&lt;=5000,INDEX($E$2:$E$1001,404),"")))))</f>
        <v/>
      </c>
    </row>
    <row r="4406">
      <c r="G4406">
        <f>IF(4405&lt;=1000,INDEX($A$2:$A$1001,4405),IF(4405&lt;=2000,INDEX($B$2:$B$1001,3405),IF(4405&lt;=3000,INDEX($C$2:$C$1001,2405),IF(4405&lt;=4000,INDEX($D$2:$D$1001,1405),IF(4405&lt;=5000,INDEX($E$2:$E$1001,405),"")))))</f>
        <v/>
      </c>
    </row>
    <row r="4407">
      <c r="G4407">
        <f>IF(4406&lt;=1000,INDEX($A$2:$A$1001,4406),IF(4406&lt;=2000,INDEX($B$2:$B$1001,3406),IF(4406&lt;=3000,INDEX($C$2:$C$1001,2406),IF(4406&lt;=4000,INDEX($D$2:$D$1001,1406),IF(4406&lt;=5000,INDEX($E$2:$E$1001,406),"")))))</f>
        <v/>
      </c>
    </row>
    <row r="4408">
      <c r="G4408">
        <f>IF(4407&lt;=1000,INDEX($A$2:$A$1001,4407),IF(4407&lt;=2000,INDEX($B$2:$B$1001,3407),IF(4407&lt;=3000,INDEX($C$2:$C$1001,2407),IF(4407&lt;=4000,INDEX($D$2:$D$1001,1407),IF(4407&lt;=5000,INDEX($E$2:$E$1001,407),"")))))</f>
        <v/>
      </c>
    </row>
    <row r="4409">
      <c r="G4409">
        <f>IF(4408&lt;=1000,INDEX($A$2:$A$1001,4408),IF(4408&lt;=2000,INDEX($B$2:$B$1001,3408),IF(4408&lt;=3000,INDEX($C$2:$C$1001,2408),IF(4408&lt;=4000,INDEX($D$2:$D$1001,1408),IF(4408&lt;=5000,INDEX($E$2:$E$1001,408),"")))))</f>
        <v/>
      </c>
    </row>
    <row r="4410">
      <c r="G4410">
        <f>IF(4409&lt;=1000,INDEX($A$2:$A$1001,4409),IF(4409&lt;=2000,INDEX($B$2:$B$1001,3409),IF(4409&lt;=3000,INDEX($C$2:$C$1001,2409),IF(4409&lt;=4000,INDEX($D$2:$D$1001,1409),IF(4409&lt;=5000,INDEX($E$2:$E$1001,409),"")))))</f>
        <v/>
      </c>
    </row>
    <row r="4411">
      <c r="G4411">
        <f>IF(4410&lt;=1000,INDEX($A$2:$A$1001,4410),IF(4410&lt;=2000,INDEX($B$2:$B$1001,3410),IF(4410&lt;=3000,INDEX($C$2:$C$1001,2410),IF(4410&lt;=4000,INDEX($D$2:$D$1001,1410),IF(4410&lt;=5000,INDEX($E$2:$E$1001,410),"")))))</f>
        <v/>
      </c>
    </row>
    <row r="4412">
      <c r="G4412">
        <f>IF(4411&lt;=1000,INDEX($A$2:$A$1001,4411),IF(4411&lt;=2000,INDEX($B$2:$B$1001,3411),IF(4411&lt;=3000,INDEX($C$2:$C$1001,2411),IF(4411&lt;=4000,INDEX($D$2:$D$1001,1411),IF(4411&lt;=5000,INDEX($E$2:$E$1001,411),"")))))</f>
        <v/>
      </c>
    </row>
    <row r="4413">
      <c r="G4413">
        <f>IF(4412&lt;=1000,INDEX($A$2:$A$1001,4412),IF(4412&lt;=2000,INDEX($B$2:$B$1001,3412),IF(4412&lt;=3000,INDEX($C$2:$C$1001,2412),IF(4412&lt;=4000,INDEX($D$2:$D$1001,1412),IF(4412&lt;=5000,INDEX($E$2:$E$1001,412),"")))))</f>
        <v/>
      </c>
    </row>
    <row r="4414">
      <c r="G4414">
        <f>IF(4413&lt;=1000,INDEX($A$2:$A$1001,4413),IF(4413&lt;=2000,INDEX($B$2:$B$1001,3413),IF(4413&lt;=3000,INDEX($C$2:$C$1001,2413),IF(4413&lt;=4000,INDEX($D$2:$D$1001,1413),IF(4413&lt;=5000,INDEX($E$2:$E$1001,413),"")))))</f>
        <v/>
      </c>
    </row>
    <row r="4415">
      <c r="G4415">
        <f>IF(4414&lt;=1000,INDEX($A$2:$A$1001,4414),IF(4414&lt;=2000,INDEX($B$2:$B$1001,3414),IF(4414&lt;=3000,INDEX($C$2:$C$1001,2414),IF(4414&lt;=4000,INDEX($D$2:$D$1001,1414),IF(4414&lt;=5000,INDEX($E$2:$E$1001,414),"")))))</f>
        <v/>
      </c>
    </row>
    <row r="4416">
      <c r="G4416">
        <f>IF(4415&lt;=1000,INDEX($A$2:$A$1001,4415),IF(4415&lt;=2000,INDEX($B$2:$B$1001,3415),IF(4415&lt;=3000,INDEX($C$2:$C$1001,2415),IF(4415&lt;=4000,INDEX($D$2:$D$1001,1415),IF(4415&lt;=5000,INDEX($E$2:$E$1001,415),"")))))</f>
        <v/>
      </c>
    </row>
    <row r="4417">
      <c r="G4417">
        <f>IF(4416&lt;=1000,INDEX($A$2:$A$1001,4416),IF(4416&lt;=2000,INDEX($B$2:$B$1001,3416),IF(4416&lt;=3000,INDEX($C$2:$C$1001,2416),IF(4416&lt;=4000,INDEX($D$2:$D$1001,1416),IF(4416&lt;=5000,INDEX($E$2:$E$1001,416),"")))))</f>
        <v/>
      </c>
    </row>
    <row r="4418">
      <c r="G4418">
        <f>IF(4417&lt;=1000,INDEX($A$2:$A$1001,4417),IF(4417&lt;=2000,INDEX($B$2:$B$1001,3417),IF(4417&lt;=3000,INDEX($C$2:$C$1001,2417),IF(4417&lt;=4000,INDEX($D$2:$D$1001,1417),IF(4417&lt;=5000,INDEX($E$2:$E$1001,417),"")))))</f>
        <v/>
      </c>
    </row>
    <row r="4419">
      <c r="G4419">
        <f>IF(4418&lt;=1000,INDEX($A$2:$A$1001,4418),IF(4418&lt;=2000,INDEX($B$2:$B$1001,3418),IF(4418&lt;=3000,INDEX($C$2:$C$1001,2418),IF(4418&lt;=4000,INDEX($D$2:$D$1001,1418),IF(4418&lt;=5000,INDEX($E$2:$E$1001,418),"")))))</f>
        <v/>
      </c>
    </row>
    <row r="4420">
      <c r="G4420">
        <f>IF(4419&lt;=1000,INDEX($A$2:$A$1001,4419),IF(4419&lt;=2000,INDEX($B$2:$B$1001,3419),IF(4419&lt;=3000,INDEX($C$2:$C$1001,2419),IF(4419&lt;=4000,INDEX($D$2:$D$1001,1419),IF(4419&lt;=5000,INDEX($E$2:$E$1001,419),"")))))</f>
        <v/>
      </c>
    </row>
    <row r="4421">
      <c r="G4421">
        <f>IF(4420&lt;=1000,INDEX($A$2:$A$1001,4420),IF(4420&lt;=2000,INDEX($B$2:$B$1001,3420),IF(4420&lt;=3000,INDEX($C$2:$C$1001,2420),IF(4420&lt;=4000,INDEX($D$2:$D$1001,1420),IF(4420&lt;=5000,INDEX($E$2:$E$1001,420),"")))))</f>
        <v/>
      </c>
    </row>
    <row r="4422">
      <c r="G4422">
        <f>IF(4421&lt;=1000,INDEX($A$2:$A$1001,4421),IF(4421&lt;=2000,INDEX($B$2:$B$1001,3421),IF(4421&lt;=3000,INDEX($C$2:$C$1001,2421),IF(4421&lt;=4000,INDEX($D$2:$D$1001,1421),IF(4421&lt;=5000,INDEX($E$2:$E$1001,421),"")))))</f>
        <v/>
      </c>
    </row>
    <row r="4423">
      <c r="G4423">
        <f>IF(4422&lt;=1000,INDEX($A$2:$A$1001,4422),IF(4422&lt;=2000,INDEX($B$2:$B$1001,3422),IF(4422&lt;=3000,INDEX($C$2:$C$1001,2422),IF(4422&lt;=4000,INDEX($D$2:$D$1001,1422),IF(4422&lt;=5000,INDEX($E$2:$E$1001,422),"")))))</f>
        <v/>
      </c>
    </row>
    <row r="4424">
      <c r="G4424">
        <f>IF(4423&lt;=1000,INDEX($A$2:$A$1001,4423),IF(4423&lt;=2000,INDEX($B$2:$B$1001,3423),IF(4423&lt;=3000,INDEX($C$2:$C$1001,2423),IF(4423&lt;=4000,INDEX($D$2:$D$1001,1423),IF(4423&lt;=5000,INDEX($E$2:$E$1001,423),"")))))</f>
        <v/>
      </c>
    </row>
    <row r="4425">
      <c r="G4425">
        <f>IF(4424&lt;=1000,INDEX($A$2:$A$1001,4424),IF(4424&lt;=2000,INDEX($B$2:$B$1001,3424),IF(4424&lt;=3000,INDEX($C$2:$C$1001,2424),IF(4424&lt;=4000,INDEX($D$2:$D$1001,1424),IF(4424&lt;=5000,INDEX($E$2:$E$1001,424),"")))))</f>
        <v/>
      </c>
    </row>
    <row r="4426">
      <c r="G4426">
        <f>IF(4425&lt;=1000,INDEX($A$2:$A$1001,4425),IF(4425&lt;=2000,INDEX($B$2:$B$1001,3425),IF(4425&lt;=3000,INDEX($C$2:$C$1001,2425),IF(4425&lt;=4000,INDEX($D$2:$D$1001,1425),IF(4425&lt;=5000,INDEX($E$2:$E$1001,425),"")))))</f>
        <v/>
      </c>
    </row>
    <row r="4427">
      <c r="G4427">
        <f>IF(4426&lt;=1000,INDEX($A$2:$A$1001,4426),IF(4426&lt;=2000,INDEX($B$2:$B$1001,3426),IF(4426&lt;=3000,INDEX($C$2:$C$1001,2426),IF(4426&lt;=4000,INDEX($D$2:$D$1001,1426),IF(4426&lt;=5000,INDEX($E$2:$E$1001,426),"")))))</f>
        <v/>
      </c>
    </row>
    <row r="4428">
      <c r="G4428">
        <f>IF(4427&lt;=1000,INDEX($A$2:$A$1001,4427),IF(4427&lt;=2000,INDEX($B$2:$B$1001,3427),IF(4427&lt;=3000,INDEX($C$2:$C$1001,2427),IF(4427&lt;=4000,INDEX($D$2:$D$1001,1427),IF(4427&lt;=5000,INDEX($E$2:$E$1001,427),"")))))</f>
        <v/>
      </c>
    </row>
    <row r="4429">
      <c r="G4429">
        <f>IF(4428&lt;=1000,INDEX($A$2:$A$1001,4428),IF(4428&lt;=2000,INDEX($B$2:$B$1001,3428),IF(4428&lt;=3000,INDEX($C$2:$C$1001,2428),IF(4428&lt;=4000,INDEX($D$2:$D$1001,1428),IF(4428&lt;=5000,INDEX($E$2:$E$1001,428),"")))))</f>
        <v/>
      </c>
    </row>
    <row r="4430">
      <c r="G4430">
        <f>IF(4429&lt;=1000,INDEX($A$2:$A$1001,4429),IF(4429&lt;=2000,INDEX($B$2:$B$1001,3429),IF(4429&lt;=3000,INDEX($C$2:$C$1001,2429),IF(4429&lt;=4000,INDEX($D$2:$D$1001,1429),IF(4429&lt;=5000,INDEX($E$2:$E$1001,429),"")))))</f>
        <v/>
      </c>
    </row>
    <row r="4431">
      <c r="G4431">
        <f>IF(4430&lt;=1000,INDEX($A$2:$A$1001,4430),IF(4430&lt;=2000,INDEX($B$2:$B$1001,3430),IF(4430&lt;=3000,INDEX($C$2:$C$1001,2430),IF(4430&lt;=4000,INDEX($D$2:$D$1001,1430),IF(4430&lt;=5000,INDEX($E$2:$E$1001,430),"")))))</f>
        <v/>
      </c>
    </row>
    <row r="4432">
      <c r="G4432">
        <f>IF(4431&lt;=1000,INDEX($A$2:$A$1001,4431),IF(4431&lt;=2000,INDEX($B$2:$B$1001,3431),IF(4431&lt;=3000,INDEX($C$2:$C$1001,2431),IF(4431&lt;=4000,INDEX($D$2:$D$1001,1431),IF(4431&lt;=5000,INDEX($E$2:$E$1001,431),"")))))</f>
        <v/>
      </c>
    </row>
    <row r="4433">
      <c r="G4433">
        <f>IF(4432&lt;=1000,INDEX($A$2:$A$1001,4432),IF(4432&lt;=2000,INDEX($B$2:$B$1001,3432),IF(4432&lt;=3000,INDEX($C$2:$C$1001,2432),IF(4432&lt;=4000,INDEX($D$2:$D$1001,1432),IF(4432&lt;=5000,INDEX($E$2:$E$1001,432),"")))))</f>
        <v/>
      </c>
    </row>
    <row r="4434">
      <c r="G4434">
        <f>IF(4433&lt;=1000,INDEX($A$2:$A$1001,4433),IF(4433&lt;=2000,INDEX($B$2:$B$1001,3433),IF(4433&lt;=3000,INDEX($C$2:$C$1001,2433),IF(4433&lt;=4000,INDEX($D$2:$D$1001,1433),IF(4433&lt;=5000,INDEX($E$2:$E$1001,433),"")))))</f>
        <v/>
      </c>
    </row>
    <row r="4435">
      <c r="G4435">
        <f>IF(4434&lt;=1000,INDEX($A$2:$A$1001,4434),IF(4434&lt;=2000,INDEX($B$2:$B$1001,3434),IF(4434&lt;=3000,INDEX($C$2:$C$1001,2434),IF(4434&lt;=4000,INDEX($D$2:$D$1001,1434),IF(4434&lt;=5000,INDEX($E$2:$E$1001,434),"")))))</f>
        <v/>
      </c>
    </row>
    <row r="4436">
      <c r="G4436">
        <f>IF(4435&lt;=1000,INDEX($A$2:$A$1001,4435),IF(4435&lt;=2000,INDEX($B$2:$B$1001,3435),IF(4435&lt;=3000,INDEX($C$2:$C$1001,2435),IF(4435&lt;=4000,INDEX($D$2:$D$1001,1435),IF(4435&lt;=5000,INDEX($E$2:$E$1001,435),"")))))</f>
        <v/>
      </c>
    </row>
    <row r="4437">
      <c r="G4437">
        <f>IF(4436&lt;=1000,INDEX($A$2:$A$1001,4436),IF(4436&lt;=2000,INDEX($B$2:$B$1001,3436),IF(4436&lt;=3000,INDEX($C$2:$C$1001,2436),IF(4436&lt;=4000,INDEX($D$2:$D$1001,1436),IF(4436&lt;=5000,INDEX($E$2:$E$1001,436),"")))))</f>
        <v/>
      </c>
    </row>
    <row r="4438">
      <c r="G4438">
        <f>IF(4437&lt;=1000,INDEX($A$2:$A$1001,4437),IF(4437&lt;=2000,INDEX($B$2:$B$1001,3437),IF(4437&lt;=3000,INDEX($C$2:$C$1001,2437),IF(4437&lt;=4000,INDEX($D$2:$D$1001,1437),IF(4437&lt;=5000,INDEX($E$2:$E$1001,437),"")))))</f>
        <v/>
      </c>
    </row>
    <row r="4439">
      <c r="G4439">
        <f>IF(4438&lt;=1000,INDEX($A$2:$A$1001,4438),IF(4438&lt;=2000,INDEX($B$2:$B$1001,3438),IF(4438&lt;=3000,INDEX($C$2:$C$1001,2438),IF(4438&lt;=4000,INDEX($D$2:$D$1001,1438),IF(4438&lt;=5000,INDEX($E$2:$E$1001,438),"")))))</f>
        <v/>
      </c>
    </row>
    <row r="4440">
      <c r="G4440">
        <f>IF(4439&lt;=1000,INDEX($A$2:$A$1001,4439),IF(4439&lt;=2000,INDEX($B$2:$B$1001,3439),IF(4439&lt;=3000,INDEX($C$2:$C$1001,2439),IF(4439&lt;=4000,INDEX($D$2:$D$1001,1439),IF(4439&lt;=5000,INDEX($E$2:$E$1001,439),"")))))</f>
        <v/>
      </c>
    </row>
    <row r="4441">
      <c r="G4441">
        <f>IF(4440&lt;=1000,INDEX($A$2:$A$1001,4440),IF(4440&lt;=2000,INDEX($B$2:$B$1001,3440),IF(4440&lt;=3000,INDEX($C$2:$C$1001,2440),IF(4440&lt;=4000,INDEX($D$2:$D$1001,1440),IF(4440&lt;=5000,INDEX($E$2:$E$1001,440),"")))))</f>
        <v/>
      </c>
    </row>
    <row r="4442">
      <c r="G4442">
        <f>IF(4441&lt;=1000,INDEX($A$2:$A$1001,4441),IF(4441&lt;=2000,INDEX($B$2:$B$1001,3441),IF(4441&lt;=3000,INDEX($C$2:$C$1001,2441),IF(4441&lt;=4000,INDEX($D$2:$D$1001,1441),IF(4441&lt;=5000,INDEX($E$2:$E$1001,441),"")))))</f>
        <v/>
      </c>
    </row>
    <row r="4443">
      <c r="G4443">
        <f>IF(4442&lt;=1000,INDEX($A$2:$A$1001,4442),IF(4442&lt;=2000,INDEX($B$2:$B$1001,3442),IF(4442&lt;=3000,INDEX($C$2:$C$1001,2442),IF(4442&lt;=4000,INDEX($D$2:$D$1001,1442),IF(4442&lt;=5000,INDEX($E$2:$E$1001,442),"")))))</f>
        <v/>
      </c>
    </row>
    <row r="4444">
      <c r="G4444">
        <f>IF(4443&lt;=1000,INDEX($A$2:$A$1001,4443),IF(4443&lt;=2000,INDEX($B$2:$B$1001,3443),IF(4443&lt;=3000,INDEX($C$2:$C$1001,2443),IF(4443&lt;=4000,INDEX($D$2:$D$1001,1443),IF(4443&lt;=5000,INDEX($E$2:$E$1001,443),"")))))</f>
        <v/>
      </c>
    </row>
    <row r="4445">
      <c r="G4445">
        <f>IF(4444&lt;=1000,INDEX($A$2:$A$1001,4444),IF(4444&lt;=2000,INDEX($B$2:$B$1001,3444),IF(4444&lt;=3000,INDEX($C$2:$C$1001,2444),IF(4444&lt;=4000,INDEX($D$2:$D$1001,1444),IF(4444&lt;=5000,INDEX($E$2:$E$1001,444),"")))))</f>
        <v/>
      </c>
    </row>
    <row r="4446">
      <c r="G4446">
        <f>IF(4445&lt;=1000,INDEX($A$2:$A$1001,4445),IF(4445&lt;=2000,INDEX($B$2:$B$1001,3445),IF(4445&lt;=3000,INDEX($C$2:$C$1001,2445),IF(4445&lt;=4000,INDEX($D$2:$D$1001,1445),IF(4445&lt;=5000,INDEX($E$2:$E$1001,445),"")))))</f>
        <v/>
      </c>
    </row>
    <row r="4447">
      <c r="G4447">
        <f>IF(4446&lt;=1000,INDEX($A$2:$A$1001,4446),IF(4446&lt;=2000,INDEX($B$2:$B$1001,3446),IF(4446&lt;=3000,INDEX($C$2:$C$1001,2446),IF(4446&lt;=4000,INDEX($D$2:$D$1001,1446),IF(4446&lt;=5000,INDEX($E$2:$E$1001,446),"")))))</f>
        <v/>
      </c>
    </row>
    <row r="4448">
      <c r="G4448">
        <f>IF(4447&lt;=1000,INDEX($A$2:$A$1001,4447),IF(4447&lt;=2000,INDEX($B$2:$B$1001,3447),IF(4447&lt;=3000,INDEX($C$2:$C$1001,2447),IF(4447&lt;=4000,INDEX($D$2:$D$1001,1447),IF(4447&lt;=5000,INDEX($E$2:$E$1001,447),"")))))</f>
        <v/>
      </c>
    </row>
    <row r="4449">
      <c r="G4449">
        <f>IF(4448&lt;=1000,INDEX($A$2:$A$1001,4448),IF(4448&lt;=2000,INDEX($B$2:$B$1001,3448),IF(4448&lt;=3000,INDEX($C$2:$C$1001,2448),IF(4448&lt;=4000,INDEX($D$2:$D$1001,1448),IF(4448&lt;=5000,INDEX($E$2:$E$1001,448),"")))))</f>
        <v/>
      </c>
    </row>
    <row r="4450">
      <c r="G4450">
        <f>IF(4449&lt;=1000,INDEX($A$2:$A$1001,4449),IF(4449&lt;=2000,INDEX($B$2:$B$1001,3449),IF(4449&lt;=3000,INDEX($C$2:$C$1001,2449),IF(4449&lt;=4000,INDEX($D$2:$D$1001,1449),IF(4449&lt;=5000,INDEX($E$2:$E$1001,449),"")))))</f>
        <v/>
      </c>
    </row>
    <row r="4451">
      <c r="G4451">
        <f>IF(4450&lt;=1000,INDEX($A$2:$A$1001,4450),IF(4450&lt;=2000,INDEX($B$2:$B$1001,3450),IF(4450&lt;=3000,INDEX($C$2:$C$1001,2450),IF(4450&lt;=4000,INDEX($D$2:$D$1001,1450),IF(4450&lt;=5000,INDEX($E$2:$E$1001,450),"")))))</f>
        <v/>
      </c>
    </row>
    <row r="4452">
      <c r="G4452">
        <f>IF(4451&lt;=1000,INDEX($A$2:$A$1001,4451),IF(4451&lt;=2000,INDEX($B$2:$B$1001,3451),IF(4451&lt;=3000,INDEX($C$2:$C$1001,2451),IF(4451&lt;=4000,INDEX($D$2:$D$1001,1451),IF(4451&lt;=5000,INDEX($E$2:$E$1001,451),"")))))</f>
        <v/>
      </c>
    </row>
    <row r="4453">
      <c r="G4453">
        <f>IF(4452&lt;=1000,INDEX($A$2:$A$1001,4452),IF(4452&lt;=2000,INDEX($B$2:$B$1001,3452),IF(4452&lt;=3000,INDEX($C$2:$C$1001,2452),IF(4452&lt;=4000,INDEX($D$2:$D$1001,1452),IF(4452&lt;=5000,INDEX($E$2:$E$1001,452),"")))))</f>
        <v/>
      </c>
    </row>
    <row r="4454">
      <c r="G4454">
        <f>IF(4453&lt;=1000,INDEX($A$2:$A$1001,4453),IF(4453&lt;=2000,INDEX($B$2:$B$1001,3453),IF(4453&lt;=3000,INDEX($C$2:$C$1001,2453),IF(4453&lt;=4000,INDEX($D$2:$D$1001,1453),IF(4453&lt;=5000,INDEX($E$2:$E$1001,453),"")))))</f>
        <v/>
      </c>
    </row>
    <row r="4455">
      <c r="G4455">
        <f>IF(4454&lt;=1000,INDEX($A$2:$A$1001,4454),IF(4454&lt;=2000,INDEX($B$2:$B$1001,3454),IF(4454&lt;=3000,INDEX($C$2:$C$1001,2454),IF(4454&lt;=4000,INDEX($D$2:$D$1001,1454),IF(4454&lt;=5000,INDEX($E$2:$E$1001,454),"")))))</f>
        <v/>
      </c>
    </row>
    <row r="4456">
      <c r="G4456">
        <f>IF(4455&lt;=1000,INDEX($A$2:$A$1001,4455),IF(4455&lt;=2000,INDEX($B$2:$B$1001,3455),IF(4455&lt;=3000,INDEX($C$2:$C$1001,2455),IF(4455&lt;=4000,INDEX($D$2:$D$1001,1455),IF(4455&lt;=5000,INDEX($E$2:$E$1001,455),"")))))</f>
        <v/>
      </c>
    </row>
    <row r="4457">
      <c r="G4457">
        <f>IF(4456&lt;=1000,INDEX($A$2:$A$1001,4456),IF(4456&lt;=2000,INDEX($B$2:$B$1001,3456),IF(4456&lt;=3000,INDEX($C$2:$C$1001,2456),IF(4456&lt;=4000,INDEX($D$2:$D$1001,1456),IF(4456&lt;=5000,INDEX($E$2:$E$1001,456),"")))))</f>
        <v/>
      </c>
    </row>
    <row r="4458">
      <c r="G4458">
        <f>IF(4457&lt;=1000,INDEX($A$2:$A$1001,4457),IF(4457&lt;=2000,INDEX($B$2:$B$1001,3457),IF(4457&lt;=3000,INDEX($C$2:$C$1001,2457),IF(4457&lt;=4000,INDEX($D$2:$D$1001,1457),IF(4457&lt;=5000,INDEX($E$2:$E$1001,457),"")))))</f>
        <v/>
      </c>
    </row>
    <row r="4459">
      <c r="G4459">
        <f>IF(4458&lt;=1000,INDEX($A$2:$A$1001,4458),IF(4458&lt;=2000,INDEX($B$2:$B$1001,3458),IF(4458&lt;=3000,INDEX($C$2:$C$1001,2458),IF(4458&lt;=4000,INDEX($D$2:$D$1001,1458),IF(4458&lt;=5000,INDEX($E$2:$E$1001,458),"")))))</f>
        <v/>
      </c>
    </row>
    <row r="4460">
      <c r="G4460">
        <f>IF(4459&lt;=1000,INDEX($A$2:$A$1001,4459),IF(4459&lt;=2000,INDEX($B$2:$B$1001,3459),IF(4459&lt;=3000,INDEX($C$2:$C$1001,2459),IF(4459&lt;=4000,INDEX($D$2:$D$1001,1459),IF(4459&lt;=5000,INDEX($E$2:$E$1001,459),"")))))</f>
        <v/>
      </c>
    </row>
    <row r="4461">
      <c r="G4461">
        <f>IF(4460&lt;=1000,INDEX($A$2:$A$1001,4460),IF(4460&lt;=2000,INDEX($B$2:$B$1001,3460),IF(4460&lt;=3000,INDEX($C$2:$C$1001,2460),IF(4460&lt;=4000,INDEX($D$2:$D$1001,1460),IF(4460&lt;=5000,INDEX($E$2:$E$1001,460),"")))))</f>
        <v/>
      </c>
    </row>
    <row r="4462">
      <c r="G4462">
        <f>IF(4461&lt;=1000,INDEX($A$2:$A$1001,4461),IF(4461&lt;=2000,INDEX($B$2:$B$1001,3461),IF(4461&lt;=3000,INDEX($C$2:$C$1001,2461),IF(4461&lt;=4000,INDEX($D$2:$D$1001,1461),IF(4461&lt;=5000,INDEX($E$2:$E$1001,461),"")))))</f>
        <v/>
      </c>
    </row>
    <row r="4463">
      <c r="G4463">
        <f>IF(4462&lt;=1000,INDEX($A$2:$A$1001,4462),IF(4462&lt;=2000,INDEX($B$2:$B$1001,3462),IF(4462&lt;=3000,INDEX($C$2:$C$1001,2462),IF(4462&lt;=4000,INDEX($D$2:$D$1001,1462),IF(4462&lt;=5000,INDEX($E$2:$E$1001,462),"")))))</f>
        <v/>
      </c>
    </row>
    <row r="4464">
      <c r="G4464">
        <f>IF(4463&lt;=1000,INDEX($A$2:$A$1001,4463),IF(4463&lt;=2000,INDEX($B$2:$B$1001,3463),IF(4463&lt;=3000,INDEX($C$2:$C$1001,2463),IF(4463&lt;=4000,INDEX($D$2:$D$1001,1463),IF(4463&lt;=5000,INDEX($E$2:$E$1001,463),"")))))</f>
        <v/>
      </c>
    </row>
    <row r="4465">
      <c r="G4465">
        <f>IF(4464&lt;=1000,INDEX($A$2:$A$1001,4464),IF(4464&lt;=2000,INDEX($B$2:$B$1001,3464),IF(4464&lt;=3000,INDEX($C$2:$C$1001,2464),IF(4464&lt;=4000,INDEX($D$2:$D$1001,1464),IF(4464&lt;=5000,INDEX($E$2:$E$1001,464),"")))))</f>
        <v/>
      </c>
    </row>
    <row r="4466">
      <c r="G4466">
        <f>IF(4465&lt;=1000,INDEX($A$2:$A$1001,4465),IF(4465&lt;=2000,INDEX($B$2:$B$1001,3465),IF(4465&lt;=3000,INDEX($C$2:$C$1001,2465),IF(4465&lt;=4000,INDEX($D$2:$D$1001,1465),IF(4465&lt;=5000,INDEX($E$2:$E$1001,465),"")))))</f>
        <v/>
      </c>
    </row>
    <row r="4467">
      <c r="G4467">
        <f>IF(4466&lt;=1000,INDEX($A$2:$A$1001,4466),IF(4466&lt;=2000,INDEX($B$2:$B$1001,3466),IF(4466&lt;=3000,INDEX($C$2:$C$1001,2466),IF(4466&lt;=4000,INDEX($D$2:$D$1001,1466),IF(4466&lt;=5000,INDEX($E$2:$E$1001,466),"")))))</f>
        <v/>
      </c>
    </row>
    <row r="4468">
      <c r="G4468">
        <f>IF(4467&lt;=1000,INDEX($A$2:$A$1001,4467),IF(4467&lt;=2000,INDEX($B$2:$B$1001,3467),IF(4467&lt;=3000,INDEX($C$2:$C$1001,2467),IF(4467&lt;=4000,INDEX($D$2:$D$1001,1467),IF(4467&lt;=5000,INDEX($E$2:$E$1001,467),"")))))</f>
        <v/>
      </c>
    </row>
    <row r="4469">
      <c r="G4469">
        <f>IF(4468&lt;=1000,INDEX($A$2:$A$1001,4468),IF(4468&lt;=2000,INDEX($B$2:$B$1001,3468),IF(4468&lt;=3000,INDEX($C$2:$C$1001,2468),IF(4468&lt;=4000,INDEX($D$2:$D$1001,1468),IF(4468&lt;=5000,INDEX($E$2:$E$1001,468),"")))))</f>
        <v/>
      </c>
    </row>
    <row r="4470">
      <c r="G4470">
        <f>IF(4469&lt;=1000,INDEX($A$2:$A$1001,4469),IF(4469&lt;=2000,INDEX($B$2:$B$1001,3469),IF(4469&lt;=3000,INDEX($C$2:$C$1001,2469),IF(4469&lt;=4000,INDEX($D$2:$D$1001,1469),IF(4469&lt;=5000,INDEX($E$2:$E$1001,469),"")))))</f>
        <v/>
      </c>
    </row>
    <row r="4471">
      <c r="G4471">
        <f>IF(4470&lt;=1000,INDEX($A$2:$A$1001,4470),IF(4470&lt;=2000,INDEX($B$2:$B$1001,3470),IF(4470&lt;=3000,INDEX($C$2:$C$1001,2470),IF(4470&lt;=4000,INDEX($D$2:$D$1001,1470),IF(4470&lt;=5000,INDEX($E$2:$E$1001,470),"")))))</f>
        <v/>
      </c>
    </row>
    <row r="4472">
      <c r="G4472">
        <f>IF(4471&lt;=1000,INDEX($A$2:$A$1001,4471),IF(4471&lt;=2000,INDEX($B$2:$B$1001,3471),IF(4471&lt;=3000,INDEX($C$2:$C$1001,2471),IF(4471&lt;=4000,INDEX($D$2:$D$1001,1471),IF(4471&lt;=5000,INDEX($E$2:$E$1001,471),"")))))</f>
        <v/>
      </c>
    </row>
    <row r="4473">
      <c r="G4473">
        <f>IF(4472&lt;=1000,INDEX($A$2:$A$1001,4472),IF(4472&lt;=2000,INDEX($B$2:$B$1001,3472),IF(4472&lt;=3000,INDEX($C$2:$C$1001,2472),IF(4472&lt;=4000,INDEX($D$2:$D$1001,1472),IF(4472&lt;=5000,INDEX($E$2:$E$1001,472),"")))))</f>
        <v/>
      </c>
    </row>
    <row r="4474">
      <c r="G4474">
        <f>IF(4473&lt;=1000,INDEX($A$2:$A$1001,4473),IF(4473&lt;=2000,INDEX($B$2:$B$1001,3473),IF(4473&lt;=3000,INDEX($C$2:$C$1001,2473),IF(4473&lt;=4000,INDEX($D$2:$D$1001,1473),IF(4473&lt;=5000,INDEX($E$2:$E$1001,473),"")))))</f>
        <v/>
      </c>
    </row>
    <row r="4475">
      <c r="G4475">
        <f>IF(4474&lt;=1000,INDEX($A$2:$A$1001,4474),IF(4474&lt;=2000,INDEX($B$2:$B$1001,3474),IF(4474&lt;=3000,INDEX($C$2:$C$1001,2474),IF(4474&lt;=4000,INDEX($D$2:$D$1001,1474),IF(4474&lt;=5000,INDEX($E$2:$E$1001,474),"")))))</f>
        <v/>
      </c>
    </row>
    <row r="4476">
      <c r="G4476">
        <f>IF(4475&lt;=1000,INDEX($A$2:$A$1001,4475),IF(4475&lt;=2000,INDEX($B$2:$B$1001,3475),IF(4475&lt;=3000,INDEX($C$2:$C$1001,2475),IF(4475&lt;=4000,INDEX($D$2:$D$1001,1475),IF(4475&lt;=5000,INDEX($E$2:$E$1001,475),"")))))</f>
        <v/>
      </c>
    </row>
    <row r="4477">
      <c r="G4477">
        <f>IF(4476&lt;=1000,INDEX($A$2:$A$1001,4476),IF(4476&lt;=2000,INDEX($B$2:$B$1001,3476),IF(4476&lt;=3000,INDEX($C$2:$C$1001,2476),IF(4476&lt;=4000,INDEX($D$2:$D$1001,1476),IF(4476&lt;=5000,INDEX($E$2:$E$1001,476),"")))))</f>
        <v/>
      </c>
    </row>
    <row r="4478">
      <c r="G4478">
        <f>IF(4477&lt;=1000,INDEX($A$2:$A$1001,4477),IF(4477&lt;=2000,INDEX($B$2:$B$1001,3477),IF(4477&lt;=3000,INDEX($C$2:$C$1001,2477),IF(4477&lt;=4000,INDEX($D$2:$D$1001,1477),IF(4477&lt;=5000,INDEX($E$2:$E$1001,477),"")))))</f>
        <v/>
      </c>
    </row>
    <row r="4479">
      <c r="G4479">
        <f>IF(4478&lt;=1000,INDEX($A$2:$A$1001,4478),IF(4478&lt;=2000,INDEX($B$2:$B$1001,3478),IF(4478&lt;=3000,INDEX($C$2:$C$1001,2478),IF(4478&lt;=4000,INDEX($D$2:$D$1001,1478),IF(4478&lt;=5000,INDEX($E$2:$E$1001,478),"")))))</f>
        <v/>
      </c>
    </row>
    <row r="4480">
      <c r="G4480">
        <f>IF(4479&lt;=1000,INDEX($A$2:$A$1001,4479),IF(4479&lt;=2000,INDEX($B$2:$B$1001,3479),IF(4479&lt;=3000,INDEX($C$2:$C$1001,2479),IF(4479&lt;=4000,INDEX($D$2:$D$1001,1479),IF(4479&lt;=5000,INDEX($E$2:$E$1001,479),"")))))</f>
        <v/>
      </c>
    </row>
    <row r="4481">
      <c r="G4481">
        <f>IF(4480&lt;=1000,INDEX($A$2:$A$1001,4480),IF(4480&lt;=2000,INDEX($B$2:$B$1001,3480),IF(4480&lt;=3000,INDEX($C$2:$C$1001,2480),IF(4480&lt;=4000,INDEX($D$2:$D$1001,1480),IF(4480&lt;=5000,INDEX($E$2:$E$1001,480),"")))))</f>
        <v/>
      </c>
    </row>
    <row r="4482">
      <c r="G4482">
        <f>IF(4481&lt;=1000,INDEX($A$2:$A$1001,4481),IF(4481&lt;=2000,INDEX($B$2:$B$1001,3481),IF(4481&lt;=3000,INDEX($C$2:$C$1001,2481),IF(4481&lt;=4000,INDEX($D$2:$D$1001,1481),IF(4481&lt;=5000,INDEX($E$2:$E$1001,481),"")))))</f>
        <v/>
      </c>
    </row>
    <row r="4483">
      <c r="G4483">
        <f>IF(4482&lt;=1000,INDEX($A$2:$A$1001,4482),IF(4482&lt;=2000,INDEX($B$2:$B$1001,3482),IF(4482&lt;=3000,INDEX($C$2:$C$1001,2482),IF(4482&lt;=4000,INDEX($D$2:$D$1001,1482),IF(4482&lt;=5000,INDEX($E$2:$E$1001,482),"")))))</f>
        <v/>
      </c>
    </row>
    <row r="4484">
      <c r="G4484">
        <f>IF(4483&lt;=1000,INDEX($A$2:$A$1001,4483),IF(4483&lt;=2000,INDEX($B$2:$B$1001,3483),IF(4483&lt;=3000,INDEX($C$2:$C$1001,2483),IF(4483&lt;=4000,INDEX($D$2:$D$1001,1483),IF(4483&lt;=5000,INDEX($E$2:$E$1001,483),"")))))</f>
        <v/>
      </c>
    </row>
    <row r="4485">
      <c r="G4485">
        <f>IF(4484&lt;=1000,INDEX($A$2:$A$1001,4484),IF(4484&lt;=2000,INDEX($B$2:$B$1001,3484),IF(4484&lt;=3000,INDEX($C$2:$C$1001,2484),IF(4484&lt;=4000,INDEX($D$2:$D$1001,1484),IF(4484&lt;=5000,INDEX($E$2:$E$1001,484),"")))))</f>
        <v/>
      </c>
    </row>
    <row r="4486">
      <c r="G4486">
        <f>IF(4485&lt;=1000,INDEX($A$2:$A$1001,4485),IF(4485&lt;=2000,INDEX($B$2:$B$1001,3485),IF(4485&lt;=3000,INDEX($C$2:$C$1001,2485),IF(4485&lt;=4000,INDEX($D$2:$D$1001,1485),IF(4485&lt;=5000,INDEX($E$2:$E$1001,485),"")))))</f>
        <v/>
      </c>
    </row>
    <row r="4487">
      <c r="G4487">
        <f>IF(4486&lt;=1000,INDEX($A$2:$A$1001,4486),IF(4486&lt;=2000,INDEX($B$2:$B$1001,3486),IF(4486&lt;=3000,INDEX($C$2:$C$1001,2486),IF(4486&lt;=4000,INDEX($D$2:$D$1001,1486),IF(4486&lt;=5000,INDEX($E$2:$E$1001,486),"")))))</f>
        <v/>
      </c>
    </row>
    <row r="4488">
      <c r="G4488">
        <f>IF(4487&lt;=1000,INDEX($A$2:$A$1001,4487),IF(4487&lt;=2000,INDEX($B$2:$B$1001,3487),IF(4487&lt;=3000,INDEX($C$2:$C$1001,2487),IF(4487&lt;=4000,INDEX($D$2:$D$1001,1487),IF(4487&lt;=5000,INDEX($E$2:$E$1001,487),"")))))</f>
        <v/>
      </c>
    </row>
    <row r="4489">
      <c r="G4489">
        <f>IF(4488&lt;=1000,INDEX($A$2:$A$1001,4488),IF(4488&lt;=2000,INDEX($B$2:$B$1001,3488),IF(4488&lt;=3000,INDEX($C$2:$C$1001,2488),IF(4488&lt;=4000,INDEX($D$2:$D$1001,1488),IF(4488&lt;=5000,INDEX($E$2:$E$1001,488),"")))))</f>
        <v/>
      </c>
    </row>
    <row r="4490">
      <c r="G4490">
        <f>IF(4489&lt;=1000,INDEX($A$2:$A$1001,4489),IF(4489&lt;=2000,INDEX($B$2:$B$1001,3489),IF(4489&lt;=3000,INDEX($C$2:$C$1001,2489),IF(4489&lt;=4000,INDEX($D$2:$D$1001,1489),IF(4489&lt;=5000,INDEX($E$2:$E$1001,489),"")))))</f>
        <v/>
      </c>
    </row>
    <row r="4491">
      <c r="G4491">
        <f>IF(4490&lt;=1000,INDEX($A$2:$A$1001,4490),IF(4490&lt;=2000,INDEX($B$2:$B$1001,3490),IF(4490&lt;=3000,INDEX($C$2:$C$1001,2490),IF(4490&lt;=4000,INDEX($D$2:$D$1001,1490),IF(4490&lt;=5000,INDEX($E$2:$E$1001,490),"")))))</f>
        <v/>
      </c>
    </row>
    <row r="4492">
      <c r="G4492">
        <f>IF(4491&lt;=1000,INDEX($A$2:$A$1001,4491),IF(4491&lt;=2000,INDEX($B$2:$B$1001,3491),IF(4491&lt;=3000,INDEX($C$2:$C$1001,2491),IF(4491&lt;=4000,INDEX($D$2:$D$1001,1491),IF(4491&lt;=5000,INDEX($E$2:$E$1001,491),"")))))</f>
        <v/>
      </c>
    </row>
    <row r="4493">
      <c r="G4493">
        <f>IF(4492&lt;=1000,INDEX($A$2:$A$1001,4492),IF(4492&lt;=2000,INDEX($B$2:$B$1001,3492),IF(4492&lt;=3000,INDEX($C$2:$C$1001,2492),IF(4492&lt;=4000,INDEX($D$2:$D$1001,1492),IF(4492&lt;=5000,INDEX($E$2:$E$1001,492),"")))))</f>
        <v/>
      </c>
    </row>
    <row r="4494">
      <c r="G4494">
        <f>IF(4493&lt;=1000,INDEX($A$2:$A$1001,4493),IF(4493&lt;=2000,INDEX($B$2:$B$1001,3493),IF(4493&lt;=3000,INDEX($C$2:$C$1001,2493),IF(4493&lt;=4000,INDEX($D$2:$D$1001,1493),IF(4493&lt;=5000,INDEX($E$2:$E$1001,493),"")))))</f>
        <v/>
      </c>
    </row>
    <row r="4495">
      <c r="G4495">
        <f>IF(4494&lt;=1000,INDEX($A$2:$A$1001,4494),IF(4494&lt;=2000,INDEX($B$2:$B$1001,3494),IF(4494&lt;=3000,INDEX($C$2:$C$1001,2494),IF(4494&lt;=4000,INDEX($D$2:$D$1001,1494),IF(4494&lt;=5000,INDEX($E$2:$E$1001,494),"")))))</f>
        <v/>
      </c>
    </row>
    <row r="4496">
      <c r="G4496">
        <f>IF(4495&lt;=1000,INDEX($A$2:$A$1001,4495),IF(4495&lt;=2000,INDEX($B$2:$B$1001,3495),IF(4495&lt;=3000,INDEX($C$2:$C$1001,2495),IF(4495&lt;=4000,INDEX($D$2:$D$1001,1495),IF(4495&lt;=5000,INDEX($E$2:$E$1001,495),"")))))</f>
        <v/>
      </c>
    </row>
    <row r="4497">
      <c r="G4497">
        <f>IF(4496&lt;=1000,INDEX($A$2:$A$1001,4496),IF(4496&lt;=2000,INDEX($B$2:$B$1001,3496),IF(4496&lt;=3000,INDEX($C$2:$C$1001,2496),IF(4496&lt;=4000,INDEX($D$2:$D$1001,1496),IF(4496&lt;=5000,INDEX($E$2:$E$1001,496),"")))))</f>
        <v/>
      </c>
    </row>
    <row r="4498">
      <c r="G4498">
        <f>IF(4497&lt;=1000,INDEX($A$2:$A$1001,4497),IF(4497&lt;=2000,INDEX($B$2:$B$1001,3497),IF(4497&lt;=3000,INDEX($C$2:$C$1001,2497),IF(4497&lt;=4000,INDEX($D$2:$D$1001,1497),IF(4497&lt;=5000,INDEX($E$2:$E$1001,497),"")))))</f>
        <v/>
      </c>
    </row>
    <row r="4499">
      <c r="G4499">
        <f>IF(4498&lt;=1000,INDEX($A$2:$A$1001,4498),IF(4498&lt;=2000,INDEX($B$2:$B$1001,3498),IF(4498&lt;=3000,INDEX($C$2:$C$1001,2498),IF(4498&lt;=4000,INDEX($D$2:$D$1001,1498),IF(4498&lt;=5000,INDEX($E$2:$E$1001,498),"")))))</f>
        <v/>
      </c>
    </row>
    <row r="4500">
      <c r="G4500">
        <f>IF(4499&lt;=1000,INDEX($A$2:$A$1001,4499),IF(4499&lt;=2000,INDEX($B$2:$B$1001,3499),IF(4499&lt;=3000,INDEX($C$2:$C$1001,2499),IF(4499&lt;=4000,INDEX($D$2:$D$1001,1499),IF(4499&lt;=5000,INDEX($E$2:$E$1001,499),"")))))</f>
        <v/>
      </c>
    </row>
    <row r="4501">
      <c r="G4501">
        <f>IF(4500&lt;=1000,INDEX($A$2:$A$1001,4500),IF(4500&lt;=2000,INDEX($B$2:$B$1001,3500),IF(4500&lt;=3000,INDEX($C$2:$C$1001,2500),IF(4500&lt;=4000,INDEX($D$2:$D$1001,1500),IF(4500&lt;=5000,INDEX($E$2:$E$1001,500),"")))))</f>
        <v/>
      </c>
    </row>
    <row r="4502">
      <c r="G4502">
        <f>IF(4501&lt;=1000,INDEX($A$2:$A$1001,4501),IF(4501&lt;=2000,INDEX($B$2:$B$1001,3501),IF(4501&lt;=3000,INDEX($C$2:$C$1001,2501),IF(4501&lt;=4000,INDEX($D$2:$D$1001,1501),IF(4501&lt;=5000,INDEX($E$2:$E$1001,501),"")))))</f>
        <v/>
      </c>
    </row>
    <row r="4503">
      <c r="G4503">
        <f>IF(4502&lt;=1000,INDEX($A$2:$A$1001,4502),IF(4502&lt;=2000,INDEX($B$2:$B$1001,3502),IF(4502&lt;=3000,INDEX($C$2:$C$1001,2502),IF(4502&lt;=4000,INDEX($D$2:$D$1001,1502),IF(4502&lt;=5000,INDEX($E$2:$E$1001,502),"")))))</f>
        <v/>
      </c>
    </row>
    <row r="4504">
      <c r="G4504">
        <f>IF(4503&lt;=1000,INDEX($A$2:$A$1001,4503),IF(4503&lt;=2000,INDEX($B$2:$B$1001,3503),IF(4503&lt;=3000,INDEX($C$2:$C$1001,2503),IF(4503&lt;=4000,INDEX($D$2:$D$1001,1503),IF(4503&lt;=5000,INDEX($E$2:$E$1001,503),"")))))</f>
        <v/>
      </c>
    </row>
    <row r="4505">
      <c r="G4505">
        <f>IF(4504&lt;=1000,INDEX($A$2:$A$1001,4504),IF(4504&lt;=2000,INDEX($B$2:$B$1001,3504),IF(4504&lt;=3000,INDEX($C$2:$C$1001,2504),IF(4504&lt;=4000,INDEX($D$2:$D$1001,1504),IF(4504&lt;=5000,INDEX($E$2:$E$1001,504),"")))))</f>
        <v/>
      </c>
    </row>
    <row r="4506">
      <c r="G4506">
        <f>IF(4505&lt;=1000,INDEX($A$2:$A$1001,4505),IF(4505&lt;=2000,INDEX($B$2:$B$1001,3505),IF(4505&lt;=3000,INDEX($C$2:$C$1001,2505),IF(4505&lt;=4000,INDEX($D$2:$D$1001,1505),IF(4505&lt;=5000,INDEX($E$2:$E$1001,505),"")))))</f>
        <v/>
      </c>
    </row>
    <row r="4507">
      <c r="G4507">
        <f>IF(4506&lt;=1000,INDEX($A$2:$A$1001,4506),IF(4506&lt;=2000,INDEX($B$2:$B$1001,3506),IF(4506&lt;=3000,INDEX($C$2:$C$1001,2506),IF(4506&lt;=4000,INDEX($D$2:$D$1001,1506),IF(4506&lt;=5000,INDEX($E$2:$E$1001,506),"")))))</f>
        <v/>
      </c>
    </row>
    <row r="4508">
      <c r="G4508">
        <f>IF(4507&lt;=1000,INDEX($A$2:$A$1001,4507),IF(4507&lt;=2000,INDEX($B$2:$B$1001,3507),IF(4507&lt;=3000,INDEX($C$2:$C$1001,2507),IF(4507&lt;=4000,INDEX($D$2:$D$1001,1507),IF(4507&lt;=5000,INDEX($E$2:$E$1001,507),"")))))</f>
        <v/>
      </c>
    </row>
    <row r="4509">
      <c r="G4509">
        <f>IF(4508&lt;=1000,INDEX($A$2:$A$1001,4508),IF(4508&lt;=2000,INDEX($B$2:$B$1001,3508),IF(4508&lt;=3000,INDEX($C$2:$C$1001,2508),IF(4508&lt;=4000,INDEX($D$2:$D$1001,1508),IF(4508&lt;=5000,INDEX($E$2:$E$1001,508),"")))))</f>
        <v/>
      </c>
    </row>
    <row r="4510">
      <c r="G4510">
        <f>IF(4509&lt;=1000,INDEX($A$2:$A$1001,4509),IF(4509&lt;=2000,INDEX($B$2:$B$1001,3509),IF(4509&lt;=3000,INDEX($C$2:$C$1001,2509),IF(4509&lt;=4000,INDEX($D$2:$D$1001,1509),IF(4509&lt;=5000,INDEX($E$2:$E$1001,509),"")))))</f>
        <v/>
      </c>
    </row>
    <row r="4511">
      <c r="G4511">
        <f>IF(4510&lt;=1000,INDEX($A$2:$A$1001,4510),IF(4510&lt;=2000,INDEX($B$2:$B$1001,3510),IF(4510&lt;=3000,INDEX($C$2:$C$1001,2510),IF(4510&lt;=4000,INDEX($D$2:$D$1001,1510),IF(4510&lt;=5000,INDEX($E$2:$E$1001,510),"")))))</f>
        <v/>
      </c>
    </row>
    <row r="4512">
      <c r="G4512">
        <f>IF(4511&lt;=1000,INDEX($A$2:$A$1001,4511),IF(4511&lt;=2000,INDEX($B$2:$B$1001,3511),IF(4511&lt;=3000,INDEX($C$2:$C$1001,2511),IF(4511&lt;=4000,INDEX($D$2:$D$1001,1511),IF(4511&lt;=5000,INDEX($E$2:$E$1001,511),"")))))</f>
        <v/>
      </c>
    </row>
    <row r="4513">
      <c r="G4513">
        <f>IF(4512&lt;=1000,INDEX($A$2:$A$1001,4512),IF(4512&lt;=2000,INDEX($B$2:$B$1001,3512),IF(4512&lt;=3000,INDEX($C$2:$C$1001,2512),IF(4512&lt;=4000,INDEX($D$2:$D$1001,1512),IF(4512&lt;=5000,INDEX($E$2:$E$1001,512),"")))))</f>
        <v/>
      </c>
    </row>
    <row r="4514">
      <c r="G4514">
        <f>IF(4513&lt;=1000,INDEX($A$2:$A$1001,4513),IF(4513&lt;=2000,INDEX($B$2:$B$1001,3513),IF(4513&lt;=3000,INDEX($C$2:$C$1001,2513),IF(4513&lt;=4000,INDEX($D$2:$D$1001,1513),IF(4513&lt;=5000,INDEX($E$2:$E$1001,513),"")))))</f>
        <v/>
      </c>
    </row>
    <row r="4515">
      <c r="G4515">
        <f>IF(4514&lt;=1000,INDEX($A$2:$A$1001,4514),IF(4514&lt;=2000,INDEX($B$2:$B$1001,3514),IF(4514&lt;=3000,INDEX($C$2:$C$1001,2514),IF(4514&lt;=4000,INDEX($D$2:$D$1001,1514),IF(4514&lt;=5000,INDEX($E$2:$E$1001,514),"")))))</f>
        <v/>
      </c>
    </row>
    <row r="4516">
      <c r="G4516">
        <f>IF(4515&lt;=1000,INDEX($A$2:$A$1001,4515),IF(4515&lt;=2000,INDEX($B$2:$B$1001,3515),IF(4515&lt;=3000,INDEX($C$2:$C$1001,2515),IF(4515&lt;=4000,INDEX($D$2:$D$1001,1515),IF(4515&lt;=5000,INDEX($E$2:$E$1001,515),"")))))</f>
        <v/>
      </c>
    </row>
    <row r="4517">
      <c r="G4517">
        <f>IF(4516&lt;=1000,INDEX($A$2:$A$1001,4516),IF(4516&lt;=2000,INDEX($B$2:$B$1001,3516),IF(4516&lt;=3000,INDEX($C$2:$C$1001,2516),IF(4516&lt;=4000,INDEX($D$2:$D$1001,1516),IF(4516&lt;=5000,INDEX($E$2:$E$1001,516),"")))))</f>
        <v/>
      </c>
    </row>
    <row r="4518">
      <c r="G4518">
        <f>IF(4517&lt;=1000,INDEX($A$2:$A$1001,4517),IF(4517&lt;=2000,INDEX($B$2:$B$1001,3517),IF(4517&lt;=3000,INDEX($C$2:$C$1001,2517),IF(4517&lt;=4000,INDEX($D$2:$D$1001,1517),IF(4517&lt;=5000,INDEX($E$2:$E$1001,517),"")))))</f>
        <v/>
      </c>
    </row>
    <row r="4519">
      <c r="G4519">
        <f>IF(4518&lt;=1000,INDEX($A$2:$A$1001,4518),IF(4518&lt;=2000,INDEX($B$2:$B$1001,3518),IF(4518&lt;=3000,INDEX($C$2:$C$1001,2518),IF(4518&lt;=4000,INDEX($D$2:$D$1001,1518),IF(4518&lt;=5000,INDEX($E$2:$E$1001,518),"")))))</f>
        <v/>
      </c>
    </row>
    <row r="4520">
      <c r="G4520">
        <f>IF(4519&lt;=1000,INDEX($A$2:$A$1001,4519),IF(4519&lt;=2000,INDEX($B$2:$B$1001,3519),IF(4519&lt;=3000,INDEX($C$2:$C$1001,2519),IF(4519&lt;=4000,INDEX($D$2:$D$1001,1519),IF(4519&lt;=5000,INDEX($E$2:$E$1001,519),"")))))</f>
        <v/>
      </c>
    </row>
    <row r="4521">
      <c r="G4521">
        <f>IF(4520&lt;=1000,INDEX($A$2:$A$1001,4520),IF(4520&lt;=2000,INDEX($B$2:$B$1001,3520),IF(4520&lt;=3000,INDEX($C$2:$C$1001,2520),IF(4520&lt;=4000,INDEX($D$2:$D$1001,1520),IF(4520&lt;=5000,INDEX($E$2:$E$1001,520),"")))))</f>
        <v/>
      </c>
    </row>
    <row r="4522">
      <c r="G4522">
        <f>IF(4521&lt;=1000,INDEX($A$2:$A$1001,4521),IF(4521&lt;=2000,INDEX($B$2:$B$1001,3521),IF(4521&lt;=3000,INDEX($C$2:$C$1001,2521),IF(4521&lt;=4000,INDEX($D$2:$D$1001,1521),IF(4521&lt;=5000,INDEX($E$2:$E$1001,521),"")))))</f>
        <v/>
      </c>
    </row>
    <row r="4523">
      <c r="G4523">
        <f>IF(4522&lt;=1000,INDEX($A$2:$A$1001,4522),IF(4522&lt;=2000,INDEX($B$2:$B$1001,3522),IF(4522&lt;=3000,INDEX($C$2:$C$1001,2522),IF(4522&lt;=4000,INDEX($D$2:$D$1001,1522),IF(4522&lt;=5000,INDEX($E$2:$E$1001,522),"")))))</f>
        <v/>
      </c>
    </row>
    <row r="4524">
      <c r="G4524">
        <f>IF(4523&lt;=1000,INDEX($A$2:$A$1001,4523),IF(4523&lt;=2000,INDEX($B$2:$B$1001,3523),IF(4523&lt;=3000,INDEX($C$2:$C$1001,2523),IF(4523&lt;=4000,INDEX($D$2:$D$1001,1523),IF(4523&lt;=5000,INDEX($E$2:$E$1001,523),"")))))</f>
        <v/>
      </c>
    </row>
    <row r="4525">
      <c r="G4525">
        <f>IF(4524&lt;=1000,INDEX($A$2:$A$1001,4524),IF(4524&lt;=2000,INDEX($B$2:$B$1001,3524),IF(4524&lt;=3000,INDEX($C$2:$C$1001,2524),IF(4524&lt;=4000,INDEX($D$2:$D$1001,1524),IF(4524&lt;=5000,INDEX($E$2:$E$1001,524),"")))))</f>
        <v/>
      </c>
    </row>
    <row r="4526">
      <c r="G4526">
        <f>IF(4525&lt;=1000,INDEX($A$2:$A$1001,4525),IF(4525&lt;=2000,INDEX($B$2:$B$1001,3525),IF(4525&lt;=3000,INDEX($C$2:$C$1001,2525),IF(4525&lt;=4000,INDEX($D$2:$D$1001,1525),IF(4525&lt;=5000,INDEX($E$2:$E$1001,525),"")))))</f>
        <v/>
      </c>
    </row>
    <row r="4527">
      <c r="G4527">
        <f>IF(4526&lt;=1000,INDEX($A$2:$A$1001,4526),IF(4526&lt;=2000,INDEX($B$2:$B$1001,3526),IF(4526&lt;=3000,INDEX($C$2:$C$1001,2526),IF(4526&lt;=4000,INDEX($D$2:$D$1001,1526),IF(4526&lt;=5000,INDEX($E$2:$E$1001,526),"")))))</f>
        <v/>
      </c>
    </row>
    <row r="4528">
      <c r="G4528">
        <f>IF(4527&lt;=1000,INDEX($A$2:$A$1001,4527),IF(4527&lt;=2000,INDEX($B$2:$B$1001,3527),IF(4527&lt;=3000,INDEX($C$2:$C$1001,2527),IF(4527&lt;=4000,INDEX($D$2:$D$1001,1527),IF(4527&lt;=5000,INDEX($E$2:$E$1001,527),"")))))</f>
        <v/>
      </c>
    </row>
    <row r="4529">
      <c r="G4529">
        <f>IF(4528&lt;=1000,INDEX($A$2:$A$1001,4528),IF(4528&lt;=2000,INDEX($B$2:$B$1001,3528),IF(4528&lt;=3000,INDEX($C$2:$C$1001,2528),IF(4528&lt;=4000,INDEX($D$2:$D$1001,1528),IF(4528&lt;=5000,INDEX($E$2:$E$1001,528),"")))))</f>
        <v/>
      </c>
    </row>
    <row r="4530">
      <c r="G4530">
        <f>IF(4529&lt;=1000,INDEX($A$2:$A$1001,4529),IF(4529&lt;=2000,INDEX($B$2:$B$1001,3529),IF(4529&lt;=3000,INDEX($C$2:$C$1001,2529),IF(4529&lt;=4000,INDEX($D$2:$D$1001,1529),IF(4529&lt;=5000,INDEX($E$2:$E$1001,529),"")))))</f>
        <v/>
      </c>
    </row>
    <row r="4531">
      <c r="G4531">
        <f>IF(4530&lt;=1000,INDEX($A$2:$A$1001,4530),IF(4530&lt;=2000,INDEX($B$2:$B$1001,3530),IF(4530&lt;=3000,INDEX($C$2:$C$1001,2530),IF(4530&lt;=4000,INDEX($D$2:$D$1001,1530),IF(4530&lt;=5000,INDEX($E$2:$E$1001,530),"")))))</f>
        <v/>
      </c>
    </row>
    <row r="4532">
      <c r="G4532">
        <f>IF(4531&lt;=1000,INDEX($A$2:$A$1001,4531),IF(4531&lt;=2000,INDEX($B$2:$B$1001,3531),IF(4531&lt;=3000,INDEX($C$2:$C$1001,2531),IF(4531&lt;=4000,INDEX($D$2:$D$1001,1531),IF(4531&lt;=5000,INDEX($E$2:$E$1001,531),"")))))</f>
        <v/>
      </c>
    </row>
    <row r="4533">
      <c r="G4533">
        <f>IF(4532&lt;=1000,INDEX($A$2:$A$1001,4532),IF(4532&lt;=2000,INDEX($B$2:$B$1001,3532),IF(4532&lt;=3000,INDEX($C$2:$C$1001,2532),IF(4532&lt;=4000,INDEX($D$2:$D$1001,1532),IF(4532&lt;=5000,INDEX($E$2:$E$1001,532),"")))))</f>
        <v/>
      </c>
    </row>
    <row r="4534">
      <c r="G4534">
        <f>IF(4533&lt;=1000,INDEX($A$2:$A$1001,4533),IF(4533&lt;=2000,INDEX($B$2:$B$1001,3533),IF(4533&lt;=3000,INDEX($C$2:$C$1001,2533),IF(4533&lt;=4000,INDEX($D$2:$D$1001,1533),IF(4533&lt;=5000,INDEX($E$2:$E$1001,533),"")))))</f>
        <v/>
      </c>
    </row>
    <row r="4535">
      <c r="G4535">
        <f>IF(4534&lt;=1000,INDEX($A$2:$A$1001,4534),IF(4534&lt;=2000,INDEX($B$2:$B$1001,3534),IF(4534&lt;=3000,INDEX($C$2:$C$1001,2534),IF(4534&lt;=4000,INDEX($D$2:$D$1001,1534),IF(4534&lt;=5000,INDEX($E$2:$E$1001,534),"")))))</f>
        <v/>
      </c>
    </row>
    <row r="4536">
      <c r="G4536">
        <f>IF(4535&lt;=1000,INDEX($A$2:$A$1001,4535),IF(4535&lt;=2000,INDEX($B$2:$B$1001,3535),IF(4535&lt;=3000,INDEX($C$2:$C$1001,2535),IF(4535&lt;=4000,INDEX($D$2:$D$1001,1535),IF(4535&lt;=5000,INDEX($E$2:$E$1001,535),"")))))</f>
        <v/>
      </c>
    </row>
    <row r="4537">
      <c r="G4537">
        <f>IF(4536&lt;=1000,INDEX($A$2:$A$1001,4536),IF(4536&lt;=2000,INDEX($B$2:$B$1001,3536),IF(4536&lt;=3000,INDEX($C$2:$C$1001,2536),IF(4536&lt;=4000,INDEX($D$2:$D$1001,1536),IF(4536&lt;=5000,INDEX($E$2:$E$1001,536),"")))))</f>
        <v/>
      </c>
    </row>
    <row r="4538">
      <c r="G4538">
        <f>IF(4537&lt;=1000,INDEX($A$2:$A$1001,4537),IF(4537&lt;=2000,INDEX($B$2:$B$1001,3537),IF(4537&lt;=3000,INDEX($C$2:$C$1001,2537),IF(4537&lt;=4000,INDEX($D$2:$D$1001,1537),IF(4537&lt;=5000,INDEX($E$2:$E$1001,537),"")))))</f>
        <v/>
      </c>
    </row>
    <row r="4539">
      <c r="G4539">
        <f>IF(4538&lt;=1000,INDEX($A$2:$A$1001,4538),IF(4538&lt;=2000,INDEX($B$2:$B$1001,3538),IF(4538&lt;=3000,INDEX($C$2:$C$1001,2538),IF(4538&lt;=4000,INDEX($D$2:$D$1001,1538),IF(4538&lt;=5000,INDEX($E$2:$E$1001,538),"")))))</f>
        <v/>
      </c>
    </row>
    <row r="4540">
      <c r="G4540">
        <f>IF(4539&lt;=1000,INDEX($A$2:$A$1001,4539),IF(4539&lt;=2000,INDEX($B$2:$B$1001,3539),IF(4539&lt;=3000,INDEX($C$2:$C$1001,2539),IF(4539&lt;=4000,INDEX($D$2:$D$1001,1539),IF(4539&lt;=5000,INDEX($E$2:$E$1001,539),"")))))</f>
        <v/>
      </c>
    </row>
    <row r="4541">
      <c r="G4541">
        <f>IF(4540&lt;=1000,INDEX($A$2:$A$1001,4540),IF(4540&lt;=2000,INDEX($B$2:$B$1001,3540),IF(4540&lt;=3000,INDEX($C$2:$C$1001,2540),IF(4540&lt;=4000,INDEX($D$2:$D$1001,1540),IF(4540&lt;=5000,INDEX($E$2:$E$1001,540),"")))))</f>
        <v/>
      </c>
    </row>
    <row r="4542">
      <c r="G4542">
        <f>IF(4541&lt;=1000,INDEX($A$2:$A$1001,4541),IF(4541&lt;=2000,INDEX($B$2:$B$1001,3541),IF(4541&lt;=3000,INDEX($C$2:$C$1001,2541),IF(4541&lt;=4000,INDEX($D$2:$D$1001,1541),IF(4541&lt;=5000,INDEX($E$2:$E$1001,541),"")))))</f>
        <v/>
      </c>
    </row>
    <row r="4543">
      <c r="G4543">
        <f>IF(4542&lt;=1000,INDEX($A$2:$A$1001,4542),IF(4542&lt;=2000,INDEX($B$2:$B$1001,3542),IF(4542&lt;=3000,INDEX($C$2:$C$1001,2542),IF(4542&lt;=4000,INDEX($D$2:$D$1001,1542),IF(4542&lt;=5000,INDEX($E$2:$E$1001,542),"")))))</f>
        <v/>
      </c>
    </row>
    <row r="4544">
      <c r="G4544">
        <f>IF(4543&lt;=1000,INDEX($A$2:$A$1001,4543),IF(4543&lt;=2000,INDEX($B$2:$B$1001,3543),IF(4543&lt;=3000,INDEX($C$2:$C$1001,2543),IF(4543&lt;=4000,INDEX($D$2:$D$1001,1543),IF(4543&lt;=5000,INDEX($E$2:$E$1001,543),"")))))</f>
        <v/>
      </c>
    </row>
    <row r="4545">
      <c r="G4545">
        <f>IF(4544&lt;=1000,INDEX($A$2:$A$1001,4544),IF(4544&lt;=2000,INDEX($B$2:$B$1001,3544),IF(4544&lt;=3000,INDEX($C$2:$C$1001,2544),IF(4544&lt;=4000,INDEX($D$2:$D$1001,1544),IF(4544&lt;=5000,INDEX($E$2:$E$1001,544),"")))))</f>
        <v/>
      </c>
    </row>
    <row r="4546">
      <c r="G4546">
        <f>IF(4545&lt;=1000,INDEX($A$2:$A$1001,4545),IF(4545&lt;=2000,INDEX($B$2:$B$1001,3545),IF(4545&lt;=3000,INDEX($C$2:$C$1001,2545),IF(4545&lt;=4000,INDEX($D$2:$D$1001,1545),IF(4545&lt;=5000,INDEX($E$2:$E$1001,545),"")))))</f>
        <v/>
      </c>
    </row>
    <row r="4547">
      <c r="G4547">
        <f>IF(4546&lt;=1000,INDEX($A$2:$A$1001,4546),IF(4546&lt;=2000,INDEX($B$2:$B$1001,3546),IF(4546&lt;=3000,INDEX($C$2:$C$1001,2546),IF(4546&lt;=4000,INDEX($D$2:$D$1001,1546),IF(4546&lt;=5000,INDEX($E$2:$E$1001,546),"")))))</f>
        <v/>
      </c>
    </row>
    <row r="4548">
      <c r="G4548">
        <f>IF(4547&lt;=1000,INDEX($A$2:$A$1001,4547),IF(4547&lt;=2000,INDEX($B$2:$B$1001,3547),IF(4547&lt;=3000,INDEX($C$2:$C$1001,2547),IF(4547&lt;=4000,INDEX($D$2:$D$1001,1547),IF(4547&lt;=5000,INDEX($E$2:$E$1001,547),"")))))</f>
        <v/>
      </c>
    </row>
    <row r="4549">
      <c r="G4549">
        <f>IF(4548&lt;=1000,INDEX($A$2:$A$1001,4548),IF(4548&lt;=2000,INDEX($B$2:$B$1001,3548),IF(4548&lt;=3000,INDEX($C$2:$C$1001,2548),IF(4548&lt;=4000,INDEX($D$2:$D$1001,1548),IF(4548&lt;=5000,INDEX($E$2:$E$1001,548),"")))))</f>
        <v/>
      </c>
    </row>
    <row r="4550">
      <c r="G4550">
        <f>IF(4549&lt;=1000,INDEX($A$2:$A$1001,4549),IF(4549&lt;=2000,INDEX($B$2:$B$1001,3549),IF(4549&lt;=3000,INDEX($C$2:$C$1001,2549),IF(4549&lt;=4000,INDEX($D$2:$D$1001,1549),IF(4549&lt;=5000,INDEX($E$2:$E$1001,549),"")))))</f>
        <v/>
      </c>
    </row>
    <row r="4551">
      <c r="G4551">
        <f>IF(4550&lt;=1000,INDEX($A$2:$A$1001,4550),IF(4550&lt;=2000,INDEX($B$2:$B$1001,3550),IF(4550&lt;=3000,INDEX($C$2:$C$1001,2550),IF(4550&lt;=4000,INDEX($D$2:$D$1001,1550),IF(4550&lt;=5000,INDEX($E$2:$E$1001,550),"")))))</f>
        <v/>
      </c>
    </row>
    <row r="4552">
      <c r="G4552">
        <f>IF(4551&lt;=1000,INDEX($A$2:$A$1001,4551),IF(4551&lt;=2000,INDEX($B$2:$B$1001,3551),IF(4551&lt;=3000,INDEX($C$2:$C$1001,2551),IF(4551&lt;=4000,INDEX($D$2:$D$1001,1551),IF(4551&lt;=5000,INDEX($E$2:$E$1001,551),"")))))</f>
        <v/>
      </c>
    </row>
    <row r="4553">
      <c r="G4553">
        <f>IF(4552&lt;=1000,INDEX($A$2:$A$1001,4552),IF(4552&lt;=2000,INDEX($B$2:$B$1001,3552),IF(4552&lt;=3000,INDEX($C$2:$C$1001,2552),IF(4552&lt;=4000,INDEX($D$2:$D$1001,1552),IF(4552&lt;=5000,INDEX($E$2:$E$1001,552),"")))))</f>
        <v/>
      </c>
    </row>
    <row r="4554">
      <c r="G4554">
        <f>IF(4553&lt;=1000,INDEX($A$2:$A$1001,4553),IF(4553&lt;=2000,INDEX($B$2:$B$1001,3553),IF(4553&lt;=3000,INDEX($C$2:$C$1001,2553),IF(4553&lt;=4000,INDEX($D$2:$D$1001,1553),IF(4553&lt;=5000,INDEX($E$2:$E$1001,553),"")))))</f>
        <v/>
      </c>
    </row>
    <row r="4555">
      <c r="G4555">
        <f>IF(4554&lt;=1000,INDEX($A$2:$A$1001,4554),IF(4554&lt;=2000,INDEX($B$2:$B$1001,3554),IF(4554&lt;=3000,INDEX($C$2:$C$1001,2554),IF(4554&lt;=4000,INDEX($D$2:$D$1001,1554),IF(4554&lt;=5000,INDEX($E$2:$E$1001,554),"")))))</f>
        <v/>
      </c>
    </row>
    <row r="4556">
      <c r="G4556">
        <f>IF(4555&lt;=1000,INDEX($A$2:$A$1001,4555),IF(4555&lt;=2000,INDEX($B$2:$B$1001,3555),IF(4555&lt;=3000,INDEX($C$2:$C$1001,2555),IF(4555&lt;=4000,INDEX($D$2:$D$1001,1555),IF(4555&lt;=5000,INDEX($E$2:$E$1001,555),"")))))</f>
        <v/>
      </c>
    </row>
    <row r="4557">
      <c r="G4557">
        <f>IF(4556&lt;=1000,INDEX($A$2:$A$1001,4556),IF(4556&lt;=2000,INDEX($B$2:$B$1001,3556),IF(4556&lt;=3000,INDEX($C$2:$C$1001,2556),IF(4556&lt;=4000,INDEX($D$2:$D$1001,1556),IF(4556&lt;=5000,INDEX($E$2:$E$1001,556),"")))))</f>
        <v/>
      </c>
    </row>
    <row r="4558">
      <c r="G4558">
        <f>IF(4557&lt;=1000,INDEX($A$2:$A$1001,4557),IF(4557&lt;=2000,INDEX($B$2:$B$1001,3557),IF(4557&lt;=3000,INDEX($C$2:$C$1001,2557),IF(4557&lt;=4000,INDEX($D$2:$D$1001,1557),IF(4557&lt;=5000,INDEX($E$2:$E$1001,557),"")))))</f>
        <v/>
      </c>
    </row>
    <row r="4559">
      <c r="G4559">
        <f>IF(4558&lt;=1000,INDEX($A$2:$A$1001,4558),IF(4558&lt;=2000,INDEX($B$2:$B$1001,3558),IF(4558&lt;=3000,INDEX($C$2:$C$1001,2558),IF(4558&lt;=4000,INDEX($D$2:$D$1001,1558),IF(4558&lt;=5000,INDEX($E$2:$E$1001,558),"")))))</f>
        <v/>
      </c>
    </row>
    <row r="4560">
      <c r="G4560">
        <f>IF(4559&lt;=1000,INDEX($A$2:$A$1001,4559),IF(4559&lt;=2000,INDEX($B$2:$B$1001,3559),IF(4559&lt;=3000,INDEX($C$2:$C$1001,2559),IF(4559&lt;=4000,INDEX($D$2:$D$1001,1559),IF(4559&lt;=5000,INDEX($E$2:$E$1001,559),"")))))</f>
        <v/>
      </c>
    </row>
    <row r="4561">
      <c r="G4561">
        <f>IF(4560&lt;=1000,INDEX($A$2:$A$1001,4560),IF(4560&lt;=2000,INDEX($B$2:$B$1001,3560),IF(4560&lt;=3000,INDEX($C$2:$C$1001,2560),IF(4560&lt;=4000,INDEX($D$2:$D$1001,1560),IF(4560&lt;=5000,INDEX($E$2:$E$1001,560),"")))))</f>
        <v/>
      </c>
    </row>
    <row r="4562">
      <c r="G4562">
        <f>IF(4561&lt;=1000,INDEX($A$2:$A$1001,4561),IF(4561&lt;=2000,INDEX($B$2:$B$1001,3561),IF(4561&lt;=3000,INDEX($C$2:$C$1001,2561),IF(4561&lt;=4000,INDEX($D$2:$D$1001,1561),IF(4561&lt;=5000,INDEX($E$2:$E$1001,561),"")))))</f>
        <v/>
      </c>
    </row>
    <row r="4563">
      <c r="G4563">
        <f>IF(4562&lt;=1000,INDEX($A$2:$A$1001,4562),IF(4562&lt;=2000,INDEX($B$2:$B$1001,3562),IF(4562&lt;=3000,INDEX($C$2:$C$1001,2562),IF(4562&lt;=4000,INDEX($D$2:$D$1001,1562),IF(4562&lt;=5000,INDEX($E$2:$E$1001,562),"")))))</f>
        <v/>
      </c>
    </row>
    <row r="4564">
      <c r="G4564">
        <f>IF(4563&lt;=1000,INDEX($A$2:$A$1001,4563),IF(4563&lt;=2000,INDEX($B$2:$B$1001,3563),IF(4563&lt;=3000,INDEX($C$2:$C$1001,2563),IF(4563&lt;=4000,INDEX($D$2:$D$1001,1563),IF(4563&lt;=5000,INDEX($E$2:$E$1001,563),"")))))</f>
        <v/>
      </c>
    </row>
    <row r="4565">
      <c r="G4565">
        <f>IF(4564&lt;=1000,INDEX($A$2:$A$1001,4564),IF(4564&lt;=2000,INDEX($B$2:$B$1001,3564),IF(4564&lt;=3000,INDEX($C$2:$C$1001,2564),IF(4564&lt;=4000,INDEX($D$2:$D$1001,1564),IF(4564&lt;=5000,INDEX($E$2:$E$1001,564),"")))))</f>
        <v/>
      </c>
    </row>
    <row r="4566">
      <c r="G4566">
        <f>IF(4565&lt;=1000,INDEX($A$2:$A$1001,4565),IF(4565&lt;=2000,INDEX($B$2:$B$1001,3565),IF(4565&lt;=3000,INDEX($C$2:$C$1001,2565),IF(4565&lt;=4000,INDEX($D$2:$D$1001,1565),IF(4565&lt;=5000,INDEX($E$2:$E$1001,565),"")))))</f>
        <v/>
      </c>
    </row>
    <row r="4567">
      <c r="G4567">
        <f>IF(4566&lt;=1000,INDEX($A$2:$A$1001,4566),IF(4566&lt;=2000,INDEX($B$2:$B$1001,3566),IF(4566&lt;=3000,INDEX($C$2:$C$1001,2566),IF(4566&lt;=4000,INDEX($D$2:$D$1001,1566),IF(4566&lt;=5000,INDEX($E$2:$E$1001,566),"")))))</f>
        <v/>
      </c>
    </row>
    <row r="4568">
      <c r="G4568">
        <f>IF(4567&lt;=1000,INDEX($A$2:$A$1001,4567),IF(4567&lt;=2000,INDEX($B$2:$B$1001,3567),IF(4567&lt;=3000,INDEX($C$2:$C$1001,2567),IF(4567&lt;=4000,INDEX($D$2:$D$1001,1567),IF(4567&lt;=5000,INDEX($E$2:$E$1001,567),"")))))</f>
        <v/>
      </c>
    </row>
    <row r="4569">
      <c r="G4569">
        <f>IF(4568&lt;=1000,INDEX($A$2:$A$1001,4568),IF(4568&lt;=2000,INDEX($B$2:$B$1001,3568),IF(4568&lt;=3000,INDEX($C$2:$C$1001,2568),IF(4568&lt;=4000,INDEX($D$2:$D$1001,1568),IF(4568&lt;=5000,INDEX($E$2:$E$1001,568),"")))))</f>
        <v/>
      </c>
    </row>
    <row r="4570">
      <c r="G4570">
        <f>IF(4569&lt;=1000,INDEX($A$2:$A$1001,4569),IF(4569&lt;=2000,INDEX($B$2:$B$1001,3569),IF(4569&lt;=3000,INDEX($C$2:$C$1001,2569),IF(4569&lt;=4000,INDEX($D$2:$D$1001,1569),IF(4569&lt;=5000,INDEX($E$2:$E$1001,569),"")))))</f>
        <v/>
      </c>
    </row>
    <row r="4571">
      <c r="G4571">
        <f>IF(4570&lt;=1000,INDEX($A$2:$A$1001,4570),IF(4570&lt;=2000,INDEX($B$2:$B$1001,3570),IF(4570&lt;=3000,INDEX($C$2:$C$1001,2570),IF(4570&lt;=4000,INDEX($D$2:$D$1001,1570),IF(4570&lt;=5000,INDEX($E$2:$E$1001,570),"")))))</f>
        <v/>
      </c>
    </row>
    <row r="4572">
      <c r="G4572">
        <f>IF(4571&lt;=1000,INDEX($A$2:$A$1001,4571),IF(4571&lt;=2000,INDEX($B$2:$B$1001,3571),IF(4571&lt;=3000,INDEX($C$2:$C$1001,2571),IF(4571&lt;=4000,INDEX($D$2:$D$1001,1571),IF(4571&lt;=5000,INDEX($E$2:$E$1001,571),"")))))</f>
        <v/>
      </c>
    </row>
    <row r="4573">
      <c r="G4573">
        <f>IF(4572&lt;=1000,INDEX($A$2:$A$1001,4572),IF(4572&lt;=2000,INDEX($B$2:$B$1001,3572),IF(4572&lt;=3000,INDEX($C$2:$C$1001,2572),IF(4572&lt;=4000,INDEX($D$2:$D$1001,1572),IF(4572&lt;=5000,INDEX($E$2:$E$1001,572),"")))))</f>
        <v/>
      </c>
    </row>
    <row r="4574">
      <c r="G4574">
        <f>IF(4573&lt;=1000,INDEX($A$2:$A$1001,4573),IF(4573&lt;=2000,INDEX($B$2:$B$1001,3573),IF(4573&lt;=3000,INDEX($C$2:$C$1001,2573),IF(4573&lt;=4000,INDEX($D$2:$D$1001,1573),IF(4573&lt;=5000,INDEX($E$2:$E$1001,573),"")))))</f>
        <v/>
      </c>
    </row>
    <row r="4575">
      <c r="G4575">
        <f>IF(4574&lt;=1000,INDEX($A$2:$A$1001,4574),IF(4574&lt;=2000,INDEX($B$2:$B$1001,3574),IF(4574&lt;=3000,INDEX($C$2:$C$1001,2574),IF(4574&lt;=4000,INDEX($D$2:$D$1001,1574),IF(4574&lt;=5000,INDEX($E$2:$E$1001,574),"")))))</f>
        <v/>
      </c>
    </row>
    <row r="4576">
      <c r="G4576">
        <f>IF(4575&lt;=1000,INDEX($A$2:$A$1001,4575),IF(4575&lt;=2000,INDEX($B$2:$B$1001,3575),IF(4575&lt;=3000,INDEX($C$2:$C$1001,2575),IF(4575&lt;=4000,INDEX($D$2:$D$1001,1575),IF(4575&lt;=5000,INDEX($E$2:$E$1001,575),"")))))</f>
        <v/>
      </c>
    </row>
    <row r="4577">
      <c r="G4577">
        <f>IF(4576&lt;=1000,INDEX($A$2:$A$1001,4576),IF(4576&lt;=2000,INDEX($B$2:$B$1001,3576),IF(4576&lt;=3000,INDEX($C$2:$C$1001,2576),IF(4576&lt;=4000,INDEX($D$2:$D$1001,1576),IF(4576&lt;=5000,INDEX($E$2:$E$1001,576),"")))))</f>
        <v/>
      </c>
    </row>
    <row r="4578">
      <c r="G4578">
        <f>IF(4577&lt;=1000,INDEX($A$2:$A$1001,4577),IF(4577&lt;=2000,INDEX($B$2:$B$1001,3577),IF(4577&lt;=3000,INDEX($C$2:$C$1001,2577),IF(4577&lt;=4000,INDEX($D$2:$D$1001,1577),IF(4577&lt;=5000,INDEX($E$2:$E$1001,577),"")))))</f>
        <v/>
      </c>
    </row>
    <row r="4579">
      <c r="G4579">
        <f>IF(4578&lt;=1000,INDEX($A$2:$A$1001,4578),IF(4578&lt;=2000,INDEX($B$2:$B$1001,3578),IF(4578&lt;=3000,INDEX($C$2:$C$1001,2578),IF(4578&lt;=4000,INDEX($D$2:$D$1001,1578),IF(4578&lt;=5000,INDEX($E$2:$E$1001,578),"")))))</f>
        <v/>
      </c>
    </row>
    <row r="4580">
      <c r="G4580">
        <f>IF(4579&lt;=1000,INDEX($A$2:$A$1001,4579),IF(4579&lt;=2000,INDEX($B$2:$B$1001,3579),IF(4579&lt;=3000,INDEX($C$2:$C$1001,2579),IF(4579&lt;=4000,INDEX($D$2:$D$1001,1579),IF(4579&lt;=5000,INDEX($E$2:$E$1001,579),"")))))</f>
        <v/>
      </c>
    </row>
    <row r="4581">
      <c r="G4581">
        <f>IF(4580&lt;=1000,INDEX($A$2:$A$1001,4580),IF(4580&lt;=2000,INDEX($B$2:$B$1001,3580),IF(4580&lt;=3000,INDEX($C$2:$C$1001,2580),IF(4580&lt;=4000,INDEX($D$2:$D$1001,1580),IF(4580&lt;=5000,INDEX($E$2:$E$1001,580),"")))))</f>
        <v/>
      </c>
    </row>
    <row r="4582">
      <c r="G4582">
        <f>IF(4581&lt;=1000,INDEX($A$2:$A$1001,4581),IF(4581&lt;=2000,INDEX($B$2:$B$1001,3581),IF(4581&lt;=3000,INDEX($C$2:$C$1001,2581),IF(4581&lt;=4000,INDEX($D$2:$D$1001,1581),IF(4581&lt;=5000,INDEX($E$2:$E$1001,581),"")))))</f>
        <v/>
      </c>
    </row>
    <row r="4583">
      <c r="G4583">
        <f>IF(4582&lt;=1000,INDEX($A$2:$A$1001,4582),IF(4582&lt;=2000,INDEX($B$2:$B$1001,3582),IF(4582&lt;=3000,INDEX($C$2:$C$1001,2582),IF(4582&lt;=4000,INDEX($D$2:$D$1001,1582),IF(4582&lt;=5000,INDEX($E$2:$E$1001,582),"")))))</f>
        <v/>
      </c>
    </row>
    <row r="4584">
      <c r="G4584">
        <f>IF(4583&lt;=1000,INDEX($A$2:$A$1001,4583),IF(4583&lt;=2000,INDEX($B$2:$B$1001,3583),IF(4583&lt;=3000,INDEX($C$2:$C$1001,2583),IF(4583&lt;=4000,INDEX($D$2:$D$1001,1583),IF(4583&lt;=5000,INDEX($E$2:$E$1001,583),"")))))</f>
        <v/>
      </c>
    </row>
    <row r="4585">
      <c r="G4585">
        <f>IF(4584&lt;=1000,INDEX($A$2:$A$1001,4584),IF(4584&lt;=2000,INDEX($B$2:$B$1001,3584),IF(4584&lt;=3000,INDEX($C$2:$C$1001,2584),IF(4584&lt;=4000,INDEX($D$2:$D$1001,1584),IF(4584&lt;=5000,INDEX($E$2:$E$1001,584),"")))))</f>
        <v/>
      </c>
    </row>
    <row r="4586">
      <c r="G4586">
        <f>IF(4585&lt;=1000,INDEX($A$2:$A$1001,4585),IF(4585&lt;=2000,INDEX($B$2:$B$1001,3585),IF(4585&lt;=3000,INDEX($C$2:$C$1001,2585),IF(4585&lt;=4000,INDEX($D$2:$D$1001,1585),IF(4585&lt;=5000,INDEX($E$2:$E$1001,585),"")))))</f>
        <v/>
      </c>
    </row>
    <row r="4587">
      <c r="G4587">
        <f>IF(4586&lt;=1000,INDEX($A$2:$A$1001,4586),IF(4586&lt;=2000,INDEX($B$2:$B$1001,3586),IF(4586&lt;=3000,INDEX($C$2:$C$1001,2586),IF(4586&lt;=4000,INDEX($D$2:$D$1001,1586),IF(4586&lt;=5000,INDEX($E$2:$E$1001,586),"")))))</f>
        <v/>
      </c>
    </row>
    <row r="4588">
      <c r="G4588">
        <f>IF(4587&lt;=1000,INDEX($A$2:$A$1001,4587),IF(4587&lt;=2000,INDEX($B$2:$B$1001,3587),IF(4587&lt;=3000,INDEX($C$2:$C$1001,2587),IF(4587&lt;=4000,INDEX($D$2:$D$1001,1587),IF(4587&lt;=5000,INDEX($E$2:$E$1001,587),"")))))</f>
        <v/>
      </c>
    </row>
    <row r="4589">
      <c r="G4589">
        <f>IF(4588&lt;=1000,INDEX($A$2:$A$1001,4588),IF(4588&lt;=2000,INDEX($B$2:$B$1001,3588),IF(4588&lt;=3000,INDEX($C$2:$C$1001,2588),IF(4588&lt;=4000,INDEX($D$2:$D$1001,1588),IF(4588&lt;=5000,INDEX($E$2:$E$1001,588),"")))))</f>
        <v/>
      </c>
    </row>
    <row r="4590">
      <c r="G4590">
        <f>IF(4589&lt;=1000,INDEX($A$2:$A$1001,4589),IF(4589&lt;=2000,INDEX($B$2:$B$1001,3589),IF(4589&lt;=3000,INDEX($C$2:$C$1001,2589),IF(4589&lt;=4000,INDEX($D$2:$D$1001,1589),IF(4589&lt;=5000,INDEX($E$2:$E$1001,589),"")))))</f>
        <v/>
      </c>
    </row>
    <row r="4591">
      <c r="G4591">
        <f>IF(4590&lt;=1000,INDEX($A$2:$A$1001,4590),IF(4590&lt;=2000,INDEX($B$2:$B$1001,3590),IF(4590&lt;=3000,INDEX($C$2:$C$1001,2590),IF(4590&lt;=4000,INDEX($D$2:$D$1001,1590),IF(4590&lt;=5000,INDEX($E$2:$E$1001,590),"")))))</f>
        <v/>
      </c>
    </row>
    <row r="4592">
      <c r="G4592">
        <f>IF(4591&lt;=1000,INDEX($A$2:$A$1001,4591),IF(4591&lt;=2000,INDEX($B$2:$B$1001,3591),IF(4591&lt;=3000,INDEX($C$2:$C$1001,2591),IF(4591&lt;=4000,INDEX($D$2:$D$1001,1591),IF(4591&lt;=5000,INDEX($E$2:$E$1001,591),"")))))</f>
        <v/>
      </c>
    </row>
    <row r="4593">
      <c r="G4593">
        <f>IF(4592&lt;=1000,INDEX($A$2:$A$1001,4592),IF(4592&lt;=2000,INDEX($B$2:$B$1001,3592),IF(4592&lt;=3000,INDEX($C$2:$C$1001,2592),IF(4592&lt;=4000,INDEX($D$2:$D$1001,1592),IF(4592&lt;=5000,INDEX($E$2:$E$1001,592),"")))))</f>
        <v/>
      </c>
    </row>
    <row r="4594">
      <c r="G4594">
        <f>IF(4593&lt;=1000,INDEX($A$2:$A$1001,4593),IF(4593&lt;=2000,INDEX($B$2:$B$1001,3593),IF(4593&lt;=3000,INDEX($C$2:$C$1001,2593),IF(4593&lt;=4000,INDEX($D$2:$D$1001,1593),IF(4593&lt;=5000,INDEX($E$2:$E$1001,593),"")))))</f>
        <v/>
      </c>
    </row>
    <row r="4595">
      <c r="G4595">
        <f>IF(4594&lt;=1000,INDEX($A$2:$A$1001,4594),IF(4594&lt;=2000,INDEX($B$2:$B$1001,3594),IF(4594&lt;=3000,INDEX($C$2:$C$1001,2594),IF(4594&lt;=4000,INDEX($D$2:$D$1001,1594),IF(4594&lt;=5000,INDEX($E$2:$E$1001,594),"")))))</f>
        <v/>
      </c>
    </row>
    <row r="4596">
      <c r="G4596">
        <f>IF(4595&lt;=1000,INDEX($A$2:$A$1001,4595),IF(4595&lt;=2000,INDEX($B$2:$B$1001,3595),IF(4595&lt;=3000,INDEX($C$2:$C$1001,2595),IF(4595&lt;=4000,INDEX($D$2:$D$1001,1595),IF(4595&lt;=5000,INDEX($E$2:$E$1001,595),"")))))</f>
        <v/>
      </c>
    </row>
    <row r="4597">
      <c r="G4597">
        <f>IF(4596&lt;=1000,INDEX($A$2:$A$1001,4596),IF(4596&lt;=2000,INDEX($B$2:$B$1001,3596),IF(4596&lt;=3000,INDEX($C$2:$C$1001,2596),IF(4596&lt;=4000,INDEX($D$2:$D$1001,1596),IF(4596&lt;=5000,INDEX($E$2:$E$1001,596),"")))))</f>
        <v/>
      </c>
    </row>
    <row r="4598">
      <c r="G4598">
        <f>IF(4597&lt;=1000,INDEX($A$2:$A$1001,4597),IF(4597&lt;=2000,INDEX($B$2:$B$1001,3597),IF(4597&lt;=3000,INDEX($C$2:$C$1001,2597),IF(4597&lt;=4000,INDEX($D$2:$D$1001,1597),IF(4597&lt;=5000,INDEX($E$2:$E$1001,597),"")))))</f>
        <v/>
      </c>
    </row>
    <row r="4599">
      <c r="G4599">
        <f>IF(4598&lt;=1000,INDEX($A$2:$A$1001,4598),IF(4598&lt;=2000,INDEX($B$2:$B$1001,3598),IF(4598&lt;=3000,INDEX($C$2:$C$1001,2598),IF(4598&lt;=4000,INDEX($D$2:$D$1001,1598),IF(4598&lt;=5000,INDEX($E$2:$E$1001,598),"")))))</f>
        <v/>
      </c>
    </row>
    <row r="4600">
      <c r="G4600">
        <f>IF(4599&lt;=1000,INDEX($A$2:$A$1001,4599),IF(4599&lt;=2000,INDEX($B$2:$B$1001,3599),IF(4599&lt;=3000,INDEX($C$2:$C$1001,2599),IF(4599&lt;=4000,INDEX($D$2:$D$1001,1599),IF(4599&lt;=5000,INDEX($E$2:$E$1001,599),"")))))</f>
        <v/>
      </c>
    </row>
    <row r="4601">
      <c r="G4601">
        <f>IF(4600&lt;=1000,INDEX($A$2:$A$1001,4600),IF(4600&lt;=2000,INDEX($B$2:$B$1001,3600),IF(4600&lt;=3000,INDEX($C$2:$C$1001,2600),IF(4600&lt;=4000,INDEX($D$2:$D$1001,1600),IF(4600&lt;=5000,INDEX($E$2:$E$1001,600),"")))))</f>
        <v/>
      </c>
    </row>
    <row r="4602">
      <c r="G4602">
        <f>IF(4601&lt;=1000,INDEX($A$2:$A$1001,4601),IF(4601&lt;=2000,INDEX($B$2:$B$1001,3601),IF(4601&lt;=3000,INDEX($C$2:$C$1001,2601),IF(4601&lt;=4000,INDEX($D$2:$D$1001,1601),IF(4601&lt;=5000,INDEX($E$2:$E$1001,601),"")))))</f>
        <v/>
      </c>
    </row>
    <row r="4603">
      <c r="G4603">
        <f>IF(4602&lt;=1000,INDEX($A$2:$A$1001,4602),IF(4602&lt;=2000,INDEX($B$2:$B$1001,3602),IF(4602&lt;=3000,INDEX($C$2:$C$1001,2602),IF(4602&lt;=4000,INDEX($D$2:$D$1001,1602),IF(4602&lt;=5000,INDEX($E$2:$E$1001,602),"")))))</f>
        <v/>
      </c>
    </row>
    <row r="4604">
      <c r="G4604">
        <f>IF(4603&lt;=1000,INDEX($A$2:$A$1001,4603),IF(4603&lt;=2000,INDEX($B$2:$B$1001,3603),IF(4603&lt;=3000,INDEX($C$2:$C$1001,2603),IF(4603&lt;=4000,INDEX($D$2:$D$1001,1603),IF(4603&lt;=5000,INDEX($E$2:$E$1001,603),"")))))</f>
        <v/>
      </c>
    </row>
    <row r="4605">
      <c r="G4605">
        <f>IF(4604&lt;=1000,INDEX($A$2:$A$1001,4604),IF(4604&lt;=2000,INDEX($B$2:$B$1001,3604),IF(4604&lt;=3000,INDEX($C$2:$C$1001,2604),IF(4604&lt;=4000,INDEX($D$2:$D$1001,1604),IF(4604&lt;=5000,INDEX($E$2:$E$1001,604),"")))))</f>
        <v/>
      </c>
    </row>
    <row r="4606">
      <c r="G4606">
        <f>IF(4605&lt;=1000,INDEX($A$2:$A$1001,4605),IF(4605&lt;=2000,INDEX($B$2:$B$1001,3605),IF(4605&lt;=3000,INDEX($C$2:$C$1001,2605),IF(4605&lt;=4000,INDEX($D$2:$D$1001,1605),IF(4605&lt;=5000,INDEX($E$2:$E$1001,605),"")))))</f>
        <v/>
      </c>
    </row>
    <row r="4607">
      <c r="G4607">
        <f>IF(4606&lt;=1000,INDEX($A$2:$A$1001,4606),IF(4606&lt;=2000,INDEX($B$2:$B$1001,3606),IF(4606&lt;=3000,INDEX($C$2:$C$1001,2606),IF(4606&lt;=4000,INDEX($D$2:$D$1001,1606),IF(4606&lt;=5000,INDEX($E$2:$E$1001,606),"")))))</f>
        <v/>
      </c>
    </row>
    <row r="4608">
      <c r="G4608">
        <f>IF(4607&lt;=1000,INDEX($A$2:$A$1001,4607),IF(4607&lt;=2000,INDEX($B$2:$B$1001,3607),IF(4607&lt;=3000,INDEX($C$2:$C$1001,2607),IF(4607&lt;=4000,INDEX($D$2:$D$1001,1607),IF(4607&lt;=5000,INDEX($E$2:$E$1001,607),"")))))</f>
        <v/>
      </c>
    </row>
    <row r="4609">
      <c r="G4609">
        <f>IF(4608&lt;=1000,INDEX($A$2:$A$1001,4608),IF(4608&lt;=2000,INDEX($B$2:$B$1001,3608),IF(4608&lt;=3000,INDEX($C$2:$C$1001,2608),IF(4608&lt;=4000,INDEX($D$2:$D$1001,1608),IF(4608&lt;=5000,INDEX($E$2:$E$1001,608),"")))))</f>
        <v/>
      </c>
    </row>
    <row r="4610">
      <c r="G4610">
        <f>IF(4609&lt;=1000,INDEX($A$2:$A$1001,4609),IF(4609&lt;=2000,INDEX($B$2:$B$1001,3609),IF(4609&lt;=3000,INDEX($C$2:$C$1001,2609),IF(4609&lt;=4000,INDEX($D$2:$D$1001,1609),IF(4609&lt;=5000,INDEX($E$2:$E$1001,609),"")))))</f>
        <v/>
      </c>
    </row>
    <row r="4611">
      <c r="G4611">
        <f>IF(4610&lt;=1000,INDEX($A$2:$A$1001,4610),IF(4610&lt;=2000,INDEX($B$2:$B$1001,3610),IF(4610&lt;=3000,INDEX($C$2:$C$1001,2610),IF(4610&lt;=4000,INDEX($D$2:$D$1001,1610),IF(4610&lt;=5000,INDEX($E$2:$E$1001,610),"")))))</f>
        <v/>
      </c>
    </row>
    <row r="4612">
      <c r="G4612">
        <f>IF(4611&lt;=1000,INDEX($A$2:$A$1001,4611),IF(4611&lt;=2000,INDEX($B$2:$B$1001,3611),IF(4611&lt;=3000,INDEX($C$2:$C$1001,2611),IF(4611&lt;=4000,INDEX($D$2:$D$1001,1611),IF(4611&lt;=5000,INDEX($E$2:$E$1001,611),"")))))</f>
        <v/>
      </c>
    </row>
    <row r="4613">
      <c r="G4613">
        <f>IF(4612&lt;=1000,INDEX($A$2:$A$1001,4612),IF(4612&lt;=2000,INDEX($B$2:$B$1001,3612),IF(4612&lt;=3000,INDEX($C$2:$C$1001,2612),IF(4612&lt;=4000,INDEX($D$2:$D$1001,1612),IF(4612&lt;=5000,INDEX($E$2:$E$1001,612),"")))))</f>
        <v/>
      </c>
    </row>
    <row r="4614">
      <c r="G4614">
        <f>IF(4613&lt;=1000,INDEX($A$2:$A$1001,4613),IF(4613&lt;=2000,INDEX($B$2:$B$1001,3613),IF(4613&lt;=3000,INDEX($C$2:$C$1001,2613),IF(4613&lt;=4000,INDEX($D$2:$D$1001,1613),IF(4613&lt;=5000,INDEX($E$2:$E$1001,613),"")))))</f>
        <v/>
      </c>
    </row>
    <row r="4615">
      <c r="G4615">
        <f>IF(4614&lt;=1000,INDEX($A$2:$A$1001,4614),IF(4614&lt;=2000,INDEX($B$2:$B$1001,3614),IF(4614&lt;=3000,INDEX($C$2:$C$1001,2614),IF(4614&lt;=4000,INDEX($D$2:$D$1001,1614),IF(4614&lt;=5000,INDEX($E$2:$E$1001,614),"")))))</f>
        <v/>
      </c>
    </row>
    <row r="4616">
      <c r="G4616">
        <f>IF(4615&lt;=1000,INDEX($A$2:$A$1001,4615),IF(4615&lt;=2000,INDEX($B$2:$B$1001,3615),IF(4615&lt;=3000,INDEX($C$2:$C$1001,2615),IF(4615&lt;=4000,INDEX($D$2:$D$1001,1615),IF(4615&lt;=5000,INDEX($E$2:$E$1001,615),"")))))</f>
        <v/>
      </c>
    </row>
    <row r="4617">
      <c r="G4617">
        <f>IF(4616&lt;=1000,INDEX($A$2:$A$1001,4616),IF(4616&lt;=2000,INDEX($B$2:$B$1001,3616),IF(4616&lt;=3000,INDEX($C$2:$C$1001,2616),IF(4616&lt;=4000,INDEX($D$2:$D$1001,1616),IF(4616&lt;=5000,INDEX($E$2:$E$1001,616),"")))))</f>
        <v/>
      </c>
    </row>
    <row r="4618">
      <c r="G4618">
        <f>IF(4617&lt;=1000,INDEX($A$2:$A$1001,4617),IF(4617&lt;=2000,INDEX($B$2:$B$1001,3617),IF(4617&lt;=3000,INDEX($C$2:$C$1001,2617),IF(4617&lt;=4000,INDEX($D$2:$D$1001,1617),IF(4617&lt;=5000,INDEX($E$2:$E$1001,617),"")))))</f>
        <v/>
      </c>
    </row>
    <row r="4619">
      <c r="G4619">
        <f>IF(4618&lt;=1000,INDEX($A$2:$A$1001,4618),IF(4618&lt;=2000,INDEX($B$2:$B$1001,3618),IF(4618&lt;=3000,INDEX($C$2:$C$1001,2618),IF(4618&lt;=4000,INDEX($D$2:$D$1001,1618),IF(4618&lt;=5000,INDEX($E$2:$E$1001,618),"")))))</f>
        <v/>
      </c>
    </row>
    <row r="4620">
      <c r="G4620">
        <f>IF(4619&lt;=1000,INDEX($A$2:$A$1001,4619),IF(4619&lt;=2000,INDEX($B$2:$B$1001,3619),IF(4619&lt;=3000,INDEX($C$2:$C$1001,2619),IF(4619&lt;=4000,INDEX($D$2:$D$1001,1619),IF(4619&lt;=5000,INDEX($E$2:$E$1001,619),"")))))</f>
        <v/>
      </c>
    </row>
    <row r="4621">
      <c r="G4621">
        <f>IF(4620&lt;=1000,INDEX($A$2:$A$1001,4620),IF(4620&lt;=2000,INDEX($B$2:$B$1001,3620),IF(4620&lt;=3000,INDEX($C$2:$C$1001,2620),IF(4620&lt;=4000,INDEX($D$2:$D$1001,1620),IF(4620&lt;=5000,INDEX($E$2:$E$1001,620),"")))))</f>
        <v/>
      </c>
    </row>
    <row r="4622">
      <c r="G4622">
        <f>IF(4621&lt;=1000,INDEX($A$2:$A$1001,4621),IF(4621&lt;=2000,INDEX($B$2:$B$1001,3621),IF(4621&lt;=3000,INDEX($C$2:$C$1001,2621),IF(4621&lt;=4000,INDEX($D$2:$D$1001,1621),IF(4621&lt;=5000,INDEX($E$2:$E$1001,621),"")))))</f>
        <v/>
      </c>
    </row>
    <row r="4623">
      <c r="G4623">
        <f>IF(4622&lt;=1000,INDEX($A$2:$A$1001,4622),IF(4622&lt;=2000,INDEX($B$2:$B$1001,3622),IF(4622&lt;=3000,INDEX($C$2:$C$1001,2622),IF(4622&lt;=4000,INDEX($D$2:$D$1001,1622),IF(4622&lt;=5000,INDEX($E$2:$E$1001,622),"")))))</f>
        <v/>
      </c>
    </row>
    <row r="4624">
      <c r="G4624">
        <f>IF(4623&lt;=1000,INDEX($A$2:$A$1001,4623),IF(4623&lt;=2000,INDEX($B$2:$B$1001,3623),IF(4623&lt;=3000,INDEX($C$2:$C$1001,2623),IF(4623&lt;=4000,INDEX($D$2:$D$1001,1623),IF(4623&lt;=5000,INDEX($E$2:$E$1001,623),"")))))</f>
        <v/>
      </c>
    </row>
    <row r="4625">
      <c r="G4625">
        <f>IF(4624&lt;=1000,INDEX($A$2:$A$1001,4624),IF(4624&lt;=2000,INDEX($B$2:$B$1001,3624),IF(4624&lt;=3000,INDEX($C$2:$C$1001,2624),IF(4624&lt;=4000,INDEX($D$2:$D$1001,1624),IF(4624&lt;=5000,INDEX($E$2:$E$1001,624),"")))))</f>
        <v/>
      </c>
    </row>
    <row r="4626">
      <c r="G4626">
        <f>IF(4625&lt;=1000,INDEX($A$2:$A$1001,4625),IF(4625&lt;=2000,INDEX($B$2:$B$1001,3625),IF(4625&lt;=3000,INDEX($C$2:$C$1001,2625),IF(4625&lt;=4000,INDEX($D$2:$D$1001,1625),IF(4625&lt;=5000,INDEX($E$2:$E$1001,625),"")))))</f>
        <v/>
      </c>
    </row>
    <row r="4627">
      <c r="G4627">
        <f>IF(4626&lt;=1000,INDEX($A$2:$A$1001,4626),IF(4626&lt;=2000,INDEX($B$2:$B$1001,3626),IF(4626&lt;=3000,INDEX($C$2:$C$1001,2626),IF(4626&lt;=4000,INDEX($D$2:$D$1001,1626),IF(4626&lt;=5000,INDEX($E$2:$E$1001,626),"")))))</f>
        <v/>
      </c>
    </row>
    <row r="4628">
      <c r="G4628">
        <f>IF(4627&lt;=1000,INDEX($A$2:$A$1001,4627),IF(4627&lt;=2000,INDEX($B$2:$B$1001,3627),IF(4627&lt;=3000,INDEX($C$2:$C$1001,2627),IF(4627&lt;=4000,INDEX($D$2:$D$1001,1627),IF(4627&lt;=5000,INDEX($E$2:$E$1001,627),"")))))</f>
        <v/>
      </c>
    </row>
    <row r="4629">
      <c r="G4629">
        <f>IF(4628&lt;=1000,INDEX($A$2:$A$1001,4628),IF(4628&lt;=2000,INDEX($B$2:$B$1001,3628),IF(4628&lt;=3000,INDEX($C$2:$C$1001,2628),IF(4628&lt;=4000,INDEX($D$2:$D$1001,1628),IF(4628&lt;=5000,INDEX($E$2:$E$1001,628),"")))))</f>
        <v/>
      </c>
    </row>
    <row r="4630">
      <c r="G4630">
        <f>IF(4629&lt;=1000,INDEX($A$2:$A$1001,4629),IF(4629&lt;=2000,INDEX($B$2:$B$1001,3629),IF(4629&lt;=3000,INDEX($C$2:$C$1001,2629),IF(4629&lt;=4000,INDEX($D$2:$D$1001,1629),IF(4629&lt;=5000,INDEX($E$2:$E$1001,629),"")))))</f>
        <v/>
      </c>
    </row>
    <row r="4631">
      <c r="G4631">
        <f>IF(4630&lt;=1000,INDEX($A$2:$A$1001,4630),IF(4630&lt;=2000,INDEX($B$2:$B$1001,3630),IF(4630&lt;=3000,INDEX($C$2:$C$1001,2630),IF(4630&lt;=4000,INDEX($D$2:$D$1001,1630),IF(4630&lt;=5000,INDEX($E$2:$E$1001,630),"")))))</f>
        <v/>
      </c>
    </row>
    <row r="4632">
      <c r="G4632">
        <f>IF(4631&lt;=1000,INDEX($A$2:$A$1001,4631),IF(4631&lt;=2000,INDEX($B$2:$B$1001,3631),IF(4631&lt;=3000,INDEX($C$2:$C$1001,2631),IF(4631&lt;=4000,INDEX($D$2:$D$1001,1631),IF(4631&lt;=5000,INDEX($E$2:$E$1001,631),"")))))</f>
        <v/>
      </c>
    </row>
    <row r="4633">
      <c r="G4633">
        <f>IF(4632&lt;=1000,INDEX($A$2:$A$1001,4632),IF(4632&lt;=2000,INDEX($B$2:$B$1001,3632),IF(4632&lt;=3000,INDEX($C$2:$C$1001,2632),IF(4632&lt;=4000,INDEX($D$2:$D$1001,1632),IF(4632&lt;=5000,INDEX($E$2:$E$1001,632),"")))))</f>
        <v/>
      </c>
    </row>
    <row r="4634">
      <c r="G4634">
        <f>IF(4633&lt;=1000,INDEX($A$2:$A$1001,4633),IF(4633&lt;=2000,INDEX($B$2:$B$1001,3633),IF(4633&lt;=3000,INDEX($C$2:$C$1001,2633),IF(4633&lt;=4000,INDEX($D$2:$D$1001,1633),IF(4633&lt;=5000,INDEX($E$2:$E$1001,633),"")))))</f>
        <v/>
      </c>
    </row>
    <row r="4635">
      <c r="G4635">
        <f>IF(4634&lt;=1000,INDEX($A$2:$A$1001,4634),IF(4634&lt;=2000,INDEX($B$2:$B$1001,3634),IF(4634&lt;=3000,INDEX($C$2:$C$1001,2634),IF(4634&lt;=4000,INDEX($D$2:$D$1001,1634),IF(4634&lt;=5000,INDEX($E$2:$E$1001,634),"")))))</f>
        <v/>
      </c>
    </row>
    <row r="4636">
      <c r="G4636">
        <f>IF(4635&lt;=1000,INDEX($A$2:$A$1001,4635),IF(4635&lt;=2000,INDEX($B$2:$B$1001,3635),IF(4635&lt;=3000,INDEX($C$2:$C$1001,2635),IF(4635&lt;=4000,INDEX($D$2:$D$1001,1635),IF(4635&lt;=5000,INDEX($E$2:$E$1001,635),"")))))</f>
        <v/>
      </c>
    </row>
    <row r="4637">
      <c r="G4637">
        <f>IF(4636&lt;=1000,INDEX($A$2:$A$1001,4636),IF(4636&lt;=2000,INDEX($B$2:$B$1001,3636),IF(4636&lt;=3000,INDEX($C$2:$C$1001,2636),IF(4636&lt;=4000,INDEX($D$2:$D$1001,1636),IF(4636&lt;=5000,INDEX($E$2:$E$1001,636),"")))))</f>
        <v/>
      </c>
    </row>
    <row r="4638">
      <c r="G4638">
        <f>IF(4637&lt;=1000,INDEX($A$2:$A$1001,4637),IF(4637&lt;=2000,INDEX($B$2:$B$1001,3637),IF(4637&lt;=3000,INDEX($C$2:$C$1001,2637),IF(4637&lt;=4000,INDEX($D$2:$D$1001,1637),IF(4637&lt;=5000,INDEX($E$2:$E$1001,637),"")))))</f>
        <v/>
      </c>
    </row>
    <row r="4639">
      <c r="G4639">
        <f>IF(4638&lt;=1000,INDEX($A$2:$A$1001,4638),IF(4638&lt;=2000,INDEX($B$2:$B$1001,3638),IF(4638&lt;=3000,INDEX($C$2:$C$1001,2638),IF(4638&lt;=4000,INDEX($D$2:$D$1001,1638),IF(4638&lt;=5000,INDEX($E$2:$E$1001,638),"")))))</f>
        <v/>
      </c>
    </row>
    <row r="4640">
      <c r="G4640">
        <f>IF(4639&lt;=1000,INDEX($A$2:$A$1001,4639),IF(4639&lt;=2000,INDEX($B$2:$B$1001,3639),IF(4639&lt;=3000,INDEX($C$2:$C$1001,2639),IF(4639&lt;=4000,INDEX($D$2:$D$1001,1639),IF(4639&lt;=5000,INDEX($E$2:$E$1001,639),"")))))</f>
        <v/>
      </c>
    </row>
    <row r="4641">
      <c r="G4641">
        <f>IF(4640&lt;=1000,INDEX($A$2:$A$1001,4640),IF(4640&lt;=2000,INDEX($B$2:$B$1001,3640),IF(4640&lt;=3000,INDEX($C$2:$C$1001,2640),IF(4640&lt;=4000,INDEX($D$2:$D$1001,1640),IF(4640&lt;=5000,INDEX($E$2:$E$1001,640),"")))))</f>
        <v/>
      </c>
    </row>
    <row r="4642">
      <c r="G4642">
        <f>IF(4641&lt;=1000,INDEX($A$2:$A$1001,4641),IF(4641&lt;=2000,INDEX($B$2:$B$1001,3641),IF(4641&lt;=3000,INDEX($C$2:$C$1001,2641),IF(4641&lt;=4000,INDEX($D$2:$D$1001,1641),IF(4641&lt;=5000,INDEX($E$2:$E$1001,641),"")))))</f>
        <v/>
      </c>
    </row>
    <row r="4643">
      <c r="G4643">
        <f>IF(4642&lt;=1000,INDEX($A$2:$A$1001,4642),IF(4642&lt;=2000,INDEX($B$2:$B$1001,3642),IF(4642&lt;=3000,INDEX($C$2:$C$1001,2642),IF(4642&lt;=4000,INDEX($D$2:$D$1001,1642),IF(4642&lt;=5000,INDEX($E$2:$E$1001,642),"")))))</f>
        <v/>
      </c>
    </row>
    <row r="4644">
      <c r="G4644">
        <f>IF(4643&lt;=1000,INDEX($A$2:$A$1001,4643),IF(4643&lt;=2000,INDEX($B$2:$B$1001,3643),IF(4643&lt;=3000,INDEX($C$2:$C$1001,2643),IF(4643&lt;=4000,INDEX($D$2:$D$1001,1643),IF(4643&lt;=5000,INDEX($E$2:$E$1001,643),"")))))</f>
        <v/>
      </c>
    </row>
    <row r="4645">
      <c r="G4645">
        <f>IF(4644&lt;=1000,INDEX($A$2:$A$1001,4644),IF(4644&lt;=2000,INDEX($B$2:$B$1001,3644),IF(4644&lt;=3000,INDEX($C$2:$C$1001,2644),IF(4644&lt;=4000,INDEX($D$2:$D$1001,1644),IF(4644&lt;=5000,INDEX($E$2:$E$1001,644),"")))))</f>
        <v/>
      </c>
    </row>
    <row r="4646">
      <c r="G4646">
        <f>IF(4645&lt;=1000,INDEX($A$2:$A$1001,4645),IF(4645&lt;=2000,INDEX($B$2:$B$1001,3645),IF(4645&lt;=3000,INDEX($C$2:$C$1001,2645),IF(4645&lt;=4000,INDEX($D$2:$D$1001,1645),IF(4645&lt;=5000,INDEX($E$2:$E$1001,645),"")))))</f>
        <v/>
      </c>
    </row>
    <row r="4647">
      <c r="G4647">
        <f>IF(4646&lt;=1000,INDEX($A$2:$A$1001,4646),IF(4646&lt;=2000,INDEX($B$2:$B$1001,3646),IF(4646&lt;=3000,INDEX($C$2:$C$1001,2646),IF(4646&lt;=4000,INDEX($D$2:$D$1001,1646),IF(4646&lt;=5000,INDEX($E$2:$E$1001,646),"")))))</f>
        <v/>
      </c>
    </row>
    <row r="4648">
      <c r="G4648">
        <f>IF(4647&lt;=1000,INDEX($A$2:$A$1001,4647),IF(4647&lt;=2000,INDEX($B$2:$B$1001,3647),IF(4647&lt;=3000,INDEX($C$2:$C$1001,2647),IF(4647&lt;=4000,INDEX($D$2:$D$1001,1647),IF(4647&lt;=5000,INDEX($E$2:$E$1001,647),"")))))</f>
        <v/>
      </c>
    </row>
    <row r="4649">
      <c r="G4649">
        <f>IF(4648&lt;=1000,INDEX($A$2:$A$1001,4648),IF(4648&lt;=2000,INDEX($B$2:$B$1001,3648),IF(4648&lt;=3000,INDEX($C$2:$C$1001,2648),IF(4648&lt;=4000,INDEX($D$2:$D$1001,1648),IF(4648&lt;=5000,INDEX($E$2:$E$1001,648),"")))))</f>
        <v/>
      </c>
    </row>
    <row r="4650">
      <c r="G4650">
        <f>IF(4649&lt;=1000,INDEX($A$2:$A$1001,4649),IF(4649&lt;=2000,INDEX($B$2:$B$1001,3649),IF(4649&lt;=3000,INDEX($C$2:$C$1001,2649),IF(4649&lt;=4000,INDEX($D$2:$D$1001,1649),IF(4649&lt;=5000,INDEX($E$2:$E$1001,649),"")))))</f>
        <v/>
      </c>
    </row>
    <row r="4651">
      <c r="G4651">
        <f>IF(4650&lt;=1000,INDEX($A$2:$A$1001,4650),IF(4650&lt;=2000,INDEX($B$2:$B$1001,3650),IF(4650&lt;=3000,INDEX($C$2:$C$1001,2650),IF(4650&lt;=4000,INDEX($D$2:$D$1001,1650),IF(4650&lt;=5000,INDEX($E$2:$E$1001,650),"")))))</f>
        <v/>
      </c>
    </row>
    <row r="4652">
      <c r="G4652">
        <f>IF(4651&lt;=1000,INDEX($A$2:$A$1001,4651),IF(4651&lt;=2000,INDEX($B$2:$B$1001,3651),IF(4651&lt;=3000,INDEX($C$2:$C$1001,2651),IF(4651&lt;=4000,INDEX($D$2:$D$1001,1651),IF(4651&lt;=5000,INDEX($E$2:$E$1001,651),"")))))</f>
        <v/>
      </c>
    </row>
    <row r="4653">
      <c r="G4653">
        <f>IF(4652&lt;=1000,INDEX($A$2:$A$1001,4652),IF(4652&lt;=2000,INDEX($B$2:$B$1001,3652),IF(4652&lt;=3000,INDEX($C$2:$C$1001,2652),IF(4652&lt;=4000,INDEX($D$2:$D$1001,1652),IF(4652&lt;=5000,INDEX($E$2:$E$1001,652),"")))))</f>
        <v/>
      </c>
    </row>
    <row r="4654">
      <c r="G4654">
        <f>IF(4653&lt;=1000,INDEX($A$2:$A$1001,4653),IF(4653&lt;=2000,INDEX($B$2:$B$1001,3653),IF(4653&lt;=3000,INDEX($C$2:$C$1001,2653),IF(4653&lt;=4000,INDEX($D$2:$D$1001,1653),IF(4653&lt;=5000,INDEX($E$2:$E$1001,653),"")))))</f>
        <v/>
      </c>
    </row>
    <row r="4655">
      <c r="G4655">
        <f>IF(4654&lt;=1000,INDEX($A$2:$A$1001,4654),IF(4654&lt;=2000,INDEX($B$2:$B$1001,3654),IF(4654&lt;=3000,INDEX($C$2:$C$1001,2654),IF(4654&lt;=4000,INDEX($D$2:$D$1001,1654),IF(4654&lt;=5000,INDEX($E$2:$E$1001,654),"")))))</f>
        <v/>
      </c>
    </row>
    <row r="4656">
      <c r="G4656">
        <f>IF(4655&lt;=1000,INDEX($A$2:$A$1001,4655),IF(4655&lt;=2000,INDEX($B$2:$B$1001,3655),IF(4655&lt;=3000,INDEX($C$2:$C$1001,2655),IF(4655&lt;=4000,INDEX($D$2:$D$1001,1655),IF(4655&lt;=5000,INDEX($E$2:$E$1001,655),"")))))</f>
        <v/>
      </c>
    </row>
    <row r="4657">
      <c r="G4657">
        <f>IF(4656&lt;=1000,INDEX($A$2:$A$1001,4656),IF(4656&lt;=2000,INDEX($B$2:$B$1001,3656),IF(4656&lt;=3000,INDEX($C$2:$C$1001,2656),IF(4656&lt;=4000,INDEX($D$2:$D$1001,1656),IF(4656&lt;=5000,INDEX($E$2:$E$1001,656),"")))))</f>
        <v/>
      </c>
    </row>
    <row r="4658">
      <c r="G4658">
        <f>IF(4657&lt;=1000,INDEX($A$2:$A$1001,4657),IF(4657&lt;=2000,INDEX($B$2:$B$1001,3657),IF(4657&lt;=3000,INDEX($C$2:$C$1001,2657),IF(4657&lt;=4000,INDEX($D$2:$D$1001,1657),IF(4657&lt;=5000,INDEX($E$2:$E$1001,657),"")))))</f>
        <v/>
      </c>
    </row>
    <row r="4659">
      <c r="G4659">
        <f>IF(4658&lt;=1000,INDEX($A$2:$A$1001,4658),IF(4658&lt;=2000,INDEX($B$2:$B$1001,3658),IF(4658&lt;=3000,INDEX($C$2:$C$1001,2658),IF(4658&lt;=4000,INDEX($D$2:$D$1001,1658),IF(4658&lt;=5000,INDEX($E$2:$E$1001,658),"")))))</f>
        <v/>
      </c>
    </row>
    <row r="4660">
      <c r="G4660">
        <f>IF(4659&lt;=1000,INDEX($A$2:$A$1001,4659),IF(4659&lt;=2000,INDEX($B$2:$B$1001,3659),IF(4659&lt;=3000,INDEX($C$2:$C$1001,2659),IF(4659&lt;=4000,INDEX($D$2:$D$1001,1659),IF(4659&lt;=5000,INDEX($E$2:$E$1001,659),"")))))</f>
        <v/>
      </c>
    </row>
    <row r="4661">
      <c r="G4661">
        <f>IF(4660&lt;=1000,INDEX($A$2:$A$1001,4660),IF(4660&lt;=2000,INDEX($B$2:$B$1001,3660),IF(4660&lt;=3000,INDEX($C$2:$C$1001,2660),IF(4660&lt;=4000,INDEX($D$2:$D$1001,1660),IF(4660&lt;=5000,INDEX($E$2:$E$1001,660),"")))))</f>
        <v/>
      </c>
    </row>
    <row r="4662">
      <c r="G4662">
        <f>IF(4661&lt;=1000,INDEX($A$2:$A$1001,4661),IF(4661&lt;=2000,INDEX($B$2:$B$1001,3661),IF(4661&lt;=3000,INDEX($C$2:$C$1001,2661),IF(4661&lt;=4000,INDEX($D$2:$D$1001,1661),IF(4661&lt;=5000,INDEX($E$2:$E$1001,661),"")))))</f>
        <v/>
      </c>
    </row>
    <row r="4663">
      <c r="G4663">
        <f>IF(4662&lt;=1000,INDEX($A$2:$A$1001,4662),IF(4662&lt;=2000,INDEX($B$2:$B$1001,3662),IF(4662&lt;=3000,INDEX($C$2:$C$1001,2662),IF(4662&lt;=4000,INDEX($D$2:$D$1001,1662),IF(4662&lt;=5000,INDEX($E$2:$E$1001,662),"")))))</f>
        <v/>
      </c>
    </row>
    <row r="4664">
      <c r="G4664">
        <f>IF(4663&lt;=1000,INDEX($A$2:$A$1001,4663),IF(4663&lt;=2000,INDEX($B$2:$B$1001,3663),IF(4663&lt;=3000,INDEX($C$2:$C$1001,2663),IF(4663&lt;=4000,INDEX($D$2:$D$1001,1663),IF(4663&lt;=5000,INDEX($E$2:$E$1001,663),"")))))</f>
        <v/>
      </c>
    </row>
    <row r="4665">
      <c r="G4665">
        <f>IF(4664&lt;=1000,INDEX($A$2:$A$1001,4664),IF(4664&lt;=2000,INDEX($B$2:$B$1001,3664),IF(4664&lt;=3000,INDEX($C$2:$C$1001,2664),IF(4664&lt;=4000,INDEX($D$2:$D$1001,1664),IF(4664&lt;=5000,INDEX($E$2:$E$1001,664),"")))))</f>
        <v/>
      </c>
    </row>
    <row r="4666">
      <c r="G4666">
        <f>IF(4665&lt;=1000,INDEX($A$2:$A$1001,4665),IF(4665&lt;=2000,INDEX($B$2:$B$1001,3665),IF(4665&lt;=3000,INDEX($C$2:$C$1001,2665),IF(4665&lt;=4000,INDEX($D$2:$D$1001,1665),IF(4665&lt;=5000,INDEX($E$2:$E$1001,665),"")))))</f>
        <v/>
      </c>
    </row>
    <row r="4667">
      <c r="G4667">
        <f>IF(4666&lt;=1000,INDEX($A$2:$A$1001,4666),IF(4666&lt;=2000,INDEX($B$2:$B$1001,3666),IF(4666&lt;=3000,INDEX($C$2:$C$1001,2666),IF(4666&lt;=4000,INDEX($D$2:$D$1001,1666),IF(4666&lt;=5000,INDEX($E$2:$E$1001,666),"")))))</f>
        <v/>
      </c>
    </row>
    <row r="4668">
      <c r="G4668">
        <f>IF(4667&lt;=1000,INDEX($A$2:$A$1001,4667),IF(4667&lt;=2000,INDEX($B$2:$B$1001,3667),IF(4667&lt;=3000,INDEX($C$2:$C$1001,2667),IF(4667&lt;=4000,INDEX($D$2:$D$1001,1667),IF(4667&lt;=5000,INDEX($E$2:$E$1001,667),"")))))</f>
        <v/>
      </c>
    </row>
    <row r="4669">
      <c r="G4669">
        <f>IF(4668&lt;=1000,INDEX($A$2:$A$1001,4668),IF(4668&lt;=2000,INDEX($B$2:$B$1001,3668),IF(4668&lt;=3000,INDEX($C$2:$C$1001,2668),IF(4668&lt;=4000,INDEX($D$2:$D$1001,1668),IF(4668&lt;=5000,INDEX($E$2:$E$1001,668),"")))))</f>
        <v/>
      </c>
    </row>
    <row r="4670">
      <c r="G4670">
        <f>IF(4669&lt;=1000,INDEX($A$2:$A$1001,4669),IF(4669&lt;=2000,INDEX($B$2:$B$1001,3669),IF(4669&lt;=3000,INDEX($C$2:$C$1001,2669),IF(4669&lt;=4000,INDEX($D$2:$D$1001,1669),IF(4669&lt;=5000,INDEX($E$2:$E$1001,669),"")))))</f>
        <v/>
      </c>
    </row>
    <row r="4671">
      <c r="G4671">
        <f>IF(4670&lt;=1000,INDEX($A$2:$A$1001,4670),IF(4670&lt;=2000,INDEX($B$2:$B$1001,3670),IF(4670&lt;=3000,INDEX($C$2:$C$1001,2670),IF(4670&lt;=4000,INDEX($D$2:$D$1001,1670),IF(4670&lt;=5000,INDEX($E$2:$E$1001,670),"")))))</f>
        <v/>
      </c>
    </row>
    <row r="4672">
      <c r="G4672">
        <f>IF(4671&lt;=1000,INDEX($A$2:$A$1001,4671),IF(4671&lt;=2000,INDEX($B$2:$B$1001,3671),IF(4671&lt;=3000,INDEX($C$2:$C$1001,2671),IF(4671&lt;=4000,INDEX($D$2:$D$1001,1671),IF(4671&lt;=5000,INDEX($E$2:$E$1001,671),"")))))</f>
        <v/>
      </c>
    </row>
    <row r="4673">
      <c r="G4673">
        <f>IF(4672&lt;=1000,INDEX($A$2:$A$1001,4672),IF(4672&lt;=2000,INDEX($B$2:$B$1001,3672),IF(4672&lt;=3000,INDEX($C$2:$C$1001,2672),IF(4672&lt;=4000,INDEX($D$2:$D$1001,1672),IF(4672&lt;=5000,INDEX($E$2:$E$1001,672),"")))))</f>
        <v/>
      </c>
    </row>
    <row r="4674">
      <c r="G4674">
        <f>IF(4673&lt;=1000,INDEX($A$2:$A$1001,4673),IF(4673&lt;=2000,INDEX($B$2:$B$1001,3673),IF(4673&lt;=3000,INDEX($C$2:$C$1001,2673),IF(4673&lt;=4000,INDEX($D$2:$D$1001,1673),IF(4673&lt;=5000,INDEX($E$2:$E$1001,673),"")))))</f>
        <v/>
      </c>
    </row>
    <row r="4675">
      <c r="G4675">
        <f>IF(4674&lt;=1000,INDEX($A$2:$A$1001,4674),IF(4674&lt;=2000,INDEX($B$2:$B$1001,3674),IF(4674&lt;=3000,INDEX($C$2:$C$1001,2674),IF(4674&lt;=4000,INDEX($D$2:$D$1001,1674),IF(4674&lt;=5000,INDEX($E$2:$E$1001,674),"")))))</f>
        <v/>
      </c>
    </row>
    <row r="4676">
      <c r="G4676">
        <f>IF(4675&lt;=1000,INDEX($A$2:$A$1001,4675),IF(4675&lt;=2000,INDEX($B$2:$B$1001,3675),IF(4675&lt;=3000,INDEX($C$2:$C$1001,2675),IF(4675&lt;=4000,INDEX($D$2:$D$1001,1675),IF(4675&lt;=5000,INDEX($E$2:$E$1001,675),"")))))</f>
        <v/>
      </c>
    </row>
    <row r="4677">
      <c r="G4677">
        <f>IF(4676&lt;=1000,INDEX($A$2:$A$1001,4676),IF(4676&lt;=2000,INDEX($B$2:$B$1001,3676),IF(4676&lt;=3000,INDEX($C$2:$C$1001,2676),IF(4676&lt;=4000,INDEX($D$2:$D$1001,1676),IF(4676&lt;=5000,INDEX($E$2:$E$1001,676),"")))))</f>
        <v/>
      </c>
    </row>
    <row r="4678">
      <c r="G4678">
        <f>IF(4677&lt;=1000,INDEX($A$2:$A$1001,4677),IF(4677&lt;=2000,INDEX($B$2:$B$1001,3677),IF(4677&lt;=3000,INDEX($C$2:$C$1001,2677),IF(4677&lt;=4000,INDEX($D$2:$D$1001,1677),IF(4677&lt;=5000,INDEX($E$2:$E$1001,677),"")))))</f>
        <v/>
      </c>
    </row>
    <row r="4679">
      <c r="G4679">
        <f>IF(4678&lt;=1000,INDEX($A$2:$A$1001,4678),IF(4678&lt;=2000,INDEX($B$2:$B$1001,3678),IF(4678&lt;=3000,INDEX($C$2:$C$1001,2678),IF(4678&lt;=4000,INDEX($D$2:$D$1001,1678),IF(4678&lt;=5000,INDEX($E$2:$E$1001,678),"")))))</f>
        <v/>
      </c>
    </row>
    <row r="4680">
      <c r="G4680">
        <f>IF(4679&lt;=1000,INDEX($A$2:$A$1001,4679),IF(4679&lt;=2000,INDEX($B$2:$B$1001,3679),IF(4679&lt;=3000,INDEX($C$2:$C$1001,2679),IF(4679&lt;=4000,INDEX($D$2:$D$1001,1679),IF(4679&lt;=5000,INDEX($E$2:$E$1001,679),"")))))</f>
        <v/>
      </c>
    </row>
    <row r="4681">
      <c r="G4681">
        <f>IF(4680&lt;=1000,INDEX($A$2:$A$1001,4680),IF(4680&lt;=2000,INDEX($B$2:$B$1001,3680),IF(4680&lt;=3000,INDEX($C$2:$C$1001,2680),IF(4680&lt;=4000,INDEX($D$2:$D$1001,1680),IF(4680&lt;=5000,INDEX($E$2:$E$1001,680),"")))))</f>
        <v/>
      </c>
    </row>
    <row r="4682">
      <c r="G4682">
        <f>IF(4681&lt;=1000,INDEX($A$2:$A$1001,4681),IF(4681&lt;=2000,INDEX($B$2:$B$1001,3681),IF(4681&lt;=3000,INDEX($C$2:$C$1001,2681),IF(4681&lt;=4000,INDEX($D$2:$D$1001,1681),IF(4681&lt;=5000,INDEX($E$2:$E$1001,681),"")))))</f>
        <v/>
      </c>
    </row>
    <row r="4683">
      <c r="G4683">
        <f>IF(4682&lt;=1000,INDEX($A$2:$A$1001,4682),IF(4682&lt;=2000,INDEX($B$2:$B$1001,3682),IF(4682&lt;=3000,INDEX($C$2:$C$1001,2682),IF(4682&lt;=4000,INDEX($D$2:$D$1001,1682),IF(4682&lt;=5000,INDEX($E$2:$E$1001,682),"")))))</f>
        <v/>
      </c>
    </row>
    <row r="4684">
      <c r="G4684">
        <f>IF(4683&lt;=1000,INDEX($A$2:$A$1001,4683),IF(4683&lt;=2000,INDEX($B$2:$B$1001,3683),IF(4683&lt;=3000,INDEX($C$2:$C$1001,2683),IF(4683&lt;=4000,INDEX($D$2:$D$1001,1683),IF(4683&lt;=5000,INDEX($E$2:$E$1001,683),"")))))</f>
        <v/>
      </c>
    </row>
    <row r="4685">
      <c r="G4685">
        <f>IF(4684&lt;=1000,INDEX($A$2:$A$1001,4684),IF(4684&lt;=2000,INDEX($B$2:$B$1001,3684),IF(4684&lt;=3000,INDEX($C$2:$C$1001,2684),IF(4684&lt;=4000,INDEX($D$2:$D$1001,1684),IF(4684&lt;=5000,INDEX($E$2:$E$1001,684),"")))))</f>
        <v/>
      </c>
    </row>
    <row r="4686">
      <c r="G4686">
        <f>IF(4685&lt;=1000,INDEX($A$2:$A$1001,4685),IF(4685&lt;=2000,INDEX($B$2:$B$1001,3685),IF(4685&lt;=3000,INDEX($C$2:$C$1001,2685),IF(4685&lt;=4000,INDEX($D$2:$D$1001,1685),IF(4685&lt;=5000,INDEX($E$2:$E$1001,685),"")))))</f>
        <v/>
      </c>
    </row>
    <row r="4687">
      <c r="G4687">
        <f>IF(4686&lt;=1000,INDEX($A$2:$A$1001,4686),IF(4686&lt;=2000,INDEX($B$2:$B$1001,3686),IF(4686&lt;=3000,INDEX($C$2:$C$1001,2686),IF(4686&lt;=4000,INDEX($D$2:$D$1001,1686),IF(4686&lt;=5000,INDEX($E$2:$E$1001,686),"")))))</f>
        <v/>
      </c>
    </row>
    <row r="4688">
      <c r="G4688">
        <f>IF(4687&lt;=1000,INDEX($A$2:$A$1001,4687),IF(4687&lt;=2000,INDEX($B$2:$B$1001,3687),IF(4687&lt;=3000,INDEX($C$2:$C$1001,2687),IF(4687&lt;=4000,INDEX($D$2:$D$1001,1687),IF(4687&lt;=5000,INDEX($E$2:$E$1001,687),"")))))</f>
        <v/>
      </c>
    </row>
    <row r="4689">
      <c r="G4689">
        <f>IF(4688&lt;=1000,INDEX($A$2:$A$1001,4688),IF(4688&lt;=2000,INDEX($B$2:$B$1001,3688),IF(4688&lt;=3000,INDEX($C$2:$C$1001,2688),IF(4688&lt;=4000,INDEX($D$2:$D$1001,1688),IF(4688&lt;=5000,INDEX($E$2:$E$1001,688),"")))))</f>
        <v/>
      </c>
    </row>
    <row r="4690">
      <c r="G4690">
        <f>IF(4689&lt;=1000,INDEX($A$2:$A$1001,4689),IF(4689&lt;=2000,INDEX($B$2:$B$1001,3689),IF(4689&lt;=3000,INDEX($C$2:$C$1001,2689),IF(4689&lt;=4000,INDEX($D$2:$D$1001,1689),IF(4689&lt;=5000,INDEX($E$2:$E$1001,689),"")))))</f>
        <v/>
      </c>
    </row>
    <row r="4691">
      <c r="G4691">
        <f>IF(4690&lt;=1000,INDEX($A$2:$A$1001,4690),IF(4690&lt;=2000,INDEX($B$2:$B$1001,3690),IF(4690&lt;=3000,INDEX($C$2:$C$1001,2690),IF(4690&lt;=4000,INDEX($D$2:$D$1001,1690),IF(4690&lt;=5000,INDEX($E$2:$E$1001,690),"")))))</f>
        <v/>
      </c>
    </row>
    <row r="4692">
      <c r="G4692">
        <f>IF(4691&lt;=1000,INDEX($A$2:$A$1001,4691),IF(4691&lt;=2000,INDEX($B$2:$B$1001,3691),IF(4691&lt;=3000,INDEX($C$2:$C$1001,2691),IF(4691&lt;=4000,INDEX($D$2:$D$1001,1691),IF(4691&lt;=5000,INDEX($E$2:$E$1001,691),"")))))</f>
        <v/>
      </c>
    </row>
    <row r="4693">
      <c r="G4693">
        <f>IF(4692&lt;=1000,INDEX($A$2:$A$1001,4692),IF(4692&lt;=2000,INDEX($B$2:$B$1001,3692),IF(4692&lt;=3000,INDEX($C$2:$C$1001,2692),IF(4692&lt;=4000,INDEX($D$2:$D$1001,1692),IF(4692&lt;=5000,INDEX($E$2:$E$1001,692),"")))))</f>
        <v/>
      </c>
    </row>
    <row r="4694">
      <c r="G4694">
        <f>IF(4693&lt;=1000,INDEX($A$2:$A$1001,4693),IF(4693&lt;=2000,INDEX($B$2:$B$1001,3693),IF(4693&lt;=3000,INDEX($C$2:$C$1001,2693),IF(4693&lt;=4000,INDEX($D$2:$D$1001,1693),IF(4693&lt;=5000,INDEX($E$2:$E$1001,693),"")))))</f>
        <v/>
      </c>
    </row>
    <row r="4695">
      <c r="G4695">
        <f>IF(4694&lt;=1000,INDEX($A$2:$A$1001,4694),IF(4694&lt;=2000,INDEX($B$2:$B$1001,3694),IF(4694&lt;=3000,INDEX($C$2:$C$1001,2694),IF(4694&lt;=4000,INDEX($D$2:$D$1001,1694),IF(4694&lt;=5000,INDEX($E$2:$E$1001,694),"")))))</f>
        <v/>
      </c>
    </row>
    <row r="4696">
      <c r="G4696">
        <f>IF(4695&lt;=1000,INDEX($A$2:$A$1001,4695),IF(4695&lt;=2000,INDEX($B$2:$B$1001,3695),IF(4695&lt;=3000,INDEX($C$2:$C$1001,2695),IF(4695&lt;=4000,INDEX($D$2:$D$1001,1695),IF(4695&lt;=5000,INDEX($E$2:$E$1001,695),"")))))</f>
        <v/>
      </c>
    </row>
    <row r="4697">
      <c r="G4697">
        <f>IF(4696&lt;=1000,INDEX($A$2:$A$1001,4696),IF(4696&lt;=2000,INDEX($B$2:$B$1001,3696),IF(4696&lt;=3000,INDEX($C$2:$C$1001,2696),IF(4696&lt;=4000,INDEX($D$2:$D$1001,1696),IF(4696&lt;=5000,INDEX($E$2:$E$1001,696),"")))))</f>
        <v/>
      </c>
    </row>
    <row r="4698">
      <c r="G4698">
        <f>IF(4697&lt;=1000,INDEX($A$2:$A$1001,4697),IF(4697&lt;=2000,INDEX($B$2:$B$1001,3697),IF(4697&lt;=3000,INDEX($C$2:$C$1001,2697),IF(4697&lt;=4000,INDEX($D$2:$D$1001,1697),IF(4697&lt;=5000,INDEX($E$2:$E$1001,697),"")))))</f>
        <v/>
      </c>
    </row>
    <row r="4699">
      <c r="G4699">
        <f>IF(4698&lt;=1000,INDEX($A$2:$A$1001,4698),IF(4698&lt;=2000,INDEX($B$2:$B$1001,3698),IF(4698&lt;=3000,INDEX($C$2:$C$1001,2698),IF(4698&lt;=4000,INDEX($D$2:$D$1001,1698),IF(4698&lt;=5000,INDEX($E$2:$E$1001,698),"")))))</f>
        <v/>
      </c>
    </row>
    <row r="4700">
      <c r="G4700">
        <f>IF(4699&lt;=1000,INDEX($A$2:$A$1001,4699),IF(4699&lt;=2000,INDEX($B$2:$B$1001,3699),IF(4699&lt;=3000,INDEX($C$2:$C$1001,2699),IF(4699&lt;=4000,INDEX($D$2:$D$1001,1699),IF(4699&lt;=5000,INDEX($E$2:$E$1001,699),"")))))</f>
        <v/>
      </c>
    </row>
    <row r="4701">
      <c r="G4701">
        <f>IF(4700&lt;=1000,INDEX($A$2:$A$1001,4700),IF(4700&lt;=2000,INDEX($B$2:$B$1001,3700),IF(4700&lt;=3000,INDEX($C$2:$C$1001,2700),IF(4700&lt;=4000,INDEX($D$2:$D$1001,1700),IF(4700&lt;=5000,INDEX($E$2:$E$1001,700),"")))))</f>
        <v/>
      </c>
    </row>
    <row r="4702">
      <c r="G4702">
        <f>IF(4701&lt;=1000,INDEX($A$2:$A$1001,4701),IF(4701&lt;=2000,INDEX($B$2:$B$1001,3701),IF(4701&lt;=3000,INDEX($C$2:$C$1001,2701),IF(4701&lt;=4000,INDEX($D$2:$D$1001,1701),IF(4701&lt;=5000,INDEX($E$2:$E$1001,701),"")))))</f>
        <v/>
      </c>
    </row>
    <row r="4703">
      <c r="G4703">
        <f>IF(4702&lt;=1000,INDEX($A$2:$A$1001,4702),IF(4702&lt;=2000,INDEX($B$2:$B$1001,3702),IF(4702&lt;=3000,INDEX($C$2:$C$1001,2702),IF(4702&lt;=4000,INDEX($D$2:$D$1001,1702),IF(4702&lt;=5000,INDEX($E$2:$E$1001,702),"")))))</f>
        <v/>
      </c>
    </row>
    <row r="4704">
      <c r="G4704">
        <f>IF(4703&lt;=1000,INDEX($A$2:$A$1001,4703),IF(4703&lt;=2000,INDEX($B$2:$B$1001,3703),IF(4703&lt;=3000,INDEX($C$2:$C$1001,2703),IF(4703&lt;=4000,INDEX($D$2:$D$1001,1703),IF(4703&lt;=5000,INDEX($E$2:$E$1001,703),"")))))</f>
        <v/>
      </c>
    </row>
    <row r="4705">
      <c r="G4705">
        <f>IF(4704&lt;=1000,INDEX($A$2:$A$1001,4704),IF(4704&lt;=2000,INDEX($B$2:$B$1001,3704),IF(4704&lt;=3000,INDEX($C$2:$C$1001,2704),IF(4704&lt;=4000,INDEX($D$2:$D$1001,1704),IF(4704&lt;=5000,INDEX($E$2:$E$1001,704),"")))))</f>
        <v/>
      </c>
    </row>
    <row r="4706">
      <c r="G4706">
        <f>IF(4705&lt;=1000,INDEX($A$2:$A$1001,4705),IF(4705&lt;=2000,INDEX($B$2:$B$1001,3705),IF(4705&lt;=3000,INDEX($C$2:$C$1001,2705),IF(4705&lt;=4000,INDEX($D$2:$D$1001,1705),IF(4705&lt;=5000,INDEX($E$2:$E$1001,705),"")))))</f>
        <v/>
      </c>
    </row>
    <row r="4707">
      <c r="G4707">
        <f>IF(4706&lt;=1000,INDEX($A$2:$A$1001,4706),IF(4706&lt;=2000,INDEX($B$2:$B$1001,3706),IF(4706&lt;=3000,INDEX($C$2:$C$1001,2706),IF(4706&lt;=4000,INDEX($D$2:$D$1001,1706),IF(4706&lt;=5000,INDEX($E$2:$E$1001,706),"")))))</f>
        <v/>
      </c>
    </row>
    <row r="4708">
      <c r="G4708">
        <f>IF(4707&lt;=1000,INDEX($A$2:$A$1001,4707),IF(4707&lt;=2000,INDEX($B$2:$B$1001,3707),IF(4707&lt;=3000,INDEX($C$2:$C$1001,2707),IF(4707&lt;=4000,INDEX($D$2:$D$1001,1707),IF(4707&lt;=5000,INDEX($E$2:$E$1001,707),"")))))</f>
        <v/>
      </c>
    </row>
    <row r="4709">
      <c r="G4709">
        <f>IF(4708&lt;=1000,INDEX($A$2:$A$1001,4708),IF(4708&lt;=2000,INDEX($B$2:$B$1001,3708),IF(4708&lt;=3000,INDEX($C$2:$C$1001,2708),IF(4708&lt;=4000,INDEX($D$2:$D$1001,1708),IF(4708&lt;=5000,INDEX($E$2:$E$1001,708),"")))))</f>
        <v/>
      </c>
    </row>
    <row r="4710">
      <c r="G4710">
        <f>IF(4709&lt;=1000,INDEX($A$2:$A$1001,4709),IF(4709&lt;=2000,INDEX($B$2:$B$1001,3709),IF(4709&lt;=3000,INDEX($C$2:$C$1001,2709),IF(4709&lt;=4000,INDEX($D$2:$D$1001,1709),IF(4709&lt;=5000,INDEX($E$2:$E$1001,709),"")))))</f>
        <v/>
      </c>
    </row>
    <row r="4711">
      <c r="G4711">
        <f>IF(4710&lt;=1000,INDEX($A$2:$A$1001,4710),IF(4710&lt;=2000,INDEX($B$2:$B$1001,3710),IF(4710&lt;=3000,INDEX($C$2:$C$1001,2710),IF(4710&lt;=4000,INDEX($D$2:$D$1001,1710),IF(4710&lt;=5000,INDEX($E$2:$E$1001,710),"")))))</f>
        <v/>
      </c>
    </row>
    <row r="4712">
      <c r="G4712">
        <f>IF(4711&lt;=1000,INDEX($A$2:$A$1001,4711),IF(4711&lt;=2000,INDEX($B$2:$B$1001,3711),IF(4711&lt;=3000,INDEX($C$2:$C$1001,2711),IF(4711&lt;=4000,INDEX($D$2:$D$1001,1711),IF(4711&lt;=5000,INDEX($E$2:$E$1001,711),"")))))</f>
        <v/>
      </c>
    </row>
    <row r="4713">
      <c r="G4713">
        <f>IF(4712&lt;=1000,INDEX($A$2:$A$1001,4712),IF(4712&lt;=2000,INDEX($B$2:$B$1001,3712),IF(4712&lt;=3000,INDEX($C$2:$C$1001,2712),IF(4712&lt;=4000,INDEX($D$2:$D$1001,1712),IF(4712&lt;=5000,INDEX($E$2:$E$1001,712),"")))))</f>
        <v/>
      </c>
    </row>
    <row r="4714">
      <c r="G4714">
        <f>IF(4713&lt;=1000,INDEX($A$2:$A$1001,4713),IF(4713&lt;=2000,INDEX($B$2:$B$1001,3713),IF(4713&lt;=3000,INDEX($C$2:$C$1001,2713),IF(4713&lt;=4000,INDEX($D$2:$D$1001,1713),IF(4713&lt;=5000,INDEX($E$2:$E$1001,713),"")))))</f>
        <v/>
      </c>
    </row>
    <row r="4715">
      <c r="G4715">
        <f>IF(4714&lt;=1000,INDEX($A$2:$A$1001,4714),IF(4714&lt;=2000,INDEX($B$2:$B$1001,3714),IF(4714&lt;=3000,INDEX($C$2:$C$1001,2714),IF(4714&lt;=4000,INDEX($D$2:$D$1001,1714),IF(4714&lt;=5000,INDEX($E$2:$E$1001,714),"")))))</f>
        <v/>
      </c>
    </row>
    <row r="4716">
      <c r="G4716">
        <f>IF(4715&lt;=1000,INDEX($A$2:$A$1001,4715),IF(4715&lt;=2000,INDEX($B$2:$B$1001,3715),IF(4715&lt;=3000,INDEX($C$2:$C$1001,2715),IF(4715&lt;=4000,INDEX($D$2:$D$1001,1715),IF(4715&lt;=5000,INDEX($E$2:$E$1001,715),"")))))</f>
        <v/>
      </c>
    </row>
    <row r="4717">
      <c r="G4717">
        <f>IF(4716&lt;=1000,INDEX($A$2:$A$1001,4716),IF(4716&lt;=2000,INDEX($B$2:$B$1001,3716),IF(4716&lt;=3000,INDEX($C$2:$C$1001,2716),IF(4716&lt;=4000,INDEX($D$2:$D$1001,1716),IF(4716&lt;=5000,INDEX($E$2:$E$1001,716),"")))))</f>
        <v/>
      </c>
    </row>
    <row r="4718">
      <c r="G4718">
        <f>IF(4717&lt;=1000,INDEX($A$2:$A$1001,4717),IF(4717&lt;=2000,INDEX($B$2:$B$1001,3717),IF(4717&lt;=3000,INDEX($C$2:$C$1001,2717),IF(4717&lt;=4000,INDEX($D$2:$D$1001,1717),IF(4717&lt;=5000,INDEX($E$2:$E$1001,717),"")))))</f>
        <v/>
      </c>
    </row>
    <row r="4719">
      <c r="G4719">
        <f>IF(4718&lt;=1000,INDEX($A$2:$A$1001,4718),IF(4718&lt;=2000,INDEX($B$2:$B$1001,3718),IF(4718&lt;=3000,INDEX($C$2:$C$1001,2718),IF(4718&lt;=4000,INDEX($D$2:$D$1001,1718),IF(4718&lt;=5000,INDEX($E$2:$E$1001,718),"")))))</f>
        <v/>
      </c>
    </row>
    <row r="4720">
      <c r="G4720">
        <f>IF(4719&lt;=1000,INDEX($A$2:$A$1001,4719),IF(4719&lt;=2000,INDEX($B$2:$B$1001,3719),IF(4719&lt;=3000,INDEX($C$2:$C$1001,2719),IF(4719&lt;=4000,INDEX($D$2:$D$1001,1719),IF(4719&lt;=5000,INDEX($E$2:$E$1001,719),"")))))</f>
        <v/>
      </c>
    </row>
    <row r="4721">
      <c r="G4721">
        <f>IF(4720&lt;=1000,INDEX($A$2:$A$1001,4720),IF(4720&lt;=2000,INDEX($B$2:$B$1001,3720),IF(4720&lt;=3000,INDEX($C$2:$C$1001,2720),IF(4720&lt;=4000,INDEX($D$2:$D$1001,1720),IF(4720&lt;=5000,INDEX($E$2:$E$1001,720),"")))))</f>
        <v/>
      </c>
    </row>
    <row r="4722">
      <c r="G4722">
        <f>IF(4721&lt;=1000,INDEX($A$2:$A$1001,4721),IF(4721&lt;=2000,INDEX($B$2:$B$1001,3721),IF(4721&lt;=3000,INDEX($C$2:$C$1001,2721),IF(4721&lt;=4000,INDEX($D$2:$D$1001,1721),IF(4721&lt;=5000,INDEX($E$2:$E$1001,721),"")))))</f>
        <v/>
      </c>
    </row>
    <row r="4723">
      <c r="G4723">
        <f>IF(4722&lt;=1000,INDEX($A$2:$A$1001,4722),IF(4722&lt;=2000,INDEX($B$2:$B$1001,3722),IF(4722&lt;=3000,INDEX($C$2:$C$1001,2722),IF(4722&lt;=4000,INDEX($D$2:$D$1001,1722),IF(4722&lt;=5000,INDEX($E$2:$E$1001,722),"")))))</f>
        <v/>
      </c>
    </row>
    <row r="4724">
      <c r="G4724">
        <f>IF(4723&lt;=1000,INDEX($A$2:$A$1001,4723),IF(4723&lt;=2000,INDEX($B$2:$B$1001,3723),IF(4723&lt;=3000,INDEX($C$2:$C$1001,2723),IF(4723&lt;=4000,INDEX($D$2:$D$1001,1723),IF(4723&lt;=5000,INDEX($E$2:$E$1001,723),"")))))</f>
        <v/>
      </c>
    </row>
    <row r="4725">
      <c r="G4725">
        <f>IF(4724&lt;=1000,INDEX($A$2:$A$1001,4724),IF(4724&lt;=2000,INDEX($B$2:$B$1001,3724),IF(4724&lt;=3000,INDEX($C$2:$C$1001,2724),IF(4724&lt;=4000,INDEX($D$2:$D$1001,1724),IF(4724&lt;=5000,INDEX($E$2:$E$1001,724),"")))))</f>
        <v/>
      </c>
    </row>
    <row r="4726">
      <c r="G4726">
        <f>IF(4725&lt;=1000,INDEX($A$2:$A$1001,4725),IF(4725&lt;=2000,INDEX($B$2:$B$1001,3725),IF(4725&lt;=3000,INDEX($C$2:$C$1001,2725),IF(4725&lt;=4000,INDEX($D$2:$D$1001,1725),IF(4725&lt;=5000,INDEX($E$2:$E$1001,725),"")))))</f>
        <v/>
      </c>
    </row>
    <row r="4727">
      <c r="G4727">
        <f>IF(4726&lt;=1000,INDEX($A$2:$A$1001,4726),IF(4726&lt;=2000,INDEX($B$2:$B$1001,3726),IF(4726&lt;=3000,INDEX($C$2:$C$1001,2726),IF(4726&lt;=4000,INDEX($D$2:$D$1001,1726),IF(4726&lt;=5000,INDEX($E$2:$E$1001,726),"")))))</f>
        <v/>
      </c>
    </row>
    <row r="4728">
      <c r="G4728">
        <f>IF(4727&lt;=1000,INDEX($A$2:$A$1001,4727),IF(4727&lt;=2000,INDEX($B$2:$B$1001,3727),IF(4727&lt;=3000,INDEX($C$2:$C$1001,2727),IF(4727&lt;=4000,INDEX($D$2:$D$1001,1727),IF(4727&lt;=5000,INDEX($E$2:$E$1001,727),"")))))</f>
        <v/>
      </c>
    </row>
    <row r="4729">
      <c r="G4729">
        <f>IF(4728&lt;=1000,INDEX($A$2:$A$1001,4728),IF(4728&lt;=2000,INDEX($B$2:$B$1001,3728),IF(4728&lt;=3000,INDEX($C$2:$C$1001,2728),IF(4728&lt;=4000,INDEX($D$2:$D$1001,1728),IF(4728&lt;=5000,INDEX($E$2:$E$1001,728),"")))))</f>
        <v/>
      </c>
    </row>
    <row r="4730">
      <c r="G4730">
        <f>IF(4729&lt;=1000,INDEX($A$2:$A$1001,4729),IF(4729&lt;=2000,INDEX($B$2:$B$1001,3729),IF(4729&lt;=3000,INDEX($C$2:$C$1001,2729),IF(4729&lt;=4000,INDEX($D$2:$D$1001,1729),IF(4729&lt;=5000,INDEX($E$2:$E$1001,729),"")))))</f>
        <v/>
      </c>
    </row>
    <row r="4731">
      <c r="G4731">
        <f>IF(4730&lt;=1000,INDEX($A$2:$A$1001,4730),IF(4730&lt;=2000,INDEX($B$2:$B$1001,3730),IF(4730&lt;=3000,INDEX($C$2:$C$1001,2730),IF(4730&lt;=4000,INDEX($D$2:$D$1001,1730),IF(4730&lt;=5000,INDEX($E$2:$E$1001,730),"")))))</f>
        <v/>
      </c>
    </row>
    <row r="4732">
      <c r="G4732">
        <f>IF(4731&lt;=1000,INDEX($A$2:$A$1001,4731),IF(4731&lt;=2000,INDEX($B$2:$B$1001,3731),IF(4731&lt;=3000,INDEX($C$2:$C$1001,2731),IF(4731&lt;=4000,INDEX($D$2:$D$1001,1731),IF(4731&lt;=5000,INDEX($E$2:$E$1001,731),"")))))</f>
        <v/>
      </c>
    </row>
    <row r="4733">
      <c r="G4733">
        <f>IF(4732&lt;=1000,INDEX($A$2:$A$1001,4732),IF(4732&lt;=2000,INDEX($B$2:$B$1001,3732),IF(4732&lt;=3000,INDEX($C$2:$C$1001,2732),IF(4732&lt;=4000,INDEX($D$2:$D$1001,1732),IF(4732&lt;=5000,INDEX($E$2:$E$1001,732),"")))))</f>
        <v/>
      </c>
    </row>
    <row r="4734">
      <c r="G4734">
        <f>IF(4733&lt;=1000,INDEX($A$2:$A$1001,4733),IF(4733&lt;=2000,INDEX($B$2:$B$1001,3733),IF(4733&lt;=3000,INDEX($C$2:$C$1001,2733),IF(4733&lt;=4000,INDEX($D$2:$D$1001,1733),IF(4733&lt;=5000,INDEX($E$2:$E$1001,733),"")))))</f>
        <v/>
      </c>
    </row>
    <row r="4735">
      <c r="G4735">
        <f>IF(4734&lt;=1000,INDEX($A$2:$A$1001,4734),IF(4734&lt;=2000,INDEX($B$2:$B$1001,3734),IF(4734&lt;=3000,INDEX($C$2:$C$1001,2734),IF(4734&lt;=4000,INDEX($D$2:$D$1001,1734),IF(4734&lt;=5000,INDEX($E$2:$E$1001,734),"")))))</f>
        <v/>
      </c>
    </row>
    <row r="4736">
      <c r="G4736">
        <f>IF(4735&lt;=1000,INDEX($A$2:$A$1001,4735),IF(4735&lt;=2000,INDEX($B$2:$B$1001,3735),IF(4735&lt;=3000,INDEX($C$2:$C$1001,2735),IF(4735&lt;=4000,INDEX($D$2:$D$1001,1735),IF(4735&lt;=5000,INDEX($E$2:$E$1001,735),"")))))</f>
        <v/>
      </c>
    </row>
    <row r="4737">
      <c r="G4737">
        <f>IF(4736&lt;=1000,INDEX($A$2:$A$1001,4736),IF(4736&lt;=2000,INDEX($B$2:$B$1001,3736),IF(4736&lt;=3000,INDEX($C$2:$C$1001,2736),IF(4736&lt;=4000,INDEX($D$2:$D$1001,1736),IF(4736&lt;=5000,INDEX($E$2:$E$1001,736),"")))))</f>
        <v/>
      </c>
    </row>
    <row r="4738">
      <c r="G4738">
        <f>IF(4737&lt;=1000,INDEX($A$2:$A$1001,4737),IF(4737&lt;=2000,INDEX($B$2:$B$1001,3737),IF(4737&lt;=3000,INDEX($C$2:$C$1001,2737),IF(4737&lt;=4000,INDEX($D$2:$D$1001,1737),IF(4737&lt;=5000,INDEX($E$2:$E$1001,737),"")))))</f>
        <v/>
      </c>
    </row>
    <row r="4739">
      <c r="G4739">
        <f>IF(4738&lt;=1000,INDEX($A$2:$A$1001,4738),IF(4738&lt;=2000,INDEX($B$2:$B$1001,3738),IF(4738&lt;=3000,INDEX($C$2:$C$1001,2738),IF(4738&lt;=4000,INDEX($D$2:$D$1001,1738),IF(4738&lt;=5000,INDEX($E$2:$E$1001,738),"")))))</f>
        <v/>
      </c>
    </row>
    <row r="4740">
      <c r="G4740">
        <f>IF(4739&lt;=1000,INDEX($A$2:$A$1001,4739),IF(4739&lt;=2000,INDEX($B$2:$B$1001,3739),IF(4739&lt;=3000,INDEX($C$2:$C$1001,2739),IF(4739&lt;=4000,INDEX($D$2:$D$1001,1739),IF(4739&lt;=5000,INDEX($E$2:$E$1001,739),"")))))</f>
        <v/>
      </c>
    </row>
    <row r="4741">
      <c r="G4741">
        <f>IF(4740&lt;=1000,INDEX($A$2:$A$1001,4740),IF(4740&lt;=2000,INDEX($B$2:$B$1001,3740),IF(4740&lt;=3000,INDEX($C$2:$C$1001,2740),IF(4740&lt;=4000,INDEX($D$2:$D$1001,1740),IF(4740&lt;=5000,INDEX($E$2:$E$1001,740),"")))))</f>
        <v/>
      </c>
    </row>
    <row r="4742">
      <c r="G4742">
        <f>IF(4741&lt;=1000,INDEX($A$2:$A$1001,4741),IF(4741&lt;=2000,INDEX($B$2:$B$1001,3741),IF(4741&lt;=3000,INDEX($C$2:$C$1001,2741),IF(4741&lt;=4000,INDEX($D$2:$D$1001,1741),IF(4741&lt;=5000,INDEX($E$2:$E$1001,741),"")))))</f>
        <v/>
      </c>
    </row>
    <row r="4743">
      <c r="G4743">
        <f>IF(4742&lt;=1000,INDEX($A$2:$A$1001,4742),IF(4742&lt;=2000,INDEX($B$2:$B$1001,3742),IF(4742&lt;=3000,INDEX($C$2:$C$1001,2742),IF(4742&lt;=4000,INDEX($D$2:$D$1001,1742),IF(4742&lt;=5000,INDEX($E$2:$E$1001,742),"")))))</f>
        <v/>
      </c>
    </row>
    <row r="4744">
      <c r="G4744">
        <f>IF(4743&lt;=1000,INDEX($A$2:$A$1001,4743),IF(4743&lt;=2000,INDEX($B$2:$B$1001,3743),IF(4743&lt;=3000,INDEX($C$2:$C$1001,2743),IF(4743&lt;=4000,INDEX($D$2:$D$1001,1743),IF(4743&lt;=5000,INDEX($E$2:$E$1001,743),"")))))</f>
        <v/>
      </c>
    </row>
    <row r="4745">
      <c r="G4745">
        <f>IF(4744&lt;=1000,INDEX($A$2:$A$1001,4744),IF(4744&lt;=2000,INDEX($B$2:$B$1001,3744),IF(4744&lt;=3000,INDEX($C$2:$C$1001,2744),IF(4744&lt;=4000,INDEX($D$2:$D$1001,1744),IF(4744&lt;=5000,INDEX($E$2:$E$1001,744),"")))))</f>
        <v/>
      </c>
    </row>
    <row r="4746">
      <c r="G4746">
        <f>IF(4745&lt;=1000,INDEX($A$2:$A$1001,4745),IF(4745&lt;=2000,INDEX($B$2:$B$1001,3745),IF(4745&lt;=3000,INDEX($C$2:$C$1001,2745),IF(4745&lt;=4000,INDEX($D$2:$D$1001,1745),IF(4745&lt;=5000,INDEX($E$2:$E$1001,745),"")))))</f>
        <v/>
      </c>
    </row>
    <row r="4747">
      <c r="G4747">
        <f>IF(4746&lt;=1000,INDEX($A$2:$A$1001,4746),IF(4746&lt;=2000,INDEX($B$2:$B$1001,3746),IF(4746&lt;=3000,INDEX($C$2:$C$1001,2746),IF(4746&lt;=4000,INDEX($D$2:$D$1001,1746),IF(4746&lt;=5000,INDEX($E$2:$E$1001,746),"")))))</f>
        <v/>
      </c>
    </row>
    <row r="4748">
      <c r="G4748">
        <f>IF(4747&lt;=1000,INDEX($A$2:$A$1001,4747),IF(4747&lt;=2000,INDEX($B$2:$B$1001,3747),IF(4747&lt;=3000,INDEX($C$2:$C$1001,2747),IF(4747&lt;=4000,INDEX($D$2:$D$1001,1747),IF(4747&lt;=5000,INDEX($E$2:$E$1001,747),"")))))</f>
        <v/>
      </c>
    </row>
    <row r="4749">
      <c r="G4749">
        <f>IF(4748&lt;=1000,INDEX($A$2:$A$1001,4748),IF(4748&lt;=2000,INDEX($B$2:$B$1001,3748),IF(4748&lt;=3000,INDEX($C$2:$C$1001,2748),IF(4748&lt;=4000,INDEX($D$2:$D$1001,1748),IF(4748&lt;=5000,INDEX($E$2:$E$1001,748),"")))))</f>
        <v/>
      </c>
    </row>
    <row r="4750">
      <c r="G4750">
        <f>IF(4749&lt;=1000,INDEX($A$2:$A$1001,4749),IF(4749&lt;=2000,INDEX($B$2:$B$1001,3749),IF(4749&lt;=3000,INDEX($C$2:$C$1001,2749),IF(4749&lt;=4000,INDEX($D$2:$D$1001,1749),IF(4749&lt;=5000,INDEX($E$2:$E$1001,749),"")))))</f>
        <v/>
      </c>
    </row>
    <row r="4751">
      <c r="G4751">
        <f>IF(4750&lt;=1000,INDEX($A$2:$A$1001,4750),IF(4750&lt;=2000,INDEX($B$2:$B$1001,3750),IF(4750&lt;=3000,INDEX($C$2:$C$1001,2750),IF(4750&lt;=4000,INDEX($D$2:$D$1001,1750),IF(4750&lt;=5000,INDEX($E$2:$E$1001,750),"")))))</f>
        <v/>
      </c>
    </row>
    <row r="4752">
      <c r="G4752">
        <f>IF(4751&lt;=1000,INDEX($A$2:$A$1001,4751),IF(4751&lt;=2000,INDEX($B$2:$B$1001,3751),IF(4751&lt;=3000,INDEX($C$2:$C$1001,2751),IF(4751&lt;=4000,INDEX($D$2:$D$1001,1751),IF(4751&lt;=5000,INDEX($E$2:$E$1001,751),"")))))</f>
        <v/>
      </c>
    </row>
    <row r="4753">
      <c r="G4753">
        <f>IF(4752&lt;=1000,INDEX($A$2:$A$1001,4752),IF(4752&lt;=2000,INDEX($B$2:$B$1001,3752),IF(4752&lt;=3000,INDEX($C$2:$C$1001,2752),IF(4752&lt;=4000,INDEX($D$2:$D$1001,1752),IF(4752&lt;=5000,INDEX($E$2:$E$1001,752),"")))))</f>
        <v/>
      </c>
    </row>
    <row r="4754">
      <c r="G4754">
        <f>IF(4753&lt;=1000,INDEX($A$2:$A$1001,4753),IF(4753&lt;=2000,INDEX($B$2:$B$1001,3753),IF(4753&lt;=3000,INDEX($C$2:$C$1001,2753),IF(4753&lt;=4000,INDEX($D$2:$D$1001,1753),IF(4753&lt;=5000,INDEX($E$2:$E$1001,753),"")))))</f>
        <v/>
      </c>
    </row>
    <row r="4755">
      <c r="G4755">
        <f>IF(4754&lt;=1000,INDEX($A$2:$A$1001,4754),IF(4754&lt;=2000,INDEX($B$2:$B$1001,3754),IF(4754&lt;=3000,INDEX($C$2:$C$1001,2754),IF(4754&lt;=4000,INDEX($D$2:$D$1001,1754),IF(4754&lt;=5000,INDEX($E$2:$E$1001,754),"")))))</f>
        <v/>
      </c>
    </row>
    <row r="4756">
      <c r="G4756">
        <f>IF(4755&lt;=1000,INDEX($A$2:$A$1001,4755),IF(4755&lt;=2000,INDEX($B$2:$B$1001,3755),IF(4755&lt;=3000,INDEX($C$2:$C$1001,2755),IF(4755&lt;=4000,INDEX($D$2:$D$1001,1755),IF(4755&lt;=5000,INDEX($E$2:$E$1001,755),"")))))</f>
        <v/>
      </c>
    </row>
    <row r="4757">
      <c r="G4757">
        <f>IF(4756&lt;=1000,INDEX($A$2:$A$1001,4756),IF(4756&lt;=2000,INDEX($B$2:$B$1001,3756),IF(4756&lt;=3000,INDEX($C$2:$C$1001,2756),IF(4756&lt;=4000,INDEX($D$2:$D$1001,1756),IF(4756&lt;=5000,INDEX($E$2:$E$1001,756),"")))))</f>
        <v/>
      </c>
    </row>
    <row r="4758">
      <c r="G4758">
        <f>IF(4757&lt;=1000,INDEX($A$2:$A$1001,4757),IF(4757&lt;=2000,INDEX($B$2:$B$1001,3757),IF(4757&lt;=3000,INDEX($C$2:$C$1001,2757),IF(4757&lt;=4000,INDEX($D$2:$D$1001,1757),IF(4757&lt;=5000,INDEX($E$2:$E$1001,757),"")))))</f>
        <v/>
      </c>
    </row>
    <row r="4759">
      <c r="G4759">
        <f>IF(4758&lt;=1000,INDEX($A$2:$A$1001,4758),IF(4758&lt;=2000,INDEX($B$2:$B$1001,3758),IF(4758&lt;=3000,INDEX($C$2:$C$1001,2758),IF(4758&lt;=4000,INDEX($D$2:$D$1001,1758),IF(4758&lt;=5000,INDEX($E$2:$E$1001,758),"")))))</f>
        <v/>
      </c>
    </row>
    <row r="4760">
      <c r="G4760">
        <f>IF(4759&lt;=1000,INDEX($A$2:$A$1001,4759),IF(4759&lt;=2000,INDEX($B$2:$B$1001,3759),IF(4759&lt;=3000,INDEX($C$2:$C$1001,2759),IF(4759&lt;=4000,INDEX($D$2:$D$1001,1759),IF(4759&lt;=5000,INDEX($E$2:$E$1001,759),"")))))</f>
        <v/>
      </c>
    </row>
    <row r="4761">
      <c r="G4761">
        <f>IF(4760&lt;=1000,INDEX($A$2:$A$1001,4760),IF(4760&lt;=2000,INDEX($B$2:$B$1001,3760),IF(4760&lt;=3000,INDEX($C$2:$C$1001,2760),IF(4760&lt;=4000,INDEX($D$2:$D$1001,1760),IF(4760&lt;=5000,INDEX($E$2:$E$1001,760),"")))))</f>
        <v/>
      </c>
    </row>
    <row r="4762">
      <c r="G4762">
        <f>IF(4761&lt;=1000,INDEX($A$2:$A$1001,4761),IF(4761&lt;=2000,INDEX($B$2:$B$1001,3761),IF(4761&lt;=3000,INDEX($C$2:$C$1001,2761),IF(4761&lt;=4000,INDEX($D$2:$D$1001,1761),IF(4761&lt;=5000,INDEX($E$2:$E$1001,761),"")))))</f>
        <v/>
      </c>
    </row>
    <row r="4763">
      <c r="G4763">
        <f>IF(4762&lt;=1000,INDEX($A$2:$A$1001,4762),IF(4762&lt;=2000,INDEX($B$2:$B$1001,3762),IF(4762&lt;=3000,INDEX($C$2:$C$1001,2762),IF(4762&lt;=4000,INDEX($D$2:$D$1001,1762),IF(4762&lt;=5000,INDEX($E$2:$E$1001,762),"")))))</f>
        <v/>
      </c>
    </row>
    <row r="4764">
      <c r="G4764">
        <f>IF(4763&lt;=1000,INDEX($A$2:$A$1001,4763),IF(4763&lt;=2000,INDEX($B$2:$B$1001,3763),IF(4763&lt;=3000,INDEX($C$2:$C$1001,2763),IF(4763&lt;=4000,INDEX($D$2:$D$1001,1763),IF(4763&lt;=5000,INDEX($E$2:$E$1001,763),"")))))</f>
        <v/>
      </c>
    </row>
    <row r="4765">
      <c r="G4765">
        <f>IF(4764&lt;=1000,INDEX($A$2:$A$1001,4764),IF(4764&lt;=2000,INDEX($B$2:$B$1001,3764),IF(4764&lt;=3000,INDEX($C$2:$C$1001,2764),IF(4764&lt;=4000,INDEX($D$2:$D$1001,1764),IF(4764&lt;=5000,INDEX($E$2:$E$1001,764),"")))))</f>
        <v/>
      </c>
    </row>
    <row r="4766">
      <c r="G4766">
        <f>IF(4765&lt;=1000,INDEX($A$2:$A$1001,4765),IF(4765&lt;=2000,INDEX($B$2:$B$1001,3765),IF(4765&lt;=3000,INDEX($C$2:$C$1001,2765),IF(4765&lt;=4000,INDEX($D$2:$D$1001,1765),IF(4765&lt;=5000,INDEX($E$2:$E$1001,765),"")))))</f>
        <v/>
      </c>
    </row>
    <row r="4767">
      <c r="G4767">
        <f>IF(4766&lt;=1000,INDEX($A$2:$A$1001,4766),IF(4766&lt;=2000,INDEX($B$2:$B$1001,3766),IF(4766&lt;=3000,INDEX($C$2:$C$1001,2766),IF(4766&lt;=4000,INDEX($D$2:$D$1001,1766),IF(4766&lt;=5000,INDEX($E$2:$E$1001,766),"")))))</f>
        <v/>
      </c>
    </row>
    <row r="4768">
      <c r="G4768">
        <f>IF(4767&lt;=1000,INDEX($A$2:$A$1001,4767),IF(4767&lt;=2000,INDEX($B$2:$B$1001,3767),IF(4767&lt;=3000,INDEX($C$2:$C$1001,2767),IF(4767&lt;=4000,INDEX($D$2:$D$1001,1767),IF(4767&lt;=5000,INDEX($E$2:$E$1001,767),"")))))</f>
        <v/>
      </c>
    </row>
    <row r="4769">
      <c r="G4769">
        <f>IF(4768&lt;=1000,INDEX($A$2:$A$1001,4768),IF(4768&lt;=2000,INDEX($B$2:$B$1001,3768),IF(4768&lt;=3000,INDEX($C$2:$C$1001,2768),IF(4768&lt;=4000,INDEX($D$2:$D$1001,1768),IF(4768&lt;=5000,INDEX($E$2:$E$1001,768),"")))))</f>
        <v/>
      </c>
    </row>
    <row r="4770">
      <c r="G4770">
        <f>IF(4769&lt;=1000,INDEX($A$2:$A$1001,4769),IF(4769&lt;=2000,INDEX($B$2:$B$1001,3769),IF(4769&lt;=3000,INDEX($C$2:$C$1001,2769),IF(4769&lt;=4000,INDEX($D$2:$D$1001,1769),IF(4769&lt;=5000,INDEX($E$2:$E$1001,769),"")))))</f>
        <v/>
      </c>
    </row>
    <row r="4771">
      <c r="G4771">
        <f>IF(4770&lt;=1000,INDEX($A$2:$A$1001,4770),IF(4770&lt;=2000,INDEX($B$2:$B$1001,3770),IF(4770&lt;=3000,INDEX($C$2:$C$1001,2770),IF(4770&lt;=4000,INDEX($D$2:$D$1001,1770),IF(4770&lt;=5000,INDEX($E$2:$E$1001,770),"")))))</f>
        <v/>
      </c>
    </row>
    <row r="4772">
      <c r="G4772">
        <f>IF(4771&lt;=1000,INDEX($A$2:$A$1001,4771),IF(4771&lt;=2000,INDEX($B$2:$B$1001,3771),IF(4771&lt;=3000,INDEX($C$2:$C$1001,2771),IF(4771&lt;=4000,INDEX($D$2:$D$1001,1771),IF(4771&lt;=5000,INDEX($E$2:$E$1001,771),"")))))</f>
        <v/>
      </c>
    </row>
    <row r="4773">
      <c r="G4773">
        <f>IF(4772&lt;=1000,INDEX($A$2:$A$1001,4772),IF(4772&lt;=2000,INDEX($B$2:$B$1001,3772),IF(4772&lt;=3000,INDEX($C$2:$C$1001,2772),IF(4772&lt;=4000,INDEX($D$2:$D$1001,1772),IF(4772&lt;=5000,INDEX($E$2:$E$1001,772),"")))))</f>
        <v/>
      </c>
    </row>
    <row r="4774">
      <c r="G4774">
        <f>IF(4773&lt;=1000,INDEX($A$2:$A$1001,4773),IF(4773&lt;=2000,INDEX($B$2:$B$1001,3773),IF(4773&lt;=3000,INDEX($C$2:$C$1001,2773),IF(4773&lt;=4000,INDEX($D$2:$D$1001,1773),IF(4773&lt;=5000,INDEX($E$2:$E$1001,773),"")))))</f>
        <v/>
      </c>
    </row>
    <row r="4775">
      <c r="G4775">
        <f>IF(4774&lt;=1000,INDEX($A$2:$A$1001,4774),IF(4774&lt;=2000,INDEX($B$2:$B$1001,3774),IF(4774&lt;=3000,INDEX($C$2:$C$1001,2774),IF(4774&lt;=4000,INDEX($D$2:$D$1001,1774),IF(4774&lt;=5000,INDEX($E$2:$E$1001,774),"")))))</f>
        <v/>
      </c>
    </row>
    <row r="4776">
      <c r="G4776">
        <f>IF(4775&lt;=1000,INDEX($A$2:$A$1001,4775),IF(4775&lt;=2000,INDEX($B$2:$B$1001,3775),IF(4775&lt;=3000,INDEX($C$2:$C$1001,2775),IF(4775&lt;=4000,INDEX($D$2:$D$1001,1775),IF(4775&lt;=5000,INDEX($E$2:$E$1001,775),"")))))</f>
        <v/>
      </c>
    </row>
    <row r="4777">
      <c r="G4777">
        <f>IF(4776&lt;=1000,INDEX($A$2:$A$1001,4776),IF(4776&lt;=2000,INDEX($B$2:$B$1001,3776),IF(4776&lt;=3000,INDEX($C$2:$C$1001,2776),IF(4776&lt;=4000,INDEX($D$2:$D$1001,1776),IF(4776&lt;=5000,INDEX($E$2:$E$1001,776),"")))))</f>
        <v/>
      </c>
    </row>
    <row r="4778">
      <c r="G4778">
        <f>IF(4777&lt;=1000,INDEX($A$2:$A$1001,4777),IF(4777&lt;=2000,INDEX($B$2:$B$1001,3777),IF(4777&lt;=3000,INDEX($C$2:$C$1001,2777),IF(4777&lt;=4000,INDEX($D$2:$D$1001,1777),IF(4777&lt;=5000,INDEX($E$2:$E$1001,777),"")))))</f>
        <v/>
      </c>
    </row>
    <row r="4779">
      <c r="G4779">
        <f>IF(4778&lt;=1000,INDEX($A$2:$A$1001,4778),IF(4778&lt;=2000,INDEX($B$2:$B$1001,3778),IF(4778&lt;=3000,INDEX($C$2:$C$1001,2778),IF(4778&lt;=4000,INDEX($D$2:$D$1001,1778),IF(4778&lt;=5000,INDEX($E$2:$E$1001,778),"")))))</f>
        <v/>
      </c>
    </row>
    <row r="4780">
      <c r="G4780">
        <f>IF(4779&lt;=1000,INDEX($A$2:$A$1001,4779),IF(4779&lt;=2000,INDEX($B$2:$B$1001,3779),IF(4779&lt;=3000,INDEX($C$2:$C$1001,2779),IF(4779&lt;=4000,INDEX($D$2:$D$1001,1779),IF(4779&lt;=5000,INDEX($E$2:$E$1001,779),"")))))</f>
        <v/>
      </c>
    </row>
    <row r="4781">
      <c r="G4781">
        <f>IF(4780&lt;=1000,INDEX($A$2:$A$1001,4780),IF(4780&lt;=2000,INDEX($B$2:$B$1001,3780),IF(4780&lt;=3000,INDEX($C$2:$C$1001,2780),IF(4780&lt;=4000,INDEX($D$2:$D$1001,1780),IF(4780&lt;=5000,INDEX($E$2:$E$1001,780),"")))))</f>
        <v/>
      </c>
    </row>
    <row r="4782">
      <c r="G4782">
        <f>IF(4781&lt;=1000,INDEX($A$2:$A$1001,4781),IF(4781&lt;=2000,INDEX($B$2:$B$1001,3781),IF(4781&lt;=3000,INDEX($C$2:$C$1001,2781),IF(4781&lt;=4000,INDEX($D$2:$D$1001,1781),IF(4781&lt;=5000,INDEX($E$2:$E$1001,781),"")))))</f>
        <v/>
      </c>
    </row>
    <row r="4783">
      <c r="G4783">
        <f>IF(4782&lt;=1000,INDEX($A$2:$A$1001,4782),IF(4782&lt;=2000,INDEX($B$2:$B$1001,3782),IF(4782&lt;=3000,INDEX($C$2:$C$1001,2782),IF(4782&lt;=4000,INDEX($D$2:$D$1001,1782),IF(4782&lt;=5000,INDEX($E$2:$E$1001,782),"")))))</f>
        <v/>
      </c>
    </row>
    <row r="4784">
      <c r="G4784">
        <f>IF(4783&lt;=1000,INDEX($A$2:$A$1001,4783),IF(4783&lt;=2000,INDEX($B$2:$B$1001,3783),IF(4783&lt;=3000,INDEX($C$2:$C$1001,2783),IF(4783&lt;=4000,INDEX($D$2:$D$1001,1783),IF(4783&lt;=5000,INDEX($E$2:$E$1001,783),"")))))</f>
        <v/>
      </c>
    </row>
    <row r="4785">
      <c r="G4785">
        <f>IF(4784&lt;=1000,INDEX($A$2:$A$1001,4784),IF(4784&lt;=2000,INDEX($B$2:$B$1001,3784),IF(4784&lt;=3000,INDEX($C$2:$C$1001,2784),IF(4784&lt;=4000,INDEX($D$2:$D$1001,1784),IF(4784&lt;=5000,INDEX($E$2:$E$1001,784),"")))))</f>
        <v/>
      </c>
    </row>
    <row r="4786">
      <c r="G4786">
        <f>IF(4785&lt;=1000,INDEX($A$2:$A$1001,4785),IF(4785&lt;=2000,INDEX($B$2:$B$1001,3785),IF(4785&lt;=3000,INDEX($C$2:$C$1001,2785),IF(4785&lt;=4000,INDEX($D$2:$D$1001,1785),IF(4785&lt;=5000,INDEX($E$2:$E$1001,785),"")))))</f>
        <v/>
      </c>
    </row>
    <row r="4787">
      <c r="G4787">
        <f>IF(4786&lt;=1000,INDEX($A$2:$A$1001,4786),IF(4786&lt;=2000,INDEX($B$2:$B$1001,3786),IF(4786&lt;=3000,INDEX($C$2:$C$1001,2786),IF(4786&lt;=4000,INDEX($D$2:$D$1001,1786),IF(4786&lt;=5000,INDEX($E$2:$E$1001,786),"")))))</f>
        <v/>
      </c>
    </row>
    <row r="4788">
      <c r="G4788">
        <f>IF(4787&lt;=1000,INDEX($A$2:$A$1001,4787),IF(4787&lt;=2000,INDEX($B$2:$B$1001,3787),IF(4787&lt;=3000,INDEX($C$2:$C$1001,2787),IF(4787&lt;=4000,INDEX($D$2:$D$1001,1787),IF(4787&lt;=5000,INDEX($E$2:$E$1001,787),"")))))</f>
        <v/>
      </c>
    </row>
    <row r="4789">
      <c r="G4789">
        <f>IF(4788&lt;=1000,INDEX($A$2:$A$1001,4788),IF(4788&lt;=2000,INDEX($B$2:$B$1001,3788),IF(4788&lt;=3000,INDEX($C$2:$C$1001,2788),IF(4788&lt;=4000,INDEX($D$2:$D$1001,1788),IF(4788&lt;=5000,INDEX($E$2:$E$1001,788),"")))))</f>
        <v/>
      </c>
    </row>
    <row r="4790">
      <c r="G4790">
        <f>IF(4789&lt;=1000,INDEX($A$2:$A$1001,4789),IF(4789&lt;=2000,INDEX($B$2:$B$1001,3789),IF(4789&lt;=3000,INDEX($C$2:$C$1001,2789),IF(4789&lt;=4000,INDEX($D$2:$D$1001,1789),IF(4789&lt;=5000,INDEX($E$2:$E$1001,789),"")))))</f>
        <v/>
      </c>
    </row>
    <row r="4791">
      <c r="G4791">
        <f>IF(4790&lt;=1000,INDEX($A$2:$A$1001,4790),IF(4790&lt;=2000,INDEX($B$2:$B$1001,3790),IF(4790&lt;=3000,INDEX($C$2:$C$1001,2790),IF(4790&lt;=4000,INDEX($D$2:$D$1001,1790),IF(4790&lt;=5000,INDEX($E$2:$E$1001,790),"")))))</f>
        <v/>
      </c>
    </row>
    <row r="4792">
      <c r="G4792">
        <f>IF(4791&lt;=1000,INDEX($A$2:$A$1001,4791),IF(4791&lt;=2000,INDEX($B$2:$B$1001,3791),IF(4791&lt;=3000,INDEX($C$2:$C$1001,2791),IF(4791&lt;=4000,INDEX($D$2:$D$1001,1791),IF(4791&lt;=5000,INDEX($E$2:$E$1001,791),"")))))</f>
        <v/>
      </c>
    </row>
    <row r="4793">
      <c r="G4793">
        <f>IF(4792&lt;=1000,INDEX($A$2:$A$1001,4792),IF(4792&lt;=2000,INDEX($B$2:$B$1001,3792),IF(4792&lt;=3000,INDEX($C$2:$C$1001,2792),IF(4792&lt;=4000,INDEX($D$2:$D$1001,1792),IF(4792&lt;=5000,INDEX($E$2:$E$1001,792),"")))))</f>
        <v/>
      </c>
    </row>
    <row r="4794">
      <c r="G4794">
        <f>IF(4793&lt;=1000,INDEX($A$2:$A$1001,4793),IF(4793&lt;=2000,INDEX($B$2:$B$1001,3793),IF(4793&lt;=3000,INDEX($C$2:$C$1001,2793),IF(4793&lt;=4000,INDEX($D$2:$D$1001,1793),IF(4793&lt;=5000,INDEX($E$2:$E$1001,793),"")))))</f>
        <v/>
      </c>
    </row>
    <row r="4795">
      <c r="G4795">
        <f>IF(4794&lt;=1000,INDEX($A$2:$A$1001,4794),IF(4794&lt;=2000,INDEX($B$2:$B$1001,3794),IF(4794&lt;=3000,INDEX($C$2:$C$1001,2794),IF(4794&lt;=4000,INDEX($D$2:$D$1001,1794),IF(4794&lt;=5000,INDEX($E$2:$E$1001,794),"")))))</f>
        <v/>
      </c>
    </row>
    <row r="4796">
      <c r="G4796">
        <f>IF(4795&lt;=1000,INDEX($A$2:$A$1001,4795),IF(4795&lt;=2000,INDEX($B$2:$B$1001,3795),IF(4795&lt;=3000,INDEX($C$2:$C$1001,2795),IF(4795&lt;=4000,INDEX($D$2:$D$1001,1795),IF(4795&lt;=5000,INDEX($E$2:$E$1001,795),"")))))</f>
        <v/>
      </c>
    </row>
    <row r="4797">
      <c r="G4797">
        <f>IF(4796&lt;=1000,INDEX($A$2:$A$1001,4796),IF(4796&lt;=2000,INDEX($B$2:$B$1001,3796),IF(4796&lt;=3000,INDEX($C$2:$C$1001,2796),IF(4796&lt;=4000,INDEX($D$2:$D$1001,1796),IF(4796&lt;=5000,INDEX($E$2:$E$1001,796),"")))))</f>
        <v/>
      </c>
    </row>
    <row r="4798">
      <c r="G4798">
        <f>IF(4797&lt;=1000,INDEX($A$2:$A$1001,4797),IF(4797&lt;=2000,INDEX($B$2:$B$1001,3797),IF(4797&lt;=3000,INDEX($C$2:$C$1001,2797),IF(4797&lt;=4000,INDEX($D$2:$D$1001,1797),IF(4797&lt;=5000,INDEX($E$2:$E$1001,797),"")))))</f>
        <v/>
      </c>
    </row>
    <row r="4799">
      <c r="G4799">
        <f>IF(4798&lt;=1000,INDEX($A$2:$A$1001,4798),IF(4798&lt;=2000,INDEX($B$2:$B$1001,3798),IF(4798&lt;=3000,INDEX($C$2:$C$1001,2798),IF(4798&lt;=4000,INDEX($D$2:$D$1001,1798),IF(4798&lt;=5000,INDEX($E$2:$E$1001,798),"")))))</f>
        <v/>
      </c>
    </row>
    <row r="4800">
      <c r="G4800">
        <f>IF(4799&lt;=1000,INDEX($A$2:$A$1001,4799),IF(4799&lt;=2000,INDEX($B$2:$B$1001,3799),IF(4799&lt;=3000,INDEX($C$2:$C$1001,2799),IF(4799&lt;=4000,INDEX($D$2:$D$1001,1799),IF(4799&lt;=5000,INDEX($E$2:$E$1001,799),"")))))</f>
        <v/>
      </c>
    </row>
    <row r="4801">
      <c r="G4801">
        <f>IF(4800&lt;=1000,INDEX($A$2:$A$1001,4800),IF(4800&lt;=2000,INDEX($B$2:$B$1001,3800),IF(4800&lt;=3000,INDEX($C$2:$C$1001,2800),IF(4800&lt;=4000,INDEX($D$2:$D$1001,1800),IF(4800&lt;=5000,INDEX($E$2:$E$1001,800),"")))))</f>
        <v/>
      </c>
    </row>
    <row r="4802">
      <c r="G4802">
        <f>IF(4801&lt;=1000,INDEX($A$2:$A$1001,4801),IF(4801&lt;=2000,INDEX($B$2:$B$1001,3801),IF(4801&lt;=3000,INDEX($C$2:$C$1001,2801),IF(4801&lt;=4000,INDEX($D$2:$D$1001,1801),IF(4801&lt;=5000,INDEX($E$2:$E$1001,801),"")))))</f>
        <v/>
      </c>
    </row>
    <row r="4803">
      <c r="G4803">
        <f>IF(4802&lt;=1000,INDEX($A$2:$A$1001,4802),IF(4802&lt;=2000,INDEX($B$2:$B$1001,3802),IF(4802&lt;=3000,INDEX($C$2:$C$1001,2802),IF(4802&lt;=4000,INDEX($D$2:$D$1001,1802),IF(4802&lt;=5000,INDEX($E$2:$E$1001,802),"")))))</f>
        <v/>
      </c>
    </row>
    <row r="4804">
      <c r="G4804">
        <f>IF(4803&lt;=1000,INDEX($A$2:$A$1001,4803),IF(4803&lt;=2000,INDEX($B$2:$B$1001,3803),IF(4803&lt;=3000,INDEX($C$2:$C$1001,2803),IF(4803&lt;=4000,INDEX($D$2:$D$1001,1803),IF(4803&lt;=5000,INDEX($E$2:$E$1001,803),"")))))</f>
        <v/>
      </c>
    </row>
    <row r="4805">
      <c r="G4805">
        <f>IF(4804&lt;=1000,INDEX($A$2:$A$1001,4804),IF(4804&lt;=2000,INDEX($B$2:$B$1001,3804),IF(4804&lt;=3000,INDEX($C$2:$C$1001,2804),IF(4804&lt;=4000,INDEX($D$2:$D$1001,1804),IF(4804&lt;=5000,INDEX($E$2:$E$1001,804),"")))))</f>
        <v/>
      </c>
    </row>
    <row r="4806">
      <c r="G4806">
        <f>IF(4805&lt;=1000,INDEX($A$2:$A$1001,4805),IF(4805&lt;=2000,INDEX($B$2:$B$1001,3805),IF(4805&lt;=3000,INDEX($C$2:$C$1001,2805),IF(4805&lt;=4000,INDEX($D$2:$D$1001,1805),IF(4805&lt;=5000,INDEX($E$2:$E$1001,805),"")))))</f>
        <v/>
      </c>
    </row>
    <row r="4807">
      <c r="G4807">
        <f>IF(4806&lt;=1000,INDEX($A$2:$A$1001,4806),IF(4806&lt;=2000,INDEX($B$2:$B$1001,3806),IF(4806&lt;=3000,INDEX($C$2:$C$1001,2806),IF(4806&lt;=4000,INDEX($D$2:$D$1001,1806),IF(4806&lt;=5000,INDEX($E$2:$E$1001,806),"")))))</f>
        <v/>
      </c>
    </row>
    <row r="4808">
      <c r="G4808">
        <f>IF(4807&lt;=1000,INDEX($A$2:$A$1001,4807),IF(4807&lt;=2000,INDEX($B$2:$B$1001,3807),IF(4807&lt;=3000,INDEX($C$2:$C$1001,2807),IF(4807&lt;=4000,INDEX($D$2:$D$1001,1807),IF(4807&lt;=5000,INDEX($E$2:$E$1001,807),"")))))</f>
        <v/>
      </c>
    </row>
    <row r="4809">
      <c r="G4809">
        <f>IF(4808&lt;=1000,INDEX($A$2:$A$1001,4808),IF(4808&lt;=2000,INDEX($B$2:$B$1001,3808),IF(4808&lt;=3000,INDEX($C$2:$C$1001,2808),IF(4808&lt;=4000,INDEX($D$2:$D$1001,1808),IF(4808&lt;=5000,INDEX($E$2:$E$1001,808),"")))))</f>
        <v/>
      </c>
    </row>
    <row r="4810">
      <c r="G4810">
        <f>IF(4809&lt;=1000,INDEX($A$2:$A$1001,4809),IF(4809&lt;=2000,INDEX($B$2:$B$1001,3809),IF(4809&lt;=3000,INDEX($C$2:$C$1001,2809),IF(4809&lt;=4000,INDEX($D$2:$D$1001,1809),IF(4809&lt;=5000,INDEX($E$2:$E$1001,809),"")))))</f>
        <v/>
      </c>
    </row>
    <row r="4811">
      <c r="G4811">
        <f>IF(4810&lt;=1000,INDEX($A$2:$A$1001,4810),IF(4810&lt;=2000,INDEX($B$2:$B$1001,3810),IF(4810&lt;=3000,INDEX($C$2:$C$1001,2810),IF(4810&lt;=4000,INDEX($D$2:$D$1001,1810),IF(4810&lt;=5000,INDEX($E$2:$E$1001,810),"")))))</f>
        <v/>
      </c>
    </row>
    <row r="4812">
      <c r="G4812">
        <f>IF(4811&lt;=1000,INDEX($A$2:$A$1001,4811),IF(4811&lt;=2000,INDEX($B$2:$B$1001,3811),IF(4811&lt;=3000,INDEX($C$2:$C$1001,2811),IF(4811&lt;=4000,INDEX($D$2:$D$1001,1811),IF(4811&lt;=5000,INDEX($E$2:$E$1001,811),"")))))</f>
        <v/>
      </c>
    </row>
    <row r="4813">
      <c r="G4813">
        <f>IF(4812&lt;=1000,INDEX($A$2:$A$1001,4812),IF(4812&lt;=2000,INDEX($B$2:$B$1001,3812),IF(4812&lt;=3000,INDEX($C$2:$C$1001,2812),IF(4812&lt;=4000,INDEX($D$2:$D$1001,1812),IF(4812&lt;=5000,INDEX($E$2:$E$1001,812),"")))))</f>
        <v/>
      </c>
    </row>
    <row r="4814">
      <c r="G4814">
        <f>IF(4813&lt;=1000,INDEX($A$2:$A$1001,4813),IF(4813&lt;=2000,INDEX($B$2:$B$1001,3813),IF(4813&lt;=3000,INDEX($C$2:$C$1001,2813),IF(4813&lt;=4000,INDEX($D$2:$D$1001,1813),IF(4813&lt;=5000,INDEX($E$2:$E$1001,813),"")))))</f>
        <v/>
      </c>
    </row>
    <row r="4815">
      <c r="G4815">
        <f>IF(4814&lt;=1000,INDEX($A$2:$A$1001,4814),IF(4814&lt;=2000,INDEX($B$2:$B$1001,3814),IF(4814&lt;=3000,INDEX($C$2:$C$1001,2814),IF(4814&lt;=4000,INDEX($D$2:$D$1001,1814),IF(4814&lt;=5000,INDEX($E$2:$E$1001,814),"")))))</f>
        <v/>
      </c>
    </row>
    <row r="4816">
      <c r="G4816">
        <f>IF(4815&lt;=1000,INDEX($A$2:$A$1001,4815),IF(4815&lt;=2000,INDEX($B$2:$B$1001,3815),IF(4815&lt;=3000,INDEX($C$2:$C$1001,2815),IF(4815&lt;=4000,INDEX($D$2:$D$1001,1815),IF(4815&lt;=5000,INDEX($E$2:$E$1001,815),"")))))</f>
        <v/>
      </c>
    </row>
    <row r="4817">
      <c r="G4817">
        <f>IF(4816&lt;=1000,INDEX($A$2:$A$1001,4816),IF(4816&lt;=2000,INDEX($B$2:$B$1001,3816),IF(4816&lt;=3000,INDEX($C$2:$C$1001,2816),IF(4816&lt;=4000,INDEX($D$2:$D$1001,1816),IF(4816&lt;=5000,INDEX($E$2:$E$1001,816),"")))))</f>
        <v/>
      </c>
    </row>
    <row r="4818">
      <c r="G4818">
        <f>IF(4817&lt;=1000,INDEX($A$2:$A$1001,4817),IF(4817&lt;=2000,INDEX($B$2:$B$1001,3817),IF(4817&lt;=3000,INDEX($C$2:$C$1001,2817),IF(4817&lt;=4000,INDEX($D$2:$D$1001,1817),IF(4817&lt;=5000,INDEX($E$2:$E$1001,817),"")))))</f>
        <v/>
      </c>
    </row>
    <row r="4819">
      <c r="G4819">
        <f>IF(4818&lt;=1000,INDEX($A$2:$A$1001,4818),IF(4818&lt;=2000,INDEX($B$2:$B$1001,3818),IF(4818&lt;=3000,INDEX($C$2:$C$1001,2818),IF(4818&lt;=4000,INDEX($D$2:$D$1001,1818),IF(4818&lt;=5000,INDEX($E$2:$E$1001,818),"")))))</f>
        <v/>
      </c>
    </row>
    <row r="4820">
      <c r="G4820">
        <f>IF(4819&lt;=1000,INDEX($A$2:$A$1001,4819),IF(4819&lt;=2000,INDEX($B$2:$B$1001,3819),IF(4819&lt;=3000,INDEX($C$2:$C$1001,2819),IF(4819&lt;=4000,INDEX($D$2:$D$1001,1819),IF(4819&lt;=5000,INDEX($E$2:$E$1001,819),"")))))</f>
        <v/>
      </c>
    </row>
    <row r="4821">
      <c r="G4821">
        <f>IF(4820&lt;=1000,INDEX($A$2:$A$1001,4820),IF(4820&lt;=2000,INDEX($B$2:$B$1001,3820),IF(4820&lt;=3000,INDEX($C$2:$C$1001,2820),IF(4820&lt;=4000,INDEX($D$2:$D$1001,1820),IF(4820&lt;=5000,INDEX($E$2:$E$1001,820),"")))))</f>
        <v/>
      </c>
    </row>
    <row r="4822">
      <c r="G4822">
        <f>IF(4821&lt;=1000,INDEX($A$2:$A$1001,4821),IF(4821&lt;=2000,INDEX($B$2:$B$1001,3821),IF(4821&lt;=3000,INDEX($C$2:$C$1001,2821),IF(4821&lt;=4000,INDEX($D$2:$D$1001,1821),IF(4821&lt;=5000,INDEX($E$2:$E$1001,821),"")))))</f>
        <v/>
      </c>
    </row>
    <row r="4823">
      <c r="G4823">
        <f>IF(4822&lt;=1000,INDEX($A$2:$A$1001,4822),IF(4822&lt;=2000,INDEX($B$2:$B$1001,3822),IF(4822&lt;=3000,INDEX($C$2:$C$1001,2822),IF(4822&lt;=4000,INDEX($D$2:$D$1001,1822),IF(4822&lt;=5000,INDEX($E$2:$E$1001,822),"")))))</f>
        <v/>
      </c>
    </row>
    <row r="4824">
      <c r="G4824">
        <f>IF(4823&lt;=1000,INDEX($A$2:$A$1001,4823),IF(4823&lt;=2000,INDEX($B$2:$B$1001,3823),IF(4823&lt;=3000,INDEX($C$2:$C$1001,2823),IF(4823&lt;=4000,INDEX($D$2:$D$1001,1823),IF(4823&lt;=5000,INDEX($E$2:$E$1001,823),"")))))</f>
        <v/>
      </c>
    </row>
    <row r="4825">
      <c r="G4825">
        <f>IF(4824&lt;=1000,INDEX($A$2:$A$1001,4824),IF(4824&lt;=2000,INDEX($B$2:$B$1001,3824),IF(4824&lt;=3000,INDEX($C$2:$C$1001,2824),IF(4824&lt;=4000,INDEX($D$2:$D$1001,1824),IF(4824&lt;=5000,INDEX($E$2:$E$1001,824),"")))))</f>
        <v/>
      </c>
    </row>
    <row r="4826">
      <c r="G4826">
        <f>IF(4825&lt;=1000,INDEX($A$2:$A$1001,4825),IF(4825&lt;=2000,INDEX($B$2:$B$1001,3825),IF(4825&lt;=3000,INDEX($C$2:$C$1001,2825),IF(4825&lt;=4000,INDEX($D$2:$D$1001,1825),IF(4825&lt;=5000,INDEX($E$2:$E$1001,825),"")))))</f>
        <v/>
      </c>
    </row>
    <row r="4827">
      <c r="G4827">
        <f>IF(4826&lt;=1000,INDEX($A$2:$A$1001,4826),IF(4826&lt;=2000,INDEX($B$2:$B$1001,3826),IF(4826&lt;=3000,INDEX($C$2:$C$1001,2826),IF(4826&lt;=4000,INDEX($D$2:$D$1001,1826),IF(4826&lt;=5000,INDEX($E$2:$E$1001,826),"")))))</f>
        <v/>
      </c>
    </row>
    <row r="4828">
      <c r="G4828">
        <f>IF(4827&lt;=1000,INDEX($A$2:$A$1001,4827),IF(4827&lt;=2000,INDEX($B$2:$B$1001,3827),IF(4827&lt;=3000,INDEX($C$2:$C$1001,2827),IF(4827&lt;=4000,INDEX($D$2:$D$1001,1827),IF(4827&lt;=5000,INDEX($E$2:$E$1001,827),"")))))</f>
        <v/>
      </c>
    </row>
    <row r="4829">
      <c r="G4829">
        <f>IF(4828&lt;=1000,INDEX($A$2:$A$1001,4828),IF(4828&lt;=2000,INDEX($B$2:$B$1001,3828),IF(4828&lt;=3000,INDEX($C$2:$C$1001,2828),IF(4828&lt;=4000,INDEX($D$2:$D$1001,1828),IF(4828&lt;=5000,INDEX($E$2:$E$1001,828),"")))))</f>
        <v/>
      </c>
    </row>
    <row r="4830">
      <c r="G4830">
        <f>IF(4829&lt;=1000,INDEX($A$2:$A$1001,4829),IF(4829&lt;=2000,INDEX($B$2:$B$1001,3829),IF(4829&lt;=3000,INDEX($C$2:$C$1001,2829),IF(4829&lt;=4000,INDEX($D$2:$D$1001,1829),IF(4829&lt;=5000,INDEX($E$2:$E$1001,829),"")))))</f>
        <v/>
      </c>
    </row>
    <row r="4831">
      <c r="G4831">
        <f>IF(4830&lt;=1000,INDEX($A$2:$A$1001,4830),IF(4830&lt;=2000,INDEX($B$2:$B$1001,3830),IF(4830&lt;=3000,INDEX($C$2:$C$1001,2830),IF(4830&lt;=4000,INDEX($D$2:$D$1001,1830),IF(4830&lt;=5000,INDEX($E$2:$E$1001,830),"")))))</f>
        <v/>
      </c>
    </row>
    <row r="4832">
      <c r="G4832">
        <f>IF(4831&lt;=1000,INDEX($A$2:$A$1001,4831),IF(4831&lt;=2000,INDEX($B$2:$B$1001,3831),IF(4831&lt;=3000,INDEX($C$2:$C$1001,2831),IF(4831&lt;=4000,INDEX($D$2:$D$1001,1831),IF(4831&lt;=5000,INDEX($E$2:$E$1001,831),"")))))</f>
        <v/>
      </c>
    </row>
    <row r="4833">
      <c r="G4833">
        <f>IF(4832&lt;=1000,INDEX($A$2:$A$1001,4832),IF(4832&lt;=2000,INDEX($B$2:$B$1001,3832),IF(4832&lt;=3000,INDEX($C$2:$C$1001,2832),IF(4832&lt;=4000,INDEX($D$2:$D$1001,1832),IF(4832&lt;=5000,INDEX($E$2:$E$1001,832),"")))))</f>
        <v/>
      </c>
    </row>
    <row r="4834">
      <c r="G4834">
        <f>IF(4833&lt;=1000,INDEX($A$2:$A$1001,4833),IF(4833&lt;=2000,INDEX($B$2:$B$1001,3833),IF(4833&lt;=3000,INDEX($C$2:$C$1001,2833),IF(4833&lt;=4000,INDEX($D$2:$D$1001,1833),IF(4833&lt;=5000,INDEX($E$2:$E$1001,833),"")))))</f>
        <v/>
      </c>
    </row>
    <row r="4835">
      <c r="G4835">
        <f>IF(4834&lt;=1000,INDEX($A$2:$A$1001,4834),IF(4834&lt;=2000,INDEX($B$2:$B$1001,3834),IF(4834&lt;=3000,INDEX($C$2:$C$1001,2834),IF(4834&lt;=4000,INDEX($D$2:$D$1001,1834),IF(4834&lt;=5000,INDEX($E$2:$E$1001,834),"")))))</f>
        <v/>
      </c>
    </row>
    <row r="4836">
      <c r="G4836">
        <f>IF(4835&lt;=1000,INDEX($A$2:$A$1001,4835),IF(4835&lt;=2000,INDEX($B$2:$B$1001,3835),IF(4835&lt;=3000,INDEX($C$2:$C$1001,2835),IF(4835&lt;=4000,INDEX($D$2:$D$1001,1835),IF(4835&lt;=5000,INDEX($E$2:$E$1001,835),"")))))</f>
        <v/>
      </c>
    </row>
    <row r="4837">
      <c r="G4837">
        <f>IF(4836&lt;=1000,INDEX($A$2:$A$1001,4836),IF(4836&lt;=2000,INDEX($B$2:$B$1001,3836),IF(4836&lt;=3000,INDEX($C$2:$C$1001,2836),IF(4836&lt;=4000,INDEX($D$2:$D$1001,1836),IF(4836&lt;=5000,INDEX($E$2:$E$1001,836),"")))))</f>
        <v/>
      </c>
    </row>
    <row r="4838">
      <c r="G4838">
        <f>IF(4837&lt;=1000,INDEX($A$2:$A$1001,4837),IF(4837&lt;=2000,INDEX($B$2:$B$1001,3837),IF(4837&lt;=3000,INDEX($C$2:$C$1001,2837),IF(4837&lt;=4000,INDEX($D$2:$D$1001,1837),IF(4837&lt;=5000,INDEX($E$2:$E$1001,837),"")))))</f>
        <v/>
      </c>
    </row>
    <row r="4839">
      <c r="G4839">
        <f>IF(4838&lt;=1000,INDEX($A$2:$A$1001,4838),IF(4838&lt;=2000,INDEX($B$2:$B$1001,3838),IF(4838&lt;=3000,INDEX($C$2:$C$1001,2838),IF(4838&lt;=4000,INDEX($D$2:$D$1001,1838),IF(4838&lt;=5000,INDEX($E$2:$E$1001,838),"")))))</f>
        <v/>
      </c>
    </row>
    <row r="4840">
      <c r="G4840">
        <f>IF(4839&lt;=1000,INDEX($A$2:$A$1001,4839),IF(4839&lt;=2000,INDEX($B$2:$B$1001,3839),IF(4839&lt;=3000,INDEX($C$2:$C$1001,2839),IF(4839&lt;=4000,INDEX($D$2:$D$1001,1839),IF(4839&lt;=5000,INDEX($E$2:$E$1001,839),"")))))</f>
        <v/>
      </c>
    </row>
    <row r="4841">
      <c r="G4841">
        <f>IF(4840&lt;=1000,INDEX($A$2:$A$1001,4840),IF(4840&lt;=2000,INDEX($B$2:$B$1001,3840),IF(4840&lt;=3000,INDEX($C$2:$C$1001,2840),IF(4840&lt;=4000,INDEX($D$2:$D$1001,1840),IF(4840&lt;=5000,INDEX($E$2:$E$1001,840),"")))))</f>
        <v/>
      </c>
    </row>
    <row r="4842">
      <c r="G4842">
        <f>IF(4841&lt;=1000,INDEX($A$2:$A$1001,4841),IF(4841&lt;=2000,INDEX($B$2:$B$1001,3841),IF(4841&lt;=3000,INDEX($C$2:$C$1001,2841),IF(4841&lt;=4000,INDEX($D$2:$D$1001,1841),IF(4841&lt;=5000,INDEX($E$2:$E$1001,841),"")))))</f>
        <v/>
      </c>
    </row>
    <row r="4843">
      <c r="G4843">
        <f>IF(4842&lt;=1000,INDEX($A$2:$A$1001,4842),IF(4842&lt;=2000,INDEX($B$2:$B$1001,3842),IF(4842&lt;=3000,INDEX($C$2:$C$1001,2842),IF(4842&lt;=4000,INDEX($D$2:$D$1001,1842),IF(4842&lt;=5000,INDEX($E$2:$E$1001,842),"")))))</f>
        <v/>
      </c>
    </row>
    <row r="4844">
      <c r="G4844">
        <f>IF(4843&lt;=1000,INDEX($A$2:$A$1001,4843),IF(4843&lt;=2000,INDEX($B$2:$B$1001,3843),IF(4843&lt;=3000,INDEX($C$2:$C$1001,2843),IF(4843&lt;=4000,INDEX($D$2:$D$1001,1843),IF(4843&lt;=5000,INDEX($E$2:$E$1001,843),"")))))</f>
        <v/>
      </c>
    </row>
    <row r="4845">
      <c r="G4845">
        <f>IF(4844&lt;=1000,INDEX($A$2:$A$1001,4844),IF(4844&lt;=2000,INDEX($B$2:$B$1001,3844),IF(4844&lt;=3000,INDEX($C$2:$C$1001,2844),IF(4844&lt;=4000,INDEX($D$2:$D$1001,1844),IF(4844&lt;=5000,INDEX($E$2:$E$1001,844),"")))))</f>
        <v/>
      </c>
    </row>
    <row r="4846">
      <c r="G4846">
        <f>IF(4845&lt;=1000,INDEX($A$2:$A$1001,4845),IF(4845&lt;=2000,INDEX($B$2:$B$1001,3845),IF(4845&lt;=3000,INDEX($C$2:$C$1001,2845),IF(4845&lt;=4000,INDEX($D$2:$D$1001,1845),IF(4845&lt;=5000,INDEX($E$2:$E$1001,845),"")))))</f>
        <v/>
      </c>
    </row>
    <row r="4847">
      <c r="G4847">
        <f>IF(4846&lt;=1000,INDEX($A$2:$A$1001,4846),IF(4846&lt;=2000,INDEX($B$2:$B$1001,3846),IF(4846&lt;=3000,INDEX($C$2:$C$1001,2846),IF(4846&lt;=4000,INDEX($D$2:$D$1001,1846),IF(4846&lt;=5000,INDEX($E$2:$E$1001,846),"")))))</f>
        <v/>
      </c>
    </row>
    <row r="4848">
      <c r="G4848">
        <f>IF(4847&lt;=1000,INDEX($A$2:$A$1001,4847),IF(4847&lt;=2000,INDEX($B$2:$B$1001,3847),IF(4847&lt;=3000,INDEX($C$2:$C$1001,2847),IF(4847&lt;=4000,INDEX($D$2:$D$1001,1847),IF(4847&lt;=5000,INDEX($E$2:$E$1001,847),"")))))</f>
        <v/>
      </c>
    </row>
    <row r="4849">
      <c r="G4849">
        <f>IF(4848&lt;=1000,INDEX($A$2:$A$1001,4848),IF(4848&lt;=2000,INDEX($B$2:$B$1001,3848),IF(4848&lt;=3000,INDEX($C$2:$C$1001,2848),IF(4848&lt;=4000,INDEX($D$2:$D$1001,1848),IF(4848&lt;=5000,INDEX($E$2:$E$1001,848),"")))))</f>
        <v/>
      </c>
    </row>
    <row r="4850">
      <c r="G4850">
        <f>IF(4849&lt;=1000,INDEX($A$2:$A$1001,4849),IF(4849&lt;=2000,INDEX($B$2:$B$1001,3849),IF(4849&lt;=3000,INDEX($C$2:$C$1001,2849),IF(4849&lt;=4000,INDEX($D$2:$D$1001,1849),IF(4849&lt;=5000,INDEX($E$2:$E$1001,849),"")))))</f>
        <v/>
      </c>
    </row>
    <row r="4851">
      <c r="G4851">
        <f>IF(4850&lt;=1000,INDEX($A$2:$A$1001,4850),IF(4850&lt;=2000,INDEX($B$2:$B$1001,3850),IF(4850&lt;=3000,INDEX($C$2:$C$1001,2850),IF(4850&lt;=4000,INDEX($D$2:$D$1001,1850),IF(4850&lt;=5000,INDEX($E$2:$E$1001,850),"")))))</f>
        <v/>
      </c>
    </row>
    <row r="4852">
      <c r="G4852">
        <f>IF(4851&lt;=1000,INDEX($A$2:$A$1001,4851),IF(4851&lt;=2000,INDEX($B$2:$B$1001,3851),IF(4851&lt;=3000,INDEX($C$2:$C$1001,2851),IF(4851&lt;=4000,INDEX($D$2:$D$1001,1851),IF(4851&lt;=5000,INDEX($E$2:$E$1001,851),"")))))</f>
        <v/>
      </c>
    </row>
    <row r="4853">
      <c r="G4853">
        <f>IF(4852&lt;=1000,INDEX($A$2:$A$1001,4852),IF(4852&lt;=2000,INDEX($B$2:$B$1001,3852),IF(4852&lt;=3000,INDEX($C$2:$C$1001,2852),IF(4852&lt;=4000,INDEX($D$2:$D$1001,1852),IF(4852&lt;=5000,INDEX($E$2:$E$1001,852),"")))))</f>
        <v/>
      </c>
    </row>
    <row r="4854">
      <c r="G4854">
        <f>IF(4853&lt;=1000,INDEX($A$2:$A$1001,4853),IF(4853&lt;=2000,INDEX($B$2:$B$1001,3853),IF(4853&lt;=3000,INDEX($C$2:$C$1001,2853),IF(4853&lt;=4000,INDEX($D$2:$D$1001,1853),IF(4853&lt;=5000,INDEX($E$2:$E$1001,853),"")))))</f>
        <v/>
      </c>
    </row>
    <row r="4855">
      <c r="G4855">
        <f>IF(4854&lt;=1000,INDEX($A$2:$A$1001,4854),IF(4854&lt;=2000,INDEX($B$2:$B$1001,3854),IF(4854&lt;=3000,INDEX($C$2:$C$1001,2854),IF(4854&lt;=4000,INDEX($D$2:$D$1001,1854),IF(4854&lt;=5000,INDEX($E$2:$E$1001,854),"")))))</f>
        <v/>
      </c>
    </row>
    <row r="4856">
      <c r="G4856">
        <f>IF(4855&lt;=1000,INDEX($A$2:$A$1001,4855),IF(4855&lt;=2000,INDEX($B$2:$B$1001,3855),IF(4855&lt;=3000,INDEX($C$2:$C$1001,2855),IF(4855&lt;=4000,INDEX($D$2:$D$1001,1855),IF(4855&lt;=5000,INDEX($E$2:$E$1001,855),"")))))</f>
        <v/>
      </c>
    </row>
    <row r="4857">
      <c r="G4857">
        <f>IF(4856&lt;=1000,INDEX($A$2:$A$1001,4856),IF(4856&lt;=2000,INDEX($B$2:$B$1001,3856),IF(4856&lt;=3000,INDEX($C$2:$C$1001,2856),IF(4856&lt;=4000,INDEX($D$2:$D$1001,1856),IF(4856&lt;=5000,INDEX($E$2:$E$1001,856),"")))))</f>
        <v/>
      </c>
    </row>
    <row r="4858">
      <c r="G4858">
        <f>IF(4857&lt;=1000,INDEX($A$2:$A$1001,4857),IF(4857&lt;=2000,INDEX($B$2:$B$1001,3857),IF(4857&lt;=3000,INDEX($C$2:$C$1001,2857),IF(4857&lt;=4000,INDEX($D$2:$D$1001,1857),IF(4857&lt;=5000,INDEX($E$2:$E$1001,857),"")))))</f>
        <v/>
      </c>
    </row>
    <row r="4859">
      <c r="G4859">
        <f>IF(4858&lt;=1000,INDEX($A$2:$A$1001,4858),IF(4858&lt;=2000,INDEX($B$2:$B$1001,3858),IF(4858&lt;=3000,INDEX($C$2:$C$1001,2858),IF(4858&lt;=4000,INDEX($D$2:$D$1001,1858),IF(4858&lt;=5000,INDEX($E$2:$E$1001,858),"")))))</f>
        <v/>
      </c>
    </row>
    <row r="4860">
      <c r="G4860">
        <f>IF(4859&lt;=1000,INDEX($A$2:$A$1001,4859),IF(4859&lt;=2000,INDEX($B$2:$B$1001,3859),IF(4859&lt;=3000,INDEX($C$2:$C$1001,2859),IF(4859&lt;=4000,INDEX($D$2:$D$1001,1859),IF(4859&lt;=5000,INDEX($E$2:$E$1001,859),"")))))</f>
        <v/>
      </c>
    </row>
    <row r="4861">
      <c r="G4861">
        <f>IF(4860&lt;=1000,INDEX($A$2:$A$1001,4860),IF(4860&lt;=2000,INDEX($B$2:$B$1001,3860),IF(4860&lt;=3000,INDEX($C$2:$C$1001,2860),IF(4860&lt;=4000,INDEX($D$2:$D$1001,1860),IF(4860&lt;=5000,INDEX($E$2:$E$1001,860),"")))))</f>
        <v/>
      </c>
    </row>
    <row r="4862">
      <c r="G4862">
        <f>IF(4861&lt;=1000,INDEX($A$2:$A$1001,4861),IF(4861&lt;=2000,INDEX($B$2:$B$1001,3861),IF(4861&lt;=3000,INDEX($C$2:$C$1001,2861),IF(4861&lt;=4000,INDEX($D$2:$D$1001,1861),IF(4861&lt;=5000,INDEX($E$2:$E$1001,861),"")))))</f>
        <v/>
      </c>
    </row>
    <row r="4863">
      <c r="G4863">
        <f>IF(4862&lt;=1000,INDEX($A$2:$A$1001,4862),IF(4862&lt;=2000,INDEX($B$2:$B$1001,3862),IF(4862&lt;=3000,INDEX($C$2:$C$1001,2862),IF(4862&lt;=4000,INDEX($D$2:$D$1001,1862),IF(4862&lt;=5000,INDEX($E$2:$E$1001,862),"")))))</f>
        <v/>
      </c>
    </row>
    <row r="4864">
      <c r="G4864">
        <f>IF(4863&lt;=1000,INDEX($A$2:$A$1001,4863),IF(4863&lt;=2000,INDEX($B$2:$B$1001,3863),IF(4863&lt;=3000,INDEX($C$2:$C$1001,2863),IF(4863&lt;=4000,INDEX($D$2:$D$1001,1863),IF(4863&lt;=5000,INDEX($E$2:$E$1001,863),"")))))</f>
        <v/>
      </c>
    </row>
    <row r="4865">
      <c r="G4865">
        <f>IF(4864&lt;=1000,INDEX($A$2:$A$1001,4864),IF(4864&lt;=2000,INDEX($B$2:$B$1001,3864),IF(4864&lt;=3000,INDEX($C$2:$C$1001,2864),IF(4864&lt;=4000,INDEX($D$2:$D$1001,1864),IF(4864&lt;=5000,INDEX($E$2:$E$1001,864),"")))))</f>
        <v/>
      </c>
    </row>
    <row r="4866">
      <c r="G4866">
        <f>IF(4865&lt;=1000,INDEX($A$2:$A$1001,4865),IF(4865&lt;=2000,INDEX($B$2:$B$1001,3865),IF(4865&lt;=3000,INDEX($C$2:$C$1001,2865),IF(4865&lt;=4000,INDEX($D$2:$D$1001,1865),IF(4865&lt;=5000,INDEX($E$2:$E$1001,865),"")))))</f>
        <v/>
      </c>
    </row>
    <row r="4867">
      <c r="G4867">
        <f>IF(4866&lt;=1000,INDEX($A$2:$A$1001,4866),IF(4866&lt;=2000,INDEX($B$2:$B$1001,3866),IF(4866&lt;=3000,INDEX($C$2:$C$1001,2866),IF(4866&lt;=4000,INDEX($D$2:$D$1001,1866),IF(4866&lt;=5000,INDEX($E$2:$E$1001,866),"")))))</f>
        <v/>
      </c>
    </row>
    <row r="4868">
      <c r="G4868">
        <f>IF(4867&lt;=1000,INDEX($A$2:$A$1001,4867),IF(4867&lt;=2000,INDEX($B$2:$B$1001,3867),IF(4867&lt;=3000,INDEX($C$2:$C$1001,2867),IF(4867&lt;=4000,INDEX($D$2:$D$1001,1867),IF(4867&lt;=5000,INDEX($E$2:$E$1001,867),"")))))</f>
        <v/>
      </c>
    </row>
    <row r="4869">
      <c r="G4869">
        <f>IF(4868&lt;=1000,INDEX($A$2:$A$1001,4868),IF(4868&lt;=2000,INDEX($B$2:$B$1001,3868),IF(4868&lt;=3000,INDEX($C$2:$C$1001,2868),IF(4868&lt;=4000,INDEX($D$2:$D$1001,1868),IF(4868&lt;=5000,INDEX($E$2:$E$1001,868),"")))))</f>
        <v/>
      </c>
    </row>
    <row r="4870">
      <c r="G4870">
        <f>IF(4869&lt;=1000,INDEX($A$2:$A$1001,4869),IF(4869&lt;=2000,INDEX($B$2:$B$1001,3869),IF(4869&lt;=3000,INDEX($C$2:$C$1001,2869),IF(4869&lt;=4000,INDEX($D$2:$D$1001,1869),IF(4869&lt;=5000,INDEX($E$2:$E$1001,869),"")))))</f>
        <v/>
      </c>
    </row>
    <row r="4871">
      <c r="G4871">
        <f>IF(4870&lt;=1000,INDEX($A$2:$A$1001,4870),IF(4870&lt;=2000,INDEX($B$2:$B$1001,3870),IF(4870&lt;=3000,INDEX($C$2:$C$1001,2870),IF(4870&lt;=4000,INDEX($D$2:$D$1001,1870),IF(4870&lt;=5000,INDEX($E$2:$E$1001,870),"")))))</f>
        <v/>
      </c>
    </row>
    <row r="4872">
      <c r="G4872">
        <f>IF(4871&lt;=1000,INDEX($A$2:$A$1001,4871),IF(4871&lt;=2000,INDEX($B$2:$B$1001,3871),IF(4871&lt;=3000,INDEX($C$2:$C$1001,2871),IF(4871&lt;=4000,INDEX($D$2:$D$1001,1871),IF(4871&lt;=5000,INDEX($E$2:$E$1001,871),"")))))</f>
        <v/>
      </c>
    </row>
    <row r="4873">
      <c r="G4873">
        <f>IF(4872&lt;=1000,INDEX($A$2:$A$1001,4872),IF(4872&lt;=2000,INDEX($B$2:$B$1001,3872),IF(4872&lt;=3000,INDEX($C$2:$C$1001,2872),IF(4872&lt;=4000,INDEX($D$2:$D$1001,1872),IF(4872&lt;=5000,INDEX($E$2:$E$1001,872),"")))))</f>
        <v/>
      </c>
    </row>
    <row r="4874">
      <c r="G4874">
        <f>IF(4873&lt;=1000,INDEX($A$2:$A$1001,4873),IF(4873&lt;=2000,INDEX($B$2:$B$1001,3873),IF(4873&lt;=3000,INDEX($C$2:$C$1001,2873),IF(4873&lt;=4000,INDEX($D$2:$D$1001,1873),IF(4873&lt;=5000,INDEX($E$2:$E$1001,873),"")))))</f>
        <v/>
      </c>
    </row>
    <row r="4875">
      <c r="G4875">
        <f>IF(4874&lt;=1000,INDEX($A$2:$A$1001,4874),IF(4874&lt;=2000,INDEX($B$2:$B$1001,3874),IF(4874&lt;=3000,INDEX($C$2:$C$1001,2874),IF(4874&lt;=4000,INDEX($D$2:$D$1001,1874),IF(4874&lt;=5000,INDEX($E$2:$E$1001,874),"")))))</f>
        <v/>
      </c>
    </row>
    <row r="4876">
      <c r="G4876">
        <f>IF(4875&lt;=1000,INDEX($A$2:$A$1001,4875),IF(4875&lt;=2000,INDEX($B$2:$B$1001,3875),IF(4875&lt;=3000,INDEX($C$2:$C$1001,2875),IF(4875&lt;=4000,INDEX($D$2:$D$1001,1875),IF(4875&lt;=5000,INDEX($E$2:$E$1001,875),"")))))</f>
        <v/>
      </c>
    </row>
    <row r="4877">
      <c r="G4877">
        <f>IF(4876&lt;=1000,INDEX($A$2:$A$1001,4876),IF(4876&lt;=2000,INDEX($B$2:$B$1001,3876),IF(4876&lt;=3000,INDEX($C$2:$C$1001,2876),IF(4876&lt;=4000,INDEX($D$2:$D$1001,1876),IF(4876&lt;=5000,INDEX($E$2:$E$1001,876),"")))))</f>
        <v/>
      </c>
    </row>
    <row r="4878">
      <c r="G4878">
        <f>IF(4877&lt;=1000,INDEX($A$2:$A$1001,4877),IF(4877&lt;=2000,INDEX($B$2:$B$1001,3877),IF(4877&lt;=3000,INDEX($C$2:$C$1001,2877),IF(4877&lt;=4000,INDEX($D$2:$D$1001,1877),IF(4877&lt;=5000,INDEX($E$2:$E$1001,877),"")))))</f>
        <v/>
      </c>
    </row>
    <row r="4879">
      <c r="G4879">
        <f>IF(4878&lt;=1000,INDEX($A$2:$A$1001,4878),IF(4878&lt;=2000,INDEX($B$2:$B$1001,3878),IF(4878&lt;=3000,INDEX($C$2:$C$1001,2878),IF(4878&lt;=4000,INDEX($D$2:$D$1001,1878),IF(4878&lt;=5000,INDEX($E$2:$E$1001,878),"")))))</f>
        <v/>
      </c>
    </row>
    <row r="4880">
      <c r="G4880">
        <f>IF(4879&lt;=1000,INDEX($A$2:$A$1001,4879),IF(4879&lt;=2000,INDEX($B$2:$B$1001,3879),IF(4879&lt;=3000,INDEX($C$2:$C$1001,2879),IF(4879&lt;=4000,INDEX($D$2:$D$1001,1879),IF(4879&lt;=5000,INDEX($E$2:$E$1001,879),"")))))</f>
        <v/>
      </c>
    </row>
    <row r="4881">
      <c r="G4881">
        <f>IF(4880&lt;=1000,INDEX($A$2:$A$1001,4880),IF(4880&lt;=2000,INDEX($B$2:$B$1001,3880),IF(4880&lt;=3000,INDEX($C$2:$C$1001,2880),IF(4880&lt;=4000,INDEX($D$2:$D$1001,1880),IF(4880&lt;=5000,INDEX($E$2:$E$1001,880),"")))))</f>
        <v/>
      </c>
    </row>
    <row r="4882">
      <c r="G4882">
        <f>IF(4881&lt;=1000,INDEX($A$2:$A$1001,4881),IF(4881&lt;=2000,INDEX($B$2:$B$1001,3881),IF(4881&lt;=3000,INDEX($C$2:$C$1001,2881),IF(4881&lt;=4000,INDEX($D$2:$D$1001,1881),IF(4881&lt;=5000,INDEX($E$2:$E$1001,881),"")))))</f>
        <v/>
      </c>
    </row>
    <row r="4883">
      <c r="G4883">
        <f>IF(4882&lt;=1000,INDEX($A$2:$A$1001,4882),IF(4882&lt;=2000,INDEX($B$2:$B$1001,3882),IF(4882&lt;=3000,INDEX($C$2:$C$1001,2882),IF(4882&lt;=4000,INDEX($D$2:$D$1001,1882),IF(4882&lt;=5000,INDEX($E$2:$E$1001,882),"")))))</f>
        <v/>
      </c>
    </row>
    <row r="4884">
      <c r="G4884">
        <f>IF(4883&lt;=1000,INDEX($A$2:$A$1001,4883),IF(4883&lt;=2000,INDEX($B$2:$B$1001,3883),IF(4883&lt;=3000,INDEX($C$2:$C$1001,2883),IF(4883&lt;=4000,INDEX($D$2:$D$1001,1883),IF(4883&lt;=5000,INDEX($E$2:$E$1001,883),"")))))</f>
        <v/>
      </c>
    </row>
    <row r="4885">
      <c r="G4885">
        <f>IF(4884&lt;=1000,INDEX($A$2:$A$1001,4884),IF(4884&lt;=2000,INDEX($B$2:$B$1001,3884),IF(4884&lt;=3000,INDEX($C$2:$C$1001,2884),IF(4884&lt;=4000,INDEX($D$2:$D$1001,1884),IF(4884&lt;=5000,INDEX($E$2:$E$1001,884),"")))))</f>
        <v/>
      </c>
    </row>
    <row r="4886">
      <c r="G4886">
        <f>IF(4885&lt;=1000,INDEX($A$2:$A$1001,4885),IF(4885&lt;=2000,INDEX($B$2:$B$1001,3885),IF(4885&lt;=3000,INDEX($C$2:$C$1001,2885),IF(4885&lt;=4000,INDEX($D$2:$D$1001,1885),IF(4885&lt;=5000,INDEX($E$2:$E$1001,885),"")))))</f>
        <v/>
      </c>
    </row>
    <row r="4887">
      <c r="G4887">
        <f>IF(4886&lt;=1000,INDEX($A$2:$A$1001,4886),IF(4886&lt;=2000,INDEX($B$2:$B$1001,3886),IF(4886&lt;=3000,INDEX($C$2:$C$1001,2886),IF(4886&lt;=4000,INDEX($D$2:$D$1001,1886),IF(4886&lt;=5000,INDEX($E$2:$E$1001,886),"")))))</f>
        <v/>
      </c>
    </row>
    <row r="4888">
      <c r="G4888">
        <f>IF(4887&lt;=1000,INDEX($A$2:$A$1001,4887),IF(4887&lt;=2000,INDEX($B$2:$B$1001,3887),IF(4887&lt;=3000,INDEX($C$2:$C$1001,2887),IF(4887&lt;=4000,INDEX($D$2:$D$1001,1887),IF(4887&lt;=5000,INDEX($E$2:$E$1001,887),"")))))</f>
        <v/>
      </c>
    </row>
    <row r="4889">
      <c r="G4889">
        <f>IF(4888&lt;=1000,INDEX($A$2:$A$1001,4888),IF(4888&lt;=2000,INDEX($B$2:$B$1001,3888),IF(4888&lt;=3000,INDEX($C$2:$C$1001,2888),IF(4888&lt;=4000,INDEX($D$2:$D$1001,1888),IF(4888&lt;=5000,INDEX($E$2:$E$1001,888),"")))))</f>
        <v/>
      </c>
    </row>
    <row r="4890">
      <c r="G4890">
        <f>IF(4889&lt;=1000,INDEX($A$2:$A$1001,4889),IF(4889&lt;=2000,INDEX($B$2:$B$1001,3889),IF(4889&lt;=3000,INDEX($C$2:$C$1001,2889),IF(4889&lt;=4000,INDEX($D$2:$D$1001,1889),IF(4889&lt;=5000,INDEX($E$2:$E$1001,889),"")))))</f>
        <v/>
      </c>
    </row>
    <row r="4891">
      <c r="G4891">
        <f>IF(4890&lt;=1000,INDEX($A$2:$A$1001,4890),IF(4890&lt;=2000,INDEX($B$2:$B$1001,3890),IF(4890&lt;=3000,INDEX($C$2:$C$1001,2890),IF(4890&lt;=4000,INDEX($D$2:$D$1001,1890),IF(4890&lt;=5000,INDEX($E$2:$E$1001,890),"")))))</f>
        <v/>
      </c>
    </row>
    <row r="4892">
      <c r="G4892">
        <f>IF(4891&lt;=1000,INDEX($A$2:$A$1001,4891),IF(4891&lt;=2000,INDEX($B$2:$B$1001,3891),IF(4891&lt;=3000,INDEX($C$2:$C$1001,2891),IF(4891&lt;=4000,INDEX($D$2:$D$1001,1891),IF(4891&lt;=5000,INDEX($E$2:$E$1001,891),"")))))</f>
        <v/>
      </c>
    </row>
    <row r="4893">
      <c r="G4893">
        <f>IF(4892&lt;=1000,INDEX($A$2:$A$1001,4892),IF(4892&lt;=2000,INDEX($B$2:$B$1001,3892),IF(4892&lt;=3000,INDEX($C$2:$C$1001,2892),IF(4892&lt;=4000,INDEX($D$2:$D$1001,1892),IF(4892&lt;=5000,INDEX($E$2:$E$1001,892),"")))))</f>
        <v/>
      </c>
    </row>
    <row r="4894">
      <c r="G4894">
        <f>IF(4893&lt;=1000,INDEX($A$2:$A$1001,4893),IF(4893&lt;=2000,INDEX($B$2:$B$1001,3893),IF(4893&lt;=3000,INDEX($C$2:$C$1001,2893),IF(4893&lt;=4000,INDEX($D$2:$D$1001,1893),IF(4893&lt;=5000,INDEX($E$2:$E$1001,893),"")))))</f>
        <v/>
      </c>
    </row>
    <row r="4895">
      <c r="G4895">
        <f>IF(4894&lt;=1000,INDEX($A$2:$A$1001,4894),IF(4894&lt;=2000,INDEX($B$2:$B$1001,3894),IF(4894&lt;=3000,INDEX($C$2:$C$1001,2894),IF(4894&lt;=4000,INDEX($D$2:$D$1001,1894),IF(4894&lt;=5000,INDEX($E$2:$E$1001,894),"")))))</f>
        <v/>
      </c>
    </row>
    <row r="4896">
      <c r="G4896">
        <f>IF(4895&lt;=1000,INDEX($A$2:$A$1001,4895),IF(4895&lt;=2000,INDEX($B$2:$B$1001,3895),IF(4895&lt;=3000,INDEX($C$2:$C$1001,2895),IF(4895&lt;=4000,INDEX($D$2:$D$1001,1895),IF(4895&lt;=5000,INDEX($E$2:$E$1001,895),"")))))</f>
        <v/>
      </c>
    </row>
    <row r="4897">
      <c r="G4897">
        <f>IF(4896&lt;=1000,INDEX($A$2:$A$1001,4896),IF(4896&lt;=2000,INDEX($B$2:$B$1001,3896),IF(4896&lt;=3000,INDEX($C$2:$C$1001,2896),IF(4896&lt;=4000,INDEX($D$2:$D$1001,1896),IF(4896&lt;=5000,INDEX($E$2:$E$1001,896),"")))))</f>
        <v/>
      </c>
    </row>
    <row r="4898">
      <c r="G4898">
        <f>IF(4897&lt;=1000,INDEX($A$2:$A$1001,4897),IF(4897&lt;=2000,INDEX($B$2:$B$1001,3897),IF(4897&lt;=3000,INDEX($C$2:$C$1001,2897),IF(4897&lt;=4000,INDEX($D$2:$D$1001,1897),IF(4897&lt;=5000,INDEX($E$2:$E$1001,897),"")))))</f>
        <v/>
      </c>
    </row>
    <row r="4899">
      <c r="G4899">
        <f>IF(4898&lt;=1000,INDEX($A$2:$A$1001,4898),IF(4898&lt;=2000,INDEX($B$2:$B$1001,3898),IF(4898&lt;=3000,INDEX($C$2:$C$1001,2898),IF(4898&lt;=4000,INDEX($D$2:$D$1001,1898),IF(4898&lt;=5000,INDEX($E$2:$E$1001,898),"")))))</f>
        <v/>
      </c>
    </row>
    <row r="4900">
      <c r="G4900">
        <f>IF(4899&lt;=1000,INDEX($A$2:$A$1001,4899),IF(4899&lt;=2000,INDEX($B$2:$B$1001,3899),IF(4899&lt;=3000,INDEX($C$2:$C$1001,2899),IF(4899&lt;=4000,INDEX($D$2:$D$1001,1899),IF(4899&lt;=5000,INDEX($E$2:$E$1001,899),"")))))</f>
        <v/>
      </c>
    </row>
    <row r="4901">
      <c r="G4901">
        <f>IF(4900&lt;=1000,INDEX($A$2:$A$1001,4900),IF(4900&lt;=2000,INDEX($B$2:$B$1001,3900),IF(4900&lt;=3000,INDEX($C$2:$C$1001,2900),IF(4900&lt;=4000,INDEX($D$2:$D$1001,1900),IF(4900&lt;=5000,INDEX($E$2:$E$1001,900),"")))))</f>
        <v/>
      </c>
    </row>
    <row r="4902">
      <c r="G4902">
        <f>IF(4901&lt;=1000,INDEX($A$2:$A$1001,4901),IF(4901&lt;=2000,INDEX($B$2:$B$1001,3901),IF(4901&lt;=3000,INDEX($C$2:$C$1001,2901),IF(4901&lt;=4000,INDEX($D$2:$D$1001,1901),IF(4901&lt;=5000,INDEX($E$2:$E$1001,901),"")))))</f>
        <v/>
      </c>
    </row>
    <row r="4903">
      <c r="G4903">
        <f>IF(4902&lt;=1000,INDEX($A$2:$A$1001,4902),IF(4902&lt;=2000,INDEX($B$2:$B$1001,3902),IF(4902&lt;=3000,INDEX($C$2:$C$1001,2902),IF(4902&lt;=4000,INDEX($D$2:$D$1001,1902),IF(4902&lt;=5000,INDEX($E$2:$E$1001,902),"")))))</f>
        <v/>
      </c>
    </row>
    <row r="4904">
      <c r="G4904">
        <f>IF(4903&lt;=1000,INDEX($A$2:$A$1001,4903),IF(4903&lt;=2000,INDEX($B$2:$B$1001,3903),IF(4903&lt;=3000,INDEX($C$2:$C$1001,2903),IF(4903&lt;=4000,INDEX($D$2:$D$1001,1903),IF(4903&lt;=5000,INDEX($E$2:$E$1001,903),"")))))</f>
        <v/>
      </c>
    </row>
    <row r="4905">
      <c r="G4905">
        <f>IF(4904&lt;=1000,INDEX($A$2:$A$1001,4904),IF(4904&lt;=2000,INDEX($B$2:$B$1001,3904),IF(4904&lt;=3000,INDEX($C$2:$C$1001,2904),IF(4904&lt;=4000,INDEX($D$2:$D$1001,1904),IF(4904&lt;=5000,INDEX($E$2:$E$1001,904),"")))))</f>
        <v/>
      </c>
    </row>
    <row r="4906">
      <c r="G4906">
        <f>IF(4905&lt;=1000,INDEX($A$2:$A$1001,4905),IF(4905&lt;=2000,INDEX($B$2:$B$1001,3905),IF(4905&lt;=3000,INDEX($C$2:$C$1001,2905),IF(4905&lt;=4000,INDEX($D$2:$D$1001,1905),IF(4905&lt;=5000,INDEX($E$2:$E$1001,905),"")))))</f>
        <v/>
      </c>
    </row>
    <row r="4907">
      <c r="G4907">
        <f>IF(4906&lt;=1000,INDEX($A$2:$A$1001,4906),IF(4906&lt;=2000,INDEX($B$2:$B$1001,3906),IF(4906&lt;=3000,INDEX($C$2:$C$1001,2906),IF(4906&lt;=4000,INDEX($D$2:$D$1001,1906),IF(4906&lt;=5000,INDEX($E$2:$E$1001,906),"")))))</f>
        <v/>
      </c>
    </row>
    <row r="4908">
      <c r="G4908">
        <f>IF(4907&lt;=1000,INDEX($A$2:$A$1001,4907),IF(4907&lt;=2000,INDEX($B$2:$B$1001,3907),IF(4907&lt;=3000,INDEX($C$2:$C$1001,2907),IF(4907&lt;=4000,INDEX($D$2:$D$1001,1907),IF(4907&lt;=5000,INDEX($E$2:$E$1001,907),"")))))</f>
        <v/>
      </c>
    </row>
    <row r="4909">
      <c r="G4909">
        <f>IF(4908&lt;=1000,INDEX($A$2:$A$1001,4908),IF(4908&lt;=2000,INDEX($B$2:$B$1001,3908),IF(4908&lt;=3000,INDEX($C$2:$C$1001,2908),IF(4908&lt;=4000,INDEX($D$2:$D$1001,1908),IF(4908&lt;=5000,INDEX($E$2:$E$1001,908),"")))))</f>
        <v/>
      </c>
    </row>
    <row r="4910">
      <c r="G4910">
        <f>IF(4909&lt;=1000,INDEX($A$2:$A$1001,4909),IF(4909&lt;=2000,INDEX($B$2:$B$1001,3909),IF(4909&lt;=3000,INDEX($C$2:$C$1001,2909),IF(4909&lt;=4000,INDEX($D$2:$D$1001,1909),IF(4909&lt;=5000,INDEX($E$2:$E$1001,909),"")))))</f>
        <v/>
      </c>
    </row>
    <row r="4911">
      <c r="G4911">
        <f>IF(4910&lt;=1000,INDEX($A$2:$A$1001,4910),IF(4910&lt;=2000,INDEX($B$2:$B$1001,3910),IF(4910&lt;=3000,INDEX($C$2:$C$1001,2910),IF(4910&lt;=4000,INDEX($D$2:$D$1001,1910),IF(4910&lt;=5000,INDEX($E$2:$E$1001,910),"")))))</f>
        <v/>
      </c>
    </row>
    <row r="4912">
      <c r="G4912">
        <f>IF(4911&lt;=1000,INDEX($A$2:$A$1001,4911),IF(4911&lt;=2000,INDEX($B$2:$B$1001,3911),IF(4911&lt;=3000,INDEX($C$2:$C$1001,2911),IF(4911&lt;=4000,INDEX($D$2:$D$1001,1911),IF(4911&lt;=5000,INDEX($E$2:$E$1001,911),"")))))</f>
        <v/>
      </c>
    </row>
    <row r="4913">
      <c r="G4913">
        <f>IF(4912&lt;=1000,INDEX($A$2:$A$1001,4912),IF(4912&lt;=2000,INDEX($B$2:$B$1001,3912),IF(4912&lt;=3000,INDEX($C$2:$C$1001,2912),IF(4912&lt;=4000,INDEX($D$2:$D$1001,1912),IF(4912&lt;=5000,INDEX($E$2:$E$1001,912),"")))))</f>
        <v/>
      </c>
    </row>
    <row r="4914">
      <c r="G4914">
        <f>IF(4913&lt;=1000,INDEX($A$2:$A$1001,4913),IF(4913&lt;=2000,INDEX($B$2:$B$1001,3913),IF(4913&lt;=3000,INDEX($C$2:$C$1001,2913),IF(4913&lt;=4000,INDEX($D$2:$D$1001,1913),IF(4913&lt;=5000,INDEX($E$2:$E$1001,913),"")))))</f>
        <v/>
      </c>
    </row>
    <row r="4915">
      <c r="G4915">
        <f>IF(4914&lt;=1000,INDEX($A$2:$A$1001,4914),IF(4914&lt;=2000,INDEX($B$2:$B$1001,3914),IF(4914&lt;=3000,INDEX($C$2:$C$1001,2914),IF(4914&lt;=4000,INDEX($D$2:$D$1001,1914),IF(4914&lt;=5000,INDEX($E$2:$E$1001,914),"")))))</f>
        <v/>
      </c>
    </row>
    <row r="4916">
      <c r="G4916">
        <f>IF(4915&lt;=1000,INDEX($A$2:$A$1001,4915),IF(4915&lt;=2000,INDEX($B$2:$B$1001,3915),IF(4915&lt;=3000,INDEX($C$2:$C$1001,2915),IF(4915&lt;=4000,INDEX($D$2:$D$1001,1915),IF(4915&lt;=5000,INDEX($E$2:$E$1001,915),"")))))</f>
        <v/>
      </c>
    </row>
    <row r="4917">
      <c r="G4917">
        <f>IF(4916&lt;=1000,INDEX($A$2:$A$1001,4916),IF(4916&lt;=2000,INDEX($B$2:$B$1001,3916),IF(4916&lt;=3000,INDEX($C$2:$C$1001,2916),IF(4916&lt;=4000,INDEX($D$2:$D$1001,1916),IF(4916&lt;=5000,INDEX($E$2:$E$1001,916),"")))))</f>
        <v/>
      </c>
    </row>
    <row r="4918">
      <c r="G4918">
        <f>IF(4917&lt;=1000,INDEX($A$2:$A$1001,4917),IF(4917&lt;=2000,INDEX($B$2:$B$1001,3917),IF(4917&lt;=3000,INDEX($C$2:$C$1001,2917),IF(4917&lt;=4000,INDEX($D$2:$D$1001,1917),IF(4917&lt;=5000,INDEX($E$2:$E$1001,917),"")))))</f>
        <v/>
      </c>
    </row>
    <row r="4919">
      <c r="G4919">
        <f>IF(4918&lt;=1000,INDEX($A$2:$A$1001,4918),IF(4918&lt;=2000,INDEX($B$2:$B$1001,3918),IF(4918&lt;=3000,INDEX($C$2:$C$1001,2918),IF(4918&lt;=4000,INDEX($D$2:$D$1001,1918),IF(4918&lt;=5000,INDEX($E$2:$E$1001,918),"")))))</f>
        <v/>
      </c>
    </row>
    <row r="4920">
      <c r="G4920">
        <f>IF(4919&lt;=1000,INDEX($A$2:$A$1001,4919),IF(4919&lt;=2000,INDEX($B$2:$B$1001,3919),IF(4919&lt;=3000,INDEX($C$2:$C$1001,2919),IF(4919&lt;=4000,INDEX($D$2:$D$1001,1919),IF(4919&lt;=5000,INDEX($E$2:$E$1001,919),"")))))</f>
        <v/>
      </c>
    </row>
    <row r="4921">
      <c r="G4921">
        <f>IF(4920&lt;=1000,INDEX($A$2:$A$1001,4920),IF(4920&lt;=2000,INDEX($B$2:$B$1001,3920),IF(4920&lt;=3000,INDEX($C$2:$C$1001,2920),IF(4920&lt;=4000,INDEX($D$2:$D$1001,1920),IF(4920&lt;=5000,INDEX($E$2:$E$1001,920),"")))))</f>
        <v/>
      </c>
    </row>
    <row r="4922">
      <c r="G4922">
        <f>IF(4921&lt;=1000,INDEX($A$2:$A$1001,4921),IF(4921&lt;=2000,INDEX($B$2:$B$1001,3921),IF(4921&lt;=3000,INDEX($C$2:$C$1001,2921),IF(4921&lt;=4000,INDEX($D$2:$D$1001,1921),IF(4921&lt;=5000,INDEX($E$2:$E$1001,921),"")))))</f>
        <v/>
      </c>
    </row>
    <row r="4923">
      <c r="G4923">
        <f>IF(4922&lt;=1000,INDEX($A$2:$A$1001,4922),IF(4922&lt;=2000,INDEX($B$2:$B$1001,3922),IF(4922&lt;=3000,INDEX($C$2:$C$1001,2922),IF(4922&lt;=4000,INDEX($D$2:$D$1001,1922),IF(4922&lt;=5000,INDEX($E$2:$E$1001,922),"")))))</f>
        <v/>
      </c>
    </row>
    <row r="4924">
      <c r="G4924">
        <f>IF(4923&lt;=1000,INDEX($A$2:$A$1001,4923),IF(4923&lt;=2000,INDEX($B$2:$B$1001,3923),IF(4923&lt;=3000,INDEX($C$2:$C$1001,2923),IF(4923&lt;=4000,INDEX($D$2:$D$1001,1923),IF(4923&lt;=5000,INDEX($E$2:$E$1001,923),"")))))</f>
        <v/>
      </c>
    </row>
    <row r="4925">
      <c r="G4925">
        <f>IF(4924&lt;=1000,INDEX($A$2:$A$1001,4924),IF(4924&lt;=2000,INDEX($B$2:$B$1001,3924),IF(4924&lt;=3000,INDEX($C$2:$C$1001,2924),IF(4924&lt;=4000,INDEX($D$2:$D$1001,1924),IF(4924&lt;=5000,INDEX($E$2:$E$1001,924),"")))))</f>
        <v/>
      </c>
    </row>
    <row r="4926">
      <c r="G4926">
        <f>IF(4925&lt;=1000,INDEX($A$2:$A$1001,4925),IF(4925&lt;=2000,INDEX($B$2:$B$1001,3925),IF(4925&lt;=3000,INDEX($C$2:$C$1001,2925),IF(4925&lt;=4000,INDEX($D$2:$D$1001,1925),IF(4925&lt;=5000,INDEX($E$2:$E$1001,925),"")))))</f>
        <v/>
      </c>
    </row>
    <row r="4927">
      <c r="G4927">
        <f>IF(4926&lt;=1000,INDEX($A$2:$A$1001,4926),IF(4926&lt;=2000,INDEX($B$2:$B$1001,3926),IF(4926&lt;=3000,INDEX($C$2:$C$1001,2926),IF(4926&lt;=4000,INDEX($D$2:$D$1001,1926),IF(4926&lt;=5000,INDEX($E$2:$E$1001,926),"")))))</f>
        <v/>
      </c>
    </row>
    <row r="4928">
      <c r="G4928">
        <f>IF(4927&lt;=1000,INDEX($A$2:$A$1001,4927),IF(4927&lt;=2000,INDEX($B$2:$B$1001,3927),IF(4927&lt;=3000,INDEX($C$2:$C$1001,2927),IF(4927&lt;=4000,INDEX($D$2:$D$1001,1927),IF(4927&lt;=5000,INDEX($E$2:$E$1001,927),"")))))</f>
        <v/>
      </c>
    </row>
    <row r="4929">
      <c r="G4929">
        <f>IF(4928&lt;=1000,INDEX($A$2:$A$1001,4928),IF(4928&lt;=2000,INDEX($B$2:$B$1001,3928),IF(4928&lt;=3000,INDEX($C$2:$C$1001,2928),IF(4928&lt;=4000,INDEX($D$2:$D$1001,1928),IF(4928&lt;=5000,INDEX($E$2:$E$1001,928),"")))))</f>
        <v/>
      </c>
    </row>
    <row r="4930">
      <c r="G4930">
        <f>IF(4929&lt;=1000,INDEX($A$2:$A$1001,4929),IF(4929&lt;=2000,INDEX($B$2:$B$1001,3929),IF(4929&lt;=3000,INDEX($C$2:$C$1001,2929),IF(4929&lt;=4000,INDEX($D$2:$D$1001,1929),IF(4929&lt;=5000,INDEX($E$2:$E$1001,929),"")))))</f>
        <v/>
      </c>
    </row>
    <row r="4931">
      <c r="G4931">
        <f>IF(4930&lt;=1000,INDEX($A$2:$A$1001,4930),IF(4930&lt;=2000,INDEX($B$2:$B$1001,3930),IF(4930&lt;=3000,INDEX($C$2:$C$1001,2930),IF(4930&lt;=4000,INDEX($D$2:$D$1001,1930),IF(4930&lt;=5000,INDEX($E$2:$E$1001,930),"")))))</f>
        <v/>
      </c>
    </row>
    <row r="4932">
      <c r="G4932">
        <f>IF(4931&lt;=1000,INDEX($A$2:$A$1001,4931),IF(4931&lt;=2000,INDEX($B$2:$B$1001,3931),IF(4931&lt;=3000,INDEX($C$2:$C$1001,2931),IF(4931&lt;=4000,INDEX($D$2:$D$1001,1931),IF(4931&lt;=5000,INDEX($E$2:$E$1001,931),"")))))</f>
        <v/>
      </c>
    </row>
    <row r="4933">
      <c r="G4933">
        <f>IF(4932&lt;=1000,INDEX($A$2:$A$1001,4932),IF(4932&lt;=2000,INDEX($B$2:$B$1001,3932),IF(4932&lt;=3000,INDEX($C$2:$C$1001,2932),IF(4932&lt;=4000,INDEX($D$2:$D$1001,1932),IF(4932&lt;=5000,INDEX($E$2:$E$1001,932),"")))))</f>
        <v/>
      </c>
    </row>
    <row r="4934">
      <c r="G4934">
        <f>IF(4933&lt;=1000,INDEX($A$2:$A$1001,4933),IF(4933&lt;=2000,INDEX($B$2:$B$1001,3933),IF(4933&lt;=3000,INDEX($C$2:$C$1001,2933),IF(4933&lt;=4000,INDEX($D$2:$D$1001,1933),IF(4933&lt;=5000,INDEX($E$2:$E$1001,933),"")))))</f>
        <v/>
      </c>
    </row>
    <row r="4935">
      <c r="G4935">
        <f>IF(4934&lt;=1000,INDEX($A$2:$A$1001,4934),IF(4934&lt;=2000,INDEX($B$2:$B$1001,3934),IF(4934&lt;=3000,INDEX($C$2:$C$1001,2934),IF(4934&lt;=4000,INDEX($D$2:$D$1001,1934),IF(4934&lt;=5000,INDEX($E$2:$E$1001,934),"")))))</f>
        <v/>
      </c>
    </row>
    <row r="4936">
      <c r="G4936">
        <f>IF(4935&lt;=1000,INDEX($A$2:$A$1001,4935),IF(4935&lt;=2000,INDEX($B$2:$B$1001,3935),IF(4935&lt;=3000,INDEX($C$2:$C$1001,2935),IF(4935&lt;=4000,INDEX($D$2:$D$1001,1935),IF(4935&lt;=5000,INDEX($E$2:$E$1001,935),"")))))</f>
        <v/>
      </c>
    </row>
    <row r="4937">
      <c r="G4937">
        <f>IF(4936&lt;=1000,INDEX($A$2:$A$1001,4936),IF(4936&lt;=2000,INDEX($B$2:$B$1001,3936),IF(4936&lt;=3000,INDEX($C$2:$C$1001,2936),IF(4936&lt;=4000,INDEX($D$2:$D$1001,1936),IF(4936&lt;=5000,INDEX($E$2:$E$1001,936),"")))))</f>
        <v/>
      </c>
    </row>
    <row r="4938">
      <c r="G4938">
        <f>IF(4937&lt;=1000,INDEX($A$2:$A$1001,4937),IF(4937&lt;=2000,INDEX($B$2:$B$1001,3937),IF(4937&lt;=3000,INDEX($C$2:$C$1001,2937),IF(4937&lt;=4000,INDEX($D$2:$D$1001,1937),IF(4937&lt;=5000,INDEX($E$2:$E$1001,937),"")))))</f>
        <v/>
      </c>
    </row>
    <row r="4939">
      <c r="G4939">
        <f>IF(4938&lt;=1000,INDEX($A$2:$A$1001,4938),IF(4938&lt;=2000,INDEX($B$2:$B$1001,3938),IF(4938&lt;=3000,INDEX($C$2:$C$1001,2938),IF(4938&lt;=4000,INDEX($D$2:$D$1001,1938),IF(4938&lt;=5000,INDEX($E$2:$E$1001,938),"")))))</f>
        <v/>
      </c>
    </row>
    <row r="4940">
      <c r="G4940">
        <f>IF(4939&lt;=1000,INDEX($A$2:$A$1001,4939),IF(4939&lt;=2000,INDEX($B$2:$B$1001,3939),IF(4939&lt;=3000,INDEX($C$2:$C$1001,2939),IF(4939&lt;=4000,INDEX($D$2:$D$1001,1939),IF(4939&lt;=5000,INDEX($E$2:$E$1001,939),"")))))</f>
        <v/>
      </c>
    </row>
    <row r="4941">
      <c r="G4941">
        <f>IF(4940&lt;=1000,INDEX($A$2:$A$1001,4940),IF(4940&lt;=2000,INDEX($B$2:$B$1001,3940),IF(4940&lt;=3000,INDEX($C$2:$C$1001,2940),IF(4940&lt;=4000,INDEX($D$2:$D$1001,1940),IF(4940&lt;=5000,INDEX($E$2:$E$1001,940),"")))))</f>
        <v/>
      </c>
    </row>
    <row r="4942">
      <c r="G4942">
        <f>IF(4941&lt;=1000,INDEX($A$2:$A$1001,4941),IF(4941&lt;=2000,INDEX($B$2:$B$1001,3941),IF(4941&lt;=3000,INDEX($C$2:$C$1001,2941),IF(4941&lt;=4000,INDEX($D$2:$D$1001,1941),IF(4941&lt;=5000,INDEX($E$2:$E$1001,941),"")))))</f>
        <v/>
      </c>
    </row>
    <row r="4943">
      <c r="G4943">
        <f>IF(4942&lt;=1000,INDEX($A$2:$A$1001,4942),IF(4942&lt;=2000,INDEX($B$2:$B$1001,3942),IF(4942&lt;=3000,INDEX($C$2:$C$1001,2942),IF(4942&lt;=4000,INDEX($D$2:$D$1001,1942),IF(4942&lt;=5000,INDEX($E$2:$E$1001,942),"")))))</f>
        <v/>
      </c>
    </row>
    <row r="4944">
      <c r="G4944">
        <f>IF(4943&lt;=1000,INDEX($A$2:$A$1001,4943),IF(4943&lt;=2000,INDEX($B$2:$B$1001,3943),IF(4943&lt;=3000,INDEX($C$2:$C$1001,2943),IF(4943&lt;=4000,INDEX($D$2:$D$1001,1943),IF(4943&lt;=5000,INDEX($E$2:$E$1001,943),"")))))</f>
        <v/>
      </c>
    </row>
    <row r="4945">
      <c r="G4945">
        <f>IF(4944&lt;=1000,INDEX($A$2:$A$1001,4944),IF(4944&lt;=2000,INDEX($B$2:$B$1001,3944),IF(4944&lt;=3000,INDEX($C$2:$C$1001,2944),IF(4944&lt;=4000,INDEX($D$2:$D$1001,1944),IF(4944&lt;=5000,INDEX($E$2:$E$1001,944),"")))))</f>
        <v/>
      </c>
    </row>
    <row r="4946">
      <c r="G4946">
        <f>IF(4945&lt;=1000,INDEX($A$2:$A$1001,4945),IF(4945&lt;=2000,INDEX($B$2:$B$1001,3945),IF(4945&lt;=3000,INDEX($C$2:$C$1001,2945),IF(4945&lt;=4000,INDEX($D$2:$D$1001,1945),IF(4945&lt;=5000,INDEX($E$2:$E$1001,945),"")))))</f>
        <v/>
      </c>
    </row>
    <row r="4947">
      <c r="G4947">
        <f>IF(4946&lt;=1000,INDEX($A$2:$A$1001,4946),IF(4946&lt;=2000,INDEX($B$2:$B$1001,3946),IF(4946&lt;=3000,INDEX($C$2:$C$1001,2946),IF(4946&lt;=4000,INDEX($D$2:$D$1001,1946),IF(4946&lt;=5000,INDEX($E$2:$E$1001,946),"")))))</f>
        <v/>
      </c>
    </row>
    <row r="4948">
      <c r="G4948">
        <f>IF(4947&lt;=1000,INDEX($A$2:$A$1001,4947),IF(4947&lt;=2000,INDEX($B$2:$B$1001,3947),IF(4947&lt;=3000,INDEX($C$2:$C$1001,2947),IF(4947&lt;=4000,INDEX($D$2:$D$1001,1947),IF(4947&lt;=5000,INDEX($E$2:$E$1001,947),"")))))</f>
        <v/>
      </c>
    </row>
    <row r="4949">
      <c r="G4949">
        <f>IF(4948&lt;=1000,INDEX($A$2:$A$1001,4948),IF(4948&lt;=2000,INDEX($B$2:$B$1001,3948),IF(4948&lt;=3000,INDEX($C$2:$C$1001,2948),IF(4948&lt;=4000,INDEX($D$2:$D$1001,1948),IF(4948&lt;=5000,INDEX($E$2:$E$1001,948),"")))))</f>
        <v/>
      </c>
    </row>
    <row r="4950">
      <c r="G4950">
        <f>IF(4949&lt;=1000,INDEX($A$2:$A$1001,4949),IF(4949&lt;=2000,INDEX($B$2:$B$1001,3949),IF(4949&lt;=3000,INDEX($C$2:$C$1001,2949),IF(4949&lt;=4000,INDEX($D$2:$D$1001,1949),IF(4949&lt;=5000,INDEX($E$2:$E$1001,949),"")))))</f>
        <v/>
      </c>
    </row>
    <row r="4951">
      <c r="G4951">
        <f>IF(4950&lt;=1000,INDEX($A$2:$A$1001,4950),IF(4950&lt;=2000,INDEX($B$2:$B$1001,3950),IF(4950&lt;=3000,INDEX($C$2:$C$1001,2950),IF(4950&lt;=4000,INDEX($D$2:$D$1001,1950),IF(4950&lt;=5000,INDEX($E$2:$E$1001,950),"")))))</f>
        <v/>
      </c>
    </row>
    <row r="4952">
      <c r="G4952">
        <f>IF(4951&lt;=1000,INDEX($A$2:$A$1001,4951),IF(4951&lt;=2000,INDEX($B$2:$B$1001,3951),IF(4951&lt;=3000,INDEX($C$2:$C$1001,2951),IF(4951&lt;=4000,INDEX($D$2:$D$1001,1951),IF(4951&lt;=5000,INDEX($E$2:$E$1001,951),"")))))</f>
        <v/>
      </c>
    </row>
    <row r="4953">
      <c r="G4953">
        <f>IF(4952&lt;=1000,INDEX($A$2:$A$1001,4952),IF(4952&lt;=2000,INDEX($B$2:$B$1001,3952),IF(4952&lt;=3000,INDEX($C$2:$C$1001,2952),IF(4952&lt;=4000,INDEX($D$2:$D$1001,1952),IF(4952&lt;=5000,INDEX($E$2:$E$1001,952),"")))))</f>
        <v/>
      </c>
    </row>
    <row r="4954">
      <c r="G4954">
        <f>IF(4953&lt;=1000,INDEX($A$2:$A$1001,4953),IF(4953&lt;=2000,INDEX($B$2:$B$1001,3953),IF(4953&lt;=3000,INDEX($C$2:$C$1001,2953),IF(4953&lt;=4000,INDEX($D$2:$D$1001,1953),IF(4953&lt;=5000,INDEX($E$2:$E$1001,953),"")))))</f>
        <v/>
      </c>
    </row>
    <row r="4955">
      <c r="G4955">
        <f>IF(4954&lt;=1000,INDEX($A$2:$A$1001,4954),IF(4954&lt;=2000,INDEX($B$2:$B$1001,3954),IF(4954&lt;=3000,INDEX($C$2:$C$1001,2954),IF(4954&lt;=4000,INDEX($D$2:$D$1001,1954),IF(4954&lt;=5000,INDEX($E$2:$E$1001,954),"")))))</f>
        <v/>
      </c>
    </row>
    <row r="4956">
      <c r="G4956">
        <f>IF(4955&lt;=1000,INDEX($A$2:$A$1001,4955),IF(4955&lt;=2000,INDEX($B$2:$B$1001,3955),IF(4955&lt;=3000,INDEX($C$2:$C$1001,2955),IF(4955&lt;=4000,INDEX($D$2:$D$1001,1955),IF(4955&lt;=5000,INDEX($E$2:$E$1001,955),"")))))</f>
        <v/>
      </c>
    </row>
    <row r="4957">
      <c r="G4957">
        <f>IF(4956&lt;=1000,INDEX($A$2:$A$1001,4956),IF(4956&lt;=2000,INDEX($B$2:$B$1001,3956),IF(4956&lt;=3000,INDEX($C$2:$C$1001,2956),IF(4956&lt;=4000,INDEX($D$2:$D$1001,1956),IF(4956&lt;=5000,INDEX($E$2:$E$1001,956),"")))))</f>
        <v/>
      </c>
    </row>
    <row r="4958">
      <c r="G4958">
        <f>IF(4957&lt;=1000,INDEX($A$2:$A$1001,4957),IF(4957&lt;=2000,INDEX($B$2:$B$1001,3957),IF(4957&lt;=3000,INDEX($C$2:$C$1001,2957),IF(4957&lt;=4000,INDEX($D$2:$D$1001,1957),IF(4957&lt;=5000,INDEX($E$2:$E$1001,957),"")))))</f>
        <v/>
      </c>
    </row>
    <row r="4959">
      <c r="G4959">
        <f>IF(4958&lt;=1000,INDEX($A$2:$A$1001,4958),IF(4958&lt;=2000,INDEX($B$2:$B$1001,3958),IF(4958&lt;=3000,INDEX($C$2:$C$1001,2958),IF(4958&lt;=4000,INDEX($D$2:$D$1001,1958),IF(4958&lt;=5000,INDEX($E$2:$E$1001,958),"")))))</f>
        <v/>
      </c>
    </row>
    <row r="4960">
      <c r="G4960">
        <f>IF(4959&lt;=1000,INDEX($A$2:$A$1001,4959),IF(4959&lt;=2000,INDEX($B$2:$B$1001,3959),IF(4959&lt;=3000,INDEX($C$2:$C$1001,2959),IF(4959&lt;=4000,INDEX($D$2:$D$1001,1959),IF(4959&lt;=5000,INDEX($E$2:$E$1001,959),"")))))</f>
        <v/>
      </c>
    </row>
    <row r="4961">
      <c r="G4961">
        <f>IF(4960&lt;=1000,INDEX($A$2:$A$1001,4960),IF(4960&lt;=2000,INDEX($B$2:$B$1001,3960),IF(4960&lt;=3000,INDEX($C$2:$C$1001,2960),IF(4960&lt;=4000,INDEX($D$2:$D$1001,1960),IF(4960&lt;=5000,INDEX($E$2:$E$1001,960),"")))))</f>
        <v/>
      </c>
    </row>
    <row r="4962">
      <c r="G4962">
        <f>IF(4961&lt;=1000,INDEX($A$2:$A$1001,4961),IF(4961&lt;=2000,INDEX($B$2:$B$1001,3961),IF(4961&lt;=3000,INDEX($C$2:$C$1001,2961),IF(4961&lt;=4000,INDEX($D$2:$D$1001,1961),IF(4961&lt;=5000,INDEX($E$2:$E$1001,961),"")))))</f>
        <v/>
      </c>
    </row>
    <row r="4963">
      <c r="G4963">
        <f>IF(4962&lt;=1000,INDEX($A$2:$A$1001,4962),IF(4962&lt;=2000,INDEX($B$2:$B$1001,3962),IF(4962&lt;=3000,INDEX($C$2:$C$1001,2962),IF(4962&lt;=4000,INDEX($D$2:$D$1001,1962),IF(4962&lt;=5000,INDEX($E$2:$E$1001,962),"")))))</f>
        <v/>
      </c>
    </row>
    <row r="4964">
      <c r="G4964">
        <f>IF(4963&lt;=1000,INDEX($A$2:$A$1001,4963),IF(4963&lt;=2000,INDEX($B$2:$B$1001,3963),IF(4963&lt;=3000,INDEX($C$2:$C$1001,2963),IF(4963&lt;=4000,INDEX($D$2:$D$1001,1963),IF(4963&lt;=5000,INDEX($E$2:$E$1001,963),"")))))</f>
        <v/>
      </c>
    </row>
    <row r="4965">
      <c r="G4965">
        <f>IF(4964&lt;=1000,INDEX($A$2:$A$1001,4964),IF(4964&lt;=2000,INDEX($B$2:$B$1001,3964),IF(4964&lt;=3000,INDEX($C$2:$C$1001,2964),IF(4964&lt;=4000,INDEX($D$2:$D$1001,1964),IF(4964&lt;=5000,INDEX($E$2:$E$1001,964),"")))))</f>
        <v/>
      </c>
    </row>
    <row r="4966">
      <c r="G4966">
        <f>IF(4965&lt;=1000,INDEX($A$2:$A$1001,4965),IF(4965&lt;=2000,INDEX($B$2:$B$1001,3965),IF(4965&lt;=3000,INDEX($C$2:$C$1001,2965),IF(4965&lt;=4000,INDEX($D$2:$D$1001,1965),IF(4965&lt;=5000,INDEX($E$2:$E$1001,965),"")))))</f>
        <v/>
      </c>
    </row>
    <row r="4967">
      <c r="G4967">
        <f>IF(4966&lt;=1000,INDEX($A$2:$A$1001,4966),IF(4966&lt;=2000,INDEX($B$2:$B$1001,3966),IF(4966&lt;=3000,INDEX($C$2:$C$1001,2966),IF(4966&lt;=4000,INDEX($D$2:$D$1001,1966),IF(4966&lt;=5000,INDEX($E$2:$E$1001,966),"")))))</f>
        <v/>
      </c>
    </row>
    <row r="4968">
      <c r="G4968">
        <f>IF(4967&lt;=1000,INDEX($A$2:$A$1001,4967),IF(4967&lt;=2000,INDEX($B$2:$B$1001,3967),IF(4967&lt;=3000,INDEX($C$2:$C$1001,2967),IF(4967&lt;=4000,INDEX($D$2:$D$1001,1967),IF(4967&lt;=5000,INDEX($E$2:$E$1001,967),"")))))</f>
        <v/>
      </c>
    </row>
    <row r="4969">
      <c r="G4969">
        <f>IF(4968&lt;=1000,INDEX($A$2:$A$1001,4968),IF(4968&lt;=2000,INDEX($B$2:$B$1001,3968),IF(4968&lt;=3000,INDEX($C$2:$C$1001,2968),IF(4968&lt;=4000,INDEX($D$2:$D$1001,1968),IF(4968&lt;=5000,INDEX($E$2:$E$1001,968),"")))))</f>
        <v/>
      </c>
    </row>
    <row r="4970">
      <c r="G4970">
        <f>IF(4969&lt;=1000,INDEX($A$2:$A$1001,4969),IF(4969&lt;=2000,INDEX($B$2:$B$1001,3969),IF(4969&lt;=3000,INDEX($C$2:$C$1001,2969),IF(4969&lt;=4000,INDEX($D$2:$D$1001,1969),IF(4969&lt;=5000,INDEX($E$2:$E$1001,969),"")))))</f>
        <v/>
      </c>
    </row>
    <row r="4971">
      <c r="G4971">
        <f>IF(4970&lt;=1000,INDEX($A$2:$A$1001,4970),IF(4970&lt;=2000,INDEX($B$2:$B$1001,3970),IF(4970&lt;=3000,INDEX($C$2:$C$1001,2970),IF(4970&lt;=4000,INDEX($D$2:$D$1001,1970),IF(4970&lt;=5000,INDEX($E$2:$E$1001,970),"")))))</f>
        <v/>
      </c>
    </row>
    <row r="4972">
      <c r="G4972">
        <f>IF(4971&lt;=1000,INDEX($A$2:$A$1001,4971),IF(4971&lt;=2000,INDEX($B$2:$B$1001,3971),IF(4971&lt;=3000,INDEX($C$2:$C$1001,2971),IF(4971&lt;=4000,INDEX($D$2:$D$1001,1971),IF(4971&lt;=5000,INDEX($E$2:$E$1001,971),"")))))</f>
        <v/>
      </c>
    </row>
    <row r="4973">
      <c r="G4973">
        <f>IF(4972&lt;=1000,INDEX($A$2:$A$1001,4972),IF(4972&lt;=2000,INDEX($B$2:$B$1001,3972),IF(4972&lt;=3000,INDEX($C$2:$C$1001,2972),IF(4972&lt;=4000,INDEX($D$2:$D$1001,1972),IF(4972&lt;=5000,INDEX($E$2:$E$1001,972),"")))))</f>
        <v/>
      </c>
    </row>
    <row r="4974">
      <c r="G4974">
        <f>IF(4973&lt;=1000,INDEX($A$2:$A$1001,4973),IF(4973&lt;=2000,INDEX($B$2:$B$1001,3973),IF(4973&lt;=3000,INDEX($C$2:$C$1001,2973),IF(4973&lt;=4000,INDEX($D$2:$D$1001,1973),IF(4973&lt;=5000,INDEX($E$2:$E$1001,973),"")))))</f>
        <v/>
      </c>
    </row>
    <row r="4975">
      <c r="G4975">
        <f>IF(4974&lt;=1000,INDEX($A$2:$A$1001,4974),IF(4974&lt;=2000,INDEX($B$2:$B$1001,3974),IF(4974&lt;=3000,INDEX($C$2:$C$1001,2974),IF(4974&lt;=4000,INDEX($D$2:$D$1001,1974),IF(4974&lt;=5000,INDEX($E$2:$E$1001,974),"")))))</f>
        <v/>
      </c>
    </row>
    <row r="4976">
      <c r="G4976">
        <f>IF(4975&lt;=1000,INDEX($A$2:$A$1001,4975),IF(4975&lt;=2000,INDEX($B$2:$B$1001,3975),IF(4975&lt;=3000,INDEX($C$2:$C$1001,2975),IF(4975&lt;=4000,INDEX($D$2:$D$1001,1975),IF(4975&lt;=5000,INDEX($E$2:$E$1001,975),"")))))</f>
        <v/>
      </c>
    </row>
    <row r="4977">
      <c r="G4977">
        <f>IF(4976&lt;=1000,INDEX($A$2:$A$1001,4976),IF(4976&lt;=2000,INDEX($B$2:$B$1001,3976),IF(4976&lt;=3000,INDEX($C$2:$C$1001,2976),IF(4976&lt;=4000,INDEX($D$2:$D$1001,1976),IF(4976&lt;=5000,INDEX($E$2:$E$1001,976),"")))))</f>
        <v/>
      </c>
    </row>
    <row r="4978">
      <c r="G4978">
        <f>IF(4977&lt;=1000,INDEX($A$2:$A$1001,4977),IF(4977&lt;=2000,INDEX($B$2:$B$1001,3977),IF(4977&lt;=3000,INDEX($C$2:$C$1001,2977),IF(4977&lt;=4000,INDEX($D$2:$D$1001,1977),IF(4977&lt;=5000,INDEX($E$2:$E$1001,977),"")))))</f>
        <v/>
      </c>
    </row>
    <row r="4979">
      <c r="G4979">
        <f>IF(4978&lt;=1000,INDEX($A$2:$A$1001,4978),IF(4978&lt;=2000,INDEX($B$2:$B$1001,3978),IF(4978&lt;=3000,INDEX($C$2:$C$1001,2978),IF(4978&lt;=4000,INDEX($D$2:$D$1001,1978),IF(4978&lt;=5000,INDEX($E$2:$E$1001,978),"")))))</f>
        <v/>
      </c>
    </row>
    <row r="4980">
      <c r="G4980">
        <f>IF(4979&lt;=1000,INDEX($A$2:$A$1001,4979),IF(4979&lt;=2000,INDEX($B$2:$B$1001,3979),IF(4979&lt;=3000,INDEX($C$2:$C$1001,2979),IF(4979&lt;=4000,INDEX($D$2:$D$1001,1979),IF(4979&lt;=5000,INDEX($E$2:$E$1001,979),"")))))</f>
        <v/>
      </c>
    </row>
    <row r="4981">
      <c r="G4981">
        <f>IF(4980&lt;=1000,INDEX($A$2:$A$1001,4980),IF(4980&lt;=2000,INDEX($B$2:$B$1001,3980),IF(4980&lt;=3000,INDEX($C$2:$C$1001,2980),IF(4980&lt;=4000,INDEX($D$2:$D$1001,1980),IF(4980&lt;=5000,INDEX($E$2:$E$1001,980),"")))))</f>
        <v/>
      </c>
    </row>
    <row r="4982">
      <c r="G4982">
        <f>IF(4981&lt;=1000,INDEX($A$2:$A$1001,4981),IF(4981&lt;=2000,INDEX($B$2:$B$1001,3981),IF(4981&lt;=3000,INDEX($C$2:$C$1001,2981),IF(4981&lt;=4000,INDEX($D$2:$D$1001,1981),IF(4981&lt;=5000,INDEX($E$2:$E$1001,981),"")))))</f>
        <v/>
      </c>
    </row>
    <row r="4983">
      <c r="G4983">
        <f>IF(4982&lt;=1000,INDEX($A$2:$A$1001,4982),IF(4982&lt;=2000,INDEX($B$2:$B$1001,3982),IF(4982&lt;=3000,INDEX($C$2:$C$1001,2982),IF(4982&lt;=4000,INDEX($D$2:$D$1001,1982),IF(4982&lt;=5000,INDEX($E$2:$E$1001,982),"")))))</f>
        <v/>
      </c>
    </row>
    <row r="4984">
      <c r="G4984">
        <f>IF(4983&lt;=1000,INDEX($A$2:$A$1001,4983),IF(4983&lt;=2000,INDEX($B$2:$B$1001,3983),IF(4983&lt;=3000,INDEX($C$2:$C$1001,2983),IF(4983&lt;=4000,INDEX($D$2:$D$1001,1983),IF(4983&lt;=5000,INDEX($E$2:$E$1001,983),"")))))</f>
        <v/>
      </c>
    </row>
    <row r="4985">
      <c r="G4985">
        <f>IF(4984&lt;=1000,INDEX($A$2:$A$1001,4984),IF(4984&lt;=2000,INDEX($B$2:$B$1001,3984),IF(4984&lt;=3000,INDEX($C$2:$C$1001,2984),IF(4984&lt;=4000,INDEX($D$2:$D$1001,1984),IF(4984&lt;=5000,INDEX($E$2:$E$1001,984),"")))))</f>
        <v/>
      </c>
    </row>
    <row r="4986">
      <c r="G4986">
        <f>IF(4985&lt;=1000,INDEX($A$2:$A$1001,4985),IF(4985&lt;=2000,INDEX($B$2:$B$1001,3985),IF(4985&lt;=3000,INDEX($C$2:$C$1001,2985),IF(4985&lt;=4000,INDEX($D$2:$D$1001,1985),IF(4985&lt;=5000,INDEX($E$2:$E$1001,985),"")))))</f>
        <v/>
      </c>
    </row>
    <row r="4987">
      <c r="G4987">
        <f>IF(4986&lt;=1000,INDEX($A$2:$A$1001,4986),IF(4986&lt;=2000,INDEX($B$2:$B$1001,3986),IF(4986&lt;=3000,INDEX($C$2:$C$1001,2986),IF(4986&lt;=4000,INDEX($D$2:$D$1001,1986),IF(4986&lt;=5000,INDEX($E$2:$E$1001,986),"")))))</f>
        <v/>
      </c>
    </row>
    <row r="4988">
      <c r="G4988">
        <f>IF(4987&lt;=1000,INDEX($A$2:$A$1001,4987),IF(4987&lt;=2000,INDEX($B$2:$B$1001,3987),IF(4987&lt;=3000,INDEX($C$2:$C$1001,2987),IF(4987&lt;=4000,INDEX($D$2:$D$1001,1987),IF(4987&lt;=5000,INDEX($E$2:$E$1001,987),"")))))</f>
        <v/>
      </c>
    </row>
    <row r="4989">
      <c r="G4989">
        <f>IF(4988&lt;=1000,INDEX($A$2:$A$1001,4988),IF(4988&lt;=2000,INDEX($B$2:$B$1001,3988),IF(4988&lt;=3000,INDEX($C$2:$C$1001,2988),IF(4988&lt;=4000,INDEX($D$2:$D$1001,1988),IF(4988&lt;=5000,INDEX($E$2:$E$1001,988),"")))))</f>
        <v/>
      </c>
    </row>
    <row r="4990">
      <c r="G4990">
        <f>IF(4989&lt;=1000,INDEX($A$2:$A$1001,4989),IF(4989&lt;=2000,INDEX($B$2:$B$1001,3989),IF(4989&lt;=3000,INDEX($C$2:$C$1001,2989),IF(4989&lt;=4000,INDEX($D$2:$D$1001,1989),IF(4989&lt;=5000,INDEX($E$2:$E$1001,989),"")))))</f>
        <v/>
      </c>
    </row>
    <row r="4991">
      <c r="G4991">
        <f>IF(4990&lt;=1000,INDEX($A$2:$A$1001,4990),IF(4990&lt;=2000,INDEX($B$2:$B$1001,3990),IF(4990&lt;=3000,INDEX($C$2:$C$1001,2990),IF(4990&lt;=4000,INDEX($D$2:$D$1001,1990),IF(4990&lt;=5000,INDEX($E$2:$E$1001,990),"")))))</f>
        <v/>
      </c>
    </row>
    <row r="4992">
      <c r="G4992">
        <f>IF(4991&lt;=1000,INDEX($A$2:$A$1001,4991),IF(4991&lt;=2000,INDEX($B$2:$B$1001,3991),IF(4991&lt;=3000,INDEX($C$2:$C$1001,2991),IF(4991&lt;=4000,INDEX($D$2:$D$1001,1991),IF(4991&lt;=5000,INDEX($E$2:$E$1001,991),"")))))</f>
        <v/>
      </c>
    </row>
    <row r="4993">
      <c r="G4993">
        <f>IF(4992&lt;=1000,INDEX($A$2:$A$1001,4992),IF(4992&lt;=2000,INDEX($B$2:$B$1001,3992),IF(4992&lt;=3000,INDEX($C$2:$C$1001,2992),IF(4992&lt;=4000,INDEX($D$2:$D$1001,1992),IF(4992&lt;=5000,INDEX($E$2:$E$1001,992),"")))))</f>
        <v/>
      </c>
    </row>
    <row r="4994">
      <c r="G4994">
        <f>IF(4993&lt;=1000,INDEX($A$2:$A$1001,4993),IF(4993&lt;=2000,INDEX($B$2:$B$1001,3993),IF(4993&lt;=3000,INDEX($C$2:$C$1001,2993),IF(4993&lt;=4000,INDEX($D$2:$D$1001,1993),IF(4993&lt;=5000,INDEX($E$2:$E$1001,993),"")))))</f>
        <v/>
      </c>
    </row>
    <row r="4995">
      <c r="G4995">
        <f>IF(4994&lt;=1000,INDEX($A$2:$A$1001,4994),IF(4994&lt;=2000,INDEX($B$2:$B$1001,3994),IF(4994&lt;=3000,INDEX($C$2:$C$1001,2994),IF(4994&lt;=4000,INDEX($D$2:$D$1001,1994),IF(4994&lt;=5000,INDEX($E$2:$E$1001,994),"")))))</f>
        <v/>
      </c>
    </row>
    <row r="4996">
      <c r="G4996">
        <f>IF(4995&lt;=1000,INDEX($A$2:$A$1001,4995),IF(4995&lt;=2000,INDEX($B$2:$B$1001,3995),IF(4995&lt;=3000,INDEX($C$2:$C$1001,2995),IF(4995&lt;=4000,INDEX($D$2:$D$1001,1995),IF(4995&lt;=5000,INDEX($E$2:$E$1001,995),"")))))</f>
        <v/>
      </c>
    </row>
    <row r="4997">
      <c r="G4997">
        <f>IF(4996&lt;=1000,INDEX($A$2:$A$1001,4996),IF(4996&lt;=2000,INDEX($B$2:$B$1001,3996),IF(4996&lt;=3000,INDEX($C$2:$C$1001,2996),IF(4996&lt;=4000,INDEX($D$2:$D$1001,1996),IF(4996&lt;=5000,INDEX($E$2:$E$1001,996),"")))))</f>
        <v/>
      </c>
    </row>
    <row r="4998">
      <c r="G4998">
        <f>IF(4997&lt;=1000,INDEX($A$2:$A$1001,4997),IF(4997&lt;=2000,INDEX($B$2:$B$1001,3997),IF(4997&lt;=3000,INDEX($C$2:$C$1001,2997),IF(4997&lt;=4000,INDEX($D$2:$D$1001,1997),IF(4997&lt;=5000,INDEX($E$2:$E$1001,997),"")))))</f>
        <v/>
      </c>
    </row>
    <row r="4999">
      <c r="G4999">
        <f>IF(4998&lt;=1000,INDEX($A$2:$A$1001,4998),IF(4998&lt;=2000,INDEX($B$2:$B$1001,3998),IF(4998&lt;=3000,INDEX($C$2:$C$1001,2998),IF(4998&lt;=4000,INDEX($D$2:$D$1001,1998),IF(4998&lt;=5000,INDEX($E$2:$E$1001,998),"")))))</f>
        <v/>
      </c>
    </row>
    <row r="5000">
      <c r="G5000">
        <f>IF(4999&lt;=1000,INDEX($A$2:$A$1001,4999),IF(4999&lt;=2000,INDEX($B$2:$B$1001,3999),IF(4999&lt;=3000,INDEX($C$2:$C$1001,2999),IF(4999&lt;=4000,INDEX($D$2:$D$1001,1999),IF(4999&lt;=5000,INDEX($E$2:$E$1001,999),"")))))</f>
        <v/>
      </c>
    </row>
    <row r="5001">
      <c r="G5001">
        <f>IF(5000&lt;=1000,INDEX($A$2:$A$1001,5000),IF(5000&lt;=2000,INDEX($B$2:$B$1001,4000),IF(5000&lt;=3000,INDEX($C$2:$C$1001,3000),IF(5000&lt;=4000,INDEX($D$2:$D$1001,2000),IF(5000&lt;=5000,INDEX($E$2:$E$1001,1000),"")))))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t="inlineStr">
        <is>
          <t>银行</t>
        </is>
      </c>
      <c r="B1" t="inlineStr">
        <is>
          <t>贷款总额</t>
        </is>
      </c>
      <c r="C1" t="inlineStr">
        <is>
          <t>逾期</t>
        </is>
      </c>
      <c r="D1" t="inlineStr">
        <is>
          <t>不良</t>
        </is>
      </c>
      <c r="E1" t="inlineStr">
        <is>
          <t>关注</t>
        </is>
      </c>
      <c r="F1" t="inlineStr">
        <is>
          <t>新发生不良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2025-08-18T16:48:07Z</dcterms:created>
  <dcterms:modified xsi:type="dcterms:W3CDTF">2025-08-18T16:48:07Z</dcterms:modified>
</cp:coreProperties>
</file>