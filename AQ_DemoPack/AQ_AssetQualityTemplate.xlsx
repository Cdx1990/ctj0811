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汇总" sheetId="2" state="visible" r:id="rId2"/>
    <sheet name="趋势" sheetId="3" state="visible" r:id="rId3"/>
    <sheet name="原始数据模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资产质量率指标趋势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'趋势'!$B$1:$F$1</f>
            </numRef>
          </cat>
          <val>
            <numRef>
              <f>'趋势'!$B$7:$F$7</f>
            </numRef>
          </val>
        </ser>
        <ser>
          <idx val="1"/>
          <order val="1"/>
          <tx>
            <strRef>
              <f>'趋势'!A8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'趋势'!$B$1:$F$1</f>
            </numRef>
          </cat>
          <val>
            <numRef>
              <f>'趋势'!$B$8:$F$8</f>
            </numRef>
          </val>
        </ser>
        <ser>
          <idx val="2"/>
          <order val="2"/>
          <tx>
            <strRef>
              <f>'趋势'!A9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'趋势'!$B$1:$F$1</f>
            </numRef>
          </cat>
          <val>
            <numRef>
              <f>'趋势'!$B$9:$F$9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资产质量规模指标趋势（合计）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'趋势'!A2</f>
            </strRef>
          </tx>
          <spPr>
            <a:ln>
              <a:prstDash val="solid"/>
            </a:ln>
          </spPr>
          <cat>
            <numRef>
              <f>'趋势'!$B$1:$F$1</f>
            </numRef>
          </cat>
          <val>
            <numRef>
              <f>'趋势'!$B$2:$F$2</f>
            </numRef>
          </val>
        </ser>
        <ser>
          <idx val="1"/>
          <order val="1"/>
          <tx>
            <strRef>
              <f>'趋势'!A3</f>
            </strRef>
          </tx>
          <spPr>
            <a:ln>
              <a:prstDash val="solid"/>
            </a:ln>
          </spPr>
          <cat>
            <numRef>
              <f>'趋势'!$B$1:$F$1</f>
            </numRef>
          </cat>
          <val>
            <numRef>
              <f>'趋势'!$B$3:$F$3</f>
            </numRef>
          </val>
        </ser>
        <ser>
          <idx val="2"/>
          <order val="2"/>
          <tx>
            <strRef>
              <f>'趋势'!A4</f>
            </strRef>
          </tx>
          <spPr>
            <a:ln>
              <a:prstDash val="solid"/>
            </a:ln>
          </spPr>
          <cat>
            <numRef>
              <f>'趋势'!$B$1:$F$1</f>
            </numRef>
          </cat>
          <val>
            <numRef>
              <f>'趋势'!$B$4:$F$4</f>
            </numRef>
          </val>
        </ser>
        <ser>
          <idx val="3"/>
          <order val="3"/>
          <tx>
            <strRef>
              <f>'趋势'!A5</f>
            </strRef>
          </tx>
          <spPr>
            <a:ln>
              <a:prstDash val="solid"/>
            </a:ln>
          </spPr>
          <cat>
            <numRef>
              <f>'趋势'!$B$1:$F$1</f>
            </numRef>
          </cat>
          <val>
            <numRef>
              <f>'趋势'!$B$5:$F$5</f>
            </numRef>
          </val>
        </ser>
        <ser>
          <idx val="4"/>
          <order val="4"/>
          <tx>
            <strRef>
              <f>'趋势'!A6</f>
            </strRef>
          </tx>
          <spPr>
            <a:ln>
              <a:prstDash val="solid"/>
            </a:ln>
          </spPr>
          <cat>
            <numRef>
              <f>'趋势'!$B$1:$F$1</f>
            </numRef>
          </cat>
          <val>
            <numRef>
              <f>'趋势'!$B$6:$F$6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t="inlineStr">
        <is>
          <t>使用说明</t>
        </is>
      </c>
    </row>
    <row r="2">
      <c r="A2" t="inlineStr">
        <is>
          <t>1) 将本模板文件与历年工作簿放在同一文件夹下。</t>
        </is>
      </c>
    </row>
    <row r="3">
      <c r="A3" t="inlineStr">
        <is>
          <t>2) 历年工作簿文件命名要求：AQ_2020.xlsx、AQ_2021.xlsx、AQ_2022.xlsx、AQ_2023.xlsx、AQ_2024.xlsx。</t>
        </is>
      </c>
    </row>
    <row r="4">
      <c r="A4" t="inlineStr">
        <is>
          <t>3) 各年度工作簿需包含名为 ‘原始数据’ 的工作表，列结构如下：</t>
        </is>
      </c>
    </row>
    <row r="5">
      <c r="A5" t="inlineStr">
        <is>
          <t xml:space="preserve">   A列: 银行; B列: 贷款总额; C列: 逾期; D列: 不良; E列: 关注; F列: 新发生不良。</t>
        </is>
      </c>
    </row>
    <row r="6">
      <c r="A6" t="inlineStr">
        <is>
          <t>4) 打开本模板时，Excel会自动链接上述年度文件并填充 ‘汇总’ 工作表。</t>
        </is>
      </c>
    </row>
    <row r="7">
      <c r="A7" t="inlineStr">
        <is>
          <t>5) ‘汇总’ 中的银行清单与各项数据将自动联动；‘趋势’ 中的图表用于趋势展示。</t>
        </is>
      </c>
    </row>
    <row r="8">
      <c r="A8" t="inlineStr">
        <is>
          <t>6) 若文件名或结构不同，请按上述规范调整年度工作簿，或在 ‘汇总’ 中手动修改对应公式。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 ht="24" customHeight="1">
      <c r="A1" s="1" t="n"/>
      <c r="B1" s="1" t="inlineStr">
        <is>
          <t>贷款总额</t>
        </is>
      </c>
      <c r="C1" s="1" t="n"/>
      <c r="D1" s="1" t="n"/>
      <c r="E1" s="1" t="n"/>
      <c r="F1" s="1" t="n"/>
      <c r="G1" s="1" t="inlineStr">
        <is>
          <t>逾期</t>
        </is>
      </c>
      <c r="H1" s="1" t="n"/>
      <c r="I1" s="1" t="n"/>
      <c r="J1" s="1" t="n"/>
      <c r="K1" s="1" t="n"/>
      <c r="L1" s="1" t="inlineStr">
        <is>
          <t>不良</t>
        </is>
      </c>
      <c r="M1" s="1" t="n"/>
      <c r="N1" s="1" t="n"/>
      <c r="O1" s="1" t="n"/>
      <c r="P1" s="1" t="n"/>
      <c r="Q1" s="1" t="inlineStr">
        <is>
          <t>关注</t>
        </is>
      </c>
      <c r="R1" s="1" t="n"/>
      <c r="S1" s="1" t="n"/>
      <c r="T1" s="1" t="n"/>
      <c r="U1" s="1" t="n"/>
      <c r="V1" s="1" t="inlineStr">
        <is>
          <t>新发生不良</t>
        </is>
      </c>
      <c r="W1" s="1" t="n"/>
      <c r="X1" s="1" t="n"/>
      <c r="Y1" s="1" t="n"/>
      <c r="Z1" s="1" t="n"/>
      <c r="AA1" s="1" t="inlineStr">
        <is>
          <t>逾期率</t>
        </is>
      </c>
      <c r="AB1" s="1" t="n"/>
      <c r="AC1" s="1" t="n"/>
      <c r="AD1" s="1" t="n"/>
      <c r="AE1" s="1" t="n"/>
      <c r="AF1" s="1" t="inlineStr">
        <is>
          <t>不良率</t>
        </is>
      </c>
      <c r="AG1" s="1" t="n"/>
      <c r="AH1" s="1" t="n"/>
      <c r="AI1" s="1" t="n"/>
      <c r="AJ1" s="1" t="n"/>
      <c r="AK1" s="1" t="inlineStr">
        <is>
          <t>关注率</t>
        </is>
      </c>
      <c r="AL1" s="1" t="n"/>
      <c r="AM1" s="1" t="n"/>
      <c r="AN1" s="1" t="n"/>
      <c r="AO1" s="1" t="n"/>
    </row>
    <row r="2" ht="20" customHeight="1">
      <c r="A2" s="1" t="inlineStr">
        <is>
          <t>银行</t>
        </is>
      </c>
      <c r="B2" s="1" t="inlineStr">
        <is>
          <t>2020</t>
        </is>
      </c>
      <c r="C2" s="1" t="inlineStr">
        <is>
          <t>2021</t>
        </is>
      </c>
      <c r="D2" s="1" t="inlineStr">
        <is>
          <t>2022</t>
        </is>
      </c>
      <c r="E2" s="1" t="inlineStr">
        <is>
          <t>2023</t>
        </is>
      </c>
      <c r="F2" s="1" t="inlineStr">
        <is>
          <t>2024</t>
        </is>
      </c>
      <c r="G2" s="1" t="inlineStr">
        <is>
          <t>2020</t>
        </is>
      </c>
      <c r="H2" s="1" t="inlineStr">
        <is>
          <t>2021</t>
        </is>
      </c>
      <c r="I2" s="1" t="inlineStr">
        <is>
          <t>2022</t>
        </is>
      </c>
      <c r="J2" s="1" t="inlineStr">
        <is>
          <t>2023</t>
        </is>
      </c>
      <c r="K2" s="1" t="inlineStr">
        <is>
          <t>2024</t>
        </is>
      </c>
      <c r="L2" s="1" t="inlineStr">
        <is>
          <t>2020</t>
        </is>
      </c>
      <c r="M2" s="1" t="inlineStr">
        <is>
          <t>2021</t>
        </is>
      </c>
      <c r="N2" s="1" t="inlineStr">
        <is>
          <t>2022</t>
        </is>
      </c>
      <c r="O2" s="1" t="inlineStr">
        <is>
          <t>2023</t>
        </is>
      </c>
      <c r="P2" s="1" t="inlineStr">
        <is>
          <t>2024</t>
        </is>
      </c>
      <c r="Q2" s="1" t="inlineStr">
        <is>
          <t>2020</t>
        </is>
      </c>
      <c r="R2" s="1" t="inlineStr">
        <is>
          <t>2021</t>
        </is>
      </c>
      <c r="S2" s="1" t="inlineStr">
        <is>
          <t>2022</t>
        </is>
      </c>
      <c r="T2" s="1" t="inlineStr">
        <is>
          <t>2023</t>
        </is>
      </c>
      <c r="U2" s="1" t="inlineStr">
        <is>
          <t>2024</t>
        </is>
      </c>
      <c r="V2" s="1" t="inlineStr">
        <is>
          <t>2020</t>
        </is>
      </c>
      <c r="W2" s="1" t="inlineStr">
        <is>
          <t>2021</t>
        </is>
      </c>
      <c r="X2" s="1" t="inlineStr">
        <is>
          <t>2022</t>
        </is>
      </c>
      <c r="Y2" s="1" t="inlineStr">
        <is>
          <t>2023</t>
        </is>
      </c>
      <c r="Z2" s="1" t="inlineStr">
        <is>
          <t>2024</t>
        </is>
      </c>
      <c r="AA2" s="1" t="inlineStr">
        <is>
          <t>2020</t>
        </is>
      </c>
      <c r="AB2" s="1" t="inlineStr">
        <is>
          <t>2021</t>
        </is>
      </c>
      <c r="AC2" s="1" t="inlineStr">
        <is>
          <t>2022</t>
        </is>
      </c>
      <c r="AD2" s="1" t="inlineStr">
        <is>
          <t>2023</t>
        </is>
      </c>
      <c r="AE2" s="1" t="inlineStr">
        <is>
          <t>2024</t>
        </is>
      </c>
      <c r="AF2" s="1" t="inlineStr">
        <is>
          <t>2020</t>
        </is>
      </c>
      <c r="AG2" s="1" t="inlineStr">
        <is>
          <t>2021</t>
        </is>
      </c>
      <c r="AH2" s="1" t="inlineStr">
        <is>
          <t>2022</t>
        </is>
      </c>
      <c r="AI2" s="1" t="inlineStr">
        <is>
          <t>2023</t>
        </is>
      </c>
      <c r="AJ2" s="1" t="inlineStr">
        <is>
          <t>2024</t>
        </is>
      </c>
      <c r="AK2" s="1" t="inlineStr">
        <is>
          <t>2020</t>
        </is>
      </c>
      <c r="AL2" s="1" t="inlineStr">
        <is>
          <t>2021</t>
        </is>
      </c>
      <c r="AM2" s="1" t="inlineStr">
        <is>
          <t>2022</t>
        </is>
      </c>
      <c r="AN2" s="1" t="inlineStr">
        <is>
          <t>2023</t>
        </is>
      </c>
      <c r="AO2" s="1" t="inlineStr">
        <is>
          <t>2024</t>
        </is>
      </c>
    </row>
    <row r="3">
      <c r="A3">
        <f>SORT(UNIQUE(VSTACK('[AQ_2020.xlsx]原始数据'!A:A,'[AQ_2021.xlsx]原始数据'!A:A,'[AQ_2022.xlsx]原始数据'!A:A,'[AQ_2023.xlsx]原始数据'!A:A,'[AQ_2024.xlsx]原始数据'!A:A)))</f>
        <v/>
      </c>
      <c r="B3">
        <f>XLOOKUP($A3#,'[AQ_2020.xlsx]原始数据'!$A:$A,'[AQ_2020.xlsx]原始数据'!$B:$B,"")</f>
        <v/>
      </c>
      <c r="C3">
        <f>XLOOKUP($A3#,'[AQ_2021.xlsx]原始数据'!$A:$A,'[AQ_2021.xlsx]原始数据'!$B:$B,"")</f>
        <v/>
      </c>
      <c r="D3">
        <f>XLOOKUP($A3#,'[AQ_2022.xlsx]原始数据'!$A:$A,'[AQ_2022.xlsx]原始数据'!$B:$B,"")</f>
        <v/>
      </c>
      <c r="E3">
        <f>XLOOKUP($A3#,'[AQ_2023.xlsx]原始数据'!$A:$A,'[AQ_2023.xlsx]原始数据'!$B:$B,"")</f>
        <v/>
      </c>
      <c r="F3">
        <f>XLOOKUP($A3#,'[AQ_2024.xlsx]原始数据'!$A:$A,'[AQ_2024.xlsx]原始数据'!$B:$B,"")</f>
        <v/>
      </c>
      <c r="G3">
        <f>XLOOKUP($A3#,'[AQ_2020.xlsx]原始数据'!$A:$A,'[AQ_2020.xlsx]原始数据'!$C:$C,"")</f>
        <v/>
      </c>
      <c r="H3">
        <f>XLOOKUP($A3#,'[AQ_2021.xlsx]原始数据'!$A:$A,'[AQ_2021.xlsx]原始数据'!$C:$C,"")</f>
        <v/>
      </c>
      <c r="I3">
        <f>XLOOKUP($A3#,'[AQ_2022.xlsx]原始数据'!$A:$A,'[AQ_2022.xlsx]原始数据'!$C:$C,"")</f>
        <v/>
      </c>
      <c r="J3">
        <f>XLOOKUP($A3#,'[AQ_2023.xlsx]原始数据'!$A:$A,'[AQ_2023.xlsx]原始数据'!$C:$C,"")</f>
        <v/>
      </c>
      <c r="K3">
        <f>XLOOKUP($A3#,'[AQ_2024.xlsx]原始数据'!$A:$A,'[AQ_2024.xlsx]原始数据'!$C:$C,"")</f>
        <v/>
      </c>
      <c r="L3">
        <f>XLOOKUP($A3#,'[AQ_2020.xlsx]原始数据'!$A:$A,'[AQ_2020.xlsx]原始数据'!$D:$D,"")</f>
        <v/>
      </c>
      <c r="M3">
        <f>XLOOKUP($A3#,'[AQ_2021.xlsx]原始数据'!$A:$A,'[AQ_2021.xlsx]原始数据'!$D:$D,"")</f>
        <v/>
      </c>
      <c r="N3">
        <f>XLOOKUP($A3#,'[AQ_2022.xlsx]原始数据'!$A:$A,'[AQ_2022.xlsx]原始数据'!$D:$D,"")</f>
        <v/>
      </c>
      <c r="O3">
        <f>XLOOKUP($A3#,'[AQ_2023.xlsx]原始数据'!$A:$A,'[AQ_2023.xlsx]原始数据'!$D:$D,"")</f>
        <v/>
      </c>
      <c r="P3">
        <f>XLOOKUP($A3#,'[AQ_2024.xlsx]原始数据'!$A:$A,'[AQ_2024.xlsx]原始数据'!$D:$D,"")</f>
        <v/>
      </c>
      <c r="Q3">
        <f>XLOOKUP($A3#,'[AQ_2020.xlsx]原始数据'!$A:$A,'[AQ_2020.xlsx]原始数据'!$E:$E,"")</f>
        <v/>
      </c>
      <c r="R3">
        <f>XLOOKUP($A3#,'[AQ_2021.xlsx]原始数据'!$A:$A,'[AQ_2021.xlsx]原始数据'!$E:$E,"")</f>
        <v/>
      </c>
      <c r="S3">
        <f>XLOOKUP($A3#,'[AQ_2022.xlsx]原始数据'!$A:$A,'[AQ_2022.xlsx]原始数据'!$E:$E,"")</f>
        <v/>
      </c>
      <c r="T3">
        <f>XLOOKUP($A3#,'[AQ_2023.xlsx]原始数据'!$A:$A,'[AQ_2023.xlsx]原始数据'!$E:$E,"")</f>
        <v/>
      </c>
      <c r="U3">
        <f>XLOOKUP($A3#,'[AQ_2024.xlsx]原始数据'!$A:$A,'[AQ_2024.xlsx]原始数据'!$E:$E,"")</f>
        <v/>
      </c>
      <c r="V3">
        <f>XLOOKUP($A3#,'[AQ_2020.xlsx]原始数据'!$A:$A,'[AQ_2020.xlsx]原始数据'!$F:$F,"")</f>
        <v/>
      </c>
      <c r="W3">
        <f>XLOOKUP($A3#,'[AQ_2021.xlsx]原始数据'!$A:$A,'[AQ_2021.xlsx]原始数据'!$F:$F,"")</f>
        <v/>
      </c>
      <c r="X3">
        <f>XLOOKUP($A3#,'[AQ_2022.xlsx]原始数据'!$A:$A,'[AQ_2022.xlsx]原始数据'!$F:$F,"")</f>
        <v/>
      </c>
      <c r="Y3">
        <f>XLOOKUP($A3#,'[AQ_2023.xlsx]原始数据'!$A:$A,'[AQ_2023.xlsx]原始数据'!$F:$F,"")</f>
        <v/>
      </c>
      <c r="Z3">
        <f>XLOOKUP($A3#,'[AQ_2024.xlsx]原始数据'!$A:$A,'[AQ_2024.xlsx]原始数据'!$F:$F,"")</f>
        <v/>
      </c>
      <c r="AA3" s="2">
        <f>IFERROR(G3#/B3#,"")</f>
        <v/>
      </c>
      <c r="AB3" s="2">
        <f>IFERROR(H3#/C3#,"")</f>
        <v/>
      </c>
      <c r="AC3" s="2">
        <f>IFERROR(I3#/D3#,"")</f>
        <v/>
      </c>
      <c r="AD3" s="2">
        <f>IFERROR(J3#/E3#,"")</f>
        <v/>
      </c>
      <c r="AE3" s="2">
        <f>IFERROR(K3#/F3#,"")</f>
        <v/>
      </c>
      <c r="AF3" s="2">
        <f>IFERROR(L3#/B3#,"")</f>
        <v/>
      </c>
      <c r="AG3" s="2">
        <f>IFERROR(M3#/C3#,"")</f>
        <v/>
      </c>
      <c r="AH3" s="2">
        <f>IFERROR(N3#/D3#,"")</f>
        <v/>
      </c>
      <c r="AI3" s="2">
        <f>IFERROR(O3#/E3#,"")</f>
        <v/>
      </c>
      <c r="AJ3" s="2">
        <f>IFERROR(P3#/F3#,"")</f>
        <v/>
      </c>
      <c r="AK3" s="2">
        <f>IFERROR(Q3#/B3#,"")</f>
        <v/>
      </c>
      <c r="AL3" s="2">
        <f>IFERROR(R3#/C3#,"")</f>
        <v/>
      </c>
      <c r="AM3" s="2">
        <f>IFERROR(S3#/D3#,"")</f>
        <v/>
      </c>
      <c r="AN3" s="2">
        <f>IFERROR(T3#/E3#,"")</f>
        <v/>
      </c>
      <c r="AO3" s="2">
        <f>IFERROR(U3#/F3#,"")</f>
        <v/>
      </c>
    </row>
  </sheetData>
  <mergeCells count="8">
    <mergeCell ref="V1:Z1"/>
    <mergeCell ref="Q1:U1"/>
    <mergeCell ref="AF1:AJ1"/>
    <mergeCell ref="L1:P1"/>
    <mergeCell ref="AA1:AE1"/>
    <mergeCell ref="G1:K1"/>
    <mergeCell ref="AK1:AO1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指标/年份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</row>
    <row r="2">
      <c r="A2" t="inlineStr">
        <is>
          <t>贷款总额-合计</t>
        </is>
      </c>
      <c r="B2">
        <f>SUM('汇总'!B3#)</f>
        <v/>
      </c>
      <c r="C2">
        <f>SUM('汇总'!C3#)</f>
        <v/>
      </c>
      <c r="D2">
        <f>SUM('汇总'!D3#)</f>
        <v/>
      </c>
      <c r="E2">
        <f>SUM('汇总'!E3#)</f>
        <v/>
      </c>
      <c r="F2">
        <f>SUM('汇总'!F3#)</f>
        <v/>
      </c>
    </row>
    <row r="3">
      <c r="A3" t="inlineStr">
        <is>
          <t>逾期-合计</t>
        </is>
      </c>
      <c r="B3">
        <f>SUM('汇总'!G3#)</f>
        <v/>
      </c>
      <c r="C3">
        <f>SUM('汇总'!H3#)</f>
        <v/>
      </c>
      <c r="D3">
        <f>SUM('汇总'!I3#)</f>
        <v/>
      </c>
      <c r="E3">
        <f>SUM('汇总'!J3#)</f>
        <v/>
      </c>
      <c r="F3">
        <f>SUM('汇总'!K3#)</f>
        <v/>
      </c>
    </row>
    <row r="4">
      <c r="A4" t="inlineStr">
        <is>
          <t>不良-合计</t>
        </is>
      </c>
      <c r="B4">
        <f>SUM('汇总'!L3#)</f>
        <v/>
      </c>
      <c r="C4">
        <f>SUM('汇总'!M3#)</f>
        <v/>
      </c>
      <c r="D4">
        <f>SUM('汇总'!N3#)</f>
        <v/>
      </c>
      <c r="E4">
        <f>SUM('汇总'!O3#)</f>
        <v/>
      </c>
      <c r="F4">
        <f>SUM('汇总'!P3#)</f>
        <v/>
      </c>
    </row>
    <row r="5">
      <c r="A5" t="inlineStr">
        <is>
          <t>关注-合计</t>
        </is>
      </c>
      <c r="B5">
        <f>SUM('汇总'!Q3#)</f>
        <v/>
      </c>
      <c r="C5">
        <f>SUM('汇总'!R3#)</f>
        <v/>
      </c>
      <c r="D5">
        <f>SUM('汇总'!S3#)</f>
        <v/>
      </c>
      <c r="E5">
        <f>SUM('汇总'!T3#)</f>
        <v/>
      </c>
      <c r="F5">
        <f>SUM('汇总'!U3#)</f>
        <v/>
      </c>
    </row>
    <row r="6">
      <c r="A6" t="inlineStr">
        <is>
          <t>新发生不良-合计</t>
        </is>
      </c>
      <c r="B6">
        <f>SUM('汇总'!V3#)</f>
        <v/>
      </c>
      <c r="C6">
        <f>SUM('汇总'!W3#)</f>
        <v/>
      </c>
      <c r="D6">
        <f>SUM('汇总'!X3#)</f>
        <v/>
      </c>
      <c r="E6">
        <f>SUM('汇总'!Y3#)</f>
        <v/>
      </c>
      <c r="F6">
        <f>SUM('汇总'!Z3#)</f>
        <v/>
      </c>
    </row>
    <row r="7">
      <c r="A7" t="inlineStr">
        <is>
          <t>逾期率-合计</t>
        </is>
      </c>
      <c r="B7" s="2">
        <f>IFERROR(SUM('汇总'!G3#)/SUM('汇总'!B3#),"")</f>
        <v/>
      </c>
      <c r="C7" s="2">
        <f>IFERROR(SUM('汇总'!H3#)/SUM('汇总'!C3#),"")</f>
        <v/>
      </c>
      <c r="D7" s="2">
        <f>IFERROR(SUM('汇总'!I3#)/SUM('汇总'!D3#),"")</f>
        <v/>
      </c>
      <c r="E7" s="2">
        <f>IFERROR(SUM('汇总'!J3#)/SUM('汇总'!E3#),"")</f>
        <v/>
      </c>
      <c r="F7" s="2">
        <f>IFERROR(SUM('汇总'!K3#)/SUM('汇总'!F3#),"")</f>
        <v/>
      </c>
    </row>
    <row r="8">
      <c r="A8" t="inlineStr">
        <is>
          <t>不良率-合计</t>
        </is>
      </c>
      <c r="B8" s="2">
        <f>IFERROR(SUM('汇总'!L3#)/SUM('汇总'!B3#),"")</f>
        <v/>
      </c>
      <c r="C8" s="2">
        <f>IFERROR(SUM('汇总'!M3#)/SUM('汇总'!C3#),"")</f>
        <v/>
      </c>
      <c r="D8" s="2">
        <f>IFERROR(SUM('汇总'!N3#)/SUM('汇总'!D3#),"")</f>
        <v/>
      </c>
      <c r="E8" s="2">
        <f>IFERROR(SUM('汇总'!O3#)/SUM('汇总'!E3#),"")</f>
        <v/>
      </c>
      <c r="F8" s="2">
        <f>IFERROR(SUM('汇总'!P3#)/SUM('汇总'!F3#),"")</f>
        <v/>
      </c>
    </row>
    <row r="9">
      <c r="A9" t="inlineStr">
        <is>
          <t>关注率-合计</t>
        </is>
      </c>
      <c r="B9" s="2">
        <f>IFERROR(SUM('汇总'!Q3#)/SUM('汇总'!B3#),"")</f>
        <v/>
      </c>
      <c r="C9" s="2">
        <f>IFERROR(SUM('汇总'!R3#)/SUM('汇总'!C3#),"")</f>
        <v/>
      </c>
      <c r="D9" s="2">
        <f>IFERROR(SUM('汇总'!S3#)/SUM('汇总'!D3#),"")</f>
        <v/>
      </c>
      <c r="E9" s="2">
        <f>IFERROR(SUM('汇总'!T3#)/SUM('汇总'!E3#),"")</f>
        <v/>
      </c>
      <c r="F9" s="2">
        <f>IFERROR(SUM('汇总'!U3#)/SUM('汇总'!F3#),"")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2025-08-18T16:29:50Z</dcterms:created>
  <dcterms:modified xsi:type="dcterms:W3CDTF">2025-08-18T16:29:50Z</dcterms:modified>
</cp:coreProperties>
</file>